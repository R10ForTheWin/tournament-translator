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d.docs.live.net/6f253ef3afcfe1c8/2026 EVENTS/2026 KAP7 INTERNATIONAL/"/>
    </mc:Choice>
  </mc:AlternateContent>
  <xr:revisionPtr revIDLastSave="0" documentId="8_{4BF01CE2-FA0C-4074-86D5-FF7EDAD90EFC}" xr6:coauthVersionLast="47" xr6:coauthVersionMax="47" xr10:uidLastSave="{00000000-0000-0000-0000-000000000000}"/>
  <bookViews>
    <workbookView xWindow="21930" yWindow="7665" windowWidth="31485" windowHeight="23745" firstSheet="6" activeTab="6" xr2:uid="{B00B2432-A0B8-48AD-82D5-E27F8512EED9}"/>
  </bookViews>
  <sheets>
    <sheet name="RAW ENTRIES" sheetId="2" state="hidden" r:id="rId1"/>
    <sheet name="MEDALS" sheetId="29" r:id="rId2"/>
    <sheet name="TEAM LISTING AND BRACKETS" sheetId="4" r:id="rId3"/>
    <sheet name="MASTER BY DIVISION" sheetId="28" r:id="rId4"/>
    <sheet name="MASTER BY LOCATION" sheetId="30" r:id="rId5"/>
    <sheet name="MASTER BY TIME" sheetId="31" r:id="rId6"/>
    <sheet name="CHICLETS" sheetId="5" r:id="rId7"/>
    <sheet name="10U COED GOLD-16 TEAMS CUSTOM" sheetId="6" r:id="rId8"/>
    <sheet name="10U COED PLATINUM-8 TEAMS" sheetId="7" r:id="rId9"/>
    <sheet name="10U BOYS-8 TEAMS" sheetId="8" r:id="rId10"/>
    <sheet name="12U GIRLS PLATINUM-12 TEAMS" sheetId="9" r:id="rId11"/>
    <sheet name="12U BOYS GOLD-23 TEAMS" sheetId="10" state="hidden" r:id="rId12"/>
    <sheet name="12U BOYS GOLD-24 TEAMS" sheetId="27" r:id="rId13"/>
    <sheet name="12U BOYS PLATINUM-10 TEAMS" sheetId="11" r:id="rId14"/>
    <sheet name="12U COED-7 TEAMS" sheetId="12" r:id="rId15"/>
    <sheet name="14U GIRLS GOLD-14 TEAMS" sheetId="26" r:id="rId16"/>
    <sheet name="14U GIRLS PLATINUM-10 TEAMS" sheetId="14" r:id="rId17"/>
    <sheet name="14U BOYS SILVER-17 TEAMS" sheetId="24" state="hidden" r:id="rId18"/>
    <sheet name="14U BOYS SILVER-18 TEAMS" sheetId="25" r:id="rId19"/>
    <sheet name="14U BOYS GOLD-26 TEAMS" sheetId="16" r:id="rId20"/>
    <sheet name="14U BOYS PLATINUM-20 TEAMS" sheetId="17" r:id="rId21"/>
    <sheet name="16U BOYS SILVER-20 TEAMS" sheetId="18" r:id="rId22"/>
    <sheet name="16U BOYS GOLD-19 TEAMS" sheetId="19" r:id="rId23"/>
    <sheet name="16U BOYS PLATINUM-18 TEAMS" sheetId="20" r:id="rId24"/>
    <sheet name="19U BOYS SILVER-6 TEAMS CUST" sheetId="21" r:id="rId25"/>
    <sheet name="19U BOYS GOLD-16 TEAMS" sheetId="22" r:id="rId26"/>
    <sheet name="19U BOYS PLATINUM-27 TEAMS" sheetId="23" r:id="rId27"/>
  </sheets>
  <definedNames>
    <definedName name="_xlnm.Print_Titles" localSheetId="3">'MASTER BY DIVISION'!$1:$1</definedName>
    <definedName name="_xlnm.Print_Titles" localSheetId="4">'MASTER BY LOCATION'!$1:$1</definedName>
    <definedName name="_xlnm.Print_Titles" localSheetId="5">'MASTER BY TIME'!$1:$1</definedName>
    <definedName name="_xlnm.Print_Titles" localSheetId="1">MEDALS!$1:$1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6" i="27" l="1"/>
  <c r="E58" i="27"/>
  <c r="G58" i="27"/>
  <c r="B57" i="19"/>
  <c r="B58" i="19"/>
  <c r="B69" i="23"/>
  <c r="B68" i="23"/>
  <c r="B31" i="12"/>
  <c r="B30" i="12"/>
  <c r="B70" i="27"/>
  <c r="M5" i="29"/>
  <c r="M6" i="29"/>
  <c r="L7" i="29"/>
  <c r="M7" i="29"/>
  <c r="L8" i="29"/>
  <c r="M8" i="29"/>
  <c r="L6" i="29"/>
  <c r="E30" i="14"/>
  <c r="E133" i="28"/>
  <c r="E135" i="28"/>
  <c r="C56" i="27"/>
  <c r="B56" i="27"/>
  <c r="O59" i="5"/>
  <c r="O60" i="5"/>
  <c r="O61" i="5"/>
  <c r="O62" i="5"/>
  <c r="O63" i="5"/>
  <c r="O64" i="5"/>
  <c r="B78" i="23"/>
  <c r="B79" i="23"/>
  <c r="B80" i="23"/>
  <c r="B81" i="23"/>
  <c r="B77" i="23"/>
  <c r="B72" i="23"/>
  <c r="B73" i="23"/>
  <c r="B74" i="23"/>
  <c r="B75" i="23"/>
  <c r="B71" i="23"/>
  <c r="B45" i="25"/>
  <c r="B46" i="25"/>
  <c r="B47" i="25"/>
  <c r="B48" i="25"/>
  <c r="B49" i="25"/>
  <c r="B50" i="25"/>
  <c r="B51" i="25"/>
  <c r="B52" i="25"/>
  <c r="B53" i="25"/>
  <c r="B54" i="25"/>
  <c r="B38" i="26"/>
  <c r="O36" i="5" s="1"/>
  <c r="B39" i="26"/>
  <c r="O37" i="5" s="1"/>
  <c r="B40" i="26"/>
  <c r="O38" i="5" s="1"/>
  <c r="J252" i="31"/>
  <c r="C23" i="22"/>
  <c r="C22" i="22"/>
  <c r="B35" i="26"/>
  <c r="O33" i="5" s="1"/>
  <c r="B36" i="26"/>
  <c r="O34" i="5" s="1"/>
  <c r="B37" i="26"/>
  <c r="O35" i="5" s="1"/>
  <c r="I6" i="29"/>
  <c r="D6" i="29"/>
  <c r="F6" i="29"/>
  <c r="G6" i="29"/>
  <c r="H6" i="29"/>
  <c r="D7" i="29"/>
  <c r="F7" i="29"/>
  <c r="H7" i="29"/>
  <c r="I7" i="29"/>
  <c r="D8" i="29"/>
  <c r="F8" i="29"/>
  <c r="H8" i="29"/>
  <c r="I8" i="29"/>
  <c r="D9" i="29"/>
  <c r="F9" i="29"/>
  <c r="G9" i="29"/>
  <c r="H9" i="29"/>
  <c r="I9" i="29"/>
  <c r="D10" i="29"/>
  <c r="F10" i="29"/>
  <c r="H10" i="29"/>
  <c r="I10" i="29"/>
  <c r="D11" i="29"/>
  <c r="F11" i="29"/>
  <c r="G11" i="29"/>
  <c r="H11" i="29"/>
  <c r="I11" i="29"/>
  <c r="A6" i="29"/>
  <c r="A7" i="29"/>
  <c r="A8" i="29"/>
  <c r="A9" i="29"/>
  <c r="A10" i="29"/>
  <c r="A11" i="29"/>
  <c r="A1" i="31"/>
  <c r="B1" i="31"/>
  <c r="C1" i="31"/>
  <c r="D1" i="31"/>
  <c r="E1" i="31"/>
  <c r="F1" i="31"/>
  <c r="G1" i="31"/>
  <c r="H1" i="31"/>
  <c r="I1" i="31"/>
  <c r="J1" i="31"/>
  <c r="A35" i="31"/>
  <c r="D35" i="31"/>
  <c r="F35" i="31"/>
  <c r="H35" i="31"/>
  <c r="I35" i="31"/>
  <c r="J35" i="31"/>
  <c r="A48" i="31"/>
  <c r="D48" i="31"/>
  <c r="F48" i="31"/>
  <c r="H48" i="31"/>
  <c r="I48" i="31"/>
  <c r="J48" i="31"/>
  <c r="A59" i="31"/>
  <c r="D59" i="31"/>
  <c r="F59" i="31"/>
  <c r="H59" i="31"/>
  <c r="I59" i="31"/>
  <c r="J59" i="31"/>
  <c r="A80" i="31"/>
  <c r="D80" i="31"/>
  <c r="F80" i="31"/>
  <c r="G80" i="31"/>
  <c r="H80" i="31"/>
  <c r="I80" i="31"/>
  <c r="J80" i="31"/>
  <c r="A99" i="31"/>
  <c r="D99" i="31"/>
  <c r="F99" i="31"/>
  <c r="G99" i="31"/>
  <c r="H99" i="31"/>
  <c r="I99" i="31"/>
  <c r="J99" i="31"/>
  <c r="A94" i="31"/>
  <c r="D94" i="31"/>
  <c r="F94" i="31"/>
  <c r="H94" i="31"/>
  <c r="I94" i="31"/>
  <c r="J94" i="31"/>
  <c r="A117" i="31"/>
  <c r="D117" i="31"/>
  <c r="F117" i="31"/>
  <c r="H117" i="31"/>
  <c r="I117" i="31"/>
  <c r="J117" i="31"/>
  <c r="A116" i="31"/>
  <c r="D116" i="31"/>
  <c r="F116" i="31"/>
  <c r="H116" i="31"/>
  <c r="I116" i="31"/>
  <c r="J116" i="31"/>
  <c r="A139" i="31"/>
  <c r="D139" i="31"/>
  <c r="F139" i="31"/>
  <c r="H139" i="31"/>
  <c r="I139" i="31"/>
  <c r="J139" i="31"/>
  <c r="A164" i="31"/>
  <c r="D164" i="31"/>
  <c r="E164" i="31"/>
  <c r="F164" i="31"/>
  <c r="G164" i="31"/>
  <c r="H164" i="31"/>
  <c r="I164" i="31"/>
  <c r="J164" i="31"/>
  <c r="A179" i="31"/>
  <c r="D179" i="31"/>
  <c r="F179" i="31"/>
  <c r="H179" i="31"/>
  <c r="I179" i="31"/>
  <c r="J179" i="31"/>
  <c r="A203" i="31"/>
  <c r="D203" i="31"/>
  <c r="F203" i="31"/>
  <c r="H203" i="31"/>
  <c r="I203" i="31"/>
  <c r="J203" i="31"/>
  <c r="A227" i="31"/>
  <c r="D227" i="31"/>
  <c r="F227" i="31"/>
  <c r="H227" i="31"/>
  <c r="I227" i="31"/>
  <c r="J227" i="31"/>
  <c r="A225" i="31"/>
  <c r="D225" i="31"/>
  <c r="F225" i="31"/>
  <c r="H225" i="31"/>
  <c r="I225" i="31"/>
  <c r="J225" i="31"/>
  <c r="A247" i="31"/>
  <c r="D247" i="31"/>
  <c r="F247" i="31"/>
  <c r="G247" i="31"/>
  <c r="H247" i="31"/>
  <c r="I247" i="31"/>
  <c r="J247" i="31"/>
  <c r="A246" i="31"/>
  <c r="D246" i="31"/>
  <c r="F246" i="31"/>
  <c r="G246" i="31"/>
  <c r="H246" i="31"/>
  <c r="I246" i="31"/>
  <c r="J246" i="31"/>
  <c r="A329" i="31"/>
  <c r="D329" i="31"/>
  <c r="F329" i="31"/>
  <c r="H329" i="31"/>
  <c r="I329" i="31"/>
  <c r="J329" i="31"/>
  <c r="A328" i="31"/>
  <c r="D328" i="31"/>
  <c r="E328" i="31"/>
  <c r="F328" i="31"/>
  <c r="G328" i="31"/>
  <c r="H328" i="31"/>
  <c r="I328" i="31"/>
  <c r="J328" i="31"/>
  <c r="A344" i="31"/>
  <c r="D344" i="31"/>
  <c r="F344" i="31"/>
  <c r="G344" i="31"/>
  <c r="H344" i="31"/>
  <c r="I344" i="31"/>
  <c r="J344" i="31"/>
  <c r="A343" i="31"/>
  <c r="D343" i="31"/>
  <c r="E343" i="31"/>
  <c r="F343" i="31"/>
  <c r="G343" i="31"/>
  <c r="H343" i="31"/>
  <c r="I343" i="31"/>
  <c r="J343" i="31"/>
  <c r="A355" i="31"/>
  <c r="D355" i="31"/>
  <c r="E355" i="31"/>
  <c r="F355" i="31"/>
  <c r="G355" i="31"/>
  <c r="H355" i="31"/>
  <c r="I355" i="31"/>
  <c r="J355" i="31"/>
  <c r="A379" i="31"/>
  <c r="D379" i="31"/>
  <c r="E379" i="31"/>
  <c r="F379" i="31"/>
  <c r="G379" i="31"/>
  <c r="H379" i="31"/>
  <c r="I379" i="31"/>
  <c r="J379" i="31"/>
  <c r="A393" i="31"/>
  <c r="D393" i="31"/>
  <c r="F393" i="31"/>
  <c r="G393" i="31"/>
  <c r="H393" i="31"/>
  <c r="I393" i="31"/>
  <c r="J393" i="31"/>
  <c r="A395" i="31"/>
  <c r="D395" i="31"/>
  <c r="F395" i="31"/>
  <c r="G395" i="31"/>
  <c r="H395" i="31"/>
  <c r="I395" i="31"/>
  <c r="J395" i="31"/>
  <c r="A417" i="31"/>
  <c r="D417" i="31"/>
  <c r="F417" i="31"/>
  <c r="G417" i="31"/>
  <c r="H417" i="31"/>
  <c r="I417" i="31"/>
  <c r="J417" i="31"/>
  <c r="A418" i="31"/>
  <c r="D418" i="31"/>
  <c r="E418" i="31"/>
  <c r="F418" i="31"/>
  <c r="G418" i="31"/>
  <c r="H418" i="31"/>
  <c r="I418" i="31"/>
  <c r="J418" i="31"/>
  <c r="A442" i="31"/>
  <c r="D442" i="31"/>
  <c r="F442" i="31"/>
  <c r="H442" i="31"/>
  <c r="I442" i="31"/>
  <c r="J442" i="31"/>
  <c r="A443" i="31"/>
  <c r="D443" i="31"/>
  <c r="F443" i="31"/>
  <c r="H443" i="31"/>
  <c r="I443" i="31"/>
  <c r="J443" i="31"/>
  <c r="A467" i="31"/>
  <c r="D467" i="31"/>
  <c r="F467" i="31"/>
  <c r="H467" i="31"/>
  <c r="I467" i="31"/>
  <c r="J467" i="31"/>
  <c r="A468" i="31"/>
  <c r="D468" i="31"/>
  <c r="F468" i="31"/>
  <c r="H468" i="31"/>
  <c r="I468" i="31"/>
  <c r="J468" i="31"/>
  <c r="A482" i="31"/>
  <c r="D482" i="31"/>
  <c r="E482" i="31"/>
  <c r="F482" i="31"/>
  <c r="G482" i="31"/>
  <c r="H482" i="31"/>
  <c r="I482" i="31"/>
  <c r="J482" i="31"/>
  <c r="A506" i="31"/>
  <c r="D506" i="31"/>
  <c r="E506" i="31"/>
  <c r="F506" i="31"/>
  <c r="G506" i="31"/>
  <c r="H506" i="31"/>
  <c r="I506" i="31"/>
  <c r="J506" i="31"/>
  <c r="A36" i="31"/>
  <c r="D36" i="31"/>
  <c r="E36" i="31"/>
  <c r="F36" i="31"/>
  <c r="G36" i="31"/>
  <c r="H36" i="31"/>
  <c r="I36" i="31"/>
  <c r="J36" i="31"/>
  <c r="A49" i="31"/>
  <c r="D49" i="31"/>
  <c r="E49" i="31"/>
  <c r="F49" i="31"/>
  <c r="G49" i="31"/>
  <c r="H49" i="31"/>
  <c r="I49" i="31"/>
  <c r="J49" i="31"/>
  <c r="A60" i="31"/>
  <c r="D60" i="31"/>
  <c r="E60" i="31"/>
  <c r="F60" i="31"/>
  <c r="G60" i="31"/>
  <c r="H60" i="31"/>
  <c r="I60" i="31"/>
  <c r="J60" i="31"/>
  <c r="A81" i="31"/>
  <c r="D81" i="31"/>
  <c r="E81" i="31"/>
  <c r="F81" i="31"/>
  <c r="G81" i="31"/>
  <c r="H81" i="31"/>
  <c r="I81" i="31"/>
  <c r="J81" i="31"/>
  <c r="A140" i="31"/>
  <c r="D140" i="31"/>
  <c r="E140" i="31"/>
  <c r="F140" i="31"/>
  <c r="G140" i="31"/>
  <c r="H140" i="31"/>
  <c r="I140" i="31"/>
  <c r="J140" i="31"/>
  <c r="A165" i="31"/>
  <c r="D165" i="31"/>
  <c r="E165" i="31"/>
  <c r="F165" i="31"/>
  <c r="G165" i="31"/>
  <c r="H165" i="31"/>
  <c r="I165" i="31"/>
  <c r="J165" i="31"/>
  <c r="A186" i="31"/>
  <c r="D186" i="31"/>
  <c r="E186" i="31"/>
  <c r="F186" i="31"/>
  <c r="G186" i="31"/>
  <c r="H186" i="31"/>
  <c r="I186" i="31"/>
  <c r="J186" i="31"/>
  <c r="A204" i="31"/>
  <c r="D204" i="31"/>
  <c r="E204" i="31"/>
  <c r="F204" i="31"/>
  <c r="G204" i="31"/>
  <c r="H204" i="31"/>
  <c r="I204" i="31"/>
  <c r="J204" i="31"/>
  <c r="A356" i="31"/>
  <c r="D356" i="31"/>
  <c r="E356" i="31"/>
  <c r="F356" i="31"/>
  <c r="G356" i="31"/>
  <c r="H356" i="31"/>
  <c r="I356" i="31"/>
  <c r="J356" i="31"/>
  <c r="A380" i="31"/>
  <c r="D380" i="31"/>
  <c r="E380" i="31"/>
  <c r="F380" i="31"/>
  <c r="G380" i="31"/>
  <c r="H380" i="31"/>
  <c r="I380" i="31"/>
  <c r="J380" i="31"/>
  <c r="A401" i="31"/>
  <c r="D401" i="31"/>
  <c r="E401" i="31"/>
  <c r="F401" i="31"/>
  <c r="G401" i="31"/>
  <c r="H401" i="31"/>
  <c r="I401" i="31"/>
  <c r="J401" i="31"/>
  <c r="A419" i="31"/>
  <c r="D419" i="31"/>
  <c r="E419" i="31"/>
  <c r="F419" i="31"/>
  <c r="G419" i="31"/>
  <c r="H419" i="31"/>
  <c r="I419" i="31"/>
  <c r="J419" i="31"/>
  <c r="A480" i="31"/>
  <c r="D480" i="31"/>
  <c r="E480" i="31"/>
  <c r="F480" i="31"/>
  <c r="G480" i="31"/>
  <c r="H480" i="31"/>
  <c r="I480" i="31"/>
  <c r="J480" i="31"/>
  <c r="A505" i="31"/>
  <c r="D505" i="31"/>
  <c r="E505" i="31"/>
  <c r="F505" i="31"/>
  <c r="G505" i="31"/>
  <c r="H505" i="31"/>
  <c r="I505" i="31"/>
  <c r="J505" i="31"/>
  <c r="A531" i="31"/>
  <c r="D531" i="31"/>
  <c r="E531" i="31"/>
  <c r="F531" i="31"/>
  <c r="G531" i="31"/>
  <c r="H531" i="31"/>
  <c r="I531" i="31"/>
  <c r="J531" i="31"/>
  <c r="A554" i="31"/>
  <c r="D554" i="31"/>
  <c r="E554" i="31"/>
  <c r="F554" i="31"/>
  <c r="G554" i="31"/>
  <c r="H554" i="31"/>
  <c r="I554" i="31"/>
  <c r="J554" i="31"/>
  <c r="A34" i="31"/>
  <c r="D34" i="31"/>
  <c r="E34" i="31"/>
  <c r="F34" i="31"/>
  <c r="G34" i="31"/>
  <c r="H34" i="31"/>
  <c r="I34" i="31"/>
  <c r="J34" i="31"/>
  <c r="A47" i="31"/>
  <c r="D47" i="31"/>
  <c r="E47" i="31"/>
  <c r="F47" i="31"/>
  <c r="G47" i="31"/>
  <c r="H47" i="31"/>
  <c r="I47" i="31"/>
  <c r="J47" i="31"/>
  <c r="A58" i="31"/>
  <c r="D58" i="31"/>
  <c r="E58" i="31"/>
  <c r="F58" i="31"/>
  <c r="G58" i="31"/>
  <c r="H58" i="31"/>
  <c r="I58" i="31"/>
  <c r="J58" i="31"/>
  <c r="A79" i="31"/>
  <c r="D79" i="31"/>
  <c r="E79" i="31"/>
  <c r="F79" i="31"/>
  <c r="G79" i="31"/>
  <c r="H79" i="31"/>
  <c r="I79" i="31"/>
  <c r="J79" i="31"/>
  <c r="A92" i="31"/>
  <c r="D92" i="31"/>
  <c r="E92" i="31"/>
  <c r="F92" i="31"/>
  <c r="G92" i="31"/>
  <c r="H92" i="31"/>
  <c r="I92" i="31"/>
  <c r="J92" i="31"/>
  <c r="A115" i="31"/>
  <c r="D115" i="31"/>
  <c r="E115" i="31"/>
  <c r="F115" i="31"/>
  <c r="G115" i="31"/>
  <c r="H115" i="31"/>
  <c r="I115" i="31"/>
  <c r="J115" i="31"/>
  <c r="A138" i="31"/>
  <c r="D138" i="31"/>
  <c r="E138" i="31"/>
  <c r="F138" i="31"/>
  <c r="G138" i="31"/>
  <c r="H138" i="31"/>
  <c r="I138" i="31"/>
  <c r="J138" i="31"/>
  <c r="A163" i="31"/>
  <c r="D163" i="31"/>
  <c r="E163" i="31"/>
  <c r="F163" i="31"/>
  <c r="G163" i="31"/>
  <c r="H163" i="31"/>
  <c r="I163" i="31"/>
  <c r="J163" i="31"/>
  <c r="A327" i="31"/>
  <c r="D327" i="31"/>
  <c r="E327" i="31"/>
  <c r="F327" i="31"/>
  <c r="G327" i="31"/>
  <c r="H327" i="31"/>
  <c r="I327" i="31"/>
  <c r="J327" i="31"/>
  <c r="A342" i="31"/>
  <c r="D342" i="31"/>
  <c r="E342" i="31"/>
  <c r="F342" i="31"/>
  <c r="G342" i="31"/>
  <c r="H342" i="31"/>
  <c r="I342" i="31"/>
  <c r="J342" i="31"/>
  <c r="A354" i="31"/>
  <c r="D354" i="31"/>
  <c r="E354" i="31"/>
  <c r="F354" i="31"/>
  <c r="G354" i="31"/>
  <c r="H354" i="31"/>
  <c r="I354" i="31"/>
  <c r="J354" i="31"/>
  <c r="A378" i="31"/>
  <c r="D378" i="31"/>
  <c r="E378" i="31"/>
  <c r="F378" i="31"/>
  <c r="G378" i="31"/>
  <c r="H378" i="31"/>
  <c r="I378" i="31"/>
  <c r="J378" i="31"/>
  <c r="A441" i="31"/>
  <c r="D441" i="31"/>
  <c r="E441" i="31"/>
  <c r="F441" i="31"/>
  <c r="G441" i="31"/>
  <c r="H441" i="31"/>
  <c r="I441" i="31"/>
  <c r="J441" i="31"/>
  <c r="A466" i="31"/>
  <c r="D466" i="31"/>
  <c r="E466" i="31"/>
  <c r="F466" i="31"/>
  <c r="G466" i="31"/>
  <c r="H466" i="31"/>
  <c r="I466" i="31"/>
  <c r="J466" i="31"/>
  <c r="A489" i="31"/>
  <c r="D489" i="31"/>
  <c r="E489" i="31"/>
  <c r="F489" i="31"/>
  <c r="G489" i="31"/>
  <c r="H489" i="31"/>
  <c r="I489" i="31"/>
  <c r="J489" i="31"/>
  <c r="A507" i="31"/>
  <c r="D507" i="31"/>
  <c r="E507" i="31"/>
  <c r="F507" i="31"/>
  <c r="G507" i="31"/>
  <c r="H507" i="31"/>
  <c r="I507" i="31"/>
  <c r="J507" i="31"/>
  <c r="A12" i="31"/>
  <c r="D12" i="31"/>
  <c r="F12" i="31"/>
  <c r="H12" i="31"/>
  <c r="I12" i="31"/>
  <c r="J12" i="31"/>
  <c r="A25" i="31"/>
  <c r="D25" i="31"/>
  <c r="F25" i="31"/>
  <c r="G25" i="31"/>
  <c r="H25" i="31"/>
  <c r="I25" i="31"/>
  <c r="J25" i="31"/>
  <c r="A70" i="31"/>
  <c r="D70" i="31"/>
  <c r="F70" i="31"/>
  <c r="G70" i="31"/>
  <c r="H70" i="31"/>
  <c r="I70" i="31"/>
  <c r="J70" i="31"/>
  <c r="A91" i="31"/>
  <c r="D91" i="31"/>
  <c r="E91" i="31"/>
  <c r="F91" i="31"/>
  <c r="G91" i="31"/>
  <c r="H91" i="31"/>
  <c r="I91" i="31"/>
  <c r="J91" i="31"/>
  <c r="A134" i="31"/>
  <c r="D134" i="31"/>
  <c r="F134" i="31"/>
  <c r="H134" i="31"/>
  <c r="I134" i="31"/>
  <c r="J134" i="31"/>
  <c r="A153" i="31"/>
  <c r="D153" i="31"/>
  <c r="F153" i="31"/>
  <c r="G153" i="31"/>
  <c r="H153" i="31"/>
  <c r="I153" i="31"/>
  <c r="J153" i="31"/>
  <c r="A202" i="31"/>
  <c r="D202" i="31"/>
  <c r="F202" i="31"/>
  <c r="G202" i="31"/>
  <c r="H202" i="31"/>
  <c r="I202" i="31"/>
  <c r="J202" i="31"/>
  <c r="A224" i="31"/>
  <c r="D224" i="31"/>
  <c r="F224" i="31"/>
  <c r="H224" i="31"/>
  <c r="I224" i="31"/>
  <c r="J224" i="31"/>
  <c r="A245" i="31"/>
  <c r="D245" i="31"/>
  <c r="E245" i="31"/>
  <c r="F245" i="31"/>
  <c r="G245" i="31"/>
  <c r="H245" i="31"/>
  <c r="I245" i="31"/>
  <c r="J245" i="31"/>
  <c r="A264" i="31"/>
  <c r="D264" i="31"/>
  <c r="E264" i="31"/>
  <c r="F264" i="31"/>
  <c r="G264" i="31"/>
  <c r="H264" i="31"/>
  <c r="I264" i="31"/>
  <c r="J264" i="31"/>
  <c r="A272" i="31"/>
  <c r="D272" i="31"/>
  <c r="E272" i="31"/>
  <c r="F272" i="31"/>
  <c r="G272" i="31"/>
  <c r="H272" i="31"/>
  <c r="I272" i="31"/>
  <c r="J272" i="31"/>
  <c r="A283" i="31"/>
  <c r="D283" i="31"/>
  <c r="E283" i="31"/>
  <c r="F283" i="31"/>
  <c r="G283" i="31"/>
  <c r="H283" i="31"/>
  <c r="I283" i="31"/>
  <c r="J283" i="31"/>
  <c r="A302" i="31"/>
  <c r="D302" i="31"/>
  <c r="E302" i="31"/>
  <c r="F302" i="31"/>
  <c r="G302" i="31"/>
  <c r="H302" i="31"/>
  <c r="I302" i="31"/>
  <c r="J302" i="31"/>
  <c r="A317" i="31"/>
  <c r="D317" i="31"/>
  <c r="E317" i="31"/>
  <c r="F317" i="31"/>
  <c r="G317" i="31"/>
  <c r="H317" i="31"/>
  <c r="I317" i="31"/>
  <c r="J317" i="31"/>
  <c r="A341" i="31"/>
  <c r="D341" i="31"/>
  <c r="E341" i="31"/>
  <c r="F341" i="31"/>
  <c r="G341" i="31"/>
  <c r="H341" i="31"/>
  <c r="I341" i="31"/>
  <c r="J341" i="31"/>
  <c r="A368" i="31"/>
  <c r="D368" i="31"/>
  <c r="E368" i="31"/>
  <c r="F368" i="31"/>
  <c r="G368" i="31"/>
  <c r="H368" i="31"/>
  <c r="I368" i="31"/>
  <c r="J368" i="31"/>
  <c r="A392" i="31"/>
  <c r="D392" i="31"/>
  <c r="E392" i="31"/>
  <c r="F392" i="31"/>
  <c r="G392" i="31"/>
  <c r="H392" i="31"/>
  <c r="I392" i="31"/>
  <c r="J392" i="31"/>
  <c r="A416" i="31"/>
  <c r="D416" i="31"/>
  <c r="E416" i="31"/>
  <c r="F416" i="31"/>
  <c r="G416" i="31"/>
  <c r="H416" i="31"/>
  <c r="I416" i="31"/>
  <c r="J416" i="31"/>
  <c r="A437" i="31"/>
  <c r="D437" i="31"/>
  <c r="F437" i="31"/>
  <c r="H437" i="31"/>
  <c r="I437" i="31"/>
  <c r="J437" i="31"/>
  <c r="A454" i="31"/>
  <c r="D454" i="31"/>
  <c r="F454" i="31"/>
  <c r="H454" i="31"/>
  <c r="I454" i="31"/>
  <c r="J454" i="31"/>
  <c r="A479" i="31"/>
  <c r="D479" i="31"/>
  <c r="F479" i="31"/>
  <c r="H479" i="31"/>
  <c r="I479" i="31"/>
  <c r="J479" i="31"/>
  <c r="A504" i="31"/>
  <c r="D504" i="31"/>
  <c r="F504" i="31"/>
  <c r="H504" i="31"/>
  <c r="I504" i="31"/>
  <c r="J504" i="31"/>
  <c r="A529" i="31"/>
  <c r="D529" i="31"/>
  <c r="F529" i="31"/>
  <c r="H529" i="31"/>
  <c r="I529" i="31"/>
  <c r="J529" i="31"/>
  <c r="A553" i="31"/>
  <c r="D553" i="31"/>
  <c r="F553" i="31"/>
  <c r="H553" i="31"/>
  <c r="I553" i="31"/>
  <c r="J553" i="31"/>
  <c r="A40" i="31"/>
  <c r="D40" i="31"/>
  <c r="F40" i="31"/>
  <c r="H40" i="31"/>
  <c r="I40" i="31"/>
  <c r="J40" i="31"/>
  <c r="A46" i="31"/>
  <c r="D46" i="31"/>
  <c r="F46" i="31"/>
  <c r="H46" i="31"/>
  <c r="I46" i="31"/>
  <c r="J46" i="31"/>
  <c r="A64" i="31"/>
  <c r="D64" i="31"/>
  <c r="F64" i="31"/>
  <c r="H64" i="31"/>
  <c r="I64" i="31"/>
  <c r="J64" i="31"/>
  <c r="A106" i="31"/>
  <c r="D106" i="31"/>
  <c r="F106" i="31"/>
  <c r="H106" i="31"/>
  <c r="I106" i="31"/>
  <c r="J106" i="31"/>
  <c r="A113" i="31"/>
  <c r="D113" i="31"/>
  <c r="F113" i="31"/>
  <c r="H113" i="31"/>
  <c r="I113" i="31"/>
  <c r="J113" i="31"/>
  <c r="A114" i="31"/>
  <c r="D114" i="31"/>
  <c r="F114" i="31"/>
  <c r="H114" i="31"/>
  <c r="I114" i="31"/>
  <c r="J114" i="31"/>
  <c r="A121" i="31"/>
  <c r="D121" i="31"/>
  <c r="F121" i="31"/>
  <c r="H121" i="31"/>
  <c r="I121" i="31"/>
  <c r="J121" i="31"/>
  <c r="A132" i="31"/>
  <c r="D132" i="31"/>
  <c r="F132" i="31"/>
  <c r="H132" i="31"/>
  <c r="I132" i="31"/>
  <c r="J132" i="31"/>
  <c r="A145" i="31"/>
  <c r="D145" i="31"/>
  <c r="F145" i="31"/>
  <c r="H145" i="31"/>
  <c r="I145" i="31"/>
  <c r="J145" i="31"/>
  <c r="A152" i="31"/>
  <c r="D152" i="31"/>
  <c r="F152" i="31"/>
  <c r="H152" i="31"/>
  <c r="I152" i="31"/>
  <c r="J152" i="31"/>
  <c r="A170" i="31"/>
  <c r="D170" i="31"/>
  <c r="F170" i="31"/>
  <c r="H170" i="31"/>
  <c r="I170" i="31"/>
  <c r="J170" i="31"/>
  <c r="A177" i="31"/>
  <c r="D177" i="31"/>
  <c r="F177" i="31"/>
  <c r="H177" i="31"/>
  <c r="I177" i="31"/>
  <c r="J177" i="31"/>
  <c r="A178" i="31"/>
  <c r="D178" i="31"/>
  <c r="F178" i="31"/>
  <c r="H178" i="31"/>
  <c r="I178" i="31"/>
  <c r="J178" i="31"/>
  <c r="A193" i="31"/>
  <c r="D193" i="31"/>
  <c r="F193" i="31"/>
  <c r="H193" i="31"/>
  <c r="I193" i="31"/>
  <c r="J193" i="31"/>
  <c r="A201" i="31"/>
  <c r="D201" i="31"/>
  <c r="F201" i="31"/>
  <c r="H201" i="31"/>
  <c r="I201" i="31"/>
  <c r="J201" i="31"/>
  <c r="A216" i="31"/>
  <c r="D216" i="31"/>
  <c r="F216" i="31"/>
  <c r="H216" i="31"/>
  <c r="I216" i="31"/>
  <c r="J216" i="31"/>
  <c r="A223" i="31"/>
  <c r="D223" i="31"/>
  <c r="F223" i="31"/>
  <c r="H223" i="31"/>
  <c r="I223" i="31"/>
  <c r="J223" i="31"/>
  <c r="A244" i="31"/>
  <c r="D244" i="31"/>
  <c r="F244" i="31"/>
  <c r="H244" i="31"/>
  <c r="I244" i="31"/>
  <c r="J244" i="31"/>
  <c r="A239" i="31"/>
  <c r="D239" i="31"/>
  <c r="F239" i="31"/>
  <c r="H239" i="31"/>
  <c r="I239" i="31"/>
  <c r="J239" i="31"/>
  <c r="A263" i="31"/>
  <c r="D263" i="31"/>
  <c r="F263" i="31"/>
  <c r="H263" i="31"/>
  <c r="I263" i="31"/>
  <c r="J263" i="31"/>
  <c r="A260" i="31"/>
  <c r="D260" i="31"/>
  <c r="F260" i="31"/>
  <c r="H260" i="31"/>
  <c r="I260" i="31"/>
  <c r="J260" i="31"/>
  <c r="A271" i="31"/>
  <c r="D271" i="31"/>
  <c r="F271" i="31"/>
  <c r="H271" i="31"/>
  <c r="I271" i="31"/>
  <c r="J271" i="31"/>
  <c r="A268" i="31"/>
  <c r="D268" i="31"/>
  <c r="F268" i="31"/>
  <c r="H268" i="31"/>
  <c r="I268" i="31"/>
  <c r="J268" i="31"/>
  <c r="A282" i="31"/>
  <c r="D282" i="31"/>
  <c r="F282" i="31"/>
  <c r="H282" i="31"/>
  <c r="I282" i="31"/>
  <c r="J282" i="31"/>
  <c r="A309" i="31"/>
  <c r="D309" i="31"/>
  <c r="E309" i="31"/>
  <c r="F309" i="31"/>
  <c r="G309" i="31"/>
  <c r="H309" i="31"/>
  <c r="I309" i="31"/>
  <c r="J309" i="31"/>
  <c r="A340" i="31"/>
  <c r="D340" i="31"/>
  <c r="E340" i="31"/>
  <c r="F340" i="31"/>
  <c r="G340" i="31"/>
  <c r="H340" i="31"/>
  <c r="I340" i="31"/>
  <c r="J340" i="31"/>
  <c r="A333" i="31"/>
  <c r="D333" i="31"/>
  <c r="E333" i="31"/>
  <c r="F333" i="31"/>
  <c r="G333" i="31"/>
  <c r="H333" i="31"/>
  <c r="I333" i="31"/>
  <c r="J333" i="31"/>
  <c r="A360" i="31"/>
  <c r="D360" i="31"/>
  <c r="E360" i="31"/>
  <c r="F360" i="31"/>
  <c r="G360" i="31"/>
  <c r="H360" i="31"/>
  <c r="I360" i="31"/>
  <c r="J360" i="31"/>
  <c r="A367" i="31"/>
  <c r="D367" i="31"/>
  <c r="E367" i="31"/>
  <c r="F367" i="31"/>
  <c r="G367" i="31"/>
  <c r="H367" i="31"/>
  <c r="I367" i="31"/>
  <c r="J367" i="31"/>
  <c r="A391" i="31"/>
  <c r="D391" i="31"/>
  <c r="E391" i="31"/>
  <c r="F391" i="31"/>
  <c r="G391" i="31"/>
  <c r="H391" i="31"/>
  <c r="I391" i="31"/>
  <c r="J391" i="31"/>
  <c r="A384" i="31"/>
  <c r="D384" i="31"/>
  <c r="E384" i="31"/>
  <c r="F384" i="31"/>
  <c r="G384" i="31"/>
  <c r="H384" i="31"/>
  <c r="I384" i="31"/>
  <c r="J384" i="31"/>
  <c r="A408" i="31"/>
  <c r="D408" i="31"/>
  <c r="E408" i="31"/>
  <c r="F408" i="31"/>
  <c r="G408" i="31"/>
  <c r="H408" i="31"/>
  <c r="I408" i="31"/>
  <c r="J408" i="31"/>
  <c r="A423" i="31"/>
  <c r="D423" i="31"/>
  <c r="F423" i="31"/>
  <c r="H423" i="31"/>
  <c r="I423" i="31"/>
  <c r="J423" i="31"/>
  <c r="A447" i="31"/>
  <c r="D447" i="31"/>
  <c r="F447" i="31"/>
  <c r="H447" i="31"/>
  <c r="I447" i="31"/>
  <c r="J447" i="31"/>
  <c r="A472" i="31"/>
  <c r="D472" i="31"/>
  <c r="E472" i="31"/>
  <c r="F472" i="31"/>
  <c r="G472" i="31"/>
  <c r="H472" i="31"/>
  <c r="I472" i="31"/>
  <c r="J472" i="31"/>
  <c r="A503" i="31"/>
  <c r="D503" i="31"/>
  <c r="E503" i="31"/>
  <c r="F503" i="31"/>
  <c r="G503" i="31"/>
  <c r="H503" i="31"/>
  <c r="I503" i="31"/>
  <c r="J503" i="31"/>
  <c r="A497" i="31"/>
  <c r="D497" i="31"/>
  <c r="E497" i="31"/>
  <c r="F497" i="31"/>
  <c r="G497" i="31"/>
  <c r="H497" i="31"/>
  <c r="I497" i="31"/>
  <c r="J497" i="31"/>
  <c r="A528" i="31"/>
  <c r="D528" i="31"/>
  <c r="E528" i="31"/>
  <c r="F528" i="31"/>
  <c r="G528" i="31"/>
  <c r="H528" i="31"/>
  <c r="I528" i="31"/>
  <c r="J528" i="31"/>
  <c r="A522" i="31"/>
  <c r="D522" i="31"/>
  <c r="F522" i="31"/>
  <c r="H522" i="31"/>
  <c r="I522" i="31"/>
  <c r="J522" i="31"/>
  <c r="A530" i="31"/>
  <c r="D530" i="31"/>
  <c r="F530" i="31"/>
  <c r="H530" i="31"/>
  <c r="I530" i="31"/>
  <c r="J530" i="31"/>
  <c r="A552" i="31"/>
  <c r="D552" i="31"/>
  <c r="F552" i="31"/>
  <c r="H552" i="31"/>
  <c r="I552" i="31"/>
  <c r="J552" i="31"/>
  <c r="A546" i="31"/>
  <c r="D546" i="31"/>
  <c r="F546" i="31"/>
  <c r="H546" i="31"/>
  <c r="I546" i="31"/>
  <c r="J546" i="31"/>
  <c r="A544" i="31"/>
  <c r="D544" i="31"/>
  <c r="F544" i="31"/>
  <c r="H544" i="31"/>
  <c r="I544" i="31"/>
  <c r="J544" i="31"/>
  <c r="A555" i="31"/>
  <c r="B555" i="31"/>
  <c r="D555" i="31"/>
  <c r="F555" i="31"/>
  <c r="H555" i="31"/>
  <c r="I555" i="31"/>
  <c r="J555" i="31"/>
  <c r="K555" i="31"/>
  <c r="A568" i="31"/>
  <c r="D568" i="31"/>
  <c r="F568" i="31"/>
  <c r="H568" i="31"/>
  <c r="I568" i="31"/>
  <c r="J568" i="31"/>
  <c r="A572" i="31"/>
  <c r="D572" i="31"/>
  <c r="F572" i="31"/>
  <c r="H572" i="31"/>
  <c r="I572" i="31"/>
  <c r="J572" i="31"/>
  <c r="A566" i="31"/>
  <c r="D566" i="31"/>
  <c r="F566" i="31"/>
  <c r="H566" i="31"/>
  <c r="I566" i="31"/>
  <c r="J566" i="31"/>
  <c r="A548" i="31"/>
  <c r="D548" i="31"/>
  <c r="F548" i="31"/>
  <c r="H548" i="31"/>
  <c r="I548" i="31"/>
  <c r="J548" i="31"/>
  <c r="A574" i="31"/>
  <c r="D574" i="31"/>
  <c r="F574" i="31"/>
  <c r="H574" i="31"/>
  <c r="I574" i="31"/>
  <c r="J574" i="31"/>
  <c r="A571" i="31"/>
  <c r="D571" i="31"/>
  <c r="F571" i="31"/>
  <c r="H571" i="31"/>
  <c r="I571" i="31"/>
  <c r="J571" i="31"/>
  <c r="A3" i="31"/>
  <c r="D3" i="31"/>
  <c r="E3" i="31"/>
  <c r="F3" i="31"/>
  <c r="G3" i="31"/>
  <c r="H3" i="31"/>
  <c r="I3" i="31"/>
  <c r="J3" i="31"/>
  <c r="A17" i="31"/>
  <c r="D17" i="31"/>
  <c r="E17" i="31"/>
  <c r="F17" i="31"/>
  <c r="G17" i="31"/>
  <c r="H17" i="31"/>
  <c r="I17" i="31"/>
  <c r="J17" i="31"/>
  <c r="A38" i="31"/>
  <c r="D38" i="31"/>
  <c r="E38" i="31"/>
  <c r="F38" i="31"/>
  <c r="G38" i="31"/>
  <c r="H38" i="31"/>
  <c r="I38" i="31"/>
  <c r="J38" i="31"/>
  <c r="A62" i="31"/>
  <c r="D62" i="31"/>
  <c r="E62" i="31"/>
  <c r="F62" i="31"/>
  <c r="G62" i="31"/>
  <c r="H62" i="31"/>
  <c r="I62" i="31"/>
  <c r="J62" i="31"/>
  <c r="A119" i="31"/>
  <c r="D119" i="31"/>
  <c r="E119" i="31"/>
  <c r="F119" i="31"/>
  <c r="G119" i="31"/>
  <c r="H119" i="31"/>
  <c r="I119" i="31"/>
  <c r="J119" i="31"/>
  <c r="A143" i="31"/>
  <c r="D143" i="31"/>
  <c r="E143" i="31"/>
  <c r="F143" i="31"/>
  <c r="G143" i="31"/>
  <c r="H143" i="31"/>
  <c r="I143" i="31"/>
  <c r="J143" i="31"/>
  <c r="A237" i="31"/>
  <c r="D237" i="31"/>
  <c r="E237" i="31"/>
  <c r="F237" i="31"/>
  <c r="G237" i="31"/>
  <c r="H237" i="31"/>
  <c r="I237" i="31"/>
  <c r="J237" i="31"/>
  <c r="A258" i="31"/>
  <c r="D258" i="31"/>
  <c r="E258" i="31"/>
  <c r="F258" i="31"/>
  <c r="G258" i="31"/>
  <c r="H258" i="31"/>
  <c r="I258" i="31"/>
  <c r="J258" i="31"/>
  <c r="A266" i="31"/>
  <c r="D266" i="31"/>
  <c r="E266" i="31"/>
  <c r="F266" i="31"/>
  <c r="G266" i="31"/>
  <c r="H266" i="31"/>
  <c r="I266" i="31"/>
  <c r="J266" i="31"/>
  <c r="A280" i="31"/>
  <c r="D280" i="31"/>
  <c r="E280" i="31"/>
  <c r="F280" i="31"/>
  <c r="G280" i="31"/>
  <c r="H280" i="31"/>
  <c r="I280" i="31"/>
  <c r="J280" i="31"/>
  <c r="A290" i="31"/>
  <c r="D290" i="31"/>
  <c r="E290" i="31"/>
  <c r="F290" i="31"/>
  <c r="G290" i="31"/>
  <c r="H290" i="31"/>
  <c r="I290" i="31"/>
  <c r="J290" i="31"/>
  <c r="A307" i="31"/>
  <c r="D307" i="31"/>
  <c r="E307" i="31"/>
  <c r="F307" i="31"/>
  <c r="G307" i="31"/>
  <c r="H307" i="31"/>
  <c r="I307" i="31"/>
  <c r="J307" i="31"/>
  <c r="A331" i="31"/>
  <c r="D331" i="31"/>
  <c r="E331" i="31"/>
  <c r="F331" i="31"/>
  <c r="G331" i="31"/>
  <c r="H331" i="31"/>
  <c r="I331" i="31"/>
  <c r="J331" i="31"/>
  <c r="A358" i="31"/>
  <c r="D358" i="31"/>
  <c r="E358" i="31"/>
  <c r="F358" i="31"/>
  <c r="G358" i="31"/>
  <c r="H358" i="31"/>
  <c r="I358" i="31"/>
  <c r="J358" i="31"/>
  <c r="A382" i="31"/>
  <c r="D382" i="31"/>
  <c r="E382" i="31"/>
  <c r="F382" i="31"/>
  <c r="G382" i="31"/>
  <c r="H382" i="31"/>
  <c r="I382" i="31"/>
  <c r="J382" i="31"/>
  <c r="A406" i="31"/>
  <c r="D406" i="31"/>
  <c r="E406" i="31"/>
  <c r="F406" i="31"/>
  <c r="G406" i="31"/>
  <c r="H406" i="31"/>
  <c r="I406" i="31"/>
  <c r="J406" i="31"/>
  <c r="A421" i="31"/>
  <c r="D421" i="31"/>
  <c r="F421" i="31"/>
  <c r="G421" i="31"/>
  <c r="H421" i="31"/>
  <c r="I421" i="31"/>
  <c r="J421" i="31"/>
  <c r="A445" i="31"/>
  <c r="D445" i="31"/>
  <c r="F445" i="31"/>
  <c r="H445" i="31"/>
  <c r="I445" i="31"/>
  <c r="J445" i="31"/>
  <c r="A470" i="31"/>
  <c r="D470" i="31"/>
  <c r="F470" i="31"/>
  <c r="H470" i="31"/>
  <c r="I470" i="31"/>
  <c r="J470" i="31"/>
  <c r="A495" i="31"/>
  <c r="D495" i="31"/>
  <c r="F495" i="31"/>
  <c r="H495" i="31"/>
  <c r="I495" i="31"/>
  <c r="J495" i="31"/>
  <c r="A520" i="31"/>
  <c r="D520" i="31"/>
  <c r="F520" i="31"/>
  <c r="G520" i="31"/>
  <c r="H520" i="31"/>
  <c r="I520" i="31"/>
  <c r="J520" i="31"/>
  <c r="A19" i="31"/>
  <c r="D19" i="31"/>
  <c r="F19" i="31"/>
  <c r="H19" i="31"/>
  <c r="I19" i="31"/>
  <c r="J19" i="31"/>
  <c r="A83" i="31"/>
  <c r="D83" i="31"/>
  <c r="F83" i="31"/>
  <c r="H83" i="31"/>
  <c r="I83" i="31"/>
  <c r="J83" i="31"/>
  <c r="A85" i="31"/>
  <c r="D85" i="31"/>
  <c r="F85" i="31"/>
  <c r="H85" i="31"/>
  <c r="I85" i="31"/>
  <c r="J85" i="31"/>
  <c r="A104" i="31"/>
  <c r="D104" i="31"/>
  <c r="F104" i="31"/>
  <c r="H104" i="31"/>
  <c r="I104" i="31"/>
  <c r="J104" i="31"/>
  <c r="A168" i="31"/>
  <c r="D168" i="31"/>
  <c r="F168" i="31"/>
  <c r="H168" i="31"/>
  <c r="I168" i="31"/>
  <c r="J168" i="31"/>
  <c r="A191" i="31"/>
  <c r="D191" i="31"/>
  <c r="F191" i="31"/>
  <c r="H191" i="31"/>
  <c r="I191" i="31"/>
  <c r="J191" i="31"/>
  <c r="A214" i="31"/>
  <c r="D214" i="31"/>
  <c r="F214" i="31"/>
  <c r="H214" i="31"/>
  <c r="I214" i="31"/>
  <c r="J214" i="31"/>
  <c r="A300" i="31"/>
  <c r="D300" i="31"/>
  <c r="F300" i="31"/>
  <c r="H300" i="31"/>
  <c r="I300" i="31"/>
  <c r="J300" i="31"/>
  <c r="A316" i="31"/>
  <c r="D316" i="31"/>
  <c r="F316" i="31"/>
  <c r="H316" i="31"/>
  <c r="I316" i="31"/>
  <c r="J316" i="31"/>
  <c r="A415" i="31"/>
  <c r="D415" i="31"/>
  <c r="E415" i="31"/>
  <c r="F415" i="31"/>
  <c r="G415" i="31"/>
  <c r="H415" i="31"/>
  <c r="I415" i="31"/>
  <c r="J415" i="31"/>
  <c r="A435" i="31"/>
  <c r="D435" i="31"/>
  <c r="E435" i="31"/>
  <c r="F435" i="31"/>
  <c r="G435" i="31"/>
  <c r="H435" i="31"/>
  <c r="I435" i="31"/>
  <c r="J435" i="31"/>
  <c r="A453" i="31"/>
  <c r="D453" i="31"/>
  <c r="E453" i="31"/>
  <c r="F453" i="31"/>
  <c r="G453" i="31"/>
  <c r="H453" i="31"/>
  <c r="I453" i="31"/>
  <c r="J453" i="31"/>
  <c r="A478" i="31"/>
  <c r="D478" i="31"/>
  <c r="E478" i="31"/>
  <c r="F478" i="31"/>
  <c r="G478" i="31"/>
  <c r="H478" i="31"/>
  <c r="I478" i="31"/>
  <c r="J478" i="31"/>
  <c r="A575" i="31"/>
  <c r="D575" i="31"/>
  <c r="F575" i="31"/>
  <c r="H575" i="31"/>
  <c r="I575" i="31"/>
  <c r="J575" i="31"/>
  <c r="A573" i="31"/>
  <c r="D573" i="31"/>
  <c r="F573" i="31"/>
  <c r="H573" i="31"/>
  <c r="I573" i="31"/>
  <c r="J573" i="31"/>
  <c r="A7" i="31"/>
  <c r="D7" i="31"/>
  <c r="F7" i="31"/>
  <c r="H7" i="31"/>
  <c r="I7" i="31"/>
  <c r="J7" i="31"/>
  <c r="A8" i="31"/>
  <c r="D8" i="31"/>
  <c r="F8" i="31"/>
  <c r="H8" i="31"/>
  <c r="I8" i="31"/>
  <c r="J8" i="31"/>
  <c r="A23" i="31"/>
  <c r="D23" i="31"/>
  <c r="F23" i="31"/>
  <c r="H23" i="31"/>
  <c r="I23" i="31"/>
  <c r="J23" i="31"/>
  <c r="A44" i="31"/>
  <c r="D44" i="31"/>
  <c r="F44" i="31"/>
  <c r="H44" i="31"/>
  <c r="I44" i="31"/>
  <c r="J44" i="31"/>
  <c r="A68" i="31"/>
  <c r="D68" i="31"/>
  <c r="F68" i="31"/>
  <c r="H68" i="31"/>
  <c r="I68" i="31"/>
  <c r="J68" i="31"/>
  <c r="A89" i="31"/>
  <c r="D89" i="31"/>
  <c r="F89" i="31"/>
  <c r="H89" i="31"/>
  <c r="I89" i="31"/>
  <c r="J89" i="31"/>
  <c r="A90" i="31"/>
  <c r="D90" i="31"/>
  <c r="F90" i="31"/>
  <c r="H90" i="31"/>
  <c r="I90" i="31"/>
  <c r="J90" i="31"/>
  <c r="A110" i="31"/>
  <c r="D110" i="31"/>
  <c r="F110" i="31"/>
  <c r="H110" i="31"/>
  <c r="I110" i="31"/>
  <c r="J110" i="31"/>
  <c r="A127" i="31"/>
  <c r="D127" i="31"/>
  <c r="F127" i="31"/>
  <c r="H127" i="31"/>
  <c r="I127" i="31"/>
  <c r="J127" i="31"/>
  <c r="A149" i="31"/>
  <c r="D149" i="31"/>
  <c r="F149" i="31"/>
  <c r="H149" i="31"/>
  <c r="I149" i="31"/>
  <c r="J149" i="31"/>
  <c r="A174" i="31"/>
  <c r="D174" i="31"/>
  <c r="F174" i="31"/>
  <c r="H174" i="31"/>
  <c r="I174" i="31"/>
  <c r="J174" i="31"/>
  <c r="A175" i="31"/>
  <c r="D175" i="31"/>
  <c r="F175" i="31"/>
  <c r="H175" i="31"/>
  <c r="I175" i="31"/>
  <c r="J175" i="31"/>
  <c r="A197" i="31"/>
  <c r="D197" i="31"/>
  <c r="F197" i="31"/>
  <c r="H197" i="31"/>
  <c r="I197" i="31"/>
  <c r="J197" i="31"/>
  <c r="A220" i="31"/>
  <c r="D220" i="31"/>
  <c r="F220" i="31"/>
  <c r="H220" i="31"/>
  <c r="I220" i="31"/>
  <c r="J220" i="31"/>
  <c r="A293" i="31"/>
  <c r="D293" i="31"/>
  <c r="E293" i="31"/>
  <c r="F293" i="31"/>
  <c r="H293" i="31"/>
  <c r="I293" i="31"/>
  <c r="J293" i="31"/>
  <c r="A296" i="31"/>
  <c r="D296" i="31"/>
  <c r="E296" i="31"/>
  <c r="F296" i="31"/>
  <c r="H296" i="31"/>
  <c r="I296" i="31"/>
  <c r="J296" i="31"/>
  <c r="A311" i="31"/>
  <c r="D311" i="31"/>
  <c r="E311" i="31"/>
  <c r="F311" i="31"/>
  <c r="H311" i="31"/>
  <c r="I311" i="31"/>
  <c r="J311" i="31"/>
  <c r="A314" i="31"/>
  <c r="D314" i="31"/>
  <c r="E314" i="31"/>
  <c r="F314" i="31"/>
  <c r="H314" i="31"/>
  <c r="I314" i="31"/>
  <c r="J314" i="31"/>
  <c r="A338" i="31"/>
  <c r="D338" i="31"/>
  <c r="E338" i="31"/>
  <c r="F338" i="31"/>
  <c r="H338" i="31"/>
  <c r="I338" i="31"/>
  <c r="J338" i="31"/>
  <c r="A365" i="31"/>
  <c r="D365" i="31"/>
  <c r="E365" i="31"/>
  <c r="F365" i="31"/>
  <c r="H365" i="31"/>
  <c r="I365" i="31"/>
  <c r="J365" i="31"/>
  <c r="A389" i="31"/>
  <c r="D389" i="31"/>
  <c r="F389" i="31"/>
  <c r="H389" i="31"/>
  <c r="I389" i="31"/>
  <c r="J389" i="31"/>
  <c r="A413" i="31"/>
  <c r="D413" i="31"/>
  <c r="F413" i="31"/>
  <c r="H413" i="31"/>
  <c r="I413" i="31"/>
  <c r="J413" i="31"/>
  <c r="A451" i="31"/>
  <c r="D451" i="31"/>
  <c r="F451" i="31"/>
  <c r="H451" i="31"/>
  <c r="I451" i="31"/>
  <c r="J451" i="31"/>
  <c r="A431" i="31"/>
  <c r="D431" i="31"/>
  <c r="F431" i="31"/>
  <c r="G431" i="31"/>
  <c r="H431" i="31"/>
  <c r="I431" i="31"/>
  <c r="J431" i="31"/>
  <c r="A476" i="31"/>
  <c r="D476" i="31"/>
  <c r="F476" i="31"/>
  <c r="H476" i="31"/>
  <c r="I476" i="31"/>
  <c r="J476" i="31"/>
  <c r="A526" i="31"/>
  <c r="D526" i="31"/>
  <c r="F526" i="31"/>
  <c r="H526" i="31"/>
  <c r="I526" i="31"/>
  <c r="J526" i="31"/>
  <c r="A550" i="31"/>
  <c r="D550" i="31"/>
  <c r="F550" i="31"/>
  <c r="H550" i="31"/>
  <c r="I550" i="31"/>
  <c r="J550" i="31"/>
  <c r="A501" i="31"/>
  <c r="D501" i="31"/>
  <c r="E501" i="31"/>
  <c r="F501" i="31"/>
  <c r="H501" i="31"/>
  <c r="I501" i="31"/>
  <c r="J501" i="31"/>
  <c r="A2" i="31"/>
  <c r="D2" i="31"/>
  <c r="F2" i="31"/>
  <c r="H2" i="31"/>
  <c r="I2" i="31"/>
  <c r="J2" i="31"/>
  <c r="A16" i="31"/>
  <c r="D16" i="31"/>
  <c r="F16" i="31"/>
  <c r="H16" i="31"/>
  <c r="I16" i="31"/>
  <c r="J16" i="31"/>
  <c r="A37" i="31"/>
  <c r="D37" i="31"/>
  <c r="E37" i="31"/>
  <c r="F37" i="31"/>
  <c r="G37" i="31"/>
  <c r="H37" i="31"/>
  <c r="I37" i="31"/>
  <c r="J37" i="31"/>
  <c r="A61" i="31"/>
  <c r="D61" i="31"/>
  <c r="F61" i="31"/>
  <c r="H61" i="31"/>
  <c r="I61" i="31"/>
  <c r="J61" i="31"/>
  <c r="A82" i="31"/>
  <c r="D82" i="31"/>
  <c r="F82" i="31"/>
  <c r="H82" i="31"/>
  <c r="I82" i="31"/>
  <c r="J82" i="31"/>
  <c r="A103" i="31"/>
  <c r="D103" i="31"/>
  <c r="E103" i="31"/>
  <c r="F103" i="31"/>
  <c r="G103" i="31"/>
  <c r="H103" i="31"/>
  <c r="I103" i="31"/>
  <c r="J103" i="31"/>
  <c r="A118" i="31"/>
  <c r="D118" i="31"/>
  <c r="E118" i="31"/>
  <c r="F118" i="31"/>
  <c r="G118" i="31"/>
  <c r="H118" i="31"/>
  <c r="I118" i="31"/>
  <c r="J118" i="31"/>
  <c r="A142" i="31"/>
  <c r="D142" i="31"/>
  <c r="F142" i="31"/>
  <c r="H142" i="31"/>
  <c r="I142" i="31"/>
  <c r="J142" i="31"/>
  <c r="A167" i="31"/>
  <c r="D167" i="31"/>
  <c r="F167" i="31"/>
  <c r="H167" i="31"/>
  <c r="I167" i="31"/>
  <c r="J167" i="31"/>
  <c r="A190" i="31"/>
  <c r="D190" i="31"/>
  <c r="E190" i="31"/>
  <c r="F190" i="31"/>
  <c r="G190" i="31"/>
  <c r="H190" i="31"/>
  <c r="I190" i="31"/>
  <c r="J190" i="31"/>
  <c r="A289" i="31"/>
  <c r="D289" i="31"/>
  <c r="E289" i="31"/>
  <c r="F289" i="31"/>
  <c r="G289" i="31"/>
  <c r="H289" i="31"/>
  <c r="I289" i="31"/>
  <c r="J289" i="31"/>
  <c r="A306" i="31"/>
  <c r="D306" i="31"/>
  <c r="E306" i="31"/>
  <c r="F306" i="31"/>
  <c r="G306" i="31"/>
  <c r="H306" i="31"/>
  <c r="I306" i="31"/>
  <c r="J306" i="31"/>
  <c r="A330" i="31"/>
  <c r="D330" i="31"/>
  <c r="E330" i="31"/>
  <c r="F330" i="31"/>
  <c r="G330" i="31"/>
  <c r="H330" i="31"/>
  <c r="I330" i="31"/>
  <c r="J330" i="31"/>
  <c r="A357" i="31"/>
  <c r="D357" i="31"/>
  <c r="E357" i="31"/>
  <c r="F357" i="31"/>
  <c r="G357" i="31"/>
  <c r="H357" i="31"/>
  <c r="I357" i="31"/>
  <c r="J357" i="31"/>
  <c r="A381" i="31"/>
  <c r="D381" i="31"/>
  <c r="E381" i="31"/>
  <c r="F381" i="31"/>
  <c r="G381" i="31"/>
  <c r="H381" i="31"/>
  <c r="I381" i="31"/>
  <c r="J381" i="31"/>
  <c r="A405" i="31"/>
  <c r="D405" i="31"/>
  <c r="E405" i="31"/>
  <c r="F405" i="31"/>
  <c r="G405" i="31"/>
  <c r="H405" i="31"/>
  <c r="I405" i="31"/>
  <c r="J405" i="31"/>
  <c r="A444" i="31"/>
  <c r="D444" i="31"/>
  <c r="F444" i="31"/>
  <c r="G444" i="31"/>
  <c r="H444" i="31"/>
  <c r="I444" i="31"/>
  <c r="J444" i="31"/>
  <c r="A469" i="31"/>
  <c r="D469" i="31"/>
  <c r="F469" i="31"/>
  <c r="H469" i="31"/>
  <c r="I469" i="31"/>
  <c r="J469" i="31"/>
  <c r="A494" i="31"/>
  <c r="D494" i="31"/>
  <c r="F494" i="31"/>
  <c r="H494" i="31"/>
  <c r="I494" i="31"/>
  <c r="J494" i="31"/>
  <c r="A519" i="31"/>
  <c r="D519" i="31"/>
  <c r="F519" i="31"/>
  <c r="H519" i="31"/>
  <c r="I519" i="31"/>
  <c r="J519" i="31"/>
  <c r="A543" i="31"/>
  <c r="D543" i="31"/>
  <c r="F543" i="31"/>
  <c r="G543" i="31"/>
  <c r="H543" i="31"/>
  <c r="I543" i="31"/>
  <c r="J543" i="31"/>
  <c r="A24" i="31"/>
  <c r="D24" i="31"/>
  <c r="F24" i="31"/>
  <c r="H24" i="31"/>
  <c r="I24" i="31"/>
  <c r="J24" i="31"/>
  <c r="A42" i="31"/>
  <c r="D42" i="31"/>
  <c r="F42" i="31"/>
  <c r="H42" i="31"/>
  <c r="I42" i="31"/>
  <c r="J42" i="31"/>
  <c r="A45" i="31"/>
  <c r="D45" i="31"/>
  <c r="F45" i="31"/>
  <c r="H45" i="31"/>
  <c r="I45" i="31"/>
  <c r="J45" i="31"/>
  <c r="A66" i="31"/>
  <c r="D66" i="31"/>
  <c r="F66" i="31"/>
  <c r="H66" i="31"/>
  <c r="I66" i="31"/>
  <c r="J66" i="31"/>
  <c r="A69" i="31"/>
  <c r="D69" i="31"/>
  <c r="F69" i="31"/>
  <c r="H69" i="31"/>
  <c r="I69" i="31"/>
  <c r="J69" i="31"/>
  <c r="A87" i="31"/>
  <c r="D87" i="31"/>
  <c r="F87" i="31"/>
  <c r="H87" i="31"/>
  <c r="I87" i="31"/>
  <c r="J87" i="31"/>
  <c r="A111" i="31"/>
  <c r="D111" i="31"/>
  <c r="F111" i="31"/>
  <c r="H111" i="31"/>
  <c r="I111" i="31"/>
  <c r="J111" i="31"/>
  <c r="A108" i="31"/>
  <c r="D108" i="31"/>
  <c r="F108" i="31"/>
  <c r="H108" i="31"/>
  <c r="I108" i="31"/>
  <c r="J108" i="31"/>
  <c r="A128" i="31"/>
  <c r="D128" i="31"/>
  <c r="F128" i="31"/>
  <c r="H128" i="31"/>
  <c r="I128" i="31"/>
  <c r="J128" i="31"/>
  <c r="A124" i="31"/>
  <c r="D124" i="31"/>
  <c r="F124" i="31"/>
  <c r="H124" i="31"/>
  <c r="I124" i="31"/>
  <c r="J124" i="31"/>
  <c r="A150" i="31"/>
  <c r="D150" i="31"/>
  <c r="F150" i="31"/>
  <c r="H150" i="31"/>
  <c r="I150" i="31"/>
  <c r="J150" i="31"/>
  <c r="A147" i="31"/>
  <c r="D147" i="31"/>
  <c r="F147" i="31"/>
  <c r="H147" i="31"/>
  <c r="I147" i="31"/>
  <c r="J147" i="31"/>
  <c r="A172" i="31"/>
  <c r="D172" i="31"/>
  <c r="F172" i="31"/>
  <c r="H172" i="31"/>
  <c r="I172" i="31"/>
  <c r="J172" i="31"/>
  <c r="A199" i="31"/>
  <c r="D199" i="31"/>
  <c r="F199" i="31"/>
  <c r="H199" i="31"/>
  <c r="I199" i="31"/>
  <c r="J199" i="31"/>
  <c r="A195" i="31"/>
  <c r="D195" i="31"/>
  <c r="F195" i="31"/>
  <c r="H195" i="31"/>
  <c r="I195" i="31"/>
  <c r="J195" i="31"/>
  <c r="A221" i="31"/>
  <c r="D221" i="31"/>
  <c r="F221" i="31"/>
  <c r="H221" i="31"/>
  <c r="I221" i="31"/>
  <c r="J221" i="31"/>
  <c r="A218" i="31"/>
  <c r="D218" i="31"/>
  <c r="F218" i="31"/>
  <c r="H218" i="31"/>
  <c r="I218" i="31"/>
  <c r="J218" i="31"/>
  <c r="A242" i="31"/>
  <c r="D242" i="31"/>
  <c r="F242" i="31"/>
  <c r="H242" i="31"/>
  <c r="I242" i="31"/>
  <c r="J242" i="31"/>
  <c r="A299" i="31"/>
  <c r="D299" i="31"/>
  <c r="F299" i="31"/>
  <c r="H299" i="31"/>
  <c r="I299" i="31"/>
  <c r="J299" i="31"/>
  <c r="A292" i="31"/>
  <c r="D292" i="31"/>
  <c r="F292" i="31"/>
  <c r="H292" i="31"/>
  <c r="I292" i="31"/>
  <c r="J292" i="31"/>
  <c r="A294" i="31"/>
  <c r="D294" i="31"/>
  <c r="F294" i="31"/>
  <c r="H294" i="31"/>
  <c r="I294" i="31"/>
  <c r="J294" i="31"/>
  <c r="A308" i="31"/>
  <c r="D308" i="31"/>
  <c r="F308" i="31"/>
  <c r="H308" i="31"/>
  <c r="I308" i="31"/>
  <c r="J308" i="31"/>
  <c r="A332" i="31"/>
  <c r="D332" i="31"/>
  <c r="F332" i="31"/>
  <c r="H332" i="31"/>
  <c r="I332" i="31"/>
  <c r="J332" i="31"/>
  <c r="A359" i="31"/>
  <c r="D359" i="31"/>
  <c r="F359" i="31"/>
  <c r="H359" i="31"/>
  <c r="I359" i="31"/>
  <c r="J359" i="31"/>
  <c r="A366" i="31"/>
  <c r="D366" i="31"/>
  <c r="F366" i="31"/>
  <c r="H366" i="31"/>
  <c r="I366" i="31"/>
  <c r="J366" i="31"/>
  <c r="A361" i="31"/>
  <c r="D361" i="31"/>
  <c r="F361" i="31"/>
  <c r="H361" i="31"/>
  <c r="I361" i="31"/>
  <c r="J361" i="31"/>
  <c r="A364" i="31"/>
  <c r="D364" i="31"/>
  <c r="F364" i="31"/>
  <c r="H364" i="31"/>
  <c r="I364" i="31"/>
  <c r="J364" i="31"/>
  <c r="A383" i="31"/>
  <c r="D383" i="31"/>
  <c r="F383" i="31"/>
  <c r="H383" i="31"/>
  <c r="I383" i="31"/>
  <c r="J383" i="31"/>
  <c r="A407" i="31"/>
  <c r="D407" i="31"/>
  <c r="F407" i="31"/>
  <c r="H407" i="31"/>
  <c r="I407" i="31"/>
  <c r="J407" i="31"/>
  <c r="A434" i="31"/>
  <c r="D434" i="31"/>
  <c r="F434" i="31"/>
  <c r="H434" i="31"/>
  <c r="I434" i="31"/>
  <c r="J434" i="31"/>
  <c r="A425" i="31"/>
  <c r="D425" i="31"/>
  <c r="F425" i="31"/>
  <c r="H425" i="31"/>
  <c r="I425" i="31"/>
  <c r="J425" i="31"/>
  <c r="A420" i="31"/>
  <c r="D420" i="31"/>
  <c r="F420" i="31"/>
  <c r="H420" i="31"/>
  <c r="I420" i="31"/>
  <c r="J420" i="31"/>
  <c r="A496" i="31"/>
  <c r="D496" i="31"/>
  <c r="F496" i="31"/>
  <c r="H496" i="31"/>
  <c r="I496" i="31"/>
  <c r="J496" i="31"/>
  <c r="A446" i="31"/>
  <c r="D446" i="31"/>
  <c r="F446" i="31"/>
  <c r="H446" i="31"/>
  <c r="I446" i="31"/>
  <c r="J446" i="31"/>
  <c r="A471" i="31"/>
  <c r="D471" i="31"/>
  <c r="F471" i="31"/>
  <c r="H471" i="31"/>
  <c r="I471" i="31"/>
  <c r="J471" i="31"/>
  <c r="A422" i="31"/>
  <c r="D422" i="31"/>
  <c r="F422" i="31"/>
  <c r="H422" i="31"/>
  <c r="I422" i="31"/>
  <c r="J422" i="31"/>
  <c r="A521" i="31"/>
  <c r="D521" i="31"/>
  <c r="E521" i="31"/>
  <c r="F521" i="31"/>
  <c r="G521" i="31"/>
  <c r="H521" i="31"/>
  <c r="I521" i="31"/>
  <c r="J521" i="31"/>
  <c r="A545" i="31"/>
  <c r="D545" i="31"/>
  <c r="E545" i="31"/>
  <c r="F545" i="31"/>
  <c r="G545" i="31"/>
  <c r="H545" i="31"/>
  <c r="I545" i="31"/>
  <c r="J545" i="31"/>
  <c r="A6" i="31"/>
  <c r="D6" i="31"/>
  <c r="E6" i="31"/>
  <c r="F6" i="31"/>
  <c r="G6" i="31"/>
  <c r="H6" i="31"/>
  <c r="I6" i="31"/>
  <c r="J6" i="31"/>
  <c r="A18" i="31"/>
  <c r="D18" i="31"/>
  <c r="E18" i="31"/>
  <c r="F18" i="31"/>
  <c r="G18" i="31"/>
  <c r="H18" i="31"/>
  <c r="I18" i="31"/>
  <c r="J18" i="31"/>
  <c r="A22" i="31"/>
  <c r="D22" i="31"/>
  <c r="F22" i="31"/>
  <c r="H22" i="31"/>
  <c r="I22" i="31"/>
  <c r="J22" i="31"/>
  <c r="A21" i="31"/>
  <c r="D21" i="31"/>
  <c r="E21" i="31"/>
  <c r="F21" i="31"/>
  <c r="G21" i="31"/>
  <c r="H21" i="31"/>
  <c r="I21" i="31"/>
  <c r="J21" i="31"/>
  <c r="A39" i="31"/>
  <c r="D39" i="31"/>
  <c r="E39" i="31"/>
  <c r="F39" i="31"/>
  <c r="H39" i="31"/>
  <c r="I39" i="31"/>
  <c r="J39" i="31"/>
  <c r="A43" i="31"/>
  <c r="D43" i="31"/>
  <c r="F43" i="31"/>
  <c r="H43" i="31"/>
  <c r="I43" i="31"/>
  <c r="J43" i="31"/>
  <c r="A63" i="31"/>
  <c r="D63" i="31"/>
  <c r="E63" i="31"/>
  <c r="F63" i="31"/>
  <c r="G63" i="31"/>
  <c r="H63" i="31"/>
  <c r="I63" i="31"/>
  <c r="J63" i="31"/>
  <c r="A67" i="31"/>
  <c r="D67" i="31"/>
  <c r="F67" i="31"/>
  <c r="G67" i="31"/>
  <c r="H67" i="31"/>
  <c r="I67" i="31"/>
  <c r="J67" i="31"/>
  <c r="A84" i="31"/>
  <c r="D84" i="31"/>
  <c r="E84" i="31"/>
  <c r="F84" i="31"/>
  <c r="G84" i="31"/>
  <c r="H84" i="31"/>
  <c r="I84" i="31"/>
  <c r="J84" i="31"/>
  <c r="A88" i="31"/>
  <c r="D88" i="31"/>
  <c r="E88" i="31"/>
  <c r="F88" i="31"/>
  <c r="G88" i="31"/>
  <c r="H88" i="31"/>
  <c r="I88" i="31"/>
  <c r="J88" i="31"/>
  <c r="A105" i="31"/>
  <c r="D105" i="31"/>
  <c r="E105" i="31"/>
  <c r="F105" i="31"/>
  <c r="G105" i="31"/>
  <c r="H105" i="31"/>
  <c r="I105" i="31"/>
  <c r="J105" i="31"/>
  <c r="A109" i="31"/>
  <c r="D109" i="31"/>
  <c r="E109" i="31"/>
  <c r="F109" i="31"/>
  <c r="G109" i="31"/>
  <c r="H109" i="31"/>
  <c r="I109" i="31"/>
  <c r="J109" i="31"/>
  <c r="A120" i="31"/>
  <c r="D120" i="31"/>
  <c r="E120" i="31"/>
  <c r="F120" i="31"/>
  <c r="G120" i="31"/>
  <c r="H120" i="31"/>
  <c r="I120" i="31"/>
  <c r="J120" i="31"/>
  <c r="A126" i="31"/>
  <c r="D126" i="31"/>
  <c r="F126" i="31"/>
  <c r="H126" i="31"/>
  <c r="I126" i="31"/>
  <c r="J126" i="31"/>
  <c r="A144" i="31"/>
  <c r="D144" i="31"/>
  <c r="E144" i="31"/>
  <c r="F144" i="31"/>
  <c r="H144" i="31"/>
  <c r="I144" i="31"/>
  <c r="J144" i="31"/>
  <c r="A148" i="31"/>
  <c r="D148" i="31"/>
  <c r="F148" i="31"/>
  <c r="H148" i="31"/>
  <c r="I148" i="31"/>
  <c r="J148" i="31"/>
  <c r="A169" i="31"/>
  <c r="D169" i="31"/>
  <c r="E169" i="31"/>
  <c r="F169" i="31"/>
  <c r="G169" i="31"/>
  <c r="H169" i="31"/>
  <c r="I169" i="31"/>
  <c r="J169" i="31"/>
  <c r="A173" i="31"/>
  <c r="D173" i="31"/>
  <c r="E173" i="31"/>
  <c r="F173" i="31"/>
  <c r="H173" i="31"/>
  <c r="I173" i="31"/>
  <c r="J173" i="31"/>
  <c r="A192" i="31"/>
  <c r="D192" i="31"/>
  <c r="E192" i="31"/>
  <c r="F192" i="31"/>
  <c r="H192" i="31"/>
  <c r="I192" i="31"/>
  <c r="J192" i="31"/>
  <c r="A196" i="31"/>
  <c r="D196" i="31"/>
  <c r="F196" i="31"/>
  <c r="H196" i="31"/>
  <c r="I196" i="31"/>
  <c r="J196" i="31"/>
  <c r="A215" i="31"/>
  <c r="D215" i="31"/>
  <c r="E215" i="31"/>
  <c r="F215" i="31"/>
  <c r="H215" i="31"/>
  <c r="I215" i="31"/>
  <c r="J215" i="31"/>
  <c r="A219" i="31"/>
  <c r="D219" i="31"/>
  <c r="F219" i="31"/>
  <c r="H219" i="31"/>
  <c r="I219" i="31"/>
  <c r="J219" i="31"/>
  <c r="A238" i="31"/>
  <c r="D238" i="31"/>
  <c r="E238" i="31"/>
  <c r="F238" i="31"/>
  <c r="G238" i="31"/>
  <c r="H238" i="31"/>
  <c r="I238" i="31"/>
  <c r="J238" i="31"/>
  <c r="A241" i="31"/>
  <c r="D241" i="31"/>
  <c r="E241" i="31"/>
  <c r="F241" i="31"/>
  <c r="G241" i="31"/>
  <c r="H241" i="31"/>
  <c r="I241" i="31"/>
  <c r="J241" i="31"/>
  <c r="A259" i="31"/>
  <c r="D259" i="31"/>
  <c r="E259" i="31"/>
  <c r="F259" i="31"/>
  <c r="G259" i="31"/>
  <c r="H259" i="31"/>
  <c r="I259" i="31"/>
  <c r="J259" i="31"/>
  <c r="A267" i="31"/>
  <c r="D267" i="31"/>
  <c r="E267" i="31"/>
  <c r="F267" i="31"/>
  <c r="G267" i="31"/>
  <c r="H267" i="31"/>
  <c r="I267" i="31"/>
  <c r="J267" i="31"/>
  <c r="A312" i="31"/>
  <c r="D312" i="31"/>
  <c r="F312" i="31"/>
  <c r="H312" i="31"/>
  <c r="I312" i="31"/>
  <c r="J312" i="31"/>
  <c r="A313" i="31"/>
  <c r="D313" i="31"/>
  <c r="E313" i="31"/>
  <c r="F313" i="31"/>
  <c r="G313" i="31"/>
  <c r="H313" i="31"/>
  <c r="I313" i="31"/>
  <c r="J313" i="31"/>
  <c r="A336" i="31"/>
  <c r="D336" i="31"/>
  <c r="F336" i="31"/>
  <c r="H336" i="31"/>
  <c r="I336" i="31"/>
  <c r="J336" i="31"/>
  <c r="A335" i="31"/>
  <c r="D335" i="31"/>
  <c r="F335" i="31"/>
  <c r="H335" i="31"/>
  <c r="I335" i="31"/>
  <c r="J335" i="31"/>
  <c r="A337" i="31"/>
  <c r="D337" i="31"/>
  <c r="F337" i="31"/>
  <c r="H337" i="31"/>
  <c r="I337" i="31"/>
  <c r="J337" i="31"/>
  <c r="A363" i="31"/>
  <c r="D363" i="31"/>
  <c r="F363" i="31"/>
  <c r="H363" i="31"/>
  <c r="I363" i="31"/>
  <c r="J363" i="31"/>
  <c r="A362" i="31"/>
  <c r="D362" i="31"/>
  <c r="F362" i="31"/>
  <c r="H362" i="31"/>
  <c r="I362" i="31"/>
  <c r="J362" i="31"/>
  <c r="A387" i="31"/>
  <c r="D387" i="31"/>
  <c r="F387" i="31"/>
  <c r="H387" i="31"/>
  <c r="I387" i="31"/>
  <c r="J387" i="31"/>
  <c r="A386" i="31"/>
  <c r="D386" i="31"/>
  <c r="F386" i="31"/>
  <c r="H386" i="31"/>
  <c r="I386" i="31"/>
  <c r="J386" i="31"/>
  <c r="A388" i="31"/>
  <c r="D388" i="31"/>
  <c r="F388" i="31"/>
  <c r="G388" i="31"/>
  <c r="H388" i="31"/>
  <c r="I388" i="31"/>
  <c r="J388" i="31"/>
  <c r="A410" i="31"/>
  <c r="D410" i="31"/>
  <c r="F410" i="31"/>
  <c r="H410" i="31"/>
  <c r="I410" i="31"/>
  <c r="J410" i="31"/>
  <c r="A411" i="31"/>
  <c r="D411" i="31"/>
  <c r="F411" i="31"/>
  <c r="H411" i="31"/>
  <c r="I411" i="31"/>
  <c r="J411" i="31"/>
  <c r="A412" i="31"/>
  <c r="D412" i="31"/>
  <c r="F412" i="31"/>
  <c r="H412" i="31"/>
  <c r="I412" i="31"/>
  <c r="J412" i="31"/>
  <c r="A428" i="31"/>
  <c r="D428" i="31"/>
  <c r="F428" i="31"/>
  <c r="H428" i="31"/>
  <c r="I428" i="31"/>
  <c r="J428" i="31"/>
  <c r="A429" i="31"/>
  <c r="D429" i="31"/>
  <c r="E429" i="31"/>
  <c r="F429" i="31"/>
  <c r="H429" i="31"/>
  <c r="I429" i="31"/>
  <c r="J429" i="31"/>
  <c r="A449" i="31"/>
  <c r="D449" i="31"/>
  <c r="F449" i="31"/>
  <c r="H449" i="31"/>
  <c r="I449" i="31"/>
  <c r="J449" i="31"/>
  <c r="A450" i="31"/>
  <c r="D450" i="31"/>
  <c r="F450" i="31"/>
  <c r="H450" i="31"/>
  <c r="I450" i="31"/>
  <c r="J450" i="31"/>
  <c r="A474" i="31"/>
  <c r="D474" i="31"/>
  <c r="F474" i="31"/>
  <c r="H474" i="31"/>
  <c r="I474" i="31"/>
  <c r="J474" i="31"/>
  <c r="A475" i="31"/>
  <c r="D475" i="31"/>
  <c r="F475" i="31"/>
  <c r="H475" i="31"/>
  <c r="I475" i="31"/>
  <c r="J475" i="31"/>
  <c r="A493" i="31"/>
  <c r="D493" i="31"/>
  <c r="F493" i="31"/>
  <c r="H493" i="31"/>
  <c r="I493" i="31"/>
  <c r="J493" i="31"/>
  <c r="A499" i="31"/>
  <c r="D499" i="31"/>
  <c r="F499" i="31"/>
  <c r="H499" i="31"/>
  <c r="I499" i="31"/>
  <c r="J499" i="31"/>
  <c r="A500" i="31"/>
  <c r="D500" i="31"/>
  <c r="F500" i="31"/>
  <c r="H500" i="31"/>
  <c r="I500" i="31"/>
  <c r="J500" i="31"/>
  <c r="A508" i="31"/>
  <c r="D508" i="31"/>
  <c r="F508" i="31"/>
  <c r="H508" i="31"/>
  <c r="I508" i="31"/>
  <c r="J508" i="31"/>
  <c r="A524" i="31"/>
  <c r="D524" i="31"/>
  <c r="F524" i="31"/>
  <c r="H524" i="31"/>
  <c r="I524" i="31"/>
  <c r="J524" i="31"/>
  <c r="A525" i="31"/>
  <c r="D525" i="31"/>
  <c r="F525" i="31"/>
  <c r="G525" i="31"/>
  <c r="H525" i="31"/>
  <c r="I525" i="31"/>
  <c r="J525" i="31"/>
  <c r="A532" i="31"/>
  <c r="D532" i="31"/>
  <c r="F532" i="31"/>
  <c r="H532" i="31"/>
  <c r="I532" i="31"/>
  <c r="J532" i="31"/>
  <c r="A549" i="31"/>
  <c r="D549" i="31"/>
  <c r="F549" i="31"/>
  <c r="H549" i="31"/>
  <c r="I549" i="31"/>
  <c r="J549" i="31"/>
  <c r="A556" i="31"/>
  <c r="D556" i="31"/>
  <c r="F556" i="31"/>
  <c r="H556" i="31"/>
  <c r="I556" i="31"/>
  <c r="J556" i="31"/>
  <c r="A5" i="31"/>
  <c r="D5" i="31"/>
  <c r="F5" i="31"/>
  <c r="H5" i="31"/>
  <c r="I5" i="31"/>
  <c r="J5" i="31"/>
  <c r="A20" i="31"/>
  <c r="D20" i="31"/>
  <c r="F20" i="31"/>
  <c r="H20" i="31"/>
  <c r="I20" i="31"/>
  <c r="J20" i="31"/>
  <c r="A41" i="31"/>
  <c r="D41" i="31"/>
  <c r="E41" i="31"/>
  <c r="F41" i="31"/>
  <c r="G41" i="31"/>
  <c r="H41" i="31"/>
  <c r="I41" i="31"/>
  <c r="J41" i="31"/>
  <c r="A65" i="31"/>
  <c r="D65" i="31"/>
  <c r="E65" i="31"/>
  <c r="F65" i="31"/>
  <c r="G65" i="31"/>
  <c r="H65" i="31"/>
  <c r="I65" i="31"/>
  <c r="J65" i="31"/>
  <c r="A86" i="31"/>
  <c r="D86" i="31"/>
  <c r="E86" i="31"/>
  <c r="F86" i="31"/>
  <c r="G86" i="31"/>
  <c r="H86" i="31"/>
  <c r="I86" i="31"/>
  <c r="J86" i="31"/>
  <c r="A107" i="31"/>
  <c r="D107" i="31"/>
  <c r="E107" i="31"/>
  <c r="F107" i="31"/>
  <c r="G107" i="31"/>
  <c r="H107" i="31"/>
  <c r="I107" i="31"/>
  <c r="J107" i="31"/>
  <c r="A112" i="31"/>
  <c r="D112" i="31"/>
  <c r="E112" i="31"/>
  <c r="F112" i="31"/>
  <c r="G112" i="31"/>
  <c r="H112" i="31"/>
  <c r="I112" i="31"/>
  <c r="J112" i="31"/>
  <c r="A123" i="31"/>
  <c r="D123" i="31"/>
  <c r="E123" i="31"/>
  <c r="F123" i="31"/>
  <c r="G123" i="31"/>
  <c r="H123" i="31"/>
  <c r="I123" i="31"/>
  <c r="J123" i="31"/>
  <c r="A131" i="31"/>
  <c r="D131" i="31"/>
  <c r="F131" i="31"/>
  <c r="H131" i="31"/>
  <c r="I131" i="31"/>
  <c r="J131" i="31"/>
  <c r="A146" i="31"/>
  <c r="D146" i="31"/>
  <c r="E146" i="31"/>
  <c r="F146" i="31"/>
  <c r="G146" i="31"/>
  <c r="H146" i="31"/>
  <c r="I146" i="31"/>
  <c r="J146" i="31"/>
  <c r="A151" i="31"/>
  <c r="D151" i="31"/>
  <c r="F151" i="31"/>
  <c r="H151" i="31"/>
  <c r="I151" i="31"/>
  <c r="J151" i="31"/>
  <c r="A171" i="31"/>
  <c r="D171" i="31"/>
  <c r="E171" i="31"/>
  <c r="F171" i="31"/>
  <c r="H171" i="31"/>
  <c r="I171" i="31"/>
  <c r="J171" i="31"/>
  <c r="A176" i="31"/>
  <c r="D176" i="31"/>
  <c r="F176" i="31"/>
  <c r="G176" i="31"/>
  <c r="H176" i="31"/>
  <c r="I176" i="31"/>
  <c r="J176" i="31"/>
  <c r="A194" i="31"/>
  <c r="D194" i="31"/>
  <c r="E194" i="31"/>
  <c r="F194" i="31"/>
  <c r="H194" i="31"/>
  <c r="I194" i="31"/>
  <c r="J194" i="31"/>
  <c r="A200" i="31"/>
  <c r="D200" i="31"/>
  <c r="F200" i="31"/>
  <c r="H200" i="31"/>
  <c r="I200" i="31"/>
  <c r="J200" i="31"/>
  <c r="A217" i="31"/>
  <c r="D217" i="31"/>
  <c r="F217" i="31"/>
  <c r="H217" i="31"/>
  <c r="I217" i="31"/>
  <c r="J217" i="31"/>
  <c r="A222" i="31"/>
  <c r="D222" i="31"/>
  <c r="F222" i="31"/>
  <c r="H222" i="31"/>
  <c r="I222" i="31"/>
  <c r="J222" i="31"/>
  <c r="A240" i="31"/>
  <c r="D240" i="31"/>
  <c r="E240" i="31"/>
  <c r="F240" i="31"/>
  <c r="G240" i="31"/>
  <c r="H240" i="31"/>
  <c r="I240" i="31"/>
  <c r="J240" i="31"/>
  <c r="A243" i="31"/>
  <c r="D243" i="31"/>
  <c r="E243" i="31"/>
  <c r="F243" i="31"/>
  <c r="H243" i="31"/>
  <c r="I243" i="31"/>
  <c r="J243" i="31"/>
  <c r="A262" i="31"/>
  <c r="D262" i="31"/>
  <c r="F262" i="31"/>
  <c r="H262" i="31"/>
  <c r="I262" i="31"/>
  <c r="J262" i="31"/>
  <c r="A261" i="31"/>
  <c r="D261" i="31"/>
  <c r="F261" i="31"/>
  <c r="H261" i="31"/>
  <c r="I261" i="31"/>
  <c r="J261" i="31"/>
  <c r="A270" i="31"/>
  <c r="D270" i="31"/>
  <c r="F270" i="31"/>
  <c r="H270" i="31"/>
  <c r="I270" i="31"/>
  <c r="J270" i="31"/>
  <c r="A269" i="31"/>
  <c r="D269" i="31"/>
  <c r="F269" i="31"/>
  <c r="H269" i="31"/>
  <c r="I269" i="31"/>
  <c r="J269" i="31"/>
  <c r="A281" i="31"/>
  <c r="D281" i="31"/>
  <c r="F281" i="31"/>
  <c r="H281" i="31"/>
  <c r="I281" i="31"/>
  <c r="J281" i="31"/>
  <c r="A310" i="31"/>
  <c r="D310" i="31"/>
  <c r="F310" i="31"/>
  <c r="H310" i="31"/>
  <c r="I310" i="31"/>
  <c r="J310" i="31"/>
  <c r="A315" i="31"/>
  <c r="D315" i="31"/>
  <c r="F315" i="31"/>
  <c r="H315" i="31"/>
  <c r="I315" i="31"/>
  <c r="J315" i="31"/>
  <c r="A334" i="31"/>
  <c r="D334" i="31"/>
  <c r="F334" i="31"/>
  <c r="H334" i="31"/>
  <c r="I334" i="31"/>
  <c r="J334" i="31"/>
  <c r="A339" i="31"/>
  <c r="D339" i="31"/>
  <c r="F339" i="31"/>
  <c r="H339" i="31"/>
  <c r="I339" i="31"/>
  <c r="J339" i="31"/>
  <c r="A385" i="31"/>
  <c r="D385" i="31"/>
  <c r="F385" i="31"/>
  <c r="H385" i="31"/>
  <c r="I385" i="31"/>
  <c r="J385" i="31"/>
  <c r="A390" i="31"/>
  <c r="D390" i="31"/>
  <c r="F390" i="31"/>
  <c r="H390" i="31"/>
  <c r="I390" i="31"/>
  <c r="J390" i="31"/>
  <c r="A409" i="31"/>
  <c r="D409" i="31"/>
  <c r="F409" i="31"/>
  <c r="H409" i="31"/>
  <c r="I409" i="31"/>
  <c r="J409" i="31"/>
  <c r="A414" i="31"/>
  <c r="D414" i="31"/>
  <c r="F414" i="31"/>
  <c r="H414" i="31"/>
  <c r="I414" i="31"/>
  <c r="J414" i="31"/>
  <c r="A448" i="31"/>
  <c r="D448" i="31"/>
  <c r="F448" i="31"/>
  <c r="H448" i="31"/>
  <c r="I448" i="31"/>
  <c r="J448" i="31"/>
  <c r="A452" i="31"/>
  <c r="D452" i="31"/>
  <c r="F452" i="31"/>
  <c r="H452" i="31"/>
  <c r="I452" i="31"/>
  <c r="J452" i="31"/>
  <c r="A473" i="31"/>
  <c r="D473" i="31"/>
  <c r="F473" i="31"/>
  <c r="H473" i="31"/>
  <c r="I473" i="31"/>
  <c r="J473" i="31"/>
  <c r="A477" i="31"/>
  <c r="D477" i="31"/>
  <c r="F477" i="31"/>
  <c r="H477" i="31"/>
  <c r="I477" i="31"/>
  <c r="J477" i="31"/>
  <c r="A498" i="31"/>
  <c r="D498" i="31"/>
  <c r="F498" i="31"/>
  <c r="H498" i="31"/>
  <c r="I498" i="31"/>
  <c r="J498" i="31"/>
  <c r="A502" i="31"/>
  <c r="D502" i="31"/>
  <c r="F502" i="31"/>
  <c r="H502" i="31"/>
  <c r="I502" i="31"/>
  <c r="J502" i="31"/>
  <c r="A527" i="31"/>
  <c r="D527" i="31"/>
  <c r="F527" i="31"/>
  <c r="H527" i="31"/>
  <c r="I527" i="31"/>
  <c r="J527" i="31"/>
  <c r="A523" i="31"/>
  <c r="D523" i="31"/>
  <c r="E523" i="31"/>
  <c r="F523" i="31"/>
  <c r="G523" i="31"/>
  <c r="H523" i="31"/>
  <c r="I523" i="31"/>
  <c r="J523" i="31"/>
  <c r="A547" i="31"/>
  <c r="D547" i="31"/>
  <c r="E547" i="31"/>
  <c r="F547" i="31"/>
  <c r="G547" i="31"/>
  <c r="H547" i="31"/>
  <c r="I547" i="31"/>
  <c r="J547" i="31"/>
  <c r="A551" i="31"/>
  <c r="D551" i="31"/>
  <c r="F551" i="31"/>
  <c r="H551" i="31"/>
  <c r="I551" i="31"/>
  <c r="J551" i="31"/>
  <c r="A569" i="31"/>
  <c r="D569" i="31"/>
  <c r="E569" i="31"/>
  <c r="F569" i="31"/>
  <c r="G569" i="31"/>
  <c r="H569" i="31"/>
  <c r="I569" i="31"/>
  <c r="J569" i="31"/>
  <c r="A10" i="31"/>
  <c r="D10" i="31"/>
  <c r="F10" i="31"/>
  <c r="H10" i="31"/>
  <c r="I10" i="31"/>
  <c r="J10" i="31"/>
  <c r="A15" i="31"/>
  <c r="D15" i="31"/>
  <c r="F15" i="31"/>
  <c r="H15" i="31"/>
  <c r="I15" i="31"/>
  <c r="J15" i="31"/>
  <c r="A27" i="31"/>
  <c r="D27" i="31"/>
  <c r="E27" i="31"/>
  <c r="F27" i="31"/>
  <c r="G27" i="31"/>
  <c r="H27" i="31"/>
  <c r="I27" i="31"/>
  <c r="J27" i="31"/>
  <c r="A33" i="31"/>
  <c r="D33" i="31"/>
  <c r="F33" i="31"/>
  <c r="H33" i="31"/>
  <c r="I33" i="31"/>
  <c r="J33" i="31"/>
  <c r="A51" i="31"/>
  <c r="D51" i="31"/>
  <c r="E51" i="31"/>
  <c r="F51" i="31"/>
  <c r="G51" i="31"/>
  <c r="H51" i="31"/>
  <c r="I51" i="31"/>
  <c r="J51" i="31"/>
  <c r="A57" i="31"/>
  <c r="D57" i="31"/>
  <c r="F57" i="31"/>
  <c r="H57" i="31"/>
  <c r="I57" i="31"/>
  <c r="J57" i="31"/>
  <c r="A72" i="31"/>
  <c r="D72" i="31"/>
  <c r="E72" i="31"/>
  <c r="F72" i="31"/>
  <c r="G72" i="31"/>
  <c r="H72" i="31"/>
  <c r="I72" i="31"/>
  <c r="J72" i="31"/>
  <c r="A74" i="31"/>
  <c r="D74" i="31"/>
  <c r="F74" i="31"/>
  <c r="H74" i="31"/>
  <c r="I74" i="31"/>
  <c r="J74" i="31"/>
  <c r="A78" i="31"/>
  <c r="D78" i="31"/>
  <c r="F78" i="31"/>
  <c r="H78" i="31"/>
  <c r="I78" i="31"/>
  <c r="J78" i="31"/>
  <c r="A95" i="31"/>
  <c r="D95" i="31"/>
  <c r="E95" i="31"/>
  <c r="F95" i="31"/>
  <c r="G95" i="31"/>
  <c r="H95" i="31"/>
  <c r="I95" i="31"/>
  <c r="J95" i="31"/>
  <c r="A125" i="31"/>
  <c r="D125" i="31"/>
  <c r="F125" i="31"/>
  <c r="H125" i="31"/>
  <c r="I125" i="31"/>
  <c r="J125" i="31"/>
  <c r="A158" i="31"/>
  <c r="D158" i="31"/>
  <c r="F158" i="31"/>
  <c r="H158" i="31"/>
  <c r="I158" i="31"/>
  <c r="J158" i="31"/>
  <c r="A155" i="31"/>
  <c r="D155" i="31"/>
  <c r="E155" i="31"/>
  <c r="F155" i="31"/>
  <c r="G155" i="31"/>
  <c r="H155" i="31"/>
  <c r="I155" i="31"/>
  <c r="J155" i="31"/>
  <c r="A156" i="31"/>
  <c r="D156" i="31"/>
  <c r="F156" i="31"/>
  <c r="H156" i="31"/>
  <c r="I156" i="31"/>
  <c r="J156" i="31"/>
  <c r="A181" i="31"/>
  <c r="D181" i="31"/>
  <c r="E181" i="31"/>
  <c r="F181" i="31"/>
  <c r="G181" i="31"/>
  <c r="H181" i="31"/>
  <c r="I181" i="31"/>
  <c r="J181" i="31"/>
  <c r="A182" i="31"/>
  <c r="D182" i="31"/>
  <c r="F182" i="31"/>
  <c r="H182" i="31"/>
  <c r="I182" i="31"/>
  <c r="J182" i="31"/>
  <c r="A206" i="31"/>
  <c r="D206" i="31"/>
  <c r="F206" i="31"/>
  <c r="H206" i="31"/>
  <c r="I206" i="31"/>
  <c r="J206" i="31"/>
  <c r="A207" i="31"/>
  <c r="D207" i="31"/>
  <c r="F207" i="31"/>
  <c r="H207" i="31"/>
  <c r="I207" i="31"/>
  <c r="J207" i="31"/>
  <c r="A229" i="31"/>
  <c r="D229" i="31"/>
  <c r="F229" i="31"/>
  <c r="H229" i="31"/>
  <c r="I229" i="31"/>
  <c r="J229" i="31"/>
  <c r="A230" i="31"/>
  <c r="D230" i="31"/>
  <c r="F230" i="31"/>
  <c r="H230" i="31"/>
  <c r="I230" i="31"/>
  <c r="J230" i="31"/>
  <c r="A250" i="31"/>
  <c r="D250" i="31"/>
  <c r="F250" i="31"/>
  <c r="H250" i="31"/>
  <c r="I250" i="31"/>
  <c r="J250" i="31"/>
  <c r="A251" i="31"/>
  <c r="D251" i="31"/>
  <c r="F251" i="31"/>
  <c r="H251" i="31"/>
  <c r="I251" i="31"/>
  <c r="J251" i="31"/>
  <c r="A274" i="31"/>
  <c r="D274" i="31"/>
  <c r="F274" i="31"/>
  <c r="H274" i="31"/>
  <c r="I274" i="31"/>
  <c r="J274" i="31"/>
  <c r="A284" i="31"/>
  <c r="D284" i="31"/>
  <c r="F284" i="31"/>
  <c r="H284" i="31"/>
  <c r="I284" i="31"/>
  <c r="J284" i="31"/>
  <c r="A298" i="31"/>
  <c r="D298" i="31"/>
  <c r="F298" i="31"/>
  <c r="H298" i="31"/>
  <c r="I298" i="31"/>
  <c r="J298" i="31"/>
  <c r="A291" i="31"/>
  <c r="D291" i="31"/>
  <c r="F291" i="31"/>
  <c r="H291" i="31"/>
  <c r="I291" i="31"/>
  <c r="J291" i="31"/>
  <c r="A305" i="31"/>
  <c r="D305" i="31"/>
  <c r="F305" i="31"/>
  <c r="H305" i="31"/>
  <c r="I305" i="31"/>
  <c r="J305" i="31"/>
  <c r="A301" i="31"/>
  <c r="D301" i="31"/>
  <c r="F301" i="31"/>
  <c r="H301" i="31"/>
  <c r="I301" i="31"/>
  <c r="J301" i="31"/>
  <c r="A322" i="31"/>
  <c r="D322" i="31"/>
  <c r="F322" i="31"/>
  <c r="H322" i="31"/>
  <c r="I322" i="31"/>
  <c r="J322" i="31"/>
  <c r="A318" i="31"/>
  <c r="D318" i="31"/>
  <c r="F318" i="31"/>
  <c r="H318" i="31"/>
  <c r="I318" i="31"/>
  <c r="J318" i="31"/>
  <c r="A349" i="31"/>
  <c r="D349" i="31"/>
  <c r="F349" i="31"/>
  <c r="H349" i="31"/>
  <c r="I349" i="31"/>
  <c r="J349" i="31"/>
  <c r="A373" i="31"/>
  <c r="D373" i="31"/>
  <c r="F373" i="31"/>
  <c r="H373" i="31"/>
  <c r="I373" i="31"/>
  <c r="J373" i="31"/>
  <c r="A399" i="31"/>
  <c r="D399" i="31"/>
  <c r="F399" i="31"/>
  <c r="H399" i="31"/>
  <c r="I399" i="31"/>
  <c r="J399" i="31"/>
  <c r="A400" i="31"/>
  <c r="D400" i="31"/>
  <c r="F400" i="31"/>
  <c r="H400" i="31"/>
  <c r="I400" i="31"/>
  <c r="J400" i="31"/>
  <c r="A394" i="31"/>
  <c r="D394" i="31"/>
  <c r="F394" i="31"/>
  <c r="H394" i="31"/>
  <c r="I394" i="31"/>
  <c r="J394" i="31"/>
  <c r="A433" i="31"/>
  <c r="D433" i="31"/>
  <c r="F433" i="31"/>
  <c r="H433" i="31"/>
  <c r="I433" i="31"/>
  <c r="J433" i="31"/>
  <c r="A424" i="31"/>
  <c r="D424" i="31"/>
  <c r="F424" i="31"/>
  <c r="H424" i="31"/>
  <c r="I424" i="31"/>
  <c r="J424" i="31"/>
  <c r="A436" i="31"/>
  <c r="D436" i="31"/>
  <c r="F436" i="31"/>
  <c r="H436" i="31"/>
  <c r="I436" i="31"/>
  <c r="J436" i="31"/>
  <c r="A461" i="31"/>
  <c r="D461" i="31"/>
  <c r="F461" i="31"/>
  <c r="H461" i="31"/>
  <c r="I461" i="31"/>
  <c r="J461" i="31"/>
  <c r="A487" i="31"/>
  <c r="D487" i="31"/>
  <c r="F487" i="31"/>
  <c r="H487" i="31"/>
  <c r="I487" i="31"/>
  <c r="J487" i="31"/>
  <c r="A514" i="31"/>
  <c r="D514" i="31"/>
  <c r="E514" i="31"/>
  <c r="F514" i="31"/>
  <c r="G514" i="31"/>
  <c r="H514" i="31"/>
  <c r="I514" i="31"/>
  <c r="J514" i="31"/>
  <c r="A538" i="31"/>
  <c r="D538" i="31"/>
  <c r="E538" i="31"/>
  <c r="F538" i="31"/>
  <c r="G538" i="31"/>
  <c r="H538" i="31"/>
  <c r="I538" i="31"/>
  <c r="J538" i="31"/>
  <c r="A561" i="31"/>
  <c r="D561" i="31"/>
  <c r="E561" i="31"/>
  <c r="F561" i="31"/>
  <c r="G561" i="31"/>
  <c r="H561" i="31"/>
  <c r="I561" i="31"/>
  <c r="J561" i="31"/>
  <c r="A11" i="31"/>
  <c r="D11" i="31"/>
  <c r="F11" i="31"/>
  <c r="H11" i="31"/>
  <c r="I11" i="31"/>
  <c r="J11" i="31"/>
  <c r="A4" i="31"/>
  <c r="D4" i="31"/>
  <c r="F4" i="31"/>
  <c r="H4" i="31"/>
  <c r="I4" i="31"/>
  <c r="J4" i="31"/>
  <c r="A30" i="31"/>
  <c r="D30" i="31"/>
  <c r="F30" i="31"/>
  <c r="H30" i="31"/>
  <c r="I30" i="31"/>
  <c r="J30" i="31"/>
  <c r="A26" i="31"/>
  <c r="D26" i="31"/>
  <c r="F26" i="31"/>
  <c r="H26" i="31"/>
  <c r="I26" i="31"/>
  <c r="J26" i="31"/>
  <c r="A54" i="31"/>
  <c r="D54" i="31"/>
  <c r="F54" i="31"/>
  <c r="H54" i="31"/>
  <c r="I54" i="31"/>
  <c r="J54" i="31"/>
  <c r="A50" i="31"/>
  <c r="D50" i="31"/>
  <c r="F50" i="31"/>
  <c r="H50" i="31"/>
  <c r="I50" i="31"/>
  <c r="J50" i="31"/>
  <c r="A75" i="31"/>
  <c r="D75" i="31"/>
  <c r="F75" i="31"/>
  <c r="H75" i="31"/>
  <c r="I75" i="31"/>
  <c r="J75" i="31"/>
  <c r="A71" i="31"/>
  <c r="D71" i="31"/>
  <c r="F71" i="31"/>
  <c r="H71" i="31"/>
  <c r="I71" i="31"/>
  <c r="J71" i="31"/>
  <c r="A98" i="31"/>
  <c r="D98" i="31"/>
  <c r="F98" i="31"/>
  <c r="H98" i="31"/>
  <c r="I98" i="31"/>
  <c r="J98" i="31"/>
  <c r="A93" i="31"/>
  <c r="D93" i="31"/>
  <c r="F93" i="31"/>
  <c r="H93" i="31"/>
  <c r="I93" i="31"/>
  <c r="J93" i="31"/>
  <c r="A133" i="31"/>
  <c r="D133" i="31"/>
  <c r="F133" i="31"/>
  <c r="H133" i="31"/>
  <c r="I133" i="31"/>
  <c r="J133" i="31"/>
  <c r="A122" i="31"/>
  <c r="D122" i="31"/>
  <c r="F122" i="31"/>
  <c r="H122" i="31"/>
  <c r="I122" i="31"/>
  <c r="J122" i="31"/>
  <c r="A154" i="31"/>
  <c r="D154" i="31"/>
  <c r="F154" i="31"/>
  <c r="H154" i="31"/>
  <c r="I154" i="31"/>
  <c r="J154" i="31"/>
  <c r="A180" i="31"/>
  <c r="D180" i="31"/>
  <c r="F180" i="31"/>
  <c r="H180" i="31"/>
  <c r="I180" i="31"/>
  <c r="J180" i="31"/>
  <c r="A210" i="31"/>
  <c r="D210" i="31"/>
  <c r="F210" i="31"/>
  <c r="H210" i="31"/>
  <c r="I210" i="31"/>
  <c r="J210" i="31"/>
  <c r="A205" i="31"/>
  <c r="D205" i="31"/>
  <c r="F205" i="31"/>
  <c r="H205" i="31"/>
  <c r="I205" i="31"/>
  <c r="J205" i="31"/>
  <c r="A233" i="31"/>
  <c r="D233" i="31"/>
  <c r="F233" i="31"/>
  <c r="H233" i="31"/>
  <c r="I233" i="31"/>
  <c r="J233" i="31"/>
  <c r="A228" i="31"/>
  <c r="D228" i="31"/>
  <c r="F228" i="31"/>
  <c r="H228" i="31"/>
  <c r="I228" i="31"/>
  <c r="J228" i="31"/>
  <c r="A254" i="31"/>
  <c r="D254" i="31"/>
  <c r="F254" i="31"/>
  <c r="H254" i="31"/>
  <c r="I254" i="31"/>
  <c r="J254" i="31"/>
  <c r="A297" i="31"/>
  <c r="D297" i="31"/>
  <c r="F297" i="31"/>
  <c r="H297" i="31"/>
  <c r="I297" i="31"/>
  <c r="J297" i="31"/>
  <c r="A295" i="31"/>
  <c r="D295" i="31"/>
  <c r="F295" i="31"/>
  <c r="H295" i="31"/>
  <c r="I295" i="31"/>
  <c r="J295" i="31"/>
  <c r="A321" i="31"/>
  <c r="D321" i="31"/>
  <c r="F321" i="31"/>
  <c r="H321" i="31"/>
  <c r="I321" i="31"/>
  <c r="J321" i="31"/>
  <c r="A320" i="31"/>
  <c r="D320" i="31"/>
  <c r="F320" i="31"/>
  <c r="H320" i="31"/>
  <c r="I320" i="31"/>
  <c r="J320" i="31"/>
  <c r="A348" i="31"/>
  <c r="D348" i="31"/>
  <c r="F348" i="31"/>
  <c r="H348" i="31"/>
  <c r="I348" i="31"/>
  <c r="J348" i="31"/>
  <c r="A347" i="31"/>
  <c r="D347" i="31"/>
  <c r="F347" i="31"/>
  <c r="H347" i="31"/>
  <c r="I347" i="31"/>
  <c r="J347" i="31"/>
  <c r="A372" i="31"/>
  <c r="D372" i="31"/>
  <c r="F372" i="31"/>
  <c r="H372" i="31"/>
  <c r="I372" i="31"/>
  <c r="J372" i="31"/>
  <c r="A371" i="31"/>
  <c r="D371" i="31"/>
  <c r="F371" i="31"/>
  <c r="H371" i="31"/>
  <c r="I371" i="31"/>
  <c r="J371" i="31"/>
  <c r="A398" i="31"/>
  <c r="D398" i="31"/>
  <c r="F398" i="31"/>
  <c r="H398" i="31"/>
  <c r="I398" i="31"/>
  <c r="J398" i="31"/>
  <c r="A397" i="31"/>
  <c r="D397" i="31"/>
  <c r="F397" i="31"/>
  <c r="H397" i="31"/>
  <c r="I397" i="31"/>
  <c r="J397" i="31"/>
  <c r="A432" i="31"/>
  <c r="D432" i="31"/>
  <c r="F432" i="31"/>
  <c r="H432" i="31"/>
  <c r="I432" i="31"/>
  <c r="J432" i="31"/>
  <c r="A430" i="31"/>
  <c r="D430" i="31"/>
  <c r="F430" i="31"/>
  <c r="H430" i="31"/>
  <c r="I430" i="31"/>
  <c r="J430" i="31"/>
  <c r="A460" i="31"/>
  <c r="D460" i="31"/>
  <c r="F460" i="31"/>
  <c r="H460" i="31"/>
  <c r="I460" i="31"/>
  <c r="J460" i="31"/>
  <c r="A459" i="31"/>
  <c r="D459" i="31"/>
  <c r="F459" i="31"/>
  <c r="H459" i="31"/>
  <c r="I459" i="31"/>
  <c r="J459" i="31"/>
  <c r="A486" i="31"/>
  <c r="D486" i="31"/>
  <c r="F486" i="31"/>
  <c r="H486" i="31"/>
  <c r="I486" i="31"/>
  <c r="J486" i="31"/>
  <c r="A485" i="31"/>
  <c r="D485" i="31"/>
  <c r="F485" i="31"/>
  <c r="H485" i="31"/>
  <c r="I485" i="31"/>
  <c r="J485" i="31"/>
  <c r="A513" i="31"/>
  <c r="D513" i="31"/>
  <c r="F513" i="31"/>
  <c r="H513" i="31"/>
  <c r="I513" i="31"/>
  <c r="J513" i="31"/>
  <c r="A512" i="31"/>
  <c r="D512" i="31"/>
  <c r="F512" i="31"/>
  <c r="H512" i="31"/>
  <c r="I512" i="31"/>
  <c r="J512" i="31"/>
  <c r="A537" i="31"/>
  <c r="D537" i="31"/>
  <c r="F537" i="31"/>
  <c r="H537" i="31"/>
  <c r="I537" i="31"/>
  <c r="J537" i="31"/>
  <c r="A536" i="31"/>
  <c r="D536" i="31"/>
  <c r="F536" i="31"/>
  <c r="H536" i="31"/>
  <c r="I536" i="31"/>
  <c r="J536" i="31"/>
  <c r="A560" i="31"/>
  <c r="D560" i="31"/>
  <c r="F560" i="31"/>
  <c r="H560" i="31"/>
  <c r="I560" i="31"/>
  <c r="J560" i="31"/>
  <c r="A29" i="31"/>
  <c r="D29" i="31"/>
  <c r="F29" i="31"/>
  <c r="G29" i="31"/>
  <c r="H29" i="31"/>
  <c r="I29" i="31"/>
  <c r="J29" i="31"/>
  <c r="A53" i="31"/>
  <c r="D53" i="31"/>
  <c r="E53" i="31"/>
  <c r="F53" i="31"/>
  <c r="H53" i="31"/>
  <c r="I53" i="31"/>
  <c r="J53" i="31"/>
  <c r="A102" i="31"/>
  <c r="D102" i="31"/>
  <c r="E102" i="31"/>
  <c r="F102" i="31"/>
  <c r="H102" i="31"/>
  <c r="I102" i="31"/>
  <c r="J102" i="31"/>
  <c r="A97" i="31"/>
  <c r="D97" i="31"/>
  <c r="E97" i="31"/>
  <c r="F97" i="31"/>
  <c r="H97" i="31"/>
  <c r="I97" i="31"/>
  <c r="J97" i="31"/>
  <c r="A137" i="31"/>
  <c r="D137" i="31"/>
  <c r="F137" i="31"/>
  <c r="G137" i="31"/>
  <c r="H137" i="31"/>
  <c r="I137" i="31"/>
  <c r="J137" i="31"/>
  <c r="A130" i="31"/>
  <c r="D130" i="31"/>
  <c r="F130" i="31"/>
  <c r="G130" i="31"/>
  <c r="H130" i="31"/>
  <c r="I130" i="31"/>
  <c r="J130" i="31"/>
  <c r="A162" i="31"/>
  <c r="D162" i="31"/>
  <c r="E162" i="31"/>
  <c r="F162" i="31"/>
  <c r="G162" i="31"/>
  <c r="H162" i="31"/>
  <c r="I162" i="31"/>
  <c r="J162" i="31"/>
  <c r="A189" i="31"/>
  <c r="D189" i="31"/>
  <c r="E189" i="31"/>
  <c r="F189" i="31"/>
  <c r="H189" i="31"/>
  <c r="I189" i="31"/>
  <c r="J189" i="31"/>
  <c r="A184" i="31"/>
  <c r="D184" i="31"/>
  <c r="E184" i="31"/>
  <c r="F184" i="31"/>
  <c r="H184" i="31"/>
  <c r="I184" i="31"/>
  <c r="J184" i="31"/>
  <c r="A213" i="31"/>
  <c r="D213" i="31"/>
  <c r="F213" i="31"/>
  <c r="G213" i="31"/>
  <c r="H213" i="31"/>
  <c r="I213" i="31"/>
  <c r="J213" i="31"/>
  <c r="A209" i="31"/>
  <c r="D209" i="31"/>
  <c r="E209" i="31"/>
  <c r="F209" i="31"/>
  <c r="H209" i="31"/>
  <c r="I209" i="31"/>
  <c r="J209" i="31"/>
  <c r="A236" i="31"/>
  <c r="D236" i="31"/>
  <c r="E236" i="31"/>
  <c r="F236" i="31"/>
  <c r="G236" i="31"/>
  <c r="H236" i="31"/>
  <c r="I236" i="31"/>
  <c r="J236" i="31"/>
  <c r="A232" i="31"/>
  <c r="D232" i="31"/>
  <c r="E232" i="31"/>
  <c r="F232" i="31"/>
  <c r="G232" i="31"/>
  <c r="H232" i="31"/>
  <c r="I232" i="31"/>
  <c r="J232" i="31"/>
  <c r="A257" i="31"/>
  <c r="D257" i="31"/>
  <c r="E257" i="31"/>
  <c r="F257" i="31"/>
  <c r="G257" i="31"/>
  <c r="H257" i="31"/>
  <c r="I257" i="31"/>
  <c r="J257" i="31"/>
  <c r="A253" i="31"/>
  <c r="D253" i="31"/>
  <c r="E253" i="31"/>
  <c r="F253" i="31"/>
  <c r="G253" i="31"/>
  <c r="H253" i="31"/>
  <c r="I253" i="31"/>
  <c r="J253" i="31"/>
  <c r="A279" i="31"/>
  <c r="D279" i="31"/>
  <c r="E279" i="31"/>
  <c r="F279" i="31"/>
  <c r="G279" i="31"/>
  <c r="H279" i="31"/>
  <c r="I279" i="31"/>
  <c r="J279" i="31"/>
  <c r="A276" i="31"/>
  <c r="D276" i="31"/>
  <c r="E276" i="31"/>
  <c r="F276" i="31"/>
  <c r="G276" i="31"/>
  <c r="H276" i="31"/>
  <c r="I276" i="31"/>
  <c r="J276" i="31"/>
  <c r="A288" i="31"/>
  <c r="D288" i="31"/>
  <c r="E288" i="31"/>
  <c r="F288" i="31"/>
  <c r="G288" i="31"/>
  <c r="H288" i="31"/>
  <c r="I288" i="31"/>
  <c r="J288" i="31"/>
  <c r="A304" i="31"/>
  <c r="D304" i="31"/>
  <c r="F304" i="31"/>
  <c r="H304" i="31"/>
  <c r="I304" i="31"/>
  <c r="J304" i="31"/>
  <c r="A325" i="31"/>
  <c r="D325" i="31"/>
  <c r="F325" i="31"/>
  <c r="H325" i="31"/>
  <c r="I325" i="31"/>
  <c r="J325" i="31"/>
  <c r="A323" i="31"/>
  <c r="D323" i="31"/>
  <c r="F323" i="31"/>
  <c r="H323" i="31"/>
  <c r="I323" i="31"/>
  <c r="J323" i="31"/>
  <c r="A352" i="31"/>
  <c r="D352" i="31"/>
  <c r="F352" i="31"/>
  <c r="H352" i="31"/>
  <c r="I352" i="31"/>
  <c r="J352" i="31"/>
  <c r="A350" i="31"/>
  <c r="D350" i="31"/>
  <c r="F350" i="31"/>
  <c r="H350" i="31"/>
  <c r="I350" i="31"/>
  <c r="J350" i="31"/>
  <c r="A376" i="31"/>
  <c r="D376" i="31"/>
  <c r="F376" i="31"/>
  <c r="H376" i="31"/>
  <c r="I376" i="31"/>
  <c r="J376" i="31"/>
  <c r="A374" i="31"/>
  <c r="D374" i="31"/>
  <c r="F374" i="31"/>
  <c r="H374" i="31"/>
  <c r="I374" i="31"/>
  <c r="J374" i="31"/>
  <c r="A403" i="31"/>
  <c r="D403" i="31"/>
  <c r="F403" i="31"/>
  <c r="H403" i="31"/>
  <c r="I403" i="31"/>
  <c r="J403" i="31"/>
  <c r="A439" i="31"/>
  <c r="D439" i="31"/>
  <c r="F439" i="31"/>
  <c r="H439" i="31"/>
  <c r="I439" i="31"/>
  <c r="J439" i="31"/>
  <c r="A464" i="31"/>
  <c r="D464" i="31"/>
  <c r="F464" i="31"/>
  <c r="H464" i="31"/>
  <c r="I464" i="31"/>
  <c r="J464" i="31"/>
  <c r="A462" i="31"/>
  <c r="D462" i="31"/>
  <c r="F462" i="31"/>
  <c r="H462" i="31"/>
  <c r="I462" i="31"/>
  <c r="J462" i="31"/>
  <c r="A491" i="31"/>
  <c r="D491" i="31"/>
  <c r="F491" i="31"/>
  <c r="H491" i="31"/>
  <c r="I491" i="31"/>
  <c r="J491" i="31"/>
  <c r="A488" i="31"/>
  <c r="D488" i="31"/>
  <c r="F488" i="31"/>
  <c r="H488" i="31"/>
  <c r="I488" i="31"/>
  <c r="J488" i="31"/>
  <c r="A517" i="31"/>
  <c r="D517" i="31"/>
  <c r="F517" i="31"/>
  <c r="H517" i="31"/>
  <c r="I517" i="31"/>
  <c r="J517" i="31"/>
  <c r="A515" i="31"/>
  <c r="D515" i="31"/>
  <c r="F515" i="31"/>
  <c r="H515" i="31"/>
  <c r="I515" i="31"/>
  <c r="J515" i="31"/>
  <c r="A539" i="31"/>
  <c r="D539" i="31"/>
  <c r="F539" i="31"/>
  <c r="H539" i="31"/>
  <c r="I539" i="31"/>
  <c r="J539" i="31"/>
  <c r="A541" i="31"/>
  <c r="D541" i="31"/>
  <c r="E541" i="31"/>
  <c r="F541" i="31"/>
  <c r="G541" i="31"/>
  <c r="H541" i="31"/>
  <c r="I541" i="31"/>
  <c r="J541" i="31"/>
  <c r="A562" i="31"/>
  <c r="D562" i="31"/>
  <c r="F562" i="31"/>
  <c r="H562" i="31"/>
  <c r="I562" i="31"/>
  <c r="J562" i="31"/>
  <c r="A564" i="31"/>
  <c r="D564" i="31"/>
  <c r="E564" i="31"/>
  <c r="F564" i="31"/>
  <c r="G564" i="31"/>
  <c r="H564" i="31"/>
  <c r="I564" i="31"/>
  <c r="J564" i="31"/>
  <c r="A577" i="31"/>
  <c r="D577" i="31"/>
  <c r="F577" i="31"/>
  <c r="H577" i="31"/>
  <c r="I577" i="31"/>
  <c r="J577" i="31"/>
  <c r="A141" i="31"/>
  <c r="D141" i="31"/>
  <c r="E141" i="31"/>
  <c r="F141" i="31"/>
  <c r="G141" i="31"/>
  <c r="H141" i="31"/>
  <c r="I141" i="31"/>
  <c r="J141" i="31"/>
  <c r="A166" i="31"/>
  <c r="D166" i="31"/>
  <c r="E166" i="31"/>
  <c r="F166" i="31"/>
  <c r="G166" i="31"/>
  <c r="H166" i="31"/>
  <c r="I166" i="31"/>
  <c r="J166" i="31"/>
  <c r="A198" i="31"/>
  <c r="D198" i="31"/>
  <c r="E198" i="31"/>
  <c r="F198" i="31"/>
  <c r="G198" i="31"/>
  <c r="H198" i="31"/>
  <c r="I198" i="31"/>
  <c r="J198" i="31"/>
  <c r="A226" i="31"/>
  <c r="D226" i="31"/>
  <c r="E226" i="31"/>
  <c r="F226" i="31"/>
  <c r="G226" i="31"/>
  <c r="H226" i="31"/>
  <c r="I226" i="31"/>
  <c r="J226" i="31"/>
  <c r="A248" i="31"/>
  <c r="D248" i="31"/>
  <c r="E248" i="31"/>
  <c r="F248" i="31"/>
  <c r="G248" i="31"/>
  <c r="H248" i="31"/>
  <c r="I248" i="31"/>
  <c r="J248" i="31"/>
  <c r="A265" i="31"/>
  <c r="D265" i="31"/>
  <c r="E265" i="31"/>
  <c r="F265" i="31"/>
  <c r="G265" i="31"/>
  <c r="H265" i="31"/>
  <c r="I265" i="31"/>
  <c r="J265" i="31"/>
  <c r="A319" i="31"/>
  <c r="D319" i="31"/>
  <c r="E319" i="31"/>
  <c r="F319" i="31"/>
  <c r="G319" i="31"/>
  <c r="H319" i="31"/>
  <c r="I319" i="31"/>
  <c r="J319" i="31"/>
  <c r="A346" i="31"/>
  <c r="D346" i="31"/>
  <c r="E346" i="31"/>
  <c r="F346" i="31"/>
  <c r="G346" i="31"/>
  <c r="H346" i="31"/>
  <c r="I346" i="31"/>
  <c r="J346" i="31"/>
  <c r="A427" i="31"/>
  <c r="D427" i="31"/>
  <c r="E427" i="31"/>
  <c r="F427" i="31"/>
  <c r="G427" i="31"/>
  <c r="H427" i="31"/>
  <c r="I427" i="31"/>
  <c r="J427" i="31"/>
  <c r="A457" i="31"/>
  <c r="D457" i="31"/>
  <c r="E457" i="31"/>
  <c r="F457" i="31"/>
  <c r="G457" i="31"/>
  <c r="H457" i="31"/>
  <c r="I457" i="31"/>
  <c r="J457" i="31"/>
  <c r="A534" i="31"/>
  <c r="D534" i="31"/>
  <c r="E534" i="31"/>
  <c r="F534" i="31"/>
  <c r="G534" i="31"/>
  <c r="H534" i="31"/>
  <c r="I534" i="31"/>
  <c r="J534" i="31"/>
  <c r="A558" i="31"/>
  <c r="D558" i="31"/>
  <c r="E558" i="31"/>
  <c r="F558" i="31"/>
  <c r="G558" i="31"/>
  <c r="H558" i="31"/>
  <c r="I558" i="31"/>
  <c r="J558" i="31"/>
  <c r="A28" i="31"/>
  <c r="D28" i="31"/>
  <c r="E28" i="31"/>
  <c r="F28" i="31"/>
  <c r="G28" i="31"/>
  <c r="H28" i="31"/>
  <c r="I28" i="31"/>
  <c r="J28" i="31"/>
  <c r="A52" i="31"/>
  <c r="D52" i="31"/>
  <c r="E52" i="31"/>
  <c r="F52" i="31"/>
  <c r="G52" i="31"/>
  <c r="H52" i="31"/>
  <c r="I52" i="31"/>
  <c r="J52" i="31"/>
  <c r="A73" i="31"/>
  <c r="D73" i="31"/>
  <c r="E73" i="31"/>
  <c r="F73" i="31"/>
  <c r="G73" i="31"/>
  <c r="H73" i="31"/>
  <c r="I73" i="31"/>
  <c r="J73" i="31"/>
  <c r="A96" i="31"/>
  <c r="D96" i="31"/>
  <c r="E96" i="31"/>
  <c r="F96" i="31"/>
  <c r="G96" i="31"/>
  <c r="H96" i="31"/>
  <c r="I96" i="31"/>
  <c r="J96" i="31"/>
  <c r="A129" i="31"/>
  <c r="D129" i="31"/>
  <c r="E129" i="31"/>
  <c r="F129" i="31"/>
  <c r="G129" i="31"/>
  <c r="H129" i="31"/>
  <c r="I129" i="31"/>
  <c r="J129" i="31"/>
  <c r="A157" i="31"/>
  <c r="D157" i="31"/>
  <c r="E157" i="31"/>
  <c r="F157" i="31"/>
  <c r="G157" i="31"/>
  <c r="H157" i="31"/>
  <c r="I157" i="31"/>
  <c r="J157" i="31"/>
  <c r="A159" i="31"/>
  <c r="D159" i="31"/>
  <c r="E159" i="31"/>
  <c r="F159" i="31"/>
  <c r="G159" i="31"/>
  <c r="H159" i="31"/>
  <c r="I159" i="31"/>
  <c r="J159" i="31"/>
  <c r="A185" i="31"/>
  <c r="D185" i="31"/>
  <c r="E185" i="31"/>
  <c r="F185" i="31"/>
  <c r="G185" i="31"/>
  <c r="H185" i="31"/>
  <c r="I185" i="31"/>
  <c r="J185" i="31"/>
  <c r="A183" i="31"/>
  <c r="D183" i="31"/>
  <c r="E183" i="31"/>
  <c r="F183" i="31"/>
  <c r="G183" i="31"/>
  <c r="H183" i="31"/>
  <c r="I183" i="31"/>
  <c r="J183" i="31"/>
  <c r="A208" i="31"/>
  <c r="D208" i="31"/>
  <c r="E208" i="31"/>
  <c r="F208" i="31"/>
  <c r="G208" i="31"/>
  <c r="H208" i="31"/>
  <c r="I208" i="31"/>
  <c r="J208" i="31"/>
  <c r="A231" i="31"/>
  <c r="D231" i="31"/>
  <c r="E231" i="31"/>
  <c r="F231" i="31"/>
  <c r="H231" i="31"/>
  <c r="I231" i="31"/>
  <c r="J231" i="31"/>
  <c r="A252" i="31"/>
  <c r="D252" i="31"/>
  <c r="E252" i="31"/>
  <c r="F252" i="31"/>
  <c r="H252" i="31"/>
  <c r="I252" i="31"/>
  <c r="A249" i="31"/>
  <c r="C249" i="31"/>
  <c r="D249" i="31"/>
  <c r="F249" i="31"/>
  <c r="H249" i="31"/>
  <c r="I249" i="31"/>
  <c r="J249" i="31"/>
  <c r="A273" i="31"/>
  <c r="C273" i="31"/>
  <c r="D273" i="31"/>
  <c r="F273" i="31"/>
  <c r="H273" i="31"/>
  <c r="I273" i="31"/>
  <c r="J273" i="31"/>
  <c r="A275" i="31"/>
  <c r="D275" i="31"/>
  <c r="F275" i="31"/>
  <c r="H275" i="31"/>
  <c r="I275" i="31"/>
  <c r="J275" i="31"/>
  <c r="A285" i="31"/>
  <c r="D285" i="31"/>
  <c r="F285" i="31"/>
  <c r="H285" i="31"/>
  <c r="I285" i="31"/>
  <c r="J285" i="31"/>
  <c r="A370" i="31"/>
  <c r="D370" i="31"/>
  <c r="F370" i="31"/>
  <c r="H370" i="31"/>
  <c r="I370" i="31"/>
  <c r="J370" i="31"/>
  <c r="A396" i="31"/>
  <c r="D396" i="31"/>
  <c r="F396" i="31"/>
  <c r="H396" i="31"/>
  <c r="I396" i="31"/>
  <c r="J396" i="31"/>
  <c r="A426" i="31"/>
  <c r="D426" i="31"/>
  <c r="F426" i="31"/>
  <c r="H426" i="31"/>
  <c r="I426" i="31"/>
  <c r="J426" i="31"/>
  <c r="A455" i="31"/>
  <c r="D455" i="31"/>
  <c r="F455" i="31"/>
  <c r="H455" i="31"/>
  <c r="I455" i="31"/>
  <c r="J455" i="31"/>
  <c r="A458" i="31"/>
  <c r="D458" i="31"/>
  <c r="F458" i="31"/>
  <c r="H458" i="31"/>
  <c r="I458" i="31"/>
  <c r="J458" i="31"/>
  <c r="A465" i="31"/>
  <c r="D465" i="31"/>
  <c r="F465" i="31"/>
  <c r="H465" i="31"/>
  <c r="I465" i="31"/>
  <c r="J465" i="31"/>
  <c r="A484" i="31"/>
  <c r="D484" i="31"/>
  <c r="F484" i="31"/>
  <c r="H484" i="31"/>
  <c r="I484" i="31"/>
  <c r="J484" i="31"/>
  <c r="A483" i="31"/>
  <c r="D483" i="31"/>
  <c r="F483" i="31"/>
  <c r="H483" i="31"/>
  <c r="I483" i="31"/>
  <c r="J483" i="31"/>
  <c r="A511" i="31"/>
  <c r="D511" i="31"/>
  <c r="F511" i="31"/>
  <c r="H511" i="31"/>
  <c r="I511" i="31"/>
  <c r="J511" i="31"/>
  <c r="A510" i="31"/>
  <c r="D510" i="31"/>
  <c r="F510" i="31"/>
  <c r="H510" i="31"/>
  <c r="I510" i="31"/>
  <c r="J510" i="31"/>
  <c r="A535" i="31"/>
  <c r="D535" i="31"/>
  <c r="F535" i="31"/>
  <c r="H535" i="31"/>
  <c r="I535" i="31"/>
  <c r="J535" i="31"/>
  <c r="A559" i="31"/>
  <c r="D559" i="31"/>
  <c r="F559" i="31"/>
  <c r="H559" i="31"/>
  <c r="I559" i="31"/>
  <c r="J559" i="31"/>
  <c r="A567" i="31"/>
  <c r="D567" i="31"/>
  <c r="F567" i="31"/>
  <c r="H567" i="31"/>
  <c r="I567" i="31"/>
  <c r="J567" i="31"/>
  <c r="A570" i="31"/>
  <c r="D570" i="31"/>
  <c r="F570" i="31"/>
  <c r="H570" i="31"/>
  <c r="I570" i="31"/>
  <c r="J570" i="31"/>
  <c r="A579" i="31"/>
  <c r="D579" i="31"/>
  <c r="F579" i="31"/>
  <c r="H579" i="31"/>
  <c r="I579" i="31"/>
  <c r="J579" i="31"/>
  <c r="A578" i="31"/>
  <c r="D578" i="31"/>
  <c r="F578" i="31"/>
  <c r="H578" i="31"/>
  <c r="I578" i="31"/>
  <c r="J578" i="31"/>
  <c r="A9" i="31"/>
  <c r="D9" i="31"/>
  <c r="F9" i="31"/>
  <c r="H9" i="31"/>
  <c r="I9" i="31"/>
  <c r="J9" i="31"/>
  <c r="A13" i="31"/>
  <c r="D13" i="31"/>
  <c r="F13" i="31"/>
  <c r="H13" i="31"/>
  <c r="I13" i="31"/>
  <c r="J13" i="31"/>
  <c r="A14" i="31"/>
  <c r="D14" i="31"/>
  <c r="F14" i="31"/>
  <c r="H14" i="31"/>
  <c r="I14" i="31"/>
  <c r="J14" i="31"/>
  <c r="A31" i="31"/>
  <c r="D31" i="31"/>
  <c r="F31" i="31"/>
  <c r="H31" i="31"/>
  <c r="I31" i="31"/>
  <c r="J31" i="31"/>
  <c r="A32" i="31"/>
  <c r="D32" i="31"/>
  <c r="F32" i="31"/>
  <c r="H32" i="31"/>
  <c r="I32" i="31"/>
  <c r="J32" i="31"/>
  <c r="A55" i="31"/>
  <c r="D55" i="31"/>
  <c r="F55" i="31"/>
  <c r="H55" i="31"/>
  <c r="I55" i="31"/>
  <c r="J55" i="31"/>
  <c r="A56" i="31"/>
  <c r="D56" i="31"/>
  <c r="F56" i="31"/>
  <c r="H56" i="31"/>
  <c r="I56" i="31"/>
  <c r="J56" i="31"/>
  <c r="A76" i="31"/>
  <c r="D76" i="31"/>
  <c r="F76" i="31"/>
  <c r="H76" i="31"/>
  <c r="I76" i="31"/>
  <c r="J76" i="31"/>
  <c r="A77" i="31"/>
  <c r="D77" i="31"/>
  <c r="F77" i="31"/>
  <c r="H77" i="31"/>
  <c r="I77" i="31"/>
  <c r="J77" i="31"/>
  <c r="A100" i="31"/>
  <c r="D100" i="31"/>
  <c r="F100" i="31"/>
  <c r="H100" i="31"/>
  <c r="I100" i="31"/>
  <c r="J100" i="31"/>
  <c r="A101" i="31"/>
  <c r="D101" i="31"/>
  <c r="F101" i="31"/>
  <c r="H101" i="31"/>
  <c r="I101" i="31"/>
  <c r="J101" i="31"/>
  <c r="A135" i="31"/>
  <c r="D135" i="31"/>
  <c r="F135" i="31"/>
  <c r="H135" i="31"/>
  <c r="I135" i="31"/>
  <c r="J135" i="31"/>
  <c r="A136" i="31"/>
  <c r="D136" i="31"/>
  <c r="F136" i="31"/>
  <c r="H136" i="31"/>
  <c r="I136" i="31"/>
  <c r="J136" i="31"/>
  <c r="A160" i="31"/>
  <c r="D160" i="31"/>
  <c r="F160" i="31"/>
  <c r="H160" i="31"/>
  <c r="I160" i="31"/>
  <c r="J160" i="31"/>
  <c r="A161" i="31"/>
  <c r="D161" i="31"/>
  <c r="F161" i="31"/>
  <c r="H161" i="31"/>
  <c r="I161" i="31"/>
  <c r="J161" i="31"/>
  <c r="A187" i="31"/>
  <c r="D187" i="31"/>
  <c r="F187" i="31"/>
  <c r="H187" i="31"/>
  <c r="I187" i="31"/>
  <c r="J187" i="31"/>
  <c r="A188" i="31"/>
  <c r="D188" i="31"/>
  <c r="F188" i="31"/>
  <c r="H188" i="31"/>
  <c r="I188" i="31"/>
  <c r="J188" i="31"/>
  <c r="A211" i="31"/>
  <c r="D211" i="31"/>
  <c r="F211" i="31"/>
  <c r="H211" i="31"/>
  <c r="I211" i="31"/>
  <c r="J211" i="31"/>
  <c r="A212" i="31"/>
  <c r="D212" i="31"/>
  <c r="F212" i="31"/>
  <c r="H212" i="31"/>
  <c r="I212" i="31"/>
  <c r="J212" i="31"/>
  <c r="A234" i="31"/>
  <c r="D234" i="31"/>
  <c r="F234" i="31"/>
  <c r="H234" i="31"/>
  <c r="I234" i="31"/>
  <c r="J234" i="31"/>
  <c r="A235" i="31"/>
  <c r="D235" i="31"/>
  <c r="F235" i="31"/>
  <c r="H235" i="31"/>
  <c r="I235" i="31"/>
  <c r="J235" i="31"/>
  <c r="A255" i="31"/>
  <c r="D255" i="31"/>
  <c r="F255" i="31"/>
  <c r="H255" i="31"/>
  <c r="I255" i="31"/>
  <c r="J255" i="31"/>
  <c r="A256" i="31"/>
  <c r="D256" i="31"/>
  <c r="F256" i="31"/>
  <c r="H256" i="31"/>
  <c r="I256" i="31"/>
  <c r="J256" i="31"/>
  <c r="A277" i="31"/>
  <c r="D277" i="31"/>
  <c r="F277" i="31"/>
  <c r="H277" i="31"/>
  <c r="I277" i="31"/>
  <c r="J277" i="31"/>
  <c r="A278" i="31"/>
  <c r="D278" i="31"/>
  <c r="F278" i="31"/>
  <c r="H278" i="31"/>
  <c r="I278" i="31"/>
  <c r="J278" i="31"/>
  <c r="A286" i="31"/>
  <c r="D286" i="31"/>
  <c r="F286" i="31"/>
  <c r="H286" i="31"/>
  <c r="I286" i="31"/>
  <c r="J286" i="31"/>
  <c r="A287" i="31"/>
  <c r="D287" i="31"/>
  <c r="F287" i="31"/>
  <c r="H287" i="31"/>
  <c r="I287" i="31"/>
  <c r="J287" i="31"/>
  <c r="A303" i="31"/>
  <c r="D303" i="31"/>
  <c r="F303" i="31"/>
  <c r="H303" i="31"/>
  <c r="I303" i="31"/>
  <c r="J303" i="31"/>
  <c r="A324" i="31"/>
  <c r="D324" i="31"/>
  <c r="F324" i="31"/>
  <c r="H324" i="31"/>
  <c r="I324" i="31"/>
  <c r="J324" i="31"/>
  <c r="A353" i="31"/>
  <c r="D353" i="31"/>
  <c r="F353" i="31"/>
  <c r="H353" i="31"/>
  <c r="I353" i="31"/>
  <c r="J353" i="31"/>
  <c r="A351" i="31"/>
  <c r="D351" i="31"/>
  <c r="F351" i="31"/>
  <c r="H351" i="31"/>
  <c r="I351" i="31"/>
  <c r="J351" i="31"/>
  <c r="A377" i="31"/>
  <c r="D377" i="31"/>
  <c r="F377" i="31"/>
  <c r="H377" i="31"/>
  <c r="I377" i="31"/>
  <c r="J377" i="31"/>
  <c r="A345" i="31"/>
  <c r="D345" i="31"/>
  <c r="F345" i="31"/>
  <c r="H345" i="31"/>
  <c r="I345" i="31"/>
  <c r="J345" i="31"/>
  <c r="A375" i="31"/>
  <c r="D375" i="31"/>
  <c r="F375" i="31"/>
  <c r="H375" i="31"/>
  <c r="I375" i="31"/>
  <c r="J375" i="31"/>
  <c r="A404" i="31"/>
  <c r="D404" i="31"/>
  <c r="F404" i="31"/>
  <c r="H404" i="31"/>
  <c r="I404" i="31"/>
  <c r="J404" i="31"/>
  <c r="A369" i="31"/>
  <c r="D369" i="31"/>
  <c r="F369" i="31"/>
  <c r="H369" i="31"/>
  <c r="I369" i="31"/>
  <c r="J369" i="31"/>
  <c r="A402" i="31"/>
  <c r="D402" i="31"/>
  <c r="F402" i="31"/>
  <c r="H402" i="31"/>
  <c r="I402" i="31"/>
  <c r="J402" i="31"/>
  <c r="A440" i="31"/>
  <c r="D440" i="31"/>
  <c r="F440" i="31"/>
  <c r="H440" i="31"/>
  <c r="I440" i="31"/>
  <c r="J440" i="31"/>
  <c r="A438" i="31"/>
  <c r="D438" i="31"/>
  <c r="F438" i="31"/>
  <c r="H438" i="31"/>
  <c r="I438" i="31"/>
  <c r="J438" i="31"/>
  <c r="A492" i="31"/>
  <c r="D492" i="31"/>
  <c r="F492" i="31"/>
  <c r="H492" i="31"/>
  <c r="I492" i="31"/>
  <c r="J492" i="31"/>
  <c r="A463" i="31"/>
  <c r="D463" i="31"/>
  <c r="F463" i="31"/>
  <c r="H463" i="31"/>
  <c r="I463" i="31"/>
  <c r="J463" i="31"/>
  <c r="A456" i="31"/>
  <c r="D456" i="31"/>
  <c r="F456" i="31"/>
  <c r="H456" i="31"/>
  <c r="I456" i="31"/>
  <c r="J456" i="31"/>
  <c r="A490" i="31"/>
  <c r="D490" i="31"/>
  <c r="F490" i="31"/>
  <c r="H490" i="31"/>
  <c r="I490" i="31"/>
  <c r="J490" i="31"/>
  <c r="A518" i="31"/>
  <c r="D518" i="31"/>
  <c r="F518" i="31"/>
  <c r="H518" i="31"/>
  <c r="I518" i="31"/>
  <c r="J518" i="31"/>
  <c r="A481" i="31"/>
  <c r="D481" i="31"/>
  <c r="F481" i="31"/>
  <c r="H481" i="31"/>
  <c r="I481" i="31"/>
  <c r="J481" i="31"/>
  <c r="A516" i="31"/>
  <c r="D516" i="31"/>
  <c r="F516" i="31"/>
  <c r="H516" i="31"/>
  <c r="I516" i="31"/>
  <c r="J516" i="31"/>
  <c r="A542" i="31"/>
  <c r="D542" i="31"/>
  <c r="F542" i="31"/>
  <c r="H542" i="31"/>
  <c r="I542" i="31"/>
  <c r="J542" i="31"/>
  <c r="A509" i="31"/>
  <c r="D509" i="31"/>
  <c r="F509" i="31"/>
  <c r="H509" i="31"/>
  <c r="I509" i="31"/>
  <c r="J509" i="31"/>
  <c r="A563" i="31"/>
  <c r="D563" i="31"/>
  <c r="F563" i="31"/>
  <c r="H563" i="31"/>
  <c r="I563" i="31"/>
  <c r="J563" i="31"/>
  <c r="A565" i="31"/>
  <c r="D565" i="31"/>
  <c r="F565" i="31"/>
  <c r="H565" i="31"/>
  <c r="I565" i="31"/>
  <c r="J565" i="31"/>
  <c r="A533" i="31"/>
  <c r="D533" i="31"/>
  <c r="F533" i="31"/>
  <c r="H533" i="31"/>
  <c r="I533" i="31"/>
  <c r="J533" i="31"/>
  <c r="A540" i="31"/>
  <c r="D540" i="31"/>
  <c r="F540" i="31"/>
  <c r="H540" i="31"/>
  <c r="I540" i="31"/>
  <c r="J540" i="31"/>
  <c r="A580" i="31"/>
  <c r="D580" i="31"/>
  <c r="F580" i="31"/>
  <c r="H580" i="31"/>
  <c r="I580" i="31"/>
  <c r="J580" i="31"/>
  <c r="A557" i="31"/>
  <c r="D557" i="31"/>
  <c r="F557" i="31"/>
  <c r="H557" i="31"/>
  <c r="I557" i="31"/>
  <c r="J557" i="31"/>
  <c r="A326" i="31"/>
  <c r="D326" i="31"/>
  <c r="F326" i="31"/>
  <c r="H326" i="31"/>
  <c r="I326" i="31"/>
  <c r="J326" i="31"/>
  <c r="A576" i="31"/>
  <c r="D576" i="31"/>
  <c r="F576" i="31"/>
  <c r="H576" i="31"/>
  <c r="I576" i="31"/>
  <c r="J576" i="31"/>
  <c r="A1" i="30"/>
  <c r="B1" i="30"/>
  <c r="C1" i="30"/>
  <c r="D1" i="30"/>
  <c r="E1" i="30"/>
  <c r="F1" i="30"/>
  <c r="G1" i="30"/>
  <c r="H1" i="30"/>
  <c r="I1" i="30"/>
  <c r="J1" i="30"/>
  <c r="A176" i="30"/>
  <c r="D176" i="30"/>
  <c r="F176" i="30"/>
  <c r="H176" i="30"/>
  <c r="I176" i="30"/>
  <c r="J176" i="30"/>
  <c r="A177" i="30"/>
  <c r="D177" i="30"/>
  <c r="F177" i="30"/>
  <c r="H177" i="30"/>
  <c r="I177" i="30"/>
  <c r="J177" i="30"/>
  <c r="A178" i="30"/>
  <c r="D178" i="30"/>
  <c r="F178" i="30"/>
  <c r="H178" i="30"/>
  <c r="I178" i="30"/>
  <c r="J178" i="30"/>
  <c r="A179" i="30"/>
  <c r="D179" i="30"/>
  <c r="F179" i="30"/>
  <c r="G179" i="30"/>
  <c r="H179" i="30"/>
  <c r="I179" i="30"/>
  <c r="J179" i="30"/>
  <c r="A457" i="30"/>
  <c r="D457" i="30"/>
  <c r="F457" i="30"/>
  <c r="G457" i="30"/>
  <c r="H457" i="30"/>
  <c r="I457" i="30"/>
  <c r="J457" i="30"/>
  <c r="A180" i="30"/>
  <c r="D180" i="30"/>
  <c r="F180" i="30"/>
  <c r="H180" i="30"/>
  <c r="I180" i="30"/>
  <c r="J180" i="30"/>
  <c r="A458" i="30"/>
  <c r="D458" i="30"/>
  <c r="F458" i="30"/>
  <c r="H458" i="30"/>
  <c r="I458" i="30"/>
  <c r="J458" i="30"/>
  <c r="A181" i="30"/>
  <c r="D181" i="30"/>
  <c r="F181" i="30"/>
  <c r="H181" i="30"/>
  <c r="I181" i="30"/>
  <c r="J181" i="30"/>
  <c r="A182" i="30"/>
  <c r="D182" i="30"/>
  <c r="F182" i="30"/>
  <c r="H182" i="30"/>
  <c r="I182" i="30"/>
  <c r="J182" i="30"/>
  <c r="A183" i="30"/>
  <c r="D183" i="30"/>
  <c r="E183" i="30"/>
  <c r="F183" i="30"/>
  <c r="G183" i="30"/>
  <c r="H183" i="30"/>
  <c r="I183" i="30"/>
  <c r="J183" i="30"/>
  <c r="A61" i="30"/>
  <c r="D61" i="30"/>
  <c r="F61" i="30"/>
  <c r="H61" i="30"/>
  <c r="I61" i="30"/>
  <c r="J61" i="30"/>
  <c r="A62" i="30"/>
  <c r="D62" i="30"/>
  <c r="F62" i="30"/>
  <c r="H62" i="30"/>
  <c r="I62" i="30"/>
  <c r="J62" i="30"/>
  <c r="A463" i="30"/>
  <c r="D463" i="30"/>
  <c r="F463" i="30"/>
  <c r="H463" i="30"/>
  <c r="I463" i="30"/>
  <c r="J463" i="30"/>
  <c r="A63" i="30"/>
  <c r="D63" i="30"/>
  <c r="F63" i="30"/>
  <c r="H63" i="30"/>
  <c r="I63" i="30"/>
  <c r="J63" i="30"/>
  <c r="A464" i="30"/>
  <c r="D464" i="30"/>
  <c r="F464" i="30"/>
  <c r="G464" i="30"/>
  <c r="H464" i="30"/>
  <c r="I464" i="30"/>
  <c r="J464" i="30"/>
  <c r="A64" i="30"/>
  <c r="D64" i="30"/>
  <c r="F64" i="30"/>
  <c r="G64" i="30"/>
  <c r="H64" i="30"/>
  <c r="I64" i="30"/>
  <c r="J64" i="30"/>
  <c r="A465" i="30"/>
  <c r="D465" i="30"/>
  <c r="F465" i="30"/>
  <c r="H465" i="30"/>
  <c r="I465" i="30"/>
  <c r="J465" i="30"/>
  <c r="A184" i="30"/>
  <c r="D184" i="30"/>
  <c r="E184" i="30"/>
  <c r="F184" i="30"/>
  <c r="G184" i="30"/>
  <c r="H184" i="30"/>
  <c r="I184" i="30"/>
  <c r="J184" i="30"/>
  <c r="A466" i="30"/>
  <c r="D466" i="30"/>
  <c r="F466" i="30"/>
  <c r="G466" i="30"/>
  <c r="H466" i="30"/>
  <c r="I466" i="30"/>
  <c r="J466" i="30"/>
  <c r="A185" i="30"/>
  <c r="D185" i="30"/>
  <c r="E185" i="30"/>
  <c r="F185" i="30"/>
  <c r="G185" i="30"/>
  <c r="H185" i="30"/>
  <c r="I185" i="30"/>
  <c r="J185" i="30"/>
  <c r="A186" i="30"/>
  <c r="D186" i="30"/>
  <c r="E186" i="30"/>
  <c r="F186" i="30"/>
  <c r="G186" i="30"/>
  <c r="H186" i="30"/>
  <c r="I186" i="30"/>
  <c r="J186" i="30"/>
  <c r="A187" i="30"/>
  <c r="D187" i="30"/>
  <c r="E187" i="30"/>
  <c r="F187" i="30"/>
  <c r="G187" i="30"/>
  <c r="H187" i="30"/>
  <c r="I187" i="30"/>
  <c r="J187" i="30"/>
  <c r="A69" i="30"/>
  <c r="D69" i="30"/>
  <c r="F69" i="30"/>
  <c r="G69" i="30"/>
  <c r="H69" i="30"/>
  <c r="I69" i="30"/>
  <c r="J69" i="30"/>
  <c r="A188" i="30"/>
  <c r="D188" i="30"/>
  <c r="F188" i="30"/>
  <c r="G188" i="30"/>
  <c r="H188" i="30"/>
  <c r="I188" i="30"/>
  <c r="J188" i="30"/>
  <c r="A70" i="30"/>
  <c r="D70" i="30"/>
  <c r="F70" i="30"/>
  <c r="G70" i="30"/>
  <c r="H70" i="30"/>
  <c r="I70" i="30"/>
  <c r="J70" i="30"/>
  <c r="A189" i="30"/>
  <c r="D189" i="30"/>
  <c r="E189" i="30"/>
  <c r="F189" i="30"/>
  <c r="G189" i="30"/>
  <c r="H189" i="30"/>
  <c r="I189" i="30"/>
  <c r="J189" i="30"/>
  <c r="A190" i="30"/>
  <c r="D190" i="30"/>
  <c r="F190" i="30"/>
  <c r="H190" i="30"/>
  <c r="I190" i="30"/>
  <c r="J190" i="30"/>
  <c r="A471" i="30"/>
  <c r="D471" i="30"/>
  <c r="F471" i="30"/>
  <c r="H471" i="30"/>
  <c r="I471" i="30"/>
  <c r="J471" i="30"/>
  <c r="A191" i="30"/>
  <c r="D191" i="30"/>
  <c r="F191" i="30"/>
  <c r="H191" i="30"/>
  <c r="I191" i="30"/>
  <c r="J191" i="30"/>
  <c r="A472" i="30"/>
  <c r="D472" i="30"/>
  <c r="F472" i="30"/>
  <c r="H472" i="30"/>
  <c r="I472" i="30"/>
  <c r="J472" i="30"/>
  <c r="A192" i="30"/>
  <c r="D192" i="30"/>
  <c r="E192" i="30"/>
  <c r="F192" i="30"/>
  <c r="G192" i="30"/>
  <c r="H192" i="30"/>
  <c r="I192" i="30"/>
  <c r="J192" i="30"/>
  <c r="A193" i="30"/>
  <c r="D193" i="30"/>
  <c r="E193" i="30"/>
  <c r="F193" i="30"/>
  <c r="G193" i="30"/>
  <c r="H193" i="30"/>
  <c r="I193" i="30"/>
  <c r="J193" i="30"/>
  <c r="A453" i="30"/>
  <c r="D453" i="30"/>
  <c r="E453" i="30"/>
  <c r="F453" i="30"/>
  <c r="G453" i="30"/>
  <c r="H453" i="30"/>
  <c r="I453" i="30"/>
  <c r="J453" i="30"/>
  <c r="A454" i="30"/>
  <c r="D454" i="30"/>
  <c r="E454" i="30"/>
  <c r="F454" i="30"/>
  <c r="G454" i="30"/>
  <c r="H454" i="30"/>
  <c r="I454" i="30"/>
  <c r="J454" i="30"/>
  <c r="A455" i="30"/>
  <c r="D455" i="30"/>
  <c r="E455" i="30"/>
  <c r="F455" i="30"/>
  <c r="G455" i="30"/>
  <c r="H455" i="30"/>
  <c r="I455" i="30"/>
  <c r="J455" i="30"/>
  <c r="A456" i="30"/>
  <c r="D456" i="30"/>
  <c r="E456" i="30"/>
  <c r="F456" i="30"/>
  <c r="G456" i="30"/>
  <c r="H456" i="30"/>
  <c r="I456" i="30"/>
  <c r="J456" i="30"/>
  <c r="A459" i="30"/>
  <c r="D459" i="30"/>
  <c r="E459" i="30"/>
  <c r="F459" i="30"/>
  <c r="G459" i="30"/>
  <c r="H459" i="30"/>
  <c r="I459" i="30"/>
  <c r="J459" i="30"/>
  <c r="A460" i="30"/>
  <c r="D460" i="30"/>
  <c r="E460" i="30"/>
  <c r="F460" i="30"/>
  <c r="G460" i="30"/>
  <c r="H460" i="30"/>
  <c r="I460" i="30"/>
  <c r="J460" i="30"/>
  <c r="A461" i="30"/>
  <c r="D461" i="30"/>
  <c r="E461" i="30"/>
  <c r="F461" i="30"/>
  <c r="G461" i="30"/>
  <c r="H461" i="30"/>
  <c r="I461" i="30"/>
  <c r="J461" i="30"/>
  <c r="A462" i="30"/>
  <c r="D462" i="30"/>
  <c r="E462" i="30"/>
  <c r="F462" i="30"/>
  <c r="G462" i="30"/>
  <c r="H462" i="30"/>
  <c r="I462" i="30"/>
  <c r="J462" i="30"/>
  <c r="A467" i="30"/>
  <c r="D467" i="30"/>
  <c r="E467" i="30"/>
  <c r="F467" i="30"/>
  <c r="G467" i="30"/>
  <c r="H467" i="30"/>
  <c r="I467" i="30"/>
  <c r="J467" i="30"/>
  <c r="A468" i="30"/>
  <c r="D468" i="30"/>
  <c r="E468" i="30"/>
  <c r="F468" i="30"/>
  <c r="G468" i="30"/>
  <c r="H468" i="30"/>
  <c r="I468" i="30"/>
  <c r="J468" i="30"/>
  <c r="A469" i="30"/>
  <c r="D469" i="30"/>
  <c r="E469" i="30"/>
  <c r="F469" i="30"/>
  <c r="G469" i="30"/>
  <c r="H469" i="30"/>
  <c r="I469" i="30"/>
  <c r="J469" i="30"/>
  <c r="A470" i="30"/>
  <c r="D470" i="30"/>
  <c r="E470" i="30"/>
  <c r="F470" i="30"/>
  <c r="G470" i="30"/>
  <c r="H470" i="30"/>
  <c r="I470" i="30"/>
  <c r="J470" i="30"/>
  <c r="A73" i="30"/>
  <c r="D73" i="30"/>
  <c r="E73" i="30"/>
  <c r="F73" i="30"/>
  <c r="G73" i="30"/>
  <c r="H73" i="30"/>
  <c r="I73" i="30"/>
  <c r="J73" i="30"/>
  <c r="A74" i="30"/>
  <c r="D74" i="30"/>
  <c r="E74" i="30"/>
  <c r="F74" i="30"/>
  <c r="G74" i="30"/>
  <c r="H74" i="30"/>
  <c r="I74" i="30"/>
  <c r="J74" i="30"/>
  <c r="A475" i="30"/>
  <c r="D475" i="30"/>
  <c r="E475" i="30"/>
  <c r="F475" i="30"/>
  <c r="G475" i="30"/>
  <c r="H475" i="30"/>
  <c r="I475" i="30"/>
  <c r="J475" i="30"/>
  <c r="A476" i="30"/>
  <c r="D476" i="30"/>
  <c r="E476" i="30"/>
  <c r="F476" i="30"/>
  <c r="G476" i="30"/>
  <c r="H476" i="30"/>
  <c r="I476" i="30"/>
  <c r="J476" i="30"/>
  <c r="A53" i="30"/>
  <c r="D53" i="30"/>
  <c r="E53" i="30"/>
  <c r="F53" i="30"/>
  <c r="G53" i="30"/>
  <c r="H53" i="30"/>
  <c r="I53" i="30"/>
  <c r="J53" i="30"/>
  <c r="A54" i="30"/>
  <c r="D54" i="30"/>
  <c r="E54" i="30"/>
  <c r="F54" i="30"/>
  <c r="G54" i="30"/>
  <c r="H54" i="30"/>
  <c r="I54" i="30"/>
  <c r="J54" i="30"/>
  <c r="A55" i="30"/>
  <c r="D55" i="30"/>
  <c r="E55" i="30"/>
  <c r="F55" i="30"/>
  <c r="G55" i="30"/>
  <c r="H55" i="30"/>
  <c r="I55" i="30"/>
  <c r="J55" i="30"/>
  <c r="A56" i="30"/>
  <c r="D56" i="30"/>
  <c r="E56" i="30"/>
  <c r="F56" i="30"/>
  <c r="G56" i="30"/>
  <c r="H56" i="30"/>
  <c r="I56" i="30"/>
  <c r="J56" i="30"/>
  <c r="A57" i="30"/>
  <c r="D57" i="30"/>
  <c r="E57" i="30"/>
  <c r="F57" i="30"/>
  <c r="G57" i="30"/>
  <c r="H57" i="30"/>
  <c r="I57" i="30"/>
  <c r="J57" i="30"/>
  <c r="A58" i="30"/>
  <c r="D58" i="30"/>
  <c r="E58" i="30"/>
  <c r="F58" i="30"/>
  <c r="G58" i="30"/>
  <c r="H58" i="30"/>
  <c r="I58" i="30"/>
  <c r="J58" i="30"/>
  <c r="A59" i="30"/>
  <c r="D59" i="30"/>
  <c r="E59" i="30"/>
  <c r="F59" i="30"/>
  <c r="G59" i="30"/>
  <c r="H59" i="30"/>
  <c r="I59" i="30"/>
  <c r="J59" i="30"/>
  <c r="A60" i="30"/>
  <c r="D60" i="30"/>
  <c r="E60" i="30"/>
  <c r="F60" i="30"/>
  <c r="G60" i="30"/>
  <c r="H60" i="30"/>
  <c r="I60" i="30"/>
  <c r="J60" i="30"/>
  <c r="A65" i="30"/>
  <c r="D65" i="30"/>
  <c r="E65" i="30"/>
  <c r="F65" i="30"/>
  <c r="G65" i="30"/>
  <c r="H65" i="30"/>
  <c r="I65" i="30"/>
  <c r="J65" i="30"/>
  <c r="A66" i="30"/>
  <c r="D66" i="30"/>
  <c r="E66" i="30"/>
  <c r="F66" i="30"/>
  <c r="G66" i="30"/>
  <c r="H66" i="30"/>
  <c r="I66" i="30"/>
  <c r="J66" i="30"/>
  <c r="A67" i="30"/>
  <c r="D67" i="30"/>
  <c r="E67" i="30"/>
  <c r="F67" i="30"/>
  <c r="G67" i="30"/>
  <c r="H67" i="30"/>
  <c r="I67" i="30"/>
  <c r="J67" i="30"/>
  <c r="A68" i="30"/>
  <c r="D68" i="30"/>
  <c r="E68" i="30"/>
  <c r="F68" i="30"/>
  <c r="G68" i="30"/>
  <c r="H68" i="30"/>
  <c r="I68" i="30"/>
  <c r="J68" i="30"/>
  <c r="A71" i="30"/>
  <c r="D71" i="30"/>
  <c r="E71" i="30"/>
  <c r="F71" i="30"/>
  <c r="G71" i="30"/>
  <c r="H71" i="30"/>
  <c r="I71" i="30"/>
  <c r="J71" i="30"/>
  <c r="A72" i="30"/>
  <c r="D72" i="30"/>
  <c r="E72" i="30"/>
  <c r="F72" i="30"/>
  <c r="G72" i="30"/>
  <c r="H72" i="30"/>
  <c r="I72" i="30"/>
  <c r="J72" i="30"/>
  <c r="A473" i="30"/>
  <c r="D473" i="30"/>
  <c r="E473" i="30"/>
  <c r="F473" i="30"/>
  <c r="G473" i="30"/>
  <c r="H473" i="30"/>
  <c r="I473" i="30"/>
  <c r="J473" i="30"/>
  <c r="A474" i="30"/>
  <c r="D474" i="30"/>
  <c r="E474" i="30"/>
  <c r="F474" i="30"/>
  <c r="G474" i="30"/>
  <c r="H474" i="30"/>
  <c r="I474" i="30"/>
  <c r="J474" i="30"/>
  <c r="A477" i="30"/>
  <c r="D477" i="30"/>
  <c r="F477" i="30"/>
  <c r="H477" i="30"/>
  <c r="I477" i="30"/>
  <c r="J477" i="30"/>
  <c r="A478" i="30"/>
  <c r="D478" i="30"/>
  <c r="F478" i="30"/>
  <c r="G478" i="30"/>
  <c r="H478" i="30"/>
  <c r="I478" i="30"/>
  <c r="J478" i="30"/>
  <c r="A480" i="30"/>
  <c r="D480" i="30"/>
  <c r="F480" i="30"/>
  <c r="G480" i="30"/>
  <c r="H480" i="30"/>
  <c r="I480" i="30"/>
  <c r="J480" i="30"/>
  <c r="A481" i="30"/>
  <c r="D481" i="30"/>
  <c r="E481" i="30"/>
  <c r="F481" i="30"/>
  <c r="G481" i="30"/>
  <c r="H481" i="30"/>
  <c r="I481" i="30"/>
  <c r="J481" i="30"/>
  <c r="A483" i="30"/>
  <c r="D483" i="30"/>
  <c r="F483" i="30"/>
  <c r="H483" i="30"/>
  <c r="I483" i="30"/>
  <c r="J483" i="30"/>
  <c r="A484" i="30"/>
  <c r="D484" i="30"/>
  <c r="F484" i="30"/>
  <c r="G484" i="30"/>
  <c r="H484" i="30"/>
  <c r="I484" i="30"/>
  <c r="J484" i="30"/>
  <c r="A486" i="30"/>
  <c r="D486" i="30"/>
  <c r="F486" i="30"/>
  <c r="G486" i="30"/>
  <c r="H486" i="30"/>
  <c r="I486" i="30"/>
  <c r="J486" i="30"/>
  <c r="A487" i="30"/>
  <c r="D487" i="30"/>
  <c r="F487" i="30"/>
  <c r="H487" i="30"/>
  <c r="I487" i="30"/>
  <c r="J487" i="30"/>
  <c r="A488" i="30"/>
  <c r="D488" i="30"/>
  <c r="E488" i="30"/>
  <c r="F488" i="30"/>
  <c r="G488" i="30"/>
  <c r="H488" i="30"/>
  <c r="I488" i="30"/>
  <c r="J488" i="30"/>
  <c r="A489" i="30"/>
  <c r="D489" i="30"/>
  <c r="E489" i="30"/>
  <c r="F489" i="30"/>
  <c r="G489" i="30"/>
  <c r="H489" i="30"/>
  <c r="I489" i="30"/>
  <c r="J489" i="30"/>
  <c r="A490" i="30"/>
  <c r="D490" i="30"/>
  <c r="E490" i="30"/>
  <c r="F490" i="30"/>
  <c r="G490" i="30"/>
  <c r="H490" i="30"/>
  <c r="I490" i="30"/>
  <c r="J490" i="30"/>
  <c r="A491" i="30"/>
  <c r="D491" i="30"/>
  <c r="E491" i="30"/>
  <c r="F491" i="30"/>
  <c r="G491" i="30"/>
  <c r="H491" i="30"/>
  <c r="I491" i="30"/>
  <c r="J491" i="30"/>
  <c r="A492" i="30"/>
  <c r="D492" i="30"/>
  <c r="E492" i="30"/>
  <c r="F492" i="30"/>
  <c r="G492" i="30"/>
  <c r="H492" i="30"/>
  <c r="I492" i="30"/>
  <c r="J492" i="30"/>
  <c r="A493" i="30"/>
  <c r="D493" i="30"/>
  <c r="E493" i="30"/>
  <c r="F493" i="30"/>
  <c r="G493" i="30"/>
  <c r="H493" i="30"/>
  <c r="I493" i="30"/>
  <c r="J493" i="30"/>
  <c r="A494" i="30"/>
  <c r="D494" i="30"/>
  <c r="E494" i="30"/>
  <c r="F494" i="30"/>
  <c r="G494" i="30"/>
  <c r="H494" i="30"/>
  <c r="I494" i="30"/>
  <c r="J494" i="30"/>
  <c r="A495" i="30"/>
  <c r="D495" i="30"/>
  <c r="E495" i="30"/>
  <c r="F495" i="30"/>
  <c r="G495" i="30"/>
  <c r="H495" i="30"/>
  <c r="I495" i="30"/>
  <c r="J495" i="30"/>
  <c r="A496" i="30"/>
  <c r="D496" i="30"/>
  <c r="E496" i="30"/>
  <c r="F496" i="30"/>
  <c r="G496" i="30"/>
  <c r="H496" i="30"/>
  <c r="I496" i="30"/>
  <c r="J496" i="30"/>
  <c r="A497" i="30"/>
  <c r="D497" i="30"/>
  <c r="E497" i="30"/>
  <c r="F497" i="30"/>
  <c r="G497" i="30"/>
  <c r="H497" i="30"/>
  <c r="I497" i="30"/>
  <c r="J497" i="30"/>
  <c r="A498" i="30"/>
  <c r="D498" i="30"/>
  <c r="F498" i="30"/>
  <c r="H498" i="30"/>
  <c r="I498" i="30"/>
  <c r="J498" i="30"/>
  <c r="A499" i="30"/>
  <c r="D499" i="30"/>
  <c r="F499" i="30"/>
  <c r="H499" i="30"/>
  <c r="I499" i="30"/>
  <c r="J499" i="30"/>
  <c r="A500" i="30"/>
  <c r="D500" i="30"/>
  <c r="F500" i="30"/>
  <c r="H500" i="30"/>
  <c r="I500" i="30"/>
  <c r="J500" i="30"/>
  <c r="A501" i="30"/>
  <c r="D501" i="30"/>
  <c r="F501" i="30"/>
  <c r="H501" i="30"/>
  <c r="I501" i="30"/>
  <c r="J501" i="30"/>
  <c r="A502" i="30"/>
  <c r="D502" i="30"/>
  <c r="F502" i="30"/>
  <c r="H502" i="30"/>
  <c r="I502" i="30"/>
  <c r="J502" i="30"/>
  <c r="A503" i="30"/>
  <c r="D503" i="30"/>
  <c r="F503" i="30"/>
  <c r="H503" i="30"/>
  <c r="I503" i="30"/>
  <c r="J503" i="30"/>
  <c r="A101" i="30"/>
  <c r="D101" i="30"/>
  <c r="F101" i="30"/>
  <c r="H101" i="30"/>
  <c r="I101" i="30"/>
  <c r="J101" i="30"/>
  <c r="A479" i="30"/>
  <c r="D479" i="30"/>
  <c r="F479" i="30"/>
  <c r="H479" i="30"/>
  <c r="I479" i="30"/>
  <c r="J479" i="30"/>
  <c r="A102" i="30"/>
  <c r="D102" i="30"/>
  <c r="F102" i="30"/>
  <c r="H102" i="30"/>
  <c r="I102" i="30"/>
  <c r="J102" i="30"/>
  <c r="A104" i="30"/>
  <c r="D104" i="30"/>
  <c r="F104" i="30"/>
  <c r="H104" i="30"/>
  <c r="I104" i="30"/>
  <c r="J104" i="30"/>
  <c r="A406" i="30"/>
  <c r="D406" i="30"/>
  <c r="F406" i="30"/>
  <c r="H406" i="30"/>
  <c r="I406" i="30"/>
  <c r="J406" i="30"/>
  <c r="A482" i="30"/>
  <c r="D482" i="30"/>
  <c r="F482" i="30"/>
  <c r="H482" i="30"/>
  <c r="I482" i="30"/>
  <c r="J482" i="30"/>
  <c r="A105" i="30"/>
  <c r="D105" i="30"/>
  <c r="F105" i="30"/>
  <c r="H105" i="30"/>
  <c r="I105" i="30"/>
  <c r="J105" i="30"/>
  <c r="A407" i="30"/>
  <c r="D407" i="30"/>
  <c r="F407" i="30"/>
  <c r="H407" i="30"/>
  <c r="I407" i="30"/>
  <c r="J407" i="30"/>
  <c r="A106" i="30"/>
  <c r="D106" i="30"/>
  <c r="F106" i="30"/>
  <c r="H106" i="30"/>
  <c r="I106" i="30"/>
  <c r="J106" i="30"/>
  <c r="A408" i="30"/>
  <c r="D408" i="30"/>
  <c r="F408" i="30"/>
  <c r="H408" i="30"/>
  <c r="I408" i="30"/>
  <c r="J408" i="30"/>
  <c r="A107" i="30"/>
  <c r="D107" i="30"/>
  <c r="F107" i="30"/>
  <c r="H107" i="30"/>
  <c r="I107" i="30"/>
  <c r="J107" i="30"/>
  <c r="A409" i="30"/>
  <c r="D409" i="30"/>
  <c r="F409" i="30"/>
  <c r="H409" i="30"/>
  <c r="I409" i="30"/>
  <c r="J409" i="30"/>
  <c r="A485" i="30"/>
  <c r="D485" i="30"/>
  <c r="F485" i="30"/>
  <c r="H485" i="30"/>
  <c r="I485" i="30"/>
  <c r="J485" i="30"/>
  <c r="A108" i="30"/>
  <c r="D108" i="30"/>
  <c r="F108" i="30"/>
  <c r="H108" i="30"/>
  <c r="I108" i="30"/>
  <c r="J108" i="30"/>
  <c r="A410" i="30"/>
  <c r="D410" i="30"/>
  <c r="F410" i="30"/>
  <c r="H410" i="30"/>
  <c r="I410" i="30"/>
  <c r="J410" i="30"/>
  <c r="A109" i="30"/>
  <c r="D109" i="30"/>
  <c r="F109" i="30"/>
  <c r="H109" i="30"/>
  <c r="I109" i="30"/>
  <c r="J109" i="30"/>
  <c r="A411" i="30"/>
  <c r="D411" i="30"/>
  <c r="F411" i="30"/>
  <c r="H411" i="30"/>
  <c r="I411" i="30"/>
  <c r="J411" i="30"/>
  <c r="A412" i="30"/>
  <c r="D412" i="30"/>
  <c r="F412" i="30"/>
  <c r="H412" i="30"/>
  <c r="I412" i="30"/>
  <c r="J412" i="30"/>
  <c r="A110" i="30"/>
  <c r="D110" i="30"/>
  <c r="F110" i="30"/>
  <c r="H110" i="30"/>
  <c r="I110" i="30"/>
  <c r="J110" i="30"/>
  <c r="A413" i="30"/>
  <c r="D413" i="30"/>
  <c r="F413" i="30"/>
  <c r="H413" i="30"/>
  <c r="I413" i="30"/>
  <c r="J413" i="30"/>
  <c r="A111" i="30"/>
  <c r="D111" i="30"/>
  <c r="F111" i="30"/>
  <c r="H111" i="30"/>
  <c r="I111" i="30"/>
  <c r="J111" i="30"/>
  <c r="A414" i="30"/>
  <c r="D414" i="30"/>
  <c r="F414" i="30"/>
  <c r="H414" i="30"/>
  <c r="I414" i="30"/>
  <c r="J414" i="30"/>
  <c r="A112" i="30"/>
  <c r="D112" i="30"/>
  <c r="F112" i="30"/>
  <c r="H112" i="30"/>
  <c r="I112" i="30"/>
  <c r="J112" i="30"/>
  <c r="A415" i="30"/>
  <c r="D415" i="30"/>
  <c r="F415" i="30"/>
  <c r="H415" i="30"/>
  <c r="I415" i="30"/>
  <c r="J415" i="30"/>
  <c r="A113" i="30"/>
  <c r="D113" i="30"/>
  <c r="E113" i="30"/>
  <c r="F113" i="30"/>
  <c r="G113" i="30"/>
  <c r="H113" i="30"/>
  <c r="I113" i="30"/>
  <c r="J113" i="30"/>
  <c r="A418" i="30"/>
  <c r="D418" i="30"/>
  <c r="E418" i="30"/>
  <c r="F418" i="30"/>
  <c r="G418" i="30"/>
  <c r="H418" i="30"/>
  <c r="I418" i="30"/>
  <c r="J418" i="30"/>
  <c r="A114" i="30"/>
  <c r="D114" i="30"/>
  <c r="E114" i="30"/>
  <c r="F114" i="30"/>
  <c r="G114" i="30"/>
  <c r="H114" i="30"/>
  <c r="I114" i="30"/>
  <c r="J114" i="30"/>
  <c r="A115" i="30"/>
  <c r="D115" i="30"/>
  <c r="E115" i="30"/>
  <c r="F115" i="30"/>
  <c r="G115" i="30"/>
  <c r="H115" i="30"/>
  <c r="I115" i="30"/>
  <c r="J115" i="30"/>
  <c r="A419" i="30"/>
  <c r="D419" i="30"/>
  <c r="E419" i="30"/>
  <c r="F419" i="30"/>
  <c r="G419" i="30"/>
  <c r="H419" i="30"/>
  <c r="I419" i="30"/>
  <c r="J419" i="30"/>
  <c r="A420" i="30"/>
  <c r="D420" i="30"/>
  <c r="E420" i="30"/>
  <c r="F420" i="30"/>
  <c r="G420" i="30"/>
  <c r="H420" i="30"/>
  <c r="I420" i="30"/>
  <c r="J420" i="30"/>
  <c r="A116" i="30"/>
  <c r="D116" i="30"/>
  <c r="E116" i="30"/>
  <c r="F116" i="30"/>
  <c r="G116" i="30"/>
  <c r="H116" i="30"/>
  <c r="I116" i="30"/>
  <c r="J116" i="30"/>
  <c r="A117" i="30"/>
  <c r="D117" i="30"/>
  <c r="E117" i="30"/>
  <c r="F117" i="30"/>
  <c r="G117" i="30"/>
  <c r="H117" i="30"/>
  <c r="I117" i="30"/>
  <c r="J117" i="30"/>
  <c r="A118" i="30"/>
  <c r="D118" i="30"/>
  <c r="F118" i="30"/>
  <c r="H118" i="30"/>
  <c r="I118" i="30"/>
  <c r="J118" i="30"/>
  <c r="A119" i="30"/>
  <c r="D119" i="30"/>
  <c r="F119" i="30"/>
  <c r="H119" i="30"/>
  <c r="I119" i="30"/>
  <c r="J119" i="30"/>
  <c r="A120" i="30"/>
  <c r="D120" i="30"/>
  <c r="E120" i="30"/>
  <c r="F120" i="30"/>
  <c r="G120" i="30"/>
  <c r="H120" i="30"/>
  <c r="I120" i="30"/>
  <c r="J120" i="30"/>
  <c r="A425" i="30"/>
  <c r="D425" i="30"/>
  <c r="E425" i="30"/>
  <c r="F425" i="30"/>
  <c r="G425" i="30"/>
  <c r="H425" i="30"/>
  <c r="I425" i="30"/>
  <c r="J425" i="30"/>
  <c r="A121" i="30"/>
  <c r="D121" i="30"/>
  <c r="E121" i="30"/>
  <c r="F121" i="30"/>
  <c r="G121" i="30"/>
  <c r="H121" i="30"/>
  <c r="I121" i="30"/>
  <c r="J121" i="30"/>
  <c r="A426" i="30"/>
  <c r="D426" i="30"/>
  <c r="E426" i="30"/>
  <c r="F426" i="30"/>
  <c r="G426" i="30"/>
  <c r="H426" i="30"/>
  <c r="I426" i="30"/>
  <c r="J426" i="30"/>
  <c r="A122" i="30"/>
  <c r="D122" i="30"/>
  <c r="F122" i="30"/>
  <c r="H122" i="30"/>
  <c r="I122" i="30"/>
  <c r="J122" i="30"/>
  <c r="A194" i="30"/>
  <c r="D194" i="30"/>
  <c r="F194" i="30"/>
  <c r="H194" i="30"/>
  <c r="I194" i="30"/>
  <c r="J194" i="30"/>
  <c r="A427" i="30"/>
  <c r="D427" i="30"/>
  <c r="F427" i="30"/>
  <c r="H427" i="30"/>
  <c r="I427" i="30"/>
  <c r="J427" i="30"/>
  <c r="A123" i="30"/>
  <c r="D123" i="30"/>
  <c r="F123" i="30"/>
  <c r="H123" i="30"/>
  <c r="I123" i="30"/>
  <c r="J123" i="30"/>
  <c r="A50" i="30"/>
  <c r="D50" i="30"/>
  <c r="F50" i="30"/>
  <c r="H50" i="30"/>
  <c r="I50" i="30"/>
  <c r="J50" i="30"/>
  <c r="A195" i="30"/>
  <c r="B195" i="30"/>
  <c r="D195" i="30"/>
  <c r="F195" i="30"/>
  <c r="H195" i="30"/>
  <c r="I195" i="30"/>
  <c r="J195" i="30"/>
  <c r="K195" i="30"/>
  <c r="A124" i="30"/>
  <c r="D124" i="30"/>
  <c r="F124" i="30"/>
  <c r="H124" i="30"/>
  <c r="I124" i="30"/>
  <c r="J124" i="30"/>
  <c r="A429" i="30"/>
  <c r="D429" i="30"/>
  <c r="F429" i="30"/>
  <c r="H429" i="30"/>
  <c r="I429" i="30"/>
  <c r="J429" i="30"/>
  <c r="A51" i="30"/>
  <c r="D51" i="30"/>
  <c r="F51" i="30"/>
  <c r="H51" i="30"/>
  <c r="I51" i="30"/>
  <c r="J51" i="30"/>
  <c r="A260" i="30"/>
  <c r="D260" i="30"/>
  <c r="F260" i="30"/>
  <c r="H260" i="30"/>
  <c r="I260" i="30"/>
  <c r="J260" i="30"/>
  <c r="A52" i="30"/>
  <c r="D52" i="30"/>
  <c r="F52" i="30"/>
  <c r="H52" i="30"/>
  <c r="I52" i="30"/>
  <c r="J52" i="30"/>
  <c r="A428" i="30"/>
  <c r="D428" i="30"/>
  <c r="F428" i="30"/>
  <c r="H428" i="30"/>
  <c r="I428" i="30"/>
  <c r="J428" i="30"/>
  <c r="A24" i="30"/>
  <c r="D24" i="30"/>
  <c r="E24" i="30"/>
  <c r="F24" i="30"/>
  <c r="G24" i="30"/>
  <c r="H24" i="30"/>
  <c r="I24" i="30"/>
  <c r="J24" i="30"/>
  <c r="A25" i="30"/>
  <c r="D25" i="30"/>
  <c r="E25" i="30"/>
  <c r="F25" i="30"/>
  <c r="G25" i="30"/>
  <c r="H25" i="30"/>
  <c r="I25" i="30"/>
  <c r="J25" i="30"/>
  <c r="A26" i="30"/>
  <c r="D26" i="30"/>
  <c r="E26" i="30"/>
  <c r="F26" i="30"/>
  <c r="G26" i="30"/>
  <c r="H26" i="30"/>
  <c r="I26" i="30"/>
  <c r="J26" i="30"/>
  <c r="A27" i="30"/>
  <c r="D27" i="30"/>
  <c r="E27" i="30"/>
  <c r="F27" i="30"/>
  <c r="G27" i="30"/>
  <c r="H27" i="30"/>
  <c r="I27" i="30"/>
  <c r="J27" i="30"/>
  <c r="A30" i="30"/>
  <c r="D30" i="30"/>
  <c r="E30" i="30"/>
  <c r="F30" i="30"/>
  <c r="G30" i="30"/>
  <c r="H30" i="30"/>
  <c r="I30" i="30"/>
  <c r="J30" i="30"/>
  <c r="A31" i="30"/>
  <c r="D31" i="30"/>
  <c r="E31" i="30"/>
  <c r="F31" i="30"/>
  <c r="G31" i="30"/>
  <c r="H31" i="30"/>
  <c r="I31" i="30"/>
  <c r="J31" i="30"/>
  <c r="A35" i="30"/>
  <c r="D35" i="30"/>
  <c r="E35" i="30"/>
  <c r="F35" i="30"/>
  <c r="G35" i="30"/>
  <c r="H35" i="30"/>
  <c r="I35" i="30"/>
  <c r="J35" i="30"/>
  <c r="A36" i="30"/>
  <c r="D36" i="30"/>
  <c r="E36" i="30"/>
  <c r="F36" i="30"/>
  <c r="G36" i="30"/>
  <c r="H36" i="30"/>
  <c r="I36" i="30"/>
  <c r="J36" i="30"/>
  <c r="A37" i="30"/>
  <c r="D37" i="30"/>
  <c r="E37" i="30"/>
  <c r="F37" i="30"/>
  <c r="G37" i="30"/>
  <c r="H37" i="30"/>
  <c r="I37" i="30"/>
  <c r="J37" i="30"/>
  <c r="A38" i="30"/>
  <c r="D38" i="30"/>
  <c r="E38" i="30"/>
  <c r="F38" i="30"/>
  <c r="G38" i="30"/>
  <c r="H38" i="30"/>
  <c r="I38" i="30"/>
  <c r="J38" i="30"/>
  <c r="A39" i="30"/>
  <c r="D39" i="30"/>
  <c r="E39" i="30"/>
  <c r="F39" i="30"/>
  <c r="G39" i="30"/>
  <c r="H39" i="30"/>
  <c r="I39" i="30"/>
  <c r="J39" i="30"/>
  <c r="A40" i="30"/>
  <c r="D40" i="30"/>
  <c r="E40" i="30"/>
  <c r="F40" i="30"/>
  <c r="G40" i="30"/>
  <c r="H40" i="30"/>
  <c r="I40" i="30"/>
  <c r="J40" i="30"/>
  <c r="A41" i="30"/>
  <c r="D41" i="30"/>
  <c r="E41" i="30"/>
  <c r="F41" i="30"/>
  <c r="G41" i="30"/>
  <c r="H41" i="30"/>
  <c r="I41" i="30"/>
  <c r="J41" i="30"/>
  <c r="A42" i="30"/>
  <c r="D42" i="30"/>
  <c r="E42" i="30"/>
  <c r="F42" i="30"/>
  <c r="G42" i="30"/>
  <c r="H42" i="30"/>
  <c r="I42" i="30"/>
  <c r="J42" i="30"/>
  <c r="A43" i="30"/>
  <c r="D43" i="30"/>
  <c r="E43" i="30"/>
  <c r="F43" i="30"/>
  <c r="G43" i="30"/>
  <c r="H43" i="30"/>
  <c r="I43" i="30"/>
  <c r="J43" i="30"/>
  <c r="A44" i="30"/>
  <c r="D44" i="30"/>
  <c r="E44" i="30"/>
  <c r="F44" i="30"/>
  <c r="G44" i="30"/>
  <c r="H44" i="30"/>
  <c r="I44" i="30"/>
  <c r="J44" i="30"/>
  <c r="A45" i="30"/>
  <c r="D45" i="30"/>
  <c r="F45" i="30"/>
  <c r="G45" i="30"/>
  <c r="H45" i="30"/>
  <c r="I45" i="30"/>
  <c r="J45" i="30"/>
  <c r="A46" i="30"/>
  <c r="D46" i="30"/>
  <c r="F46" i="30"/>
  <c r="H46" i="30"/>
  <c r="I46" i="30"/>
  <c r="J46" i="30"/>
  <c r="A47" i="30"/>
  <c r="D47" i="30"/>
  <c r="F47" i="30"/>
  <c r="H47" i="30"/>
  <c r="I47" i="30"/>
  <c r="J47" i="30"/>
  <c r="A48" i="30"/>
  <c r="D48" i="30"/>
  <c r="F48" i="30"/>
  <c r="H48" i="30"/>
  <c r="I48" i="30"/>
  <c r="J48" i="30"/>
  <c r="A49" i="30"/>
  <c r="D49" i="30"/>
  <c r="F49" i="30"/>
  <c r="G49" i="30"/>
  <c r="H49" i="30"/>
  <c r="I49" i="30"/>
  <c r="J49" i="30"/>
  <c r="A100" i="30"/>
  <c r="D100" i="30"/>
  <c r="F100" i="30"/>
  <c r="H100" i="30"/>
  <c r="I100" i="30"/>
  <c r="J100" i="30"/>
  <c r="A28" i="30"/>
  <c r="D28" i="30"/>
  <c r="F28" i="30"/>
  <c r="H28" i="30"/>
  <c r="I28" i="30"/>
  <c r="J28" i="30"/>
  <c r="A103" i="30"/>
  <c r="D103" i="30"/>
  <c r="F103" i="30"/>
  <c r="H103" i="30"/>
  <c r="I103" i="30"/>
  <c r="J103" i="30"/>
  <c r="A29" i="30"/>
  <c r="D29" i="30"/>
  <c r="F29" i="30"/>
  <c r="H29" i="30"/>
  <c r="I29" i="30"/>
  <c r="J29" i="30"/>
  <c r="A32" i="30"/>
  <c r="D32" i="30"/>
  <c r="F32" i="30"/>
  <c r="H32" i="30"/>
  <c r="I32" i="30"/>
  <c r="J32" i="30"/>
  <c r="A33" i="30"/>
  <c r="D33" i="30"/>
  <c r="F33" i="30"/>
  <c r="H33" i="30"/>
  <c r="I33" i="30"/>
  <c r="J33" i="30"/>
  <c r="A34" i="30"/>
  <c r="D34" i="30"/>
  <c r="F34" i="30"/>
  <c r="H34" i="30"/>
  <c r="I34" i="30"/>
  <c r="J34" i="30"/>
  <c r="A416" i="30"/>
  <c r="D416" i="30"/>
  <c r="F416" i="30"/>
  <c r="H416" i="30"/>
  <c r="I416" i="30"/>
  <c r="J416" i="30"/>
  <c r="A417" i="30"/>
  <c r="D417" i="30"/>
  <c r="F417" i="30"/>
  <c r="H417" i="30"/>
  <c r="I417" i="30"/>
  <c r="J417" i="30"/>
  <c r="A421" i="30"/>
  <c r="D421" i="30"/>
  <c r="E421" i="30"/>
  <c r="F421" i="30"/>
  <c r="G421" i="30"/>
  <c r="H421" i="30"/>
  <c r="I421" i="30"/>
  <c r="J421" i="30"/>
  <c r="A422" i="30"/>
  <c r="D422" i="30"/>
  <c r="E422" i="30"/>
  <c r="F422" i="30"/>
  <c r="G422" i="30"/>
  <c r="H422" i="30"/>
  <c r="I422" i="30"/>
  <c r="J422" i="30"/>
  <c r="A423" i="30"/>
  <c r="D423" i="30"/>
  <c r="E423" i="30"/>
  <c r="F423" i="30"/>
  <c r="G423" i="30"/>
  <c r="H423" i="30"/>
  <c r="I423" i="30"/>
  <c r="J423" i="30"/>
  <c r="A424" i="30"/>
  <c r="D424" i="30"/>
  <c r="E424" i="30"/>
  <c r="F424" i="30"/>
  <c r="G424" i="30"/>
  <c r="H424" i="30"/>
  <c r="I424" i="30"/>
  <c r="J424" i="30"/>
  <c r="A505" i="30"/>
  <c r="D505" i="30"/>
  <c r="F505" i="30"/>
  <c r="H505" i="30"/>
  <c r="I505" i="30"/>
  <c r="J505" i="30"/>
  <c r="A504" i="30"/>
  <c r="D504" i="30"/>
  <c r="F504" i="30"/>
  <c r="H504" i="30"/>
  <c r="I504" i="30"/>
  <c r="J504" i="30"/>
  <c r="A273" i="30"/>
  <c r="D273" i="30"/>
  <c r="F273" i="30"/>
  <c r="H273" i="30"/>
  <c r="I273" i="30"/>
  <c r="J273" i="30"/>
  <c r="A312" i="30"/>
  <c r="D312" i="30"/>
  <c r="F312" i="30"/>
  <c r="H312" i="30"/>
  <c r="I312" i="30"/>
  <c r="J312" i="30"/>
  <c r="A274" i="30"/>
  <c r="D274" i="30"/>
  <c r="F274" i="30"/>
  <c r="H274" i="30"/>
  <c r="I274" i="30"/>
  <c r="J274" i="30"/>
  <c r="A275" i="30"/>
  <c r="D275" i="30"/>
  <c r="F275" i="30"/>
  <c r="H275" i="30"/>
  <c r="I275" i="30"/>
  <c r="J275" i="30"/>
  <c r="A276" i="30"/>
  <c r="D276" i="30"/>
  <c r="F276" i="30"/>
  <c r="H276" i="30"/>
  <c r="I276" i="30"/>
  <c r="J276" i="30"/>
  <c r="A277" i="30"/>
  <c r="D277" i="30"/>
  <c r="F277" i="30"/>
  <c r="H277" i="30"/>
  <c r="I277" i="30"/>
  <c r="J277" i="30"/>
  <c r="A316" i="30"/>
  <c r="D316" i="30"/>
  <c r="F316" i="30"/>
  <c r="H316" i="30"/>
  <c r="I316" i="30"/>
  <c r="J316" i="30"/>
  <c r="A278" i="30"/>
  <c r="D278" i="30"/>
  <c r="F278" i="30"/>
  <c r="H278" i="30"/>
  <c r="I278" i="30"/>
  <c r="J278" i="30"/>
  <c r="A279" i="30"/>
  <c r="D279" i="30"/>
  <c r="F279" i="30"/>
  <c r="H279" i="30"/>
  <c r="I279" i="30"/>
  <c r="J279" i="30"/>
  <c r="A280" i="30"/>
  <c r="D280" i="30"/>
  <c r="F280" i="30"/>
  <c r="H280" i="30"/>
  <c r="I280" i="30"/>
  <c r="J280" i="30"/>
  <c r="A281" i="30"/>
  <c r="D281" i="30"/>
  <c r="F281" i="30"/>
  <c r="H281" i="30"/>
  <c r="I281" i="30"/>
  <c r="J281" i="30"/>
  <c r="A320" i="30"/>
  <c r="D320" i="30"/>
  <c r="F320" i="30"/>
  <c r="H320" i="30"/>
  <c r="I320" i="30"/>
  <c r="J320" i="30"/>
  <c r="A282" i="30"/>
  <c r="D282" i="30"/>
  <c r="F282" i="30"/>
  <c r="H282" i="30"/>
  <c r="I282" i="30"/>
  <c r="J282" i="30"/>
  <c r="A283" i="30"/>
  <c r="D283" i="30"/>
  <c r="F283" i="30"/>
  <c r="H283" i="30"/>
  <c r="I283" i="30"/>
  <c r="J283" i="30"/>
  <c r="A207" i="30"/>
  <c r="D207" i="30"/>
  <c r="E207" i="30"/>
  <c r="F207" i="30"/>
  <c r="H207" i="30"/>
  <c r="I207" i="30"/>
  <c r="J207" i="30"/>
  <c r="A324" i="30"/>
  <c r="D324" i="30"/>
  <c r="E324" i="30"/>
  <c r="F324" i="30"/>
  <c r="H324" i="30"/>
  <c r="I324" i="30"/>
  <c r="J324" i="30"/>
  <c r="A208" i="30"/>
  <c r="D208" i="30"/>
  <c r="E208" i="30"/>
  <c r="F208" i="30"/>
  <c r="H208" i="30"/>
  <c r="I208" i="30"/>
  <c r="J208" i="30"/>
  <c r="A325" i="30"/>
  <c r="D325" i="30"/>
  <c r="E325" i="30"/>
  <c r="F325" i="30"/>
  <c r="H325" i="30"/>
  <c r="I325" i="30"/>
  <c r="J325" i="30"/>
  <c r="A326" i="30"/>
  <c r="D326" i="30"/>
  <c r="E326" i="30"/>
  <c r="F326" i="30"/>
  <c r="H326" i="30"/>
  <c r="I326" i="30"/>
  <c r="J326" i="30"/>
  <c r="A327" i="30"/>
  <c r="D327" i="30"/>
  <c r="E327" i="30"/>
  <c r="F327" i="30"/>
  <c r="H327" i="30"/>
  <c r="I327" i="30"/>
  <c r="J327" i="30"/>
  <c r="A328" i="30"/>
  <c r="D328" i="30"/>
  <c r="F328" i="30"/>
  <c r="H328" i="30"/>
  <c r="I328" i="30"/>
  <c r="J328" i="30"/>
  <c r="A329" i="30"/>
  <c r="D329" i="30"/>
  <c r="F329" i="30"/>
  <c r="H329" i="30"/>
  <c r="I329" i="30"/>
  <c r="J329" i="30"/>
  <c r="A331" i="30"/>
  <c r="D331" i="30"/>
  <c r="F331" i="30"/>
  <c r="H331" i="30"/>
  <c r="I331" i="30"/>
  <c r="J331" i="30"/>
  <c r="A330" i="30"/>
  <c r="D330" i="30"/>
  <c r="F330" i="30"/>
  <c r="G330" i="30"/>
  <c r="H330" i="30"/>
  <c r="I330" i="30"/>
  <c r="J330" i="30"/>
  <c r="A332" i="30"/>
  <c r="D332" i="30"/>
  <c r="F332" i="30"/>
  <c r="H332" i="30"/>
  <c r="I332" i="30"/>
  <c r="J332" i="30"/>
  <c r="A334" i="30"/>
  <c r="D334" i="30"/>
  <c r="F334" i="30"/>
  <c r="H334" i="30"/>
  <c r="I334" i="30"/>
  <c r="J334" i="30"/>
  <c r="A335" i="30"/>
  <c r="D335" i="30"/>
  <c r="F335" i="30"/>
  <c r="H335" i="30"/>
  <c r="I335" i="30"/>
  <c r="J335" i="30"/>
  <c r="A333" i="30"/>
  <c r="D333" i="30"/>
  <c r="E333" i="30"/>
  <c r="F333" i="30"/>
  <c r="H333" i="30"/>
  <c r="I333" i="30"/>
  <c r="J333" i="30"/>
  <c r="A2" i="30"/>
  <c r="D2" i="30"/>
  <c r="F2" i="30"/>
  <c r="H2" i="30"/>
  <c r="I2" i="30"/>
  <c r="J2" i="30"/>
  <c r="A3" i="30"/>
  <c r="D3" i="30"/>
  <c r="F3" i="30"/>
  <c r="H3" i="30"/>
  <c r="I3" i="30"/>
  <c r="J3" i="30"/>
  <c r="A4" i="30"/>
  <c r="D4" i="30"/>
  <c r="E4" i="30"/>
  <c r="F4" i="30"/>
  <c r="G4" i="30"/>
  <c r="H4" i="30"/>
  <c r="I4" i="30"/>
  <c r="J4" i="30"/>
  <c r="A5" i="30"/>
  <c r="D5" i="30"/>
  <c r="F5" i="30"/>
  <c r="H5" i="30"/>
  <c r="I5" i="30"/>
  <c r="J5" i="30"/>
  <c r="A6" i="30"/>
  <c r="D6" i="30"/>
  <c r="F6" i="30"/>
  <c r="H6" i="30"/>
  <c r="I6" i="30"/>
  <c r="J6" i="30"/>
  <c r="A7" i="30"/>
  <c r="D7" i="30"/>
  <c r="E7" i="30"/>
  <c r="F7" i="30"/>
  <c r="G7" i="30"/>
  <c r="H7" i="30"/>
  <c r="I7" i="30"/>
  <c r="J7" i="30"/>
  <c r="A8" i="30"/>
  <c r="D8" i="30"/>
  <c r="E8" i="30"/>
  <c r="F8" i="30"/>
  <c r="G8" i="30"/>
  <c r="H8" i="30"/>
  <c r="I8" i="30"/>
  <c r="J8" i="30"/>
  <c r="A9" i="30"/>
  <c r="D9" i="30"/>
  <c r="F9" i="30"/>
  <c r="H9" i="30"/>
  <c r="I9" i="30"/>
  <c r="J9" i="30"/>
  <c r="A10" i="30"/>
  <c r="D10" i="30"/>
  <c r="F10" i="30"/>
  <c r="H10" i="30"/>
  <c r="I10" i="30"/>
  <c r="J10" i="30"/>
  <c r="A11" i="30"/>
  <c r="D11" i="30"/>
  <c r="E11" i="30"/>
  <c r="F11" i="30"/>
  <c r="G11" i="30"/>
  <c r="H11" i="30"/>
  <c r="I11" i="30"/>
  <c r="J11" i="30"/>
  <c r="A12" i="30"/>
  <c r="D12" i="30"/>
  <c r="E12" i="30"/>
  <c r="F12" i="30"/>
  <c r="G12" i="30"/>
  <c r="H12" i="30"/>
  <c r="I12" i="30"/>
  <c r="J12" i="30"/>
  <c r="A13" i="30"/>
  <c r="D13" i="30"/>
  <c r="E13" i="30"/>
  <c r="F13" i="30"/>
  <c r="G13" i="30"/>
  <c r="H13" i="30"/>
  <c r="I13" i="30"/>
  <c r="J13" i="30"/>
  <c r="A14" i="30"/>
  <c r="D14" i="30"/>
  <c r="E14" i="30"/>
  <c r="F14" i="30"/>
  <c r="G14" i="30"/>
  <c r="H14" i="30"/>
  <c r="I14" i="30"/>
  <c r="J14" i="30"/>
  <c r="A15" i="30"/>
  <c r="D15" i="30"/>
  <c r="E15" i="30"/>
  <c r="F15" i="30"/>
  <c r="G15" i="30"/>
  <c r="H15" i="30"/>
  <c r="I15" i="30"/>
  <c r="J15" i="30"/>
  <c r="A16" i="30"/>
  <c r="D16" i="30"/>
  <c r="E16" i="30"/>
  <c r="F16" i="30"/>
  <c r="G16" i="30"/>
  <c r="H16" i="30"/>
  <c r="I16" i="30"/>
  <c r="J16" i="30"/>
  <c r="A17" i="30"/>
  <c r="D17" i="30"/>
  <c r="E17" i="30"/>
  <c r="F17" i="30"/>
  <c r="G17" i="30"/>
  <c r="H17" i="30"/>
  <c r="I17" i="30"/>
  <c r="J17" i="30"/>
  <c r="A19" i="30"/>
  <c r="D19" i="30"/>
  <c r="F19" i="30"/>
  <c r="G19" i="30"/>
  <c r="H19" i="30"/>
  <c r="I19" i="30"/>
  <c r="J19" i="30"/>
  <c r="A20" i="30"/>
  <c r="D20" i="30"/>
  <c r="F20" i="30"/>
  <c r="H20" i="30"/>
  <c r="I20" i="30"/>
  <c r="J20" i="30"/>
  <c r="A21" i="30"/>
  <c r="D21" i="30"/>
  <c r="F21" i="30"/>
  <c r="H21" i="30"/>
  <c r="I21" i="30"/>
  <c r="J21" i="30"/>
  <c r="A22" i="30"/>
  <c r="D22" i="30"/>
  <c r="F22" i="30"/>
  <c r="H22" i="30"/>
  <c r="I22" i="30"/>
  <c r="J22" i="30"/>
  <c r="A23" i="30"/>
  <c r="D23" i="30"/>
  <c r="F23" i="30"/>
  <c r="G23" i="30"/>
  <c r="H23" i="30"/>
  <c r="I23" i="30"/>
  <c r="J23" i="30"/>
  <c r="A313" i="30"/>
  <c r="D313" i="30"/>
  <c r="F313" i="30"/>
  <c r="H313" i="30"/>
  <c r="I313" i="30"/>
  <c r="J313" i="30"/>
  <c r="A198" i="30"/>
  <c r="D198" i="30"/>
  <c r="F198" i="30"/>
  <c r="H198" i="30"/>
  <c r="I198" i="30"/>
  <c r="J198" i="30"/>
  <c r="A314" i="30"/>
  <c r="D314" i="30"/>
  <c r="F314" i="30"/>
  <c r="H314" i="30"/>
  <c r="I314" i="30"/>
  <c r="J314" i="30"/>
  <c r="A199" i="30"/>
  <c r="D199" i="30"/>
  <c r="F199" i="30"/>
  <c r="H199" i="30"/>
  <c r="I199" i="30"/>
  <c r="J199" i="30"/>
  <c r="A315" i="30"/>
  <c r="D315" i="30"/>
  <c r="F315" i="30"/>
  <c r="H315" i="30"/>
  <c r="I315" i="30"/>
  <c r="J315" i="30"/>
  <c r="A200" i="30"/>
  <c r="D200" i="30"/>
  <c r="F200" i="30"/>
  <c r="H200" i="30"/>
  <c r="I200" i="30"/>
  <c r="J200" i="30"/>
  <c r="A317" i="30"/>
  <c r="D317" i="30"/>
  <c r="F317" i="30"/>
  <c r="H317" i="30"/>
  <c r="I317" i="30"/>
  <c r="J317" i="30"/>
  <c r="A201" i="30"/>
  <c r="D201" i="30"/>
  <c r="F201" i="30"/>
  <c r="H201" i="30"/>
  <c r="I201" i="30"/>
  <c r="J201" i="30"/>
  <c r="A318" i="30"/>
  <c r="D318" i="30"/>
  <c r="F318" i="30"/>
  <c r="H318" i="30"/>
  <c r="I318" i="30"/>
  <c r="J318" i="30"/>
  <c r="A202" i="30"/>
  <c r="D202" i="30"/>
  <c r="F202" i="30"/>
  <c r="H202" i="30"/>
  <c r="I202" i="30"/>
  <c r="J202" i="30"/>
  <c r="A319" i="30"/>
  <c r="D319" i="30"/>
  <c r="F319" i="30"/>
  <c r="H319" i="30"/>
  <c r="I319" i="30"/>
  <c r="J319" i="30"/>
  <c r="A203" i="30"/>
  <c r="D203" i="30"/>
  <c r="F203" i="30"/>
  <c r="H203" i="30"/>
  <c r="I203" i="30"/>
  <c r="J203" i="30"/>
  <c r="A204" i="30"/>
  <c r="D204" i="30"/>
  <c r="F204" i="30"/>
  <c r="H204" i="30"/>
  <c r="I204" i="30"/>
  <c r="J204" i="30"/>
  <c r="A321" i="30"/>
  <c r="D321" i="30"/>
  <c r="F321" i="30"/>
  <c r="H321" i="30"/>
  <c r="I321" i="30"/>
  <c r="J321" i="30"/>
  <c r="A205" i="30"/>
  <c r="D205" i="30"/>
  <c r="F205" i="30"/>
  <c r="H205" i="30"/>
  <c r="I205" i="30"/>
  <c r="J205" i="30"/>
  <c r="A322" i="30"/>
  <c r="D322" i="30"/>
  <c r="F322" i="30"/>
  <c r="H322" i="30"/>
  <c r="I322" i="30"/>
  <c r="J322" i="30"/>
  <c r="A206" i="30"/>
  <c r="D206" i="30"/>
  <c r="F206" i="30"/>
  <c r="H206" i="30"/>
  <c r="I206" i="30"/>
  <c r="J206" i="30"/>
  <c r="A323" i="30"/>
  <c r="D323" i="30"/>
  <c r="F323" i="30"/>
  <c r="H323" i="30"/>
  <c r="I323" i="30"/>
  <c r="J323" i="30"/>
  <c r="A393" i="30"/>
  <c r="D393" i="30"/>
  <c r="F393" i="30"/>
  <c r="H393" i="30"/>
  <c r="I393" i="30"/>
  <c r="J393" i="30"/>
  <c r="A163" i="30"/>
  <c r="D163" i="30"/>
  <c r="F163" i="30"/>
  <c r="H163" i="30"/>
  <c r="I163" i="30"/>
  <c r="J163" i="30"/>
  <c r="A284" i="30"/>
  <c r="D284" i="30"/>
  <c r="F284" i="30"/>
  <c r="H284" i="30"/>
  <c r="I284" i="30"/>
  <c r="J284" i="30"/>
  <c r="A88" i="30"/>
  <c r="D88" i="30"/>
  <c r="F88" i="30"/>
  <c r="H88" i="30"/>
  <c r="I88" i="30"/>
  <c r="J88" i="30"/>
  <c r="A89" i="30"/>
  <c r="D89" i="30"/>
  <c r="F89" i="30"/>
  <c r="H89" i="30"/>
  <c r="I89" i="30"/>
  <c r="J89" i="30"/>
  <c r="A90" i="30"/>
  <c r="D90" i="30"/>
  <c r="F90" i="30"/>
  <c r="H90" i="30"/>
  <c r="I90" i="30"/>
  <c r="J90" i="30"/>
  <c r="A396" i="30"/>
  <c r="D396" i="30"/>
  <c r="F396" i="30"/>
  <c r="H396" i="30"/>
  <c r="I396" i="30"/>
  <c r="J396" i="30"/>
  <c r="A166" i="30"/>
  <c r="D166" i="30"/>
  <c r="F166" i="30"/>
  <c r="H166" i="30"/>
  <c r="I166" i="30"/>
  <c r="J166" i="30"/>
  <c r="A287" i="30"/>
  <c r="D287" i="30"/>
  <c r="F287" i="30"/>
  <c r="H287" i="30"/>
  <c r="I287" i="30"/>
  <c r="J287" i="30"/>
  <c r="A91" i="30"/>
  <c r="D91" i="30"/>
  <c r="F91" i="30"/>
  <c r="H91" i="30"/>
  <c r="I91" i="30"/>
  <c r="J91" i="30"/>
  <c r="A92" i="30"/>
  <c r="D92" i="30"/>
  <c r="F92" i="30"/>
  <c r="H92" i="30"/>
  <c r="I92" i="30"/>
  <c r="J92" i="30"/>
  <c r="A399" i="30"/>
  <c r="D399" i="30"/>
  <c r="F399" i="30"/>
  <c r="H399" i="30"/>
  <c r="I399" i="30"/>
  <c r="J399" i="30"/>
  <c r="A169" i="30"/>
  <c r="D169" i="30"/>
  <c r="F169" i="30"/>
  <c r="H169" i="30"/>
  <c r="I169" i="30"/>
  <c r="J169" i="30"/>
  <c r="A18" i="30"/>
  <c r="D18" i="30"/>
  <c r="F18" i="30"/>
  <c r="H18" i="30"/>
  <c r="I18" i="30"/>
  <c r="J18" i="30"/>
  <c r="A96" i="30"/>
  <c r="D96" i="30"/>
  <c r="F96" i="30"/>
  <c r="H96" i="30"/>
  <c r="I96" i="30"/>
  <c r="J96" i="30"/>
  <c r="A94" i="30"/>
  <c r="D94" i="30"/>
  <c r="F94" i="30"/>
  <c r="H94" i="30"/>
  <c r="I94" i="30"/>
  <c r="J94" i="30"/>
  <c r="A95" i="30"/>
  <c r="D95" i="30"/>
  <c r="F95" i="30"/>
  <c r="H95" i="30"/>
  <c r="I95" i="30"/>
  <c r="J95" i="30"/>
  <c r="A93" i="30"/>
  <c r="D93" i="30"/>
  <c r="F93" i="30"/>
  <c r="H93" i="30"/>
  <c r="I93" i="30"/>
  <c r="J93" i="30"/>
  <c r="A97" i="30"/>
  <c r="D97" i="30"/>
  <c r="E97" i="30"/>
  <c r="F97" i="30"/>
  <c r="G97" i="30"/>
  <c r="H97" i="30"/>
  <c r="I97" i="30"/>
  <c r="J97" i="30"/>
  <c r="A98" i="30"/>
  <c r="D98" i="30"/>
  <c r="E98" i="30"/>
  <c r="F98" i="30"/>
  <c r="G98" i="30"/>
  <c r="H98" i="30"/>
  <c r="I98" i="30"/>
  <c r="J98" i="30"/>
  <c r="A196" i="30"/>
  <c r="D196" i="30"/>
  <c r="E196" i="30"/>
  <c r="F196" i="30"/>
  <c r="G196" i="30"/>
  <c r="H196" i="30"/>
  <c r="I196" i="30"/>
  <c r="J196" i="30"/>
  <c r="A75" i="30"/>
  <c r="D75" i="30"/>
  <c r="E75" i="30"/>
  <c r="F75" i="30"/>
  <c r="G75" i="30"/>
  <c r="H75" i="30"/>
  <c r="I75" i="30"/>
  <c r="J75" i="30"/>
  <c r="A239" i="30"/>
  <c r="D239" i="30"/>
  <c r="F239" i="30"/>
  <c r="H239" i="30"/>
  <c r="I239" i="30"/>
  <c r="J239" i="30"/>
  <c r="A197" i="30"/>
  <c r="D197" i="30"/>
  <c r="E197" i="30"/>
  <c r="F197" i="30"/>
  <c r="G197" i="30"/>
  <c r="H197" i="30"/>
  <c r="I197" i="30"/>
  <c r="J197" i="30"/>
  <c r="A76" i="30"/>
  <c r="D76" i="30"/>
  <c r="E76" i="30"/>
  <c r="F76" i="30"/>
  <c r="H76" i="30"/>
  <c r="I76" i="30"/>
  <c r="J76" i="30"/>
  <c r="A240" i="30"/>
  <c r="D240" i="30"/>
  <c r="F240" i="30"/>
  <c r="H240" i="30"/>
  <c r="I240" i="30"/>
  <c r="J240" i="30"/>
  <c r="A77" i="30"/>
  <c r="D77" i="30"/>
  <c r="E77" i="30"/>
  <c r="F77" i="30"/>
  <c r="G77" i="30"/>
  <c r="H77" i="30"/>
  <c r="I77" i="30"/>
  <c r="J77" i="30"/>
  <c r="A241" i="30"/>
  <c r="D241" i="30"/>
  <c r="F241" i="30"/>
  <c r="G241" i="30"/>
  <c r="H241" i="30"/>
  <c r="I241" i="30"/>
  <c r="J241" i="30"/>
  <c r="A78" i="30"/>
  <c r="D78" i="30"/>
  <c r="E78" i="30"/>
  <c r="F78" i="30"/>
  <c r="G78" i="30"/>
  <c r="H78" i="30"/>
  <c r="I78" i="30"/>
  <c r="J78" i="30"/>
  <c r="A242" i="30"/>
  <c r="D242" i="30"/>
  <c r="E242" i="30"/>
  <c r="F242" i="30"/>
  <c r="G242" i="30"/>
  <c r="H242" i="30"/>
  <c r="I242" i="30"/>
  <c r="J242" i="30"/>
  <c r="A79" i="30"/>
  <c r="D79" i="30"/>
  <c r="E79" i="30"/>
  <c r="F79" i="30"/>
  <c r="G79" i="30"/>
  <c r="H79" i="30"/>
  <c r="I79" i="30"/>
  <c r="J79" i="30"/>
  <c r="A243" i="30"/>
  <c r="D243" i="30"/>
  <c r="E243" i="30"/>
  <c r="F243" i="30"/>
  <c r="G243" i="30"/>
  <c r="H243" i="30"/>
  <c r="I243" i="30"/>
  <c r="J243" i="30"/>
  <c r="A80" i="30"/>
  <c r="D80" i="30"/>
  <c r="E80" i="30"/>
  <c r="F80" i="30"/>
  <c r="G80" i="30"/>
  <c r="H80" i="30"/>
  <c r="I80" i="30"/>
  <c r="J80" i="30"/>
  <c r="A244" i="30"/>
  <c r="D244" i="30"/>
  <c r="F244" i="30"/>
  <c r="H244" i="30"/>
  <c r="I244" i="30"/>
  <c r="J244" i="30"/>
  <c r="A81" i="30"/>
  <c r="D81" i="30"/>
  <c r="E81" i="30"/>
  <c r="F81" i="30"/>
  <c r="H81" i="30"/>
  <c r="I81" i="30"/>
  <c r="J81" i="30"/>
  <c r="A245" i="30"/>
  <c r="D245" i="30"/>
  <c r="F245" i="30"/>
  <c r="H245" i="30"/>
  <c r="I245" i="30"/>
  <c r="J245" i="30"/>
  <c r="A82" i="30"/>
  <c r="D82" i="30"/>
  <c r="E82" i="30"/>
  <c r="F82" i="30"/>
  <c r="G82" i="30"/>
  <c r="H82" i="30"/>
  <c r="I82" i="30"/>
  <c r="J82" i="30"/>
  <c r="A246" i="30"/>
  <c r="D246" i="30"/>
  <c r="E246" i="30"/>
  <c r="F246" i="30"/>
  <c r="H246" i="30"/>
  <c r="I246" i="30"/>
  <c r="J246" i="30"/>
  <c r="A83" i="30"/>
  <c r="D83" i="30"/>
  <c r="E83" i="30"/>
  <c r="F83" i="30"/>
  <c r="H83" i="30"/>
  <c r="I83" i="30"/>
  <c r="J83" i="30"/>
  <c r="A247" i="30"/>
  <c r="D247" i="30"/>
  <c r="F247" i="30"/>
  <c r="H247" i="30"/>
  <c r="I247" i="30"/>
  <c r="J247" i="30"/>
  <c r="A84" i="30"/>
  <c r="D84" i="30"/>
  <c r="E84" i="30"/>
  <c r="F84" i="30"/>
  <c r="H84" i="30"/>
  <c r="I84" i="30"/>
  <c r="J84" i="30"/>
  <c r="A248" i="30"/>
  <c r="D248" i="30"/>
  <c r="F248" i="30"/>
  <c r="H248" i="30"/>
  <c r="I248" i="30"/>
  <c r="J248" i="30"/>
  <c r="A85" i="30"/>
  <c r="D85" i="30"/>
  <c r="E85" i="30"/>
  <c r="F85" i="30"/>
  <c r="G85" i="30"/>
  <c r="H85" i="30"/>
  <c r="I85" i="30"/>
  <c r="J85" i="30"/>
  <c r="A249" i="30"/>
  <c r="D249" i="30"/>
  <c r="E249" i="30"/>
  <c r="F249" i="30"/>
  <c r="G249" i="30"/>
  <c r="H249" i="30"/>
  <c r="I249" i="30"/>
  <c r="J249" i="30"/>
  <c r="A86" i="30"/>
  <c r="D86" i="30"/>
  <c r="E86" i="30"/>
  <c r="F86" i="30"/>
  <c r="G86" i="30"/>
  <c r="H86" i="30"/>
  <c r="I86" i="30"/>
  <c r="J86" i="30"/>
  <c r="A87" i="30"/>
  <c r="D87" i="30"/>
  <c r="E87" i="30"/>
  <c r="F87" i="30"/>
  <c r="G87" i="30"/>
  <c r="H87" i="30"/>
  <c r="I87" i="30"/>
  <c r="J87" i="30"/>
  <c r="A250" i="30"/>
  <c r="D250" i="30"/>
  <c r="F250" i="30"/>
  <c r="H250" i="30"/>
  <c r="I250" i="30"/>
  <c r="J250" i="30"/>
  <c r="A285" i="30"/>
  <c r="D285" i="30"/>
  <c r="E285" i="30"/>
  <c r="F285" i="30"/>
  <c r="G285" i="30"/>
  <c r="H285" i="30"/>
  <c r="I285" i="30"/>
  <c r="J285" i="30"/>
  <c r="A251" i="30"/>
  <c r="D251" i="30"/>
  <c r="F251" i="30"/>
  <c r="H251" i="30"/>
  <c r="I251" i="30"/>
  <c r="J251" i="30"/>
  <c r="A209" i="30"/>
  <c r="D209" i="30"/>
  <c r="F209" i="30"/>
  <c r="H209" i="30"/>
  <c r="I209" i="30"/>
  <c r="J209" i="30"/>
  <c r="A286" i="30"/>
  <c r="D286" i="30"/>
  <c r="F286" i="30"/>
  <c r="H286" i="30"/>
  <c r="I286" i="30"/>
  <c r="J286" i="30"/>
  <c r="A252" i="30"/>
  <c r="D252" i="30"/>
  <c r="F252" i="30"/>
  <c r="H252" i="30"/>
  <c r="I252" i="30"/>
  <c r="J252" i="30"/>
  <c r="A210" i="30"/>
  <c r="D210" i="30"/>
  <c r="F210" i="30"/>
  <c r="H210" i="30"/>
  <c r="I210" i="30"/>
  <c r="J210" i="30"/>
  <c r="A253" i="30"/>
  <c r="D253" i="30"/>
  <c r="F253" i="30"/>
  <c r="H253" i="30"/>
  <c r="I253" i="30"/>
  <c r="J253" i="30"/>
  <c r="A211" i="30"/>
  <c r="D211" i="30"/>
  <c r="F211" i="30"/>
  <c r="H211" i="30"/>
  <c r="I211" i="30"/>
  <c r="J211" i="30"/>
  <c r="A288" i="30"/>
  <c r="D288" i="30"/>
  <c r="F288" i="30"/>
  <c r="G288" i="30"/>
  <c r="H288" i="30"/>
  <c r="I288" i="30"/>
  <c r="J288" i="30"/>
  <c r="A212" i="30"/>
  <c r="D212" i="30"/>
  <c r="F212" i="30"/>
  <c r="H212" i="30"/>
  <c r="I212" i="30"/>
  <c r="J212" i="30"/>
  <c r="A254" i="30"/>
  <c r="D254" i="30"/>
  <c r="F254" i="30"/>
  <c r="H254" i="30"/>
  <c r="I254" i="30"/>
  <c r="J254" i="30"/>
  <c r="A289" i="30"/>
  <c r="D289" i="30"/>
  <c r="F289" i="30"/>
  <c r="H289" i="30"/>
  <c r="I289" i="30"/>
  <c r="J289" i="30"/>
  <c r="A255" i="30"/>
  <c r="D255" i="30"/>
  <c r="F255" i="30"/>
  <c r="H255" i="30"/>
  <c r="I255" i="30"/>
  <c r="J255" i="30"/>
  <c r="A290" i="30"/>
  <c r="D290" i="30"/>
  <c r="E290" i="30"/>
  <c r="F290" i="30"/>
  <c r="H290" i="30"/>
  <c r="I290" i="30"/>
  <c r="J290" i="30"/>
  <c r="A256" i="30"/>
  <c r="D256" i="30"/>
  <c r="F256" i="30"/>
  <c r="H256" i="30"/>
  <c r="I256" i="30"/>
  <c r="J256" i="30"/>
  <c r="A291" i="30"/>
  <c r="D291" i="30"/>
  <c r="F291" i="30"/>
  <c r="H291" i="30"/>
  <c r="I291" i="30"/>
  <c r="J291" i="30"/>
  <c r="A257" i="30"/>
  <c r="D257" i="30"/>
  <c r="F257" i="30"/>
  <c r="H257" i="30"/>
  <c r="I257" i="30"/>
  <c r="J257" i="30"/>
  <c r="A292" i="30"/>
  <c r="D292" i="30"/>
  <c r="F292" i="30"/>
  <c r="H292" i="30"/>
  <c r="I292" i="30"/>
  <c r="J292" i="30"/>
  <c r="A215" i="30"/>
  <c r="D215" i="30"/>
  <c r="F215" i="30"/>
  <c r="H215" i="30"/>
  <c r="I215" i="30"/>
  <c r="J215" i="30"/>
  <c r="A258" i="30"/>
  <c r="D258" i="30"/>
  <c r="F258" i="30"/>
  <c r="H258" i="30"/>
  <c r="I258" i="30"/>
  <c r="J258" i="30"/>
  <c r="A293" i="30"/>
  <c r="D293" i="30"/>
  <c r="F293" i="30"/>
  <c r="H293" i="30"/>
  <c r="I293" i="30"/>
  <c r="J293" i="30"/>
  <c r="A216" i="30"/>
  <c r="D216" i="30"/>
  <c r="F216" i="30"/>
  <c r="H216" i="30"/>
  <c r="I216" i="30"/>
  <c r="J216" i="30"/>
  <c r="A259" i="30"/>
  <c r="D259" i="30"/>
  <c r="F259" i="30"/>
  <c r="H259" i="30"/>
  <c r="I259" i="30"/>
  <c r="J259" i="30"/>
  <c r="A294" i="30"/>
  <c r="D294" i="30"/>
  <c r="F294" i="30"/>
  <c r="G294" i="30"/>
  <c r="H294" i="30"/>
  <c r="I294" i="30"/>
  <c r="J294" i="30"/>
  <c r="A217" i="30"/>
  <c r="D217" i="30"/>
  <c r="F217" i="30"/>
  <c r="H217" i="30"/>
  <c r="I217" i="30"/>
  <c r="J217" i="30"/>
  <c r="A295" i="30"/>
  <c r="D295" i="30"/>
  <c r="F295" i="30"/>
  <c r="H295" i="30"/>
  <c r="I295" i="30"/>
  <c r="J295" i="30"/>
  <c r="A218" i="30"/>
  <c r="D218" i="30"/>
  <c r="F218" i="30"/>
  <c r="H218" i="30"/>
  <c r="I218" i="30"/>
  <c r="J218" i="30"/>
  <c r="A149" i="30"/>
  <c r="D149" i="30"/>
  <c r="F149" i="30"/>
  <c r="H149" i="30"/>
  <c r="I149" i="30"/>
  <c r="J149" i="30"/>
  <c r="A150" i="30"/>
  <c r="D150" i="30"/>
  <c r="F150" i="30"/>
  <c r="H150" i="30"/>
  <c r="I150" i="30"/>
  <c r="J150" i="30"/>
  <c r="A151" i="30"/>
  <c r="D151" i="30"/>
  <c r="E151" i="30"/>
  <c r="F151" i="30"/>
  <c r="G151" i="30"/>
  <c r="H151" i="30"/>
  <c r="I151" i="30"/>
  <c r="J151" i="30"/>
  <c r="A152" i="30"/>
  <c r="D152" i="30"/>
  <c r="E152" i="30"/>
  <c r="F152" i="30"/>
  <c r="G152" i="30"/>
  <c r="H152" i="30"/>
  <c r="I152" i="30"/>
  <c r="J152" i="30"/>
  <c r="A153" i="30"/>
  <c r="D153" i="30"/>
  <c r="E153" i="30"/>
  <c r="F153" i="30"/>
  <c r="G153" i="30"/>
  <c r="H153" i="30"/>
  <c r="I153" i="30"/>
  <c r="J153" i="30"/>
  <c r="A154" i="30"/>
  <c r="D154" i="30"/>
  <c r="E154" i="30"/>
  <c r="F154" i="30"/>
  <c r="G154" i="30"/>
  <c r="H154" i="30"/>
  <c r="I154" i="30"/>
  <c r="J154" i="30"/>
  <c r="A383" i="30"/>
  <c r="D383" i="30"/>
  <c r="E383" i="30"/>
  <c r="F383" i="30"/>
  <c r="G383" i="30"/>
  <c r="H383" i="30"/>
  <c r="I383" i="30"/>
  <c r="J383" i="30"/>
  <c r="A155" i="30"/>
  <c r="D155" i="30"/>
  <c r="E155" i="30"/>
  <c r="F155" i="30"/>
  <c r="G155" i="30"/>
  <c r="H155" i="30"/>
  <c r="I155" i="30"/>
  <c r="J155" i="30"/>
  <c r="A384" i="30"/>
  <c r="D384" i="30"/>
  <c r="F384" i="30"/>
  <c r="H384" i="30"/>
  <c r="I384" i="30"/>
  <c r="J384" i="30"/>
  <c r="A156" i="30"/>
  <c r="D156" i="30"/>
  <c r="E156" i="30"/>
  <c r="F156" i="30"/>
  <c r="G156" i="30"/>
  <c r="H156" i="30"/>
  <c r="I156" i="30"/>
  <c r="J156" i="30"/>
  <c r="A385" i="30"/>
  <c r="D385" i="30"/>
  <c r="F385" i="30"/>
  <c r="H385" i="30"/>
  <c r="I385" i="30"/>
  <c r="J385" i="30"/>
  <c r="A157" i="30"/>
  <c r="D157" i="30"/>
  <c r="E157" i="30"/>
  <c r="F157" i="30"/>
  <c r="H157" i="30"/>
  <c r="I157" i="30"/>
  <c r="J157" i="30"/>
  <c r="A386" i="30"/>
  <c r="D386" i="30"/>
  <c r="F386" i="30"/>
  <c r="G386" i="30"/>
  <c r="H386" i="30"/>
  <c r="I386" i="30"/>
  <c r="J386" i="30"/>
  <c r="A158" i="30"/>
  <c r="D158" i="30"/>
  <c r="E158" i="30"/>
  <c r="F158" i="30"/>
  <c r="H158" i="30"/>
  <c r="I158" i="30"/>
  <c r="J158" i="30"/>
  <c r="A387" i="30"/>
  <c r="D387" i="30"/>
  <c r="F387" i="30"/>
  <c r="H387" i="30"/>
  <c r="I387" i="30"/>
  <c r="J387" i="30"/>
  <c r="A159" i="30"/>
  <c r="D159" i="30"/>
  <c r="F159" i="30"/>
  <c r="H159" i="30"/>
  <c r="I159" i="30"/>
  <c r="J159" i="30"/>
  <c r="A388" i="30"/>
  <c r="D388" i="30"/>
  <c r="F388" i="30"/>
  <c r="H388" i="30"/>
  <c r="I388" i="30"/>
  <c r="J388" i="30"/>
  <c r="A160" i="30"/>
  <c r="D160" i="30"/>
  <c r="E160" i="30"/>
  <c r="F160" i="30"/>
  <c r="G160" i="30"/>
  <c r="H160" i="30"/>
  <c r="I160" i="30"/>
  <c r="J160" i="30"/>
  <c r="A389" i="30"/>
  <c r="D389" i="30"/>
  <c r="E389" i="30"/>
  <c r="F389" i="30"/>
  <c r="H389" i="30"/>
  <c r="I389" i="30"/>
  <c r="J389" i="30"/>
  <c r="A390" i="30"/>
  <c r="D390" i="30"/>
  <c r="F390" i="30"/>
  <c r="H390" i="30"/>
  <c r="I390" i="30"/>
  <c r="J390" i="30"/>
  <c r="A161" i="30"/>
  <c r="D161" i="30"/>
  <c r="F161" i="30"/>
  <c r="H161" i="30"/>
  <c r="I161" i="30"/>
  <c r="J161" i="30"/>
  <c r="A391" i="30"/>
  <c r="D391" i="30"/>
  <c r="F391" i="30"/>
  <c r="H391" i="30"/>
  <c r="I391" i="30"/>
  <c r="J391" i="30"/>
  <c r="A162" i="30"/>
  <c r="D162" i="30"/>
  <c r="F162" i="30"/>
  <c r="H162" i="30"/>
  <c r="I162" i="30"/>
  <c r="J162" i="30"/>
  <c r="A392" i="30"/>
  <c r="D392" i="30"/>
  <c r="F392" i="30"/>
  <c r="H392" i="30"/>
  <c r="I392" i="30"/>
  <c r="J392" i="30"/>
  <c r="A164" i="30"/>
  <c r="D164" i="30"/>
  <c r="F164" i="30"/>
  <c r="H164" i="30"/>
  <c r="I164" i="30"/>
  <c r="J164" i="30"/>
  <c r="A394" i="30"/>
  <c r="D394" i="30"/>
  <c r="F394" i="30"/>
  <c r="H394" i="30"/>
  <c r="I394" i="30"/>
  <c r="J394" i="30"/>
  <c r="A165" i="30"/>
  <c r="D165" i="30"/>
  <c r="F165" i="30"/>
  <c r="H165" i="30"/>
  <c r="I165" i="30"/>
  <c r="J165" i="30"/>
  <c r="A395" i="30"/>
  <c r="D395" i="30"/>
  <c r="F395" i="30"/>
  <c r="H395" i="30"/>
  <c r="I395" i="30"/>
  <c r="J395" i="30"/>
  <c r="A167" i="30"/>
  <c r="D167" i="30"/>
  <c r="F167" i="30"/>
  <c r="H167" i="30"/>
  <c r="I167" i="30"/>
  <c r="J167" i="30"/>
  <c r="A397" i="30"/>
  <c r="D397" i="30"/>
  <c r="F397" i="30"/>
  <c r="H397" i="30"/>
  <c r="I397" i="30"/>
  <c r="J397" i="30"/>
  <c r="A168" i="30"/>
  <c r="D168" i="30"/>
  <c r="F168" i="30"/>
  <c r="H168" i="30"/>
  <c r="I168" i="30"/>
  <c r="J168" i="30"/>
  <c r="A398" i="30"/>
  <c r="D398" i="30"/>
  <c r="F398" i="30"/>
  <c r="H398" i="30"/>
  <c r="I398" i="30"/>
  <c r="J398" i="30"/>
  <c r="A170" i="30"/>
  <c r="D170" i="30"/>
  <c r="F170" i="30"/>
  <c r="H170" i="30"/>
  <c r="I170" i="30"/>
  <c r="J170" i="30"/>
  <c r="A400" i="30"/>
  <c r="D400" i="30"/>
  <c r="F400" i="30"/>
  <c r="H400" i="30"/>
  <c r="I400" i="30"/>
  <c r="J400" i="30"/>
  <c r="A171" i="30"/>
  <c r="D171" i="30"/>
  <c r="F171" i="30"/>
  <c r="H171" i="30"/>
  <c r="I171" i="30"/>
  <c r="J171" i="30"/>
  <c r="A401" i="30"/>
  <c r="D401" i="30"/>
  <c r="F401" i="30"/>
  <c r="H401" i="30"/>
  <c r="I401" i="30"/>
  <c r="J401" i="30"/>
  <c r="A172" i="30"/>
  <c r="D172" i="30"/>
  <c r="F172" i="30"/>
  <c r="H172" i="30"/>
  <c r="I172" i="30"/>
  <c r="J172" i="30"/>
  <c r="A402" i="30"/>
  <c r="D402" i="30"/>
  <c r="F402" i="30"/>
  <c r="H402" i="30"/>
  <c r="I402" i="30"/>
  <c r="J402" i="30"/>
  <c r="A403" i="30"/>
  <c r="D403" i="30"/>
  <c r="F403" i="30"/>
  <c r="H403" i="30"/>
  <c r="I403" i="30"/>
  <c r="J403" i="30"/>
  <c r="A173" i="30"/>
  <c r="D173" i="30"/>
  <c r="E173" i="30"/>
  <c r="F173" i="30"/>
  <c r="G173" i="30"/>
  <c r="H173" i="30"/>
  <c r="I173" i="30"/>
  <c r="J173" i="30"/>
  <c r="A174" i="30"/>
  <c r="D174" i="30"/>
  <c r="E174" i="30"/>
  <c r="F174" i="30"/>
  <c r="G174" i="30"/>
  <c r="H174" i="30"/>
  <c r="I174" i="30"/>
  <c r="J174" i="30"/>
  <c r="A404" i="30"/>
  <c r="D404" i="30"/>
  <c r="F404" i="30"/>
  <c r="H404" i="30"/>
  <c r="I404" i="30"/>
  <c r="J404" i="30"/>
  <c r="A175" i="30"/>
  <c r="D175" i="30"/>
  <c r="E175" i="30"/>
  <c r="F175" i="30"/>
  <c r="G175" i="30"/>
  <c r="H175" i="30"/>
  <c r="I175" i="30"/>
  <c r="J175" i="30"/>
  <c r="A360" i="30"/>
  <c r="D360" i="30"/>
  <c r="F360" i="30"/>
  <c r="H360" i="30"/>
  <c r="I360" i="30"/>
  <c r="J360" i="30"/>
  <c r="A556" i="30"/>
  <c r="D556" i="30"/>
  <c r="F556" i="30"/>
  <c r="H556" i="30"/>
  <c r="I556" i="30"/>
  <c r="J556" i="30"/>
  <c r="A219" i="30"/>
  <c r="D219" i="30"/>
  <c r="E219" i="30"/>
  <c r="F219" i="30"/>
  <c r="G219" i="30"/>
  <c r="H219" i="30"/>
  <c r="I219" i="30"/>
  <c r="J219" i="30"/>
  <c r="A557" i="30"/>
  <c r="D557" i="30"/>
  <c r="F557" i="30"/>
  <c r="H557" i="30"/>
  <c r="I557" i="30"/>
  <c r="J557" i="30"/>
  <c r="A220" i="30"/>
  <c r="D220" i="30"/>
  <c r="E220" i="30"/>
  <c r="F220" i="30"/>
  <c r="G220" i="30"/>
  <c r="H220" i="30"/>
  <c r="I220" i="30"/>
  <c r="J220" i="30"/>
  <c r="A558" i="30"/>
  <c r="D558" i="30"/>
  <c r="F558" i="30"/>
  <c r="H558" i="30"/>
  <c r="I558" i="30"/>
  <c r="J558" i="30"/>
  <c r="A221" i="30"/>
  <c r="D221" i="30"/>
  <c r="E221" i="30"/>
  <c r="F221" i="30"/>
  <c r="G221" i="30"/>
  <c r="H221" i="30"/>
  <c r="I221" i="30"/>
  <c r="J221" i="30"/>
  <c r="A363" i="30"/>
  <c r="D363" i="30"/>
  <c r="F363" i="30"/>
  <c r="H363" i="30"/>
  <c r="I363" i="30"/>
  <c r="J363" i="30"/>
  <c r="A559" i="30"/>
  <c r="D559" i="30"/>
  <c r="F559" i="30"/>
  <c r="H559" i="30"/>
  <c r="I559" i="30"/>
  <c r="J559" i="30"/>
  <c r="A222" i="30"/>
  <c r="D222" i="30"/>
  <c r="E222" i="30"/>
  <c r="F222" i="30"/>
  <c r="G222" i="30"/>
  <c r="H222" i="30"/>
  <c r="I222" i="30"/>
  <c r="J222" i="30"/>
  <c r="A223" i="30"/>
  <c r="D223" i="30"/>
  <c r="F223" i="30"/>
  <c r="H223" i="30"/>
  <c r="I223" i="30"/>
  <c r="J223" i="30"/>
  <c r="A366" i="30"/>
  <c r="D366" i="30"/>
  <c r="F366" i="30"/>
  <c r="H366" i="30"/>
  <c r="I366" i="30"/>
  <c r="J366" i="30"/>
  <c r="A224" i="30"/>
  <c r="D224" i="30"/>
  <c r="E224" i="30"/>
  <c r="F224" i="30"/>
  <c r="G224" i="30"/>
  <c r="H224" i="30"/>
  <c r="I224" i="30"/>
  <c r="J224" i="30"/>
  <c r="A261" i="30"/>
  <c r="D261" i="30"/>
  <c r="F261" i="30"/>
  <c r="H261" i="30"/>
  <c r="I261" i="30"/>
  <c r="J261" i="30"/>
  <c r="A225" i="30"/>
  <c r="D225" i="30"/>
  <c r="E225" i="30"/>
  <c r="F225" i="30"/>
  <c r="G225" i="30"/>
  <c r="H225" i="30"/>
  <c r="I225" i="30"/>
  <c r="J225" i="30"/>
  <c r="A262" i="30"/>
  <c r="D262" i="30"/>
  <c r="F262" i="30"/>
  <c r="H262" i="30"/>
  <c r="I262" i="30"/>
  <c r="J262" i="30"/>
  <c r="A226" i="30"/>
  <c r="D226" i="30"/>
  <c r="F226" i="30"/>
  <c r="H226" i="30"/>
  <c r="I226" i="30"/>
  <c r="J226" i="30"/>
  <c r="A263" i="30"/>
  <c r="D263" i="30"/>
  <c r="F263" i="30"/>
  <c r="H263" i="30"/>
  <c r="I263" i="30"/>
  <c r="J263" i="30"/>
  <c r="A227" i="30"/>
  <c r="D227" i="30"/>
  <c r="F227" i="30"/>
  <c r="H227" i="30"/>
  <c r="I227" i="30"/>
  <c r="J227" i="30"/>
  <c r="A264" i="30"/>
  <c r="D264" i="30"/>
  <c r="F264" i="30"/>
  <c r="H264" i="30"/>
  <c r="I264" i="30"/>
  <c r="J264" i="30"/>
  <c r="A228" i="30"/>
  <c r="D228" i="30"/>
  <c r="F228" i="30"/>
  <c r="H228" i="30"/>
  <c r="I228" i="30"/>
  <c r="J228" i="30"/>
  <c r="A265" i="30"/>
  <c r="D265" i="30"/>
  <c r="F265" i="30"/>
  <c r="H265" i="30"/>
  <c r="I265" i="30"/>
  <c r="J265" i="30"/>
  <c r="A266" i="30"/>
  <c r="D266" i="30"/>
  <c r="F266" i="30"/>
  <c r="H266" i="30"/>
  <c r="I266" i="30"/>
  <c r="J266" i="30"/>
  <c r="A267" i="30"/>
  <c r="D267" i="30"/>
  <c r="F267" i="30"/>
  <c r="H267" i="30"/>
  <c r="I267" i="30"/>
  <c r="J267" i="30"/>
  <c r="A372" i="30"/>
  <c r="D372" i="30"/>
  <c r="F372" i="30"/>
  <c r="H372" i="30"/>
  <c r="I372" i="30"/>
  <c r="J372" i="30"/>
  <c r="A137" i="30"/>
  <c r="D137" i="30"/>
  <c r="F137" i="30"/>
  <c r="H137" i="30"/>
  <c r="I137" i="30"/>
  <c r="J137" i="30"/>
  <c r="A569" i="30"/>
  <c r="D569" i="30"/>
  <c r="F569" i="30"/>
  <c r="H569" i="30"/>
  <c r="I569" i="30"/>
  <c r="J569" i="30"/>
  <c r="A441" i="30"/>
  <c r="D441" i="30"/>
  <c r="F441" i="30"/>
  <c r="H441" i="30"/>
  <c r="I441" i="30"/>
  <c r="J441" i="30"/>
  <c r="A373" i="30"/>
  <c r="D373" i="30"/>
  <c r="F373" i="30"/>
  <c r="H373" i="30"/>
  <c r="I373" i="30"/>
  <c r="J373" i="30"/>
  <c r="A138" i="30"/>
  <c r="D138" i="30"/>
  <c r="F138" i="30"/>
  <c r="H138" i="30"/>
  <c r="I138" i="30"/>
  <c r="J138" i="30"/>
  <c r="A374" i="30"/>
  <c r="D374" i="30"/>
  <c r="F374" i="30"/>
  <c r="H374" i="30"/>
  <c r="I374" i="30"/>
  <c r="J374" i="30"/>
  <c r="A375" i="30"/>
  <c r="D375" i="30"/>
  <c r="F375" i="30"/>
  <c r="H375" i="30"/>
  <c r="I375" i="30"/>
  <c r="J375" i="30"/>
  <c r="A376" i="30"/>
  <c r="D376" i="30"/>
  <c r="F376" i="30"/>
  <c r="H376" i="30"/>
  <c r="I376" i="30"/>
  <c r="J376" i="30"/>
  <c r="A445" i="30"/>
  <c r="D445" i="30"/>
  <c r="F445" i="30"/>
  <c r="H445" i="30"/>
  <c r="I445" i="30"/>
  <c r="J445" i="30"/>
  <c r="A141" i="30"/>
  <c r="D141" i="30"/>
  <c r="F141" i="30"/>
  <c r="H141" i="30"/>
  <c r="I141" i="30"/>
  <c r="J141" i="30"/>
  <c r="A377" i="30"/>
  <c r="D377" i="30"/>
  <c r="F377" i="30"/>
  <c r="H377" i="30"/>
  <c r="I377" i="30"/>
  <c r="J377" i="30"/>
  <c r="A142" i="30"/>
  <c r="D142" i="30"/>
  <c r="F142" i="30"/>
  <c r="H142" i="30"/>
  <c r="I142" i="30"/>
  <c r="J142" i="30"/>
  <c r="A446" i="30"/>
  <c r="D446" i="30"/>
  <c r="F446" i="30"/>
  <c r="H446" i="30"/>
  <c r="I446" i="30"/>
  <c r="J446" i="30"/>
  <c r="A378" i="30"/>
  <c r="D378" i="30"/>
  <c r="F378" i="30"/>
  <c r="H378" i="30"/>
  <c r="I378" i="30"/>
  <c r="J378" i="30"/>
  <c r="A379" i="30"/>
  <c r="D379" i="30"/>
  <c r="F379" i="30"/>
  <c r="H379" i="30"/>
  <c r="I379" i="30"/>
  <c r="J379" i="30"/>
  <c r="A380" i="30"/>
  <c r="D380" i="30"/>
  <c r="E380" i="30"/>
  <c r="F380" i="30"/>
  <c r="G380" i="30"/>
  <c r="H380" i="30"/>
  <c r="I380" i="30"/>
  <c r="J380" i="30"/>
  <c r="A381" i="30"/>
  <c r="D381" i="30"/>
  <c r="E381" i="30"/>
  <c r="F381" i="30"/>
  <c r="G381" i="30"/>
  <c r="H381" i="30"/>
  <c r="I381" i="30"/>
  <c r="J381" i="30"/>
  <c r="A382" i="30"/>
  <c r="D382" i="30"/>
  <c r="E382" i="30"/>
  <c r="F382" i="30"/>
  <c r="G382" i="30"/>
  <c r="H382" i="30"/>
  <c r="I382" i="30"/>
  <c r="J382" i="30"/>
  <c r="A430" i="30"/>
  <c r="D430" i="30"/>
  <c r="F430" i="30"/>
  <c r="H430" i="30"/>
  <c r="I430" i="30"/>
  <c r="J430" i="30"/>
  <c r="A125" i="30"/>
  <c r="D125" i="30"/>
  <c r="F125" i="30"/>
  <c r="H125" i="30"/>
  <c r="I125" i="30"/>
  <c r="J125" i="30"/>
  <c r="A431" i="30"/>
  <c r="D431" i="30"/>
  <c r="F431" i="30"/>
  <c r="H431" i="30"/>
  <c r="I431" i="30"/>
  <c r="J431" i="30"/>
  <c r="A126" i="30"/>
  <c r="D126" i="30"/>
  <c r="F126" i="30"/>
  <c r="H126" i="30"/>
  <c r="I126" i="30"/>
  <c r="J126" i="30"/>
  <c r="A432" i="30"/>
  <c r="D432" i="30"/>
  <c r="F432" i="30"/>
  <c r="H432" i="30"/>
  <c r="I432" i="30"/>
  <c r="J432" i="30"/>
  <c r="A127" i="30"/>
  <c r="D127" i="30"/>
  <c r="F127" i="30"/>
  <c r="H127" i="30"/>
  <c r="I127" i="30"/>
  <c r="J127" i="30"/>
  <c r="A433" i="30"/>
  <c r="D433" i="30"/>
  <c r="F433" i="30"/>
  <c r="H433" i="30"/>
  <c r="I433" i="30"/>
  <c r="J433" i="30"/>
  <c r="A128" i="30"/>
  <c r="D128" i="30"/>
  <c r="F128" i="30"/>
  <c r="H128" i="30"/>
  <c r="I128" i="30"/>
  <c r="J128" i="30"/>
  <c r="A434" i="30"/>
  <c r="D434" i="30"/>
  <c r="F434" i="30"/>
  <c r="H434" i="30"/>
  <c r="I434" i="30"/>
  <c r="J434" i="30"/>
  <c r="A129" i="30"/>
  <c r="D129" i="30"/>
  <c r="F129" i="30"/>
  <c r="H129" i="30"/>
  <c r="I129" i="30"/>
  <c r="J129" i="30"/>
  <c r="A435" i="30"/>
  <c r="D435" i="30"/>
  <c r="F435" i="30"/>
  <c r="H435" i="30"/>
  <c r="I435" i="30"/>
  <c r="J435" i="30"/>
  <c r="A130" i="30"/>
  <c r="D130" i="30"/>
  <c r="F130" i="30"/>
  <c r="H130" i="30"/>
  <c r="I130" i="30"/>
  <c r="J130" i="30"/>
  <c r="A131" i="30"/>
  <c r="D131" i="30"/>
  <c r="F131" i="30"/>
  <c r="H131" i="30"/>
  <c r="I131" i="30"/>
  <c r="J131" i="30"/>
  <c r="A132" i="30"/>
  <c r="D132" i="30"/>
  <c r="F132" i="30"/>
  <c r="H132" i="30"/>
  <c r="I132" i="30"/>
  <c r="J132" i="30"/>
  <c r="A438" i="30"/>
  <c r="D438" i="30"/>
  <c r="F438" i="30"/>
  <c r="H438" i="30"/>
  <c r="I438" i="30"/>
  <c r="J438" i="30"/>
  <c r="A133" i="30"/>
  <c r="D133" i="30"/>
  <c r="F133" i="30"/>
  <c r="H133" i="30"/>
  <c r="I133" i="30"/>
  <c r="J133" i="30"/>
  <c r="A439" i="30"/>
  <c r="D439" i="30"/>
  <c r="F439" i="30"/>
  <c r="H439" i="30"/>
  <c r="I439" i="30"/>
  <c r="J439" i="30"/>
  <c r="A134" i="30"/>
  <c r="D134" i="30"/>
  <c r="F134" i="30"/>
  <c r="H134" i="30"/>
  <c r="I134" i="30"/>
  <c r="J134" i="30"/>
  <c r="A440" i="30"/>
  <c r="D440" i="30"/>
  <c r="F440" i="30"/>
  <c r="H440" i="30"/>
  <c r="I440" i="30"/>
  <c r="J440" i="30"/>
  <c r="A349" i="30"/>
  <c r="D349" i="30"/>
  <c r="F349" i="30"/>
  <c r="H349" i="30"/>
  <c r="I349" i="30"/>
  <c r="J349" i="30"/>
  <c r="A302" i="30"/>
  <c r="D302" i="30"/>
  <c r="F302" i="30"/>
  <c r="H302" i="30"/>
  <c r="I302" i="30"/>
  <c r="J302" i="30"/>
  <c r="A350" i="30"/>
  <c r="D350" i="30"/>
  <c r="F350" i="30"/>
  <c r="H350" i="30"/>
  <c r="I350" i="30"/>
  <c r="J350" i="30"/>
  <c r="A303" i="30"/>
  <c r="D303" i="30"/>
  <c r="F303" i="30"/>
  <c r="H303" i="30"/>
  <c r="I303" i="30"/>
  <c r="J303" i="30"/>
  <c r="A351" i="30"/>
  <c r="D351" i="30"/>
  <c r="F351" i="30"/>
  <c r="H351" i="30"/>
  <c r="I351" i="30"/>
  <c r="J351" i="30"/>
  <c r="A304" i="30"/>
  <c r="D304" i="30"/>
  <c r="F304" i="30"/>
  <c r="H304" i="30"/>
  <c r="I304" i="30"/>
  <c r="J304" i="30"/>
  <c r="A352" i="30"/>
  <c r="D352" i="30"/>
  <c r="F352" i="30"/>
  <c r="H352" i="30"/>
  <c r="I352" i="30"/>
  <c r="J352" i="30"/>
  <c r="A305" i="30"/>
  <c r="D305" i="30"/>
  <c r="F305" i="30"/>
  <c r="H305" i="30"/>
  <c r="I305" i="30"/>
  <c r="J305" i="30"/>
  <c r="A353" i="30"/>
  <c r="D353" i="30"/>
  <c r="F353" i="30"/>
  <c r="H353" i="30"/>
  <c r="I353" i="30"/>
  <c r="J353" i="30"/>
  <c r="A306" i="30"/>
  <c r="D306" i="30"/>
  <c r="F306" i="30"/>
  <c r="H306" i="30"/>
  <c r="I306" i="30"/>
  <c r="J306" i="30"/>
  <c r="A354" i="30"/>
  <c r="D354" i="30"/>
  <c r="F354" i="30"/>
  <c r="H354" i="30"/>
  <c r="I354" i="30"/>
  <c r="J354" i="30"/>
  <c r="A307" i="30"/>
  <c r="D307" i="30"/>
  <c r="F307" i="30"/>
  <c r="H307" i="30"/>
  <c r="I307" i="30"/>
  <c r="J307" i="30"/>
  <c r="A355" i="30"/>
  <c r="D355" i="30"/>
  <c r="F355" i="30"/>
  <c r="H355" i="30"/>
  <c r="I355" i="30"/>
  <c r="J355" i="30"/>
  <c r="A308" i="30"/>
  <c r="D308" i="30"/>
  <c r="F308" i="30"/>
  <c r="H308" i="30"/>
  <c r="I308" i="30"/>
  <c r="J308" i="30"/>
  <c r="A356" i="30"/>
  <c r="D356" i="30"/>
  <c r="F356" i="30"/>
  <c r="H356" i="30"/>
  <c r="I356" i="30"/>
  <c r="J356" i="30"/>
  <c r="A309" i="30"/>
  <c r="D309" i="30"/>
  <c r="F309" i="30"/>
  <c r="H309" i="30"/>
  <c r="I309" i="30"/>
  <c r="J309" i="30"/>
  <c r="A357" i="30"/>
  <c r="D357" i="30"/>
  <c r="F357" i="30"/>
  <c r="H357" i="30"/>
  <c r="I357" i="30"/>
  <c r="J357" i="30"/>
  <c r="A310" i="30"/>
  <c r="D310" i="30"/>
  <c r="F310" i="30"/>
  <c r="H310" i="30"/>
  <c r="I310" i="30"/>
  <c r="J310" i="30"/>
  <c r="A358" i="30"/>
  <c r="D358" i="30"/>
  <c r="F358" i="30"/>
  <c r="H358" i="30"/>
  <c r="I358" i="30"/>
  <c r="J358" i="30"/>
  <c r="A311" i="30"/>
  <c r="D311" i="30"/>
  <c r="F311" i="30"/>
  <c r="H311" i="30"/>
  <c r="I311" i="30"/>
  <c r="J311" i="30"/>
  <c r="A359" i="30"/>
  <c r="D359" i="30"/>
  <c r="F359" i="30"/>
  <c r="H359" i="30"/>
  <c r="I359" i="30"/>
  <c r="J359" i="30"/>
  <c r="A361" i="30"/>
  <c r="D361" i="30"/>
  <c r="F361" i="30"/>
  <c r="G361" i="30"/>
  <c r="H361" i="30"/>
  <c r="I361" i="30"/>
  <c r="J361" i="30"/>
  <c r="A362" i="30"/>
  <c r="D362" i="30"/>
  <c r="E362" i="30"/>
  <c r="F362" i="30"/>
  <c r="H362" i="30"/>
  <c r="I362" i="30"/>
  <c r="J362" i="30"/>
  <c r="A560" i="30"/>
  <c r="D560" i="30"/>
  <c r="E560" i="30"/>
  <c r="F560" i="30"/>
  <c r="H560" i="30"/>
  <c r="I560" i="30"/>
  <c r="J560" i="30"/>
  <c r="A364" i="30"/>
  <c r="D364" i="30"/>
  <c r="E364" i="30"/>
  <c r="F364" i="30"/>
  <c r="H364" i="30"/>
  <c r="I364" i="30"/>
  <c r="J364" i="30"/>
  <c r="A561" i="30"/>
  <c r="D561" i="30"/>
  <c r="F561" i="30"/>
  <c r="G561" i="30"/>
  <c r="H561" i="30"/>
  <c r="I561" i="30"/>
  <c r="J561" i="30"/>
  <c r="A365" i="30"/>
  <c r="D365" i="30"/>
  <c r="F365" i="30"/>
  <c r="G365" i="30"/>
  <c r="H365" i="30"/>
  <c r="I365" i="30"/>
  <c r="J365" i="30"/>
  <c r="A562" i="30"/>
  <c r="D562" i="30"/>
  <c r="E562" i="30"/>
  <c r="F562" i="30"/>
  <c r="G562" i="30"/>
  <c r="H562" i="30"/>
  <c r="I562" i="30"/>
  <c r="J562" i="30"/>
  <c r="A563" i="30"/>
  <c r="D563" i="30"/>
  <c r="E563" i="30"/>
  <c r="F563" i="30"/>
  <c r="H563" i="30"/>
  <c r="I563" i="30"/>
  <c r="J563" i="30"/>
  <c r="A367" i="30"/>
  <c r="D367" i="30"/>
  <c r="E367" i="30"/>
  <c r="F367" i="30"/>
  <c r="H367" i="30"/>
  <c r="I367" i="30"/>
  <c r="J367" i="30"/>
  <c r="A564" i="30"/>
  <c r="D564" i="30"/>
  <c r="F564" i="30"/>
  <c r="G564" i="30"/>
  <c r="H564" i="30"/>
  <c r="I564" i="30"/>
  <c r="J564" i="30"/>
  <c r="A368" i="30"/>
  <c r="D368" i="30"/>
  <c r="E368" i="30"/>
  <c r="F368" i="30"/>
  <c r="H368" i="30"/>
  <c r="I368" i="30"/>
  <c r="J368" i="30"/>
  <c r="A565" i="30"/>
  <c r="D565" i="30"/>
  <c r="E565" i="30"/>
  <c r="F565" i="30"/>
  <c r="G565" i="30"/>
  <c r="H565" i="30"/>
  <c r="I565" i="30"/>
  <c r="J565" i="30"/>
  <c r="A369" i="30"/>
  <c r="D369" i="30"/>
  <c r="E369" i="30"/>
  <c r="F369" i="30"/>
  <c r="G369" i="30"/>
  <c r="H369" i="30"/>
  <c r="I369" i="30"/>
  <c r="J369" i="30"/>
  <c r="A566" i="30"/>
  <c r="D566" i="30"/>
  <c r="E566" i="30"/>
  <c r="F566" i="30"/>
  <c r="G566" i="30"/>
  <c r="H566" i="30"/>
  <c r="I566" i="30"/>
  <c r="J566" i="30"/>
  <c r="A370" i="30"/>
  <c r="D370" i="30"/>
  <c r="E370" i="30"/>
  <c r="F370" i="30"/>
  <c r="G370" i="30"/>
  <c r="H370" i="30"/>
  <c r="I370" i="30"/>
  <c r="J370" i="30"/>
  <c r="A567" i="30"/>
  <c r="D567" i="30"/>
  <c r="E567" i="30"/>
  <c r="F567" i="30"/>
  <c r="G567" i="30"/>
  <c r="H567" i="30"/>
  <c r="I567" i="30"/>
  <c r="J567" i="30"/>
  <c r="A371" i="30"/>
  <c r="D371" i="30"/>
  <c r="E371" i="30"/>
  <c r="F371" i="30"/>
  <c r="G371" i="30"/>
  <c r="H371" i="30"/>
  <c r="I371" i="30"/>
  <c r="J371" i="30"/>
  <c r="A568" i="30"/>
  <c r="D568" i="30"/>
  <c r="E568" i="30"/>
  <c r="F568" i="30"/>
  <c r="G568" i="30"/>
  <c r="H568" i="30"/>
  <c r="I568" i="30"/>
  <c r="J568" i="30"/>
  <c r="A544" i="30"/>
  <c r="D544" i="30"/>
  <c r="F544" i="30"/>
  <c r="H544" i="30"/>
  <c r="I544" i="30"/>
  <c r="J544" i="30"/>
  <c r="A545" i="30"/>
  <c r="D545" i="30"/>
  <c r="F545" i="30"/>
  <c r="H545" i="30"/>
  <c r="I545" i="30"/>
  <c r="J545" i="30"/>
  <c r="A442" i="30"/>
  <c r="D442" i="30"/>
  <c r="F442" i="30"/>
  <c r="H442" i="30"/>
  <c r="I442" i="30"/>
  <c r="J442" i="30"/>
  <c r="A546" i="30"/>
  <c r="D546" i="30"/>
  <c r="F546" i="30"/>
  <c r="H546" i="30"/>
  <c r="I546" i="30"/>
  <c r="J546" i="30"/>
  <c r="A443" i="30"/>
  <c r="D443" i="30"/>
  <c r="F443" i="30"/>
  <c r="H443" i="30"/>
  <c r="I443" i="30"/>
  <c r="J443" i="30"/>
  <c r="A547" i="30"/>
  <c r="D547" i="30"/>
  <c r="F547" i="30"/>
  <c r="H547" i="30"/>
  <c r="I547" i="30"/>
  <c r="J547" i="30"/>
  <c r="A444" i="30"/>
  <c r="D444" i="30"/>
  <c r="F444" i="30"/>
  <c r="H444" i="30"/>
  <c r="I444" i="30"/>
  <c r="J444" i="30"/>
  <c r="A548" i="30"/>
  <c r="D548" i="30"/>
  <c r="F548" i="30"/>
  <c r="H548" i="30"/>
  <c r="I548" i="30"/>
  <c r="J548" i="30"/>
  <c r="A549" i="30"/>
  <c r="D549" i="30"/>
  <c r="F549" i="30"/>
  <c r="H549" i="30"/>
  <c r="I549" i="30"/>
  <c r="J549" i="30"/>
  <c r="A550" i="30"/>
  <c r="D550" i="30"/>
  <c r="F550" i="30"/>
  <c r="H550" i="30"/>
  <c r="I550" i="30"/>
  <c r="J550" i="30"/>
  <c r="A447" i="30"/>
  <c r="D447" i="30"/>
  <c r="F447" i="30"/>
  <c r="H447" i="30"/>
  <c r="I447" i="30"/>
  <c r="J447" i="30"/>
  <c r="A551" i="30"/>
  <c r="D551" i="30"/>
  <c r="F551" i="30"/>
  <c r="H551" i="30"/>
  <c r="I551" i="30"/>
  <c r="J551" i="30"/>
  <c r="A448" i="30"/>
  <c r="D448" i="30"/>
  <c r="F448" i="30"/>
  <c r="H448" i="30"/>
  <c r="I448" i="30"/>
  <c r="J448" i="30"/>
  <c r="A552" i="30"/>
  <c r="D552" i="30"/>
  <c r="F552" i="30"/>
  <c r="H552" i="30"/>
  <c r="I552" i="30"/>
  <c r="J552" i="30"/>
  <c r="A449" i="30"/>
  <c r="D449" i="30"/>
  <c r="F449" i="30"/>
  <c r="H449" i="30"/>
  <c r="I449" i="30"/>
  <c r="J449" i="30"/>
  <c r="A450" i="30"/>
  <c r="D450" i="30"/>
  <c r="F450" i="30"/>
  <c r="H450" i="30"/>
  <c r="I450" i="30"/>
  <c r="J450" i="30"/>
  <c r="A553" i="30"/>
  <c r="D553" i="30"/>
  <c r="E553" i="30"/>
  <c r="F553" i="30"/>
  <c r="G553" i="30"/>
  <c r="H553" i="30"/>
  <c r="I553" i="30"/>
  <c r="J553" i="30"/>
  <c r="A451" i="30"/>
  <c r="D451" i="30"/>
  <c r="F451" i="30"/>
  <c r="H451" i="30"/>
  <c r="I451" i="30"/>
  <c r="J451" i="30"/>
  <c r="A554" i="30"/>
  <c r="D554" i="30"/>
  <c r="E554" i="30"/>
  <c r="F554" i="30"/>
  <c r="G554" i="30"/>
  <c r="H554" i="30"/>
  <c r="I554" i="30"/>
  <c r="J554" i="30"/>
  <c r="A452" i="30"/>
  <c r="D452" i="30"/>
  <c r="F452" i="30"/>
  <c r="H452" i="30"/>
  <c r="I452" i="30"/>
  <c r="J452" i="30"/>
  <c r="A296" i="30"/>
  <c r="D296" i="30"/>
  <c r="E296" i="30"/>
  <c r="F296" i="30"/>
  <c r="G296" i="30"/>
  <c r="H296" i="30"/>
  <c r="I296" i="30"/>
  <c r="J296" i="30"/>
  <c r="A297" i="30"/>
  <c r="D297" i="30"/>
  <c r="E297" i="30"/>
  <c r="F297" i="30"/>
  <c r="G297" i="30"/>
  <c r="H297" i="30"/>
  <c r="I297" i="30"/>
  <c r="J297" i="30"/>
  <c r="A298" i="30"/>
  <c r="D298" i="30"/>
  <c r="E298" i="30"/>
  <c r="F298" i="30"/>
  <c r="G298" i="30"/>
  <c r="H298" i="30"/>
  <c r="I298" i="30"/>
  <c r="J298" i="30"/>
  <c r="A299" i="30"/>
  <c r="D299" i="30"/>
  <c r="E299" i="30"/>
  <c r="F299" i="30"/>
  <c r="G299" i="30"/>
  <c r="H299" i="30"/>
  <c r="I299" i="30"/>
  <c r="J299" i="30"/>
  <c r="A300" i="30"/>
  <c r="D300" i="30"/>
  <c r="E300" i="30"/>
  <c r="F300" i="30"/>
  <c r="G300" i="30"/>
  <c r="H300" i="30"/>
  <c r="I300" i="30"/>
  <c r="J300" i="30"/>
  <c r="A301" i="30"/>
  <c r="D301" i="30"/>
  <c r="E301" i="30"/>
  <c r="F301" i="30"/>
  <c r="G301" i="30"/>
  <c r="H301" i="30"/>
  <c r="I301" i="30"/>
  <c r="J301" i="30"/>
  <c r="A229" i="30"/>
  <c r="D229" i="30"/>
  <c r="E229" i="30"/>
  <c r="F229" i="30"/>
  <c r="G229" i="30"/>
  <c r="H229" i="30"/>
  <c r="I229" i="30"/>
  <c r="J229" i="30"/>
  <c r="A230" i="30"/>
  <c r="D230" i="30"/>
  <c r="E230" i="30"/>
  <c r="F230" i="30"/>
  <c r="G230" i="30"/>
  <c r="H230" i="30"/>
  <c r="I230" i="30"/>
  <c r="J230" i="30"/>
  <c r="A233" i="30"/>
  <c r="D233" i="30"/>
  <c r="E233" i="30"/>
  <c r="F233" i="30"/>
  <c r="G233" i="30"/>
  <c r="H233" i="30"/>
  <c r="I233" i="30"/>
  <c r="J233" i="30"/>
  <c r="A234" i="30"/>
  <c r="D234" i="30"/>
  <c r="E234" i="30"/>
  <c r="F234" i="30"/>
  <c r="G234" i="30"/>
  <c r="H234" i="30"/>
  <c r="I234" i="30"/>
  <c r="J234" i="30"/>
  <c r="A237" i="30"/>
  <c r="D237" i="30"/>
  <c r="E237" i="30"/>
  <c r="F237" i="30"/>
  <c r="G237" i="30"/>
  <c r="H237" i="30"/>
  <c r="I237" i="30"/>
  <c r="J237" i="30"/>
  <c r="A238" i="30"/>
  <c r="D238" i="30"/>
  <c r="E238" i="30"/>
  <c r="F238" i="30"/>
  <c r="G238" i="30"/>
  <c r="H238" i="30"/>
  <c r="I238" i="30"/>
  <c r="J238" i="30"/>
  <c r="A337" i="30"/>
  <c r="D337" i="30"/>
  <c r="E337" i="30"/>
  <c r="F337" i="30"/>
  <c r="G337" i="30"/>
  <c r="H337" i="30"/>
  <c r="I337" i="30"/>
  <c r="J337" i="30"/>
  <c r="A338" i="30"/>
  <c r="D338" i="30"/>
  <c r="E338" i="30"/>
  <c r="F338" i="30"/>
  <c r="G338" i="30"/>
  <c r="H338" i="30"/>
  <c r="I338" i="30"/>
  <c r="J338" i="30"/>
  <c r="A339" i="30"/>
  <c r="D339" i="30"/>
  <c r="E339" i="30"/>
  <c r="F339" i="30"/>
  <c r="G339" i="30"/>
  <c r="H339" i="30"/>
  <c r="I339" i="30"/>
  <c r="J339" i="30"/>
  <c r="A340" i="30"/>
  <c r="D340" i="30"/>
  <c r="E340" i="30"/>
  <c r="F340" i="30"/>
  <c r="G340" i="30"/>
  <c r="H340" i="30"/>
  <c r="I340" i="30"/>
  <c r="J340" i="30"/>
  <c r="A341" i="30"/>
  <c r="D341" i="30"/>
  <c r="E341" i="30"/>
  <c r="F341" i="30"/>
  <c r="G341" i="30"/>
  <c r="H341" i="30"/>
  <c r="I341" i="30"/>
  <c r="J341" i="30"/>
  <c r="A342" i="30"/>
  <c r="D342" i="30"/>
  <c r="E342" i="30"/>
  <c r="F342" i="30"/>
  <c r="G342" i="30"/>
  <c r="H342" i="30"/>
  <c r="I342" i="30"/>
  <c r="J342" i="30"/>
  <c r="A436" i="30"/>
  <c r="D436" i="30"/>
  <c r="E436" i="30"/>
  <c r="F436" i="30"/>
  <c r="G436" i="30"/>
  <c r="H436" i="30"/>
  <c r="I436" i="30"/>
  <c r="J436" i="30"/>
  <c r="A437" i="30"/>
  <c r="D437" i="30"/>
  <c r="E437" i="30"/>
  <c r="F437" i="30"/>
  <c r="G437" i="30"/>
  <c r="H437" i="30"/>
  <c r="I437" i="30"/>
  <c r="J437" i="30"/>
  <c r="A343" i="30"/>
  <c r="D343" i="30"/>
  <c r="E343" i="30"/>
  <c r="F343" i="30"/>
  <c r="G343" i="30"/>
  <c r="H343" i="30"/>
  <c r="I343" i="30"/>
  <c r="J343" i="30"/>
  <c r="A344" i="30"/>
  <c r="D344" i="30"/>
  <c r="E344" i="30"/>
  <c r="F344" i="30"/>
  <c r="G344" i="30"/>
  <c r="H344" i="30"/>
  <c r="I344" i="30"/>
  <c r="J344" i="30"/>
  <c r="A345" i="30"/>
  <c r="D345" i="30"/>
  <c r="E345" i="30"/>
  <c r="F345" i="30"/>
  <c r="H345" i="30"/>
  <c r="I345" i="30"/>
  <c r="J345" i="30"/>
  <c r="A346" i="30"/>
  <c r="D346" i="30"/>
  <c r="E346" i="30"/>
  <c r="F346" i="30"/>
  <c r="H346" i="30"/>
  <c r="I346" i="30"/>
  <c r="J346" i="30"/>
  <c r="A135" i="30"/>
  <c r="C135" i="30"/>
  <c r="D135" i="30"/>
  <c r="F135" i="30"/>
  <c r="H135" i="30"/>
  <c r="I135" i="30"/>
  <c r="J135" i="30"/>
  <c r="A136" i="30"/>
  <c r="C136" i="30"/>
  <c r="D136" i="30"/>
  <c r="F136" i="30"/>
  <c r="H136" i="30"/>
  <c r="I136" i="30"/>
  <c r="J136" i="30"/>
  <c r="A347" i="30"/>
  <c r="D347" i="30"/>
  <c r="F347" i="30"/>
  <c r="H347" i="30"/>
  <c r="I347" i="30"/>
  <c r="J347" i="30"/>
  <c r="A348" i="30"/>
  <c r="D348" i="30"/>
  <c r="F348" i="30"/>
  <c r="H348" i="30"/>
  <c r="I348" i="30"/>
  <c r="J348" i="30"/>
  <c r="A231" i="30"/>
  <c r="D231" i="30"/>
  <c r="F231" i="30"/>
  <c r="H231" i="30"/>
  <c r="I231" i="30"/>
  <c r="J231" i="30"/>
  <c r="A232" i="30"/>
  <c r="D232" i="30"/>
  <c r="F232" i="30"/>
  <c r="H232" i="30"/>
  <c r="I232" i="30"/>
  <c r="J232" i="30"/>
  <c r="A213" i="30"/>
  <c r="D213" i="30"/>
  <c r="F213" i="30"/>
  <c r="H213" i="30"/>
  <c r="I213" i="30"/>
  <c r="J213" i="30"/>
  <c r="A214" i="30"/>
  <c r="D214" i="30"/>
  <c r="F214" i="30"/>
  <c r="H214" i="30"/>
  <c r="I214" i="30"/>
  <c r="J214" i="30"/>
  <c r="A268" i="30"/>
  <c r="D268" i="30"/>
  <c r="F268" i="30"/>
  <c r="H268" i="30"/>
  <c r="I268" i="30"/>
  <c r="J268" i="30"/>
  <c r="A575" i="30"/>
  <c r="D575" i="30"/>
  <c r="F575" i="30"/>
  <c r="H575" i="30"/>
  <c r="I575" i="30"/>
  <c r="J575" i="30"/>
  <c r="A269" i="30"/>
  <c r="D269" i="30"/>
  <c r="F269" i="30"/>
  <c r="H269" i="30"/>
  <c r="I269" i="30"/>
  <c r="J269" i="30"/>
  <c r="A235" i="30"/>
  <c r="D235" i="30"/>
  <c r="F235" i="30"/>
  <c r="H235" i="30"/>
  <c r="I235" i="30"/>
  <c r="J235" i="30"/>
  <c r="A270" i="30"/>
  <c r="D270" i="30"/>
  <c r="F270" i="30"/>
  <c r="H270" i="30"/>
  <c r="I270" i="30"/>
  <c r="J270" i="30"/>
  <c r="A236" i="30"/>
  <c r="D236" i="30"/>
  <c r="F236" i="30"/>
  <c r="H236" i="30"/>
  <c r="I236" i="30"/>
  <c r="J236" i="30"/>
  <c r="A271" i="30"/>
  <c r="D271" i="30"/>
  <c r="F271" i="30"/>
  <c r="H271" i="30"/>
  <c r="I271" i="30"/>
  <c r="J271" i="30"/>
  <c r="A272" i="30"/>
  <c r="D272" i="30"/>
  <c r="F272" i="30"/>
  <c r="H272" i="30"/>
  <c r="I272" i="30"/>
  <c r="J272" i="30"/>
  <c r="A99" i="30"/>
  <c r="D99" i="30"/>
  <c r="F99" i="30"/>
  <c r="H99" i="30"/>
  <c r="I99" i="30"/>
  <c r="J99" i="30"/>
  <c r="A405" i="30"/>
  <c r="D405" i="30"/>
  <c r="F405" i="30"/>
  <c r="H405" i="30"/>
  <c r="I405" i="30"/>
  <c r="J405" i="30"/>
  <c r="A555" i="30"/>
  <c r="D555" i="30"/>
  <c r="F555" i="30"/>
  <c r="H555" i="30"/>
  <c r="I555" i="30"/>
  <c r="J555" i="30"/>
  <c r="A530" i="30"/>
  <c r="D530" i="30"/>
  <c r="F530" i="30"/>
  <c r="H530" i="30"/>
  <c r="I530" i="30"/>
  <c r="J530" i="30"/>
  <c r="A336" i="30"/>
  <c r="D336" i="30"/>
  <c r="F336" i="30"/>
  <c r="H336" i="30"/>
  <c r="I336" i="30"/>
  <c r="J336" i="30"/>
  <c r="A506" i="30"/>
  <c r="D506" i="30"/>
  <c r="F506" i="30"/>
  <c r="H506" i="30"/>
  <c r="I506" i="30"/>
  <c r="J506" i="30"/>
  <c r="A531" i="30"/>
  <c r="D531" i="30"/>
  <c r="F531" i="30"/>
  <c r="H531" i="30"/>
  <c r="I531" i="30"/>
  <c r="J531" i="30"/>
  <c r="A507" i="30"/>
  <c r="D507" i="30"/>
  <c r="F507" i="30"/>
  <c r="H507" i="30"/>
  <c r="I507" i="30"/>
  <c r="J507" i="30"/>
  <c r="A532" i="30"/>
  <c r="D532" i="30"/>
  <c r="F532" i="30"/>
  <c r="H532" i="30"/>
  <c r="I532" i="30"/>
  <c r="J532" i="30"/>
  <c r="A508" i="30"/>
  <c r="D508" i="30"/>
  <c r="F508" i="30"/>
  <c r="H508" i="30"/>
  <c r="I508" i="30"/>
  <c r="J508" i="30"/>
  <c r="A533" i="30"/>
  <c r="D533" i="30"/>
  <c r="F533" i="30"/>
  <c r="H533" i="30"/>
  <c r="I533" i="30"/>
  <c r="J533" i="30"/>
  <c r="A509" i="30"/>
  <c r="D509" i="30"/>
  <c r="F509" i="30"/>
  <c r="H509" i="30"/>
  <c r="I509" i="30"/>
  <c r="J509" i="30"/>
  <c r="A534" i="30"/>
  <c r="D534" i="30"/>
  <c r="F534" i="30"/>
  <c r="H534" i="30"/>
  <c r="I534" i="30"/>
  <c r="J534" i="30"/>
  <c r="A510" i="30"/>
  <c r="D510" i="30"/>
  <c r="F510" i="30"/>
  <c r="H510" i="30"/>
  <c r="I510" i="30"/>
  <c r="J510" i="30"/>
  <c r="A535" i="30"/>
  <c r="D535" i="30"/>
  <c r="F535" i="30"/>
  <c r="H535" i="30"/>
  <c r="I535" i="30"/>
  <c r="J535" i="30"/>
  <c r="A511" i="30"/>
  <c r="D511" i="30"/>
  <c r="F511" i="30"/>
  <c r="H511" i="30"/>
  <c r="I511" i="30"/>
  <c r="J511" i="30"/>
  <c r="A536" i="30"/>
  <c r="D536" i="30"/>
  <c r="F536" i="30"/>
  <c r="H536" i="30"/>
  <c r="I536" i="30"/>
  <c r="J536" i="30"/>
  <c r="A512" i="30"/>
  <c r="D512" i="30"/>
  <c r="F512" i="30"/>
  <c r="H512" i="30"/>
  <c r="I512" i="30"/>
  <c r="J512" i="30"/>
  <c r="A537" i="30"/>
  <c r="D537" i="30"/>
  <c r="F537" i="30"/>
  <c r="H537" i="30"/>
  <c r="I537" i="30"/>
  <c r="J537" i="30"/>
  <c r="A513" i="30"/>
  <c r="D513" i="30"/>
  <c r="F513" i="30"/>
  <c r="H513" i="30"/>
  <c r="I513" i="30"/>
  <c r="J513" i="30"/>
  <c r="A538" i="30"/>
  <c r="D538" i="30"/>
  <c r="F538" i="30"/>
  <c r="H538" i="30"/>
  <c r="I538" i="30"/>
  <c r="J538" i="30"/>
  <c r="A514" i="30"/>
  <c r="D514" i="30"/>
  <c r="F514" i="30"/>
  <c r="H514" i="30"/>
  <c r="I514" i="30"/>
  <c r="J514" i="30"/>
  <c r="A539" i="30"/>
  <c r="D539" i="30"/>
  <c r="F539" i="30"/>
  <c r="H539" i="30"/>
  <c r="I539" i="30"/>
  <c r="J539" i="30"/>
  <c r="A515" i="30"/>
  <c r="D515" i="30"/>
  <c r="F515" i="30"/>
  <c r="H515" i="30"/>
  <c r="I515" i="30"/>
  <c r="J515" i="30"/>
  <c r="A540" i="30"/>
  <c r="D540" i="30"/>
  <c r="F540" i="30"/>
  <c r="H540" i="30"/>
  <c r="I540" i="30"/>
  <c r="J540" i="30"/>
  <c r="A516" i="30"/>
  <c r="D516" i="30"/>
  <c r="F516" i="30"/>
  <c r="H516" i="30"/>
  <c r="I516" i="30"/>
  <c r="J516" i="30"/>
  <c r="A541" i="30"/>
  <c r="D541" i="30"/>
  <c r="F541" i="30"/>
  <c r="H541" i="30"/>
  <c r="I541" i="30"/>
  <c r="J541" i="30"/>
  <c r="A517" i="30"/>
  <c r="D517" i="30"/>
  <c r="F517" i="30"/>
  <c r="H517" i="30"/>
  <c r="I517" i="30"/>
  <c r="J517" i="30"/>
  <c r="A542" i="30"/>
  <c r="D542" i="30"/>
  <c r="F542" i="30"/>
  <c r="H542" i="30"/>
  <c r="I542" i="30"/>
  <c r="J542" i="30"/>
  <c r="A518" i="30"/>
  <c r="D518" i="30"/>
  <c r="F518" i="30"/>
  <c r="H518" i="30"/>
  <c r="I518" i="30"/>
  <c r="J518" i="30"/>
  <c r="A543" i="30"/>
  <c r="D543" i="30"/>
  <c r="F543" i="30"/>
  <c r="H543" i="30"/>
  <c r="I543" i="30"/>
  <c r="J543" i="30"/>
  <c r="A519" i="30"/>
  <c r="D519" i="30"/>
  <c r="F519" i="30"/>
  <c r="H519" i="30"/>
  <c r="I519" i="30"/>
  <c r="J519" i="30"/>
  <c r="A520" i="30"/>
  <c r="D520" i="30"/>
  <c r="F520" i="30"/>
  <c r="H520" i="30"/>
  <c r="I520" i="30"/>
  <c r="J520" i="30"/>
  <c r="A571" i="30"/>
  <c r="D571" i="30"/>
  <c r="F571" i="30"/>
  <c r="H571" i="30"/>
  <c r="I571" i="30"/>
  <c r="J571" i="30"/>
  <c r="A521" i="30"/>
  <c r="D521" i="30"/>
  <c r="F521" i="30"/>
  <c r="H521" i="30"/>
  <c r="I521" i="30"/>
  <c r="J521" i="30"/>
  <c r="A572" i="30"/>
  <c r="D572" i="30"/>
  <c r="F572" i="30"/>
  <c r="H572" i="30"/>
  <c r="I572" i="30"/>
  <c r="J572" i="30"/>
  <c r="A139" i="30"/>
  <c r="D139" i="30"/>
  <c r="F139" i="30"/>
  <c r="H139" i="30"/>
  <c r="I139" i="30"/>
  <c r="J139" i="30"/>
  <c r="A522" i="30"/>
  <c r="D522" i="30"/>
  <c r="F522" i="30"/>
  <c r="H522" i="30"/>
  <c r="I522" i="30"/>
  <c r="J522" i="30"/>
  <c r="A573" i="30"/>
  <c r="D573" i="30"/>
  <c r="F573" i="30"/>
  <c r="H573" i="30"/>
  <c r="I573" i="30"/>
  <c r="J573" i="30"/>
  <c r="A140" i="30"/>
  <c r="D140" i="30"/>
  <c r="F140" i="30"/>
  <c r="H140" i="30"/>
  <c r="I140" i="30"/>
  <c r="J140" i="30"/>
  <c r="A523" i="30"/>
  <c r="D523" i="30"/>
  <c r="F523" i="30"/>
  <c r="H523" i="30"/>
  <c r="I523" i="30"/>
  <c r="J523" i="30"/>
  <c r="A574" i="30"/>
  <c r="D574" i="30"/>
  <c r="F574" i="30"/>
  <c r="H574" i="30"/>
  <c r="I574" i="30"/>
  <c r="J574" i="30"/>
  <c r="A524" i="30"/>
  <c r="D524" i="30"/>
  <c r="F524" i="30"/>
  <c r="H524" i="30"/>
  <c r="I524" i="30"/>
  <c r="J524" i="30"/>
  <c r="A576" i="30"/>
  <c r="D576" i="30"/>
  <c r="F576" i="30"/>
  <c r="H576" i="30"/>
  <c r="I576" i="30"/>
  <c r="J576" i="30"/>
  <c r="A525" i="30"/>
  <c r="D525" i="30"/>
  <c r="F525" i="30"/>
  <c r="H525" i="30"/>
  <c r="I525" i="30"/>
  <c r="J525" i="30"/>
  <c r="A143" i="30"/>
  <c r="D143" i="30"/>
  <c r="F143" i="30"/>
  <c r="H143" i="30"/>
  <c r="I143" i="30"/>
  <c r="J143" i="30"/>
  <c r="A526" i="30"/>
  <c r="D526" i="30"/>
  <c r="F526" i="30"/>
  <c r="H526" i="30"/>
  <c r="I526" i="30"/>
  <c r="J526" i="30"/>
  <c r="A577" i="30"/>
  <c r="D577" i="30"/>
  <c r="F577" i="30"/>
  <c r="H577" i="30"/>
  <c r="I577" i="30"/>
  <c r="J577" i="30"/>
  <c r="A144" i="30"/>
  <c r="D144" i="30"/>
  <c r="F144" i="30"/>
  <c r="H144" i="30"/>
  <c r="I144" i="30"/>
  <c r="J144" i="30"/>
  <c r="A527" i="30"/>
  <c r="D527" i="30"/>
  <c r="F527" i="30"/>
  <c r="H527" i="30"/>
  <c r="I527" i="30"/>
  <c r="J527" i="30"/>
  <c r="A578" i="30"/>
  <c r="D578" i="30"/>
  <c r="F578" i="30"/>
  <c r="H578" i="30"/>
  <c r="I578" i="30"/>
  <c r="J578" i="30"/>
  <c r="A145" i="30"/>
  <c r="D145" i="30"/>
  <c r="F145" i="30"/>
  <c r="H145" i="30"/>
  <c r="I145" i="30"/>
  <c r="J145" i="30"/>
  <c r="A529" i="30"/>
  <c r="D529" i="30"/>
  <c r="F529" i="30"/>
  <c r="H529" i="30"/>
  <c r="I529" i="30"/>
  <c r="J529" i="30"/>
  <c r="A579" i="30"/>
  <c r="D579" i="30"/>
  <c r="F579" i="30"/>
  <c r="H579" i="30"/>
  <c r="I579" i="30"/>
  <c r="J579" i="30"/>
  <c r="A146" i="30"/>
  <c r="D146" i="30"/>
  <c r="F146" i="30"/>
  <c r="H146" i="30"/>
  <c r="I146" i="30"/>
  <c r="J146" i="30"/>
  <c r="A528" i="30"/>
  <c r="D528" i="30"/>
  <c r="F528" i="30"/>
  <c r="H528" i="30"/>
  <c r="I528" i="30"/>
  <c r="J528" i="30"/>
  <c r="A580" i="30"/>
  <c r="D580" i="30"/>
  <c r="F580" i="30"/>
  <c r="H580" i="30"/>
  <c r="I580" i="30"/>
  <c r="J580" i="30"/>
  <c r="A147" i="30"/>
  <c r="D147" i="30"/>
  <c r="F147" i="30"/>
  <c r="H147" i="30"/>
  <c r="I147" i="30"/>
  <c r="J147" i="30"/>
  <c r="A570" i="30"/>
  <c r="D570" i="30"/>
  <c r="F570" i="30"/>
  <c r="H570" i="30"/>
  <c r="I570" i="30"/>
  <c r="J570" i="30"/>
  <c r="A148" i="30"/>
  <c r="D148" i="30"/>
  <c r="F148" i="30"/>
  <c r="H148" i="30"/>
  <c r="I148" i="30"/>
  <c r="J148" i="30"/>
  <c r="B71" i="16"/>
  <c r="B72" i="16"/>
  <c r="B73" i="16"/>
  <c r="B74" i="16"/>
  <c r="B75" i="16"/>
  <c r="B76" i="16"/>
  <c r="B77" i="16"/>
  <c r="E10" i="11"/>
  <c r="G10" i="11"/>
  <c r="G40" i="6"/>
  <c r="E40" i="6"/>
  <c r="G39" i="6"/>
  <c r="E39" i="6"/>
  <c r="G41" i="6"/>
  <c r="G42" i="6"/>
  <c r="E42" i="6"/>
  <c r="E41" i="6"/>
  <c r="E33" i="9"/>
  <c r="M106" i="29"/>
  <c r="L106" i="29"/>
  <c r="H110" i="29"/>
  <c r="G110" i="29"/>
  <c r="F110" i="29"/>
  <c r="E110" i="29"/>
  <c r="D110" i="29"/>
  <c r="C110" i="29"/>
  <c r="B110" i="29"/>
  <c r="A110" i="29"/>
  <c r="M105" i="29"/>
  <c r="L105" i="29"/>
  <c r="H109" i="29"/>
  <c r="G109" i="29"/>
  <c r="F109" i="29"/>
  <c r="E109" i="29"/>
  <c r="D109" i="29"/>
  <c r="C109" i="29"/>
  <c r="B109" i="29"/>
  <c r="A109" i="29"/>
  <c r="M104" i="29"/>
  <c r="L104" i="29"/>
  <c r="B108" i="29"/>
  <c r="A108" i="29"/>
  <c r="J107" i="29"/>
  <c r="I107" i="29"/>
  <c r="H107" i="29"/>
  <c r="G107" i="29"/>
  <c r="F107" i="29"/>
  <c r="E107" i="29"/>
  <c r="D107" i="29"/>
  <c r="C107" i="29"/>
  <c r="B107" i="29"/>
  <c r="A107" i="29"/>
  <c r="J106" i="29"/>
  <c r="I106" i="29"/>
  <c r="H106" i="29"/>
  <c r="F106" i="29"/>
  <c r="D106" i="29"/>
  <c r="A106" i="29"/>
  <c r="J105" i="29"/>
  <c r="I105" i="29"/>
  <c r="H105" i="29"/>
  <c r="F105" i="29"/>
  <c r="D105" i="29"/>
  <c r="A105" i="29"/>
  <c r="M101" i="29"/>
  <c r="L101" i="29"/>
  <c r="M100" i="29"/>
  <c r="L100" i="29"/>
  <c r="M99" i="29"/>
  <c r="L99" i="29"/>
  <c r="J101" i="29"/>
  <c r="I101" i="29"/>
  <c r="H101" i="29"/>
  <c r="F101" i="29"/>
  <c r="D101" i="29"/>
  <c r="A101" i="29"/>
  <c r="J100" i="29"/>
  <c r="I100" i="29"/>
  <c r="H100" i="29"/>
  <c r="F100" i="29"/>
  <c r="D100" i="29"/>
  <c r="A100" i="29"/>
  <c r="M86" i="29"/>
  <c r="L86" i="29"/>
  <c r="M85" i="29"/>
  <c r="L85" i="29"/>
  <c r="M84" i="29"/>
  <c r="L84" i="29"/>
  <c r="J96" i="29"/>
  <c r="I96" i="29"/>
  <c r="H96" i="29"/>
  <c r="G96" i="29"/>
  <c r="F96" i="29"/>
  <c r="E96" i="29"/>
  <c r="D96" i="29"/>
  <c r="A96" i="29"/>
  <c r="J95" i="29"/>
  <c r="I95" i="29"/>
  <c r="H95" i="29"/>
  <c r="G95" i="29"/>
  <c r="F95" i="29"/>
  <c r="E95" i="29"/>
  <c r="D95" i="29"/>
  <c r="A95" i="29"/>
  <c r="J94" i="29"/>
  <c r="I94" i="29"/>
  <c r="H94" i="29"/>
  <c r="G94" i="29"/>
  <c r="F94" i="29"/>
  <c r="E94" i="29"/>
  <c r="D94" i="29"/>
  <c r="A94" i="29"/>
  <c r="J93" i="29"/>
  <c r="I93" i="29"/>
  <c r="H93" i="29"/>
  <c r="G93" i="29"/>
  <c r="F93" i="29"/>
  <c r="E93" i="29"/>
  <c r="D93" i="29"/>
  <c r="A93" i="29"/>
  <c r="J92" i="29"/>
  <c r="I92" i="29"/>
  <c r="H92" i="29"/>
  <c r="G92" i="29"/>
  <c r="F92" i="29"/>
  <c r="E92" i="29"/>
  <c r="D92" i="29"/>
  <c r="A92" i="29"/>
  <c r="J91" i="29"/>
  <c r="I91" i="29"/>
  <c r="H91" i="29"/>
  <c r="G91" i="29"/>
  <c r="F91" i="29"/>
  <c r="E91" i="29"/>
  <c r="D91" i="29"/>
  <c r="A91" i="29"/>
  <c r="J90" i="29"/>
  <c r="I90" i="29"/>
  <c r="H90" i="29"/>
  <c r="G90" i="29"/>
  <c r="F90" i="29"/>
  <c r="E90" i="29"/>
  <c r="D90" i="29"/>
  <c r="A90" i="29"/>
  <c r="J89" i="29"/>
  <c r="I89" i="29"/>
  <c r="H89" i="29"/>
  <c r="G89" i="29"/>
  <c r="F89" i="29"/>
  <c r="E89" i="29"/>
  <c r="D89" i="29"/>
  <c r="A89" i="29"/>
  <c r="J88" i="29"/>
  <c r="I88" i="29"/>
  <c r="H88" i="29"/>
  <c r="G88" i="29"/>
  <c r="F88" i="29"/>
  <c r="E88" i="29"/>
  <c r="D88" i="29"/>
  <c r="A88" i="29"/>
  <c r="J87" i="29"/>
  <c r="I87" i="29"/>
  <c r="H87" i="29"/>
  <c r="G87" i="29"/>
  <c r="F87" i="29"/>
  <c r="E87" i="29"/>
  <c r="D87" i="29"/>
  <c r="A87" i="29"/>
  <c r="J86" i="29"/>
  <c r="I86" i="29"/>
  <c r="H86" i="29"/>
  <c r="G86" i="29"/>
  <c r="F86" i="29"/>
  <c r="E86" i="29"/>
  <c r="D86" i="29"/>
  <c r="A86" i="29"/>
  <c r="J85" i="29"/>
  <c r="I85" i="29"/>
  <c r="H85" i="29"/>
  <c r="G85" i="29"/>
  <c r="F85" i="29"/>
  <c r="E85" i="29"/>
  <c r="D85" i="29"/>
  <c r="A85" i="29"/>
  <c r="M81" i="29"/>
  <c r="L81" i="29"/>
  <c r="M80" i="29"/>
  <c r="L80" i="29"/>
  <c r="M79" i="29"/>
  <c r="L79" i="29"/>
  <c r="J81" i="29"/>
  <c r="I81" i="29"/>
  <c r="H81" i="29"/>
  <c r="G81" i="29"/>
  <c r="F81" i="29"/>
  <c r="E81" i="29"/>
  <c r="D81" i="29"/>
  <c r="A81" i="29"/>
  <c r="J80" i="29"/>
  <c r="I80" i="29"/>
  <c r="H80" i="29"/>
  <c r="G80" i="29"/>
  <c r="F80" i="29"/>
  <c r="E80" i="29"/>
  <c r="D80" i="29"/>
  <c r="A80" i="29"/>
  <c r="M76" i="29"/>
  <c r="L76" i="29"/>
  <c r="M75" i="29"/>
  <c r="L75" i="29"/>
  <c r="M74" i="29"/>
  <c r="L74" i="29"/>
  <c r="J76" i="29"/>
  <c r="I76" i="29"/>
  <c r="H76" i="29"/>
  <c r="F76" i="29"/>
  <c r="D76" i="29"/>
  <c r="A76" i="29"/>
  <c r="J75" i="29"/>
  <c r="I75" i="29"/>
  <c r="H75" i="29"/>
  <c r="F75" i="29"/>
  <c r="D75" i="29"/>
  <c r="A75" i="29"/>
  <c r="M71" i="29"/>
  <c r="L71" i="29"/>
  <c r="M70" i="29"/>
  <c r="L70" i="29"/>
  <c r="M69" i="29"/>
  <c r="L69" i="29"/>
  <c r="J71" i="29"/>
  <c r="I71" i="29"/>
  <c r="H71" i="29"/>
  <c r="G71" i="29"/>
  <c r="F71" i="29"/>
  <c r="E71" i="29"/>
  <c r="D71" i="29"/>
  <c r="A71" i="29"/>
  <c r="J70" i="29"/>
  <c r="I70" i="29"/>
  <c r="H70" i="29"/>
  <c r="G70" i="29"/>
  <c r="F70" i="29"/>
  <c r="E70" i="29"/>
  <c r="D70" i="29"/>
  <c r="A70" i="29"/>
  <c r="M66" i="29"/>
  <c r="L66" i="29"/>
  <c r="M65" i="29"/>
  <c r="L65" i="29"/>
  <c r="M64" i="29"/>
  <c r="L64" i="29"/>
  <c r="J66" i="29"/>
  <c r="I66" i="29"/>
  <c r="H66" i="29"/>
  <c r="G66" i="29"/>
  <c r="F66" i="29"/>
  <c r="E66" i="29"/>
  <c r="D66" i="29"/>
  <c r="A66" i="29"/>
  <c r="J65" i="29"/>
  <c r="I65" i="29"/>
  <c r="H65" i="29"/>
  <c r="G65" i="29"/>
  <c r="F65" i="29"/>
  <c r="E65" i="29"/>
  <c r="D65" i="29"/>
  <c r="A65" i="29"/>
  <c r="M61" i="29"/>
  <c r="L61" i="29"/>
  <c r="M60" i="29"/>
  <c r="L60" i="29"/>
  <c r="M59" i="29"/>
  <c r="L59" i="29"/>
  <c r="J61" i="29"/>
  <c r="I61" i="29"/>
  <c r="H61" i="29"/>
  <c r="F61" i="29"/>
  <c r="D61" i="29"/>
  <c r="A61" i="29"/>
  <c r="J60" i="29"/>
  <c r="I60" i="29"/>
  <c r="H60" i="29"/>
  <c r="F60" i="29"/>
  <c r="D60" i="29"/>
  <c r="A60" i="29"/>
  <c r="M56" i="29"/>
  <c r="L56" i="29"/>
  <c r="M55" i="29"/>
  <c r="L55" i="29"/>
  <c r="M54" i="29"/>
  <c r="L54" i="29"/>
  <c r="J56" i="29"/>
  <c r="I56" i="29"/>
  <c r="H56" i="29"/>
  <c r="G56" i="29"/>
  <c r="F56" i="29"/>
  <c r="E56" i="29"/>
  <c r="D56" i="29"/>
  <c r="A56" i="29"/>
  <c r="J55" i="29"/>
  <c r="I55" i="29"/>
  <c r="H55" i="29"/>
  <c r="G55" i="29"/>
  <c r="F55" i="29"/>
  <c r="E55" i="29"/>
  <c r="D55" i="29"/>
  <c r="A55" i="29"/>
  <c r="M51" i="29"/>
  <c r="L51" i="29"/>
  <c r="M50" i="29"/>
  <c r="L50" i="29"/>
  <c r="M49" i="29"/>
  <c r="L49" i="29"/>
  <c r="J51" i="29"/>
  <c r="I51" i="29"/>
  <c r="H51" i="29"/>
  <c r="F51" i="29"/>
  <c r="D51" i="29"/>
  <c r="A51" i="29"/>
  <c r="J50" i="29"/>
  <c r="I50" i="29"/>
  <c r="H50" i="29"/>
  <c r="F50" i="29"/>
  <c r="D50" i="29"/>
  <c r="A50" i="29"/>
  <c r="M46" i="29"/>
  <c r="L46" i="29"/>
  <c r="M45" i="29"/>
  <c r="L45" i="29"/>
  <c r="M44" i="29"/>
  <c r="L44" i="29"/>
  <c r="J46" i="29"/>
  <c r="I46" i="29"/>
  <c r="H46" i="29"/>
  <c r="F46" i="29"/>
  <c r="D46" i="29"/>
  <c r="A46" i="29"/>
  <c r="J45" i="29"/>
  <c r="I45" i="29"/>
  <c r="H45" i="29"/>
  <c r="F45" i="29"/>
  <c r="D45" i="29"/>
  <c r="A45" i="29"/>
  <c r="M41" i="29"/>
  <c r="L41" i="29"/>
  <c r="M40" i="29"/>
  <c r="L40" i="29"/>
  <c r="M39" i="29"/>
  <c r="L39" i="29"/>
  <c r="J41" i="29"/>
  <c r="I41" i="29"/>
  <c r="H41" i="29"/>
  <c r="F41" i="29"/>
  <c r="D41" i="29"/>
  <c r="A41" i="29"/>
  <c r="J40" i="29"/>
  <c r="I40" i="29"/>
  <c r="H40" i="29"/>
  <c r="F40" i="29"/>
  <c r="D40" i="29"/>
  <c r="A40" i="29"/>
  <c r="M36" i="29"/>
  <c r="L36" i="29"/>
  <c r="M35" i="29"/>
  <c r="L35" i="29"/>
  <c r="M34" i="29"/>
  <c r="L34" i="29"/>
  <c r="J36" i="29"/>
  <c r="I36" i="29"/>
  <c r="H36" i="29"/>
  <c r="F36" i="29"/>
  <c r="D36" i="29"/>
  <c r="A36" i="29"/>
  <c r="J35" i="29"/>
  <c r="I35" i="29"/>
  <c r="H35" i="29"/>
  <c r="F35" i="29"/>
  <c r="D35" i="29"/>
  <c r="A35" i="29"/>
  <c r="M31" i="29"/>
  <c r="L31" i="29"/>
  <c r="M30" i="29"/>
  <c r="L30" i="29"/>
  <c r="M29" i="29"/>
  <c r="L29" i="29"/>
  <c r="J31" i="29"/>
  <c r="I31" i="29"/>
  <c r="H31" i="29"/>
  <c r="F31" i="29"/>
  <c r="D31" i="29"/>
  <c r="A31" i="29"/>
  <c r="J30" i="29"/>
  <c r="I30" i="29"/>
  <c r="H30" i="29"/>
  <c r="F30" i="29"/>
  <c r="D30" i="29"/>
  <c r="A30" i="29"/>
  <c r="M26" i="29"/>
  <c r="L26" i="29"/>
  <c r="M25" i="29"/>
  <c r="L25" i="29"/>
  <c r="M24" i="29"/>
  <c r="L24" i="29"/>
  <c r="J26" i="29"/>
  <c r="I26" i="29"/>
  <c r="H26" i="29"/>
  <c r="F26" i="29"/>
  <c r="D26" i="29"/>
  <c r="A26" i="29"/>
  <c r="J25" i="29"/>
  <c r="I25" i="29"/>
  <c r="H25" i="29"/>
  <c r="F25" i="29"/>
  <c r="D25" i="29"/>
  <c r="A25" i="29"/>
  <c r="M21" i="29"/>
  <c r="L21" i="29"/>
  <c r="M20" i="29"/>
  <c r="L20" i="29"/>
  <c r="M19" i="29"/>
  <c r="L19" i="29"/>
  <c r="J21" i="29"/>
  <c r="I21" i="29"/>
  <c r="H21" i="29"/>
  <c r="G21" i="29"/>
  <c r="F21" i="29"/>
  <c r="E21" i="29"/>
  <c r="D21" i="29"/>
  <c r="A21" i="29"/>
  <c r="J20" i="29"/>
  <c r="I20" i="29"/>
  <c r="H20" i="29"/>
  <c r="G20" i="29"/>
  <c r="F20" i="29"/>
  <c r="E20" i="29"/>
  <c r="D20" i="29"/>
  <c r="A20" i="29"/>
  <c r="M16" i="29"/>
  <c r="L16" i="29"/>
  <c r="M15" i="29"/>
  <c r="L15" i="29"/>
  <c r="M14" i="29"/>
  <c r="L14" i="29"/>
  <c r="J16" i="29"/>
  <c r="I16" i="29"/>
  <c r="H16" i="29"/>
  <c r="G16" i="29"/>
  <c r="F16" i="29"/>
  <c r="E16" i="29"/>
  <c r="D16" i="29"/>
  <c r="A16" i="29"/>
  <c r="J15" i="29"/>
  <c r="I15" i="29"/>
  <c r="H15" i="29"/>
  <c r="G15" i="29"/>
  <c r="F15" i="29"/>
  <c r="E15" i="29"/>
  <c r="D15" i="29"/>
  <c r="A15" i="29"/>
  <c r="M4" i="29"/>
  <c r="L4" i="29"/>
  <c r="M3" i="29"/>
  <c r="L3" i="29"/>
  <c r="M2" i="29"/>
  <c r="L2" i="29"/>
  <c r="J4" i="29"/>
  <c r="I4" i="29"/>
  <c r="H4" i="29"/>
  <c r="G4" i="29"/>
  <c r="F4" i="29"/>
  <c r="E4" i="29"/>
  <c r="D4" i="29"/>
  <c r="A4" i="29"/>
  <c r="J3" i="29"/>
  <c r="I3" i="29"/>
  <c r="H3" i="29"/>
  <c r="G3" i="29"/>
  <c r="F3" i="29"/>
  <c r="E3" i="29"/>
  <c r="D3" i="29"/>
  <c r="A3" i="29"/>
  <c r="J1" i="29"/>
  <c r="I1" i="29"/>
  <c r="H1" i="29"/>
  <c r="G1" i="29"/>
  <c r="F1" i="29"/>
  <c r="E1" i="29"/>
  <c r="D1" i="29"/>
  <c r="C1" i="29"/>
  <c r="B1" i="29"/>
  <c r="A1" i="29"/>
  <c r="A219" i="28"/>
  <c r="D219" i="28"/>
  <c r="E219" i="28"/>
  <c r="F219" i="28"/>
  <c r="G219" i="28"/>
  <c r="H219" i="28"/>
  <c r="I219" i="28"/>
  <c r="J219" i="28"/>
  <c r="J580" i="28"/>
  <c r="I580" i="28"/>
  <c r="H580" i="28"/>
  <c r="F580" i="28"/>
  <c r="D580" i="28"/>
  <c r="J578" i="28"/>
  <c r="I578" i="28"/>
  <c r="H578" i="28"/>
  <c r="F578" i="28"/>
  <c r="D578" i="28"/>
  <c r="J575" i="28"/>
  <c r="I575" i="28"/>
  <c r="H575" i="28"/>
  <c r="F575" i="28"/>
  <c r="D575" i="28"/>
  <c r="J572" i="28"/>
  <c r="I572" i="28"/>
  <c r="H572" i="28"/>
  <c r="F572" i="28"/>
  <c r="D572" i="28"/>
  <c r="J569" i="28"/>
  <c r="I569" i="28"/>
  <c r="H569" i="28"/>
  <c r="F569" i="28"/>
  <c r="D569" i="28"/>
  <c r="J566" i="28"/>
  <c r="I566" i="28"/>
  <c r="H566" i="28"/>
  <c r="F566" i="28"/>
  <c r="D566" i="28"/>
  <c r="J560" i="28"/>
  <c r="I560" i="28"/>
  <c r="H560" i="28"/>
  <c r="F560" i="28"/>
  <c r="D560" i="28"/>
  <c r="J557" i="28"/>
  <c r="I557" i="28"/>
  <c r="H557" i="28"/>
  <c r="F557" i="28"/>
  <c r="D557" i="28"/>
  <c r="J554" i="28"/>
  <c r="I554" i="28"/>
  <c r="H554" i="28"/>
  <c r="F554" i="28"/>
  <c r="D554" i="28"/>
  <c r="J579" i="28"/>
  <c r="I579" i="28"/>
  <c r="H579" i="28"/>
  <c r="F579" i="28"/>
  <c r="D579" i="28"/>
  <c r="J577" i="28"/>
  <c r="I577" i="28"/>
  <c r="H577" i="28"/>
  <c r="F577" i="28"/>
  <c r="D577" i="28"/>
  <c r="J574" i="28"/>
  <c r="I574" i="28"/>
  <c r="H574" i="28"/>
  <c r="F574" i="28"/>
  <c r="D574" i="28"/>
  <c r="J571" i="28"/>
  <c r="I571" i="28"/>
  <c r="H571" i="28"/>
  <c r="F571" i="28"/>
  <c r="D571" i="28"/>
  <c r="J568" i="28"/>
  <c r="I568" i="28"/>
  <c r="H568" i="28"/>
  <c r="F568" i="28"/>
  <c r="D568" i="28"/>
  <c r="J564" i="28"/>
  <c r="I564" i="28"/>
  <c r="H564" i="28"/>
  <c r="F564" i="28"/>
  <c r="D564" i="28"/>
  <c r="J562" i="28"/>
  <c r="I562" i="28"/>
  <c r="H562" i="28"/>
  <c r="F562" i="28"/>
  <c r="D562" i="28"/>
  <c r="J559" i="28"/>
  <c r="I559" i="28"/>
  <c r="H559" i="28"/>
  <c r="F559" i="28"/>
  <c r="D559" i="28"/>
  <c r="J556" i="28"/>
  <c r="I556" i="28"/>
  <c r="H556" i="28"/>
  <c r="F556" i="28"/>
  <c r="D556" i="28"/>
  <c r="J573" i="28"/>
  <c r="I573" i="28"/>
  <c r="H573" i="28"/>
  <c r="F573" i="28"/>
  <c r="D573" i="28"/>
  <c r="J576" i="28"/>
  <c r="I576" i="28"/>
  <c r="H576" i="28"/>
  <c r="F576" i="28"/>
  <c r="D576" i="28"/>
  <c r="J570" i="28"/>
  <c r="I570" i="28"/>
  <c r="H570" i="28"/>
  <c r="F570" i="28"/>
  <c r="D570" i="28"/>
  <c r="J567" i="28"/>
  <c r="I567" i="28"/>
  <c r="H567" i="28"/>
  <c r="F567" i="28"/>
  <c r="D567" i="28"/>
  <c r="J565" i="28"/>
  <c r="I565" i="28"/>
  <c r="H565" i="28"/>
  <c r="F565" i="28"/>
  <c r="D565" i="28"/>
  <c r="J563" i="28"/>
  <c r="I563" i="28"/>
  <c r="H563" i="28"/>
  <c r="F563" i="28"/>
  <c r="D563" i="28"/>
  <c r="J561" i="28"/>
  <c r="I561" i="28"/>
  <c r="H561" i="28"/>
  <c r="F561" i="28"/>
  <c r="D561" i="28"/>
  <c r="J558" i="28"/>
  <c r="I558" i="28"/>
  <c r="H558" i="28"/>
  <c r="F558" i="28"/>
  <c r="D558" i="28"/>
  <c r="J555" i="28"/>
  <c r="I555" i="28"/>
  <c r="H555" i="28"/>
  <c r="F555" i="28"/>
  <c r="D555" i="28"/>
  <c r="J553" i="28"/>
  <c r="I553" i="28"/>
  <c r="H553" i="28"/>
  <c r="F553" i="28"/>
  <c r="D553" i="28"/>
  <c r="J552" i="28"/>
  <c r="I552" i="28"/>
  <c r="H552" i="28"/>
  <c r="F552" i="28"/>
  <c r="D552" i="28"/>
  <c r="J551" i="28"/>
  <c r="I551" i="28"/>
  <c r="H551" i="28"/>
  <c r="F551" i="28"/>
  <c r="D551" i="28"/>
  <c r="J549" i="28"/>
  <c r="I549" i="28"/>
  <c r="H549" i="28"/>
  <c r="F549" i="28"/>
  <c r="D549" i="28"/>
  <c r="J547" i="28"/>
  <c r="I547" i="28"/>
  <c r="H547" i="28"/>
  <c r="F547" i="28"/>
  <c r="D547" i="28"/>
  <c r="J545" i="28"/>
  <c r="I545" i="28"/>
  <c r="H545" i="28"/>
  <c r="F545" i="28"/>
  <c r="D545" i="28"/>
  <c r="J543" i="28"/>
  <c r="I543" i="28"/>
  <c r="H543" i="28"/>
  <c r="F543" i="28"/>
  <c r="D543" i="28"/>
  <c r="J541" i="28"/>
  <c r="I541" i="28"/>
  <c r="H541" i="28"/>
  <c r="F541" i="28"/>
  <c r="D541" i="28"/>
  <c r="J539" i="28"/>
  <c r="I539" i="28"/>
  <c r="H539" i="28"/>
  <c r="F539" i="28"/>
  <c r="D539" i="28"/>
  <c r="J537" i="28"/>
  <c r="I537" i="28"/>
  <c r="H537" i="28"/>
  <c r="F537" i="28"/>
  <c r="D537" i="28"/>
  <c r="J535" i="28"/>
  <c r="I535" i="28"/>
  <c r="H535" i="28"/>
  <c r="F535" i="28"/>
  <c r="D535" i="28"/>
  <c r="J533" i="28"/>
  <c r="I533" i="28"/>
  <c r="H533" i="28"/>
  <c r="F533" i="28"/>
  <c r="D533" i="28"/>
  <c r="J531" i="28"/>
  <c r="I531" i="28"/>
  <c r="H531" i="28"/>
  <c r="F531" i="28"/>
  <c r="D531" i="28"/>
  <c r="J529" i="28"/>
  <c r="I529" i="28"/>
  <c r="H529" i="28"/>
  <c r="F529" i="28"/>
  <c r="D529" i="28"/>
  <c r="J527" i="28"/>
  <c r="I527" i="28"/>
  <c r="H527" i="28"/>
  <c r="F527" i="28"/>
  <c r="D527" i="28"/>
  <c r="J550" i="28"/>
  <c r="I550" i="28"/>
  <c r="H550" i="28"/>
  <c r="F550" i="28"/>
  <c r="D550" i="28"/>
  <c r="J548" i="28"/>
  <c r="I548" i="28"/>
  <c r="H548" i="28"/>
  <c r="F548" i="28"/>
  <c r="D548" i="28"/>
  <c r="J546" i="28"/>
  <c r="I546" i="28"/>
  <c r="H546" i="28"/>
  <c r="F546" i="28"/>
  <c r="D546" i="28"/>
  <c r="J544" i="28"/>
  <c r="I544" i="28"/>
  <c r="H544" i="28"/>
  <c r="F544" i="28"/>
  <c r="D544" i="28"/>
  <c r="J542" i="28"/>
  <c r="I542" i="28"/>
  <c r="H542" i="28"/>
  <c r="F542" i="28"/>
  <c r="D542" i="28"/>
  <c r="J540" i="28"/>
  <c r="I540" i="28"/>
  <c r="H540" i="28"/>
  <c r="F540" i="28"/>
  <c r="D540" i="28"/>
  <c r="J538" i="28"/>
  <c r="I538" i="28"/>
  <c r="H538" i="28"/>
  <c r="F538" i="28"/>
  <c r="D538" i="28"/>
  <c r="J536" i="28"/>
  <c r="I536" i="28"/>
  <c r="H536" i="28"/>
  <c r="F536" i="28"/>
  <c r="D536" i="28"/>
  <c r="J534" i="28"/>
  <c r="I534" i="28"/>
  <c r="H534" i="28"/>
  <c r="F534" i="28"/>
  <c r="D534" i="28"/>
  <c r="J532" i="28"/>
  <c r="I532" i="28"/>
  <c r="H532" i="28"/>
  <c r="F532" i="28"/>
  <c r="D532" i="28"/>
  <c r="J530" i="28"/>
  <c r="I530" i="28"/>
  <c r="H530" i="28"/>
  <c r="F530" i="28"/>
  <c r="D530" i="28"/>
  <c r="J528" i="28"/>
  <c r="I528" i="28"/>
  <c r="H528" i="28"/>
  <c r="F528" i="28"/>
  <c r="D528" i="28"/>
  <c r="J526" i="28"/>
  <c r="I526" i="28"/>
  <c r="H526" i="28"/>
  <c r="F526" i="28"/>
  <c r="D526" i="28"/>
  <c r="J525" i="28"/>
  <c r="I525" i="28"/>
  <c r="H525" i="28"/>
  <c r="F525" i="28"/>
  <c r="D525" i="28"/>
  <c r="A580" i="28"/>
  <c r="A578" i="28"/>
  <c r="A575" i="28"/>
  <c r="A572" i="28"/>
  <c r="A569" i="28"/>
  <c r="A566" i="28"/>
  <c r="A560" i="28"/>
  <c r="A557" i="28"/>
  <c r="A554" i="28"/>
  <c r="A579" i="28"/>
  <c r="A577" i="28"/>
  <c r="A574" i="28"/>
  <c r="A571" i="28"/>
  <c r="A568" i="28"/>
  <c r="A564" i="28"/>
  <c r="A562" i="28"/>
  <c r="A559" i="28"/>
  <c r="A556" i="28"/>
  <c r="A573" i="28"/>
  <c r="A576" i="28"/>
  <c r="A570" i="28"/>
  <c r="A567" i="28"/>
  <c r="A565" i="28"/>
  <c r="A563" i="28"/>
  <c r="A561" i="28"/>
  <c r="A558" i="28"/>
  <c r="A555" i="28"/>
  <c r="A553" i="28"/>
  <c r="A552" i="28"/>
  <c r="A551" i="28"/>
  <c r="A549" i="28"/>
  <c r="A547" i="28"/>
  <c r="A545" i="28"/>
  <c r="A543" i="28"/>
  <c r="A541" i="28"/>
  <c r="A539" i="28"/>
  <c r="A537" i="28"/>
  <c r="A535" i="28"/>
  <c r="A533" i="28"/>
  <c r="A531" i="28"/>
  <c r="A529" i="28"/>
  <c r="A527" i="28"/>
  <c r="A550" i="28"/>
  <c r="A548" i="28"/>
  <c r="A546" i="28"/>
  <c r="A544" i="28"/>
  <c r="A542" i="28"/>
  <c r="A540" i="28"/>
  <c r="A538" i="28"/>
  <c r="A536" i="28"/>
  <c r="A534" i="28"/>
  <c r="A532" i="28"/>
  <c r="A530" i="28"/>
  <c r="A528" i="28"/>
  <c r="A526" i="28"/>
  <c r="A525" i="28"/>
  <c r="A524" i="28"/>
  <c r="A523" i="28"/>
  <c r="A522" i="28"/>
  <c r="A521" i="28"/>
  <c r="A520" i="28"/>
  <c r="A519" i="28"/>
  <c r="A517" i="28"/>
  <c r="A518" i="28"/>
  <c r="A516" i="28"/>
  <c r="A515" i="28"/>
  <c r="A512" i="28"/>
  <c r="A514" i="28"/>
  <c r="A513" i="28"/>
  <c r="A511" i="28"/>
  <c r="A510" i="28"/>
  <c r="A509" i="28"/>
  <c r="A508" i="28"/>
  <c r="A507" i="28"/>
  <c r="A506" i="28"/>
  <c r="A505" i="28"/>
  <c r="A504" i="28"/>
  <c r="A503" i="28"/>
  <c r="A502" i="28"/>
  <c r="A501" i="28"/>
  <c r="A500" i="28"/>
  <c r="A499" i="28"/>
  <c r="A498" i="28"/>
  <c r="A497" i="28"/>
  <c r="A496" i="28"/>
  <c r="A495" i="28"/>
  <c r="A494" i="28"/>
  <c r="J524" i="28"/>
  <c r="I524" i="28"/>
  <c r="H524" i="28"/>
  <c r="F524" i="28"/>
  <c r="D524" i="28"/>
  <c r="J523" i="28"/>
  <c r="I523" i="28"/>
  <c r="H523" i="28"/>
  <c r="F523" i="28"/>
  <c r="D523" i="28"/>
  <c r="J522" i="28"/>
  <c r="I522" i="28"/>
  <c r="H522" i="28"/>
  <c r="F522" i="28"/>
  <c r="D522" i="28"/>
  <c r="J521" i="28"/>
  <c r="I521" i="28"/>
  <c r="H521" i="28"/>
  <c r="F521" i="28"/>
  <c r="D521" i="28"/>
  <c r="J520" i="28"/>
  <c r="I520" i="28"/>
  <c r="H520" i="28"/>
  <c r="F520" i="28"/>
  <c r="D520" i="28"/>
  <c r="J519" i="28"/>
  <c r="I519" i="28"/>
  <c r="H519" i="28"/>
  <c r="F519" i="28"/>
  <c r="D519" i="28"/>
  <c r="J517" i="28"/>
  <c r="I517" i="28"/>
  <c r="H517" i="28"/>
  <c r="F517" i="28"/>
  <c r="D517" i="28"/>
  <c r="J518" i="28"/>
  <c r="I518" i="28"/>
  <c r="H518" i="28"/>
  <c r="F518" i="28"/>
  <c r="D518" i="28"/>
  <c r="J516" i="28"/>
  <c r="I516" i="28"/>
  <c r="H516" i="28"/>
  <c r="F516" i="28"/>
  <c r="D516" i="28"/>
  <c r="J515" i="28"/>
  <c r="I515" i="28"/>
  <c r="H515" i="28"/>
  <c r="F515" i="28"/>
  <c r="D515" i="28"/>
  <c r="J512" i="28"/>
  <c r="I512" i="28"/>
  <c r="H512" i="28"/>
  <c r="F512" i="28"/>
  <c r="D512" i="28"/>
  <c r="J514" i="28"/>
  <c r="I514" i="28"/>
  <c r="H514" i="28"/>
  <c r="F514" i="28"/>
  <c r="D514" i="28"/>
  <c r="J513" i="28"/>
  <c r="I513" i="28"/>
  <c r="H513" i="28"/>
  <c r="F513" i="28"/>
  <c r="D513" i="28"/>
  <c r="J511" i="28"/>
  <c r="I511" i="28"/>
  <c r="H511" i="28"/>
  <c r="F511" i="28"/>
  <c r="D511" i="28"/>
  <c r="J510" i="28"/>
  <c r="I510" i="28"/>
  <c r="H510" i="28"/>
  <c r="F510" i="28"/>
  <c r="D510" i="28"/>
  <c r="J509" i="28"/>
  <c r="I509" i="28"/>
  <c r="H509" i="28"/>
  <c r="F509" i="28"/>
  <c r="D509" i="28"/>
  <c r="J508" i="28"/>
  <c r="I508" i="28"/>
  <c r="H508" i="28"/>
  <c r="F508" i="28"/>
  <c r="D508" i="28"/>
  <c r="J507" i="28"/>
  <c r="I507" i="28"/>
  <c r="H507" i="28"/>
  <c r="F507" i="28"/>
  <c r="D507" i="28"/>
  <c r="J506" i="28"/>
  <c r="I506" i="28"/>
  <c r="H506" i="28"/>
  <c r="F506" i="28"/>
  <c r="D506" i="28"/>
  <c r="C506" i="28"/>
  <c r="J505" i="28"/>
  <c r="I505" i="28"/>
  <c r="H505" i="28"/>
  <c r="F505" i="28"/>
  <c r="D505" i="28"/>
  <c r="C505" i="28"/>
  <c r="J504" i="28"/>
  <c r="I504" i="28"/>
  <c r="H504" i="28"/>
  <c r="F504" i="28"/>
  <c r="D504" i="28"/>
  <c r="J503" i="28"/>
  <c r="I503" i="28"/>
  <c r="H503" i="28"/>
  <c r="F503" i="28"/>
  <c r="D503" i="28"/>
  <c r="J502" i="28"/>
  <c r="I502" i="28"/>
  <c r="H502" i="28"/>
  <c r="G502" i="28"/>
  <c r="F502" i="28"/>
  <c r="E502" i="28"/>
  <c r="D502" i="28"/>
  <c r="J501" i="28"/>
  <c r="I501" i="28"/>
  <c r="H501" i="28"/>
  <c r="G501" i="28"/>
  <c r="F501" i="28"/>
  <c r="E501" i="28"/>
  <c r="D501" i="28"/>
  <c r="J500" i="28"/>
  <c r="I500" i="28"/>
  <c r="H500" i="28"/>
  <c r="G500" i="28"/>
  <c r="F500" i="28"/>
  <c r="E500" i="28"/>
  <c r="D500" i="28"/>
  <c r="J499" i="28"/>
  <c r="I499" i="28"/>
  <c r="H499" i="28"/>
  <c r="G499" i="28"/>
  <c r="F499" i="28"/>
  <c r="E499" i="28"/>
  <c r="D499" i="28"/>
  <c r="J498" i="28"/>
  <c r="I498" i="28"/>
  <c r="H498" i="28"/>
  <c r="F498" i="28"/>
  <c r="D498" i="28"/>
  <c r="J497" i="28"/>
  <c r="I497" i="28"/>
  <c r="H497" i="28"/>
  <c r="F497" i="28"/>
  <c r="D497" i="28"/>
  <c r="J496" i="28"/>
  <c r="I496" i="28"/>
  <c r="H496" i="28"/>
  <c r="G496" i="28"/>
  <c r="F496" i="28"/>
  <c r="E496" i="28"/>
  <c r="D496" i="28"/>
  <c r="J495" i="28"/>
  <c r="I495" i="28"/>
  <c r="H495" i="28"/>
  <c r="G495" i="28"/>
  <c r="F495" i="28"/>
  <c r="E495" i="28"/>
  <c r="D495" i="28"/>
  <c r="J494" i="28"/>
  <c r="I494" i="28"/>
  <c r="H494" i="28"/>
  <c r="G494" i="28"/>
  <c r="F494" i="28"/>
  <c r="E494" i="28"/>
  <c r="D494" i="28"/>
  <c r="J493" i="28"/>
  <c r="I493" i="28"/>
  <c r="H493" i="28"/>
  <c r="G493" i="28"/>
  <c r="F493" i="28"/>
  <c r="E493" i="28"/>
  <c r="D493" i="28"/>
  <c r="A493" i="28"/>
  <c r="J492" i="28"/>
  <c r="I492" i="28"/>
  <c r="H492" i="28"/>
  <c r="G492" i="28"/>
  <c r="F492" i="28"/>
  <c r="E492" i="28"/>
  <c r="D492" i="28"/>
  <c r="J491" i="28"/>
  <c r="I491" i="28"/>
  <c r="H491" i="28"/>
  <c r="G491" i="28"/>
  <c r="F491" i="28"/>
  <c r="E491" i="28"/>
  <c r="D491" i="28"/>
  <c r="J490" i="28"/>
  <c r="I490" i="28"/>
  <c r="H490" i="28"/>
  <c r="G490" i="28"/>
  <c r="F490" i="28"/>
  <c r="E490" i="28"/>
  <c r="D490" i="28"/>
  <c r="J489" i="28"/>
  <c r="I489" i="28"/>
  <c r="H489" i="28"/>
  <c r="G489" i="28"/>
  <c r="F489" i="28"/>
  <c r="E489" i="28"/>
  <c r="D489" i="28"/>
  <c r="J488" i="28"/>
  <c r="I488" i="28"/>
  <c r="H488" i="28"/>
  <c r="G488" i="28"/>
  <c r="F488" i="28"/>
  <c r="E488" i="28"/>
  <c r="D488" i="28"/>
  <c r="J487" i="28"/>
  <c r="I487" i="28"/>
  <c r="H487" i="28"/>
  <c r="G487" i="28"/>
  <c r="F487" i="28"/>
  <c r="E487" i="28"/>
  <c r="D487" i="28"/>
  <c r="J486" i="28"/>
  <c r="I486" i="28"/>
  <c r="H486" i="28"/>
  <c r="G486" i="28"/>
  <c r="F486" i="28"/>
  <c r="E486" i="28"/>
  <c r="D486" i="28"/>
  <c r="J485" i="28"/>
  <c r="I485" i="28"/>
  <c r="H485" i="28"/>
  <c r="G485" i="28"/>
  <c r="F485" i="28"/>
  <c r="E485" i="28"/>
  <c r="D485" i="28"/>
  <c r="J484" i="28"/>
  <c r="I484" i="28"/>
  <c r="H484" i="28"/>
  <c r="G484" i="28"/>
  <c r="F484" i="28"/>
  <c r="E484" i="28"/>
  <c r="D484" i="28"/>
  <c r="J483" i="28"/>
  <c r="I483" i="28"/>
  <c r="H483" i="28"/>
  <c r="G483" i="28"/>
  <c r="F483" i="28"/>
  <c r="E483" i="28"/>
  <c r="D483" i="28"/>
  <c r="J482" i="28"/>
  <c r="I482" i="28"/>
  <c r="H482" i="28"/>
  <c r="G482" i="28"/>
  <c r="F482" i="28"/>
  <c r="E482" i="28"/>
  <c r="D482" i="28"/>
  <c r="J481" i="28"/>
  <c r="I481" i="28"/>
  <c r="H481" i="28"/>
  <c r="G481" i="28"/>
  <c r="F481" i="28"/>
  <c r="E481" i="28"/>
  <c r="D481" i="28"/>
  <c r="A492" i="28"/>
  <c r="A491" i="28"/>
  <c r="A490" i="28"/>
  <c r="A489" i="28"/>
  <c r="A488" i="28"/>
  <c r="A487" i="28"/>
  <c r="A486" i="28"/>
  <c r="A485" i="28"/>
  <c r="A484" i="28"/>
  <c r="A483" i="28"/>
  <c r="A482" i="28"/>
  <c r="A481" i="28"/>
  <c r="J480" i="28"/>
  <c r="I480" i="28"/>
  <c r="H480" i="28"/>
  <c r="F480" i="28"/>
  <c r="D480" i="28"/>
  <c r="J478" i="28"/>
  <c r="I478" i="28"/>
  <c r="H478" i="28"/>
  <c r="F478" i="28"/>
  <c r="D478" i="28"/>
  <c r="J476" i="28"/>
  <c r="I476" i="28"/>
  <c r="H476" i="28"/>
  <c r="F476" i="28"/>
  <c r="D476" i="28"/>
  <c r="J475" i="28"/>
  <c r="I475" i="28"/>
  <c r="H475" i="28"/>
  <c r="F475" i="28"/>
  <c r="D475" i="28"/>
  <c r="J473" i="28"/>
  <c r="I473" i="28"/>
  <c r="H473" i="28"/>
  <c r="F473" i="28"/>
  <c r="D473" i="28"/>
  <c r="J471" i="28"/>
  <c r="I471" i="28"/>
  <c r="H471" i="28"/>
  <c r="F471" i="28"/>
  <c r="D471" i="28"/>
  <c r="J467" i="28"/>
  <c r="I467" i="28"/>
  <c r="H467" i="28"/>
  <c r="F467" i="28"/>
  <c r="D467" i="28"/>
  <c r="J465" i="28"/>
  <c r="I465" i="28"/>
  <c r="H465" i="28"/>
  <c r="F465" i="28"/>
  <c r="D465" i="28"/>
  <c r="J463" i="28"/>
  <c r="I463" i="28"/>
  <c r="H463" i="28"/>
  <c r="F463" i="28"/>
  <c r="D463" i="28"/>
  <c r="J479" i="28"/>
  <c r="I479" i="28"/>
  <c r="H479" i="28"/>
  <c r="G479" i="28"/>
  <c r="F479" i="28"/>
  <c r="E479" i="28"/>
  <c r="D479" i="28"/>
  <c r="J477" i="28"/>
  <c r="I477" i="28"/>
  <c r="H477" i="28"/>
  <c r="G477" i="28"/>
  <c r="F477" i="28"/>
  <c r="E477" i="28"/>
  <c r="D477" i="28"/>
  <c r="J474" i="28"/>
  <c r="I474" i="28"/>
  <c r="H474" i="28"/>
  <c r="F474" i="28"/>
  <c r="D474" i="28"/>
  <c r="J472" i="28"/>
  <c r="I472" i="28"/>
  <c r="H472" i="28"/>
  <c r="F472" i="28"/>
  <c r="D472" i="28"/>
  <c r="J470" i="28"/>
  <c r="I470" i="28"/>
  <c r="H470" i="28"/>
  <c r="F470" i="28"/>
  <c r="D470" i="28"/>
  <c r="J469" i="28"/>
  <c r="I469" i="28"/>
  <c r="H469" i="28"/>
  <c r="F469" i="28"/>
  <c r="D469" i="28"/>
  <c r="J468" i="28"/>
  <c r="I468" i="28"/>
  <c r="H468" i="28"/>
  <c r="F468" i="28"/>
  <c r="D468" i="28"/>
  <c r="J466" i="28"/>
  <c r="I466" i="28"/>
  <c r="H466" i="28"/>
  <c r="F466" i="28"/>
  <c r="D466" i="28"/>
  <c r="J464" i="28"/>
  <c r="I464" i="28"/>
  <c r="H464" i="28"/>
  <c r="F464" i="28"/>
  <c r="D464" i="28"/>
  <c r="J462" i="28"/>
  <c r="I462" i="28"/>
  <c r="H462" i="28"/>
  <c r="F462" i="28"/>
  <c r="D462" i="28"/>
  <c r="J461" i="28"/>
  <c r="I461" i="28"/>
  <c r="H461" i="28"/>
  <c r="F461" i="28"/>
  <c r="D461" i="28"/>
  <c r="J460" i="28"/>
  <c r="I460" i="28"/>
  <c r="H460" i="28"/>
  <c r="G460" i="28"/>
  <c r="F460" i="28"/>
  <c r="E460" i="28"/>
  <c r="D460" i="28"/>
  <c r="J458" i="28"/>
  <c r="I458" i="28"/>
  <c r="H458" i="28"/>
  <c r="G458" i="28"/>
  <c r="F458" i="28"/>
  <c r="E458" i="28"/>
  <c r="D458" i="28"/>
  <c r="J456" i="28"/>
  <c r="I456" i="28"/>
  <c r="H456" i="28"/>
  <c r="G456" i="28"/>
  <c r="F456" i="28"/>
  <c r="E456" i="28"/>
  <c r="D456" i="28"/>
  <c r="J454" i="28"/>
  <c r="I454" i="28"/>
  <c r="H454" i="28"/>
  <c r="G454" i="28"/>
  <c r="F454" i="28"/>
  <c r="E454" i="28"/>
  <c r="D454" i="28"/>
  <c r="J452" i="28"/>
  <c r="I452" i="28"/>
  <c r="H452" i="28"/>
  <c r="G452" i="28"/>
  <c r="F452" i="28"/>
  <c r="D452" i="28"/>
  <c r="J450" i="28"/>
  <c r="I450" i="28"/>
  <c r="H450" i="28"/>
  <c r="F450" i="28"/>
  <c r="E450" i="28"/>
  <c r="D450" i="28"/>
  <c r="J449" i="28"/>
  <c r="I449" i="28"/>
  <c r="H449" i="28"/>
  <c r="G449" i="28"/>
  <c r="F449" i="28"/>
  <c r="E449" i="28"/>
  <c r="D449" i="28"/>
  <c r="J447" i="28"/>
  <c r="I447" i="28"/>
  <c r="H447" i="28"/>
  <c r="G447" i="28"/>
  <c r="F447" i="28"/>
  <c r="D447" i="28"/>
  <c r="J445" i="28"/>
  <c r="I445" i="28"/>
  <c r="H445" i="28"/>
  <c r="F445" i="28"/>
  <c r="E445" i="28"/>
  <c r="D445" i="28"/>
  <c r="J459" i="28"/>
  <c r="I459" i="28"/>
  <c r="H459" i="28"/>
  <c r="G459" i="28"/>
  <c r="F459" i="28"/>
  <c r="E459" i="28"/>
  <c r="D459" i="28"/>
  <c r="J457" i="28"/>
  <c r="I457" i="28"/>
  <c r="H457" i="28"/>
  <c r="G457" i="28"/>
  <c r="F457" i="28"/>
  <c r="E457" i="28"/>
  <c r="D457" i="28"/>
  <c r="J455" i="28"/>
  <c r="I455" i="28"/>
  <c r="H455" i="28"/>
  <c r="G455" i="28"/>
  <c r="F455" i="28"/>
  <c r="E455" i="28"/>
  <c r="D455" i="28"/>
  <c r="J453" i="28"/>
  <c r="I453" i="28"/>
  <c r="H453" i="28"/>
  <c r="F453" i="28"/>
  <c r="E453" i="28"/>
  <c r="D453" i="28"/>
  <c r="J451" i="28"/>
  <c r="I451" i="28"/>
  <c r="H451" i="28"/>
  <c r="F451" i="28"/>
  <c r="E451" i="28"/>
  <c r="D451" i="28"/>
  <c r="J448" i="28"/>
  <c r="I448" i="28"/>
  <c r="H448" i="28"/>
  <c r="G448" i="28"/>
  <c r="F448" i="28"/>
  <c r="D448" i="28"/>
  <c r="J446" i="28"/>
  <c r="I446" i="28"/>
  <c r="H446" i="28"/>
  <c r="F446" i="28"/>
  <c r="E446" i="28"/>
  <c r="D446" i="28"/>
  <c r="J444" i="28"/>
  <c r="I444" i="28"/>
  <c r="H444" i="28"/>
  <c r="F444" i="28"/>
  <c r="E444" i="28"/>
  <c r="D444" i="28"/>
  <c r="J443" i="28"/>
  <c r="I443" i="28"/>
  <c r="H443" i="28"/>
  <c r="G443" i="28"/>
  <c r="F443" i="28"/>
  <c r="D443" i="28"/>
  <c r="A480" i="28"/>
  <c r="A478" i="28"/>
  <c r="A476" i="28"/>
  <c r="A475" i="28"/>
  <c r="A473" i="28"/>
  <c r="A471" i="28"/>
  <c r="A467" i="28"/>
  <c r="A465" i="28"/>
  <c r="A463" i="28"/>
  <c r="A479" i="28"/>
  <c r="A477" i="28"/>
  <c r="A474" i="28"/>
  <c r="A472" i="28"/>
  <c r="A470" i="28"/>
  <c r="A469" i="28"/>
  <c r="A468" i="28"/>
  <c r="A466" i="28"/>
  <c r="A464" i="28"/>
  <c r="A462" i="28"/>
  <c r="A461" i="28"/>
  <c r="A460" i="28"/>
  <c r="A458" i="28"/>
  <c r="A456" i="28"/>
  <c r="A454" i="28"/>
  <c r="A452" i="28"/>
  <c r="A450" i="28"/>
  <c r="A449" i="28"/>
  <c r="A447" i="28"/>
  <c r="A445" i="28"/>
  <c r="A459" i="28"/>
  <c r="A457" i="28"/>
  <c r="A455" i="28"/>
  <c r="A453" i="28"/>
  <c r="A451" i="28"/>
  <c r="A448" i="28"/>
  <c r="A446" i="28"/>
  <c r="A444" i="28"/>
  <c r="A443" i="28"/>
  <c r="J441" i="28"/>
  <c r="I441" i="28"/>
  <c r="H441" i="28"/>
  <c r="F441" i="28"/>
  <c r="D441" i="28"/>
  <c r="J439" i="28"/>
  <c r="I439" i="28"/>
  <c r="H439" i="28"/>
  <c r="F439" i="28"/>
  <c r="D439" i="28"/>
  <c r="J437" i="28"/>
  <c r="I437" i="28"/>
  <c r="H437" i="28"/>
  <c r="F437" i="28"/>
  <c r="D437" i="28"/>
  <c r="J435" i="28"/>
  <c r="I435" i="28"/>
  <c r="H435" i="28"/>
  <c r="F435" i="28"/>
  <c r="D435" i="28"/>
  <c r="J433" i="28"/>
  <c r="I433" i="28"/>
  <c r="H433" i="28"/>
  <c r="F433" i="28"/>
  <c r="D433" i="28"/>
  <c r="J431" i="28"/>
  <c r="I431" i="28"/>
  <c r="H431" i="28"/>
  <c r="F431" i="28"/>
  <c r="D431" i="28"/>
  <c r="J429" i="28"/>
  <c r="I429" i="28"/>
  <c r="H429" i="28"/>
  <c r="F429" i="28"/>
  <c r="D429" i="28"/>
  <c r="J427" i="28"/>
  <c r="I427" i="28"/>
  <c r="H427" i="28"/>
  <c r="F427" i="28"/>
  <c r="D427" i="28"/>
  <c r="J425" i="28"/>
  <c r="I425" i="28"/>
  <c r="H425" i="28"/>
  <c r="F425" i="28"/>
  <c r="D425" i="28"/>
  <c r="J423" i="28"/>
  <c r="I423" i="28"/>
  <c r="H423" i="28"/>
  <c r="F423" i="28"/>
  <c r="D423" i="28"/>
  <c r="J442" i="28"/>
  <c r="I442" i="28"/>
  <c r="H442" i="28"/>
  <c r="F442" i="28"/>
  <c r="D442" i="28"/>
  <c r="J440" i="28"/>
  <c r="I440" i="28"/>
  <c r="H440" i="28"/>
  <c r="F440" i="28"/>
  <c r="D440" i="28"/>
  <c r="J438" i="28"/>
  <c r="I438" i="28"/>
  <c r="H438" i="28"/>
  <c r="F438" i="28"/>
  <c r="D438" i="28"/>
  <c r="J436" i="28"/>
  <c r="I436" i="28"/>
  <c r="H436" i="28"/>
  <c r="F436" i="28"/>
  <c r="D436" i="28"/>
  <c r="J434" i="28"/>
  <c r="I434" i="28"/>
  <c r="H434" i="28"/>
  <c r="F434" i="28"/>
  <c r="D434" i="28"/>
  <c r="J432" i="28"/>
  <c r="I432" i="28"/>
  <c r="H432" i="28"/>
  <c r="F432" i="28"/>
  <c r="D432" i="28"/>
  <c r="J430" i="28"/>
  <c r="I430" i="28"/>
  <c r="H430" i="28"/>
  <c r="F430" i="28"/>
  <c r="D430" i="28"/>
  <c r="J428" i="28"/>
  <c r="I428" i="28"/>
  <c r="H428" i="28"/>
  <c r="F428" i="28"/>
  <c r="D428" i="28"/>
  <c r="J426" i="28"/>
  <c r="I426" i="28"/>
  <c r="H426" i="28"/>
  <c r="F426" i="28"/>
  <c r="D426" i="28"/>
  <c r="J424" i="28"/>
  <c r="I424" i="28"/>
  <c r="H424" i="28"/>
  <c r="F424" i="28"/>
  <c r="D424" i="28"/>
  <c r="J422" i="28"/>
  <c r="I422" i="28"/>
  <c r="H422" i="28"/>
  <c r="F422" i="28"/>
  <c r="D422" i="28"/>
  <c r="J420" i="28"/>
  <c r="I420" i="28"/>
  <c r="H420" i="28"/>
  <c r="F420" i="28"/>
  <c r="D420" i="28"/>
  <c r="J418" i="28"/>
  <c r="I418" i="28"/>
  <c r="H418" i="28"/>
  <c r="F418" i="28"/>
  <c r="D418" i="28"/>
  <c r="J416" i="28"/>
  <c r="I416" i="28"/>
  <c r="H416" i="28"/>
  <c r="F416" i="28"/>
  <c r="D416" i="28"/>
  <c r="J415" i="28"/>
  <c r="I415" i="28"/>
  <c r="H415" i="28"/>
  <c r="F415" i="28"/>
  <c r="D415" i="28"/>
  <c r="J414" i="28"/>
  <c r="I414" i="28"/>
  <c r="H414" i="28"/>
  <c r="F414" i="28"/>
  <c r="D414" i="28"/>
  <c r="J412" i="28"/>
  <c r="I412" i="28"/>
  <c r="H412" i="28"/>
  <c r="F412" i="28"/>
  <c r="D412" i="28"/>
  <c r="J410" i="28"/>
  <c r="I410" i="28"/>
  <c r="H410" i="28"/>
  <c r="F410" i="28"/>
  <c r="D410" i="28"/>
  <c r="J408" i="28"/>
  <c r="I408" i="28"/>
  <c r="H408" i="28"/>
  <c r="F408" i="28"/>
  <c r="D408" i="28"/>
  <c r="J406" i="28"/>
  <c r="I406" i="28"/>
  <c r="H406" i="28"/>
  <c r="F406" i="28"/>
  <c r="D406" i="28"/>
  <c r="J404" i="28"/>
  <c r="I404" i="28"/>
  <c r="H404" i="28"/>
  <c r="F404" i="28"/>
  <c r="D404" i="28"/>
  <c r="J421" i="28"/>
  <c r="I421" i="28"/>
  <c r="H421" i="28"/>
  <c r="F421" i="28"/>
  <c r="D421" i="28"/>
  <c r="J419" i="28"/>
  <c r="I419" i="28"/>
  <c r="H419" i="28"/>
  <c r="F419" i="28"/>
  <c r="D419" i="28"/>
  <c r="J417" i="28"/>
  <c r="I417" i="28"/>
  <c r="H417" i="28"/>
  <c r="F417" i="28"/>
  <c r="D417" i="28"/>
  <c r="J413" i="28"/>
  <c r="I413" i="28"/>
  <c r="H413" i="28"/>
  <c r="F413" i="28"/>
  <c r="D413" i="28"/>
  <c r="J411" i="28"/>
  <c r="I411" i="28"/>
  <c r="H411" i="28"/>
  <c r="F411" i="28"/>
  <c r="D411" i="28"/>
  <c r="J409" i="28"/>
  <c r="I409" i="28"/>
  <c r="H409" i="28"/>
  <c r="F409" i="28"/>
  <c r="D409" i="28"/>
  <c r="J407" i="28"/>
  <c r="I407" i="28"/>
  <c r="H407" i="28"/>
  <c r="F407" i="28"/>
  <c r="D407" i="28"/>
  <c r="J405" i="28"/>
  <c r="I405" i="28"/>
  <c r="H405" i="28"/>
  <c r="F405" i="28"/>
  <c r="D405" i="28"/>
  <c r="J403" i="28"/>
  <c r="I403" i="28"/>
  <c r="H403" i="28"/>
  <c r="F403" i="28"/>
  <c r="D403" i="28"/>
  <c r="A441" i="28"/>
  <c r="A439" i="28"/>
  <c r="A437" i="28"/>
  <c r="A435" i="28"/>
  <c r="A433" i="28"/>
  <c r="A431" i="28"/>
  <c r="A429" i="28"/>
  <c r="A427" i="28"/>
  <c r="A425" i="28"/>
  <c r="A423" i="28"/>
  <c r="A442" i="28"/>
  <c r="A440" i="28"/>
  <c r="A438" i="28"/>
  <c r="A436" i="28"/>
  <c r="A434" i="28"/>
  <c r="A432" i="28"/>
  <c r="A430" i="28"/>
  <c r="A428" i="28"/>
  <c r="A426" i="28"/>
  <c r="A424" i="28"/>
  <c r="A422" i="28"/>
  <c r="A420" i="28"/>
  <c r="A418" i="28"/>
  <c r="A416" i="28"/>
  <c r="A415" i="28"/>
  <c r="A414" i="28"/>
  <c r="A412" i="28"/>
  <c r="A410" i="28"/>
  <c r="A408" i="28"/>
  <c r="A406" i="28"/>
  <c r="A404" i="28"/>
  <c r="A421" i="28"/>
  <c r="A419" i="28"/>
  <c r="A417" i="28"/>
  <c r="A413" i="28"/>
  <c r="A411" i="28"/>
  <c r="A409" i="28"/>
  <c r="A407" i="28"/>
  <c r="A405" i="28"/>
  <c r="A403" i="28"/>
  <c r="J397" i="28"/>
  <c r="I397" i="28"/>
  <c r="H397" i="28"/>
  <c r="F397" i="28"/>
  <c r="D397" i="28"/>
  <c r="J396" i="28"/>
  <c r="I396" i="28"/>
  <c r="H396" i="28"/>
  <c r="F396" i="28"/>
  <c r="D396" i="28"/>
  <c r="J394" i="28"/>
  <c r="I394" i="28"/>
  <c r="H394" i="28"/>
  <c r="F394" i="28"/>
  <c r="D394" i="28"/>
  <c r="J393" i="28"/>
  <c r="I393" i="28"/>
  <c r="H393" i="28"/>
  <c r="F393" i="28"/>
  <c r="D393" i="28"/>
  <c r="J389" i="28"/>
  <c r="I389" i="28"/>
  <c r="H389" i="28"/>
  <c r="F389" i="28"/>
  <c r="D389" i="28"/>
  <c r="J385" i="28"/>
  <c r="I385" i="28"/>
  <c r="H385" i="28"/>
  <c r="F385" i="28"/>
  <c r="D385" i="28"/>
  <c r="J387" i="28"/>
  <c r="I387" i="28"/>
  <c r="H387" i="28"/>
  <c r="F387" i="28"/>
  <c r="D387" i="28"/>
  <c r="J386" i="28"/>
  <c r="I386" i="28"/>
  <c r="H386" i="28"/>
  <c r="F386" i="28"/>
  <c r="D386" i="28"/>
  <c r="J402" i="28"/>
  <c r="I402" i="28"/>
  <c r="H402" i="28"/>
  <c r="G402" i="28"/>
  <c r="F402" i="28"/>
  <c r="E402" i="28"/>
  <c r="D402" i="28"/>
  <c r="J401" i="28"/>
  <c r="I401" i="28"/>
  <c r="H401" i="28"/>
  <c r="G401" i="28"/>
  <c r="F401" i="28"/>
  <c r="E401" i="28"/>
  <c r="D401" i="28"/>
  <c r="J400" i="28"/>
  <c r="I400" i="28"/>
  <c r="H400" i="28"/>
  <c r="G400" i="28"/>
  <c r="F400" i="28"/>
  <c r="E400" i="28"/>
  <c r="D400" i="28"/>
  <c r="J399" i="28"/>
  <c r="I399" i="28"/>
  <c r="H399" i="28"/>
  <c r="F399" i="28"/>
  <c r="D399" i="28"/>
  <c r="J398" i="28"/>
  <c r="I398" i="28"/>
  <c r="H398" i="28"/>
  <c r="F398" i="28"/>
  <c r="D398" i="28"/>
  <c r="J395" i="28"/>
  <c r="I395" i="28"/>
  <c r="H395" i="28"/>
  <c r="F395" i="28"/>
  <c r="D395" i="28"/>
  <c r="J392" i="28"/>
  <c r="I392" i="28"/>
  <c r="H392" i="28"/>
  <c r="F392" i="28"/>
  <c r="D392" i="28"/>
  <c r="J391" i="28"/>
  <c r="I391" i="28"/>
  <c r="H391" i="28"/>
  <c r="F391" i="28"/>
  <c r="D391" i="28"/>
  <c r="J390" i="28"/>
  <c r="I390" i="28"/>
  <c r="H390" i="28"/>
  <c r="F390" i="28"/>
  <c r="D390" i="28"/>
  <c r="J388" i="28"/>
  <c r="I388" i="28"/>
  <c r="H388" i="28"/>
  <c r="F388" i="28"/>
  <c r="D388" i="28"/>
  <c r="J384" i="28"/>
  <c r="I384" i="28"/>
  <c r="H384" i="28"/>
  <c r="F384" i="28"/>
  <c r="D384" i="28"/>
  <c r="J383" i="28"/>
  <c r="I383" i="28"/>
  <c r="H383" i="28"/>
  <c r="F383" i="28"/>
  <c r="D383" i="28"/>
  <c r="J382" i="28"/>
  <c r="I382" i="28"/>
  <c r="H382" i="28"/>
  <c r="F382" i="28"/>
  <c r="D382" i="28"/>
  <c r="J381" i="28"/>
  <c r="I381" i="28"/>
  <c r="H381" i="28"/>
  <c r="F381" i="28"/>
  <c r="D381" i="28"/>
  <c r="J379" i="28"/>
  <c r="I379" i="28"/>
  <c r="H379" i="28"/>
  <c r="F379" i="28"/>
  <c r="D379" i="28"/>
  <c r="J377" i="28"/>
  <c r="I377" i="28"/>
  <c r="H377" i="28"/>
  <c r="F377" i="28"/>
  <c r="D377" i="28"/>
  <c r="J375" i="28"/>
  <c r="I375" i="28"/>
  <c r="H375" i="28"/>
  <c r="F375" i="28"/>
  <c r="D375" i="28"/>
  <c r="J373" i="28"/>
  <c r="I373" i="28"/>
  <c r="H373" i="28"/>
  <c r="F373" i="28"/>
  <c r="D373" i="28"/>
  <c r="J370" i="28"/>
  <c r="I370" i="28"/>
  <c r="H370" i="28"/>
  <c r="F370" i="28"/>
  <c r="D370" i="28"/>
  <c r="J368" i="28"/>
  <c r="I368" i="28"/>
  <c r="H368" i="28"/>
  <c r="F368" i="28"/>
  <c r="D368" i="28"/>
  <c r="J365" i="28"/>
  <c r="I365" i="28"/>
  <c r="H365" i="28"/>
  <c r="F365" i="28"/>
  <c r="D365" i="28"/>
  <c r="J363" i="28"/>
  <c r="I363" i="28"/>
  <c r="H363" i="28"/>
  <c r="F363" i="28"/>
  <c r="D363" i="28"/>
  <c r="J361" i="28"/>
  <c r="I361" i="28"/>
  <c r="H361" i="28"/>
  <c r="F361" i="28"/>
  <c r="D361" i="28"/>
  <c r="J380" i="28"/>
  <c r="I380" i="28"/>
  <c r="H380" i="28"/>
  <c r="F380" i="28"/>
  <c r="D380" i="28"/>
  <c r="J378" i="28"/>
  <c r="I378" i="28"/>
  <c r="H378" i="28"/>
  <c r="F378" i="28"/>
  <c r="D378" i="28"/>
  <c r="J376" i="28"/>
  <c r="I376" i="28"/>
  <c r="H376" i="28"/>
  <c r="F376" i="28"/>
  <c r="D376" i="28"/>
  <c r="J374" i="28"/>
  <c r="I374" i="28"/>
  <c r="H374" i="28"/>
  <c r="F374" i="28"/>
  <c r="D374" i="28"/>
  <c r="J372" i="28"/>
  <c r="I372" i="28"/>
  <c r="H372" i="28"/>
  <c r="F372" i="28"/>
  <c r="D372" i="28"/>
  <c r="J371" i="28"/>
  <c r="I371" i="28"/>
  <c r="H371" i="28"/>
  <c r="F371" i="28"/>
  <c r="D371" i="28"/>
  <c r="J369" i="28"/>
  <c r="I369" i="28"/>
  <c r="H369" i="28"/>
  <c r="G369" i="28"/>
  <c r="F369" i="28"/>
  <c r="E369" i="28"/>
  <c r="D369" i="28"/>
  <c r="J366" i="28"/>
  <c r="I366" i="28"/>
  <c r="H366" i="28"/>
  <c r="G366" i="28"/>
  <c r="F366" i="28"/>
  <c r="E366" i="28"/>
  <c r="D366" i="28"/>
  <c r="J367" i="28"/>
  <c r="I367" i="28"/>
  <c r="H367" i="28"/>
  <c r="F367" i="28"/>
  <c r="D367" i="28"/>
  <c r="J364" i="28"/>
  <c r="I364" i="28"/>
  <c r="H364" i="28"/>
  <c r="G364" i="28"/>
  <c r="F364" i="28"/>
  <c r="E364" i="28"/>
  <c r="D364" i="28"/>
  <c r="J362" i="28"/>
  <c r="I362" i="28"/>
  <c r="H362" i="28"/>
  <c r="G362" i="28"/>
  <c r="F362" i="28"/>
  <c r="E362" i="28"/>
  <c r="D362" i="28"/>
  <c r="J360" i="28"/>
  <c r="I360" i="28"/>
  <c r="H360" i="28"/>
  <c r="F360" i="28"/>
  <c r="D360" i="28"/>
  <c r="A397" i="28"/>
  <c r="A396" i="28"/>
  <c r="A394" i="28"/>
  <c r="A393" i="28"/>
  <c r="A389" i="28"/>
  <c r="A385" i="28"/>
  <c r="A387" i="28"/>
  <c r="A386" i="28"/>
  <c r="A402" i="28"/>
  <c r="A401" i="28"/>
  <c r="A400" i="28"/>
  <c r="A399" i="28"/>
  <c r="A398" i="28"/>
  <c r="A395" i="28"/>
  <c r="A392" i="28"/>
  <c r="A391" i="28"/>
  <c r="A390" i="28"/>
  <c r="A388" i="28"/>
  <c r="A384" i="28"/>
  <c r="A383" i="28"/>
  <c r="A382" i="28"/>
  <c r="A381" i="28"/>
  <c r="A379" i="28"/>
  <c r="A377" i="28"/>
  <c r="A375" i="28"/>
  <c r="A373" i="28"/>
  <c r="A370" i="28"/>
  <c r="A368" i="28"/>
  <c r="A365" i="28"/>
  <c r="A363" i="28"/>
  <c r="A361" i="28"/>
  <c r="A380" i="28"/>
  <c r="A378" i="28"/>
  <c r="A376" i="28"/>
  <c r="A374" i="28"/>
  <c r="A372" i="28"/>
  <c r="A371" i="28"/>
  <c r="A369" i="28"/>
  <c r="A366" i="28"/>
  <c r="A367" i="28"/>
  <c r="A364" i="28"/>
  <c r="A362" i="28"/>
  <c r="A360" i="28"/>
  <c r="J358" i="28"/>
  <c r="I358" i="28"/>
  <c r="H358" i="28"/>
  <c r="F358" i="28"/>
  <c r="D358" i="28"/>
  <c r="J355" i="28"/>
  <c r="I355" i="28"/>
  <c r="H355" i="28"/>
  <c r="F355" i="28"/>
  <c r="D355" i="28"/>
  <c r="J354" i="28"/>
  <c r="I354" i="28"/>
  <c r="H354" i="28"/>
  <c r="F354" i="28"/>
  <c r="D354" i="28"/>
  <c r="J352" i="28"/>
  <c r="I352" i="28"/>
  <c r="H352" i="28"/>
  <c r="F352" i="28"/>
  <c r="D352" i="28"/>
  <c r="J350" i="28"/>
  <c r="I350" i="28"/>
  <c r="H350" i="28"/>
  <c r="F350" i="28"/>
  <c r="D350" i="28"/>
  <c r="J348" i="28"/>
  <c r="I348" i="28"/>
  <c r="H348" i="28"/>
  <c r="F348" i="28"/>
  <c r="D348" i="28"/>
  <c r="J346" i="28"/>
  <c r="I346" i="28"/>
  <c r="H346" i="28"/>
  <c r="F346" i="28"/>
  <c r="D346" i="28"/>
  <c r="J344" i="28"/>
  <c r="I344" i="28"/>
  <c r="H344" i="28"/>
  <c r="F344" i="28"/>
  <c r="D344" i="28"/>
  <c r="J342" i="28"/>
  <c r="I342" i="28"/>
  <c r="H342" i="28"/>
  <c r="F342" i="28"/>
  <c r="D342" i="28"/>
  <c r="J359" i="28"/>
  <c r="I359" i="28"/>
  <c r="H359" i="28"/>
  <c r="G359" i="28"/>
  <c r="F359" i="28"/>
  <c r="E359" i="28"/>
  <c r="D359" i="28"/>
  <c r="J357" i="28"/>
  <c r="I357" i="28"/>
  <c r="H357" i="28"/>
  <c r="G357" i="28"/>
  <c r="F357" i="28"/>
  <c r="E357" i="28"/>
  <c r="D357" i="28"/>
  <c r="J356" i="28"/>
  <c r="I356" i="28"/>
  <c r="H356" i="28"/>
  <c r="G356" i="28"/>
  <c r="F356" i="28"/>
  <c r="E356" i="28"/>
  <c r="D356" i="28"/>
  <c r="J353" i="28"/>
  <c r="I353" i="28"/>
  <c r="H353" i="28"/>
  <c r="F353" i="28"/>
  <c r="D353" i="28"/>
  <c r="J351" i="28"/>
  <c r="I351" i="28"/>
  <c r="H351" i="28"/>
  <c r="F351" i="28"/>
  <c r="D351" i="28"/>
  <c r="J349" i="28"/>
  <c r="I349" i="28"/>
  <c r="H349" i="28"/>
  <c r="F349" i="28"/>
  <c r="D349" i="28"/>
  <c r="J347" i="28"/>
  <c r="I347" i="28"/>
  <c r="H347" i="28"/>
  <c r="F347" i="28"/>
  <c r="D347" i="28"/>
  <c r="J345" i="28"/>
  <c r="I345" i="28"/>
  <c r="H345" i="28"/>
  <c r="F345" i="28"/>
  <c r="D345" i="28"/>
  <c r="J343" i="28"/>
  <c r="I343" i="28"/>
  <c r="H343" i="28"/>
  <c r="F343" i="28"/>
  <c r="D343" i="28"/>
  <c r="J341" i="28"/>
  <c r="I341" i="28"/>
  <c r="H341" i="28"/>
  <c r="F341" i="28"/>
  <c r="D341" i="28"/>
  <c r="J340" i="28"/>
  <c r="I340" i="28"/>
  <c r="H340" i="28"/>
  <c r="F340" i="28"/>
  <c r="D340" i="28"/>
  <c r="J338" i="28"/>
  <c r="I338" i="28"/>
  <c r="H338" i="28"/>
  <c r="F338" i="28"/>
  <c r="D338" i="28"/>
  <c r="J336" i="28"/>
  <c r="I336" i="28"/>
  <c r="H336" i="28"/>
  <c r="F336" i="28"/>
  <c r="D336" i="28"/>
  <c r="J335" i="28"/>
  <c r="I335" i="28"/>
  <c r="H335" i="28"/>
  <c r="F335" i="28"/>
  <c r="E335" i="28"/>
  <c r="D335" i="28"/>
  <c r="J333" i="28"/>
  <c r="I333" i="28"/>
  <c r="H333" i="28"/>
  <c r="F333" i="28"/>
  <c r="D333" i="28"/>
  <c r="J331" i="28"/>
  <c r="I331" i="28"/>
  <c r="H331" i="28"/>
  <c r="F331" i="28"/>
  <c r="D331" i="28"/>
  <c r="J329" i="28"/>
  <c r="I329" i="28"/>
  <c r="H329" i="28"/>
  <c r="G329" i="28"/>
  <c r="F329" i="28"/>
  <c r="D329" i="28"/>
  <c r="J327" i="28"/>
  <c r="I327" i="28"/>
  <c r="H327" i="28"/>
  <c r="F327" i="28"/>
  <c r="D327" i="28"/>
  <c r="J325" i="28"/>
  <c r="I325" i="28"/>
  <c r="H325" i="28"/>
  <c r="F325" i="28"/>
  <c r="D325" i="28"/>
  <c r="J323" i="28"/>
  <c r="I323" i="28"/>
  <c r="H323" i="28"/>
  <c r="G323" i="28"/>
  <c r="F323" i="28"/>
  <c r="E323" i="28"/>
  <c r="D323" i="28"/>
  <c r="J339" i="28"/>
  <c r="I339" i="28"/>
  <c r="H339" i="28"/>
  <c r="F339" i="28"/>
  <c r="D339" i="28"/>
  <c r="J337" i="28"/>
  <c r="I337" i="28"/>
  <c r="H337" i="28"/>
  <c r="F337" i="28"/>
  <c r="D337" i="28"/>
  <c r="J334" i="28"/>
  <c r="I334" i="28"/>
  <c r="H334" i="28"/>
  <c r="G334" i="28"/>
  <c r="F334" i="28"/>
  <c r="E334" i="28"/>
  <c r="D334" i="28"/>
  <c r="J332" i="28"/>
  <c r="I332" i="28"/>
  <c r="H332" i="28"/>
  <c r="F332" i="28"/>
  <c r="D332" i="28"/>
  <c r="J330" i="28"/>
  <c r="I330" i="28"/>
  <c r="H330" i="28"/>
  <c r="F330" i="28"/>
  <c r="D330" i="28"/>
  <c r="J328" i="28"/>
  <c r="I328" i="28"/>
  <c r="H328" i="28"/>
  <c r="F328" i="28"/>
  <c r="D328" i="28"/>
  <c r="J326" i="28"/>
  <c r="I326" i="28"/>
  <c r="H326" i="28"/>
  <c r="G326" i="28"/>
  <c r="F326" i="28"/>
  <c r="E326" i="28"/>
  <c r="D326" i="28"/>
  <c r="J324" i="28"/>
  <c r="I324" i="28"/>
  <c r="H324" i="28"/>
  <c r="G324" i="28"/>
  <c r="F324" i="28"/>
  <c r="E324" i="28"/>
  <c r="D324" i="28"/>
  <c r="J322" i="28"/>
  <c r="I322" i="28"/>
  <c r="H322" i="28"/>
  <c r="G322" i="28"/>
  <c r="F322" i="28"/>
  <c r="E322" i="28"/>
  <c r="D322" i="28"/>
  <c r="J321" i="28"/>
  <c r="I321" i="28"/>
  <c r="H321" i="28"/>
  <c r="G321" i="28"/>
  <c r="F321" i="28"/>
  <c r="E321" i="28"/>
  <c r="D321" i="28"/>
  <c r="J320" i="28"/>
  <c r="I320" i="28"/>
  <c r="H320" i="28"/>
  <c r="G320" i="28"/>
  <c r="F320" i="28"/>
  <c r="E320" i="28"/>
  <c r="D320" i="28"/>
  <c r="J319" i="28"/>
  <c r="I319" i="28"/>
  <c r="H319" i="28"/>
  <c r="G319" i="28"/>
  <c r="F319" i="28"/>
  <c r="E319" i="28"/>
  <c r="D319" i="28"/>
  <c r="J318" i="28"/>
  <c r="I318" i="28"/>
  <c r="H318" i="28"/>
  <c r="F318" i="28"/>
  <c r="D318" i="28"/>
  <c r="J317" i="28"/>
  <c r="I317" i="28"/>
  <c r="H317" i="28"/>
  <c r="F317" i="28"/>
  <c r="D317" i="28"/>
  <c r="A358" i="28"/>
  <c r="A355" i="28"/>
  <c r="A354" i="28"/>
  <c r="A352" i="28"/>
  <c r="A350" i="28"/>
  <c r="A348" i="28"/>
  <c r="A346" i="28"/>
  <c r="A344" i="28"/>
  <c r="A342" i="28"/>
  <c r="A359" i="28"/>
  <c r="A357" i="28"/>
  <c r="A356" i="28"/>
  <c r="A353" i="28"/>
  <c r="A351" i="28"/>
  <c r="A349" i="28"/>
  <c r="A347" i="28"/>
  <c r="A345" i="28"/>
  <c r="A343" i="28"/>
  <c r="A341" i="28"/>
  <c r="A340" i="28"/>
  <c r="A338" i="28"/>
  <c r="A336" i="28"/>
  <c r="A335" i="28"/>
  <c r="A333" i="28"/>
  <c r="A331" i="28"/>
  <c r="A329" i="28"/>
  <c r="A327" i="28"/>
  <c r="A325" i="28"/>
  <c r="A323" i="28"/>
  <c r="A339" i="28"/>
  <c r="A337" i="28"/>
  <c r="A334" i="28"/>
  <c r="A332" i="28"/>
  <c r="A330" i="28"/>
  <c r="A328" i="28"/>
  <c r="A326" i="28"/>
  <c r="A324" i="28"/>
  <c r="A322" i="28"/>
  <c r="A321" i="28"/>
  <c r="A320" i="28"/>
  <c r="A319" i="28"/>
  <c r="A318" i="28"/>
  <c r="A317" i="28"/>
  <c r="J316" i="28"/>
  <c r="I316" i="28"/>
  <c r="H316" i="28"/>
  <c r="F316" i="28"/>
  <c r="D316" i="28"/>
  <c r="J314" i="28"/>
  <c r="I314" i="28"/>
  <c r="H314" i="28"/>
  <c r="F314" i="28"/>
  <c r="D314" i="28"/>
  <c r="J311" i="28"/>
  <c r="I311" i="28"/>
  <c r="H311" i="28"/>
  <c r="F311" i="28"/>
  <c r="D311" i="28"/>
  <c r="J308" i="28"/>
  <c r="I308" i="28"/>
  <c r="H308" i="28"/>
  <c r="F308" i="28"/>
  <c r="D308" i="28"/>
  <c r="J299" i="28"/>
  <c r="I299" i="28"/>
  <c r="H299" i="28"/>
  <c r="F299" i="28"/>
  <c r="D299" i="28"/>
  <c r="J297" i="28"/>
  <c r="I297" i="28"/>
  <c r="H297" i="28"/>
  <c r="F297" i="28"/>
  <c r="D297" i="28"/>
  <c r="J295" i="28"/>
  <c r="I295" i="28"/>
  <c r="H295" i="28"/>
  <c r="F295" i="28"/>
  <c r="D295" i="28"/>
  <c r="J292" i="28"/>
  <c r="I292" i="28"/>
  <c r="H292" i="28"/>
  <c r="F292" i="28"/>
  <c r="D292" i="28"/>
  <c r="J315" i="28"/>
  <c r="I315" i="28"/>
  <c r="H315" i="28"/>
  <c r="F315" i="28"/>
  <c r="D315" i="28"/>
  <c r="J303" i="28"/>
  <c r="I303" i="28"/>
  <c r="H303" i="28"/>
  <c r="F303" i="28"/>
  <c r="D303" i="28"/>
  <c r="J310" i="28"/>
  <c r="I310" i="28"/>
  <c r="H310" i="28"/>
  <c r="F310" i="28"/>
  <c r="D310" i="28"/>
  <c r="J307" i="28"/>
  <c r="I307" i="28"/>
  <c r="H307" i="28"/>
  <c r="F307" i="28"/>
  <c r="D307" i="28"/>
  <c r="J305" i="28"/>
  <c r="I305" i="28"/>
  <c r="H305" i="28"/>
  <c r="F305" i="28"/>
  <c r="D305" i="28"/>
  <c r="J313" i="28"/>
  <c r="I313" i="28"/>
  <c r="H313" i="28"/>
  <c r="F313" i="28"/>
  <c r="D313" i="28"/>
  <c r="J301" i="28"/>
  <c r="I301" i="28"/>
  <c r="H301" i="28"/>
  <c r="F301" i="28"/>
  <c r="D301" i="28"/>
  <c r="J298" i="28"/>
  <c r="I298" i="28"/>
  <c r="H298" i="28"/>
  <c r="F298" i="28"/>
  <c r="D298" i="28"/>
  <c r="J293" i="28"/>
  <c r="I293" i="28"/>
  <c r="H293" i="28"/>
  <c r="F293" i="28"/>
  <c r="D293" i="28"/>
  <c r="J290" i="28"/>
  <c r="I290" i="28"/>
  <c r="H290" i="28"/>
  <c r="F290" i="28"/>
  <c r="D290" i="28"/>
  <c r="J312" i="28"/>
  <c r="I312" i="28"/>
  <c r="H312" i="28"/>
  <c r="F312" i="28"/>
  <c r="D312" i="28"/>
  <c r="J309" i="28"/>
  <c r="I309" i="28"/>
  <c r="H309" i="28"/>
  <c r="F309" i="28"/>
  <c r="D309" i="28"/>
  <c r="J306" i="28"/>
  <c r="I306" i="28"/>
  <c r="H306" i="28"/>
  <c r="F306" i="28"/>
  <c r="D306" i="28"/>
  <c r="J304" i="28"/>
  <c r="I304" i="28"/>
  <c r="H304" i="28"/>
  <c r="F304" i="28"/>
  <c r="D304" i="28"/>
  <c r="J302" i="28"/>
  <c r="I302" i="28"/>
  <c r="H302" i="28"/>
  <c r="F302" i="28"/>
  <c r="D302" i="28"/>
  <c r="J300" i="28"/>
  <c r="I300" i="28"/>
  <c r="H300" i="28"/>
  <c r="F300" i="28"/>
  <c r="D300" i="28"/>
  <c r="J296" i="28"/>
  <c r="I296" i="28"/>
  <c r="H296" i="28"/>
  <c r="F296" i="28"/>
  <c r="D296" i="28"/>
  <c r="J294" i="28"/>
  <c r="I294" i="28"/>
  <c r="H294" i="28"/>
  <c r="F294" i="28"/>
  <c r="D294" i="28"/>
  <c r="J291" i="28"/>
  <c r="I291" i="28"/>
  <c r="H291" i="28"/>
  <c r="F291" i="28"/>
  <c r="D291" i="28"/>
  <c r="J289" i="28"/>
  <c r="I289" i="28"/>
  <c r="H289" i="28"/>
  <c r="F289" i="28"/>
  <c r="D289" i="28"/>
  <c r="J286" i="28"/>
  <c r="I286" i="28"/>
  <c r="H286" i="28"/>
  <c r="F286" i="28"/>
  <c r="D286" i="28"/>
  <c r="J284" i="28"/>
  <c r="I284" i="28"/>
  <c r="H284" i="28"/>
  <c r="F284" i="28"/>
  <c r="D284" i="28"/>
  <c r="J282" i="28"/>
  <c r="I282" i="28"/>
  <c r="H282" i="28"/>
  <c r="F282" i="28"/>
  <c r="D282" i="28"/>
  <c r="J280" i="28"/>
  <c r="I280" i="28"/>
  <c r="H280" i="28"/>
  <c r="F280" i="28"/>
  <c r="D280" i="28"/>
  <c r="J278" i="28"/>
  <c r="I278" i="28"/>
  <c r="H278" i="28"/>
  <c r="F278" i="28"/>
  <c r="D278" i="28"/>
  <c r="J276" i="28"/>
  <c r="I276" i="28"/>
  <c r="H276" i="28"/>
  <c r="F276" i="28"/>
  <c r="D276" i="28"/>
  <c r="J274" i="28"/>
  <c r="I274" i="28"/>
  <c r="H274" i="28"/>
  <c r="F274" i="28"/>
  <c r="D274" i="28"/>
  <c r="J272" i="28"/>
  <c r="I272" i="28"/>
  <c r="H272" i="28"/>
  <c r="F272" i="28"/>
  <c r="D272" i="28"/>
  <c r="J270" i="28"/>
  <c r="I270" i="28"/>
  <c r="H270" i="28"/>
  <c r="F270" i="28"/>
  <c r="D270" i="28"/>
  <c r="J268" i="28"/>
  <c r="I268" i="28"/>
  <c r="H268" i="28"/>
  <c r="F268" i="28"/>
  <c r="D268" i="28"/>
  <c r="J265" i="28"/>
  <c r="I265" i="28"/>
  <c r="H265" i="28"/>
  <c r="F265" i="28"/>
  <c r="D265" i="28"/>
  <c r="J266" i="28"/>
  <c r="I266" i="28"/>
  <c r="H266" i="28"/>
  <c r="F266" i="28"/>
  <c r="D266" i="28"/>
  <c r="J263" i="28"/>
  <c r="I263" i="28"/>
  <c r="H263" i="28"/>
  <c r="F263" i="28"/>
  <c r="D263" i="28"/>
  <c r="J288" i="28"/>
  <c r="I288" i="28"/>
  <c r="H288" i="28"/>
  <c r="F288" i="28"/>
  <c r="D288" i="28"/>
  <c r="J287" i="28"/>
  <c r="I287" i="28"/>
  <c r="H287" i="28"/>
  <c r="F287" i="28"/>
  <c r="D287" i="28"/>
  <c r="J285" i="28"/>
  <c r="I285" i="28"/>
  <c r="H285" i="28"/>
  <c r="F285" i="28"/>
  <c r="D285" i="28"/>
  <c r="J283" i="28"/>
  <c r="I283" i="28"/>
  <c r="H283" i="28"/>
  <c r="F283" i="28"/>
  <c r="D283" i="28"/>
  <c r="J281" i="28"/>
  <c r="I281" i="28"/>
  <c r="H281" i="28"/>
  <c r="F281" i="28"/>
  <c r="D281" i="28"/>
  <c r="J279" i="28"/>
  <c r="I279" i="28"/>
  <c r="H279" i="28"/>
  <c r="F279" i="28"/>
  <c r="D279" i="28"/>
  <c r="J277" i="28"/>
  <c r="I277" i="28"/>
  <c r="H277" i="28"/>
  <c r="F277" i="28"/>
  <c r="D277" i="28"/>
  <c r="J275" i="28"/>
  <c r="I275" i="28"/>
  <c r="H275" i="28"/>
  <c r="F275" i="28"/>
  <c r="D275" i="28"/>
  <c r="J273" i="28"/>
  <c r="I273" i="28"/>
  <c r="H273" i="28"/>
  <c r="F273" i="28"/>
  <c r="D273" i="28"/>
  <c r="J271" i="28"/>
  <c r="I271" i="28"/>
  <c r="H271" i="28"/>
  <c r="F271" i="28"/>
  <c r="D271" i="28"/>
  <c r="J269" i="28"/>
  <c r="I269" i="28"/>
  <c r="H269" i="28"/>
  <c r="F269" i="28"/>
  <c r="D269" i="28"/>
  <c r="J267" i="28"/>
  <c r="I267" i="28"/>
  <c r="H267" i="28"/>
  <c r="F267" i="28"/>
  <c r="D267" i="28"/>
  <c r="J264" i="28"/>
  <c r="I264" i="28"/>
  <c r="H264" i="28"/>
  <c r="F264" i="28"/>
  <c r="D264" i="28"/>
  <c r="A316" i="28"/>
  <c r="A314" i="28"/>
  <c r="A311" i="28"/>
  <c r="A308" i="28"/>
  <c r="A299" i="28"/>
  <c r="A297" i="28"/>
  <c r="A295" i="28"/>
  <c r="A292" i="28"/>
  <c r="A315" i="28"/>
  <c r="A303" i="28"/>
  <c r="A310" i="28"/>
  <c r="A307" i="28"/>
  <c r="A305" i="28"/>
  <c r="A313" i="28"/>
  <c r="A301" i="28"/>
  <c r="A298" i="28"/>
  <c r="A293" i="28"/>
  <c r="A290" i="28"/>
  <c r="A312" i="28"/>
  <c r="A309" i="28"/>
  <c r="A306" i="28"/>
  <c r="A304" i="28"/>
  <c r="A302" i="28"/>
  <c r="A300" i="28"/>
  <c r="A296" i="28"/>
  <c r="A294" i="28"/>
  <c r="A291" i="28"/>
  <c r="A289" i="28"/>
  <c r="A286" i="28"/>
  <c r="A284" i="28"/>
  <c r="A282" i="28"/>
  <c r="A280" i="28"/>
  <c r="A278" i="28"/>
  <c r="A276" i="28"/>
  <c r="A274" i="28"/>
  <c r="A272" i="28"/>
  <c r="A270" i="28"/>
  <c r="A268" i="28"/>
  <c r="A265" i="28"/>
  <c r="A266" i="28"/>
  <c r="A263" i="28"/>
  <c r="A288" i="28"/>
  <c r="A287" i="28"/>
  <c r="A285" i="28"/>
  <c r="A283" i="28"/>
  <c r="A281" i="28"/>
  <c r="A279" i="28"/>
  <c r="A277" i="28"/>
  <c r="A275" i="28"/>
  <c r="A273" i="28"/>
  <c r="A271" i="28"/>
  <c r="A269" i="28"/>
  <c r="A267" i="28"/>
  <c r="A264" i="28"/>
  <c r="J256" i="28"/>
  <c r="I256" i="28"/>
  <c r="H256" i="28"/>
  <c r="F256" i="28"/>
  <c r="D256" i="28"/>
  <c r="J255" i="28"/>
  <c r="I255" i="28"/>
  <c r="H255" i="28"/>
  <c r="F255" i="28"/>
  <c r="D255" i="28"/>
  <c r="J254" i="28"/>
  <c r="I254" i="28"/>
  <c r="H254" i="28"/>
  <c r="F254" i="28"/>
  <c r="D254" i="28"/>
  <c r="J251" i="28"/>
  <c r="I251" i="28"/>
  <c r="H251" i="28"/>
  <c r="F251" i="28"/>
  <c r="D251" i="28"/>
  <c r="J250" i="28"/>
  <c r="I250" i="28"/>
  <c r="H250" i="28"/>
  <c r="F250" i="28"/>
  <c r="D250" i="28"/>
  <c r="J249" i="28"/>
  <c r="I249" i="28"/>
  <c r="H249" i="28"/>
  <c r="F249" i="28"/>
  <c r="D249" i="28"/>
  <c r="J245" i="28"/>
  <c r="I245" i="28"/>
  <c r="H245" i="28"/>
  <c r="F245" i="28"/>
  <c r="D245" i="28"/>
  <c r="J244" i="28"/>
  <c r="I244" i="28"/>
  <c r="H244" i="28"/>
  <c r="F244" i="28"/>
  <c r="D244" i="28"/>
  <c r="J243" i="28"/>
  <c r="I243" i="28"/>
  <c r="H243" i="28"/>
  <c r="F243" i="28"/>
  <c r="D243" i="28"/>
  <c r="J262" i="28"/>
  <c r="I262" i="28"/>
  <c r="H262" i="28"/>
  <c r="G262" i="28"/>
  <c r="F262" i="28"/>
  <c r="E262" i="28"/>
  <c r="D262" i="28"/>
  <c r="J261" i="28"/>
  <c r="I261" i="28"/>
  <c r="H261" i="28"/>
  <c r="G261" i="28"/>
  <c r="F261" i="28"/>
  <c r="E261" i="28"/>
  <c r="D261" i="28"/>
  <c r="J257" i="28"/>
  <c r="I257" i="28"/>
  <c r="H257" i="28"/>
  <c r="F257" i="28"/>
  <c r="D257" i="28"/>
  <c r="J259" i="28"/>
  <c r="I259" i="28"/>
  <c r="H259" i="28"/>
  <c r="F259" i="28"/>
  <c r="D259" i="28"/>
  <c r="J258" i="28"/>
  <c r="I258" i="28"/>
  <c r="H258" i="28"/>
  <c r="F258" i="28"/>
  <c r="D258" i="28"/>
  <c r="J260" i="28"/>
  <c r="I260" i="28"/>
  <c r="H260" i="28"/>
  <c r="F260" i="28"/>
  <c r="D260" i="28"/>
  <c r="J253" i="28"/>
  <c r="I253" i="28"/>
  <c r="H253" i="28"/>
  <c r="F253" i="28"/>
  <c r="D253" i="28"/>
  <c r="J252" i="28"/>
  <c r="I252" i="28"/>
  <c r="H252" i="28"/>
  <c r="F252" i="28"/>
  <c r="D252" i="28"/>
  <c r="J248" i="28"/>
  <c r="I248" i="28"/>
  <c r="H248" i="28"/>
  <c r="F248" i="28"/>
  <c r="D248" i="28"/>
  <c r="J247" i="28"/>
  <c r="I247" i="28"/>
  <c r="H247" i="28"/>
  <c r="F247" i="28"/>
  <c r="D247" i="28"/>
  <c r="J246" i="28"/>
  <c r="I246" i="28"/>
  <c r="H246" i="28"/>
  <c r="F246" i="28"/>
  <c r="D246" i="28"/>
  <c r="J241" i="28"/>
  <c r="I241" i="28"/>
  <c r="H241" i="28"/>
  <c r="F241" i="28"/>
  <c r="D241" i="28"/>
  <c r="J239" i="28"/>
  <c r="I239" i="28"/>
  <c r="H239" i="28"/>
  <c r="F239" i="28"/>
  <c r="D239" i="28"/>
  <c r="J237" i="28"/>
  <c r="I237" i="28"/>
  <c r="H237" i="28"/>
  <c r="F237" i="28"/>
  <c r="D237" i="28"/>
  <c r="J236" i="28"/>
  <c r="I236" i="28"/>
  <c r="H236" i="28"/>
  <c r="F236" i="28"/>
  <c r="D236" i="28"/>
  <c r="J234" i="28"/>
  <c r="I234" i="28"/>
  <c r="H234" i="28"/>
  <c r="F234" i="28"/>
  <c r="D234" i="28"/>
  <c r="J232" i="28"/>
  <c r="I232" i="28"/>
  <c r="H232" i="28"/>
  <c r="F232" i="28"/>
  <c r="D232" i="28"/>
  <c r="J230" i="28"/>
  <c r="I230" i="28"/>
  <c r="H230" i="28"/>
  <c r="F230" i="28"/>
  <c r="D230" i="28"/>
  <c r="J228" i="28"/>
  <c r="I228" i="28"/>
  <c r="H228" i="28"/>
  <c r="F228" i="28"/>
  <c r="D228" i="28"/>
  <c r="J226" i="28"/>
  <c r="I226" i="28"/>
  <c r="H226" i="28"/>
  <c r="F226" i="28"/>
  <c r="D226" i="28"/>
  <c r="J242" i="28"/>
  <c r="I242" i="28"/>
  <c r="H242" i="28"/>
  <c r="F242" i="28"/>
  <c r="D242" i="28"/>
  <c r="J240" i="28"/>
  <c r="I240" i="28"/>
  <c r="H240" i="28"/>
  <c r="F240" i="28"/>
  <c r="D240" i="28"/>
  <c r="J238" i="28"/>
  <c r="I238" i="28"/>
  <c r="H238" i="28"/>
  <c r="F238" i="28"/>
  <c r="D238" i="28"/>
  <c r="J235" i="28"/>
  <c r="I235" i="28"/>
  <c r="H235" i="28"/>
  <c r="F235" i="28"/>
  <c r="D235" i="28"/>
  <c r="J233" i="28"/>
  <c r="I233" i="28"/>
  <c r="H233" i="28"/>
  <c r="F233" i="28"/>
  <c r="D233" i="28"/>
  <c r="J231" i="28"/>
  <c r="I231" i="28"/>
  <c r="H231" i="28"/>
  <c r="F231" i="28"/>
  <c r="D231" i="28"/>
  <c r="J229" i="28"/>
  <c r="I229" i="28"/>
  <c r="H229" i="28"/>
  <c r="F229" i="28"/>
  <c r="D229" i="28"/>
  <c r="J227" i="28"/>
  <c r="I227" i="28"/>
  <c r="H227" i="28"/>
  <c r="F227" i="28"/>
  <c r="D227" i="28"/>
  <c r="J225" i="28"/>
  <c r="I225" i="28"/>
  <c r="H225" i="28"/>
  <c r="F225" i="28"/>
  <c r="D225" i="28"/>
  <c r="A256" i="28"/>
  <c r="A255" i="28"/>
  <c r="A254" i="28"/>
  <c r="A251" i="28"/>
  <c r="A250" i="28"/>
  <c r="A249" i="28"/>
  <c r="A245" i="28"/>
  <c r="A244" i="28"/>
  <c r="A243" i="28"/>
  <c r="A262" i="28"/>
  <c r="A261" i="28"/>
  <c r="A257" i="28"/>
  <c r="A259" i="28"/>
  <c r="A258" i="28"/>
  <c r="A260" i="28"/>
  <c r="A253" i="28"/>
  <c r="A252" i="28"/>
  <c r="A248" i="28"/>
  <c r="A247" i="28"/>
  <c r="A246" i="28"/>
  <c r="A241" i="28"/>
  <c r="A239" i="28"/>
  <c r="A237" i="28"/>
  <c r="A236" i="28"/>
  <c r="A234" i="28"/>
  <c r="A232" i="28"/>
  <c r="A230" i="28"/>
  <c r="A228" i="28"/>
  <c r="A226" i="28"/>
  <c r="A242" i="28"/>
  <c r="A240" i="28"/>
  <c r="A238" i="28"/>
  <c r="A235" i="28"/>
  <c r="A233" i="28"/>
  <c r="A231" i="28"/>
  <c r="A229" i="28"/>
  <c r="A227" i="28"/>
  <c r="A225" i="28"/>
  <c r="J224" i="28"/>
  <c r="I224" i="28"/>
  <c r="H224" i="28"/>
  <c r="G224" i="28"/>
  <c r="F224" i="28"/>
  <c r="D224" i="28"/>
  <c r="J223" i="28"/>
  <c r="I223" i="28"/>
  <c r="H223" i="28"/>
  <c r="F223" i="28"/>
  <c r="D223" i="28"/>
  <c r="J222" i="28"/>
  <c r="I222" i="28"/>
  <c r="H222" i="28"/>
  <c r="F222" i="28"/>
  <c r="D222" i="28"/>
  <c r="J221" i="28"/>
  <c r="I221" i="28"/>
  <c r="H221" i="28"/>
  <c r="F221" i="28"/>
  <c r="D221" i="28"/>
  <c r="J220" i="28"/>
  <c r="I220" i="28"/>
  <c r="H220" i="28"/>
  <c r="G220" i="28"/>
  <c r="F220" i="28"/>
  <c r="D220" i="28"/>
  <c r="J218" i="28"/>
  <c r="I218" i="28"/>
  <c r="H218" i="28"/>
  <c r="G218" i="28"/>
  <c r="F218" i="28"/>
  <c r="E218" i="28"/>
  <c r="D218" i="28"/>
  <c r="J217" i="28"/>
  <c r="I217" i="28"/>
  <c r="H217" i="28"/>
  <c r="G217" i="28"/>
  <c r="F217" i="28"/>
  <c r="E217" i="28"/>
  <c r="D217" i="28"/>
  <c r="J216" i="28"/>
  <c r="I216" i="28"/>
  <c r="H216" i="28"/>
  <c r="G216" i="28"/>
  <c r="F216" i="28"/>
  <c r="E216" i="28"/>
  <c r="D216" i="28"/>
  <c r="J215" i="28"/>
  <c r="I215" i="28"/>
  <c r="H215" i="28"/>
  <c r="G215" i="28"/>
  <c r="F215" i="28"/>
  <c r="E215" i="28"/>
  <c r="D215" i="28"/>
  <c r="J214" i="28"/>
  <c r="I214" i="28"/>
  <c r="H214" i="28"/>
  <c r="G214" i="28"/>
  <c r="F214" i="28"/>
  <c r="E214" i="28"/>
  <c r="D214" i="28"/>
  <c r="J213" i="28"/>
  <c r="I213" i="28"/>
  <c r="H213" i="28"/>
  <c r="G213" i="28"/>
  <c r="F213" i="28"/>
  <c r="E213" i="28"/>
  <c r="D213" i="28"/>
  <c r="J212" i="28"/>
  <c r="I212" i="28"/>
  <c r="H212" i="28"/>
  <c r="F212" i="28"/>
  <c r="D212" i="28"/>
  <c r="J211" i="28"/>
  <c r="I211" i="28"/>
  <c r="H211" i="28"/>
  <c r="F211" i="28"/>
  <c r="D211" i="28"/>
  <c r="J210" i="28"/>
  <c r="I210" i="28"/>
  <c r="H210" i="28"/>
  <c r="G210" i="28"/>
  <c r="F210" i="28"/>
  <c r="E210" i="28"/>
  <c r="D210" i="28"/>
  <c r="J209" i="28"/>
  <c r="I209" i="28"/>
  <c r="H209" i="28"/>
  <c r="G209" i="28"/>
  <c r="F209" i="28"/>
  <c r="E209" i="28"/>
  <c r="D209" i="28"/>
  <c r="J208" i="28"/>
  <c r="I208" i="28"/>
  <c r="H208" i="28"/>
  <c r="F208" i="28"/>
  <c r="D208" i="28"/>
  <c r="J207" i="28"/>
  <c r="I207" i="28"/>
  <c r="H207" i="28"/>
  <c r="F207" i="28"/>
  <c r="D207" i="28"/>
  <c r="J206" i="28"/>
  <c r="I206" i="28"/>
  <c r="H206" i="28"/>
  <c r="G206" i="28"/>
  <c r="F206" i="28"/>
  <c r="E206" i="28"/>
  <c r="D206" i="28"/>
  <c r="J205" i="28"/>
  <c r="I205" i="28"/>
  <c r="H205" i="28"/>
  <c r="F205" i="28"/>
  <c r="D205" i="28"/>
  <c r="J204" i="28"/>
  <c r="I204" i="28"/>
  <c r="H204" i="28"/>
  <c r="F204" i="28"/>
  <c r="D204" i="28"/>
  <c r="A224" i="28"/>
  <c r="A223" i="28"/>
  <c r="A222" i="28"/>
  <c r="A221" i="28"/>
  <c r="A220" i="28"/>
  <c r="A218" i="28"/>
  <c r="A217" i="28"/>
  <c r="A216" i="28"/>
  <c r="A215" i="28"/>
  <c r="A214" i="28"/>
  <c r="A213" i="28"/>
  <c r="A212" i="28"/>
  <c r="A211" i="28"/>
  <c r="A210" i="28"/>
  <c r="A209" i="28"/>
  <c r="A208" i="28"/>
  <c r="A207" i="28"/>
  <c r="A206" i="28"/>
  <c r="A205" i="28"/>
  <c r="A204" i="28"/>
  <c r="J201" i="28"/>
  <c r="I201" i="28"/>
  <c r="H201" i="28"/>
  <c r="F201" i="28"/>
  <c r="E201" i="28"/>
  <c r="D201" i="28"/>
  <c r="J203" i="28"/>
  <c r="I203" i="28"/>
  <c r="H203" i="28"/>
  <c r="F203" i="28"/>
  <c r="D203" i="28"/>
  <c r="J202" i="28"/>
  <c r="I202" i="28"/>
  <c r="H202" i="28"/>
  <c r="F202" i="28"/>
  <c r="D202" i="28"/>
  <c r="J200" i="28"/>
  <c r="I200" i="28"/>
  <c r="H200" i="28"/>
  <c r="F200" i="28"/>
  <c r="D200" i="28"/>
  <c r="J198" i="28"/>
  <c r="I198" i="28"/>
  <c r="H198" i="28"/>
  <c r="G198" i="28"/>
  <c r="F198" i="28"/>
  <c r="D198" i="28"/>
  <c r="J199" i="28"/>
  <c r="I199" i="28"/>
  <c r="H199" i="28"/>
  <c r="F199" i="28"/>
  <c r="D199" i="28"/>
  <c r="J197" i="28"/>
  <c r="I197" i="28"/>
  <c r="H197" i="28"/>
  <c r="F197" i="28"/>
  <c r="D197" i="28"/>
  <c r="J196" i="28"/>
  <c r="I196" i="28"/>
  <c r="H196" i="28"/>
  <c r="F196" i="28"/>
  <c r="D196" i="28"/>
  <c r="J195" i="28"/>
  <c r="I195" i="28"/>
  <c r="H195" i="28"/>
  <c r="F195" i="28"/>
  <c r="E195" i="28"/>
  <c r="D195" i="28"/>
  <c r="J194" i="28"/>
  <c r="I194" i="28"/>
  <c r="H194" i="28"/>
  <c r="F194" i="28"/>
  <c r="E194" i="28"/>
  <c r="D194" i="28"/>
  <c r="J192" i="28"/>
  <c r="I192" i="28"/>
  <c r="H192" i="28"/>
  <c r="F192" i="28"/>
  <c r="E192" i="28"/>
  <c r="D192" i="28"/>
  <c r="J193" i="28"/>
  <c r="I193" i="28"/>
  <c r="H193" i="28"/>
  <c r="F193" i="28"/>
  <c r="E193" i="28"/>
  <c r="D193" i="28"/>
  <c r="J190" i="28"/>
  <c r="I190" i="28"/>
  <c r="H190" i="28"/>
  <c r="F190" i="28"/>
  <c r="E190" i="28"/>
  <c r="D190" i="28"/>
  <c r="J191" i="28"/>
  <c r="I191" i="28"/>
  <c r="H191" i="28"/>
  <c r="F191" i="28"/>
  <c r="E191" i="28"/>
  <c r="D191" i="28"/>
  <c r="J189" i="28"/>
  <c r="I189" i="28"/>
  <c r="H189" i="28"/>
  <c r="F189" i="28"/>
  <c r="D189" i="28"/>
  <c r="J188" i="28"/>
  <c r="I188" i="28"/>
  <c r="H188" i="28"/>
  <c r="F188" i="28"/>
  <c r="D188" i="28"/>
  <c r="J186" i="28"/>
  <c r="I186" i="28"/>
  <c r="H186" i="28"/>
  <c r="F186" i="28"/>
  <c r="D186" i="28"/>
  <c r="J187" i="28"/>
  <c r="I187" i="28"/>
  <c r="H187" i="28"/>
  <c r="F187" i="28"/>
  <c r="D187" i="28"/>
  <c r="J185" i="28"/>
  <c r="I185" i="28"/>
  <c r="H185" i="28"/>
  <c r="F185" i="28"/>
  <c r="D185" i="28"/>
  <c r="J184" i="28"/>
  <c r="I184" i="28"/>
  <c r="H184" i="28"/>
  <c r="F184" i="28"/>
  <c r="D184" i="28"/>
  <c r="J183" i="28"/>
  <c r="I183" i="28"/>
  <c r="H183" i="28"/>
  <c r="F183" i="28"/>
  <c r="D183" i="28"/>
  <c r="J182" i="28"/>
  <c r="I182" i="28"/>
  <c r="H182" i="28"/>
  <c r="F182" i="28"/>
  <c r="D182" i="28"/>
  <c r="J181" i="28"/>
  <c r="I181" i="28"/>
  <c r="H181" i="28"/>
  <c r="F181" i="28"/>
  <c r="D181" i="28"/>
  <c r="J180" i="28"/>
  <c r="I180" i="28"/>
  <c r="H180" i="28"/>
  <c r="F180" i="28"/>
  <c r="D180" i="28"/>
  <c r="J179" i="28"/>
  <c r="I179" i="28"/>
  <c r="H179" i="28"/>
  <c r="F179" i="28"/>
  <c r="D179" i="28"/>
  <c r="J178" i="28"/>
  <c r="I178" i="28"/>
  <c r="H178" i="28"/>
  <c r="F178" i="28"/>
  <c r="D178" i="28"/>
  <c r="J176" i="28"/>
  <c r="I176" i="28"/>
  <c r="H176" i="28"/>
  <c r="F176" i="28"/>
  <c r="D176" i="28"/>
  <c r="J177" i="28"/>
  <c r="I177" i="28"/>
  <c r="H177" i="28"/>
  <c r="F177" i="28"/>
  <c r="D177" i="28"/>
  <c r="A201" i="28"/>
  <c r="A203" i="28"/>
  <c r="A202" i="28"/>
  <c r="A200" i="28"/>
  <c r="A198" i="28"/>
  <c r="A199" i="28"/>
  <c r="A197" i="28"/>
  <c r="A196" i="28"/>
  <c r="A195" i="28"/>
  <c r="A194" i="28"/>
  <c r="A192" i="28"/>
  <c r="A193" i="28"/>
  <c r="A190" i="28"/>
  <c r="A191" i="28"/>
  <c r="A189" i="28"/>
  <c r="A188" i="28"/>
  <c r="A186" i="28"/>
  <c r="A187" i="28"/>
  <c r="A185" i="28"/>
  <c r="A184" i="28"/>
  <c r="A183" i="28"/>
  <c r="A182" i="28"/>
  <c r="A181" i="28"/>
  <c r="A180" i="28"/>
  <c r="A179" i="28"/>
  <c r="A178" i="28"/>
  <c r="A176" i="28"/>
  <c r="A177" i="28"/>
  <c r="J175" i="28"/>
  <c r="I175" i="28"/>
  <c r="H175" i="28"/>
  <c r="F175" i="28"/>
  <c r="D175" i="28"/>
  <c r="J174" i="28"/>
  <c r="I174" i="28"/>
  <c r="H174" i="28"/>
  <c r="F174" i="28"/>
  <c r="D174" i="28"/>
  <c r="J173" i="28"/>
  <c r="I173" i="28"/>
  <c r="H173" i="28"/>
  <c r="G173" i="28"/>
  <c r="F173" i="28"/>
  <c r="E173" i="28"/>
  <c r="D173" i="28"/>
  <c r="J172" i="28"/>
  <c r="I172" i="28"/>
  <c r="H172" i="28"/>
  <c r="G172" i="28"/>
  <c r="F172" i="28"/>
  <c r="E172" i="28"/>
  <c r="D172" i="28"/>
  <c r="J171" i="28"/>
  <c r="I171" i="28"/>
  <c r="H171" i="28"/>
  <c r="G171" i="28"/>
  <c r="F171" i="28"/>
  <c r="E171" i="28"/>
  <c r="D171" i="28"/>
  <c r="J170" i="28"/>
  <c r="I170" i="28"/>
  <c r="H170" i="28"/>
  <c r="G170" i="28"/>
  <c r="F170" i="28"/>
  <c r="E170" i="28"/>
  <c r="D170" i="28"/>
  <c r="J169" i="28"/>
  <c r="I169" i="28"/>
  <c r="H169" i="28"/>
  <c r="F169" i="28"/>
  <c r="D169" i="28"/>
  <c r="J168" i="28"/>
  <c r="I168" i="28"/>
  <c r="H168" i="28"/>
  <c r="F168" i="28"/>
  <c r="D168" i="28"/>
  <c r="J167" i="28"/>
  <c r="I167" i="28"/>
  <c r="H167" i="28"/>
  <c r="F167" i="28"/>
  <c r="D167" i="28"/>
  <c r="J166" i="28"/>
  <c r="I166" i="28"/>
  <c r="H166" i="28"/>
  <c r="F166" i="28"/>
  <c r="D166" i="28"/>
  <c r="J165" i="28"/>
  <c r="I165" i="28"/>
  <c r="H165" i="28"/>
  <c r="F165" i="28"/>
  <c r="D165" i="28"/>
  <c r="J164" i="28"/>
  <c r="I164" i="28"/>
  <c r="H164" i="28"/>
  <c r="F164" i="28"/>
  <c r="D164" i="28"/>
  <c r="J163" i="28"/>
  <c r="I163" i="28"/>
  <c r="H163" i="28"/>
  <c r="F163" i="28"/>
  <c r="D163" i="28"/>
  <c r="J162" i="28"/>
  <c r="I162" i="28"/>
  <c r="H162" i="28"/>
  <c r="F162" i="28"/>
  <c r="D162" i="28"/>
  <c r="J161" i="28"/>
  <c r="I161" i="28"/>
  <c r="H161" i="28"/>
  <c r="F161" i="28"/>
  <c r="D161" i="28"/>
  <c r="A175" i="28"/>
  <c r="A174" i="28"/>
  <c r="A173" i="28"/>
  <c r="A172" i="28"/>
  <c r="A171" i="28"/>
  <c r="A170" i="28"/>
  <c r="A169" i="28"/>
  <c r="A168" i="28"/>
  <c r="A167" i="28"/>
  <c r="A166" i="28"/>
  <c r="A165" i="28"/>
  <c r="A164" i="28"/>
  <c r="A163" i="28"/>
  <c r="A162" i="28"/>
  <c r="A161" i="28"/>
  <c r="J160" i="28"/>
  <c r="I160" i="28"/>
  <c r="H160" i="28"/>
  <c r="G160" i="28"/>
  <c r="F160" i="28"/>
  <c r="D160" i="28"/>
  <c r="J159" i="28"/>
  <c r="I159" i="28"/>
  <c r="H159" i="28"/>
  <c r="F159" i="28"/>
  <c r="D159" i="28"/>
  <c r="J158" i="28"/>
  <c r="I158" i="28"/>
  <c r="H158" i="28"/>
  <c r="F158" i="28"/>
  <c r="D158" i="28"/>
  <c r="J157" i="28"/>
  <c r="I157" i="28"/>
  <c r="H157" i="28"/>
  <c r="F157" i="28"/>
  <c r="D157" i="28"/>
  <c r="J156" i="28"/>
  <c r="I156" i="28"/>
  <c r="H156" i="28"/>
  <c r="G156" i="28"/>
  <c r="F156" i="28"/>
  <c r="D156" i="28"/>
  <c r="J155" i="28"/>
  <c r="I155" i="28"/>
  <c r="H155" i="28"/>
  <c r="G155" i="28"/>
  <c r="F155" i="28"/>
  <c r="E155" i="28"/>
  <c r="D155" i="28"/>
  <c r="J154" i="28"/>
  <c r="I154" i="28"/>
  <c r="H154" i="28"/>
  <c r="G154" i="28"/>
  <c r="F154" i="28"/>
  <c r="E154" i="28"/>
  <c r="D154" i="28"/>
  <c r="J153" i="28"/>
  <c r="I153" i="28"/>
  <c r="H153" i="28"/>
  <c r="G153" i="28"/>
  <c r="F153" i="28"/>
  <c r="E153" i="28"/>
  <c r="D153" i="28"/>
  <c r="J152" i="28"/>
  <c r="I152" i="28"/>
  <c r="H152" i="28"/>
  <c r="G152" i="28"/>
  <c r="F152" i="28"/>
  <c r="E152" i="28"/>
  <c r="D152" i="28"/>
  <c r="J151" i="28"/>
  <c r="I151" i="28"/>
  <c r="H151" i="28"/>
  <c r="G151" i="28"/>
  <c r="F151" i="28"/>
  <c r="E151" i="28"/>
  <c r="D151" i="28"/>
  <c r="J150" i="28"/>
  <c r="I150" i="28"/>
  <c r="H150" i="28"/>
  <c r="G150" i="28"/>
  <c r="F150" i="28"/>
  <c r="E150" i="28"/>
  <c r="D150" i="28"/>
  <c r="J149" i="28"/>
  <c r="I149" i="28"/>
  <c r="H149" i="28"/>
  <c r="G149" i="28"/>
  <c r="F149" i="28"/>
  <c r="E149" i="28"/>
  <c r="D149" i="28"/>
  <c r="J148" i="28"/>
  <c r="I148" i="28"/>
  <c r="H148" i="28"/>
  <c r="G148" i="28"/>
  <c r="F148" i="28"/>
  <c r="E148" i="28"/>
  <c r="D148" i="28"/>
  <c r="J147" i="28"/>
  <c r="I147" i="28"/>
  <c r="H147" i="28"/>
  <c r="G147" i="28"/>
  <c r="F147" i="28"/>
  <c r="E147" i="28"/>
  <c r="D147" i="28"/>
  <c r="J146" i="28"/>
  <c r="I146" i="28"/>
  <c r="H146" i="28"/>
  <c r="G146" i="28"/>
  <c r="F146" i="28"/>
  <c r="E146" i="28"/>
  <c r="D146" i="28"/>
  <c r="J145" i="28"/>
  <c r="I145" i="28"/>
  <c r="H145" i="28"/>
  <c r="G145" i="28"/>
  <c r="F145" i="28"/>
  <c r="E145" i="28"/>
  <c r="D145" i="28"/>
  <c r="J144" i="28"/>
  <c r="I144" i="28"/>
  <c r="H144" i="28"/>
  <c r="G144" i="28"/>
  <c r="F144" i="28"/>
  <c r="E144" i="28"/>
  <c r="D144" i="28"/>
  <c r="J143" i="28"/>
  <c r="I143" i="28"/>
  <c r="H143" i="28"/>
  <c r="G143" i="28"/>
  <c r="F143" i="28"/>
  <c r="E143" i="28"/>
  <c r="D143" i="28"/>
  <c r="J142" i="28"/>
  <c r="I142" i="28"/>
  <c r="H142" i="28"/>
  <c r="G142" i="28"/>
  <c r="F142" i="28"/>
  <c r="E142" i="28"/>
  <c r="D142" i="28"/>
  <c r="J141" i="28"/>
  <c r="I141" i="28"/>
  <c r="H141" i="28"/>
  <c r="G141" i="28"/>
  <c r="F141" i="28"/>
  <c r="E141" i="28"/>
  <c r="D141" i="28"/>
  <c r="J140" i="28"/>
  <c r="I140" i="28"/>
  <c r="H140" i="28"/>
  <c r="G140" i="28"/>
  <c r="F140" i="28"/>
  <c r="E140" i="28"/>
  <c r="D140" i="28"/>
  <c r="A160" i="28"/>
  <c r="A159" i="28"/>
  <c r="A158" i="28"/>
  <c r="A157" i="28"/>
  <c r="A156" i="28"/>
  <c r="A155" i="28"/>
  <c r="A154" i="28"/>
  <c r="A153" i="28"/>
  <c r="A152" i="28"/>
  <c r="A151" i="28"/>
  <c r="A150" i="28"/>
  <c r="A149" i="28"/>
  <c r="A148" i="28"/>
  <c r="A147" i="28"/>
  <c r="A146" i="28"/>
  <c r="A145" i="28"/>
  <c r="A144" i="28"/>
  <c r="A143" i="28"/>
  <c r="A142" i="28"/>
  <c r="A141" i="28"/>
  <c r="A140" i="28"/>
  <c r="J138" i="28"/>
  <c r="I138" i="28"/>
  <c r="H138" i="28"/>
  <c r="F138" i="28"/>
  <c r="D138" i="28"/>
  <c r="J139" i="28"/>
  <c r="I139" i="28"/>
  <c r="H139" i="28"/>
  <c r="F139" i="28"/>
  <c r="D139" i="28"/>
  <c r="J136" i="28"/>
  <c r="I136" i="28"/>
  <c r="H136" i="28"/>
  <c r="F136" i="28"/>
  <c r="D136" i="28"/>
  <c r="J137" i="28"/>
  <c r="I137" i="28"/>
  <c r="H137" i="28"/>
  <c r="F137" i="28"/>
  <c r="D137" i="28"/>
  <c r="J132" i="28"/>
  <c r="I132" i="28"/>
  <c r="H132" i="28"/>
  <c r="F132" i="28"/>
  <c r="D132" i="28"/>
  <c r="J130" i="28"/>
  <c r="I130" i="28"/>
  <c r="H130" i="28"/>
  <c r="F130" i="28"/>
  <c r="D130" i="28"/>
  <c r="J127" i="28"/>
  <c r="I127" i="28"/>
  <c r="H127" i="28"/>
  <c r="G127" i="28"/>
  <c r="F127" i="28"/>
  <c r="E127" i="28"/>
  <c r="D127" i="28"/>
  <c r="J125" i="28"/>
  <c r="I125" i="28"/>
  <c r="H125" i="28"/>
  <c r="G125" i="28"/>
  <c r="F125" i="28"/>
  <c r="E125" i="28"/>
  <c r="D125" i="28"/>
  <c r="J119" i="28"/>
  <c r="I119" i="28"/>
  <c r="H119" i="28"/>
  <c r="G119" i="28"/>
  <c r="F119" i="28"/>
  <c r="E119" i="28"/>
  <c r="D119" i="28"/>
  <c r="J118" i="28"/>
  <c r="I118" i="28"/>
  <c r="H118" i="28"/>
  <c r="G118" i="28"/>
  <c r="F118" i="28"/>
  <c r="E118" i="28"/>
  <c r="D118" i="28"/>
  <c r="J115" i="28"/>
  <c r="I115" i="28"/>
  <c r="H115" i="28"/>
  <c r="G115" i="28"/>
  <c r="F115" i="28"/>
  <c r="E115" i="28"/>
  <c r="D115" i="28"/>
  <c r="J133" i="28"/>
  <c r="I133" i="28"/>
  <c r="H133" i="28"/>
  <c r="F133" i="28"/>
  <c r="D133" i="28"/>
  <c r="J135" i="28"/>
  <c r="I135" i="28"/>
  <c r="H135" i="28"/>
  <c r="F135" i="28"/>
  <c r="D135" i="28"/>
  <c r="J134" i="28"/>
  <c r="I134" i="28"/>
  <c r="H134" i="28"/>
  <c r="F134" i="28"/>
  <c r="D134" i="28"/>
  <c r="J131" i="28"/>
  <c r="I131" i="28"/>
  <c r="H131" i="28"/>
  <c r="F131" i="28"/>
  <c r="D131" i="28"/>
  <c r="J129" i="28"/>
  <c r="I129" i="28"/>
  <c r="H129" i="28"/>
  <c r="F129" i="28"/>
  <c r="D129" i="28"/>
  <c r="J128" i="28"/>
  <c r="I128" i="28"/>
  <c r="H128" i="28"/>
  <c r="F128" i="28"/>
  <c r="D128" i="28"/>
  <c r="J126" i="28"/>
  <c r="I126" i="28"/>
  <c r="H126" i="28"/>
  <c r="G126" i="28"/>
  <c r="F126" i="28"/>
  <c r="E126" i="28"/>
  <c r="D126" i="28"/>
  <c r="J124" i="28"/>
  <c r="I124" i="28"/>
  <c r="H124" i="28"/>
  <c r="G124" i="28"/>
  <c r="F124" i="28"/>
  <c r="E124" i="28"/>
  <c r="D124" i="28"/>
  <c r="J123" i="28"/>
  <c r="I123" i="28"/>
  <c r="H123" i="28"/>
  <c r="F123" i="28"/>
  <c r="D123" i="28"/>
  <c r="J122" i="28"/>
  <c r="I122" i="28"/>
  <c r="H122" i="28"/>
  <c r="F122" i="28"/>
  <c r="D122" i="28"/>
  <c r="J121" i="28"/>
  <c r="I121" i="28"/>
  <c r="H121" i="28"/>
  <c r="G121" i="28"/>
  <c r="F121" i="28"/>
  <c r="E121" i="28"/>
  <c r="D121" i="28"/>
  <c r="J120" i="28"/>
  <c r="I120" i="28"/>
  <c r="H120" i="28"/>
  <c r="G120" i="28"/>
  <c r="F120" i="28"/>
  <c r="E120" i="28"/>
  <c r="D120" i="28"/>
  <c r="J117" i="28"/>
  <c r="I117" i="28"/>
  <c r="H117" i="28"/>
  <c r="G117" i="28"/>
  <c r="F117" i="28"/>
  <c r="E117" i="28"/>
  <c r="D117" i="28"/>
  <c r="J116" i="28"/>
  <c r="I116" i="28"/>
  <c r="H116" i="28"/>
  <c r="G116" i="28"/>
  <c r="F116" i="28"/>
  <c r="E116" i="28"/>
  <c r="D116" i="28"/>
  <c r="J114" i="28"/>
  <c r="I114" i="28"/>
  <c r="H114" i="28"/>
  <c r="G114" i="28"/>
  <c r="F114" i="28"/>
  <c r="E114" i="28"/>
  <c r="D114" i="28"/>
  <c r="J112" i="28"/>
  <c r="I112" i="28"/>
  <c r="H112" i="28"/>
  <c r="F112" i="28"/>
  <c r="D112" i="28"/>
  <c r="J110" i="28"/>
  <c r="I110" i="28"/>
  <c r="H110" i="28"/>
  <c r="F110" i="28"/>
  <c r="D110" i="28"/>
  <c r="J108" i="28"/>
  <c r="I108" i="28"/>
  <c r="H108" i="28"/>
  <c r="F108" i="28"/>
  <c r="D108" i="28"/>
  <c r="J105" i="28"/>
  <c r="I105" i="28"/>
  <c r="H105" i="28"/>
  <c r="F105" i="28"/>
  <c r="D105" i="28"/>
  <c r="J103" i="28"/>
  <c r="I103" i="28"/>
  <c r="H103" i="28"/>
  <c r="F103" i="28"/>
  <c r="D103" i="28"/>
  <c r="J102" i="28"/>
  <c r="I102" i="28"/>
  <c r="H102" i="28"/>
  <c r="F102" i="28"/>
  <c r="D102" i="28"/>
  <c r="J100" i="28"/>
  <c r="I100" i="28"/>
  <c r="H100" i="28"/>
  <c r="F100" i="28"/>
  <c r="D100" i="28"/>
  <c r="J98" i="28"/>
  <c r="I98" i="28"/>
  <c r="H98" i="28"/>
  <c r="F98" i="28"/>
  <c r="D98" i="28"/>
  <c r="J96" i="28"/>
  <c r="I96" i="28"/>
  <c r="H96" i="28"/>
  <c r="F96" i="28"/>
  <c r="D96" i="28"/>
  <c r="J95" i="28"/>
  <c r="I95" i="28"/>
  <c r="H95" i="28"/>
  <c r="F95" i="28"/>
  <c r="D95" i="28"/>
  <c r="J93" i="28"/>
  <c r="I93" i="28"/>
  <c r="H93" i="28"/>
  <c r="F93" i="28"/>
  <c r="D93" i="28"/>
  <c r="J91" i="28"/>
  <c r="I91" i="28"/>
  <c r="H91" i="28"/>
  <c r="F91" i="28"/>
  <c r="D91" i="28"/>
  <c r="J113" i="28"/>
  <c r="I113" i="28"/>
  <c r="H113" i="28"/>
  <c r="F113" i="28"/>
  <c r="D113" i="28"/>
  <c r="J111" i="28"/>
  <c r="I111" i="28"/>
  <c r="H111" i="28"/>
  <c r="F111" i="28"/>
  <c r="D111" i="28"/>
  <c r="J109" i="28"/>
  <c r="I109" i="28"/>
  <c r="H109" i="28"/>
  <c r="F109" i="28"/>
  <c r="D109" i="28"/>
  <c r="J107" i="28"/>
  <c r="I107" i="28"/>
  <c r="H107" i="28"/>
  <c r="F107" i="28"/>
  <c r="D107" i="28"/>
  <c r="J106" i="28"/>
  <c r="I106" i="28"/>
  <c r="H106" i="28"/>
  <c r="F106" i="28"/>
  <c r="D106" i="28"/>
  <c r="J104" i="28"/>
  <c r="I104" i="28"/>
  <c r="H104" i="28"/>
  <c r="F104" i="28"/>
  <c r="D104" i="28"/>
  <c r="J101" i="28"/>
  <c r="I101" i="28"/>
  <c r="H101" i="28"/>
  <c r="F101" i="28"/>
  <c r="D101" i="28"/>
  <c r="J99" i="28"/>
  <c r="I99" i="28"/>
  <c r="H99" i="28"/>
  <c r="F99" i="28"/>
  <c r="D99" i="28"/>
  <c r="J97" i="28"/>
  <c r="I97" i="28"/>
  <c r="H97" i="28"/>
  <c r="F97" i="28"/>
  <c r="D97" i="28"/>
  <c r="J94" i="28"/>
  <c r="I94" i="28"/>
  <c r="H94" i="28"/>
  <c r="F94" i="28"/>
  <c r="D94" i="28"/>
  <c r="J92" i="28"/>
  <c r="I92" i="28"/>
  <c r="H92" i="28"/>
  <c r="F92" i="28"/>
  <c r="D92" i="28"/>
  <c r="J90" i="28"/>
  <c r="I90" i="28"/>
  <c r="H90" i="28"/>
  <c r="F90" i="28"/>
  <c r="D90" i="28"/>
  <c r="A138" i="28"/>
  <c r="A139" i="28"/>
  <c r="A136" i="28"/>
  <c r="A137" i="28"/>
  <c r="A132" i="28"/>
  <c r="A130" i="28"/>
  <c r="A127" i="28"/>
  <c r="A125" i="28"/>
  <c r="A119" i="28"/>
  <c r="A118" i="28"/>
  <c r="A115" i="28"/>
  <c r="A133" i="28"/>
  <c r="A135" i="28"/>
  <c r="B134" i="28"/>
  <c r="A134" i="28"/>
  <c r="K134" i="28" s="1"/>
  <c r="A131" i="28"/>
  <c r="A129" i="28"/>
  <c r="A128" i="28"/>
  <c r="A126" i="28"/>
  <c r="A124" i="28"/>
  <c r="A123" i="28"/>
  <c r="A122" i="28"/>
  <c r="A121" i="28"/>
  <c r="A120" i="28"/>
  <c r="A117" i="28"/>
  <c r="A116" i="28"/>
  <c r="A114" i="28"/>
  <c r="A112" i="28"/>
  <c r="A110" i="28"/>
  <c r="A108" i="28"/>
  <c r="A105" i="28"/>
  <c r="A103" i="28"/>
  <c r="A102" i="28"/>
  <c r="A100" i="28"/>
  <c r="A98" i="28"/>
  <c r="A96" i="28"/>
  <c r="A95" i="28"/>
  <c r="A93" i="28"/>
  <c r="A91" i="28"/>
  <c r="A113" i="28"/>
  <c r="A111" i="28"/>
  <c r="A109" i="28"/>
  <c r="A107" i="28"/>
  <c r="A106" i="28"/>
  <c r="A104" i="28"/>
  <c r="A101" i="28"/>
  <c r="A99" i="28"/>
  <c r="A97" i="28"/>
  <c r="A94" i="28"/>
  <c r="A92" i="28"/>
  <c r="A90" i="28"/>
  <c r="J89" i="28"/>
  <c r="I89" i="28"/>
  <c r="H89" i="28"/>
  <c r="F89" i="28"/>
  <c r="D89" i="28"/>
  <c r="J88" i="28"/>
  <c r="I88" i="28"/>
  <c r="H88" i="28"/>
  <c r="F88" i="28"/>
  <c r="D88" i="28"/>
  <c r="J87" i="28"/>
  <c r="I87" i="28"/>
  <c r="H87" i="28"/>
  <c r="F87" i="28"/>
  <c r="D87" i="28"/>
  <c r="J86" i="28"/>
  <c r="I86" i="28"/>
  <c r="H86" i="28"/>
  <c r="F86" i="28"/>
  <c r="D86" i="28"/>
  <c r="J85" i="28"/>
  <c r="I85" i="28"/>
  <c r="H85" i="28"/>
  <c r="F85" i="28"/>
  <c r="D85" i="28"/>
  <c r="J84" i="28"/>
  <c r="I84" i="28"/>
  <c r="H84" i="28"/>
  <c r="F84" i="28"/>
  <c r="E84" i="28"/>
  <c r="D84" i="28"/>
  <c r="J83" i="28"/>
  <c r="I83" i="28"/>
  <c r="H83" i="28"/>
  <c r="G83" i="28"/>
  <c r="F83" i="28"/>
  <c r="E83" i="28"/>
  <c r="D83" i="28"/>
  <c r="J82" i="28"/>
  <c r="I82" i="28"/>
  <c r="H82" i="28"/>
  <c r="G82" i="28"/>
  <c r="F82" i="28"/>
  <c r="E82" i="28"/>
  <c r="D82" i="28"/>
  <c r="J81" i="28"/>
  <c r="I81" i="28"/>
  <c r="H81" i="28"/>
  <c r="G81" i="28"/>
  <c r="F81" i="28"/>
  <c r="E81" i="28"/>
  <c r="D81" i="28"/>
  <c r="J80" i="28"/>
  <c r="I80" i="28"/>
  <c r="H80" i="28"/>
  <c r="G80" i="28"/>
  <c r="F80" i="28"/>
  <c r="E80" i="28"/>
  <c r="D80" i="28"/>
  <c r="J79" i="28"/>
  <c r="I79" i="28"/>
  <c r="H79" i="28"/>
  <c r="G79" i="28"/>
  <c r="F79" i="28"/>
  <c r="E79" i="28"/>
  <c r="D79" i="28"/>
  <c r="J78" i="28"/>
  <c r="I78" i="28"/>
  <c r="H78" i="28"/>
  <c r="G78" i="28"/>
  <c r="F78" i="28"/>
  <c r="E78" i="28"/>
  <c r="D78" i="28"/>
  <c r="J77" i="28"/>
  <c r="I77" i="28"/>
  <c r="H77" i="28"/>
  <c r="G77" i="28"/>
  <c r="F77" i="28"/>
  <c r="E77" i="28"/>
  <c r="D77" i="28"/>
  <c r="J76" i="28"/>
  <c r="I76" i="28"/>
  <c r="H76" i="28"/>
  <c r="G76" i="28"/>
  <c r="F76" i="28"/>
  <c r="E76" i="28"/>
  <c r="D76" i="28"/>
  <c r="J75" i="28"/>
  <c r="I75" i="28"/>
  <c r="H75" i="28"/>
  <c r="G75" i="28"/>
  <c r="F75" i="28"/>
  <c r="E75" i="28"/>
  <c r="D75" i="28"/>
  <c r="J74" i="28"/>
  <c r="I74" i="28"/>
  <c r="H74" i="28"/>
  <c r="G74" i="28"/>
  <c r="F74" i="28"/>
  <c r="E74" i="28"/>
  <c r="D74" i="28"/>
  <c r="J73" i="28"/>
  <c r="I73" i="28"/>
  <c r="H73" i="28"/>
  <c r="F73" i="28"/>
  <c r="D73" i="28"/>
  <c r="J72" i="28"/>
  <c r="I72" i="28"/>
  <c r="H72" i="28"/>
  <c r="G72" i="28"/>
  <c r="F72" i="28"/>
  <c r="D72" i="28"/>
  <c r="J71" i="28"/>
  <c r="I71" i="28"/>
  <c r="H71" i="28"/>
  <c r="G71" i="28"/>
  <c r="F71" i="28"/>
  <c r="D71" i="28"/>
  <c r="J70" i="28"/>
  <c r="I70" i="28"/>
  <c r="H70" i="28"/>
  <c r="F70" i="28"/>
  <c r="D70" i="28"/>
  <c r="J69" i="28"/>
  <c r="I69" i="28"/>
  <c r="H69" i="28"/>
  <c r="G69" i="28"/>
  <c r="F69" i="28"/>
  <c r="E69" i="28"/>
  <c r="D69" i="28"/>
  <c r="J68" i="28"/>
  <c r="I68" i="28"/>
  <c r="H68" i="28"/>
  <c r="G68" i="28"/>
  <c r="F68" i="28"/>
  <c r="D68" i="28"/>
  <c r="J67" i="28"/>
  <c r="I67" i="28"/>
  <c r="H67" i="28"/>
  <c r="G67" i="28"/>
  <c r="F67" i="28"/>
  <c r="D67" i="28"/>
  <c r="J66" i="28"/>
  <c r="I66" i="28"/>
  <c r="H66" i="28"/>
  <c r="F66" i="28"/>
  <c r="D66" i="28"/>
  <c r="A89" i="28"/>
  <c r="A88" i="28"/>
  <c r="A87" i="28"/>
  <c r="A86" i="28"/>
  <c r="A85" i="28"/>
  <c r="A84" i="28"/>
  <c r="A83" i="28"/>
  <c r="A82" i="28"/>
  <c r="A81" i="28"/>
  <c r="A80" i="28"/>
  <c r="A79" i="28"/>
  <c r="A78" i="28"/>
  <c r="A77" i="28"/>
  <c r="A76" i="28"/>
  <c r="A75" i="28"/>
  <c r="A74" i="28"/>
  <c r="A73" i="28"/>
  <c r="A72" i="28"/>
  <c r="A71" i="28"/>
  <c r="A70" i="28"/>
  <c r="A69" i="28"/>
  <c r="A68" i="28"/>
  <c r="A67" i="28"/>
  <c r="A66" i="28"/>
  <c r="J65" i="28"/>
  <c r="I65" i="28"/>
  <c r="H65" i="28"/>
  <c r="G65" i="28"/>
  <c r="F65" i="28"/>
  <c r="E65" i="28"/>
  <c r="D65" i="28"/>
  <c r="J64" i="28"/>
  <c r="I64" i="28"/>
  <c r="H64" i="28"/>
  <c r="G64" i="28"/>
  <c r="F64" i="28"/>
  <c r="E64" i="28"/>
  <c r="D64" i="28"/>
  <c r="J63" i="28"/>
  <c r="I63" i="28"/>
  <c r="H63" i="28"/>
  <c r="G63" i="28"/>
  <c r="F63" i="28"/>
  <c r="E63" i="28"/>
  <c r="D63" i="28"/>
  <c r="J62" i="28"/>
  <c r="I62" i="28"/>
  <c r="H62" i="28"/>
  <c r="G62" i="28"/>
  <c r="F62" i="28"/>
  <c r="E62" i="28"/>
  <c r="D62" i="28"/>
  <c r="J61" i="28"/>
  <c r="I61" i="28"/>
  <c r="H61" i="28"/>
  <c r="G61" i="28"/>
  <c r="F61" i="28"/>
  <c r="E61" i="28"/>
  <c r="D61" i="28"/>
  <c r="J60" i="28"/>
  <c r="I60" i="28"/>
  <c r="H60" i="28"/>
  <c r="G60" i="28"/>
  <c r="F60" i="28"/>
  <c r="E60" i="28"/>
  <c r="D60" i="28"/>
  <c r="J59" i="28"/>
  <c r="I59" i="28"/>
  <c r="H59" i="28"/>
  <c r="G59" i="28"/>
  <c r="F59" i="28"/>
  <c r="E59" i="28"/>
  <c r="D59" i="28"/>
  <c r="J58" i="28"/>
  <c r="I58" i="28"/>
  <c r="H58" i="28"/>
  <c r="G58" i="28"/>
  <c r="F58" i="28"/>
  <c r="E58" i="28"/>
  <c r="D58" i="28"/>
  <c r="J57" i="28"/>
  <c r="I57" i="28"/>
  <c r="H57" i="28"/>
  <c r="G57" i="28"/>
  <c r="F57" i="28"/>
  <c r="E57" i="28"/>
  <c r="D57" i="28"/>
  <c r="J56" i="28"/>
  <c r="I56" i="28"/>
  <c r="H56" i="28"/>
  <c r="G56" i="28"/>
  <c r="F56" i="28"/>
  <c r="E56" i="28"/>
  <c r="D56" i="28"/>
  <c r="J55" i="28"/>
  <c r="I55" i="28"/>
  <c r="H55" i="28"/>
  <c r="G55" i="28"/>
  <c r="F55" i="28"/>
  <c r="E55" i="28"/>
  <c r="D55" i="28"/>
  <c r="J54" i="28"/>
  <c r="I54" i="28"/>
  <c r="H54" i="28"/>
  <c r="G54" i="28"/>
  <c r="F54" i="28"/>
  <c r="E54" i="28"/>
  <c r="D54" i="28"/>
  <c r="J53" i="28"/>
  <c r="I53" i="28"/>
  <c r="H53" i="28"/>
  <c r="G53" i="28"/>
  <c r="F53" i="28"/>
  <c r="E53" i="28"/>
  <c r="D53" i="28"/>
  <c r="J52" i="28"/>
  <c r="I52" i="28"/>
  <c r="H52" i="28"/>
  <c r="G52" i="28"/>
  <c r="F52" i="28"/>
  <c r="E52" i="28"/>
  <c r="D52" i="28"/>
  <c r="J51" i="28"/>
  <c r="I51" i="28"/>
  <c r="H51" i="28"/>
  <c r="G51" i="28"/>
  <c r="F51" i="28"/>
  <c r="E51" i="28"/>
  <c r="D51" i="28"/>
  <c r="J50" i="28"/>
  <c r="I50" i="28"/>
  <c r="H50" i="28"/>
  <c r="G50" i="28"/>
  <c r="F50" i="28"/>
  <c r="E50" i="28"/>
  <c r="D50" i="28"/>
  <c r="A65" i="28"/>
  <c r="A64" i="28"/>
  <c r="A63" i="28"/>
  <c r="A62" i="28"/>
  <c r="A61" i="28"/>
  <c r="A60" i="28"/>
  <c r="A59" i="28"/>
  <c r="A58" i="28"/>
  <c r="A57" i="28"/>
  <c r="A56" i="28"/>
  <c r="A55" i="28"/>
  <c r="A54" i="28"/>
  <c r="A53" i="28"/>
  <c r="A52" i="28"/>
  <c r="A51" i="28"/>
  <c r="A50" i="28"/>
  <c r="J49" i="28"/>
  <c r="I49" i="28"/>
  <c r="H49" i="28"/>
  <c r="G49" i="28"/>
  <c r="F49" i="28"/>
  <c r="E49" i="28"/>
  <c r="D49" i="28"/>
  <c r="J48" i="28"/>
  <c r="I48" i="28"/>
  <c r="H48" i="28"/>
  <c r="G48" i="28"/>
  <c r="F48" i="28"/>
  <c r="E48" i="28"/>
  <c r="D48" i="28"/>
  <c r="J47" i="28"/>
  <c r="I47" i="28"/>
  <c r="H47" i="28"/>
  <c r="G47" i="28"/>
  <c r="F47" i="28"/>
  <c r="E47" i="28"/>
  <c r="D47" i="28"/>
  <c r="J46" i="28"/>
  <c r="I46" i="28"/>
  <c r="H46" i="28"/>
  <c r="G46" i="28"/>
  <c r="F46" i="28"/>
  <c r="E46" i="28"/>
  <c r="D46" i="28"/>
  <c r="J45" i="28"/>
  <c r="I45" i="28"/>
  <c r="H45" i="28"/>
  <c r="G45" i="28"/>
  <c r="F45" i="28"/>
  <c r="E45" i="28"/>
  <c r="D45" i="28"/>
  <c r="J44" i="28"/>
  <c r="I44" i="28"/>
  <c r="H44" i="28"/>
  <c r="G44" i="28"/>
  <c r="F44" i="28"/>
  <c r="E44" i="28"/>
  <c r="D44" i="28"/>
  <c r="J43" i="28"/>
  <c r="I43" i="28"/>
  <c r="H43" i="28"/>
  <c r="G43" i="28"/>
  <c r="F43" i="28"/>
  <c r="E43" i="28"/>
  <c r="D43" i="28"/>
  <c r="J42" i="28"/>
  <c r="I42" i="28"/>
  <c r="H42" i="28"/>
  <c r="G42" i="28"/>
  <c r="F42" i="28"/>
  <c r="E42" i="28"/>
  <c r="D42" i="28"/>
  <c r="J41" i="28"/>
  <c r="I41" i="28"/>
  <c r="H41" i="28"/>
  <c r="G41" i="28"/>
  <c r="F41" i="28"/>
  <c r="E41" i="28"/>
  <c r="D41" i="28"/>
  <c r="J40" i="28"/>
  <c r="I40" i="28"/>
  <c r="H40" i="28"/>
  <c r="G40" i="28"/>
  <c r="F40" i="28"/>
  <c r="E40" i="28"/>
  <c r="D40" i="28"/>
  <c r="J39" i="28"/>
  <c r="I39" i="28"/>
  <c r="H39" i="28"/>
  <c r="G39" i="28"/>
  <c r="F39" i="28"/>
  <c r="E39" i="28"/>
  <c r="D39" i="28"/>
  <c r="J38" i="28"/>
  <c r="I38" i="28"/>
  <c r="H38" i="28"/>
  <c r="G38" i="28"/>
  <c r="F38" i="28"/>
  <c r="E38" i="28"/>
  <c r="D38" i="28"/>
  <c r="J37" i="28"/>
  <c r="I37" i="28"/>
  <c r="H37" i="28"/>
  <c r="G37" i="28"/>
  <c r="F37" i="28"/>
  <c r="E37" i="28"/>
  <c r="D37" i="28"/>
  <c r="J36" i="28"/>
  <c r="I36" i="28"/>
  <c r="H36" i="28"/>
  <c r="G36" i="28"/>
  <c r="F36" i="28"/>
  <c r="E36" i="28"/>
  <c r="D36" i="28"/>
  <c r="J35" i="28"/>
  <c r="I35" i="28"/>
  <c r="H35" i="28"/>
  <c r="G35" i="28"/>
  <c r="F35" i="28"/>
  <c r="E35" i="28"/>
  <c r="D35" i="28"/>
  <c r="J34" i="28"/>
  <c r="I34" i="28"/>
  <c r="H34" i="28"/>
  <c r="G34" i="28"/>
  <c r="F34" i="28"/>
  <c r="E34" i="28"/>
  <c r="D34" i="28"/>
  <c r="A49" i="28"/>
  <c r="A48" i="28"/>
  <c r="A47" i="28"/>
  <c r="A46" i="28"/>
  <c r="A45" i="28"/>
  <c r="A44" i="28"/>
  <c r="A43" i="28"/>
  <c r="A42" i="28"/>
  <c r="A41" i="28"/>
  <c r="A40" i="28"/>
  <c r="A39" i="28"/>
  <c r="A38" i="28"/>
  <c r="A37" i="28"/>
  <c r="A36" i="28"/>
  <c r="A35" i="28"/>
  <c r="A34" i="28"/>
  <c r="J33" i="28"/>
  <c r="I33" i="28"/>
  <c r="H33" i="28"/>
  <c r="G33" i="28"/>
  <c r="F33" i="28"/>
  <c r="E33" i="28"/>
  <c r="D33" i="28"/>
  <c r="J32" i="28"/>
  <c r="I32" i="28"/>
  <c r="H32" i="28"/>
  <c r="G32" i="28"/>
  <c r="F32" i="28"/>
  <c r="E32" i="28"/>
  <c r="D32" i="28"/>
  <c r="J31" i="28"/>
  <c r="I31" i="28"/>
  <c r="H31" i="28"/>
  <c r="G31" i="28"/>
  <c r="F31" i="28"/>
  <c r="E31" i="28"/>
  <c r="D31" i="28"/>
  <c r="J30" i="28"/>
  <c r="I30" i="28"/>
  <c r="H30" i="28"/>
  <c r="G30" i="28"/>
  <c r="F30" i="28"/>
  <c r="E30" i="28"/>
  <c r="D30" i="28"/>
  <c r="J29" i="28"/>
  <c r="I29" i="28"/>
  <c r="H29" i="28"/>
  <c r="G29" i="28"/>
  <c r="F29" i="28"/>
  <c r="E29" i="28"/>
  <c r="D29" i="28"/>
  <c r="J28" i="28"/>
  <c r="I28" i="28"/>
  <c r="H28" i="28"/>
  <c r="G28" i="28"/>
  <c r="F28" i="28"/>
  <c r="E28" i="28"/>
  <c r="D28" i="28"/>
  <c r="J27" i="28"/>
  <c r="I27" i="28"/>
  <c r="H27" i="28"/>
  <c r="G27" i="28"/>
  <c r="F27" i="28"/>
  <c r="E27" i="28"/>
  <c r="D27" i="28"/>
  <c r="J26" i="28"/>
  <c r="I26" i="28"/>
  <c r="H26" i="28"/>
  <c r="G26" i="28"/>
  <c r="F26" i="28"/>
  <c r="D26" i="28"/>
  <c r="J25" i="28"/>
  <c r="I25" i="28"/>
  <c r="H25" i="28"/>
  <c r="G25" i="28"/>
  <c r="F25" i="28"/>
  <c r="D25" i="28"/>
  <c r="J24" i="28"/>
  <c r="I24" i="28"/>
  <c r="H24" i="28"/>
  <c r="G24" i="28"/>
  <c r="F24" i="28"/>
  <c r="D24" i="28"/>
  <c r="J23" i="28"/>
  <c r="I23" i="28"/>
  <c r="H23" i="28"/>
  <c r="G23" i="28"/>
  <c r="F23" i="28"/>
  <c r="E23" i="28"/>
  <c r="D23" i="28"/>
  <c r="J22" i="28"/>
  <c r="I22" i="28"/>
  <c r="H22" i="28"/>
  <c r="G22" i="28"/>
  <c r="F22" i="28"/>
  <c r="E22" i="28"/>
  <c r="D22" i="28"/>
  <c r="J21" i="28"/>
  <c r="I21" i="28"/>
  <c r="H21" i="28"/>
  <c r="G21" i="28"/>
  <c r="F21" i="28"/>
  <c r="E21" i="28"/>
  <c r="D21" i="28"/>
  <c r="J20" i="28"/>
  <c r="I20" i="28"/>
  <c r="H20" i="28"/>
  <c r="G20" i="28"/>
  <c r="F20" i="28"/>
  <c r="D20" i="28"/>
  <c r="J19" i="28"/>
  <c r="I19" i="28"/>
  <c r="H19" i="28"/>
  <c r="G19" i="28"/>
  <c r="F19" i="28"/>
  <c r="E19" i="28"/>
  <c r="D19" i="28"/>
  <c r="J18" i="28"/>
  <c r="I18" i="28"/>
  <c r="H18" i="28"/>
  <c r="F18" i="28"/>
  <c r="D18" i="28"/>
  <c r="J17" i="28"/>
  <c r="I17" i="28"/>
  <c r="H17" i="28"/>
  <c r="G17" i="28"/>
  <c r="F17" i="28"/>
  <c r="D17" i="28"/>
  <c r="J16" i="28"/>
  <c r="I16" i="28"/>
  <c r="H16" i="28"/>
  <c r="G16" i="28"/>
  <c r="F16" i="28"/>
  <c r="D16" i="28"/>
  <c r="J15" i="28"/>
  <c r="I15" i="28"/>
  <c r="H15" i="28"/>
  <c r="F15" i="28"/>
  <c r="D15" i="28"/>
  <c r="J14" i="28"/>
  <c r="I14" i="28"/>
  <c r="H14" i="28"/>
  <c r="F14" i="28"/>
  <c r="D14" i="28"/>
  <c r="J13" i="28"/>
  <c r="I13" i="28"/>
  <c r="H13" i="28"/>
  <c r="F13" i="28"/>
  <c r="D13" i="28"/>
  <c r="J12" i="28"/>
  <c r="I12" i="28"/>
  <c r="H12" i="28"/>
  <c r="F12" i="28"/>
  <c r="D12" i="28"/>
  <c r="J11" i="28"/>
  <c r="I11" i="28"/>
  <c r="H11" i="28"/>
  <c r="G11" i="28"/>
  <c r="F11" i="28"/>
  <c r="E11" i="28"/>
  <c r="D11" i="28"/>
  <c r="J10" i="28"/>
  <c r="I10" i="28"/>
  <c r="H10" i="28"/>
  <c r="F10" i="28"/>
  <c r="D10" i="28"/>
  <c r="J9" i="28"/>
  <c r="I9" i="28"/>
  <c r="H9" i="28"/>
  <c r="F9" i="28"/>
  <c r="D9" i="28"/>
  <c r="J8" i="28"/>
  <c r="I8" i="28"/>
  <c r="H8" i="28"/>
  <c r="F8" i="28"/>
  <c r="D8" i="28"/>
  <c r="J7" i="28"/>
  <c r="I7" i="28"/>
  <c r="H7" i="28"/>
  <c r="F7" i="28"/>
  <c r="D7" i="28"/>
  <c r="J6" i="28"/>
  <c r="I6" i="28"/>
  <c r="H6" i="28"/>
  <c r="G6" i="28"/>
  <c r="F6" i="28"/>
  <c r="D6" i="28"/>
  <c r="J5" i="28"/>
  <c r="I5" i="28"/>
  <c r="H5" i="28"/>
  <c r="G5" i="28"/>
  <c r="F5" i="28"/>
  <c r="D5" i="28"/>
  <c r="J4" i="28"/>
  <c r="I4" i="28"/>
  <c r="H4" i="28"/>
  <c r="F4" i="28"/>
  <c r="D4" i="28"/>
  <c r="J3" i="28"/>
  <c r="I3" i="28"/>
  <c r="H3" i="28"/>
  <c r="F3" i="28"/>
  <c r="D3" i="28"/>
  <c r="J2" i="28"/>
  <c r="I2" i="28"/>
  <c r="H2" i="28"/>
  <c r="F2" i="28"/>
  <c r="D2" i="28"/>
  <c r="J1" i="28"/>
  <c r="I1" i="28"/>
  <c r="H1" i="28"/>
  <c r="G1" i="28"/>
  <c r="F1" i="28"/>
  <c r="E1" i="28"/>
  <c r="D1" i="28"/>
  <c r="C1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21" i="28"/>
  <c r="A20" i="28"/>
  <c r="A19" i="28"/>
  <c r="A18" i="28"/>
  <c r="A17" i="28"/>
  <c r="A16" i="28"/>
  <c r="A15" i="28"/>
  <c r="A14" i="28"/>
  <c r="A13" i="28"/>
  <c r="A12" i="28"/>
  <c r="A11" i="28"/>
  <c r="A10" i="28"/>
  <c r="A9" i="28"/>
  <c r="A8" i="28"/>
  <c r="A7" i="28"/>
  <c r="A6" i="28"/>
  <c r="A5" i="28"/>
  <c r="A4" i="28"/>
  <c r="A3" i="28"/>
  <c r="A2" i="28"/>
  <c r="B1" i="28"/>
  <c r="A1" i="28"/>
  <c r="C17" i="18"/>
  <c r="C16" i="18"/>
  <c r="C20" i="18"/>
  <c r="C21" i="18"/>
  <c r="C22" i="18"/>
  <c r="F17" i="18"/>
  <c r="F15" i="18"/>
  <c r="D39" i="5"/>
  <c r="C16" i="17"/>
  <c r="AJ26" i="5"/>
  <c r="AJ4" i="5"/>
  <c r="C301" i="4"/>
  <c r="E322" i="4"/>
  <c r="D322" i="4"/>
  <c r="B68" i="27"/>
  <c r="B67" i="27"/>
  <c r="B71" i="27"/>
  <c r="B69" i="27"/>
  <c r="B66" i="27"/>
  <c r="B65" i="27"/>
  <c r="B64" i="27"/>
  <c r="B62" i="27"/>
  <c r="B61" i="27"/>
  <c r="B60" i="27"/>
  <c r="B54" i="27"/>
  <c r="B58" i="27"/>
  <c r="B55" i="27"/>
  <c r="B53" i="27"/>
  <c r="B52" i="27"/>
  <c r="B51" i="27"/>
  <c r="B50" i="27"/>
  <c r="B49" i="27"/>
  <c r="B48" i="27"/>
  <c r="B47" i="27"/>
  <c r="B46" i="27"/>
  <c r="B45" i="27"/>
  <c r="B44" i="27"/>
  <c r="C68" i="27"/>
  <c r="C67" i="27"/>
  <c r="C48" i="27"/>
  <c r="C71" i="27"/>
  <c r="C70" i="27"/>
  <c r="C69" i="27"/>
  <c r="C66" i="27"/>
  <c r="C65" i="27"/>
  <c r="C64" i="27"/>
  <c r="C62" i="27"/>
  <c r="C61" i="27"/>
  <c r="C60" i="27"/>
  <c r="C57" i="27"/>
  <c r="C54" i="27"/>
  <c r="C53" i="27"/>
  <c r="C50" i="27"/>
  <c r="C49" i="27"/>
  <c r="C58" i="27"/>
  <c r="C55" i="27"/>
  <c r="C52" i="27"/>
  <c r="C51" i="27"/>
  <c r="C47" i="27"/>
  <c r="C46" i="27"/>
  <c r="C45" i="27"/>
  <c r="C44" i="27"/>
  <c r="B35" i="27"/>
  <c r="B40" i="27"/>
  <c r="B39" i="27"/>
  <c r="B38" i="27"/>
  <c r="B31" i="27"/>
  <c r="B37" i="27"/>
  <c r="B36" i="27"/>
  <c r="B34" i="27"/>
  <c r="B28" i="27"/>
  <c r="B33" i="27"/>
  <c r="B32" i="27"/>
  <c r="B30" i="27"/>
  <c r="C40" i="27"/>
  <c r="C39" i="27"/>
  <c r="C38" i="27"/>
  <c r="C37" i="27"/>
  <c r="C36" i="27"/>
  <c r="C34" i="27"/>
  <c r="C33" i="27"/>
  <c r="C32" i="27"/>
  <c r="C35" i="27"/>
  <c r="C31" i="27"/>
  <c r="C28" i="27"/>
  <c r="C30" i="27"/>
  <c r="C26" i="27"/>
  <c r="C25" i="27"/>
  <c r="C24" i="27"/>
  <c r="C23" i="27"/>
  <c r="C22" i="27"/>
  <c r="C21" i="27"/>
  <c r="C20" i="27"/>
  <c r="C19" i="27"/>
  <c r="C18" i="27"/>
  <c r="C17" i="27"/>
  <c r="B18" i="27"/>
  <c r="B19" i="27"/>
  <c r="B20" i="27"/>
  <c r="B21" i="27"/>
  <c r="B22" i="27"/>
  <c r="B23" i="27"/>
  <c r="B24" i="27"/>
  <c r="B25" i="27"/>
  <c r="B26" i="27"/>
  <c r="B17" i="27"/>
  <c r="B15" i="27"/>
  <c r="B14" i="27"/>
  <c r="C15" i="27"/>
  <c r="C14" i="27"/>
  <c r="C28" i="12"/>
  <c r="E19" i="27"/>
  <c r="G19" i="27"/>
  <c r="E17" i="27"/>
  <c r="G17" i="27"/>
  <c r="E18" i="27"/>
  <c r="G18" i="27"/>
  <c r="E15" i="27"/>
  <c r="G15" i="27"/>
  <c r="E14" i="27"/>
  <c r="G14" i="27"/>
  <c r="E21" i="27"/>
  <c r="G21" i="27"/>
  <c r="E22" i="27"/>
  <c r="G22" i="27"/>
  <c r="E20" i="27"/>
  <c r="G20" i="27"/>
  <c r="E23" i="27"/>
  <c r="G23" i="27"/>
  <c r="E25" i="27"/>
  <c r="G25" i="27"/>
  <c r="E26" i="27"/>
  <c r="G26" i="27"/>
  <c r="E24" i="27"/>
  <c r="G24" i="27"/>
  <c r="E30" i="27"/>
  <c r="G30" i="27"/>
  <c r="E32" i="27"/>
  <c r="G32" i="27"/>
  <c r="E33" i="27"/>
  <c r="G33" i="27"/>
  <c r="E28" i="27"/>
  <c r="G28" i="27"/>
  <c r="E34" i="27"/>
  <c r="G34" i="27"/>
  <c r="E36" i="27"/>
  <c r="G36" i="27"/>
  <c r="E37" i="27"/>
  <c r="G37" i="27"/>
  <c r="E35" i="27"/>
  <c r="G35" i="27"/>
  <c r="E38" i="27"/>
  <c r="G38" i="27"/>
  <c r="E39" i="27"/>
  <c r="G39" i="27"/>
  <c r="E40" i="27"/>
  <c r="G40" i="27"/>
  <c r="E31" i="27"/>
  <c r="G31" i="27"/>
  <c r="E49" i="27"/>
  <c r="G49" i="27"/>
  <c r="E55" i="27"/>
  <c r="G55" i="27"/>
  <c r="G135" i="28"/>
  <c r="G56" i="27"/>
  <c r="G133" i="28" s="1"/>
  <c r="E54" i="27"/>
  <c r="G54" i="27"/>
  <c r="E57" i="27"/>
  <c r="G57" i="27"/>
  <c r="E50" i="27"/>
  <c r="G50" i="27"/>
  <c r="E69" i="27"/>
  <c r="G69" i="27"/>
  <c r="E70" i="27"/>
  <c r="G70" i="27"/>
  <c r="E71" i="27"/>
  <c r="G71" i="27"/>
  <c r="E67" i="27"/>
  <c r="G67" i="27"/>
  <c r="E66" i="27"/>
  <c r="G66" i="27"/>
  <c r="E68" i="27"/>
  <c r="G68" i="27"/>
  <c r="E53" i="27"/>
  <c r="G53" i="27"/>
  <c r="B34" i="22"/>
  <c r="B31" i="22"/>
  <c r="B85" i="16"/>
  <c r="B86" i="16"/>
  <c r="B87" i="16"/>
  <c r="B84" i="16"/>
  <c r="B80" i="16"/>
  <c r="B81" i="16"/>
  <c r="B82" i="16"/>
  <c r="B79" i="16"/>
  <c r="B32" i="26"/>
  <c r="O30" i="5" s="1"/>
  <c r="B33" i="26"/>
  <c r="O31" i="5" s="1"/>
  <c r="B34" i="26"/>
  <c r="O32" i="5" s="1"/>
  <c r="B30" i="26"/>
  <c r="O48" i="5" s="1"/>
  <c r="B28" i="26"/>
  <c r="O46" i="5" s="1"/>
  <c r="B31" i="26"/>
  <c r="C30" i="26"/>
  <c r="C29" i="26"/>
  <c r="B27" i="26"/>
  <c r="B29" i="26"/>
  <c r="C38" i="26"/>
  <c r="C40" i="26"/>
  <c r="C39" i="26"/>
  <c r="C37" i="26"/>
  <c r="C35" i="26"/>
  <c r="C36" i="26"/>
  <c r="C34" i="26"/>
  <c r="C33" i="26"/>
  <c r="C32" i="26"/>
  <c r="C31" i="26"/>
  <c r="C27" i="26"/>
  <c r="C28" i="26"/>
  <c r="B22" i="26"/>
  <c r="B23" i="26"/>
  <c r="B21" i="26"/>
  <c r="B20" i="26"/>
  <c r="B17" i="26"/>
  <c r="B18" i="26"/>
  <c r="B19" i="26"/>
  <c r="B16" i="26"/>
  <c r="B12" i="26"/>
  <c r="B13" i="26"/>
  <c r="B14" i="26"/>
  <c r="B15" i="26"/>
  <c r="B11" i="26"/>
  <c r="B10" i="26"/>
  <c r="C23" i="26"/>
  <c r="C22" i="26"/>
  <c r="C21" i="26"/>
  <c r="C19" i="26"/>
  <c r="C18" i="26"/>
  <c r="C17" i="26"/>
  <c r="C15" i="26"/>
  <c r="C14" i="26"/>
  <c r="C13" i="26"/>
  <c r="C12" i="26"/>
  <c r="C11" i="26"/>
  <c r="C20" i="26"/>
  <c r="C16" i="26"/>
  <c r="C10" i="26"/>
  <c r="E13" i="26"/>
  <c r="G13" i="26"/>
  <c r="E16" i="26"/>
  <c r="G16" i="26"/>
  <c r="E17" i="26"/>
  <c r="G17" i="26"/>
  <c r="E10" i="26"/>
  <c r="G10" i="26"/>
  <c r="E21" i="26"/>
  <c r="G21" i="26"/>
  <c r="E20" i="26"/>
  <c r="G20" i="26"/>
  <c r="E14" i="26"/>
  <c r="G14" i="26"/>
  <c r="E15" i="26"/>
  <c r="G15" i="26"/>
  <c r="E11" i="26"/>
  <c r="G11" i="26"/>
  <c r="E12" i="26"/>
  <c r="G12" i="26"/>
  <c r="E22" i="26"/>
  <c r="G22" i="26"/>
  <c r="E23" i="26"/>
  <c r="G23" i="26"/>
  <c r="E18" i="26"/>
  <c r="G18" i="26"/>
  <c r="E19" i="26"/>
  <c r="G19" i="26"/>
  <c r="G28" i="26"/>
  <c r="G29" i="26"/>
  <c r="G27" i="26"/>
  <c r="G30" i="26"/>
  <c r="G31" i="26"/>
  <c r="E33" i="26"/>
  <c r="G33" i="26"/>
  <c r="G32" i="26"/>
  <c r="E34" i="26"/>
  <c r="G34" i="26"/>
  <c r="E36" i="26"/>
  <c r="G36" i="26"/>
  <c r="E35" i="26"/>
  <c r="E37" i="26"/>
  <c r="G37" i="26"/>
  <c r="E39" i="26"/>
  <c r="G39" i="26"/>
  <c r="E40" i="26"/>
  <c r="G40" i="26"/>
  <c r="G38" i="26"/>
  <c r="G268" i="31" l="1"/>
  <c r="G112" i="30"/>
  <c r="G112" i="28"/>
  <c r="E268" i="31"/>
  <c r="E112" i="30"/>
  <c r="E112" i="28"/>
  <c r="G260" i="31"/>
  <c r="G111" i="30"/>
  <c r="G110" i="28"/>
  <c r="E260" i="31"/>
  <c r="E111" i="30"/>
  <c r="E110" i="28"/>
  <c r="E216" i="31"/>
  <c r="E109" i="30"/>
  <c r="E105" i="28"/>
  <c r="G193" i="31"/>
  <c r="G108" i="30"/>
  <c r="G103" i="28"/>
  <c r="E193" i="31"/>
  <c r="E108" i="30"/>
  <c r="E103" i="28"/>
  <c r="E145" i="31"/>
  <c r="E106" i="30"/>
  <c r="E98" i="28"/>
  <c r="G121" i="31"/>
  <c r="G105" i="30"/>
  <c r="G96" i="28"/>
  <c r="E121" i="31"/>
  <c r="E105" i="30"/>
  <c r="E96" i="28"/>
  <c r="G263" i="31"/>
  <c r="G413" i="30"/>
  <c r="G109" i="28"/>
  <c r="E263" i="31"/>
  <c r="E413" i="30"/>
  <c r="E109" i="28"/>
  <c r="G282" i="31"/>
  <c r="G415" i="30"/>
  <c r="G113" i="28"/>
  <c r="E282" i="31"/>
  <c r="E415" i="30"/>
  <c r="E113" i="28"/>
  <c r="G271" i="31"/>
  <c r="G414" i="30"/>
  <c r="G111" i="28"/>
  <c r="E271" i="31"/>
  <c r="E414" i="30"/>
  <c r="E111" i="28"/>
  <c r="E177" i="31"/>
  <c r="E409" i="30"/>
  <c r="E101" i="28"/>
  <c r="E223" i="31"/>
  <c r="E411" i="30"/>
  <c r="E106" i="28"/>
  <c r="E201" i="31"/>
  <c r="E410" i="30"/>
  <c r="E104" i="28"/>
  <c r="E64" i="31"/>
  <c r="E102" i="30"/>
  <c r="E92" i="28"/>
  <c r="E132" i="31"/>
  <c r="E407" i="30"/>
  <c r="E97" i="28"/>
  <c r="E113" i="31"/>
  <c r="E406" i="30"/>
  <c r="E94" i="28"/>
  <c r="O28" i="5"/>
  <c r="O29" i="5"/>
  <c r="O52" i="5"/>
  <c r="O51" i="5"/>
  <c r="O50" i="5"/>
  <c r="O55" i="5"/>
  <c r="O54" i="5"/>
  <c r="O53" i="5"/>
  <c r="O58" i="5"/>
  <c r="O57" i="5"/>
  <c r="O56" i="5"/>
  <c r="B335" i="31"/>
  <c r="K335" i="31" s="1"/>
  <c r="B209" i="30"/>
  <c r="K209" i="30" s="1"/>
  <c r="B410" i="31"/>
  <c r="K410" i="31" s="1"/>
  <c r="B212" i="30"/>
  <c r="K212" i="30" s="1"/>
  <c r="B386" i="31"/>
  <c r="K386" i="31" s="1"/>
  <c r="B211" i="30"/>
  <c r="K211" i="30" s="1"/>
  <c r="B362" i="31"/>
  <c r="K362" i="31" s="1"/>
  <c r="B210" i="30"/>
  <c r="K210" i="30" s="1"/>
  <c r="B493" i="31"/>
  <c r="K493" i="31" s="1"/>
  <c r="B215" i="30"/>
  <c r="K215" i="30" s="1"/>
  <c r="B556" i="31"/>
  <c r="K556" i="31" s="1"/>
  <c r="B218" i="30"/>
  <c r="K218" i="30" s="1"/>
  <c r="B532" i="31"/>
  <c r="K532" i="31" s="1"/>
  <c r="B217" i="30"/>
  <c r="K217" i="30" s="1"/>
  <c r="B508" i="31"/>
  <c r="K508" i="31" s="1"/>
  <c r="B216" i="30"/>
  <c r="K216" i="30" s="1"/>
  <c r="T33" i="5"/>
  <c r="B426" i="31"/>
  <c r="K426" i="31" s="1"/>
  <c r="B213" i="30"/>
  <c r="K213" i="30" s="1"/>
  <c r="B511" i="28"/>
  <c r="T34" i="5"/>
  <c r="B455" i="31"/>
  <c r="K455" i="31" s="1"/>
  <c r="B214" i="30"/>
  <c r="K214" i="30" s="1"/>
  <c r="B512" i="28"/>
  <c r="C478" i="31"/>
  <c r="C424" i="30"/>
  <c r="C173" i="28"/>
  <c r="C40" i="31"/>
  <c r="C101" i="30"/>
  <c r="C90" i="28"/>
  <c r="C64" i="31"/>
  <c r="C102" i="30"/>
  <c r="C92" i="28"/>
  <c r="I7" i="5"/>
  <c r="B40" i="31"/>
  <c r="K40" i="31" s="1"/>
  <c r="B101" i="30"/>
  <c r="K101" i="30" s="1"/>
  <c r="B90" i="28"/>
  <c r="I8" i="5"/>
  <c r="B64" i="31"/>
  <c r="K64" i="31" s="1"/>
  <c r="B102" i="30"/>
  <c r="K102" i="30" s="1"/>
  <c r="B92" i="28"/>
  <c r="J10" i="5"/>
  <c r="B113" i="31"/>
  <c r="K113" i="31" s="1"/>
  <c r="B406" i="30"/>
  <c r="K406" i="30" s="1"/>
  <c r="B94" i="28"/>
  <c r="J19" i="5"/>
  <c r="B282" i="31"/>
  <c r="K282" i="31" s="1"/>
  <c r="B415" i="30"/>
  <c r="K415" i="30" s="1"/>
  <c r="B113" i="28"/>
  <c r="J18" i="5"/>
  <c r="B271" i="31"/>
  <c r="K271" i="31" s="1"/>
  <c r="B414" i="30"/>
  <c r="K414" i="30" s="1"/>
  <c r="B111" i="28"/>
  <c r="J17" i="5"/>
  <c r="B263" i="31"/>
  <c r="K263" i="31" s="1"/>
  <c r="B413" i="30"/>
  <c r="K413" i="30" s="1"/>
  <c r="B109" i="28"/>
  <c r="J16" i="5"/>
  <c r="B244" i="31"/>
  <c r="K244" i="31" s="1"/>
  <c r="B412" i="30"/>
  <c r="K412" i="30" s="1"/>
  <c r="B107" i="28"/>
  <c r="J15" i="5"/>
  <c r="B223" i="31"/>
  <c r="K223" i="31" s="1"/>
  <c r="B411" i="30"/>
  <c r="K411" i="30" s="1"/>
  <c r="B106" i="28"/>
  <c r="J14" i="5"/>
  <c r="B201" i="31"/>
  <c r="K201" i="31" s="1"/>
  <c r="B410" i="30"/>
  <c r="K410" i="30" s="1"/>
  <c r="B104" i="28"/>
  <c r="J13" i="5"/>
  <c r="B177" i="31"/>
  <c r="K177" i="31" s="1"/>
  <c r="B409" i="30"/>
  <c r="K409" i="30" s="1"/>
  <c r="B101" i="28"/>
  <c r="J12" i="5"/>
  <c r="B152" i="31"/>
  <c r="K152" i="31" s="1"/>
  <c r="B408" i="30"/>
  <c r="K408" i="30" s="1"/>
  <c r="B99" i="28"/>
  <c r="J11" i="5"/>
  <c r="B132" i="31"/>
  <c r="K132" i="31" s="1"/>
  <c r="B407" i="30"/>
  <c r="K407" i="30" s="1"/>
  <c r="B97" i="28"/>
  <c r="C113" i="31"/>
  <c r="C406" i="30"/>
  <c r="C94" i="28"/>
  <c r="C132" i="31"/>
  <c r="C407" i="30"/>
  <c r="C97" i="28"/>
  <c r="C152" i="31"/>
  <c r="C408" i="30"/>
  <c r="C99" i="28"/>
  <c r="C177" i="31"/>
  <c r="C409" i="30"/>
  <c r="C101" i="28"/>
  <c r="C201" i="31"/>
  <c r="C410" i="30"/>
  <c r="C104" i="28"/>
  <c r="C223" i="31"/>
  <c r="C411" i="30"/>
  <c r="C106" i="28"/>
  <c r="C244" i="31"/>
  <c r="C412" i="30"/>
  <c r="C107" i="28"/>
  <c r="C263" i="31"/>
  <c r="C413" i="30"/>
  <c r="C109" i="28"/>
  <c r="C271" i="31"/>
  <c r="C414" i="30"/>
  <c r="C111" i="28"/>
  <c r="C282" i="31"/>
  <c r="C415" i="30"/>
  <c r="C113" i="28"/>
  <c r="C106" i="31"/>
  <c r="C104" i="30"/>
  <c r="C93" i="28"/>
  <c r="C46" i="31"/>
  <c r="C479" i="30"/>
  <c r="C91" i="28"/>
  <c r="C114" i="31"/>
  <c r="C482" i="30"/>
  <c r="C95" i="28"/>
  <c r="C178" i="31"/>
  <c r="C485" i="30"/>
  <c r="C102" i="28"/>
  <c r="C121" i="31"/>
  <c r="C105" i="30"/>
  <c r="C96" i="28"/>
  <c r="C145" i="31"/>
  <c r="C106" i="30"/>
  <c r="C98" i="28"/>
  <c r="C170" i="31"/>
  <c r="C107" i="30"/>
  <c r="C100" i="28"/>
  <c r="C193" i="31"/>
  <c r="C108" i="30"/>
  <c r="C103" i="28"/>
  <c r="C216" i="31"/>
  <c r="C109" i="30"/>
  <c r="C105" i="28"/>
  <c r="C239" i="31"/>
  <c r="C110" i="30"/>
  <c r="C108" i="28"/>
  <c r="C260" i="31"/>
  <c r="C111" i="30"/>
  <c r="C110" i="28"/>
  <c r="C268" i="31"/>
  <c r="C112" i="30"/>
  <c r="C112" i="28"/>
  <c r="I10" i="5"/>
  <c r="B106" i="31"/>
  <c r="K106" i="31" s="1"/>
  <c r="B104" i="30"/>
  <c r="K104" i="30" s="1"/>
  <c r="B93" i="28"/>
  <c r="I11" i="5"/>
  <c r="B121" i="31"/>
  <c r="K121" i="31" s="1"/>
  <c r="B105" i="30"/>
  <c r="K105" i="30" s="1"/>
  <c r="B96" i="28"/>
  <c r="I12" i="5"/>
  <c r="B145" i="31"/>
  <c r="K145" i="31" s="1"/>
  <c r="B106" i="30"/>
  <c r="K106" i="30" s="1"/>
  <c r="B98" i="28"/>
  <c r="G7" i="5"/>
  <c r="B46" i="31"/>
  <c r="K46" i="31" s="1"/>
  <c r="B479" i="30"/>
  <c r="K479" i="30" s="1"/>
  <c r="B91" i="28"/>
  <c r="I13" i="5"/>
  <c r="B170" i="31"/>
  <c r="K170" i="31" s="1"/>
  <c r="B107" i="30"/>
  <c r="K107" i="30" s="1"/>
  <c r="B100" i="28"/>
  <c r="I14" i="5"/>
  <c r="B193" i="31"/>
  <c r="K193" i="31" s="1"/>
  <c r="B108" i="30"/>
  <c r="K108" i="30" s="1"/>
  <c r="B103" i="28"/>
  <c r="I15" i="5"/>
  <c r="B216" i="31"/>
  <c r="K216" i="31" s="1"/>
  <c r="B109" i="30"/>
  <c r="K109" i="30" s="1"/>
  <c r="B105" i="28"/>
  <c r="G10" i="5"/>
  <c r="B114" i="31"/>
  <c r="K114" i="31" s="1"/>
  <c r="B482" i="30"/>
  <c r="K482" i="30" s="1"/>
  <c r="B95" i="28"/>
  <c r="I16" i="5"/>
  <c r="B239" i="31"/>
  <c r="K239" i="31" s="1"/>
  <c r="B110" i="30"/>
  <c r="K110" i="30" s="1"/>
  <c r="B108" i="28"/>
  <c r="I17" i="5"/>
  <c r="B260" i="31"/>
  <c r="K260" i="31" s="1"/>
  <c r="B111" i="30"/>
  <c r="K111" i="30" s="1"/>
  <c r="B110" i="28"/>
  <c r="I18" i="5"/>
  <c r="B268" i="31"/>
  <c r="K268" i="31" s="1"/>
  <c r="B112" i="30"/>
  <c r="K112" i="30" s="1"/>
  <c r="B112" i="28"/>
  <c r="G13" i="5"/>
  <c r="B178" i="31"/>
  <c r="K178" i="31" s="1"/>
  <c r="B485" i="30"/>
  <c r="K485" i="30" s="1"/>
  <c r="B102" i="28"/>
  <c r="C309" i="31"/>
  <c r="C113" i="30"/>
  <c r="C114" i="28"/>
  <c r="C333" i="31"/>
  <c r="C114" i="30"/>
  <c r="C116" i="28"/>
  <c r="C360" i="31"/>
  <c r="C115" i="30"/>
  <c r="C117" i="28"/>
  <c r="C384" i="31"/>
  <c r="C116" i="30"/>
  <c r="C120" i="28"/>
  <c r="C472" i="31"/>
  <c r="C120" i="30"/>
  <c r="C124" i="28"/>
  <c r="C497" i="31"/>
  <c r="C121" i="30"/>
  <c r="C126" i="28"/>
  <c r="C546" i="31"/>
  <c r="C123" i="30"/>
  <c r="C131" i="28"/>
  <c r="C568" i="31"/>
  <c r="C124" i="30"/>
  <c r="C135" i="28"/>
  <c r="C548" i="31"/>
  <c r="C260" i="30"/>
  <c r="C133" i="28"/>
  <c r="C423" i="31"/>
  <c r="C118" i="30"/>
  <c r="C122" i="28"/>
  <c r="C447" i="31"/>
  <c r="C119" i="30"/>
  <c r="C123" i="28"/>
  <c r="C522" i="31"/>
  <c r="C122" i="30"/>
  <c r="C128" i="28"/>
  <c r="C530" i="31"/>
  <c r="C194" i="30"/>
  <c r="C129" i="28"/>
  <c r="C555" i="31"/>
  <c r="C195" i="30"/>
  <c r="C134" i="28"/>
  <c r="C340" i="31"/>
  <c r="C418" i="30"/>
  <c r="C115" i="28"/>
  <c r="C367" i="31"/>
  <c r="C419" i="30"/>
  <c r="C118" i="28"/>
  <c r="C391" i="31"/>
  <c r="C420" i="30"/>
  <c r="C119" i="28"/>
  <c r="C503" i="31"/>
  <c r="C425" i="30"/>
  <c r="C125" i="28"/>
  <c r="C528" i="31"/>
  <c r="C426" i="30"/>
  <c r="C127" i="28"/>
  <c r="C552" i="31"/>
  <c r="C427" i="30"/>
  <c r="C130" i="28"/>
  <c r="C572" i="31"/>
  <c r="C429" i="30"/>
  <c r="C136" i="28"/>
  <c r="C571" i="31"/>
  <c r="C428" i="30"/>
  <c r="C139" i="28"/>
  <c r="C574" i="31"/>
  <c r="C52" i="30"/>
  <c r="C138" i="28"/>
  <c r="C408" i="31"/>
  <c r="C117" i="30"/>
  <c r="C121" i="28"/>
  <c r="C544" i="31"/>
  <c r="C50" i="30"/>
  <c r="C30" i="29"/>
  <c r="C132" i="28"/>
  <c r="C566" i="31"/>
  <c r="C51" i="30"/>
  <c r="C31" i="29"/>
  <c r="C137" i="28"/>
  <c r="I28" i="5"/>
  <c r="B309" i="31"/>
  <c r="K309" i="31" s="1"/>
  <c r="B113" i="30"/>
  <c r="K113" i="30" s="1"/>
  <c r="B114" i="28"/>
  <c r="I29" i="5"/>
  <c r="B333" i="31"/>
  <c r="K333" i="31" s="1"/>
  <c r="B114" i="30"/>
  <c r="K114" i="30" s="1"/>
  <c r="B116" i="28"/>
  <c r="I30" i="5"/>
  <c r="B360" i="31"/>
  <c r="K360" i="31" s="1"/>
  <c r="B115" i="30"/>
  <c r="K115" i="30" s="1"/>
  <c r="B117" i="28"/>
  <c r="I31" i="5"/>
  <c r="B384" i="31"/>
  <c r="K384" i="31" s="1"/>
  <c r="B116" i="30"/>
  <c r="K116" i="30" s="1"/>
  <c r="B120" i="28"/>
  <c r="I32" i="5"/>
  <c r="B408" i="31"/>
  <c r="K408" i="31" s="1"/>
  <c r="B117" i="30"/>
  <c r="K117" i="30" s="1"/>
  <c r="B121" i="28"/>
  <c r="I33" i="5"/>
  <c r="B423" i="31"/>
  <c r="K423" i="31" s="1"/>
  <c r="B118" i="30"/>
  <c r="K118" i="30" s="1"/>
  <c r="B122" i="28"/>
  <c r="I34" i="5"/>
  <c r="B447" i="31"/>
  <c r="K447" i="31" s="1"/>
  <c r="B119" i="30"/>
  <c r="K119" i="30" s="1"/>
  <c r="B123" i="28"/>
  <c r="I35" i="5"/>
  <c r="B472" i="31"/>
  <c r="K472" i="31" s="1"/>
  <c r="B120" i="30"/>
  <c r="K120" i="30" s="1"/>
  <c r="B124" i="28"/>
  <c r="I36" i="5"/>
  <c r="B497" i="31"/>
  <c r="K497" i="31" s="1"/>
  <c r="B121" i="30"/>
  <c r="K121" i="30" s="1"/>
  <c r="B126" i="28"/>
  <c r="I37" i="5"/>
  <c r="B522" i="31"/>
  <c r="K522" i="31" s="1"/>
  <c r="B122" i="30"/>
  <c r="K122" i="30" s="1"/>
  <c r="B128" i="28"/>
  <c r="I38" i="5"/>
  <c r="B546" i="31"/>
  <c r="K546" i="31" s="1"/>
  <c r="B123" i="30"/>
  <c r="K123" i="30" s="1"/>
  <c r="B131" i="28"/>
  <c r="I39" i="5"/>
  <c r="B568" i="31"/>
  <c r="K568" i="31" s="1"/>
  <c r="B124" i="30"/>
  <c r="K124" i="30" s="1"/>
  <c r="B135" i="28"/>
  <c r="Q38" i="5"/>
  <c r="B548" i="31"/>
  <c r="K548" i="31" s="1"/>
  <c r="B260" i="30"/>
  <c r="K260" i="30" s="1"/>
  <c r="B133" i="28"/>
  <c r="D38" i="5"/>
  <c r="B530" i="31"/>
  <c r="K530" i="31" s="1"/>
  <c r="B194" i="30"/>
  <c r="K194" i="30" s="1"/>
  <c r="B129" i="28"/>
  <c r="J29" i="5"/>
  <c r="B340" i="31"/>
  <c r="K340" i="31" s="1"/>
  <c r="B418" i="30"/>
  <c r="K418" i="30" s="1"/>
  <c r="B115" i="28"/>
  <c r="J30" i="5"/>
  <c r="B367" i="31"/>
  <c r="K367" i="31" s="1"/>
  <c r="B419" i="30"/>
  <c r="K419" i="30" s="1"/>
  <c r="B118" i="28"/>
  <c r="J31" i="5"/>
  <c r="B391" i="31"/>
  <c r="K391" i="31" s="1"/>
  <c r="B420" i="30"/>
  <c r="K420" i="30" s="1"/>
  <c r="B119" i="28"/>
  <c r="J36" i="5"/>
  <c r="B503" i="31"/>
  <c r="K503" i="31" s="1"/>
  <c r="B425" i="30"/>
  <c r="K425" i="30" s="1"/>
  <c r="B125" i="28"/>
  <c r="J37" i="5"/>
  <c r="B528" i="31"/>
  <c r="K528" i="31" s="1"/>
  <c r="B426" i="30"/>
  <c r="K426" i="30" s="1"/>
  <c r="B127" i="28"/>
  <c r="J38" i="5"/>
  <c r="B552" i="31"/>
  <c r="K552" i="31" s="1"/>
  <c r="B427" i="30"/>
  <c r="K427" i="30" s="1"/>
  <c r="B130" i="28"/>
  <c r="J39" i="5"/>
  <c r="B572" i="31"/>
  <c r="K572" i="31" s="1"/>
  <c r="B429" i="30"/>
  <c r="K429" i="30" s="1"/>
  <c r="B136" i="28"/>
  <c r="J40" i="5"/>
  <c r="B571" i="31"/>
  <c r="K571" i="31" s="1"/>
  <c r="B428" i="30"/>
  <c r="K428" i="30" s="1"/>
  <c r="B139" i="28"/>
  <c r="H40" i="5"/>
  <c r="B574" i="31"/>
  <c r="K574" i="31" s="1"/>
  <c r="B52" i="30"/>
  <c r="K52" i="30" s="1"/>
  <c r="B138" i="28"/>
  <c r="H38" i="5"/>
  <c r="B544" i="31"/>
  <c r="K544" i="31" s="1"/>
  <c r="B50" i="30"/>
  <c r="K50" i="30" s="1"/>
  <c r="B30" i="29"/>
  <c r="B132" i="28"/>
  <c r="H39" i="5"/>
  <c r="B566" i="31"/>
  <c r="K566" i="31" s="1"/>
  <c r="B51" i="30"/>
  <c r="K51" i="30" s="1"/>
  <c r="B31" i="29"/>
  <c r="B137" i="28"/>
  <c r="C51" i="31"/>
  <c r="C220" i="30"/>
  <c r="C364" i="28"/>
  <c r="C27" i="31"/>
  <c r="C219" i="30"/>
  <c r="C362" i="28"/>
  <c r="C10" i="31"/>
  <c r="C360" i="30"/>
  <c r="C360" i="28"/>
  <c r="K90" i="28"/>
  <c r="K92" i="28"/>
  <c r="K94" i="28"/>
  <c r="K97" i="28"/>
  <c r="K99" i="28"/>
  <c r="K101" i="28"/>
  <c r="K104" i="28"/>
  <c r="K106" i="28"/>
  <c r="K107" i="28"/>
  <c r="K109" i="28"/>
  <c r="K111" i="28"/>
  <c r="K113" i="28"/>
  <c r="K91" i="28"/>
  <c r="K93" i="28"/>
  <c r="K95" i="28"/>
  <c r="K96" i="28"/>
  <c r="K98" i="28"/>
  <c r="K100" i="28"/>
  <c r="K102" i="28"/>
  <c r="K103" i="28"/>
  <c r="K105" i="28"/>
  <c r="K108" i="28"/>
  <c r="K110" i="28"/>
  <c r="K112" i="28"/>
  <c r="K114" i="28"/>
  <c r="K116" i="28"/>
  <c r="K117" i="28"/>
  <c r="K120" i="28"/>
  <c r="K121" i="28"/>
  <c r="K122" i="28"/>
  <c r="K123" i="28"/>
  <c r="K124" i="28"/>
  <c r="K126" i="28"/>
  <c r="K128" i="28"/>
  <c r="K129" i="28"/>
  <c r="K131" i="28"/>
  <c r="K135" i="28"/>
  <c r="K133" i="28"/>
  <c r="K115" i="28"/>
  <c r="K118" i="28"/>
  <c r="K119" i="28"/>
  <c r="K125" i="28"/>
  <c r="K127" i="28"/>
  <c r="K130" i="28"/>
  <c r="K132" i="28"/>
  <c r="K137" i="28"/>
  <c r="K136" i="28"/>
  <c r="K139" i="28"/>
  <c r="K138" i="28"/>
  <c r="K511" i="28"/>
  <c r="K512" i="28"/>
  <c r="B549" i="31"/>
  <c r="K549" i="31" s="1"/>
  <c r="B295" i="30"/>
  <c r="K295" i="30" s="1"/>
  <c r="B525" i="31"/>
  <c r="K525" i="31" s="1"/>
  <c r="B294" i="30"/>
  <c r="K294" i="30" s="1"/>
  <c r="B500" i="31"/>
  <c r="K500" i="31" s="1"/>
  <c r="B293" i="30"/>
  <c r="K293" i="30" s="1"/>
  <c r="B475" i="31"/>
  <c r="K475" i="31" s="1"/>
  <c r="B292" i="30"/>
  <c r="K292" i="30" s="1"/>
  <c r="B450" i="31"/>
  <c r="K450" i="31" s="1"/>
  <c r="B291" i="30"/>
  <c r="K291" i="30" s="1"/>
  <c r="B429" i="31"/>
  <c r="K429" i="31" s="1"/>
  <c r="B290" i="30"/>
  <c r="K290" i="30" s="1"/>
  <c r="B412" i="31"/>
  <c r="K412" i="31" s="1"/>
  <c r="B289" i="30"/>
  <c r="K289" i="30" s="1"/>
  <c r="G548" i="31"/>
  <c r="G260" i="30"/>
  <c r="G568" i="31"/>
  <c r="G124" i="30"/>
  <c r="E522" i="31"/>
  <c r="E122" i="30"/>
  <c r="E128" i="28"/>
  <c r="E552" i="31"/>
  <c r="E427" i="30"/>
  <c r="E130" i="28"/>
  <c r="G170" i="31"/>
  <c r="G107" i="30"/>
  <c r="G100" i="28"/>
  <c r="G106" i="31"/>
  <c r="G104" i="30"/>
  <c r="G93" i="28"/>
  <c r="E574" i="31"/>
  <c r="E52" i="30"/>
  <c r="E138" i="28"/>
  <c r="E571" i="31"/>
  <c r="E428" i="30"/>
  <c r="E139" i="28"/>
  <c r="G239" i="31"/>
  <c r="G110" i="30"/>
  <c r="G108" i="28"/>
  <c r="E170" i="31"/>
  <c r="E107" i="30"/>
  <c r="E100" i="28"/>
  <c r="E572" i="31"/>
  <c r="E429" i="30"/>
  <c r="E136" i="28"/>
  <c r="E447" i="31"/>
  <c r="E119" i="30"/>
  <c r="E123" i="28"/>
  <c r="E239" i="31"/>
  <c r="E110" i="30"/>
  <c r="E108" i="28"/>
  <c r="E106" i="31"/>
  <c r="E104" i="30"/>
  <c r="E93" i="28"/>
  <c r="E555" i="31"/>
  <c r="E195" i="30"/>
  <c r="E134" i="28"/>
  <c r="E530" i="31"/>
  <c r="E194" i="30"/>
  <c r="E129" i="28"/>
  <c r="G244" i="31"/>
  <c r="G412" i="30"/>
  <c r="G107" i="28"/>
  <c r="G152" i="31"/>
  <c r="G408" i="30"/>
  <c r="G99" i="28"/>
  <c r="E548" i="31"/>
  <c r="E260" i="30"/>
  <c r="E568" i="31"/>
  <c r="E124" i="30"/>
  <c r="E244" i="31"/>
  <c r="E412" i="30"/>
  <c r="E107" i="28"/>
  <c r="G40" i="31"/>
  <c r="G101" i="30"/>
  <c r="G90" i="28"/>
  <c r="G467" i="31"/>
  <c r="G191" i="30"/>
  <c r="G442" i="31"/>
  <c r="G190" i="30"/>
  <c r="G468" i="31"/>
  <c r="G472" i="30"/>
  <c r="G443" i="31"/>
  <c r="G471" i="30"/>
  <c r="G216" i="31"/>
  <c r="G109" i="30"/>
  <c r="G105" i="28"/>
  <c r="G145" i="31"/>
  <c r="G106" i="30"/>
  <c r="G98" i="28"/>
  <c r="E437" i="31"/>
  <c r="E498" i="30"/>
  <c r="G555" i="31"/>
  <c r="G195" i="30"/>
  <c r="G134" i="28"/>
  <c r="G530" i="31"/>
  <c r="G194" i="30"/>
  <c r="G129" i="28"/>
  <c r="G223" i="31"/>
  <c r="G411" i="30"/>
  <c r="G106" i="28"/>
  <c r="G132" i="31"/>
  <c r="G407" i="30"/>
  <c r="G97" i="28"/>
  <c r="G201" i="31"/>
  <c r="G410" i="30"/>
  <c r="G104" i="28"/>
  <c r="G113" i="31"/>
  <c r="G406" i="30"/>
  <c r="G94" i="28"/>
  <c r="E467" i="31"/>
  <c r="E191" i="30"/>
  <c r="E442" i="31"/>
  <c r="E190" i="30"/>
  <c r="G501" i="31"/>
  <c r="G333" i="30"/>
  <c r="G476" i="31"/>
  <c r="G332" i="30"/>
  <c r="E431" i="31"/>
  <c r="E330" i="30"/>
  <c r="G451" i="31"/>
  <c r="G331" i="30"/>
  <c r="E413" i="31"/>
  <c r="E329" i="30"/>
  <c r="G365" i="31"/>
  <c r="G327" i="30"/>
  <c r="E389" i="31"/>
  <c r="E328" i="30"/>
  <c r="G296" i="31"/>
  <c r="G324" i="30"/>
  <c r="G149" i="31"/>
  <c r="G280" i="30"/>
  <c r="E149" i="31"/>
  <c r="E280" i="30"/>
  <c r="G127" i="31"/>
  <c r="G279" i="30"/>
  <c r="E127" i="31"/>
  <c r="E279" i="30"/>
  <c r="G220" i="31"/>
  <c r="G283" i="30"/>
  <c r="E220" i="31"/>
  <c r="E283" i="30"/>
  <c r="G197" i="31"/>
  <c r="G282" i="30"/>
  <c r="E197" i="31"/>
  <c r="E282" i="30"/>
  <c r="G23" i="31"/>
  <c r="G274" i="30"/>
  <c r="G178" i="28"/>
  <c r="E23" i="31"/>
  <c r="E274" i="30"/>
  <c r="E178" i="28"/>
  <c r="G7" i="31"/>
  <c r="G273" i="30"/>
  <c r="G176" i="28"/>
  <c r="E7" i="31"/>
  <c r="E273" i="30"/>
  <c r="E176" i="28"/>
  <c r="G89" i="31"/>
  <c r="G277" i="30"/>
  <c r="G181" i="28"/>
  <c r="E89" i="31"/>
  <c r="E277" i="30"/>
  <c r="E181" i="28"/>
  <c r="G68" i="31"/>
  <c r="G276" i="30"/>
  <c r="G180" i="28"/>
  <c r="E68" i="31"/>
  <c r="E276" i="30"/>
  <c r="E180" i="28"/>
  <c r="G175" i="31"/>
  <c r="G320" i="30"/>
  <c r="G187" i="28"/>
  <c r="E175" i="31"/>
  <c r="E320" i="30"/>
  <c r="E187" i="28"/>
  <c r="G174" i="31"/>
  <c r="G281" i="30"/>
  <c r="G186" i="28"/>
  <c r="E8" i="31"/>
  <c r="E312" i="30"/>
  <c r="E177" i="28"/>
  <c r="G90" i="31"/>
  <c r="G316" i="30"/>
  <c r="G182" i="28"/>
  <c r="G44" i="31"/>
  <c r="G275" i="30"/>
  <c r="G179" i="28"/>
  <c r="C8" i="31"/>
  <c r="C312" i="30"/>
  <c r="C177" i="28"/>
  <c r="C90" i="31"/>
  <c r="C316" i="30"/>
  <c r="C182" i="28"/>
  <c r="C175" i="31"/>
  <c r="C320" i="30"/>
  <c r="C187" i="28"/>
  <c r="C7" i="31"/>
  <c r="C273" i="30"/>
  <c r="C176" i="28"/>
  <c r="C23" i="31"/>
  <c r="C274" i="30"/>
  <c r="C178" i="28"/>
  <c r="C44" i="31"/>
  <c r="C275" i="30"/>
  <c r="C179" i="28"/>
  <c r="C68" i="31"/>
  <c r="C276" i="30"/>
  <c r="C180" i="28"/>
  <c r="C89" i="31"/>
  <c r="C277" i="30"/>
  <c r="C181" i="28"/>
  <c r="C110" i="31"/>
  <c r="C278" i="30"/>
  <c r="C183" i="28"/>
  <c r="C127" i="31"/>
  <c r="C279" i="30"/>
  <c r="C184" i="28"/>
  <c r="C149" i="31"/>
  <c r="C280" i="30"/>
  <c r="C185" i="28"/>
  <c r="C174" i="31"/>
  <c r="C281" i="30"/>
  <c r="C186" i="28"/>
  <c r="C197" i="31"/>
  <c r="C282" i="30"/>
  <c r="C188" i="28"/>
  <c r="C220" i="31"/>
  <c r="C283" i="30"/>
  <c r="C189" i="28"/>
  <c r="O5" i="5"/>
  <c r="B8" i="31"/>
  <c r="K8" i="31" s="1"/>
  <c r="B312" i="30"/>
  <c r="K312" i="30" s="1"/>
  <c r="B177" i="28"/>
  <c r="P5" i="5"/>
  <c r="B7" i="31"/>
  <c r="K7" i="31" s="1"/>
  <c r="B273" i="30"/>
  <c r="K273" i="30" s="1"/>
  <c r="B176" i="28"/>
  <c r="P9" i="5"/>
  <c r="B89" i="31"/>
  <c r="K89" i="31" s="1"/>
  <c r="B277" i="30"/>
  <c r="K277" i="30" s="1"/>
  <c r="B181" i="28"/>
  <c r="P8" i="5"/>
  <c r="B68" i="31"/>
  <c r="K68" i="31" s="1"/>
  <c r="B276" i="30"/>
  <c r="K276" i="30" s="1"/>
  <c r="B180" i="28"/>
  <c r="P7" i="5"/>
  <c r="B44" i="31"/>
  <c r="K44" i="31" s="1"/>
  <c r="B275" i="30"/>
  <c r="K275" i="30" s="1"/>
  <c r="B179" i="28"/>
  <c r="P6" i="5"/>
  <c r="B23" i="31"/>
  <c r="K23" i="31" s="1"/>
  <c r="B274" i="30"/>
  <c r="K274" i="30" s="1"/>
  <c r="B178" i="28"/>
  <c r="O9" i="5"/>
  <c r="B90" i="31"/>
  <c r="K90" i="31" s="1"/>
  <c r="B316" i="30"/>
  <c r="K316" i="30" s="1"/>
  <c r="B182" i="28"/>
  <c r="P12" i="5"/>
  <c r="B149" i="31"/>
  <c r="K149" i="31" s="1"/>
  <c r="B280" i="30"/>
  <c r="K280" i="30" s="1"/>
  <c r="B185" i="28"/>
  <c r="P11" i="5"/>
  <c r="B127" i="31"/>
  <c r="K127" i="31" s="1"/>
  <c r="B279" i="30"/>
  <c r="K279" i="30" s="1"/>
  <c r="B184" i="28"/>
  <c r="P10" i="5"/>
  <c r="B110" i="31"/>
  <c r="K110" i="31" s="1"/>
  <c r="B278" i="30"/>
  <c r="K278" i="30" s="1"/>
  <c r="B183" i="28"/>
  <c r="O13" i="5"/>
  <c r="B175" i="31"/>
  <c r="K175" i="31" s="1"/>
  <c r="B320" i="30"/>
  <c r="K320" i="30" s="1"/>
  <c r="B187" i="28"/>
  <c r="P13" i="5"/>
  <c r="B174" i="31"/>
  <c r="K174" i="31" s="1"/>
  <c r="B281" i="30"/>
  <c r="K281" i="30" s="1"/>
  <c r="B186" i="28"/>
  <c r="P15" i="5"/>
  <c r="B220" i="31"/>
  <c r="K220" i="31" s="1"/>
  <c r="B283" i="30"/>
  <c r="K283" i="30" s="1"/>
  <c r="B189" i="28"/>
  <c r="P14" i="5"/>
  <c r="B197" i="31"/>
  <c r="K197" i="31" s="1"/>
  <c r="B282" i="30"/>
  <c r="K282" i="30" s="1"/>
  <c r="B188" i="28"/>
  <c r="C293" i="31"/>
  <c r="C207" i="30"/>
  <c r="C190" i="28"/>
  <c r="C296" i="31"/>
  <c r="C324" i="30"/>
  <c r="C191" i="28"/>
  <c r="C338" i="31"/>
  <c r="C326" i="30"/>
  <c r="C194" i="28"/>
  <c r="C365" i="31"/>
  <c r="C327" i="30"/>
  <c r="C195" i="28"/>
  <c r="C389" i="31"/>
  <c r="C328" i="30"/>
  <c r="C196" i="28"/>
  <c r="C413" i="31"/>
  <c r="C329" i="30"/>
  <c r="C197" i="28"/>
  <c r="C451" i="31"/>
  <c r="C331" i="30"/>
  <c r="C199" i="28"/>
  <c r="C431" i="31"/>
  <c r="C330" i="30"/>
  <c r="C198" i="28"/>
  <c r="C476" i="31"/>
  <c r="C332" i="30"/>
  <c r="C200" i="28"/>
  <c r="C526" i="31"/>
  <c r="C334" i="30"/>
  <c r="C45" i="29"/>
  <c r="C202" i="28"/>
  <c r="C550" i="31"/>
  <c r="C335" i="30"/>
  <c r="C46" i="29"/>
  <c r="C203" i="28"/>
  <c r="C501" i="31"/>
  <c r="C333" i="30"/>
  <c r="C201" i="28"/>
  <c r="B314" i="31"/>
  <c r="K314" i="31" s="1"/>
  <c r="B325" i="30"/>
  <c r="K325" i="30" s="1"/>
  <c r="B193" i="28"/>
  <c r="O27" i="5"/>
  <c r="B296" i="31"/>
  <c r="K296" i="31" s="1"/>
  <c r="B324" i="30"/>
  <c r="K324" i="30" s="1"/>
  <c r="B191" i="28"/>
  <c r="C314" i="31"/>
  <c r="C325" i="30"/>
  <c r="C193" i="28"/>
  <c r="C311" i="31"/>
  <c r="C208" i="30"/>
  <c r="C192" i="28"/>
  <c r="B338" i="31"/>
  <c r="K338" i="31" s="1"/>
  <c r="B326" i="30"/>
  <c r="K326" i="30" s="1"/>
  <c r="B194" i="28"/>
  <c r="T27" i="5"/>
  <c r="B293" i="31"/>
  <c r="K293" i="31" s="1"/>
  <c r="B207" i="30"/>
  <c r="K207" i="30" s="1"/>
  <c r="B190" i="28"/>
  <c r="T28" i="5"/>
  <c r="B311" i="31"/>
  <c r="K311" i="31" s="1"/>
  <c r="B208" i="30"/>
  <c r="K208" i="30" s="1"/>
  <c r="B192" i="28"/>
  <c r="B501" i="31"/>
  <c r="K501" i="31" s="1"/>
  <c r="B333" i="30"/>
  <c r="K333" i="30" s="1"/>
  <c r="B201" i="28"/>
  <c r="B550" i="31"/>
  <c r="K550" i="31" s="1"/>
  <c r="B335" i="30"/>
  <c r="K335" i="30" s="1"/>
  <c r="B46" i="29"/>
  <c r="B203" i="28"/>
  <c r="B526" i="31"/>
  <c r="K526" i="31" s="1"/>
  <c r="B334" i="30"/>
  <c r="K334" i="30" s="1"/>
  <c r="B45" i="29"/>
  <c r="B202" i="28"/>
  <c r="B476" i="31"/>
  <c r="K476" i="31" s="1"/>
  <c r="B332" i="30"/>
  <c r="K332" i="30" s="1"/>
  <c r="B200" i="28"/>
  <c r="B431" i="31"/>
  <c r="K431" i="31" s="1"/>
  <c r="B330" i="30"/>
  <c r="K330" i="30" s="1"/>
  <c r="B198" i="28"/>
  <c r="B451" i="31"/>
  <c r="K451" i="31" s="1"/>
  <c r="B331" i="30"/>
  <c r="K331" i="30" s="1"/>
  <c r="B199" i="28"/>
  <c r="B413" i="31"/>
  <c r="K413" i="31" s="1"/>
  <c r="B329" i="30"/>
  <c r="K329" i="30" s="1"/>
  <c r="B197" i="28"/>
  <c r="B389" i="31"/>
  <c r="K389" i="31" s="1"/>
  <c r="B328" i="30"/>
  <c r="K328" i="30" s="1"/>
  <c r="B196" i="28"/>
  <c r="B365" i="31"/>
  <c r="K365" i="31" s="1"/>
  <c r="B327" i="30"/>
  <c r="K327" i="30" s="1"/>
  <c r="B195" i="28"/>
  <c r="K177" i="28"/>
  <c r="K176" i="28"/>
  <c r="K178" i="28"/>
  <c r="K179" i="28"/>
  <c r="K180" i="28"/>
  <c r="K181" i="28"/>
  <c r="K182" i="28"/>
  <c r="K183" i="28"/>
  <c r="K184" i="28"/>
  <c r="K185" i="28"/>
  <c r="K187" i="28"/>
  <c r="K186" i="28"/>
  <c r="K188" i="28"/>
  <c r="K189" i="28"/>
  <c r="K191" i="28"/>
  <c r="K190" i="28"/>
  <c r="K193" i="28"/>
  <c r="K192" i="28"/>
  <c r="K194" i="28"/>
  <c r="K195" i="28"/>
  <c r="K196" i="28"/>
  <c r="K197" i="28"/>
  <c r="K199" i="28"/>
  <c r="K198" i="28"/>
  <c r="K200" i="28"/>
  <c r="K202" i="28"/>
  <c r="K203" i="28"/>
  <c r="K201" i="28"/>
  <c r="E174" i="31"/>
  <c r="E281" i="30"/>
  <c r="E186" i="28"/>
  <c r="E110" i="31"/>
  <c r="E278" i="30"/>
  <c r="E183" i="28"/>
  <c r="G546" i="31"/>
  <c r="G123" i="30"/>
  <c r="G131" i="28"/>
  <c r="G423" i="31"/>
  <c r="G118" i="30"/>
  <c r="G122" i="28"/>
  <c r="G177" i="31"/>
  <c r="G409" i="30"/>
  <c r="G101" i="28"/>
  <c r="G64" i="31"/>
  <c r="G102" i="30"/>
  <c r="G92" i="28"/>
  <c r="G574" i="31"/>
  <c r="G52" i="30"/>
  <c r="G138" i="28"/>
  <c r="G571" i="31"/>
  <c r="G428" i="30"/>
  <c r="G139" i="28"/>
  <c r="G114" i="31"/>
  <c r="G482" i="30"/>
  <c r="G95" i="28"/>
  <c r="E178" i="31"/>
  <c r="E485" i="30"/>
  <c r="E102" i="28"/>
  <c r="G522" i="31"/>
  <c r="G122" i="30"/>
  <c r="G128" i="28"/>
  <c r="G552" i="31"/>
  <c r="G427" i="30"/>
  <c r="G130" i="28"/>
  <c r="G178" i="31"/>
  <c r="G485" i="30"/>
  <c r="G102" i="28"/>
  <c r="G46" i="31"/>
  <c r="G479" i="30"/>
  <c r="G91" i="28"/>
  <c r="G566" i="31"/>
  <c r="G51" i="30"/>
  <c r="G31" i="29"/>
  <c r="G137" i="28"/>
  <c r="G544" i="31"/>
  <c r="G50" i="30"/>
  <c r="G30" i="29"/>
  <c r="G132" i="28"/>
  <c r="G572" i="31"/>
  <c r="G429" i="30"/>
  <c r="G136" i="28"/>
  <c r="G447" i="31"/>
  <c r="G119" i="30"/>
  <c r="G123" i="28"/>
  <c r="E114" i="31"/>
  <c r="E482" i="30"/>
  <c r="E95" i="28"/>
  <c r="E46" i="31"/>
  <c r="E479" i="30"/>
  <c r="E91" i="28"/>
  <c r="G550" i="31"/>
  <c r="G335" i="30"/>
  <c r="G526" i="31"/>
  <c r="G334" i="30"/>
  <c r="G110" i="31"/>
  <c r="G278" i="30"/>
  <c r="G183" i="28"/>
  <c r="E44" i="31"/>
  <c r="E275" i="30"/>
  <c r="E179" i="28"/>
  <c r="G8" i="31"/>
  <c r="G312" i="30"/>
  <c r="G177" i="28"/>
  <c r="E90" i="31"/>
  <c r="E316" i="30"/>
  <c r="E182" i="28"/>
  <c r="E550" i="31"/>
  <c r="E335" i="30"/>
  <c r="E526" i="31"/>
  <c r="E334" i="30"/>
  <c r="E476" i="31"/>
  <c r="E332" i="30"/>
  <c r="E451" i="31"/>
  <c r="E331" i="30"/>
  <c r="G338" i="31"/>
  <c r="G326" i="30"/>
  <c r="G314" i="31"/>
  <c r="G325" i="30"/>
  <c r="E566" i="31"/>
  <c r="E51" i="30"/>
  <c r="E31" i="29"/>
  <c r="E137" i="28"/>
  <c r="E544" i="31"/>
  <c r="E50" i="30"/>
  <c r="E30" i="29"/>
  <c r="E132" i="28"/>
  <c r="E546" i="31"/>
  <c r="E123" i="30"/>
  <c r="E131" i="28"/>
  <c r="E423" i="31"/>
  <c r="E118" i="30"/>
  <c r="E122" i="28"/>
  <c r="E40" i="31"/>
  <c r="E101" i="30"/>
  <c r="E90" i="28"/>
  <c r="E152" i="31"/>
  <c r="E408" i="30"/>
  <c r="E99" i="28"/>
  <c r="E468" i="31"/>
  <c r="E472" i="30"/>
  <c r="E443" i="31"/>
  <c r="E471" i="30"/>
  <c r="G413" i="31"/>
  <c r="G329" i="30"/>
  <c r="G389" i="31"/>
  <c r="G328" i="30"/>
  <c r="G311" i="31"/>
  <c r="G208" i="30"/>
  <c r="G293" i="31"/>
  <c r="G207" i="30"/>
  <c r="T29" i="5"/>
  <c r="B292" i="28"/>
  <c r="K292" i="28" s="1"/>
  <c r="T32" i="5"/>
  <c r="B299" i="28"/>
  <c r="K299" i="28" s="1"/>
  <c r="T31" i="5"/>
  <c r="B297" i="28"/>
  <c r="K297" i="28" s="1"/>
  <c r="T30" i="5"/>
  <c r="B295" i="28"/>
  <c r="K295" i="28" s="1"/>
  <c r="T35" i="5"/>
  <c r="B308" i="28"/>
  <c r="K308" i="28" s="1"/>
  <c r="T38" i="5"/>
  <c r="B316" i="28"/>
  <c r="K316" i="28" s="1"/>
  <c r="T37" i="5"/>
  <c r="B314" i="28"/>
  <c r="K314" i="28" s="1"/>
  <c r="T36" i="5"/>
  <c r="B311" i="28"/>
  <c r="K311" i="28" s="1"/>
  <c r="G189" i="28"/>
  <c r="G188" i="28"/>
  <c r="G201" i="28"/>
  <c r="G46" i="29"/>
  <c r="G203" i="28"/>
  <c r="G45" i="29"/>
  <c r="G202" i="28"/>
  <c r="G200" i="28"/>
  <c r="E198" i="28"/>
  <c r="G199" i="28"/>
  <c r="E197" i="28"/>
  <c r="G195" i="28"/>
  <c r="E196" i="28"/>
  <c r="G191" i="28"/>
  <c r="E189" i="28"/>
  <c r="E188" i="28"/>
  <c r="G185" i="28"/>
  <c r="G184" i="28"/>
  <c r="E46" i="29"/>
  <c r="E203" i="28"/>
  <c r="E45" i="29"/>
  <c r="E202" i="28"/>
  <c r="E200" i="28"/>
  <c r="E199" i="28"/>
  <c r="G197" i="28"/>
  <c r="G196" i="28"/>
  <c r="G194" i="28"/>
  <c r="G192" i="28"/>
  <c r="G193" i="28"/>
  <c r="G190" i="28"/>
  <c r="E185" i="28"/>
  <c r="E184" i="28"/>
  <c r="I43" i="5"/>
  <c r="J21" i="5"/>
  <c r="O43" i="5"/>
  <c r="T43" i="5"/>
  <c r="P21" i="5"/>
  <c r="B44" i="22"/>
  <c r="B43" i="22"/>
  <c r="C44" i="22"/>
  <c r="C43" i="22"/>
  <c r="B42" i="22"/>
  <c r="B41" i="22"/>
  <c r="C42" i="22"/>
  <c r="C41" i="22"/>
  <c r="C34" i="22"/>
  <c r="C31" i="22"/>
  <c r="B40" i="22"/>
  <c r="B39" i="22"/>
  <c r="B38" i="22"/>
  <c r="B35" i="22"/>
  <c r="C33" i="22"/>
  <c r="B33" i="22"/>
  <c r="B32" i="22"/>
  <c r="B29" i="18"/>
  <c r="B30" i="18"/>
  <c r="B31" i="18"/>
  <c r="B32" i="18"/>
  <c r="B28" i="18"/>
  <c r="B41" i="18"/>
  <c r="B42" i="18"/>
  <c r="B43" i="18"/>
  <c r="B44" i="18"/>
  <c r="B45" i="18"/>
  <c r="B46" i="18"/>
  <c r="B47" i="18"/>
  <c r="B40" i="18"/>
  <c r="C40" i="18"/>
  <c r="C38" i="18"/>
  <c r="C37" i="18"/>
  <c r="C36" i="18"/>
  <c r="C35" i="18"/>
  <c r="B33" i="20"/>
  <c r="B34" i="20"/>
  <c r="B35" i="20"/>
  <c r="B36" i="20"/>
  <c r="B37" i="20"/>
  <c r="B38" i="20"/>
  <c r="B39" i="20"/>
  <c r="B40" i="20"/>
  <c r="B32" i="20"/>
  <c r="B20" i="25"/>
  <c r="C20" i="25"/>
  <c r="E20" i="25"/>
  <c r="G20" i="25"/>
  <c r="B21" i="25"/>
  <c r="C21" i="25"/>
  <c r="E21" i="25"/>
  <c r="G21" i="25"/>
  <c r="B22" i="25"/>
  <c r="C22" i="25"/>
  <c r="E22" i="25"/>
  <c r="G22" i="25"/>
  <c r="B24" i="25"/>
  <c r="C24" i="25"/>
  <c r="E24" i="25"/>
  <c r="G24" i="25"/>
  <c r="B25" i="25"/>
  <c r="C25" i="25"/>
  <c r="E25" i="25"/>
  <c r="G25" i="25"/>
  <c r="B26" i="25"/>
  <c r="C26" i="25"/>
  <c r="E26" i="25"/>
  <c r="G26" i="25"/>
  <c r="B28" i="25"/>
  <c r="C28" i="25"/>
  <c r="E28" i="25"/>
  <c r="G28" i="25"/>
  <c r="B29" i="25"/>
  <c r="C29" i="25"/>
  <c r="E29" i="25"/>
  <c r="G29" i="25"/>
  <c r="B30" i="25"/>
  <c r="C30" i="25"/>
  <c r="E30" i="25"/>
  <c r="G30" i="25"/>
  <c r="B32" i="25"/>
  <c r="C32" i="25"/>
  <c r="E32" i="25"/>
  <c r="G32" i="25"/>
  <c r="B33" i="25"/>
  <c r="C33" i="25"/>
  <c r="E33" i="25"/>
  <c r="G33" i="25"/>
  <c r="B34" i="25"/>
  <c r="C34" i="25"/>
  <c r="E34" i="25"/>
  <c r="G34" i="25"/>
  <c r="B35" i="25"/>
  <c r="C35" i="25"/>
  <c r="E35" i="25"/>
  <c r="G35" i="25"/>
  <c r="B36" i="25"/>
  <c r="C36" i="25"/>
  <c r="E36" i="25"/>
  <c r="G36" i="25"/>
  <c r="B37" i="25"/>
  <c r="C37" i="25"/>
  <c r="E37" i="25"/>
  <c r="G37" i="25"/>
  <c r="B38" i="25"/>
  <c r="C38" i="25"/>
  <c r="E38" i="25"/>
  <c r="G38" i="25"/>
  <c r="B39" i="25"/>
  <c r="C39" i="25"/>
  <c r="E39" i="25"/>
  <c r="G39" i="25"/>
  <c r="B40" i="25"/>
  <c r="C40" i="25"/>
  <c r="E40" i="25"/>
  <c r="G40" i="25"/>
  <c r="B44" i="25"/>
  <c r="C44" i="25"/>
  <c r="E44" i="25"/>
  <c r="G44" i="25"/>
  <c r="C45" i="25"/>
  <c r="E45" i="25"/>
  <c r="G45" i="25"/>
  <c r="C46" i="25"/>
  <c r="E46" i="25"/>
  <c r="G46" i="25"/>
  <c r="C47" i="25"/>
  <c r="E47" i="25"/>
  <c r="G47" i="25"/>
  <c r="C48" i="25"/>
  <c r="E48" i="25"/>
  <c r="G48" i="25"/>
  <c r="C52" i="25"/>
  <c r="E52" i="25"/>
  <c r="G52" i="25"/>
  <c r="C50" i="25"/>
  <c r="E50" i="25"/>
  <c r="G50" i="25"/>
  <c r="C51" i="25"/>
  <c r="E51" i="25"/>
  <c r="G51" i="25"/>
  <c r="C49" i="25"/>
  <c r="E49" i="25"/>
  <c r="G49" i="25"/>
  <c r="C53" i="25"/>
  <c r="C54" i="25"/>
  <c r="B56" i="25"/>
  <c r="C56" i="25"/>
  <c r="E56" i="25"/>
  <c r="G56" i="25"/>
  <c r="B57" i="25"/>
  <c r="C57" i="25"/>
  <c r="E57" i="25"/>
  <c r="G57" i="25"/>
  <c r="B58" i="25"/>
  <c r="C58" i="25"/>
  <c r="E58" i="25"/>
  <c r="G58" i="25"/>
  <c r="B60" i="25"/>
  <c r="C60" i="25"/>
  <c r="E60" i="25"/>
  <c r="G60" i="25"/>
  <c r="B61" i="25"/>
  <c r="C61" i="25"/>
  <c r="E61" i="25"/>
  <c r="G61" i="25"/>
  <c r="B62" i="25"/>
  <c r="C62" i="25"/>
  <c r="E62" i="25"/>
  <c r="G62" i="25"/>
  <c r="B64" i="25"/>
  <c r="C64" i="25"/>
  <c r="E64" i="25"/>
  <c r="G64" i="25"/>
  <c r="B65" i="25"/>
  <c r="C65" i="25"/>
  <c r="E65" i="25"/>
  <c r="G65" i="25"/>
  <c r="B66" i="25"/>
  <c r="C66" i="25"/>
  <c r="E66" i="25"/>
  <c r="G66" i="25"/>
  <c r="B30" i="14"/>
  <c r="B31" i="14"/>
  <c r="B32" i="14"/>
  <c r="B33" i="14"/>
  <c r="B34" i="14"/>
  <c r="B15" i="24"/>
  <c r="C15" i="24"/>
  <c r="D15" i="24"/>
  <c r="A16" i="24"/>
  <c r="E26" i="24" s="1"/>
  <c r="B16" i="24"/>
  <c r="C16" i="24"/>
  <c r="D16" i="24"/>
  <c r="E39" i="24" s="1"/>
  <c r="E16" i="24"/>
  <c r="A17" i="24"/>
  <c r="G26" i="24" s="1"/>
  <c r="B17" i="24"/>
  <c r="G38" i="24" s="1"/>
  <c r="C17" i="24"/>
  <c r="G28" i="24" s="1"/>
  <c r="D17" i="24"/>
  <c r="G39" i="24" s="1"/>
  <c r="E17" i="24"/>
  <c r="A18" i="24"/>
  <c r="B18" i="24"/>
  <c r="E21" i="24"/>
  <c r="G21" i="24"/>
  <c r="E22" i="24"/>
  <c r="G22" i="24"/>
  <c r="E23" i="24"/>
  <c r="G23" i="24"/>
  <c r="E24" i="24"/>
  <c r="G24" i="24"/>
  <c r="E25" i="24"/>
  <c r="G25" i="24"/>
  <c r="E27" i="24"/>
  <c r="G27" i="24"/>
  <c r="E28" i="24"/>
  <c r="E29" i="24"/>
  <c r="G29" i="24"/>
  <c r="E30" i="24"/>
  <c r="G30" i="24"/>
  <c r="E32" i="24"/>
  <c r="G32" i="24"/>
  <c r="E33" i="24"/>
  <c r="G33" i="24"/>
  <c r="E34" i="24"/>
  <c r="G34" i="24"/>
  <c r="E35" i="24"/>
  <c r="G35" i="24"/>
  <c r="E36" i="24"/>
  <c r="G36" i="24"/>
  <c r="E37" i="24"/>
  <c r="G37" i="24"/>
  <c r="E38" i="24"/>
  <c r="E44" i="24"/>
  <c r="G44" i="24"/>
  <c r="E45" i="24"/>
  <c r="G45" i="24"/>
  <c r="E46" i="24"/>
  <c r="G46" i="24"/>
  <c r="E47" i="24"/>
  <c r="G47" i="24"/>
  <c r="E48" i="24"/>
  <c r="G48" i="24"/>
  <c r="E49" i="24"/>
  <c r="G49" i="24"/>
  <c r="E50" i="24"/>
  <c r="G50" i="24"/>
  <c r="E51" i="24"/>
  <c r="G51" i="24"/>
  <c r="E52" i="24"/>
  <c r="G52" i="24"/>
  <c r="E53" i="24"/>
  <c r="G53" i="24"/>
  <c r="E55" i="24"/>
  <c r="G55" i="24"/>
  <c r="E56" i="24"/>
  <c r="G56" i="24"/>
  <c r="E57" i="24"/>
  <c r="G57" i="24"/>
  <c r="E58" i="24"/>
  <c r="G58" i="24"/>
  <c r="E59" i="24"/>
  <c r="G59" i="24"/>
  <c r="E60" i="24"/>
  <c r="G60" i="24"/>
  <c r="E61" i="24"/>
  <c r="G61" i="24"/>
  <c r="E62" i="24"/>
  <c r="G62" i="24"/>
  <c r="N38" i="5" l="1"/>
  <c r="B543" i="31"/>
  <c r="K543" i="31" s="1"/>
  <c r="B23" i="30"/>
  <c r="K23" i="30" s="1"/>
  <c r="B224" i="28"/>
  <c r="K224" i="28" s="1"/>
  <c r="N37" i="5"/>
  <c r="B519" i="31"/>
  <c r="K519" i="31" s="1"/>
  <c r="B22" i="30"/>
  <c r="K22" i="30" s="1"/>
  <c r="B223" i="28"/>
  <c r="K223" i="28" s="1"/>
  <c r="N36" i="5"/>
  <c r="B494" i="31"/>
  <c r="K494" i="31" s="1"/>
  <c r="B21" i="30"/>
  <c r="K21" i="30" s="1"/>
  <c r="B51" i="29"/>
  <c r="B222" i="28"/>
  <c r="K222" i="28" s="1"/>
  <c r="N35" i="5"/>
  <c r="B469" i="31"/>
  <c r="K469" i="31" s="1"/>
  <c r="B20" i="30"/>
  <c r="K20" i="30" s="1"/>
  <c r="B50" i="29"/>
  <c r="B221" i="28"/>
  <c r="K221" i="28" s="1"/>
  <c r="N34" i="5"/>
  <c r="B444" i="31"/>
  <c r="K444" i="31" s="1"/>
  <c r="B19" i="30"/>
  <c r="K19" i="30" s="1"/>
  <c r="B220" i="28"/>
  <c r="K220" i="28" s="1"/>
  <c r="AA9" i="5"/>
  <c r="B102" i="31"/>
  <c r="K102" i="31" s="1"/>
  <c r="B560" i="30"/>
  <c r="K560" i="30" s="1"/>
  <c r="B445" i="28"/>
  <c r="K445" i="28" s="1"/>
  <c r="AA17" i="5"/>
  <c r="B288" i="31"/>
  <c r="K288" i="31" s="1"/>
  <c r="B568" i="30"/>
  <c r="K568" i="30" s="1"/>
  <c r="B460" i="28"/>
  <c r="K460" i="28" s="1"/>
  <c r="AA16" i="5"/>
  <c r="B279" i="31"/>
  <c r="K279" i="31" s="1"/>
  <c r="B567" i="30"/>
  <c r="K567" i="30" s="1"/>
  <c r="B458" i="28"/>
  <c r="K458" i="28" s="1"/>
  <c r="AA15" i="5"/>
  <c r="B257" i="31"/>
  <c r="K257" i="31" s="1"/>
  <c r="B566" i="30"/>
  <c r="K566" i="30" s="1"/>
  <c r="B456" i="28"/>
  <c r="K456" i="28" s="1"/>
  <c r="AA14" i="5"/>
  <c r="B236" i="31"/>
  <c r="K236" i="31" s="1"/>
  <c r="B565" i="30"/>
  <c r="K565" i="30" s="1"/>
  <c r="B454" i="28"/>
  <c r="K454" i="28" s="1"/>
  <c r="AA13" i="5"/>
  <c r="B213" i="31"/>
  <c r="K213" i="31" s="1"/>
  <c r="B564" i="30"/>
  <c r="K564" i="30" s="1"/>
  <c r="B452" i="28"/>
  <c r="K452" i="28" s="1"/>
  <c r="AA12" i="5"/>
  <c r="B189" i="31"/>
  <c r="K189" i="31" s="1"/>
  <c r="B563" i="30"/>
  <c r="K563" i="30" s="1"/>
  <c r="B450" i="28"/>
  <c r="K450" i="28" s="1"/>
  <c r="AA11" i="5"/>
  <c r="B162" i="31"/>
  <c r="K162" i="31" s="1"/>
  <c r="B562" i="30"/>
  <c r="K562" i="30" s="1"/>
  <c r="B449" i="28"/>
  <c r="K449" i="28" s="1"/>
  <c r="AA10" i="5"/>
  <c r="B137" i="31"/>
  <c r="K137" i="31" s="1"/>
  <c r="B561" i="30"/>
  <c r="K561" i="30" s="1"/>
  <c r="B447" i="28"/>
  <c r="K447" i="28" s="1"/>
  <c r="C15" i="31"/>
  <c r="C556" i="30"/>
  <c r="C361" i="28"/>
  <c r="C33" i="31"/>
  <c r="C557" i="30"/>
  <c r="C363" i="28"/>
  <c r="C57" i="31"/>
  <c r="C558" i="30"/>
  <c r="C365" i="28"/>
  <c r="C78" i="31"/>
  <c r="C559" i="30"/>
  <c r="C368" i="28"/>
  <c r="C125" i="31"/>
  <c r="C223" i="30"/>
  <c r="C370" i="28"/>
  <c r="AE10" i="5"/>
  <c r="B125" i="31"/>
  <c r="K125" i="31" s="1"/>
  <c r="B223" i="30"/>
  <c r="K223" i="30" s="1"/>
  <c r="B370" i="28"/>
  <c r="K370" i="28" s="1"/>
  <c r="Z17" i="5"/>
  <c r="B284" i="31"/>
  <c r="K284" i="31" s="1"/>
  <c r="B267" i="30"/>
  <c r="K267" i="30" s="1"/>
  <c r="B383" i="28"/>
  <c r="K383" i="28" s="1"/>
  <c r="Z16" i="5"/>
  <c r="B274" i="31"/>
  <c r="K274" i="31" s="1"/>
  <c r="B266" i="30"/>
  <c r="K266" i="30" s="1"/>
  <c r="B382" i="28"/>
  <c r="K382" i="28" s="1"/>
  <c r="Z15" i="5"/>
  <c r="B251" i="31"/>
  <c r="K251" i="31" s="1"/>
  <c r="B265" i="30"/>
  <c r="K265" i="30" s="1"/>
  <c r="B381" i="28"/>
  <c r="K381" i="28" s="1"/>
  <c r="Z14" i="5"/>
  <c r="B230" i="31"/>
  <c r="K230" i="31" s="1"/>
  <c r="B264" i="30"/>
  <c r="K264" i="30" s="1"/>
  <c r="B379" i="28"/>
  <c r="K379" i="28" s="1"/>
  <c r="Z13" i="5"/>
  <c r="B207" i="31"/>
  <c r="K207" i="31" s="1"/>
  <c r="B263" i="30"/>
  <c r="K263" i="30" s="1"/>
  <c r="B377" i="28"/>
  <c r="K377" i="28" s="1"/>
  <c r="Z12" i="5"/>
  <c r="B182" i="31"/>
  <c r="K182" i="31" s="1"/>
  <c r="B262" i="30"/>
  <c r="K262" i="30" s="1"/>
  <c r="B375" i="28"/>
  <c r="K375" i="28" s="1"/>
  <c r="Z11" i="5"/>
  <c r="B156" i="31"/>
  <c r="K156" i="31" s="1"/>
  <c r="B261" i="30"/>
  <c r="K261" i="30" s="1"/>
  <c r="B373" i="28"/>
  <c r="K373" i="28" s="1"/>
  <c r="AE11" i="5"/>
  <c r="B155" i="31"/>
  <c r="K155" i="31" s="1"/>
  <c r="B224" i="30"/>
  <c r="K224" i="30" s="1"/>
  <c r="B372" i="28"/>
  <c r="K372" i="28" s="1"/>
  <c r="AE15" i="5"/>
  <c r="B250" i="31"/>
  <c r="K250" i="31" s="1"/>
  <c r="B228" i="30"/>
  <c r="K228" i="30" s="1"/>
  <c r="B380" i="28"/>
  <c r="K380" i="28" s="1"/>
  <c r="AE14" i="5"/>
  <c r="B229" i="31"/>
  <c r="K229" i="31" s="1"/>
  <c r="B227" i="30"/>
  <c r="K227" i="30" s="1"/>
  <c r="B378" i="28"/>
  <c r="K378" i="28" s="1"/>
  <c r="AE13" i="5"/>
  <c r="B206" i="31"/>
  <c r="K206" i="31" s="1"/>
  <c r="B226" i="30"/>
  <c r="K226" i="30" s="1"/>
  <c r="B376" i="28"/>
  <c r="K376" i="28" s="1"/>
  <c r="AE12" i="5"/>
  <c r="B181" i="31"/>
  <c r="K181" i="31" s="1"/>
  <c r="B225" i="30"/>
  <c r="K225" i="30" s="1"/>
  <c r="B374" i="28"/>
  <c r="K374" i="28" s="1"/>
  <c r="Z33" i="5"/>
  <c r="B458" i="31"/>
  <c r="K458" i="31" s="1"/>
  <c r="B268" i="30"/>
  <c r="K268" i="30" s="1"/>
  <c r="B513" i="28"/>
  <c r="K513" i="28" s="1"/>
  <c r="AA33" i="5"/>
  <c r="B465" i="31"/>
  <c r="K465" i="31" s="1"/>
  <c r="B575" i="30"/>
  <c r="K575" i="30" s="1"/>
  <c r="B514" i="28"/>
  <c r="K514" i="28" s="1"/>
  <c r="C465" i="31"/>
  <c r="C575" i="30"/>
  <c r="C514" i="28"/>
  <c r="Z34" i="5"/>
  <c r="B484" i="31"/>
  <c r="K484" i="31" s="1"/>
  <c r="B269" i="30"/>
  <c r="K269" i="30" s="1"/>
  <c r="B515" i="28"/>
  <c r="K515" i="28" s="1"/>
  <c r="Z35" i="5"/>
  <c r="B511" i="31"/>
  <c r="K511" i="31" s="1"/>
  <c r="B270" i="30"/>
  <c r="K270" i="30" s="1"/>
  <c r="B517" i="28"/>
  <c r="K517" i="28" s="1"/>
  <c r="Z36" i="5"/>
  <c r="B535" i="31"/>
  <c r="K535" i="31" s="1"/>
  <c r="B271" i="30"/>
  <c r="K271" i="30" s="1"/>
  <c r="B519" i="28"/>
  <c r="K519" i="28" s="1"/>
  <c r="Z37" i="5"/>
  <c r="B559" i="31"/>
  <c r="K559" i="31" s="1"/>
  <c r="B272" i="30"/>
  <c r="K272" i="30" s="1"/>
  <c r="B520" i="28"/>
  <c r="K520" i="28" s="1"/>
  <c r="C426" i="31"/>
  <c r="C213" i="30"/>
  <c r="C511" i="28"/>
  <c r="C455" i="31"/>
  <c r="C214" i="30"/>
  <c r="C512" i="28"/>
  <c r="C567" i="31"/>
  <c r="C99" i="30"/>
  <c r="C521" i="28"/>
  <c r="C570" i="31"/>
  <c r="C405" i="30"/>
  <c r="C522" i="28"/>
  <c r="K39" i="5"/>
  <c r="B567" i="31"/>
  <c r="K567" i="31" s="1"/>
  <c r="B99" i="30"/>
  <c r="K99" i="30" s="1"/>
  <c r="B521" i="28"/>
  <c r="K521" i="28" s="1"/>
  <c r="M39" i="5"/>
  <c r="B570" i="31"/>
  <c r="K570" i="31" s="1"/>
  <c r="B405" i="30"/>
  <c r="K405" i="30" s="1"/>
  <c r="B522" i="28"/>
  <c r="K522" i="28" s="1"/>
  <c r="C579" i="31"/>
  <c r="C555" i="30"/>
  <c r="C100" i="29"/>
  <c r="C523" i="28"/>
  <c r="C578" i="31"/>
  <c r="C530" i="30"/>
  <c r="C101" i="29"/>
  <c r="C524" i="28"/>
  <c r="X38" i="5"/>
  <c r="B579" i="31"/>
  <c r="K579" i="31" s="1"/>
  <c r="B555" i="30"/>
  <c r="K555" i="30" s="1"/>
  <c r="B100" i="29"/>
  <c r="B523" i="28"/>
  <c r="K523" i="28" s="1"/>
  <c r="W38" i="5"/>
  <c r="B578" i="31"/>
  <c r="K578" i="31" s="1"/>
  <c r="B530" i="30"/>
  <c r="K530" i="30" s="1"/>
  <c r="B101" i="29"/>
  <c r="B524" i="28"/>
  <c r="K524" i="28" s="1"/>
  <c r="AA34" i="5"/>
  <c r="B518" i="31"/>
  <c r="K518" i="31" s="1"/>
  <c r="B577" i="30"/>
  <c r="K577" i="30" s="1"/>
  <c r="B571" i="28"/>
  <c r="K571" i="28" s="1"/>
  <c r="AA38" i="5"/>
  <c r="B326" i="31"/>
  <c r="K326" i="31" s="1"/>
  <c r="B570" i="30"/>
  <c r="K570" i="30" s="1"/>
  <c r="B554" i="28"/>
  <c r="K554" i="28" s="1"/>
  <c r="AA37" i="5"/>
  <c r="B580" i="31"/>
  <c r="K580" i="31" s="1"/>
  <c r="B580" i="30"/>
  <c r="K580" i="30" s="1"/>
  <c r="B579" i="28"/>
  <c r="K579" i="28" s="1"/>
  <c r="AA36" i="5"/>
  <c r="B565" i="31"/>
  <c r="K565" i="31" s="1"/>
  <c r="B579" i="30"/>
  <c r="K579" i="30" s="1"/>
  <c r="B577" i="28"/>
  <c r="K577" i="28" s="1"/>
  <c r="AA35" i="5"/>
  <c r="B542" i="31"/>
  <c r="K542" i="31" s="1"/>
  <c r="B578" i="30"/>
  <c r="K578" i="30" s="1"/>
  <c r="B574" i="28"/>
  <c r="K574" i="28" s="1"/>
  <c r="C420" i="31"/>
  <c r="C18" i="30"/>
  <c r="C256" i="28"/>
  <c r="N33" i="5"/>
  <c r="B420" i="31"/>
  <c r="K420" i="31" s="1"/>
  <c r="B18" i="30"/>
  <c r="K18" i="30" s="1"/>
  <c r="B256" i="28"/>
  <c r="K256" i="28" s="1"/>
  <c r="G425" i="31"/>
  <c r="G169" i="30"/>
  <c r="G255" i="28"/>
  <c r="C425" i="31"/>
  <c r="C169" i="30"/>
  <c r="C255" i="28"/>
  <c r="L33" i="5"/>
  <c r="B425" i="31"/>
  <c r="K425" i="31" s="1"/>
  <c r="B169" i="30"/>
  <c r="K169" i="30" s="1"/>
  <c r="B255" i="28"/>
  <c r="K255" i="28" s="1"/>
  <c r="G434" i="31"/>
  <c r="G399" i="30"/>
  <c r="G254" i="28"/>
  <c r="E434" i="31"/>
  <c r="E399" i="30"/>
  <c r="E254" i="28"/>
  <c r="C434" i="31"/>
  <c r="C399" i="30"/>
  <c r="C254" i="28"/>
  <c r="M33" i="5"/>
  <c r="B434" i="31"/>
  <c r="K434" i="31" s="1"/>
  <c r="B399" i="30"/>
  <c r="K399" i="30" s="1"/>
  <c r="B254" i="28"/>
  <c r="K254" i="28" s="1"/>
  <c r="G364" i="31"/>
  <c r="G287" i="30"/>
  <c r="G251" i="28"/>
  <c r="C364" i="31"/>
  <c r="C287" i="30"/>
  <c r="C251" i="28"/>
  <c r="P30" i="5"/>
  <c r="B364" i="31"/>
  <c r="K364" i="31" s="1"/>
  <c r="B287" i="30"/>
  <c r="K287" i="30" s="1"/>
  <c r="B251" i="28"/>
  <c r="K251" i="28" s="1"/>
  <c r="G361" i="31"/>
  <c r="G166" i="30"/>
  <c r="G250" i="28"/>
  <c r="E361" i="31"/>
  <c r="E166" i="30"/>
  <c r="E250" i="28"/>
  <c r="C361" i="31"/>
  <c r="C166" i="30"/>
  <c r="C250" i="28"/>
  <c r="L30" i="5"/>
  <c r="B361" i="31"/>
  <c r="K361" i="31" s="1"/>
  <c r="B166" i="30"/>
  <c r="K166" i="30" s="1"/>
  <c r="B250" i="28"/>
  <c r="K250" i="28" s="1"/>
  <c r="E366" i="31"/>
  <c r="E396" i="30"/>
  <c r="E249" i="28"/>
  <c r="C366" i="31"/>
  <c r="C396" i="30"/>
  <c r="C249" i="28"/>
  <c r="M30" i="5"/>
  <c r="B366" i="31"/>
  <c r="K366" i="31" s="1"/>
  <c r="B396" i="30"/>
  <c r="K396" i="30" s="1"/>
  <c r="B249" i="28"/>
  <c r="K249" i="28" s="1"/>
  <c r="G294" i="31"/>
  <c r="G284" i="30"/>
  <c r="G245" i="28"/>
  <c r="C294" i="31"/>
  <c r="C284" i="30"/>
  <c r="C245" i="28"/>
  <c r="P27" i="5"/>
  <c r="B294" i="31"/>
  <c r="K294" i="31" s="1"/>
  <c r="B284" i="30"/>
  <c r="K284" i="30" s="1"/>
  <c r="B245" i="28"/>
  <c r="K245" i="28" s="1"/>
  <c r="G292" i="31"/>
  <c r="G163" i="30"/>
  <c r="G244" i="28"/>
  <c r="C292" i="31"/>
  <c r="C163" i="30"/>
  <c r="C244" i="28"/>
  <c r="L27" i="5"/>
  <c r="B292" i="31"/>
  <c r="K292" i="31" s="1"/>
  <c r="B163" i="30"/>
  <c r="K163" i="30" s="1"/>
  <c r="B244" i="28"/>
  <c r="K244" i="28" s="1"/>
  <c r="E299" i="31"/>
  <c r="E393" i="30"/>
  <c r="E243" i="28"/>
  <c r="C299" i="31"/>
  <c r="C393" i="30"/>
  <c r="C243" i="28"/>
  <c r="M27" i="5"/>
  <c r="B299" i="31"/>
  <c r="K299" i="31" s="1"/>
  <c r="B393" i="30"/>
  <c r="K393" i="30" s="1"/>
  <c r="B243" i="28"/>
  <c r="K243" i="28" s="1"/>
  <c r="C545" i="31"/>
  <c r="C98" i="30"/>
  <c r="C56" i="29"/>
  <c r="C262" i="28"/>
  <c r="K38" i="5"/>
  <c r="B545" i="31"/>
  <c r="K545" i="31" s="1"/>
  <c r="B98" i="30"/>
  <c r="K98" i="30" s="1"/>
  <c r="B56" i="29"/>
  <c r="B262" i="28"/>
  <c r="K262" i="28" s="1"/>
  <c r="C521" i="31"/>
  <c r="C97" i="30"/>
  <c r="C55" i="29"/>
  <c r="C261" i="28"/>
  <c r="K37" i="5"/>
  <c r="B521" i="31"/>
  <c r="K521" i="31" s="1"/>
  <c r="B97" i="30"/>
  <c r="K97" i="30" s="1"/>
  <c r="B55" i="29"/>
  <c r="B261" i="28"/>
  <c r="K261" i="28" s="1"/>
  <c r="C422" i="31"/>
  <c r="C93" i="30"/>
  <c r="C257" i="28"/>
  <c r="K36" i="5"/>
  <c r="B422" i="31"/>
  <c r="K422" i="31" s="1"/>
  <c r="B93" i="30"/>
  <c r="K93" i="30" s="1"/>
  <c r="B257" i="28"/>
  <c r="K257" i="28" s="1"/>
  <c r="C471" i="31"/>
  <c r="C95" i="30"/>
  <c r="C259" i="28"/>
  <c r="K35" i="5"/>
  <c r="B471" i="31"/>
  <c r="K471" i="31" s="1"/>
  <c r="B95" i="30"/>
  <c r="K95" i="30" s="1"/>
  <c r="B259" i="28"/>
  <c r="K259" i="28" s="1"/>
  <c r="G446" i="31"/>
  <c r="G94" i="30"/>
  <c r="G258" i="28"/>
  <c r="E446" i="31"/>
  <c r="E94" i="30"/>
  <c r="E258" i="28"/>
  <c r="C446" i="31"/>
  <c r="C94" i="30"/>
  <c r="C258" i="28"/>
  <c r="K34" i="5"/>
  <c r="B446" i="31"/>
  <c r="K446" i="31" s="1"/>
  <c r="B94" i="30"/>
  <c r="K94" i="30" s="1"/>
  <c r="B258" i="28"/>
  <c r="K258" i="28" s="1"/>
  <c r="E496" i="31"/>
  <c r="E96" i="30"/>
  <c r="E260" i="28"/>
  <c r="C496" i="31"/>
  <c r="C96" i="30"/>
  <c r="C260" i="28"/>
  <c r="K33" i="5"/>
  <c r="B496" i="31"/>
  <c r="K496" i="31" s="1"/>
  <c r="B96" i="30"/>
  <c r="K96" i="30" s="1"/>
  <c r="B260" i="28"/>
  <c r="K260" i="28" s="1"/>
  <c r="C407" i="31"/>
  <c r="C92" i="30"/>
  <c r="C253" i="28"/>
  <c r="K32" i="5"/>
  <c r="B407" i="31"/>
  <c r="K407" i="31" s="1"/>
  <c r="B92" i="30"/>
  <c r="K92" i="30" s="1"/>
  <c r="B253" i="28"/>
  <c r="K253" i="28" s="1"/>
  <c r="G383" i="31"/>
  <c r="G91" i="30"/>
  <c r="G252" i="28"/>
  <c r="C383" i="31"/>
  <c r="C91" i="30"/>
  <c r="C252" i="28"/>
  <c r="K31" i="5"/>
  <c r="B383" i="31"/>
  <c r="K383" i="31" s="1"/>
  <c r="B91" i="30"/>
  <c r="K91" i="30" s="1"/>
  <c r="B252" i="28"/>
  <c r="K252" i="28" s="1"/>
  <c r="E359" i="31"/>
  <c r="E90" i="30"/>
  <c r="E248" i="28"/>
  <c r="C359" i="31"/>
  <c r="C90" i="30"/>
  <c r="C248" i="28"/>
  <c r="K30" i="5"/>
  <c r="B359" i="31"/>
  <c r="K359" i="31" s="1"/>
  <c r="B90" i="30"/>
  <c r="K90" i="30" s="1"/>
  <c r="B248" i="28"/>
  <c r="K248" i="28" s="1"/>
  <c r="C332" i="31"/>
  <c r="C89" i="30"/>
  <c r="C247" i="28"/>
  <c r="K29" i="5"/>
  <c r="B332" i="31"/>
  <c r="K332" i="31" s="1"/>
  <c r="B89" i="30"/>
  <c r="K89" i="30" s="1"/>
  <c r="B247" i="28"/>
  <c r="K247" i="28" s="1"/>
  <c r="G308" i="31"/>
  <c r="G88" i="30"/>
  <c r="G246" i="28"/>
  <c r="C308" i="31"/>
  <c r="C88" i="30"/>
  <c r="C246" i="28"/>
  <c r="K28" i="5"/>
  <c r="B308" i="31"/>
  <c r="K308" i="31" s="1"/>
  <c r="B88" i="30"/>
  <c r="K88" i="30" s="1"/>
  <c r="B246" i="28"/>
  <c r="K246" i="28" s="1"/>
  <c r="G218" i="31"/>
  <c r="G206" i="30"/>
  <c r="G241" i="28"/>
  <c r="E218" i="31"/>
  <c r="E206" i="30"/>
  <c r="E241" i="28"/>
  <c r="C218" i="31"/>
  <c r="C206" i="30"/>
  <c r="C241" i="28"/>
  <c r="T15" i="5"/>
  <c r="B218" i="31"/>
  <c r="K218" i="31" s="1"/>
  <c r="B206" i="30"/>
  <c r="K206" i="30" s="1"/>
  <c r="B241" i="28"/>
  <c r="K241" i="28" s="1"/>
  <c r="C195" i="31"/>
  <c r="C205" i="30"/>
  <c r="C239" i="28"/>
  <c r="T14" i="5"/>
  <c r="B195" i="31"/>
  <c r="K195" i="31" s="1"/>
  <c r="B205" i="30"/>
  <c r="K205" i="30" s="1"/>
  <c r="B239" i="28"/>
  <c r="K239" i="28" s="1"/>
  <c r="C172" i="31"/>
  <c r="C204" i="30"/>
  <c r="C237" i="28"/>
  <c r="T13" i="5"/>
  <c r="B172" i="31"/>
  <c r="K172" i="31" s="1"/>
  <c r="B204" i="30"/>
  <c r="K204" i="30" s="1"/>
  <c r="B237" i="28"/>
  <c r="K237" i="28" s="1"/>
  <c r="E147" i="31"/>
  <c r="E203" i="30"/>
  <c r="E236" i="28"/>
  <c r="C147" i="31"/>
  <c r="C203" i="30"/>
  <c r="C236" i="28"/>
  <c r="T12" i="5"/>
  <c r="B147" i="31"/>
  <c r="K147" i="31" s="1"/>
  <c r="B203" i="30"/>
  <c r="K203" i="30" s="1"/>
  <c r="B236" i="28"/>
  <c r="K236" i="28" s="1"/>
  <c r="C124" i="31"/>
  <c r="C202" i="30"/>
  <c r="C234" i="28"/>
  <c r="T11" i="5"/>
  <c r="B124" i="31"/>
  <c r="K124" i="31" s="1"/>
  <c r="B202" i="30"/>
  <c r="K202" i="30" s="1"/>
  <c r="B234" i="28"/>
  <c r="K234" i="28" s="1"/>
  <c r="C108" i="31"/>
  <c r="C201" i="30"/>
  <c r="C232" i="28"/>
  <c r="T10" i="5"/>
  <c r="B108" i="31"/>
  <c r="K108" i="31" s="1"/>
  <c r="B201" i="30"/>
  <c r="K201" i="30" s="1"/>
  <c r="B232" i="28"/>
  <c r="K232" i="28" s="1"/>
  <c r="E87" i="31"/>
  <c r="E200" i="30"/>
  <c r="E230" i="28"/>
  <c r="C87" i="31"/>
  <c r="C200" i="30"/>
  <c r="C230" i="28"/>
  <c r="T9" i="5"/>
  <c r="B87" i="31"/>
  <c r="K87" i="31" s="1"/>
  <c r="B200" i="30"/>
  <c r="K200" i="30" s="1"/>
  <c r="B230" i="28"/>
  <c r="K230" i="28" s="1"/>
  <c r="C66" i="31"/>
  <c r="C199" i="30"/>
  <c r="C228" i="28"/>
  <c r="T8" i="5"/>
  <c r="B66" i="31"/>
  <c r="K66" i="31" s="1"/>
  <c r="B199" i="30"/>
  <c r="K199" i="30" s="1"/>
  <c r="B228" i="28"/>
  <c r="K228" i="28" s="1"/>
  <c r="C42" i="31"/>
  <c r="C198" i="30"/>
  <c r="C226" i="28"/>
  <c r="T7" i="5"/>
  <c r="B42" i="31"/>
  <c r="K42" i="31" s="1"/>
  <c r="B198" i="30"/>
  <c r="K198" i="30" s="1"/>
  <c r="B226" i="28"/>
  <c r="K226" i="28" s="1"/>
  <c r="G242" i="31"/>
  <c r="G323" i="30"/>
  <c r="G242" i="28"/>
  <c r="E242" i="31"/>
  <c r="E323" i="30"/>
  <c r="E242" i="28"/>
  <c r="C242" i="31"/>
  <c r="C323" i="30"/>
  <c r="C242" i="28"/>
  <c r="O16" i="5"/>
  <c r="B242" i="31"/>
  <c r="K242" i="31" s="1"/>
  <c r="B323" i="30"/>
  <c r="K323" i="30" s="1"/>
  <c r="B242" i="28"/>
  <c r="K242" i="28" s="1"/>
  <c r="G221" i="31"/>
  <c r="G322" i="30"/>
  <c r="G240" i="28"/>
  <c r="E221" i="31"/>
  <c r="E322" i="30"/>
  <c r="E240" i="28"/>
  <c r="C221" i="31"/>
  <c r="C322" i="30"/>
  <c r="C240" i="28"/>
  <c r="O15" i="5"/>
  <c r="B221" i="31"/>
  <c r="K221" i="31" s="1"/>
  <c r="B322" i="30"/>
  <c r="K322" i="30" s="1"/>
  <c r="B240" i="28"/>
  <c r="K240" i="28" s="1"/>
  <c r="C199" i="31"/>
  <c r="C321" i="30"/>
  <c r="C238" i="28"/>
  <c r="O14" i="5"/>
  <c r="B199" i="31"/>
  <c r="K199" i="31" s="1"/>
  <c r="B321" i="30"/>
  <c r="K321" i="30" s="1"/>
  <c r="B238" i="28"/>
  <c r="K238" i="28" s="1"/>
  <c r="G150" i="31"/>
  <c r="G319" i="30"/>
  <c r="G235" i="28"/>
  <c r="E150" i="31"/>
  <c r="E319" i="30"/>
  <c r="E235" i="28"/>
  <c r="C150" i="31"/>
  <c r="C319" i="30"/>
  <c r="C235" i="28"/>
  <c r="O12" i="5"/>
  <c r="B150" i="31"/>
  <c r="K150" i="31" s="1"/>
  <c r="B319" i="30"/>
  <c r="K319" i="30" s="1"/>
  <c r="B235" i="28"/>
  <c r="K235" i="28" s="1"/>
  <c r="G128" i="31"/>
  <c r="G318" i="30"/>
  <c r="G233" i="28"/>
  <c r="E128" i="31"/>
  <c r="E318" i="30"/>
  <c r="E233" i="28"/>
  <c r="C128" i="31"/>
  <c r="C318" i="30"/>
  <c r="C233" i="28"/>
  <c r="O11" i="5"/>
  <c r="B128" i="31"/>
  <c r="K128" i="31" s="1"/>
  <c r="B318" i="30"/>
  <c r="K318" i="30" s="1"/>
  <c r="B233" i="28"/>
  <c r="K233" i="28" s="1"/>
  <c r="C111" i="31"/>
  <c r="C317" i="30"/>
  <c r="C231" i="28"/>
  <c r="O10" i="5"/>
  <c r="B111" i="31"/>
  <c r="K111" i="31" s="1"/>
  <c r="B317" i="30"/>
  <c r="K317" i="30" s="1"/>
  <c r="B231" i="28"/>
  <c r="K231" i="28" s="1"/>
  <c r="G69" i="31"/>
  <c r="G315" i="30"/>
  <c r="G229" i="28"/>
  <c r="E69" i="31"/>
  <c r="E315" i="30"/>
  <c r="E229" i="28"/>
  <c r="C69" i="31"/>
  <c r="C315" i="30"/>
  <c r="C229" i="28"/>
  <c r="O8" i="5"/>
  <c r="B69" i="31"/>
  <c r="K69" i="31" s="1"/>
  <c r="B315" i="30"/>
  <c r="K315" i="30" s="1"/>
  <c r="B229" i="28"/>
  <c r="K229" i="28" s="1"/>
  <c r="G45" i="31"/>
  <c r="G314" i="30"/>
  <c r="G227" i="28"/>
  <c r="E45" i="31"/>
  <c r="E314" i="30"/>
  <c r="E227" i="28"/>
  <c r="C45" i="31"/>
  <c r="C314" i="30"/>
  <c r="C227" i="28"/>
  <c r="O7" i="5"/>
  <c r="B45" i="31"/>
  <c r="K45" i="31" s="1"/>
  <c r="B314" i="30"/>
  <c r="K314" i="30" s="1"/>
  <c r="B227" i="28"/>
  <c r="K227" i="28" s="1"/>
  <c r="C24" i="31"/>
  <c r="C313" i="30"/>
  <c r="C225" i="28"/>
  <c r="O6" i="5"/>
  <c r="B24" i="31"/>
  <c r="K24" i="31" s="1"/>
  <c r="B313" i="30"/>
  <c r="K313" i="30" s="1"/>
  <c r="B225" i="28"/>
  <c r="K225" i="28" s="1"/>
  <c r="E422" i="31"/>
  <c r="E93" i="30"/>
  <c r="E257" i="28"/>
  <c r="G359" i="31"/>
  <c r="G90" i="30"/>
  <c r="G248" i="28"/>
  <c r="G195" i="31"/>
  <c r="G205" i="30"/>
  <c r="G239" i="28"/>
  <c r="E124" i="31"/>
  <c r="E202" i="30"/>
  <c r="E234" i="28"/>
  <c r="E471" i="31"/>
  <c r="E95" i="30"/>
  <c r="E259" i="28"/>
  <c r="G332" i="31"/>
  <c r="G89" i="30"/>
  <c r="G247" i="28"/>
  <c r="E195" i="31"/>
  <c r="E205" i="30"/>
  <c r="E239" i="28"/>
  <c r="E66" i="31"/>
  <c r="E199" i="30"/>
  <c r="E228" i="28"/>
  <c r="G366" i="31"/>
  <c r="G396" i="30"/>
  <c r="G249" i="28"/>
  <c r="G299" i="31"/>
  <c r="G393" i="30"/>
  <c r="G243" i="28"/>
  <c r="G199" i="31"/>
  <c r="G321" i="30"/>
  <c r="G238" i="28"/>
  <c r="E111" i="31"/>
  <c r="E317" i="30"/>
  <c r="E231" i="28"/>
  <c r="E383" i="31"/>
  <c r="E91" i="30"/>
  <c r="E252" i="28"/>
  <c r="E308" i="31"/>
  <c r="E88" i="30"/>
  <c r="E246" i="28"/>
  <c r="E199" i="31"/>
  <c r="E321" i="30"/>
  <c r="E238" i="28"/>
  <c r="E24" i="31"/>
  <c r="E313" i="30"/>
  <c r="E225" i="28"/>
  <c r="E420" i="31"/>
  <c r="E18" i="30"/>
  <c r="E256" i="28"/>
  <c r="E294" i="31"/>
  <c r="E284" i="30"/>
  <c r="E245" i="28"/>
  <c r="G172" i="31"/>
  <c r="G204" i="30"/>
  <c r="G237" i="28"/>
  <c r="E108" i="31"/>
  <c r="E201" i="30"/>
  <c r="E232" i="28"/>
  <c r="G422" i="31"/>
  <c r="G93" i="30"/>
  <c r="G257" i="28"/>
  <c r="G496" i="31"/>
  <c r="G96" i="30"/>
  <c r="G260" i="28"/>
  <c r="G108" i="31"/>
  <c r="G201" i="30"/>
  <c r="G232" i="28"/>
  <c r="G42" i="31"/>
  <c r="G198" i="30"/>
  <c r="G226" i="28"/>
  <c r="E407" i="31"/>
  <c r="E92" i="30"/>
  <c r="E253" i="28"/>
  <c r="E332" i="31"/>
  <c r="E89" i="30"/>
  <c r="E247" i="28"/>
  <c r="E172" i="31"/>
  <c r="E204" i="30"/>
  <c r="E237" i="28"/>
  <c r="E42" i="31"/>
  <c r="E198" i="30"/>
  <c r="E226" i="28"/>
  <c r="G471" i="31"/>
  <c r="G95" i="30"/>
  <c r="G259" i="28"/>
  <c r="G407" i="31"/>
  <c r="G92" i="30"/>
  <c r="G253" i="28"/>
  <c r="G147" i="31"/>
  <c r="G203" i="30"/>
  <c r="G236" i="28"/>
  <c r="G87" i="31"/>
  <c r="G200" i="30"/>
  <c r="G230" i="28"/>
  <c r="G420" i="31"/>
  <c r="G18" i="30"/>
  <c r="G256" i="28"/>
  <c r="E364" i="31"/>
  <c r="E287" i="30"/>
  <c r="E251" i="28"/>
  <c r="G124" i="31"/>
  <c r="G202" i="30"/>
  <c r="G234" i="28"/>
  <c r="G66" i="31"/>
  <c r="G199" i="30"/>
  <c r="G228" i="28"/>
  <c r="E425" i="31"/>
  <c r="E169" i="30"/>
  <c r="E255" i="28"/>
  <c r="E292" i="31"/>
  <c r="E163" i="30"/>
  <c r="E244" i="28"/>
  <c r="G111" i="31"/>
  <c r="G317" i="30"/>
  <c r="G231" i="28"/>
  <c r="G24" i="31"/>
  <c r="G313" i="30"/>
  <c r="G225" i="28"/>
  <c r="Z43" i="5"/>
  <c r="Z21" i="5"/>
  <c r="K43" i="5"/>
  <c r="O21" i="5"/>
  <c r="B29" i="23"/>
  <c r="B28" i="23"/>
  <c r="B87" i="23"/>
  <c r="B88" i="23"/>
  <c r="B89" i="23"/>
  <c r="B90" i="23"/>
  <c r="B91" i="23"/>
  <c r="B86" i="23"/>
  <c r="B84" i="23"/>
  <c r="B83" i="23"/>
  <c r="C91" i="23"/>
  <c r="C90" i="23"/>
  <c r="C89" i="23"/>
  <c r="C88" i="23"/>
  <c r="C87" i="23"/>
  <c r="C86" i="23"/>
  <c r="C84" i="23"/>
  <c r="C83" i="23"/>
  <c r="C71" i="23"/>
  <c r="C81" i="23"/>
  <c r="C80" i="23"/>
  <c r="C79" i="23"/>
  <c r="C78" i="23"/>
  <c r="C77" i="23"/>
  <c r="C75" i="23"/>
  <c r="C74" i="23"/>
  <c r="C73" i="23"/>
  <c r="C72" i="23"/>
  <c r="B60" i="23"/>
  <c r="B61" i="23"/>
  <c r="B62" i="23"/>
  <c r="B63" i="23"/>
  <c r="B64" i="23"/>
  <c r="B65" i="23"/>
  <c r="B66" i="23"/>
  <c r="B67" i="23"/>
  <c r="B59" i="23"/>
  <c r="C68" i="23"/>
  <c r="C69" i="23"/>
  <c r="C67" i="23"/>
  <c r="C66" i="23"/>
  <c r="C65" i="23"/>
  <c r="C64" i="23"/>
  <c r="C63" i="23"/>
  <c r="C62" i="23"/>
  <c r="C61" i="23"/>
  <c r="C60" i="23"/>
  <c r="C59" i="23"/>
  <c r="B44" i="23"/>
  <c r="B45" i="23"/>
  <c r="B46" i="23"/>
  <c r="B47" i="23"/>
  <c r="B48" i="23"/>
  <c r="B49" i="23"/>
  <c r="B50" i="23"/>
  <c r="B51" i="23"/>
  <c r="B52" i="23"/>
  <c r="B53" i="23"/>
  <c r="B54" i="23"/>
  <c r="B55" i="23"/>
  <c r="B43" i="23"/>
  <c r="B30" i="23"/>
  <c r="B31" i="23"/>
  <c r="B32" i="23"/>
  <c r="B33" i="23"/>
  <c r="B34" i="23"/>
  <c r="B35" i="23"/>
  <c r="B36" i="23"/>
  <c r="B37" i="23"/>
  <c r="B38" i="23"/>
  <c r="B39" i="23"/>
  <c r="B40" i="23"/>
  <c r="B27" i="23"/>
  <c r="C55" i="23"/>
  <c r="C54" i="23"/>
  <c r="C53" i="23"/>
  <c r="C52" i="23"/>
  <c r="C51" i="23"/>
  <c r="C50" i="23"/>
  <c r="C49" i="23"/>
  <c r="C48" i="23"/>
  <c r="C47" i="23"/>
  <c r="C46" i="23"/>
  <c r="C45" i="23"/>
  <c r="C44" i="23"/>
  <c r="C43" i="23"/>
  <c r="C28" i="23"/>
  <c r="C30" i="23"/>
  <c r="C31" i="23"/>
  <c r="C32" i="23"/>
  <c r="C33" i="23"/>
  <c r="C34" i="23"/>
  <c r="C35" i="23"/>
  <c r="C36" i="23"/>
  <c r="C37" i="23"/>
  <c r="C38" i="23"/>
  <c r="C39" i="23"/>
  <c r="C40" i="23"/>
  <c r="C29" i="23"/>
  <c r="C27" i="23"/>
  <c r="E27" i="23"/>
  <c r="G27" i="23"/>
  <c r="E28" i="23"/>
  <c r="G28" i="23"/>
  <c r="E30" i="23"/>
  <c r="G30" i="23"/>
  <c r="E31" i="23"/>
  <c r="G31" i="23"/>
  <c r="E32" i="23"/>
  <c r="G32" i="23"/>
  <c r="E33" i="23"/>
  <c r="G33" i="23"/>
  <c r="E34" i="23"/>
  <c r="G34" i="23"/>
  <c r="E35" i="23"/>
  <c r="G35" i="23"/>
  <c r="E36" i="23"/>
  <c r="G36" i="23"/>
  <c r="E37" i="23"/>
  <c r="G37" i="23"/>
  <c r="E38" i="23"/>
  <c r="G38" i="23"/>
  <c r="E39" i="23"/>
  <c r="G39" i="23"/>
  <c r="E40" i="23"/>
  <c r="G40" i="23"/>
  <c r="E29" i="23"/>
  <c r="G29" i="23"/>
  <c r="E43" i="23"/>
  <c r="G43" i="23"/>
  <c r="E44" i="23"/>
  <c r="G44" i="23"/>
  <c r="E45" i="23"/>
  <c r="G45" i="23"/>
  <c r="E46" i="23"/>
  <c r="G46" i="23"/>
  <c r="E47" i="23"/>
  <c r="G47" i="23"/>
  <c r="E48" i="23"/>
  <c r="G48" i="23"/>
  <c r="E49" i="23"/>
  <c r="G49" i="23"/>
  <c r="E50" i="23"/>
  <c r="G50" i="23"/>
  <c r="E51" i="23"/>
  <c r="G51" i="23"/>
  <c r="E52" i="23"/>
  <c r="G52" i="23"/>
  <c r="E53" i="23"/>
  <c r="G53" i="23"/>
  <c r="E54" i="23"/>
  <c r="G54" i="23"/>
  <c r="E55" i="23"/>
  <c r="G55" i="23"/>
  <c r="E59" i="23"/>
  <c r="E60" i="23"/>
  <c r="E61" i="23"/>
  <c r="G61" i="23"/>
  <c r="E62" i="23"/>
  <c r="E63" i="23"/>
  <c r="E64" i="23"/>
  <c r="B23" i="23" s="1"/>
  <c r="E68" i="23" s="1"/>
  <c r="G64" i="23"/>
  <c r="A23" i="23" s="1"/>
  <c r="E65" i="23"/>
  <c r="B24" i="23" s="1"/>
  <c r="G68" i="23" s="1"/>
  <c r="G66" i="23"/>
  <c r="G67" i="23"/>
  <c r="E69" i="23"/>
  <c r="E72" i="23"/>
  <c r="E73" i="23"/>
  <c r="E74" i="23"/>
  <c r="E75" i="23"/>
  <c r="G77" i="23"/>
  <c r="E78" i="23"/>
  <c r="E80" i="23"/>
  <c r="G80" i="23"/>
  <c r="E71" i="23"/>
  <c r="E83" i="23"/>
  <c r="E84" i="23"/>
  <c r="G84" i="23"/>
  <c r="E86" i="23"/>
  <c r="E87" i="23"/>
  <c r="G88" i="23"/>
  <c r="E89" i="23"/>
  <c r="G89" i="23"/>
  <c r="B37" i="22"/>
  <c r="B36" i="22"/>
  <c r="B29" i="22"/>
  <c r="B28" i="22"/>
  <c r="C40" i="22"/>
  <c r="C39" i="22"/>
  <c r="C38" i="22"/>
  <c r="C35" i="22"/>
  <c r="C32" i="22"/>
  <c r="C37" i="22"/>
  <c r="C36" i="22"/>
  <c r="C29" i="22"/>
  <c r="C28" i="22"/>
  <c r="B25" i="22"/>
  <c r="B24" i="22"/>
  <c r="B20" i="22"/>
  <c r="B21" i="22"/>
  <c r="B19" i="22"/>
  <c r="B18" i="22"/>
  <c r="B11" i="22"/>
  <c r="B12" i="22"/>
  <c r="B13" i="22"/>
  <c r="B14" i="22"/>
  <c r="B15" i="22"/>
  <c r="B10" i="22"/>
  <c r="C25" i="22"/>
  <c r="C24" i="22"/>
  <c r="C19" i="22"/>
  <c r="C18" i="22"/>
  <c r="C21" i="22"/>
  <c r="C20" i="22"/>
  <c r="C15" i="22"/>
  <c r="C14" i="22"/>
  <c r="C13" i="22"/>
  <c r="C12" i="22"/>
  <c r="C11" i="22"/>
  <c r="C10" i="22"/>
  <c r="B23" i="22"/>
  <c r="B22" i="22"/>
  <c r="B17" i="22"/>
  <c r="B16" i="22"/>
  <c r="C17" i="22"/>
  <c r="C16" i="22"/>
  <c r="B27" i="19"/>
  <c r="B28" i="19"/>
  <c r="B29" i="19"/>
  <c r="E10" i="22"/>
  <c r="G10" i="22"/>
  <c r="E11" i="22"/>
  <c r="G11" i="22"/>
  <c r="E12" i="22"/>
  <c r="G12" i="22"/>
  <c r="E13" i="22"/>
  <c r="G13" i="22"/>
  <c r="E14" i="22"/>
  <c r="G14" i="22"/>
  <c r="E15" i="22"/>
  <c r="G15" i="22"/>
  <c r="E20" i="22"/>
  <c r="G20" i="22"/>
  <c r="E21" i="22"/>
  <c r="G21" i="22"/>
  <c r="E16" i="22"/>
  <c r="G16" i="22"/>
  <c r="E17" i="22"/>
  <c r="G17" i="22"/>
  <c r="E18" i="22"/>
  <c r="G18" i="22"/>
  <c r="E19" i="22"/>
  <c r="G19" i="22"/>
  <c r="E22" i="22"/>
  <c r="G22" i="22"/>
  <c r="E23" i="22"/>
  <c r="G23" i="22"/>
  <c r="E24" i="22"/>
  <c r="G24" i="22"/>
  <c r="E25" i="22"/>
  <c r="G25" i="22"/>
  <c r="E32" i="22"/>
  <c r="G32" i="22"/>
  <c r="E33" i="22"/>
  <c r="G33" i="22"/>
  <c r="E35" i="22"/>
  <c r="G35" i="22"/>
  <c r="E38" i="22"/>
  <c r="G38" i="22"/>
  <c r="E39" i="22"/>
  <c r="G39" i="22"/>
  <c r="E40" i="22"/>
  <c r="G40" i="22"/>
  <c r="E43" i="22"/>
  <c r="G43" i="22"/>
  <c r="E44" i="22"/>
  <c r="G44" i="22"/>
  <c r="E31" i="22"/>
  <c r="G31" i="22"/>
  <c r="E34" i="22"/>
  <c r="G34" i="22"/>
  <c r="E28" i="22"/>
  <c r="G28" i="22"/>
  <c r="E29" i="22"/>
  <c r="G29" i="22"/>
  <c r="E41" i="22"/>
  <c r="G41" i="22"/>
  <c r="E42" i="22"/>
  <c r="G42" i="22"/>
  <c r="E37" i="22"/>
  <c r="G37" i="22"/>
  <c r="E36" i="22"/>
  <c r="G36" i="22"/>
  <c r="B26" i="21"/>
  <c r="B25" i="21"/>
  <c r="B23" i="21"/>
  <c r="B22" i="21"/>
  <c r="B20" i="21"/>
  <c r="B19" i="21"/>
  <c r="C26" i="21"/>
  <c r="C25" i="21"/>
  <c r="C23" i="21"/>
  <c r="C22" i="21"/>
  <c r="C20" i="21"/>
  <c r="C19" i="21"/>
  <c r="B11" i="21"/>
  <c r="B12" i="21"/>
  <c r="B13" i="21"/>
  <c r="B14" i="21"/>
  <c r="B15" i="21"/>
  <c r="B10" i="21"/>
  <c r="C15" i="21"/>
  <c r="C14" i="21"/>
  <c r="C13" i="21"/>
  <c r="C12" i="21"/>
  <c r="C11" i="21"/>
  <c r="C10" i="21"/>
  <c r="E10" i="21"/>
  <c r="G10" i="21"/>
  <c r="E11" i="21"/>
  <c r="G11" i="21"/>
  <c r="E12" i="21"/>
  <c r="G12" i="21"/>
  <c r="E15" i="21"/>
  <c r="G15" i="21"/>
  <c r="E14" i="21"/>
  <c r="G14" i="21"/>
  <c r="E13" i="21"/>
  <c r="G13" i="21"/>
  <c r="E19" i="21"/>
  <c r="G19" i="21"/>
  <c r="E20" i="21"/>
  <c r="G20" i="21"/>
  <c r="E22" i="21"/>
  <c r="G22" i="21"/>
  <c r="E23" i="21"/>
  <c r="G23" i="21"/>
  <c r="E25" i="21"/>
  <c r="G25" i="21"/>
  <c r="E26" i="21"/>
  <c r="G26" i="21"/>
  <c r="A36" i="21"/>
  <c r="F36" i="21"/>
  <c r="A37" i="21"/>
  <c r="F37" i="21"/>
  <c r="A38" i="21"/>
  <c r="F38" i="21"/>
  <c r="A40" i="21"/>
  <c r="F40" i="21"/>
  <c r="A41" i="21"/>
  <c r="F41" i="21"/>
  <c r="A42" i="21"/>
  <c r="F42" i="21"/>
  <c r="B61" i="20"/>
  <c r="B62" i="20"/>
  <c r="B63" i="20"/>
  <c r="B64" i="20"/>
  <c r="B65" i="20"/>
  <c r="B60" i="20"/>
  <c r="B57" i="20"/>
  <c r="B58" i="20"/>
  <c r="B56" i="20"/>
  <c r="C65" i="20"/>
  <c r="C64" i="20"/>
  <c r="C63" i="20"/>
  <c r="C62" i="20"/>
  <c r="C61" i="20"/>
  <c r="C60" i="20"/>
  <c r="C58" i="20"/>
  <c r="C57" i="20"/>
  <c r="C56" i="20"/>
  <c r="B45" i="20"/>
  <c r="B46" i="20"/>
  <c r="B47" i="20"/>
  <c r="B48" i="20"/>
  <c r="B49" i="20"/>
  <c r="B50" i="20"/>
  <c r="B51" i="20"/>
  <c r="B52" i="20"/>
  <c r="B53" i="20"/>
  <c r="B54" i="20"/>
  <c r="B44" i="20"/>
  <c r="C54" i="20"/>
  <c r="C53" i="20"/>
  <c r="C52" i="20"/>
  <c r="C51" i="20"/>
  <c r="C50" i="20"/>
  <c r="C49" i="20"/>
  <c r="C48" i="20"/>
  <c r="C47" i="20"/>
  <c r="C46" i="20"/>
  <c r="C45" i="20"/>
  <c r="C44" i="20"/>
  <c r="B27" i="20"/>
  <c r="B28" i="20"/>
  <c r="B29" i="20"/>
  <c r="B30" i="20"/>
  <c r="B26" i="20"/>
  <c r="B24" i="20"/>
  <c r="B23" i="20"/>
  <c r="B21" i="20"/>
  <c r="B20" i="20"/>
  <c r="C30" i="20"/>
  <c r="C29" i="20"/>
  <c r="C28" i="20"/>
  <c r="C27" i="20"/>
  <c r="C26" i="20"/>
  <c r="C24" i="20"/>
  <c r="C23" i="20"/>
  <c r="C21" i="20"/>
  <c r="C20" i="20"/>
  <c r="C33" i="20"/>
  <c r="C34" i="20"/>
  <c r="C35" i="20"/>
  <c r="C36" i="20"/>
  <c r="C37" i="20"/>
  <c r="C38" i="20"/>
  <c r="C39" i="20"/>
  <c r="C40" i="20"/>
  <c r="C32" i="20"/>
  <c r="E20" i="20"/>
  <c r="G20" i="20"/>
  <c r="E21" i="20"/>
  <c r="G21" i="20"/>
  <c r="E23" i="20"/>
  <c r="G23" i="20"/>
  <c r="E24" i="20"/>
  <c r="G24" i="20"/>
  <c r="E26" i="20"/>
  <c r="G26" i="20"/>
  <c r="E27" i="20"/>
  <c r="G27" i="20"/>
  <c r="E28" i="20"/>
  <c r="G28" i="20"/>
  <c r="E29" i="20"/>
  <c r="G29" i="20"/>
  <c r="E30" i="20"/>
  <c r="G30" i="20"/>
  <c r="E32" i="20"/>
  <c r="G32" i="20"/>
  <c r="E33" i="20"/>
  <c r="G33" i="20"/>
  <c r="E34" i="20"/>
  <c r="G34" i="20"/>
  <c r="E35" i="20"/>
  <c r="G35" i="20"/>
  <c r="E39" i="20"/>
  <c r="G39" i="20"/>
  <c r="E37" i="20"/>
  <c r="G37" i="20"/>
  <c r="E38" i="20"/>
  <c r="G38" i="20"/>
  <c r="E36" i="20"/>
  <c r="G36" i="20"/>
  <c r="E40" i="20"/>
  <c r="G40" i="20"/>
  <c r="E44" i="20"/>
  <c r="G44" i="20"/>
  <c r="E45" i="20"/>
  <c r="G45" i="20"/>
  <c r="E46" i="20"/>
  <c r="G46" i="20"/>
  <c r="E47" i="20"/>
  <c r="G47" i="20"/>
  <c r="E48" i="20"/>
  <c r="G48" i="20"/>
  <c r="E49" i="20"/>
  <c r="G49" i="20"/>
  <c r="E50" i="20"/>
  <c r="G50" i="20"/>
  <c r="E51" i="20"/>
  <c r="G51" i="20"/>
  <c r="E52" i="20"/>
  <c r="G52" i="20"/>
  <c r="E56" i="20"/>
  <c r="G56" i="20"/>
  <c r="E57" i="20"/>
  <c r="G57" i="20"/>
  <c r="E58" i="20"/>
  <c r="G58" i="20"/>
  <c r="E60" i="20"/>
  <c r="G60" i="20"/>
  <c r="E61" i="20"/>
  <c r="G61" i="20"/>
  <c r="E62" i="20"/>
  <c r="G62" i="20"/>
  <c r="E63" i="20"/>
  <c r="G63" i="20"/>
  <c r="E64" i="20"/>
  <c r="G64" i="20"/>
  <c r="E65" i="20"/>
  <c r="G65" i="20"/>
  <c r="B61" i="19"/>
  <c r="B62" i="19"/>
  <c r="B63" i="19"/>
  <c r="B64" i="19"/>
  <c r="B65" i="19"/>
  <c r="B66" i="19"/>
  <c r="B67" i="19"/>
  <c r="B68" i="19"/>
  <c r="B69" i="19"/>
  <c r="B60" i="19"/>
  <c r="C61" i="19"/>
  <c r="C62" i="19"/>
  <c r="C63" i="19"/>
  <c r="C64" i="19"/>
  <c r="C65" i="19"/>
  <c r="C66" i="19"/>
  <c r="C67" i="19"/>
  <c r="C68" i="19"/>
  <c r="C69" i="19"/>
  <c r="C60" i="19"/>
  <c r="B49" i="19"/>
  <c r="B50" i="19"/>
  <c r="B51" i="19"/>
  <c r="B52" i="19"/>
  <c r="B53" i="19"/>
  <c r="B54" i="19"/>
  <c r="B55" i="19"/>
  <c r="B56" i="19"/>
  <c r="B48" i="19"/>
  <c r="C49" i="19"/>
  <c r="C50" i="19"/>
  <c r="C51" i="19"/>
  <c r="C52" i="19"/>
  <c r="C53" i="19"/>
  <c r="C54" i="19"/>
  <c r="C55" i="19"/>
  <c r="C56" i="19"/>
  <c r="C57" i="19"/>
  <c r="C58" i="19"/>
  <c r="C48" i="19"/>
  <c r="B36" i="19"/>
  <c r="B37" i="19"/>
  <c r="B38" i="19"/>
  <c r="B39" i="19"/>
  <c r="B40" i="19"/>
  <c r="B41" i="19"/>
  <c r="B42" i="19"/>
  <c r="B43" i="19"/>
  <c r="B44" i="19"/>
  <c r="B35" i="19"/>
  <c r="C44" i="19"/>
  <c r="C43" i="19"/>
  <c r="C42" i="19"/>
  <c r="C41" i="19"/>
  <c r="C40" i="19"/>
  <c r="C39" i="19"/>
  <c r="C38" i="19"/>
  <c r="C37" i="19"/>
  <c r="C36" i="19"/>
  <c r="C35" i="19"/>
  <c r="B31" i="19"/>
  <c r="B32" i="19"/>
  <c r="B33" i="19"/>
  <c r="B26" i="19"/>
  <c r="B25" i="19"/>
  <c r="B24" i="19"/>
  <c r="C33" i="19"/>
  <c r="C32" i="19"/>
  <c r="C31" i="19"/>
  <c r="C29" i="19"/>
  <c r="C28" i="19"/>
  <c r="C27" i="19"/>
  <c r="C26" i="19"/>
  <c r="C25" i="19"/>
  <c r="C24" i="19"/>
  <c r="E24" i="19"/>
  <c r="G24" i="19"/>
  <c r="E25" i="19"/>
  <c r="G25" i="19"/>
  <c r="E26" i="19"/>
  <c r="G26" i="19"/>
  <c r="E27" i="19"/>
  <c r="G27" i="19"/>
  <c r="E28" i="19"/>
  <c r="G28" i="19"/>
  <c r="E29" i="19"/>
  <c r="G29" i="19"/>
  <c r="E31" i="19"/>
  <c r="G31" i="19"/>
  <c r="E32" i="19"/>
  <c r="G32" i="19"/>
  <c r="E33" i="19"/>
  <c r="G33" i="19"/>
  <c r="E39" i="19"/>
  <c r="G39" i="19"/>
  <c r="E36" i="19"/>
  <c r="G36" i="19"/>
  <c r="E37" i="19"/>
  <c r="G37" i="19"/>
  <c r="E38" i="19"/>
  <c r="G38" i="19"/>
  <c r="E35" i="19"/>
  <c r="G35" i="19"/>
  <c r="E40" i="19"/>
  <c r="G40" i="19"/>
  <c r="E41" i="19"/>
  <c r="G41" i="19"/>
  <c r="F17" i="19" s="1"/>
  <c r="G63" i="19" s="1"/>
  <c r="E42" i="19"/>
  <c r="G42" i="19"/>
  <c r="B17" i="19" s="1"/>
  <c r="G49" i="19" s="1"/>
  <c r="E43" i="19"/>
  <c r="G43" i="19"/>
  <c r="E44" i="19"/>
  <c r="G44" i="19"/>
  <c r="E48" i="19"/>
  <c r="G48" i="19"/>
  <c r="E49" i="19"/>
  <c r="E50" i="19"/>
  <c r="G50" i="19"/>
  <c r="E51" i="19"/>
  <c r="G51" i="19"/>
  <c r="E52" i="19"/>
  <c r="G52" i="19"/>
  <c r="E53" i="19"/>
  <c r="G53" i="19"/>
  <c r="E54" i="19"/>
  <c r="G54" i="19"/>
  <c r="E55" i="19"/>
  <c r="G55" i="19"/>
  <c r="E56" i="19"/>
  <c r="G56" i="19"/>
  <c r="E57" i="19"/>
  <c r="G57" i="19"/>
  <c r="E58" i="19"/>
  <c r="G58" i="19"/>
  <c r="E60" i="19"/>
  <c r="E61" i="19"/>
  <c r="G61" i="19"/>
  <c r="E62" i="19"/>
  <c r="E63" i="19"/>
  <c r="E64" i="19"/>
  <c r="E65" i="19"/>
  <c r="G65" i="19"/>
  <c r="E66" i="19"/>
  <c r="G66" i="19"/>
  <c r="G67" i="19"/>
  <c r="E68" i="19"/>
  <c r="G68" i="19"/>
  <c r="E69" i="19"/>
  <c r="G69" i="19"/>
  <c r="B71" i="18"/>
  <c r="B70" i="18"/>
  <c r="B69" i="18"/>
  <c r="B68" i="18"/>
  <c r="B66" i="18"/>
  <c r="B65" i="18"/>
  <c r="B64" i="18"/>
  <c r="B63" i="18"/>
  <c r="C70" i="18"/>
  <c r="C69" i="18"/>
  <c r="C66" i="18"/>
  <c r="C65" i="18"/>
  <c r="C71" i="18"/>
  <c r="C68" i="18"/>
  <c r="C64" i="18"/>
  <c r="C63" i="18"/>
  <c r="B52" i="18"/>
  <c r="B53" i="18"/>
  <c r="B54" i="18"/>
  <c r="B55" i="18"/>
  <c r="B56" i="18"/>
  <c r="B57" i="18"/>
  <c r="B58" i="18"/>
  <c r="B59" i="18"/>
  <c r="B60" i="18"/>
  <c r="B61" i="18"/>
  <c r="B51" i="18"/>
  <c r="C61" i="18"/>
  <c r="C60" i="18"/>
  <c r="C59" i="18"/>
  <c r="C58" i="18"/>
  <c r="C57" i="18"/>
  <c r="C56" i="18"/>
  <c r="C55" i="18"/>
  <c r="C54" i="18"/>
  <c r="C53" i="18"/>
  <c r="C52" i="18"/>
  <c r="C51" i="18"/>
  <c r="B36" i="18"/>
  <c r="B37" i="18"/>
  <c r="B38" i="18"/>
  <c r="B35" i="18"/>
  <c r="B27" i="18"/>
  <c r="B25" i="18"/>
  <c r="B24" i="18"/>
  <c r="B23" i="18"/>
  <c r="B22" i="18"/>
  <c r="B21" i="18"/>
  <c r="B20" i="18"/>
  <c r="C47" i="18"/>
  <c r="C46" i="18"/>
  <c r="C45" i="18"/>
  <c r="C44" i="18"/>
  <c r="C43" i="18"/>
  <c r="C42" i="18"/>
  <c r="C41" i="18"/>
  <c r="C32" i="18"/>
  <c r="C31" i="18"/>
  <c r="C30" i="18"/>
  <c r="C29" i="18"/>
  <c r="C28" i="18"/>
  <c r="C25" i="18"/>
  <c r="C24" i="18"/>
  <c r="C27" i="18"/>
  <c r="C23" i="18"/>
  <c r="D15" i="18"/>
  <c r="G56" i="18" s="1"/>
  <c r="E15" i="18"/>
  <c r="G57" i="18" s="1"/>
  <c r="E66" i="18"/>
  <c r="D16" i="18"/>
  <c r="G53" i="18" s="1"/>
  <c r="E16" i="18"/>
  <c r="G45" i="18" s="1"/>
  <c r="G66" i="18"/>
  <c r="G63" i="18"/>
  <c r="G65" i="18"/>
  <c r="E20" i="18"/>
  <c r="G20" i="18"/>
  <c r="E21" i="18"/>
  <c r="G21" i="18"/>
  <c r="E22" i="18"/>
  <c r="G22" i="18"/>
  <c r="E23" i="18"/>
  <c r="G23" i="18"/>
  <c r="E24" i="18"/>
  <c r="G24" i="18"/>
  <c r="E25" i="18"/>
  <c r="G25" i="18"/>
  <c r="E28" i="18"/>
  <c r="G28" i="18"/>
  <c r="E29" i="18"/>
  <c r="G29" i="18"/>
  <c r="E27" i="18"/>
  <c r="G27" i="18"/>
  <c r="E30" i="18"/>
  <c r="G30" i="18"/>
  <c r="E31" i="18"/>
  <c r="G31" i="18"/>
  <c r="E32" i="18"/>
  <c r="E45" i="18"/>
  <c r="E38" i="18"/>
  <c r="G38" i="18"/>
  <c r="E36" i="18"/>
  <c r="G36" i="18"/>
  <c r="E37" i="18"/>
  <c r="G37" i="18"/>
  <c r="E35" i="18"/>
  <c r="G35" i="18"/>
  <c r="E40" i="18"/>
  <c r="G40" i="18"/>
  <c r="E41" i="18"/>
  <c r="G41" i="18"/>
  <c r="E42" i="18"/>
  <c r="G42" i="18"/>
  <c r="E43" i="18"/>
  <c r="G43" i="18"/>
  <c r="E44" i="18"/>
  <c r="G44" i="18"/>
  <c r="E46" i="18"/>
  <c r="G46" i="18"/>
  <c r="E47" i="18"/>
  <c r="G47" i="18"/>
  <c r="E51" i="18"/>
  <c r="G51" i="18"/>
  <c r="E52" i="18"/>
  <c r="G52" i="18"/>
  <c r="E55" i="18"/>
  <c r="G55" i="18"/>
  <c r="E56" i="18"/>
  <c r="E57" i="18"/>
  <c r="E58" i="18"/>
  <c r="G58" i="18"/>
  <c r="E65" i="18"/>
  <c r="E63" i="18"/>
  <c r="E64" i="18"/>
  <c r="G64" i="18"/>
  <c r="E69" i="18"/>
  <c r="G69" i="18"/>
  <c r="E70" i="18"/>
  <c r="G70" i="18"/>
  <c r="E68" i="18"/>
  <c r="G68" i="18"/>
  <c r="E71" i="18"/>
  <c r="G71" i="18"/>
  <c r="B68" i="17"/>
  <c r="B69" i="17"/>
  <c r="B70" i="17"/>
  <c r="B71" i="17"/>
  <c r="B67" i="17"/>
  <c r="B65" i="17"/>
  <c r="B64" i="17"/>
  <c r="B62" i="17"/>
  <c r="B61" i="17"/>
  <c r="B55" i="17"/>
  <c r="B56" i="17"/>
  <c r="B57" i="17"/>
  <c r="B58" i="17"/>
  <c r="B59" i="17"/>
  <c r="B54" i="17"/>
  <c r="B52" i="17"/>
  <c r="B51" i="17"/>
  <c r="B49" i="17"/>
  <c r="B48" i="17"/>
  <c r="C71" i="17"/>
  <c r="C70" i="17"/>
  <c r="C69" i="17"/>
  <c r="C68" i="17"/>
  <c r="C67" i="17"/>
  <c r="C65" i="17"/>
  <c r="C64" i="17"/>
  <c r="C62" i="17"/>
  <c r="C61" i="17"/>
  <c r="C59" i="17"/>
  <c r="C58" i="17"/>
  <c r="C57" i="17"/>
  <c r="C55" i="17"/>
  <c r="C56" i="17"/>
  <c r="C54" i="17"/>
  <c r="C52" i="17"/>
  <c r="C51" i="17"/>
  <c r="C49" i="17"/>
  <c r="C48" i="17"/>
  <c r="B36" i="17"/>
  <c r="B37" i="17"/>
  <c r="B38" i="17"/>
  <c r="B39" i="17"/>
  <c r="B40" i="17"/>
  <c r="B41" i="17"/>
  <c r="B42" i="17"/>
  <c r="B43" i="17"/>
  <c r="B44" i="17"/>
  <c r="B35" i="17"/>
  <c r="C44" i="17"/>
  <c r="C43" i="17"/>
  <c r="C42" i="17"/>
  <c r="C41" i="17"/>
  <c r="C40" i="17"/>
  <c r="C39" i="17"/>
  <c r="C38" i="17"/>
  <c r="C37" i="17"/>
  <c r="C36" i="17"/>
  <c r="C35" i="17"/>
  <c r="B31" i="17"/>
  <c r="B32" i="17"/>
  <c r="B33" i="17"/>
  <c r="B22" i="17"/>
  <c r="B23" i="17"/>
  <c r="B24" i="17"/>
  <c r="B25" i="17"/>
  <c r="B26" i="17"/>
  <c r="B27" i="17"/>
  <c r="B28" i="17"/>
  <c r="B29" i="17"/>
  <c r="B30" i="17"/>
  <c r="B21" i="17"/>
  <c r="B20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D15" i="17"/>
  <c r="G56" i="17" s="1"/>
  <c r="E15" i="17"/>
  <c r="G55" i="17" s="1"/>
  <c r="F15" i="17"/>
  <c r="E62" i="17" s="1"/>
  <c r="D16" i="17"/>
  <c r="G32" i="17" s="1"/>
  <c r="E16" i="17"/>
  <c r="G52" i="17" s="1"/>
  <c r="G62" i="17"/>
  <c r="C17" i="17"/>
  <c r="G64" i="17" s="1"/>
  <c r="F17" i="17"/>
  <c r="G61" i="17" s="1"/>
  <c r="E22" i="17"/>
  <c r="G22" i="17"/>
  <c r="E23" i="17"/>
  <c r="G23" i="17"/>
  <c r="E24" i="17"/>
  <c r="G24" i="17"/>
  <c r="E25" i="17"/>
  <c r="G25" i="17"/>
  <c r="E26" i="17"/>
  <c r="G26" i="17"/>
  <c r="E27" i="17"/>
  <c r="G27" i="17"/>
  <c r="E28" i="17"/>
  <c r="G28" i="17"/>
  <c r="E29" i="17"/>
  <c r="G29" i="17"/>
  <c r="E30" i="17"/>
  <c r="G30" i="17"/>
  <c r="E42" i="17"/>
  <c r="G42" i="17"/>
  <c r="E31" i="17"/>
  <c r="G31" i="17"/>
  <c r="E32" i="17"/>
  <c r="E33" i="17"/>
  <c r="E20" i="17"/>
  <c r="G20" i="17"/>
  <c r="E21" i="17"/>
  <c r="G21" i="17"/>
  <c r="E35" i="17"/>
  <c r="G35" i="17"/>
  <c r="E36" i="17"/>
  <c r="G36" i="17"/>
  <c r="E37" i="17"/>
  <c r="G37" i="17"/>
  <c r="E38" i="17"/>
  <c r="G38" i="17"/>
  <c r="E39" i="17"/>
  <c r="G39" i="17"/>
  <c r="E40" i="17"/>
  <c r="G40" i="17"/>
  <c r="E41" i="17"/>
  <c r="G41" i="17"/>
  <c r="E43" i="17"/>
  <c r="G43" i="17"/>
  <c r="E44" i="17"/>
  <c r="G44" i="17"/>
  <c r="E48" i="17"/>
  <c r="G48" i="17"/>
  <c r="E49" i="17"/>
  <c r="G49" i="17"/>
  <c r="E54" i="17"/>
  <c r="G54" i="17"/>
  <c r="E56" i="17"/>
  <c r="E55" i="17"/>
  <c r="E61" i="17"/>
  <c r="E64" i="17"/>
  <c r="E65" i="17"/>
  <c r="G65" i="17"/>
  <c r="E67" i="17"/>
  <c r="G67" i="17"/>
  <c r="E68" i="17"/>
  <c r="G68" i="17"/>
  <c r="E69" i="17"/>
  <c r="G69" i="17"/>
  <c r="E70" i="17"/>
  <c r="G70" i="17"/>
  <c r="E71" i="17"/>
  <c r="G71" i="17"/>
  <c r="C87" i="16"/>
  <c r="C86" i="16"/>
  <c r="C85" i="16"/>
  <c r="C84" i="16"/>
  <c r="C82" i="16"/>
  <c r="C81" i="16"/>
  <c r="C80" i="16"/>
  <c r="C79" i="16"/>
  <c r="B70" i="16"/>
  <c r="B68" i="16"/>
  <c r="B67" i="16"/>
  <c r="C77" i="16"/>
  <c r="C72" i="16"/>
  <c r="C75" i="16"/>
  <c r="C74" i="16"/>
  <c r="C73" i="16"/>
  <c r="C76" i="16"/>
  <c r="C71" i="16"/>
  <c r="C70" i="16"/>
  <c r="C68" i="16"/>
  <c r="C67" i="16"/>
  <c r="B57" i="16"/>
  <c r="B58" i="16"/>
  <c r="B59" i="16"/>
  <c r="B60" i="16"/>
  <c r="B61" i="16"/>
  <c r="B62" i="16"/>
  <c r="B63" i="16"/>
  <c r="B64" i="16"/>
  <c r="B65" i="16"/>
  <c r="B56" i="16"/>
  <c r="C65" i="16"/>
  <c r="C64" i="16"/>
  <c r="C63" i="16"/>
  <c r="C62" i="16"/>
  <c r="C61" i="16"/>
  <c r="C60" i="16"/>
  <c r="C59" i="16"/>
  <c r="C58" i="16"/>
  <c r="C57" i="16"/>
  <c r="C56" i="16"/>
  <c r="B43" i="16"/>
  <c r="B44" i="16"/>
  <c r="B45" i="16"/>
  <c r="B46" i="16"/>
  <c r="B47" i="16"/>
  <c r="B48" i="16"/>
  <c r="B49" i="16"/>
  <c r="B50" i="16"/>
  <c r="B51" i="16"/>
  <c r="B52" i="16"/>
  <c r="B42" i="16"/>
  <c r="B41" i="16"/>
  <c r="B40" i="16"/>
  <c r="C43" i="16"/>
  <c r="C44" i="16"/>
  <c r="C45" i="16"/>
  <c r="C46" i="16"/>
  <c r="C47" i="16"/>
  <c r="C48" i="16"/>
  <c r="C49" i="16"/>
  <c r="C50" i="16"/>
  <c r="C51" i="16"/>
  <c r="C52" i="16"/>
  <c r="C42" i="16"/>
  <c r="C41" i="16"/>
  <c r="C40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26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F18" i="16"/>
  <c r="G77" i="16" s="1"/>
  <c r="G18" i="16"/>
  <c r="G71" i="16" s="1"/>
  <c r="A19" i="16"/>
  <c r="G56" i="16" s="1"/>
  <c r="B19" i="16"/>
  <c r="C19" i="16"/>
  <c r="D19" i="16"/>
  <c r="A22" i="16"/>
  <c r="E64" i="16" s="1"/>
  <c r="B22" i="16"/>
  <c r="A23" i="16"/>
  <c r="G64" i="16" s="1"/>
  <c r="B23" i="16"/>
  <c r="G65" i="16" s="1"/>
  <c r="E26" i="16"/>
  <c r="G26" i="16"/>
  <c r="E27" i="16"/>
  <c r="G27" i="16"/>
  <c r="E28" i="16"/>
  <c r="G28" i="16"/>
  <c r="E29" i="16"/>
  <c r="G29" i="16"/>
  <c r="E30" i="16"/>
  <c r="G30" i="16"/>
  <c r="E31" i="16"/>
  <c r="G31" i="16"/>
  <c r="E32" i="16"/>
  <c r="G32" i="16"/>
  <c r="E33" i="16"/>
  <c r="G33" i="16"/>
  <c r="E34" i="16"/>
  <c r="G34" i="16"/>
  <c r="E35" i="16"/>
  <c r="G35" i="16"/>
  <c r="E36" i="16"/>
  <c r="G36" i="16"/>
  <c r="E37" i="16"/>
  <c r="G37" i="16"/>
  <c r="E38" i="16"/>
  <c r="G38" i="16"/>
  <c r="E40" i="16"/>
  <c r="G40" i="16"/>
  <c r="E41" i="16"/>
  <c r="G41" i="16"/>
  <c r="E42" i="16"/>
  <c r="G42" i="16"/>
  <c r="E43" i="16"/>
  <c r="G43" i="16"/>
  <c r="E44" i="16"/>
  <c r="G44" i="16"/>
  <c r="E45" i="16"/>
  <c r="G19" i="16" s="1"/>
  <c r="G70" i="16" s="1"/>
  <c r="G45" i="16"/>
  <c r="E18" i="16" s="1"/>
  <c r="G76" i="16" s="1"/>
  <c r="E46" i="16"/>
  <c r="G46" i="16"/>
  <c r="E47" i="16"/>
  <c r="G47" i="16"/>
  <c r="E48" i="16"/>
  <c r="G48" i="16"/>
  <c r="E49" i="16"/>
  <c r="G49" i="16"/>
  <c r="E50" i="16"/>
  <c r="G50" i="16"/>
  <c r="E51" i="16"/>
  <c r="G51" i="16"/>
  <c r="E52" i="16"/>
  <c r="G52" i="16"/>
  <c r="E56" i="16"/>
  <c r="E57" i="16"/>
  <c r="G57" i="16"/>
  <c r="E58" i="16"/>
  <c r="G58" i="16"/>
  <c r="E59" i="16"/>
  <c r="G59" i="16"/>
  <c r="E60" i="16"/>
  <c r="G60" i="16"/>
  <c r="E61" i="16"/>
  <c r="G61" i="16"/>
  <c r="E62" i="16"/>
  <c r="G62" i="16"/>
  <c r="E63" i="16"/>
  <c r="G63" i="16"/>
  <c r="E65" i="16"/>
  <c r="E67" i="16"/>
  <c r="E68" i="16"/>
  <c r="E70" i="16"/>
  <c r="E71" i="16"/>
  <c r="E76" i="16"/>
  <c r="E73" i="16"/>
  <c r="G73" i="16"/>
  <c r="E74" i="16"/>
  <c r="G74" i="16"/>
  <c r="E75" i="16"/>
  <c r="G75" i="16"/>
  <c r="E72" i="16"/>
  <c r="G72" i="16"/>
  <c r="E77" i="16"/>
  <c r="E79" i="16"/>
  <c r="G79" i="16"/>
  <c r="E80" i="16"/>
  <c r="G80" i="16"/>
  <c r="E81" i="16"/>
  <c r="G81" i="16"/>
  <c r="E82" i="16"/>
  <c r="G82" i="16"/>
  <c r="E84" i="16"/>
  <c r="G84" i="16"/>
  <c r="E85" i="16"/>
  <c r="G85" i="16"/>
  <c r="E86" i="16"/>
  <c r="G86" i="16"/>
  <c r="E87" i="16"/>
  <c r="G87" i="16"/>
  <c r="B24" i="14"/>
  <c r="B25" i="14"/>
  <c r="B26" i="14"/>
  <c r="B27" i="14"/>
  <c r="B28" i="14"/>
  <c r="B23" i="14"/>
  <c r="B11" i="14"/>
  <c r="B12" i="14"/>
  <c r="B13" i="14"/>
  <c r="B14" i="14"/>
  <c r="B15" i="14"/>
  <c r="B16" i="14"/>
  <c r="B17" i="14"/>
  <c r="B18" i="14"/>
  <c r="B19" i="14"/>
  <c r="B10" i="14"/>
  <c r="C34" i="14"/>
  <c r="C33" i="14"/>
  <c r="C32" i="14"/>
  <c r="C31" i="14"/>
  <c r="C30" i="14"/>
  <c r="C28" i="14"/>
  <c r="C27" i="14"/>
  <c r="C26" i="14"/>
  <c r="C25" i="14"/>
  <c r="C24" i="14"/>
  <c r="C23" i="14"/>
  <c r="C19" i="14"/>
  <c r="C18" i="14"/>
  <c r="C17" i="14"/>
  <c r="C16" i="14"/>
  <c r="C15" i="14"/>
  <c r="C14" i="14"/>
  <c r="C13" i="14"/>
  <c r="C12" i="14"/>
  <c r="C11" i="14"/>
  <c r="C10" i="14"/>
  <c r="E10" i="14"/>
  <c r="G10" i="14"/>
  <c r="E11" i="14"/>
  <c r="G11" i="14"/>
  <c r="E19" i="14"/>
  <c r="G19" i="14"/>
  <c r="E13" i="14"/>
  <c r="G13" i="14"/>
  <c r="E14" i="14"/>
  <c r="G14" i="14"/>
  <c r="E15" i="14"/>
  <c r="G15" i="14"/>
  <c r="E16" i="14"/>
  <c r="G16" i="14"/>
  <c r="E17" i="14"/>
  <c r="G17" i="14"/>
  <c r="E18" i="14"/>
  <c r="G18" i="14"/>
  <c r="E12" i="14"/>
  <c r="G12" i="14"/>
  <c r="E23" i="14"/>
  <c r="G23" i="14"/>
  <c r="E24" i="14"/>
  <c r="G24" i="14"/>
  <c r="E31" i="14"/>
  <c r="G31" i="14"/>
  <c r="E32" i="14"/>
  <c r="G32" i="14"/>
  <c r="E33" i="14"/>
  <c r="G33" i="14"/>
  <c r="E34" i="14"/>
  <c r="B28" i="12"/>
  <c r="B27" i="12"/>
  <c r="B26" i="12"/>
  <c r="B25" i="12"/>
  <c r="B23" i="12"/>
  <c r="B22" i="12"/>
  <c r="C30" i="12"/>
  <c r="C31" i="12"/>
  <c r="C27" i="12"/>
  <c r="C26" i="12"/>
  <c r="C25" i="12"/>
  <c r="C23" i="12"/>
  <c r="C22" i="12"/>
  <c r="B18" i="12"/>
  <c r="B17" i="12"/>
  <c r="B16" i="12"/>
  <c r="B14" i="12"/>
  <c r="B13" i="12"/>
  <c r="B12" i="12"/>
  <c r="B10" i="12"/>
  <c r="C18" i="12"/>
  <c r="C17" i="12"/>
  <c r="C16" i="12"/>
  <c r="C14" i="12"/>
  <c r="C12" i="12"/>
  <c r="C13" i="12"/>
  <c r="C10" i="12"/>
  <c r="E10" i="12"/>
  <c r="G10" i="12"/>
  <c r="E12" i="12"/>
  <c r="G12" i="12"/>
  <c r="E14" i="12"/>
  <c r="G14" i="12"/>
  <c r="E13" i="12"/>
  <c r="G13" i="12"/>
  <c r="E16" i="12"/>
  <c r="G16" i="12"/>
  <c r="E17" i="12"/>
  <c r="G17" i="12"/>
  <c r="E18" i="12"/>
  <c r="G18" i="12"/>
  <c r="E22" i="12"/>
  <c r="G22" i="12"/>
  <c r="E23" i="12"/>
  <c r="G23" i="12"/>
  <c r="E31" i="12"/>
  <c r="G31" i="12"/>
  <c r="E30" i="12"/>
  <c r="G30" i="12"/>
  <c r="B38" i="12"/>
  <c r="G38" i="12"/>
  <c r="B39" i="12"/>
  <c r="G39" i="12"/>
  <c r="B40" i="12"/>
  <c r="G40" i="12"/>
  <c r="B41" i="12"/>
  <c r="G41" i="12"/>
  <c r="B26" i="11"/>
  <c r="B27" i="11"/>
  <c r="B28" i="11"/>
  <c r="B29" i="11"/>
  <c r="B30" i="11"/>
  <c r="B31" i="11"/>
  <c r="B32" i="11"/>
  <c r="B33" i="11"/>
  <c r="B34" i="11"/>
  <c r="B35" i="11"/>
  <c r="B25" i="11"/>
  <c r="C35" i="11"/>
  <c r="C34" i="11"/>
  <c r="C33" i="11"/>
  <c r="C32" i="11"/>
  <c r="C31" i="11"/>
  <c r="C30" i="11"/>
  <c r="C29" i="11"/>
  <c r="C28" i="11"/>
  <c r="C27" i="11"/>
  <c r="C26" i="11"/>
  <c r="C25" i="11"/>
  <c r="B19" i="11"/>
  <c r="B20" i="11"/>
  <c r="B21" i="11"/>
  <c r="B18" i="11"/>
  <c r="B16" i="11"/>
  <c r="B15" i="11"/>
  <c r="B13" i="11"/>
  <c r="B12" i="11"/>
  <c r="B11" i="11"/>
  <c r="B10" i="11"/>
  <c r="C21" i="11"/>
  <c r="C20" i="11"/>
  <c r="C19" i="11"/>
  <c r="C18" i="11"/>
  <c r="C16" i="11"/>
  <c r="C15" i="11"/>
  <c r="C13" i="11"/>
  <c r="C12" i="11"/>
  <c r="C11" i="11"/>
  <c r="C10" i="11"/>
  <c r="E21" i="11"/>
  <c r="G21" i="11"/>
  <c r="E12" i="11"/>
  <c r="G12" i="11"/>
  <c r="E13" i="11"/>
  <c r="G13" i="11"/>
  <c r="E15" i="11"/>
  <c r="G15" i="11"/>
  <c r="E16" i="11"/>
  <c r="G16" i="11"/>
  <c r="E18" i="11"/>
  <c r="G18" i="11"/>
  <c r="E19" i="11"/>
  <c r="G19" i="11"/>
  <c r="E20" i="11"/>
  <c r="G20" i="11"/>
  <c r="E11" i="11"/>
  <c r="G11" i="11"/>
  <c r="E25" i="11"/>
  <c r="G25" i="11"/>
  <c r="E26" i="11"/>
  <c r="G26" i="11"/>
  <c r="E31" i="11"/>
  <c r="E32" i="11"/>
  <c r="G32" i="11"/>
  <c r="E33" i="11"/>
  <c r="G33" i="11"/>
  <c r="E34" i="11"/>
  <c r="G34" i="11"/>
  <c r="E35" i="11"/>
  <c r="B83" i="10"/>
  <c r="B84" i="10"/>
  <c r="B85" i="10"/>
  <c r="B86" i="10"/>
  <c r="B82" i="10"/>
  <c r="B76" i="10"/>
  <c r="B77" i="10"/>
  <c r="B78" i="10"/>
  <c r="B79" i="10"/>
  <c r="B80" i="10"/>
  <c r="B75" i="10"/>
  <c r="B72" i="10"/>
  <c r="B73" i="10"/>
  <c r="B71" i="10"/>
  <c r="C86" i="10"/>
  <c r="C85" i="10"/>
  <c r="C84" i="10"/>
  <c r="C83" i="10"/>
  <c r="C82" i="10"/>
  <c r="C80" i="10"/>
  <c r="C79" i="10"/>
  <c r="C78" i="10"/>
  <c r="C77" i="10"/>
  <c r="C76" i="10"/>
  <c r="C75" i="10"/>
  <c r="C73" i="10"/>
  <c r="C72" i="10"/>
  <c r="C71" i="10"/>
  <c r="B68" i="10"/>
  <c r="B69" i="10"/>
  <c r="B67" i="10"/>
  <c r="B60" i="10"/>
  <c r="B61" i="10"/>
  <c r="B62" i="10"/>
  <c r="B63" i="10"/>
  <c r="B64" i="10"/>
  <c r="B65" i="10"/>
  <c r="B59" i="10"/>
  <c r="C69" i="10"/>
  <c r="C68" i="10"/>
  <c r="C67" i="10"/>
  <c r="C65" i="10"/>
  <c r="C64" i="10"/>
  <c r="C63" i="10"/>
  <c r="C62" i="10"/>
  <c r="C61" i="10"/>
  <c r="C60" i="10"/>
  <c r="C59" i="10"/>
  <c r="B54" i="10"/>
  <c r="B55" i="10"/>
  <c r="B46" i="10"/>
  <c r="B47" i="10"/>
  <c r="B48" i="10"/>
  <c r="B49" i="10"/>
  <c r="B50" i="10"/>
  <c r="B51" i="10"/>
  <c r="B52" i="10"/>
  <c r="B53" i="10"/>
  <c r="B45" i="10"/>
  <c r="B43" i="10"/>
  <c r="B42" i="10"/>
  <c r="C54" i="10"/>
  <c r="C55" i="10"/>
  <c r="C53" i="10"/>
  <c r="C52" i="10"/>
  <c r="C51" i="10"/>
  <c r="C50" i="10"/>
  <c r="C49" i="10"/>
  <c r="C48" i="10"/>
  <c r="C47" i="10"/>
  <c r="C46" i="10"/>
  <c r="C45" i="10"/>
  <c r="C43" i="10"/>
  <c r="C42" i="10"/>
  <c r="B36" i="10"/>
  <c r="B37" i="10"/>
  <c r="B38" i="10"/>
  <c r="B39" i="10"/>
  <c r="B35" i="10"/>
  <c r="B33" i="10"/>
  <c r="B32" i="10"/>
  <c r="B31" i="10"/>
  <c r="B29" i="10"/>
  <c r="B34" i="10"/>
  <c r="B30" i="10"/>
  <c r="B27" i="10"/>
  <c r="C39" i="10"/>
  <c r="C38" i="10"/>
  <c r="C37" i="10"/>
  <c r="C36" i="10"/>
  <c r="C35" i="10"/>
  <c r="C33" i="10"/>
  <c r="C32" i="10"/>
  <c r="C31" i="10"/>
  <c r="C29" i="10"/>
  <c r="C34" i="10"/>
  <c r="C30" i="10"/>
  <c r="C27" i="10"/>
  <c r="G16" i="10"/>
  <c r="H16" i="10" s="1"/>
  <c r="I16" i="10"/>
  <c r="A17" i="10"/>
  <c r="E63" i="10" s="1"/>
  <c r="B17" i="10"/>
  <c r="E64" i="10" s="1"/>
  <c r="C17" i="10"/>
  <c r="E62" i="10" s="1"/>
  <c r="D17" i="10"/>
  <c r="E76" i="10" s="1"/>
  <c r="E17" i="10"/>
  <c r="G80" i="10" s="1"/>
  <c r="F17" i="10"/>
  <c r="G78" i="10" s="1"/>
  <c r="G17" i="10"/>
  <c r="E85" i="10" s="1"/>
  <c r="A18" i="10"/>
  <c r="G39" i="10" s="1"/>
  <c r="B18" i="10"/>
  <c r="G61" i="10" s="1"/>
  <c r="C18" i="10"/>
  <c r="G59" i="10" s="1"/>
  <c r="D18" i="10"/>
  <c r="G72" i="10" s="1"/>
  <c r="E18" i="10"/>
  <c r="G77" i="10" s="1"/>
  <c r="F18" i="10"/>
  <c r="G71" i="10" s="1"/>
  <c r="G18" i="10"/>
  <c r="H22" i="10" s="1"/>
  <c r="G19" i="10"/>
  <c r="I22" i="10" s="1"/>
  <c r="I20" i="10"/>
  <c r="E27" i="10"/>
  <c r="G27" i="10"/>
  <c r="E29" i="10"/>
  <c r="G29" i="10"/>
  <c r="E31" i="10"/>
  <c r="G31" i="10"/>
  <c r="E30" i="10"/>
  <c r="G30" i="10"/>
  <c r="E32" i="10"/>
  <c r="G32" i="10"/>
  <c r="E33" i="10"/>
  <c r="G33" i="10"/>
  <c r="E34" i="10"/>
  <c r="G34" i="10"/>
  <c r="E35" i="10"/>
  <c r="G35" i="10"/>
  <c r="E36" i="10"/>
  <c r="G36" i="10"/>
  <c r="E37" i="10"/>
  <c r="G37" i="10"/>
  <c r="E38" i="10"/>
  <c r="G38" i="10"/>
  <c r="E39" i="10"/>
  <c r="E42" i="10"/>
  <c r="G42" i="10"/>
  <c r="E43" i="10"/>
  <c r="G43" i="10"/>
  <c r="E45" i="10"/>
  <c r="G45" i="10"/>
  <c r="E46" i="10"/>
  <c r="G46" i="10"/>
  <c r="E47" i="10"/>
  <c r="G47" i="10"/>
  <c r="E48" i="10"/>
  <c r="G48" i="10"/>
  <c r="E49" i="10"/>
  <c r="G49" i="10"/>
  <c r="E50" i="10"/>
  <c r="G50" i="10"/>
  <c r="E51" i="10"/>
  <c r="G51" i="10"/>
  <c r="E52" i="10"/>
  <c r="G52" i="10"/>
  <c r="E53" i="10"/>
  <c r="G53" i="10"/>
  <c r="E54" i="10"/>
  <c r="G54" i="10"/>
  <c r="E55" i="10"/>
  <c r="E59" i="10"/>
  <c r="E60" i="10"/>
  <c r="E61" i="10"/>
  <c r="E65" i="10"/>
  <c r="E67" i="10"/>
  <c r="G67" i="10"/>
  <c r="E68" i="10"/>
  <c r="G68" i="10"/>
  <c r="E69" i="10"/>
  <c r="G69" i="10"/>
  <c r="E71" i="10"/>
  <c r="E72" i="10"/>
  <c r="E73" i="10"/>
  <c r="E78" i="10"/>
  <c r="E79" i="10"/>
  <c r="E80" i="10"/>
  <c r="G82" i="10"/>
  <c r="G85" i="10"/>
  <c r="B28" i="9"/>
  <c r="B29" i="9"/>
  <c r="B30" i="9"/>
  <c r="B31" i="9"/>
  <c r="B32" i="9"/>
  <c r="B33" i="9"/>
  <c r="B34" i="9"/>
  <c r="B35" i="9"/>
  <c r="B36" i="9"/>
  <c r="B37" i="9"/>
  <c r="B38" i="9"/>
  <c r="B27" i="9"/>
  <c r="C38" i="9"/>
  <c r="C37" i="9"/>
  <c r="C36" i="9"/>
  <c r="C35" i="9"/>
  <c r="C34" i="9"/>
  <c r="C33" i="9"/>
  <c r="C32" i="9"/>
  <c r="C31" i="9"/>
  <c r="C30" i="9"/>
  <c r="C29" i="9"/>
  <c r="C28" i="9"/>
  <c r="C27" i="9"/>
  <c r="B19" i="9"/>
  <c r="B20" i="9"/>
  <c r="B21" i="9"/>
  <c r="B22" i="9"/>
  <c r="B23" i="9"/>
  <c r="B18" i="9"/>
  <c r="B16" i="9"/>
  <c r="B15" i="9"/>
  <c r="B13" i="9"/>
  <c r="B12" i="9"/>
  <c r="B10" i="9"/>
  <c r="B9" i="9"/>
  <c r="C23" i="9"/>
  <c r="C22" i="9"/>
  <c r="C21" i="9"/>
  <c r="C20" i="9"/>
  <c r="C19" i="9"/>
  <c r="C18" i="9"/>
  <c r="C16" i="9"/>
  <c r="C15" i="9"/>
  <c r="C13" i="9"/>
  <c r="C12" i="9"/>
  <c r="C10" i="9"/>
  <c r="C9" i="9"/>
  <c r="E9" i="9"/>
  <c r="G9" i="9"/>
  <c r="E10" i="9"/>
  <c r="G10" i="9"/>
  <c r="E12" i="9"/>
  <c r="G12" i="9"/>
  <c r="E13" i="9"/>
  <c r="G13" i="9"/>
  <c r="E15" i="9"/>
  <c r="G15" i="9"/>
  <c r="E16" i="9"/>
  <c r="G16" i="9"/>
  <c r="E18" i="9"/>
  <c r="G18" i="9"/>
  <c r="E19" i="9"/>
  <c r="G19" i="9"/>
  <c r="E20" i="9"/>
  <c r="G20" i="9"/>
  <c r="E21" i="9"/>
  <c r="G21" i="9"/>
  <c r="E22" i="9"/>
  <c r="G22" i="9"/>
  <c r="E23" i="9"/>
  <c r="G23" i="9"/>
  <c r="G33" i="9"/>
  <c r="E34" i="9"/>
  <c r="G34" i="9"/>
  <c r="E35" i="9"/>
  <c r="G35" i="9"/>
  <c r="E36" i="9"/>
  <c r="G36" i="9"/>
  <c r="E37" i="9"/>
  <c r="G37" i="9"/>
  <c r="E38" i="9"/>
  <c r="G38" i="9"/>
  <c r="B29" i="8"/>
  <c r="B28" i="8"/>
  <c r="B27" i="8"/>
  <c r="B26" i="8"/>
  <c r="B22" i="8"/>
  <c r="B23" i="8"/>
  <c r="B24" i="8"/>
  <c r="B21" i="8"/>
  <c r="B11" i="8"/>
  <c r="B12" i="8"/>
  <c r="B13" i="8"/>
  <c r="B14" i="8"/>
  <c r="B15" i="8"/>
  <c r="B16" i="8"/>
  <c r="B17" i="8"/>
  <c r="B10" i="8"/>
  <c r="C29" i="8"/>
  <c r="C28" i="8"/>
  <c r="C27" i="8"/>
  <c r="C26" i="8"/>
  <c r="C24" i="8"/>
  <c r="C23" i="8"/>
  <c r="C22" i="8"/>
  <c r="C21" i="8"/>
  <c r="C17" i="8"/>
  <c r="C16" i="8"/>
  <c r="C15" i="8"/>
  <c r="C14" i="8"/>
  <c r="C13" i="8"/>
  <c r="C12" i="8"/>
  <c r="C11" i="8"/>
  <c r="C10" i="8"/>
  <c r="B30" i="7"/>
  <c r="B29" i="7"/>
  <c r="B28" i="7"/>
  <c r="B27" i="7"/>
  <c r="B23" i="7"/>
  <c r="B24" i="7"/>
  <c r="B25" i="7"/>
  <c r="B22" i="7"/>
  <c r="B16" i="7"/>
  <c r="B17" i="7"/>
  <c r="B18" i="7"/>
  <c r="B15" i="7"/>
  <c r="B11" i="7"/>
  <c r="B12" i="7"/>
  <c r="B13" i="7"/>
  <c r="B10" i="7"/>
  <c r="C28" i="7"/>
  <c r="C27" i="7"/>
  <c r="C30" i="7"/>
  <c r="C29" i="7"/>
  <c r="C25" i="7"/>
  <c r="C24" i="7"/>
  <c r="C23" i="7"/>
  <c r="C22" i="7"/>
  <c r="C18" i="7"/>
  <c r="C17" i="7"/>
  <c r="C16" i="7"/>
  <c r="C15" i="7"/>
  <c r="C13" i="7"/>
  <c r="C12" i="7"/>
  <c r="C11" i="7"/>
  <c r="C10" i="7"/>
  <c r="B42" i="6"/>
  <c r="B40" i="6"/>
  <c r="B44" i="6"/>
  <c r="B43" i="6"/>
  <c r="B41" i="6"/>
  <c r="B39" i="6"/>
  <c r="B38" i="6"/>
  <c r="B36" i="6"/>
  <c r="B37" i="6"/>
  <c r="B35" i="6"/>
  <c r="B34" i="6"/>
  <c r="B33" i="6"/>
  <c r="B32" i="6"/>
  <c r="B30" i="6"/>
  <c r="B31" i="6"/>
  <c r="B29" i="6"/>
  <c r="C37" i="6"/>
  <c r="C35" i="6"/>
  <c r="C44" i="6"/>
  <c r="C43" i="6"/>
  <c r="C41" i="6"/>
  <c r="C39" i="6"/>
  <c r="C38" i="6"/>
  <c r="C36" i="6"/>
  <c r="C34" i="6"/>
  <c r="C33" i="6"/>
  <c r="C32" i="6"/>
  <c r="C30" i="6"/>
  <c r="C42" i="6"/>
  <c r="C40" i="6"/>
  <c r="C31" i="6"/>
  <c r="C29" i="6"/>
  <c r="B21" i="6"/>
  <c r="B23" i="6"/>
  <c r="B25" i="6"/>
  <c r="B20" i="6"/>
  <c r="B24" i="6"/>
  <c r="B22" i="6"/>
  <c r="B16" i="6"/>
  <c r="B14" i="6"/>
  <c r="B19" i="6"/>
  <c r="B18" i="6"/>
  <c r="B17" i="6"/>
  <c r="B15" i="6"/>
  <c r="B11" i="6"/>
  <c r="B12" i="6"/>
  <c r="B13" i="6"/>
  <c r="B10" i="6"/>
  <c r="C24" i="6"/>
  <c r="C22" i="6"/>
  <c r="C16" i="6"/>
  <c r="C14" i="6"/>
  <c r="C25" i="6"/>
  <c r="C23" i="6"/>
  <c r="C21" i="6"/>
  <c r="C20" i="6"/>
  <c r="C19" i="6"/>
  <c r="C18" i="6"/>
  <c r="C17" i="6"/>
  <c r="C15" i="6"/>
  <c r="C13" i="6"/>
  <c r="C12" i="6"/>
  <c r="C11" i="6"/>
  <c r="C10" i="6"/>
  <c r="E10" i="8"/>
  <c r="G10" i="8"/>
  <c r="E11" i="8"/>
  <c r="G11" i="8"/>
  <c r="E12" i="8"/>
  <c r="G12" i="8"/>
  <c r="E13" i="8"/>
  <c r="G13" i="8"/>
  <c r="E14" i="8"/>
  <c r="G14" i="8"/>
  <c r="E15" i="8"/>
  <c r="G15" i="8"/>
  <c r="E16" i="8"/>
  <c r="G16" i="8"/>
  <c r="E17" i="8"/>
  <c r="G17" i="8"/>
  <c r="E21" i="8"/>
  <c r="G21" i="8"/>
  <c r="E22" i="8"/>
  <c r="G22" i="8"/>
  <c r="E23" i="8"/>
  <c r="G23" i="8"/>
  <c r="E24" i="8"/>
  <c r="G24" i="8"/>
  <c r="E10" i="7"/>
  <c r="G10" i="7"/>
  <c r="E11" i="7"/>
  <c r="G11" i="7"/>
  <c r="E12" i="7"/>
  <c r="G12" i="7"/>
  <c r="E13" i="7"/>
  <c r="G13" i="7"/>
  <c r="E15" i="7"/>
  <c r="G15" i="7"/>
  <c r="E16" i="7"/>
  <c r="G16" i="7"/>
  <c r="E17" i="7"/>
  <c r="G17" i="7"/>
  <c r="E18" i="7"/>
  <c r="G18" i="7"/>
  <c r="E22" i="7"/>
  <c r="G22" i="7"/>
  <c r="E23" i="7"/>
  <c r="G23" i="7"/>
  <c r="E24" i="7"/>
  <c r="G24" i="7"/>
  <c r="E25" i="7"/>
  <c r="G25" i="7"/>
  <c r="E10" i="6"/>
  <c r="G10" i="6"/>
  <c r="E11" i="6"/>
  <c r="G11" i="6"/>
  <c r="E12" i="6"/>
  <c r="G12" i="6"/>
  <c r="E13" i="6"/>
  <c r="G13" i="6"/>
  <c r="E14" i="6"/>
  <c r="G14" i="6"/>
  <c r="E16" i="6"/>
  <c r="G16" i="6"/>
  <c r="E15" i="6"/>
  <c r="G15" i="6"/>
  <c r="E17" i="6"/>
  <c r="G17" i="6"/>
  <c r="E18" i="6"/>
  <c r="G18" i="6"/>
  <c r="E19" i="6"/>
  <c r="G19" i="6"/>
  <c r="E22" i="6"/>
  <c r="G22" i="6"/>
  <c r="E24" i="6"/>
  <c r="G24" i="6"/>
  <c r="E20" i="6"/>
  <c r="G20" i="6"/>
  <c r="E21" i="6"/>
  <c r="G21" i="6"/>
  <c r="E23" i="6"/>
  <c r="G23" i="6"/>
  <c r="E25" i="6"/>
  <c r="G25" i="6"/>
  <c r="E29" i="6"/>
  <c r="G29" i="6"/>
  <c r="E31" i="6"/>
  <c r="G31" i="6"/>
  <c r="E35" i="6"/>
  <c r="E37" i="6"/>
  <c r="E36" i="6"/>
  <c r="E38" i="6"/>
  <c r="G316" i="31" l="1"/>
  <c r="G417" i="30"/>
  <c r="G169" i="28"/>
  <c r="E316" i="31"/>
  <c r="E417" i="30"/>
  <c r="E169" i="28"/>
  <c r="G300" i="31"/>
  <c r="G416" i="30"/>
  <c r="G168" i="28"/>
  <c r="E300" i="31"/>
  <c r="E416" i="30"/>
  <c r="E168" i="28"/>
  <c r="G191" i="31"/>
  <c r="G33" i="30"/>
  <c r="G166" i="28"/>
  <c r="E191" i="31"/>
  <c r="E33" i="30"/>
  <c r="E166" i="28"/>
  <c r="G168" i="31"/>
  <c r="G32" i="30"/>
  <c r="G165" i="28"/>
  <c r="E168" i="31"/>
  <c r="E32" i="30"/>
  <c r="E165" i="28"/>
  <c r="G104" i="31"/>
  <c r="G29" i="30"/>
  <c r="G164" i="28"/>
  <c r="E104" i="31"/>
  <c r="E29" i="30"/>
  <c r="E164" i="28"/>
  <c r="G83" i="31"/>
  <c r="G28" i="30"/>
  <c r="G162" i="28"/>
  <c r="E83" i="31"/>
  <c r="E28" i="30"/>
  <c r="E162" i="28"/>
  <c r="G560" i="31"/>
  <c r="G359" i="30"/>
  <c r="G76" i="29"/>
  <c r="G442" i="28"/>
  <c r="E560" i="31"/>
  <c r="E359" i="30"/>
  <c r="E76" i="29"/>
  <c r="E442" i="28"/>
  <c r="G537" i="31"/>
  <c r="G358" i="30"/>
  <c r="G75" i="29"/>
  <c r="G440" i="28"/>
  <c r="E537" i="31"/>
  <c r="E358" i="30"/>
  <c r="E75" i="29"/>
  <c r="E440" i="28"/>
  <c r="G228" i="31"/>
  <c r="G134" i="30"/>
  <c r="G420" i="28"/>
  <c r="E228" i="31"/>
  <c r="E134" i="30"/>
  <c r="E420" i="28"/>
  <c r="G205" i="31"/>
  <c r="G133" i="30"/>
  <c r="G418" i="28"/>
  <c r="E205" i="31"/>
  <c r="E133" i="30"/>
  <c r="E418" i="28"/>
  <c r="E180" i="31"/>
  <c r="E132" i="30"/>
  <c r="D17" i="19"/>
  <c r="G60" i="19" s="1"/>
  <c r="E154" i="31"/>
  <c r="E131" i="30"/>
  <c r="F18" i="19"/>
  <c r="G62" i="19" s="1"/>
  <c r="E67" i="19" s="1"/>
  <c r="G122" i="31"/>
  <c r="G130" i="30"/>
  <c r="G414" i="28"/>
  <c r="E122" i="31"/>
  <c r="E130" i="30"/>
  <c r="E414" i="28"/>
  <c r="G4" i="31"/>
  <c r="G125" i="30"/>
  <c r="G404" i="28"/>
  <c r="E4" i="31"/>
  <c r="E125" i="30"/>
  <c r="E404" i="28"/>
  <c r="G71" i="31"/>
  <c r="G128" i="30"/>
  <c r="G410" i="28"/>
  <c r="E71" i="31"/>
  <c r="E128" i="30"/>
  <c r="E410" i="28"/>
  <c r="G50" i="31"/>
  <c r="G127" i="30"/>
  <c r="G408" i="28"/>
  <c r="E50" i="31"/>
  <c r="E127" i="30"/>
  <c r="E408" i="28"/>
  <c r="G26" i="31"/>
  <c r="G126" i="30"/>
  <c r="G406" i="28"/>
  <c r="E26" i="31"/>
  <c r="E126" i="30"/>
  <c r="E406" i="28"/>
  <c r="G93" i="31"/>
  <c r="G129" i="30"/>
  <c r="G412" i="28"/>
  <c r="E93" i="31"/>
  <c r="E129" i="30"/>
  <c r="E412" i="28"/>
  <c r="G254" i="31"/>
  <c r="G440" i="30"/>
  <c r="G421" i="28"/>
  <c r="E254" i="31"/>
  <c r="E440" i="30"/>
  <c r="E421" i="28"/>
  <c r="G133" i="31"/>
  <c r="G435" i="30"/>
  <c r="G413" i="28"/>
  <c r="E133" i="31"/>
  <c r="E435" i="30"/>
  <c r="E413" i="28"/>
  <c r="G54" i="31"/>
  <c r="G432" i="30"/>
  <c r="G407" i="28"/>
  <c r="E54" i="31"/>
  <c r="E432" i="30"/>
  <c r="E407" i="28"/>
  <c r="E246" i="31"/>
  <c r="E64" i="30"/>
  <c r="E17" i="28"/>
  <c r="E80" i="31"/>
  <c r="E179" i="30"/>
  <c r="E5" i="28"/>
  <c r="G209" i="31"/>
  <c r="G368" i="30"/>
  <c r="G453" i="28"/>
  <c r="G97" i="31"/>
  <c r="G364" i="30"/>
  <c r="G446" i="28"/>
  <c r="G243" i="31"/>
  <c r="G389" i="30"/>
  <c r="G335" i="28"/>
  <c r="E176" i="31"/>
  <c r="E386" i="30"/>
  <c r="E329" i="28"/>
  <c r="E395" i="31"/>
  <c r="E188" i="30"/>
  <c r="E25" i="28"/>
  <c r="E11" i="29"/>
  <c r="E344" i="31"/>
  <c r="E466" i="30"/>
  <c r="E20" i="28"/>
  <c r="G8" i="29"/>
  <c r="G227" i="31"/>
  <c r="G463" i="30"/>
  <c r="G14" i="28"/>
  <c r="G7" i="29"/>
  <c r="G117" i="31"/>
  <c r="G458" i="30"/>
  <c r="G8" i="28"/>
  <c r="E417" i="31"/>
  <c r="E70" i="30"/>
  <c r="E26" i="28"/>
  <c r="G10" i="29"/>
  <c r="G329" i="31"/>
  <c r="G465" i="30"/>
  <c r="G18" i="28"/>
  <c r="E9" i="29"/>
  <c r="E247" i="31"/>
  <c r="E464" i="30"/>
  <c r="E16" i="28"/>
  <c r="E7" i="29"/>
  <c r="E117" i="31"/>
  <c r="E458" i="30"/>
  <c r="E8" i="28"/>
  <c r="E393" i="31"/>
  <c r="E69" i="30"/>
  <c r="E24" i="28"/>
  <c r="E10" i="29"/>
  <c r="E329" i="31"/>
  <c r="E465" i="30"/>
  <c r="E18" i="28"/>
  <c r="E8" i="29"/>
  <c r="E227" i="31"/>
  <c r="E463" i="30"/>
  <c r="E14" i="28"/>
  <c r="E6" i="29"/>
  <c r="E99" i="31"/>
  <c r="E457" i="30"/>
  <c r="E6" i="28"/>
  <c r="G444" i="30"/>
  <c r="G374" i="31"/>
  <c r="G467" i="28"/>
  <c r="G449" i="30"/>
  <c r="G475" i="28"/>
  <c r="G515" i="31"/>
  <c r="E549" i="30"/>
  <c r="E439" i="31"/>
  <c r="E469" i="28"/>
  <c r="E546" i="30"/>
  <c r="E464" i="28"/>
  <c r="E352" i="31"/>
  <c r="G403" i="31"/>
  <c r="G548" i="30"/>
  <c r="G468" i="28"/>
  <c r="G491" i="31"/>
  <c r="G551" i="30"/>
  <c r="G472" i="28"/>
  <c r="G470" i="31"/>
  <c r="G47" i="30"/>
  <c r="G36" i="29"/>
  <c r="G158" i="28"/>
  <c r="G445" i="31"/>
  <c r="G46" i="30"/>
  <c r="G35" i="29"/>
  <c r="G157" i="28"/>
  <c r="G577" i="31"/>
  <c r="G452" i="30"/>
  <c r="G480" i="28"/>
  <c r="E515" i="31"/>
  <c r="E449" i="30"/>
  <c r="E475" i="28"/>
  <c r="E517" i="31"/>
  <c r="E552" i="30"/>
  <c r="E474" i="28"/>
  <c r="G352" i="31"/>
  <c r="G546" i="30"/>
  <c r="G464" i="28"/>
  <c r="C35" i="31"/>
  <c r="C176" i="30"/>
  <c r="C2" i="28"/>
  <c r="C48" i="31"/>
  <c r="C177" i="30"/>
  <c r="C3" i="28"/>
  <c r="C59" i="31"/>
  <c r="C178" i="30"/>
  <c r="C4" i="28"/>
  <c r="C80" i="31"/>
  <c r="C179" i="30"/>
  <c r="C5" i="28"/>
  <c r="C94" i="31"/>
  <c r="C180" i="30"/>
  <c r="C7" i="28"/>
  <c r="C116" i="31"/>
  <c r="C181" i="30"/>
  <c r="C9" i="28"/>
  <c r="C139" i="31"/>
  <c r="C182" i="30"/>
  <c r="C10" i="28"/>
  <c r="C164" i="31"/>
  <c r="C183" i="30"/>
  <c r="C11" i="28"/>
  <c r="C179" i="31"/>
  <c r="C61" i="30"/>
  <c r="C12" i="28"/>
  <c r="C203" i="31"/>
  <c r="C62" i="30"/>
  <c r="C13" i="28"/>
  <c r="C225" i="31"/>
  <c r="C63" i="30"/>
  <c r="C15" i="28"/>
  <c r="C246" i="31"/>
  <c r="C64" i="30"/>
  <c r="C17" i="28"/>
  <c r="C6" i="29"/>
  <c r="C99" i="31"/>
  <c r="C457" i="30"/>
  <c r="C6" i="28"/>
  <c r="C7" i="29"/>
  <c r="C117" i="31"/>
  <c r="C458" i="30"/>
  <c r="C8" i="28"/>
  <c r="C8" i="29"/>
  <c r="C227" i="31"/>
  <c r="C463" i="30"/>
  <c r="C14" i="28"/>
  <c r="C9" i="29"/>
  <c r="C247" i="31"/>
  <c r="C464" i="30"/>
  <c r="C16" i="28"/>
  <c r="D6" i="5"/>
  <c r="B35" i="31"/>
  <c r="K35" i="31" s="1"/>
  <c r="B176" i="30"/>
  <c r="K176" i="30" s="1"/>
  <c r="B2" i="28"/>
  <c r="K2" i="28" s="1"/>
  <c r="D9" i="5"/>
  <c r="B80" i="31"/>
  <c r="K80" i="31" s="1"/>
  <c r="B179" i="30"/>
  <c r="K179" i="30" s="1"/>
  <c r="B5" i="28"/>
  <c r="K5" i="28" s="1"/>
  <c r="D8" i="5"/>
  <c r="B59" i="31"/>
  <c r="K59" i="31" s="1"/>
  <c r="B178" i="30"/>
  <c r="K178" i="30" s="1"/>
  <c r="B4" i="28"/>
  <c r="K4" i="28" s="1"/>
  <c r="D7" i="5"/>
  <c r="B48" i="31"/>
  <c r="K48" i="31" s="1"/>
  <c r="B177" i="30"/>
  <c r="K177" i="30" s="1"/>
  <c r="B3" i="28"/>
  <c r="K3" i="28" s="1"/>
  <c r="D10" i="5"/>
  <c r="B94" i="31"/>
  <c r="K94" i="31" s="1"/>
  <c r="B180" i="30"/>
  <c r="K180" i="30" s="1"/>
  <c r="B7" i="28"/>
  <c r="K7" i="28" s="1"/>
  <c r="D11" i="5"/>
  <c r="B116" i="31"/>
  <c r="K116" i="31" s="1"/>
  <c r="B181" i="30"/>
  <c r="K181" i="30" s="1"/>
  <c r="B9" i="28"/>
  <c r="K9" i="28" s="1"/>
  <c r="D12" i="5"/>
  <c r="B139" i="31"/>
  <c r="K139" i="31" s="1"/>
  <c r="B182" i="30"/>
  <c r="K182" i="30" s="1"/>
  <c r="B10" i="28"/>
  <c r="K10" i="28" s="1"/>
  <c r="D13" i="5"/>
  <c r="B164" i="31"/>
  <c r="K164" i="31" s="1"/>
  <c r="B183" i="30"/>
  <c r="K183" i="30" s="1"/>
  <c r="B11" i="28"/>
  <c r="K11" i="28" s="1"/>
  <c r="B10" i="5"/>
  <c r="B6" i="29"/>
  <c r="B99" i="31"/>
  <c r="K99" i="31" s="1"/>
  <c r="B457" i="30"/>
  <c r="K457" i="30" s="1"/>
  <c r="B6" i="28"/>
  <c r="K6" i="28" s="1"/>
  <c r="B11" i="5"/>
  <c r="B7" i="29"/>
  <c r="B117" i="31"/>
  <c r="K117" i="31" s="1"/>
  <c r="B458" i="30"/>
  <c r="K458" i="30" s="1"/>
  <c r="B8" i="28"/>
  <c r="K8" i="28" s="1"/>
  <c r="B16" i="5"/>
  <c r="B8" i="29"/>
  <c r="B227" i="31"/>
  <c r="K227" i="31" s="1"/>
  <c r="B463" i="30"/>
  <c r="K463" i="30" s="1"/>
  <c r="B14" i="28"/>
  <c r="K14" i="28" s="1"/>
  <c r="B17" i="5"/>
  <c r="B9" i="29"/>
  <c r="B247" i="31"/>
  <c r="K247" i="31" s="1"/>
  <c r="B464" i="30"/>
  <c r="K464" i="30" s="1"/>
  <c r="B16" i="28"/>
  <c r="K16" i="28" s="1"/>
  <c r="C14" i="5"/>
  <c r="B179" i="31"/>
  <c r="K179" i="31" s="1"/>
  <c r="B61" i="30"/>
  <c r="K61" i="30" s="1"/>
  <c r="B12" i="28"/>
  <c r="K12" i="28" s="1"/>
  <c r="C17" i="5"/>
  <c r="B246" i="31"/>
  <c r="K246" i="31" s="1"/>
  <c r="B64" i="30"/>
  <c r="K64" i="30" s="1"/>
  <c r="B17" i="28"/>
  <c r="K17" i="28" s="1"/>
  <c r="C16" i="5"/>
  <c r="B225" i="31"/>
  <c r="K225" i="31" s="1"/>
  <c r="B63" i="30"/>
  <c r="K63" i="30" s="1"/>
  <c r="B15" i="28"/>
  <c r="K15" i="28" s="1"/>
  <c r="C15" i="5"/>
  <c r="B203" i="31"/>
  <c r="K203" i="31" s="1"/>
  <c r="B62" i="30"/>
  <c r="K62" i="30" s="1"/>
  <c r="B13" i="28"/>
  <c r="K13" i="28" s="1"/>
  <c r="C10" i="29"/>
  <c r="C329" i="31"/>
  <c r="C465" i="30"/>
  <c r="C18" i="28"/>
  <c r="C11" i="29"/>
  <c r="C344" i="31"/>
  <c r="C466" i="30"/>
  <c r="C20" i="28"/>
  <c r="C443" i="31"/>
  <c r="C471" i="30"/>
  <c r="C3" i="29"/>
  <c r="C29" i="28"/>
  <c r="C468" i="31"/>
  <c r="C472" i="30"/>
  <c r="C4" i="29"/>
  <c r="C31" i="28"/>
  <c r="C328" i="31"/>
  <c r="C184" i="30"/>
  <c r="C19" i="28"/>
  <c r="C343" i="31"/>
  <c r="C185" i="30"/>
  <c r="C21" i="28"/>
  <c r="C355" i="31"/>
  <c r="C186" i="30"/>
  <c r="C22" i="28"/>
  <c r="C379" i="31"/>
  <c r="C187" i="30"/>
  <c r="C23" i="28"/>
  <c r="C395" i="31"/>
  <c r="C188" i="30"/>
  <c r="C25" i="28"/>
  <c r="C418" i="31"/>
  <c r="C189" i="30"/>
  <c r="C27" i="28"/>
  <c r="C442" i="31"/>
  <c r="C190" i="30"/>
  <c r="C28" i="28"/>
  <c r="C467" i="31"/>
  <c r="C191" i="30"/>
  <c r="C30" i="28"/>
  <c r="C482" i="31"/>
  <c r="C192" i="30"/>
  <c r="C32" i="28"/>
  <c r="C506" i="31"/>
  <c r="C193" i="30"/>
  <c r="C33" i="28"/>
  <c r="C393" i="31"/>
  <c r="C69" i="30"/>
  <c r="C24" i="28"/>
  <c r="C417" i="31"/>
  <c r="C70" i="30"/>
  <c r="C26" i="28"/>
  <c r="B28" i="5"/>
  <c r="B10" i="29"/>
  <c r="B329" i="31"/>
  <c r="K329" i="31" s="1"/>
  <c r="B465" i="30"/>
  <c r="K465" i="30" s="1"/>
  <c r="B18" i="28"/>
  <c r="K18" i="28" s="1"/>
  <c r="B29" i="5"/>
  <c r="B11" i="29"/>
  <c r="B344" i="31"/>
  <c r="K344" i="31" s="1"/>
  <c r="B466" i="30"/>
  <c r="K466" i="30" s="1"/>
  <c r="B20" i="28"/>
  <c r="K20" i="28" s="1"/>
  <c r="D28" i="5"/>
  <c r="B328" i="31"/>
  <c r="K328" i="31" s="1"/>
  <c r="B184" i="30"/>
  <c r="K184" i="30" s="1"/>
  <c r="B19" i="28"/>
  <c r="K19" i="28" s="1"/>
  <c r="D29" i="5"/>
  <c r="B343" i="31"/>
  <c r="K343" i="31" s="1"/>
  <c r="B185" i="30"/>
  <c r="K185" i="30" s="1"/>
  <c r="B21" i="28"/>
  <c r="K21" i="28" s="1"/>
  <c r="D30" i="5"/>
  <c r="B355" i="31"/>
  <c r="K355" i="31" s="1"/>
  <c r="B186" i="30"/>
  <c r="K186" i="30" s="1"/>
  <c r="B22" i="28"/>
  <c r="K22" i="28" s="1"/>
  <c r="D31" i="5"/>
  <c r="B379" i="31"/>
  <c r="K379" i="31" s="1"/>
  <c r="B187" i="30"/>
  <c r="K187" i="30" s="1"/>
  <c r="B23" i="28"/>
  <c r="K23" i="28" s="1"/>
  <c r="C32" i="5"/>
  <c r="B393" i="31"/>
  <c r="K393" i="31" s="1"/>
  <c r="B69" i="30"/>
  <c r="K69" i="30" s="1"/>
  <c r="B24" i="28"/>
  <c r="K24" i="28" s="1"/>
  <c r="C33" i="5"/>
  <c r="B417" i="31"/>
  <c r="K417" i="31" s="1"/>
  <c r="B70" i="30"/>
  <c r="K70" i="30" s="1"/>
  <c r="B26" i="28"/>
  <c r="K26" i="28" s="1"/>
  <c r="D32" i="5"/>
  <c r="B395" i="31"/>
  <c r="K395" i="31" s="1"/>
  <c r="B188" i="30"/>
  <c r="K188" i="30" s="1"/>
  <c r="B25" i="28"/>
  <c r="K25" i="28" s="1"/>
  <c r="D33" i="5"/>
  <c r="B418" i="31"/>
  <c r="K418" i="31" s="1"/>
  <c r="B189" i="30"/>
  <c r="K189" i="30" s="1"/>
  <c r="B27" i="28"/>
  <c r="K27" i="28" s="1"/>
  <c r="D34" i="5"/>
  <c r="B442" i="31"/>
  <c r="K442" i="31" s="1"/>
  <c r="B190" i="30"/>
  <c r="K190" i="30" s="1"/>
  <c r="B28" i="28"/>
  <c r="K28" i="28" s="1"/>
  <c r="D35" i="5"/>
  <c r="B467" i="31"/>
  <c r="K467" i="31" s="1"/>
  <c r="B191" i="30"/>
  <c r="K191" i="30" s="1"/>
  <c r="B30" i="28"/>
  <c r="K30" i="28" s="1"/>
  <c r="D36" i="5"/>
  <c r="B482" i="31"/>
  <c r="K482" i="31" s="1"/>
  <c r="B192" i="30"/>
  <c r="K192" i="30" s="1"/>
  <c r="B32" i="28"/>
  <c r="K32" i="28" s="1"/>
  <c r="D37" i="5"/>
  <c r="B506" i="31"/>
  <c r="K506" i="31" s="1"/>
  <c r="B193" i="30"/>
  <c r="K193" i="30" s="1"/>
  <c r="B33" i="28"/>
  <c r="K33" i="28" s="1"/>
  <c r="B34" i="5"/>
  <c r="B443" i="31"/>
  <c r="K443" i="31" s="1"/>
  <c r="B471" i="30"/>
  <c r="K471" i="30" s="1"/>
  <c r="B3" i="29"/>
  <c r="B29" i="28"/>
  <c r="K29" i="28" s="1"/>
  <c r="B35" i="5"/>
  <c r="B468" i="31"/>
  <c r="K468" i="31" s="1"/>
  <c r="B472" i="30"/>
  <c r="K472" i="30" s="1"/>
  <c r="B4" i="29"/>
  <c r="B31" i="28"/>
  <c r="K31" i="28" s="1"/>
  <c r="C36" i="31"/>
  <c r="C453" i="30"/>
  <c r="C34" i="28"/>
  <c r="C49" i="31"/>
  <c r="C454" i="30"/>
  <c r="C35" i="28"/>
  <c r="C60" i="31"/>
  <c r="C455" i="30"/>
  <c r="C36" i="28"/>
  <c r="C81" i="31"/>
  <c r="C456" i="30"/>
  <c r="C37" i="28"/>
  <c r="C140" i="31"/>
  <c r="C459" i="30"/>
  <c r="C38" i="28"/>
  <c r="C165" i="31"/>
  <c r="C460" i="30"/>
  <c r="C39" i="28"/>
  <c r="C186" i="31"/>
  <c r="C461" i="30"/>
  <c r="C40" i="28"/>
  <c r="C204" i="31"/>
  <c r="C462" i="30"/>
  <c r="C41" i="28"/>
  <c r="C356" i="31"/>
  <c r="C467" i="30"/>
  <c r="C42" i="28"/>
  <c r="C380" i="31"/>
  <c r="C468" i="30"/>
  <c r="C43" i="28"/>
  <c r="C401" i="31"/>
  <c r="C469" i="30"/>
  <c r="C44" i="28"/>
  <c r="C419" i="31"/>
  <c r="C470" i="30"/>
  <c r="C45" i="28"/>
  <c r="C531" i="31"/>
  <c r="C475" i="30"/>
  <c r="C15" i="29"/>
  <c r="C48" i="28"/>
  <c r="C554" i="31"/>
  <c r="C476" i="30"/>
  <c r="C16" i="29"/>
  <c r="C49" i="28"/>
  <c r="C480" i="31"/>
  <c r="C73" i="30"/>
  <c r="C46" i="28"/>
  <c r="C505" i="31"/>
  <c r="C74" i="30"/>
  <c r="C47" i="28"/>
  <c r="B6" i="5"/>
  <c r="B36" i="31"/>
  <c r="K36" i="31" s="1"/>
  <c r="B453" i="30"/>
  <c r="K453" i="30" s="1"/>
  <c r="B34" i="28"/>
  <c r="K34" i="28" s="1"/>
  <c r="B9" i="5"/>
  <c r="B81" i="31"/>
  <c r="K81" i="31" s="1"/>
  <c r="B456" i="30"/>
  <c r="K456" i="30" s="1"/>
  <c r="B37" i="28"/>
  <c r="K37" i="28" s="1"/>
  <c r="B8" i="5"/>
  <c r="B60" i="31"/>
  <c r="K60" i="31" s="1"/>
  <c r="B455" i="30"/>
  <c r="K455" i="30" s="1"/>
  <c r="B36" i="28"/>
  <c r="K36" i="28" s="1"/>
  <c r="B7" i="5"/>
  <c r="B49" i="31"/>
  <c r="K49" i="31" s="1"/>
  <c r="B454" i="30"/>
  <c r="K454" i="30" s="1"/>
  <c r="B35" i="28"/>
  <c r="K35" i="28" s="1"/>
  <c r="B12" i="5"/>
  <c r="B140" i="31"/>
  <c r="K140" i="31" s="1"/>
  <c r="B459" i="30"/>
  <c r="K459" i="30" s="1"/>
  <c r="B38" i="28"/>
  <c r="K38" i="28" s="1"/>
  <c r="B15" i="5"/>
  <c r="B204" i="31"/>
  <c r="K204" i="31" s="1"/>
  <c r="B462" i="30"/>
  <c r="K462" i="30" s="1"/>
  <c r="B41" i="28"/>
  <c r="K41" i="28" s="1"/>
  <c r="B14" i="5"/>
  <c r="B186" i="31"/>
  <c r="K186" i="31" s="1"/>
  <c r="B461" i="30"/>
  <c r="K461" i="30" s="1"/>
  <c r="B40" i="28"/>
  <c r="K40" i="28" s="1"/>
  <c r="B13" i="5"/>
  <c r="B165" i="31"/>
  <c r="K165" i="31" s="1"/>
  <c r="B460" i="30"/>
  <c r="K460" i="30" s="1"/>
  <c r="B39" i="28"/>
  <c r="K39" i="28" s="1"/>
  <c r="B30" i="5"/>
  <c r="B356" i="31"/>
  <c r="K356" i="31" s="1"/>
  <c r="B467" i="30"/>
  <c r="K467" i="30" s="1"/>
  <c r="B42" i="28"/>
  <c r="K42" i="28" s="1"/>
  <c r="B33" i="5"/>
  <c r="B419" i="31"/>
  <c r="K419" i="31" s="1"/>
  <c r="B470" i="30"/>
  <c r="K470" i="30" s="1"/>
  <c r="B45" i="28"/>
  <c r="K45" i="28" s="1"/>
  <c r="B32" i="5"/>
  <c r="B401" i="31"/>
  <c r="K401" i="31" s="1"/>
  <c r="B469" i="30"/>
  <c r="K469" i="30" s="1"/>
  <c r="B44" i="28"/>
  <c r="K44" i="28" s="1"/>
  <c r="B31" i="5"/>
  <c r="B380" i="31"/>
  <c r="K380" i="31" s="1"/>
  <c r="B468" i="30"/>
  <c r="K468" i="30" s="1"/>
  <c r="B43" i="28"/>
  <c r="K43" i="28" s="1"/>
  <c r="C36" i="5"/>
  <c r="B480" i="31"/>
  <c r="K480" i="31" s="1"/>
  <c r="B73" i="30"/>
  <c r="K73" i="30" s="1"/>
  <c r="B46" i="28"/>
  <c r="K46" i="28" s="1"/>
  <c r="C37" i="5"/>
  <c r="B505" i="31"/>
  <c r="K505" i="31" s="1"/>
  <c r="B74" i="30"/>
  <c r="K74" i="30" s="1"/>
  <c r="B47" i="28"/>
  <c r="K47" i="28" s="1"/>
  <c r="B38" i="5"/>
  <c r="B531" i="31"/>
  <c r="K531" i="31" s="1"/>
  <c r="B475" i="30"/>
  <c r="K475" i="30" s="1"/>
  <c r="B15" i="29"/>
  <c r="B48" i="28"/>
  <c r="K48" i="28" s="1"/>
  <c r="B39" i="5"/>
  <c r="B554" i="31"/>
  <c r="K554" i="31" s="1"/>
  <c r="B476" i="30"/>
  <c r="K476" i="30" s="1"/>
  <c r="B16" i="29"/>
  <c r="B49" i="28"/>
  <c r="K49" i="28" s="1"/>
  <c r="C34" i="31"/>
  <c r="C53" i="30"/>
  <c r="C50" i="28"/>
  <c r="C47" i="31"/>
  <c r="C54" i="30"/>
  <c r="C51" i="28"/>
  <c r="C58" i="31"/>
  <c r="C55" i="30"/>
  <c r="C52" i="28"/>
  <c r="C79" i="31"/>
  <c r="C56" i="30"/>
  <c r="C53" i="28"/>
  <c r="C92" i="31"/>
  <c r="C57" i="30"/>
  <c r="C54" i="28"/>
  <c r="C115" i="31"/>
  <c r="C58" i="30"/>
  <c r="C55" i="28"/>
  <c r="C138" i="31"/>
  <c r="C59" i="30"/>
  <c r="C56" i="28"/>
  <c r="C163" i="31"/>
  <c r="C60" i="30"/>
  <c r="C57" i="28"/>
  <c r="C327" i="31"/>
  <c r="C65" i="30"/>
  <c r="C58" i="28"/>
  <c r="C342" i="31"/>
  <c r="C66" i="30"/>
  <c r="C59" i="28"/>
  <c r="C354" i="31"/>
  <c r="C67" i="30"/>
  <c r="C60" i="28"/>
  <c r="C378" i="31"/>
  <c r="C68" i="30"/>
  <c r="C61" i="28"/>
  <c r="C441" i="31"/>
  <c r="C71" i="30"/>
  <c r="C62" i="28"/>
  <c r="C466" i="31"/>
  <c r="C72" i="30"/>
  <c r="C63" i="28"/>
  <c r="C489" i="31"/>
  <c r="C473" i="30"/>
  <c r="C20" i="29"/>
  <c r="C64" i="28"/>
  <c r="C507" i="31"/>
  <c r="C474" i="30"/>
  <c r="C21" i="29"/>
  <c r="C65" i="28"/>
  <c r="C6" i="5"/>
  <c r="B34" i="31"/>
  <c r="K34" i="31" s="1"/>
  <c r="B53" i="30"/>
  <c r="K53" i="30" s="1"/>
  <c r="B50" i="28"/>
  <c r="K50" i="28" s="1"/>
  <c r="C13" i="5"/>
  <c r="B163" i="31"/>
  <c r="K163" i="31" s="1"/>
  <c r="B60" i="30"/>
  <c r="K60" i="30" s="1"/>
  <c r="B57" i="28"/>
  <c r="K57" i="28" s="1"/>
  <c r="C12" i="5"/>
  <c r="B138" i="31"/>
  <c r="K138" i="31" s="1"/>
  <c r="B59" i="30"/>
  <c r="K59" i="30" s="1"/>
  <c r="B56" i="28"/>
  <c r="K56" i="28" s="1"/>
  <c r="C11" i="5"/>
  <c r="B115" i="31"/>
  <c r="K115" i="31" s="1"/>
  <c r="B58" i="30"/>
  <c r="K58" i="30" s="1"/>
  <c r="B55" i="28"/>
  <c r="K55" i="28" s="1"/>
  <c r="C10" i="5"/>
  <c r="B92" i="31"/>
  <c r="K92" i="31" s="1"/>
  <c r="B57" i="30"/>
  <c r="K57" i="30" s="1"/>
  <c r="B54" i="28"/>
  <c r="K54" i="28" s="1"/>
  <c r="C9" i="5"/>
  <c r="B79" i="31"/>
  <c r="K79" i="31" s="1"/>
  <c r="B56" i="30"/>
  <c r="K56" i="30" s="1"/>
  <c r="B53" i="28"/>
  <c r="K53" i="28" s="1"/>
  <c r="C8" i="5"/>
  <c r="B58" i="31"/>
  <c r="K58" i="31" s="1"/>
  <c r="B55" i="30"/>
  <c r="K55" i="30" s="1"/>
  <c r="B52" i="28"/>
  <c r="K52" i="28" s="1"/>
  <c r="C7" i="5"/>
  <c r="B47" i="31"/>
  <c r="K47" i="31" s="1"/>
  <c r="B54" i="30"/>
  <c r="K54" i="30" s="1"/>
  <c r="B51" i="28"/>
  <c r="K51" i="28" s="1"/>
  <c r="C28" i="5"/>
  <c r="B327" i="31"/>
  <c r="K327" i="31" s="1"/>
  <c r="B65" i="30"/>
  <c r="K65" i="30" s="1"/>
  <c r="B58" i="28"/>
  <c r="K58" i="28" s="1"/>
  <c r="C31" i="5"/>
  <c r="B378" i="31"/>
  <c r="K378" i="31" s="1"/>
  <c r="B68" i="30"/>
  <c r="K68" i="30" s="1"/>
  <c r="B61" i="28"/>
  <c r="K61" i="28" s="1"/>
  <c r="C30" i="5"/>
  <c r="B354" i="31"/>
  <c r="K354" i="31" s="1"/>
  <c r="B67" i="30"/>
  <c r="K67" i="30" s="1"/>
  <c r="B60" i="28"/>
  <c r="K60" i="28" s="1"/>
  <c r="C29" i="5"/>
  <c r="B342" i="31"/>
  <c r="K342" i="31" s="1"/>
  <c r="B66" i="30"/>
  <c r="K66" i="30" s="1"/>
  <c r="B59" i="28"/>
  <c r="K59" i="28" s="1"/>
  <c r="C34" i="5"/>
  <c r="B441" i="31"/>
  <c r="K441" i="31" s="1"/>
  <c r="B71" i="30"/>
  <c r="K71" i="30" s="1"/>
  <c r="B62" i="28"/>
  <c r="K62" i="28" s="1"/>
  <c r="C35" i="5"/>
  <c r="B466" i="31"/>
  <c r="K466" i="31" s="1"/>
  <c r="B72" i="30"/>
  <c r="K72" i="30" s="1"/>
  <c r="B63" i="28"/>
  <c r="K63" i="28" s="1"/>
  <c r="B36" i="5"/>
  <c r="B489" i="31"/>
  <c r="K489" i="31" s="1"/>
  <c r="B473" i="30"/>
  <c r="K473" i="30" s="1"/>
  <c r="B20" i="29"/>
  <c r="B64" i="28"/>
  <c r="K64" i="28" s="1"/>
  <c r="B37" i="5"/>
  <c r="B507" i="31"/>
  <c r="K507" i="31" s="1"/>
  <c r="B474" i="30"/>
  <c r="K474" i="30" s="1"/>
  <c r="B21" i="29"/>
  <c r="B65" i="28"/>
  <c r="K65" i="28" s="1"/>
  <c r="C12" i="31"/>
  <c r="C477" i="30"/>
  <c r="C66" i="28"/>
  <c r="C25" i="31"/>
  <c r="C478" i="30"/>
  <c r="C67" i="28"/>
  <c r="C70" i="31"/>
  <c r="C480" i="30"/>
  <c r="C68" i="28"/>
  <c r="C91" i="31"/>
  <c r="C481" i="30"/>
  <c r="C69" i="28"/>
  <c r="C134" i="31"/>
  <c r="C483" i="30"/>
  <c r="C70" i="28"/>
  <c r="C153" i="31"/>
  <c r="C484" i="30"/>
  <c r="C71" i="28"/>
  <c r="C202" i="31"/>
  <c r="C486" i="30"/>
  <c r="C72" i="28"/>
  <c r="C224" i="31"/>
  <c r="C487" i="30"/>
  <c r="C73" i="28"/>
  <c r="C245" i="31"/>
  <c r="C488" i="30"/>
  <c r="C74" i="28"/>
  <c r="C264" i="31"/>
  <c r="C489" i="30"/>
  <c r="C75" i="28"/>
  <c r="C272" i="31"/>
  <c r="C490" i="30"/>
  <c r="C76" i="28"/>
  <c r="C283" i="31"/>
  <c r="C491" i="30"/>
  <c r="C77" i="28"/>
  <c r="G5" i="5"/>
  <c r="B12" i="31"/>
  <c r="K12" i="31" s="1"/>
  <c r="B477" i="30"/>
  <c r="K477" i="30" s="1"/>
  <c r="B66" i="28"/>
  <c r="K66" i="28" s="1"/>
  <c r="G6" i="5"/>
  <c r="B25" i="31"/>
  <c r="K25" i="31" s="1"/>
  <c r="B478" i="30"/>
  <c r="K478" i="30" s="1"/>
  <c r="B67" i="28"/>
  <c r="K67" i="28" s="1"/>
  <c r="G8" i="5"/>
  <c r="B70" i="31"/>
  <c r="K70" i="31" s="1"/>
  <c r="B480" i="30"/>
  <c r="K480" i="30" s="1"/>
  <c r="B68" i="28"/>
  <c r="K68" i="28" s="1"/>
  <c r="G9" i="5"/>
  <c r="B91" i="31"/>
  <c r="K91" i="31" s="1"/>
  <c r="B481" i="30"/>
  <c r="K481" i="30" s="1"/>
  <c r="B69" i="28"/>
  <c r="K69" i="28" s="1"/>
  <c r="G11" i="5"/>
  <c r="B134" i="31"/>
  <c r="K134" i="31" s="1"/>
  <c r="B483" i="30"/>
  <c r="K483" i="30" s="1"/>
  <c r="B70" i="28"/>
  <c r="K70" i="28" s="1"/>
  <c r="G12" i="5"/>
  <c r="B153" i="31"/>
  <c r="K153" i="31" s="1"/>
  <c r="B484" i="30"/>
  <c r="K484" i="30" s="1"/>
  <c r="B71" i="28"/>
  <c r="K71" i="28" s="1"/>
  <c r="G14" i="5"/>
  <c r="B202" i="31"/>
  <c r="K202" i="31" s="1"/>
  <c r="B486" i="30"/>
  <c r="K486" i="30" s="1"/>
  <c r="B72" i="28"/>
  <c r="K72" i="28" s="1"/>
  <c r="G19" i="5"/>
  <c r="B283" i="31"/>
  <c r="K283" i="31" s="1"/>
  <c r="B491" i="30"/>
  <c r="K491" i="30" s="1"/>
  <c r="B77" i="28"/>
  <c r="K77" i="28" s="1"/>
  <c r="G18" i="5"/>
  <c r="B272" i="31"/>
  <c r="K272" i="31" s="1"/>
  <c r="B490" i="30"/>
  <c r="K490" i="30" s="1"/>
  <c r="B76" i="28"/>
  <c r="K76" i="28" s="1"/>
  <c r="G17" i="5"/>
  <c r="B264" i="31"/>
  <c r="K264" i="31" s="1"/>
  <c r="B489" i="30"/>
  <c r="K489" i="30" s="1"/>
  <c r="B75" i="28"/>
  <c r="K75" i="28" s="1"/>
  <c r="G16" i="5"/>
  <c r="B245" i="31"/>
  <c r="K245" i="31" s="1"/>
  <c r="B488" i="30"/>
  <c r="K488" i="30" s="1"/>
  <c r="B74" i="28"/>
  <c r="K74" i="28" s="1"/>
  <c r="G15" i="5"/>
  <c r="B224" i="31"/>
  <c r="K224" i="31" s="1"/>
  <c r="B487" i="30"/>
  <c r="K487" i="30" s="1"/>
  <c r="B73" i="28"/>
  <c r="K73" i="28" s="1"/>
  <c r="C302" i="31"/>
  <c r="C492" i="30"/>
  <c r="C78" i="28"/>
  <c r="C317" i="31"/>
  <c r="C493" i="30"/>
  <c r="C79" i="28"/>
  <c r="C341" i="31"/>
  <c r="C494" i="30"/>
  <c r="C80" i="28"/>
  <c r="C368" i="31"/>
  <c r="C495" i="30"/>
  <c r="C81" i="28"/>
  <c r="C392" i="31"/>
  <c r="C496" i="30"/>
  <c r="C82" i="28"/>
  <c r="C416" i="31"/>
  <c r="C497" i="30"/>
  <c r="C83" i="28"/>
  <c r="C437" i="31"/>
  <c r="C498" i="30"/>
  <c r="C84" i="28"/>
  <c r="C454" i="31"/>
  <c r="C499" i="30"/>
  <c r="C85" i="28"/>
  <c r="C479" i="31"/>
  <c r="C500" i="30"/>
  <c r="C86" i="28"/>
  <c r="C504" i="31"/>
  <c r="C501" i="30"/>
  <c r="C87" i="28"/>
  <c r="C529" i="31"/>
  <c r="C502" i="30"/>
  <c r="C25" i="29"/>
  <c r="C88" i="28"/>
  <c r="C553" i="31"/>
  <c r="C503" i="30"/>
  <c r="C26" i="29"/>
  <c r="C89" i="28"/>
  <c r="G27" i="5"/>
  <c r="B302" i="31"/>
  <c r="K302" i="31" s="1"/>
  <c r="B492" i="30"/>
  <c r="K492" i="30" s="1"/>
  <c r="B78" i="28"/>
  <c r="K78" i="28" s="1"/>
  <c r="G38" i="5"/>
  <c r="B553" i="31"/>
  <c r="K553" i="31" s="1"/>
  <c r="B503" i="30"/>
  <c r="K503" i="30" s="1"/>
  <c r="B26" i="29"/>
  <c r="B89" i="28"/>
  <c r="K89" i="28" s="1"/>
  <c r="G37" i="5"/>
  <c r="B529" i="31"/>
  <c r="K529" i="31" s="1"/>
  <c r="B502" i="30"/>
  <c r="K502" i="30" s="1"/>
  <c r="B25" i="29"/>
  <c r="B88" i="28"/>
  <c r="K88" i="28" s="1"/>
  <c r="G36" i="5"/>
  <c r="B504" i="31"/>
  <c r="K504" i="31" s="1"/>
  <c r="B501" i="30"/>
  <c r="K501" i="30" s="1"/>
  <c r="B87" i="28"/>
  <c r="K87" i="28" s="1"/>
  <c r="G35" i="5"/>
  <c r="B479" i="31"/>
  <c r="K479" i="31" s="1"/>
  <c r="B500" i="30"/>
  <c r="K500" i="30" s="1"/>
  <c r="B86" i="28"/>
  <c r="K86" i="28" s="1"/>
  <c r="G34" i="5"/>
  <c r="B454" i="31"/>
  <c r="K454" i="31" s="1"/>
  <c r="B499" i="30"/>
  <c r="K499" i="30" s="1"/>
  <c r="B85" i="28"/>
  <c r="K85" i="28" s="1"/>
  <c r="G33" i="5"/>
  <c r="B437" i="31"/>
  <c r="K437" i="31" s="1"/>
  <c r="B498" i="30"/>
  <c r="K498" i="30" s="1"/>
  <c r="B84" i="28"/>
  <c r="K84" i="28" s="1"/>
  <c r="G32" i="5"/>
  <c r="B416" i="31"/>
  <c r="K416" i="31" s="1"/>
  <c r="B497" i="30"/>
  <c r="K497" i="30" s="1"/>
  <c r="B83" i="28"/>
  <c r="K83" i="28" s="1"/>
  <c r="G31" i="5"/>
  <c r="B392" i="31"/>
  <c r="K392" i="31" s="1"/>
  <c r="B496" i="30"/>
  <c r="K496" i="30" s="1"/>
  <c r="B82" i="28"/>
  <c r="K82" i="28" s="1"/>
  <c r="G30" i="5"/>
  <c r="B368" i="31"/>
  <c r="K368" i="31" s="1"/>
  <c r="B495" i="30"/>
  <c r="K495" i="30" s="1"/>
  <c r="B81" i="28"/>
  <c r="K81" i="28" s="1"/>
  <c r="G29" i="5"/>
  <c r="B341" i="31"/>
  <c r="K341" i="31" s="1"/>
  <c r="B494" i="30"/>
  <c r="K494" i="30" s="1"/>
  <c r="B80" i="28"/>
  <c r="K80" i="28" s="1"/>
  <c r="G28" i="5"/>
  <c r="B317" i="31"/>
  <c r="K317" i="31" s="1"/>
  <c r="B493" i="30"/>
  <c r="K493" i="30" s="1"/>
  <c r="B79" i="28"/>
  <c r="K79" i="28" s="1"/>
  <c r="C3" i="31"/>
  <c r="C24" i="30"/>
  <c r="C140" i="28"/>
  <c r="C17" i="31"/>
  <c r="C25" i="30"/>
  <c r="C141" i="28"/>
  <c r="C38" i="31"/>
  <c r="C26" i="30"/>
  <c r="C142" i="28"/>
  <c r="C62" i="31"/>
  <c r="C27" i="30"/>
  <c r="C143" i="28"/>
  <c r="C119" i="31"/>
  <c r="C30" i="30"/>
  <c r="C144" i="28"/>
  <c r="C143" i="31"/>
  <c r="C31" i="30"/>
  <c r="C145" i="28"/>
  <c r="C237" i="31"/>
  <c r="C35" i="30"/>
  <c r="C146" i="28"/>
  <c r="C258" i="31"/>
  <c r="C36" i="30"/>
  <c r="C147" i="28"/>
  <c r="C266" i="31"/>
  <c r="C37" i="30"/>
  <c r="C148" i="28"/>
  <c r="C280" i="31"/>
  <c r="C38" i="30"/>
  <c r="C149" i="28"/>
  <c r="H5" i="5"/>
  <c r="B3" i="31"/>
  <c r="K3" i="31" s="1"/>
  <c r="B24" i="30"/>
  <c r="K24" i="30" s="1"/>
  <c r="B140" i="28"/>
  <c r="K140" i="28" s="1"/>
  <c r="H6" i="5"/>
  <c r="B17" i="31"/>
  <c r="K17" i="31" s="1"/>
  <c r="B25" i="30"/>
  <c r="K25" i="30" s="1"/>
  <c r="B141" i="28"/>
  <c r="K141" i="28" s="1"/>
  <c r="H7" i="5"/>
  <c r="B38" i="31"/>
  <c r="K38" i="31" s="1"/>
  <c r="B26" i="30"/>
  <c r="K26" i="30" s="1"/>
  <c r="B142" i="28"/>
  <c r="K142" i="28" s="1"/>
  <c r="H8" i="5"/>
  <c r="B62" i="31"/>
  <c r="K62" i="31" s="1"/>
  <c r="B27" i="30"/>
  <c r="K27" i="30" s="1"/>
  <c r="B143" i="28"/>
  <c r="K143" i="28" s="1"/>
  <c r="H11" i="5"/>
  <c r="B119" i="31"/>
  <c r="K119" i="31" s="1"/>
  <c r="B30" i="30"/>
  <c r="K30" i="30" s="1"/>
  <c r="B144" i="28"/>
  <c r="K144" i="28" s="1"/>
  <c r="H12" i="5"/>
  <c r="B143" i="31"/>
  <c r="K143" i="31" s="1"/>
  <c r="B31" i="30"/>
  <c r="K31" i="30" s="1"/>
  <c r="B145" i="28"/>
  <c r="K145" i="28" s="1"/>
  <c r="H16" i="5"/>
  <c r="B237" i="31"/>
  <c r="K237" i="31" s="1"/>
  <c r="B35" i="30"/>
  <c r="K35" i="30" s="1"/>
  <c r="B146" i="28"/>
  <c r="K146" i="28" s="1"/>
  <c r="H19" i="5"/>
  <c r="B280" i="31"/>
  <c r="K280" i="31" s="1"/>
  <c r="B38" i="30"/>
  <c r="K38" i="30" s="1"/>
  <c r="B149" i="28"/>
  <c r="K149" i="28" s="1"/>
  <c r="H18" i="5"/>
  <c r="B266" i="31"/>
  <c r="K266" i="31" s="1"/>
  <c r="B37" i="30"/>
  <c r="K37" i="30" s="1"/>
  <c r="B148" i="28"/>
  <c r="K148" i="28" s="1"/>
  <c r="H17" i="5"/>
  <c r="B258" i="31"/>
  <c r="K258" i="31" s="1"/>
  <c r="B36" i="30"/>
  <c r="K36" i="30" s="1"/>
  <c r="B147" i="28"/>
  <c r="K147" i="28" s="1"/>
  <c r="C290" i="31"/>
  <c r="C39" i="30"/>
  <c r="C150" i="28"/>
  <c r="C307" i="31"/>
  <c r="C40" i="30"/>
  <c r="C151" i="28"/>
  <c r="C331" i="31"/>
  <c r="C41" i="30"/>
  <c r="C152" i="28"/>
  <c r="C358" i="31"/>
  <c r="C42" i="30"/>
  <c r="C153" i="28"/>
  <c r="C382" i="31"/>
  <c r="C43" i="30"/>
  <c r="C154" i="28"/>
  <c r="C406" i="31"/>
  <c r="C44" i="30"/>
  <c r="C155" i="28"/>
  <c r="C421" i="31"/>
  <c r="C45" i="30"/>
  <c r="C156" i="28"/>
  <c r="C445" i="31"/>
  <c r="C46" i="30"/>
  <c r="C35" i="29"/>
  <c r="C157" i="28"/>
  <c r="C470" i="31"/>
  <c r="C47" i="30"/>
  <c r="C36" i="29"/>
  <c r="C158" i="28"/>
  <c r="C495" i="31"/>
  <c r="C48" i="30"/>
  <c r="C159" i="28"/>
  <c r="C520" i="31"/>
  <c r="C49" i="30"/>
  <c r="C160" i="28"/>
  <c r="H27" i="5"/>
  <c r="B290" i="31"/>
  <c r="K290" i="31" s="1"/>
  <c r="B39" i="30"/>
  <c r="K39" i="30" s="1"/>
  <c r="B150" i="28"/>
  <c r="K150" i="28" s="1"/>
  <c r="H37" i="5"/>
  <c r="B520" i="31"/>
  <c r="K520" i="31" s="1"/>
  <c r="B49" i="30"/>
  <c r="K49" i="30" s="1"/>
  <c r="B160" i="28"/>
  <c r="K160" i="28" s="1"/>
  <c r="H36" i="5"/>
  <c r="B495" i="31"/>
  <c r="K495" i="31" s="1"/>
  <c r="B48" i="30"/>
  <c r="K48" i="30" s="1"/>
  <c r="B159" i="28"/>
  <c r="K159" i="28" s="1"/>
  <c r="H35" i="5"/>
  <c r="B470" i="31"/>
  <c r="K470" i="31" s="1"/>
  <c r="B47" i="30"/>
  <c r="K47" i="30" s="1"/>
  <c r="B36" i="29"/>
  <c r="B158" i="28"/>
  <c r="K158" i="28" s="1"/>
  <c r="H34" i="5"/>
  <c r="B445" i="31"/>
  <c r="K445" i="31" s="1"/>
  <c r="B46" i="30"/>
  <c r="K46" i="30" s="1"/>
  <c r="B35" i="29"/>
  <c r="B157" i="28"/>
  <c r="K157" i="28" s="1"/>
  <c r="H33" i="5"/>
  <c r="B421" i="31"/>
  <c r="K421" i="31" s="1"/>
  <c r="B45" i="30"/>
  <c r="K45" i="30" s="1"/>
  <c r="B156" i="28"/>
  <c r="K156" i="28" s="1"/>
  <c r="H32" i="5"/>
  <c r="B406" i="31"/>
  <c r="K406" i="31" s="1"/>
  <c r="B44" i="30"/>
  <c r="K44" i="30" s="1"/>
  <c r="B155" i="28"/>
  <c r="K155" i="28" s="1"/>
  <c r="H31" i="5"/>
  <c r="B382" i="31"/>
  <c r="K382" i="31" s="1"/>
  <c r="B43" i="30"/>
  <c r="K43" i="30" s="1"/>
  <c r="B154" i="28"/>
  <c r="K154" i="28" s="1"/>
  <c r="H30" i="5"/>
  <c r="B358" i="31"/>
  <c r="K358" i="31" s="1"/>
  <c r="B42" i="30"/>
  <c r="K42" i="30" s="1"/>
  <c r="B153" i="28"/>
  <c r="K153" i="28" s="1"/>
  <c r="H29" i="5"/>
  <c r="B331" i="31"/>
  <c r="K331" i="31" s="1"/>
  <c r="B41" i="30"/>
  <c r="K41" i="30" s="1"/>
  <c r="B152" i="28"/>
  <c r="K152" i="28" s="1"/>
  <c r="H28" i="5"/>
  <c r="B307" i="31"/>
  <c r="K307" i="31" s="1"/>
  <c r="B40" i="30"/>
  <c r="K40" i="30" s="1"/>
  <c r="B151" i="28"/>
  <c r="K151" i="28" s="1"/>
  <c r="C19" i="31"/>
  <c r="C100" i="30"/>
  <c r="C161" i="28"/>
  <c r="C85" i="31"/>
  <c r="C103" i="30"/>
  <c r="C163" i="28"/>
  <c r="C83" i="31"/>
  <c r="C28" i="30"/>
  <c r="C162" i="28"/>
  <c r="C104" i="31"/>
  <c r="C29" i="30"/>
  <c r="C164" i="28"/>
  <c r="C168" i="31"/>
  <c r="C32" i="30"/>
  <c r="C165" i="28"/>
  <c r="C191" i="31"/>
  <c r="C33" i="30"/>
  <c r="C166" i="28"/>
  <c r="C214" i="31"/>
  <c r="C34" i="30"/>
  <c r="C167" i="28"/>
  <c r="I6" i="5"/>
  <c r="B19" i="31"/>
  <c r="K19" i="31" s="1"/>
  <c r="B100" i="30"/>
  <c r="K100" i="30" s="1"/>
  <c r="B161" i="28"/>
  <c r="K161" i="28" s="1"/>
  <c r="H9" i="5"/>
  <c r="B83" i="31"/>
  <c r="K83" i="31" s="1"/>
  <c r="B28" i="30"/>
  <c r="K28" i="30" s="1"/>
  <c r="B162" i="28"/>
  <c r="K162" i="28" s="1"/>
  <c r="I9" i="5"/>
  <c r="B85" i="31"/>
  <c r="K85" i="31" s="1"/>
  <c r="B103" i="30"/>
  <c r="K103" i="30" s="1"/>
  <c r="B163" i="28"/>
  <c r="K163" i="28" s="1"/>
  <c r="H10" i="5"/>
  <c r="B104" i="31"/>
  <c r="K104" i="31" s="1"/>
  <c r="B29" i="30"/>
  <c r="K29" i="30" s="1"/>
  <c r="B164" i="28"/>
  <c r="K164" i="28" s="1"/>
  <c r="H13" i="5"/>
  <c r="B168" i="31"/>
  <c r="K168" i="31" s="1"/>
  <c r="B32" i="30"/>
  <c r="K32" i="30" s="1"/>
  <c r="B165" i="28"/>
  <c r="K165" i="28" s="1"/>
  <c r="H14" i="5"/>
  <c r="B191" i="31"/>
  <c r="K191" i="31" s="1"/>
  <c r="B33" i="30"/>
  <c r="K33" i="30" s="1"/>
  <c r="B166" i="28"/>
  <c r="K166" i="28" s="1"/>
  <c r="H15" i="5"/>
  <c r="B214" i="31"/>
  <c r="K214" i="31" s="1"/>
  <c r="B34" i="30"/>
  <c r="K34" i="30" s="1"/>
  <c r="B167" i="28"/>
  <c r="K167" i="28" s="1"/>
  <c r="C300" i="31"/>
  <c r="C416" i="30"/>
  <c r="C168" i="28"/>
  <c r="C316" i="31"/>
  <c r="C417" i="30"/>
  <c r="C169" i="28"/>
  <c r="C415" i="31"/>
  <c r="C421" i="30"/>
  <c r="C170" i="28"/>
  <c r="C435" i="31"/>
  <c r="C422" i="30"/>
  <c r="C171" i="28"/>
  <c r="C453" i="31"/>
  <c r="C423" i="30"/>
  <c r="C172" i="28"/>
  <c r="C575" i="31"/>
  <c r="C505" i="30"/>
  <c r="C40" i="29"/>
  <c r="C174" i="28"/>
  <c r="C573" i="31"/>
  <c r="C504" i="30"/>
  <c r="C41" i="29"/>
  <c r="C175" i="28"/>
  <c r="J27" i="5"/>
  <c r="B300" i="31"/>
  <c r="K300" i="31" s="1"/>
  <c r="B416" i="30"/>
  <c r="K416" i="30" s="1"/>
  <c r="B168" i="28"/>
  <c r="K168" i="28" s="1"/>
  <c r="J28" i="5"/>
  <c r="B316" i="31"/>
  <c r="K316" i="31" s="1"/>
  <c r="B417" i="30"/>
  <c r="K417" i="30" s="1"/>
  <c r="B169" i="28"/>
  <c r="K169" i="28" s="1"/>
  <c r="J32" i="5"/>
  <c r="B415" i="31"/>
  <c r="K415" i="31" s="1"/>
  <c r="B421" i="30"/>
  <c r="K421" i="30" s="1"/>
  <c r="B170" i="28"/>
  <c r="K170" i="28" s="1"/>
  <c r="J33" i="5"/>
  <c r="B435" i="31"/>
  <c r="K435" i="31" s="1"/>
  <c r="B422" i="30"/>
  <c r="K422" i="30" s="1"/>
  <c r="B171" i="28"/>
  <c r="K171" i="28" s="1"/>
  <c r="J34" i="5"/>
  <c r="B453" i="31"/>
  <c r="K453" i="31" s="1"/>
  <c r="B423" i="30"/>
  <c r="K423" i="30" s="1"/>
  <c r="B172" i="28"/>
  <c r="K172" i="28" s="1"/>
  <c r="J35" i="5"/>
  <c r="B478" i="31"/>
  <c r="K478" i="31" s="1"/>
  <c r="B424" i="30"/>
  <c r="K424" i="30" s="1"/>
  <c r="B173" i="28"/>
  <c r="K173" i="28" s="1"/>
  <c r="G39" i="5"/>
  <c r="B575" i="31"/>
  <c r="K575" i="31" s="1"/>
  <c r="B505" i="30"/>
  <c r="K505" i="30" s="1"/>
  <c r="B40" i="29"/>
  <c r="B174" i="28"/>
  <c r="K174" i="28" s="1"/>
  <c r="G40" i="5"/>
  <c r="B573" i="31"/>
  <c r="K573" i="31" s="1"/>
  <c r="B504" i="30"/>
  <c r="K504" i="30" s="1"/>
  <c r="B41" i="29"/>
  <c r="B175" i="28"/>
  <c r="K175" i="28" s="1"/>
  <c r="C2" i="31"/>
  <c r="C2" i="30"/>
  <c r="C204" i="28"/>
  <c r="C16" i="31"/>
  <c r="C3" i="30"/>
  <c r="C205" i="28"/>
  <c r="C37" i="31"/>
  <c r="C4" i="30"/>
  <c r="C206" i="28"/>
  <c r="C61" i="31"/>
  <c r="C5" i="30"/>
  <c r="C207" i="28"/>
  <c r="C82" i="31"/>
  <c r="C6" i="30"/>
  <c r="C208" i="28"/>
  <c r="C103" i="31"/>
  <c r="C7" i="30"/>
  <c r="C209" i="28"/>
  <c r="C118" i="31"/>
  <c r="C8" i="30"/>
  <c r="C210" i="28"/>
  <c r="C142" i="31"/>
  <c r="C9" i="30"/>
  <c r="C211" i="28"/>
  <c r="C167" i="31"/>
  <c r="C10" i="30"/>
  <c r="C212" i="28"/>
  <c r="C190" i="31"/>
  <c r="C11" i="30"/>
  <c r="C213" i="28"/>
  <c r="C289" i="31"/>
  <c r="C12" i="30"/>
  <c r="C214" i="28"/>
  <c r="C306" i="31"/>
  <c r="C13" i="30"/>
  <c r="C215" i="28"/>
  <c r="C330" i="31"/>
  <c r="C14" i="30"/>
  <c r="C216" i="28"/>
  <c r="C357" i="31"/>
  <c r="C15" i="30"/>
  <c r="C217" i="28"/>
  <c r="C381" i="31"/>
  <c r="C16" i="30"/>
  <c r="C218" i="28"/>
  <c r="C405" i="31"/>
  <c r="C17" i="30"/>
  <c r="C219" i="28"/>
  <c r="C444" i="31"/>
  <c r="C19" i="30"/>
  <c r="C220" i="28"/>
  <c r="C469" i="31"/>
  <c r="C20" i="30"/>
  <c r="C50" i="29"/>
  <c r="C221" i="28"/>
  <c r="C494" i="31"/>
  <c r="C21" i="30"/>
  <c r="C51" i="29"/>
  <c r="C222" i="28"/>
  <c r="C519" i="31"/>
  <c r="C22" i="30"/>
  <c r="C223" i="28"/>
  <c r="C543" i="31"/>
  <c r="C23" i="30"/>
  <c r="C224" i="28"/>
  <c r="N5" i="5"/>
  <c r="B2" i="31"/>
  <c r="K2" i="31" s="1"/>
  <c r="B2" i="30"/>
  <c r="K2" i="30" s="1"/>
  <c r="B204" i="28"/>
  <c r="K204" i="28" s="1"/>
  <c r="N14" i="5"/>
  <c r="B190" i="31"/>
  <c r="K190" i="31" s="1"/>
  <c r="B11" i="30"/>
  <c r="K11" i="30" s="1"/>
  <c r="B213" i="28"/>
  <c r="K213" i="28" s="1"/>
  <c r="N13" i="5"/>
  <c r="B167" i="31"/>
  <c r="K167" i="31" s="1"/>
  <c r="B10" i="30"/>
  <c r="K10" i="30" s="1"/>
  <c r="B212" i="28"/>
  <c r="K212" i="28" s="1"/>
  <c r="N12" i="5"/>
  <c r="B142" i="31"/>
  <c r="K142" i="31" s="1"/>
  <c r="B9" i="30"/>
  <c r="K9" i="30" s="1"/>
  <c r="B211" i="28"/>
  <c r="K211" i="28" s="1"/>
  <c r="N11" i="5"/>
  <c r="B118" i="31"/>
  <c r="K118" i="31" s="1"/>
  <c r="B8" i="30"/>
  <c r="K8" i="30" s="1"/>
  <c r="B210" i="28"/>
  <c r="K210" i="28" s="1"/>
  <c r="N10" i="5"/>
  <c r="B103" i="31"/>
  <c r="K103" i="31" s="1"/>
  <c r="B7" i="30"/>
  <c r="K7" i="30" s="1"/>
  <c r="B209" i="28"/>
  <c r="K209" i="28" s="1"/>
  <c r="N9" i="5"/>
  <c r="B82" i="31"/>
  <c r="K82" i="31" s="1"/>
  <c r="B6" i="30"/>
  <c r="K6" i="30" s="1"/>
  <c r="B208" i="28"/>
  <c r="K208" i="28" s="1"/>
  <c r="N8" i="5"/>
  <c r="B61" i="31"/>
  <c r="K61" i="31" s="1"/>
  <c r="B5" i="30"/>
  <c r="K5" i="30" s="1"/>
  <c r="B207" i="28"/>
  <c r="K207" i="28" s="1"/>
  <c r="N7" i="5"/>
  <c r="B37" i="31"/>
  <c r="K37" i="31" s="1"/>
  <c r="B4" i="30"/>
  <c r="K4" i="30" s="1"/>
  <c r="B206" i="28"/>
  <c r="K206" i="28" s="1"/>
  <c r="N6" i="5"/>
  <c r="B16" i="31"/>
  <c r="K16" i="31" s="1"/>
  <c r="B3" i="30"/>
  <c r="K3" i="30" s="1"/>
  <c r="B205" i="28"/>
  <c r="K205" i="28" s="1"/>
  <c r="N27" i="5"/>
  <c r="B289" i="31"/>
  <c r="K289" i="31" s="1"/>
  <c r="B12" i="30"/>
  <c r="K12" i="30" s="1"/>
  <c r="B214" i="28"/>
  <c r="K214" i="28" s="1"/>
  <c r="N32" i="5"/>
  <c r="B405" i="31"/>
  <c r="K405" i="31" s="1"/>
  <c r="B17" i="30"/>
  <c r="K17" i="30" s="1"/>
  <c r="B219" i="28"/>
  <c r="K219" i="28" s="1"/>
  <c r="N31" i="5"/>
  <c r="B381" i="31"/>
  <c r="K381" i="31" s="1"/>
  <c r="B16" i="30"/>
  <c r="K16" i="30" s="1"/>
  <c r="B218" i="28"/>
  <c r="K218" i="28" s="1"/>
  <c r="N30" i="5"/>
  <c r="B357" i="31"/>
  <c r="K357" i="31" s="1"/>
  <c r="B15" i="30"/>
  <c r="K15" i="30" s="1"/>
  <c r="B217" i="28"/>
  <c r="K217" i="28" s="1"/>
  <c r="N29" i="5"/>
  <c r="B330" i="31"/>
  <c r="K330" i="31" s="1"/>
  <c r="B14" i="30"/>
  <c r="K14" i="30" s="1"/>
  <c r="B216" i="28"/>
  <c r="K216" i="28" s="1"/>
  <c r="N28" i="5"/>
  <c r="B306" i="31"/>
  <c r="K306" i="31" s="1"/>
  <c r="B13" i="30"/>
  <c r="K13" i="30" s="1"/>
  <c r="B215" i="28"/>
  <c r="K215" i="28" s="1"/>
  <c r="C18" i="31"/>
  <c r="C75" i="30"/>
  <c r="C39" i="31"/>
  <c r="C76" i="30"/>
  <c r="C63" i="31"/>
  <c r="C77" i="30"/>
  <c r="C84" i="31"/>
  <c r="C78" i="30"/>
  <c r="C105" i="31"/>
  <c r="C79" i="30"/>
  <c r="C120" i="31"/>
  <c r="C80" i="30"/>
  <c r="C144" i="31"/>
  <c r="C81" i="30"/>
  <c r="C169" i="31"/>
  <c r="C82" i="30"/>
  <c r="C192" i="31"/>
  <c r="C83" i="30"/>
  <c r="C215" i="31"/>
  <c r="C84" i="30"/>
  <c r="C238" i="31"/>
  <c r="C85" i="30"/>
  <c r="C259" i="31"/>
  <c r="C86" i="30"/>
  <c r="C267" i="31"/>
  <c r="C87" i="30"/>
  <c r="B18" i="31"/>
  <c r="K18" i="31" s="1"/>
  <c r="B75" i="30"/>
  <c r="K75" i="30" s="1"/>
  <c r="B267" i="31"/>
  <c r="K267" i="31" s="1"/>
  <c r="B87" i="30"/>
  <c r="K87" i="30" s="1"/>
  <c r="B259" i="31"/>
  <c r="K259" i="31" s="1"/>
  <c r="B86" i="30"/>
  <c r="K86" i="30" s="1"/>
  <c r="B238" i="31"/>
  <c r="K238" i="31" s="1"/>
  <c r="B85" i="30"/>
  <c r="K85" i="30" s="1"/>
  <c r="B215" i="31"/>
  <c r="K215" i="31" s="1"/>
  <c r="B84" i="30"/>
  <c r="K84" i="30" s="1"/>
  <c r="B192" i="31"/>
  <c r="K192" i="31" s="1"/>
  <c r="B83" i="30"/>
  <c r="K83" i="30" s="1"/>
  <c r="B169" i="31"/>
  <c r="K169" i="31" s="1"/>
  <c r="B82" i="30"/>
  <c r="K82" i="30" s="1"/>
  <c r="B144" i="31"/>
  <c r="K144" i="31" s="1"/>
  <c r="B81" i="30"/>
  <c r="K81" i="30" s="1"/>
  <c r="B120" i="31"/>
  <c r="K120" i="31" s="1"/>
  <c r="B80" i="30"/>
  <c r="K80" i="30" s="1"/>
  <c r="B105" i="31"/>
  <c r="K105" i="31" s="1"/>
  <c r="B79" i="30"/>
  <c r="K79" i="30" s="1"/>
  <c r="B84" i="31"/>
  <c r="K84" i="31" s="1"/>
  <c r="B78" i="30"/>
  <c r="K78" i="30" s="1"/>
  <c r="B63" i="31"/>
  <c r="K63" i="31" s="1"/>
  <c r="B77" i="30"/>
  <c r="K77" i="30" s="1"/>
  <c r="B39" i="31"/>
  <c r="K39" i="31" s="1"/>
  <c r="B76" i="30"/>
  <c r="K76" i="30" s="1"/>
  <c r="C6" i="31"/>
  <c r="C196" i="30"/>
  <c r="C21" i="31"/>
  <c r="C197" i="30"/>
  <c r="C22" i="31"/>
  <c r="C239" i="30"/>
  <c r="C241" i="31"/>
  <c r="C249" i="30"/>
  <c r="C219" i="31"/>
  <c r="C248" i="30"/>
  <c r="C196" i="31"/>
  <c r="C247" i="30"/>
  <c r="C173" i="31"/>
  <c r="C246" i="30"/>
  <c r="C148" i="31"/>
  <c r="C245" i="30"/>
  <c r="C126" i="31"/>
  <c r="C244" i="30"/>
  <c r="C109" i="31"/>
  <c r="C243" i="30"/>
  <c r="C88" i="31"/>
  <c r="C242" i="30"/>
  <c r="C67" i="31"/>
  <c r="C241" i="30"/>
  <c r="C43" i="31"/>
  <c r="C240" i="30"/>
  <c r="B6" i="31"/>
  <c r="K6" i="31" s="1"/>
  <c r="B196" i="30"/>
  <c r="K196" i="30" s="1"/>
  <c r="B21" i="31"/>
  <c r="K21" i="31" s="1"/>
  <c r="B197" i="30"/>
  <c r="K197" i="30" s="1"/>
  <c r="B22" i="31"/>
  <c r="K22" i="31" s="1"/>
  <c r="B239" i="30"/>
  <c r="K239" i="30" s="1"/>
  <c r="B241" i="31"/>
  <c r="K241" i="31" s="1"/>
  <c r="B249" i="30"/>
  <c r="K249" i="30" s="1"/>
  <c r="B219" i="31"/>
  <c r="K219" i="31" s="1"/>
  <c r="B248" i="30"/>
  <c r="K248" i="30" s="1"/>
  <c r="B196" i="31"/>
  <c r="K196" i="31" s="1"/>
  <c r="B247" i="30"/>
  <c r="K247" i="30" s="1"/>
  <c r="B173" i="31"/>
  <c r="K173" i="31" s="1"/>
  <c r="B246" i="30"/>
  <c r="K246" i="30" s="1"/>
  <c r="B148" i="31"/>
  <c r="K148" i="31" s="1"/>
  <c r="B245" i="30"/>
  <c r="K245" i="30" s="1"/>
  <c r="B126" i="31"/>
  <c r="K126" i="31" s="1"/>
  <c r="B244" i="30"/>
  <c r="K244" i="30" s="1"/>
  <c r="B109" i="31"/>
  <c r="K109" i="31" s="1"/>
  <c r="B243" i="30"/>
  <c r="K243" i="30" s="1"/>
  <c r="B88" i="31"/>
  <c r="K88" i="31" s="1"/>
  <c r="B242" i="30"/>
  <c r="K242" i="30" s="1"/>
  <c r="B67" i="31"/>
  <c r="K67" i="31" s="1"/>
  <c r="B241" i="30"/>
  <c r="K241" i="30" s="1"/>
  <c r="B43" i="31"/>
  <c r="K43" i="31" s="1"/>
  <c r="B240" i="30"/>
  <c r="K240" i="30" s="1"/>
  <c r="C312" i="31"/>
  <c r="C250" i="30"/>
  <c r="C336" i="31"/>
  <c r="C251" i="30"/>
  <c r="C363" i="31"/>
  <c r="C252" i="30"/>
  <c r="C387" i="31"/>
  <c r="C253" i="30"/>
  <c r="C411" i="31"/>
  <c r="C254" i="30"/>
  <c r="C428" i="31"/>
  <c r="C255" i="30"/>
  <c r="C449" i="31"/>
  <c r="C256" i="30"/>
  <c r="C474" i="31"/>
  <c r="C257" i="30"/>
  <c r="C499" i="31"/>
  <c r="C258" i="30"/>
  <c r="C524" i="31"/>
  <c r="C259" i="30"/>
  <c r="B312" i="31"/>
  <c r="K312" i="31" s="1"/>
  <c r="B250" i="30"/>
  <c r="K250" i="30" s="1"/>
  <c r="B524" i="31"/>
  <c r="K524" i="31" s="1"/>
  <c r="B259" i="30"/>
  <c r="K259" i="30" s="1"/>
  <c r="B499" i="31"/>
  <c r="K499" i="31" s="1"/>
  <c r="B258" i="30"/>
  <c r="K258" i="30" s="1"/>
  <c r="B474" i="31"/>
  <c r="K474" i="31" s="1"/>
  <c r="B257" i="30"/>
  <c r="K257" i="30" s="1"/>
  <c r="B449" i="31"/>
  <c r="K449" i="31" s="1"/>
  <c r="B256" i="30"/>
  <c r="K256" i="30" s="1"/>
  <c r="B428" i="31"/>
  <c r="K428" i="31" s="1"/>
  <c r="B255" i="30"/>
  <c r="K255" i="30" s="1"/>
  <c r="B411" i="31"/>
  <c r="K411" i="31" s="1"/>
  <c r="B254" i="30"/>
  <c r="K254" i="30" s="1"/>
  <c r="B387" i="31"/>
  <c r="K387" i="31" s="1"/>
  <c r="B253" i="30"/>
  <c r="K253" i="30" s="1"/>
  <c r="B363" i="31"/>
  <c r="K363" i="31" s="1"/>
  <c r="B252" i="30"/>
  <c r="K252" i="30" s="1"/>
  <c r="B336" i="31"/>
  <c r="K336" i="31" s="1"/>
  <c r="B251" i="30"/>
  <c r="K251" i="30" s="1"/>
  <c r="C313" i="31"/>
  <c r="C285" i="30"/>
  <c r="C337" i="31"/>
  <c r="C286" i="30"/>
  <c r="C388" i="31"/>
  <c r="C288" i="30"/>
  <c r="C412" i="31"/>
  <c r="C289" i="30"/>
  <c r="C525" i="31"/>
  <c r="C294" i="30"/>
  <c r="C450" i="31"/>
  <c r="C291" i="30"/>
  <c r="C475" i="31"/>
  <c r="C292" i="30"/>
  <c r="C500" i="31"/>
  <c r="C293" i="30"/>
  <c r="C429" i="31"/>
  <c r="C290" i="30"/>
  <c r="C549" i="31"/>
  <c r="C295" i="30"/>
  <c r="B313" i="31"/>
  <c r="K313" i="31" s="1"/>
  <c r="B285" i="30"/>
  <c r="K285" i="30" s="1"/>
  <c r="B337" i="31"/>
  <c r="K337" i="31" s="1"/>
  <c r="B286" i="30"/>
  <c r="K286" i="30" s="1"/>
  <c r="B388" i="31"/>
  <c r="K388" i="31" s="1"/>
  <c r="B288" i="30"/>
  <c r="K288" i="30" s="1"/>
  <c r="C335" i="31"/>
  <c r="C209" i="30"/>
  <c r="C362" i="31"/>
  <c r="C210" i="30"/>
  <c r="C386" i="31"/>
  <c r="C211" i="30"/>
  <c r="C410" i="31"/>
  <c r="C212" i="30"/>
  <c r="C493" i="31"/>
  <c r="C215" i="30"/>
  <c r="C508" i="31"/>
  <c r="C216" i="30"/>
  <c r="C532" i="31"/>
  <c r="C217" i="30"/>
  <c r="C556" i="31"/>
  <c r="C218" i="30"/>
  <c r="C5" i="31"/>
  <c r="C149" i="30"/>
  <c r="C317" i="28"/>
  <c r="C20" i="31"/>
  <c r="C150" i="30"/>
  <c r="C318" i="28"/>
  <c r="C41" i="31"/>
  <c r="C151" i="30"/>
  <c r="C319" i="28"/>
  <c r="C65" i="31"/>
  <c r="C152" i="30"/>
  <c r="C320" i="28"/>
  <c r="C86" i="31"/>
  <c r="C153" i="30"/>
  <c r="C321" i="28"/>
  <c r="C107" i="31"/>
  <c r="C154" i="30"/>
  <c r="C322" i="28"/>
  <c r="C123" i="31"/>
  <c r="C155" i="30"/>
  <c r="C324" i="28"/>
  <c r="C146" i="31"/>
  <c r="C156" i="30"/>
  <c r="C326" i="28"/>
  <c r="C171" i="31"/>
  <c r="C157" i="30"/>
  <c r="C328" i="28"/>
  <c r="C194" i="31"/>
  <c r="C158" i="30"/>
  <c r="C330" i="28"/>
  <c r="C217" i="31"/>
  <c r="C159" i="30"/>
  <c r="C332" i="28"/>
  <c r="C240" i="31"/>
  <c r="C160" i="30"/>
  <c r="C334" i="28"/>
  <c r="C261" i="31"/>
  <c r="C161" i="30"/>
  <c r="C337" i="28"/>
  <c r="C269" i="31"/>
  <c r="C162" i="30"/>
  <c r="C339" i="28"/>
  <c r="L5" i="5"/>
  <c r="B5" i="31"/>
  <c r="K5" i="31" s="1"/>
  <c r="B149" i="30"/>
  <c r="K149" i="30" s="1"/>
  <c r="B317" i="28"/>
  <c r="K317" i="28" s="1"/>
  <c r="L6" i="5"/>
  <c r="B20" i="31"/>
  <c r="K20" i="31" s="1"/>
  <c r="B150" i="30"/>
  <c r="K150" i="30" s="1"/>
  <c r="B318" i="28"/>
  <c r="K318" i="28" s="1"/>
  <c r="L15" i="5"/>
  <c r="B217" i="31"/>
  <c r="K217" i="31" s="1"/>
  <c r="B159" i="30"/>
  <c r="K159" i="30" s="1"/>
  <c r="B332" i="28"/>
  <c r="K332" i="28" s="1"/>
  <c r="L14" i="5"/>
  <c r="B194" i="31"/>
  <c r="K194" i="31" s="1"/>
  <c r="B158" i="30"/>
  <c r="K158" i="30" s="1"/>
  <c r="B330" i="28"/>
  <c r="K330" i="28" s="1"/>
  <c r="L13" i="5"/>
  <c r="B171" i="31"/>
  <c r="K171" i="31" s="1"/>
  <c r="B157" i="30"/>
  <c r="K157" i="30" s="1"/>
  <c r="B328" i="28"/>
  <c r="K328" i="28" s="1"/>
  <c r="L12" i="5"/>
  <c r="B146" i="31"/>
  <c r="K146" i="31" s="1"/>
  <c r="B156" i="30"/>
  <c r="K156" i="30" s="1"/>
  <c r="B326" i="28"/>
  <c r="K326" i="28" s="1"/>
  <c r="L11" i="5"/>
  <c r="B123" i="31"/>
  <c r="K123" i="31" s="1"/>
  <c r="B155" i="30"/>
  <c r="K155" i="30" s="1"/>
  <c r="B324" i="28"/>
  <c r="K324" i="28" s="1"/>
  <c r="L10" i="5"/>
  <c r="B107" i="31"/>
  <c r="K107" i="31" s="1"/>
  <c r="B154" i="30"/>
  <c r="K154" i="30" s="1"/>
  <c r="B322" i="28"/>
  <c r="K322" i="28" s="1"/>
  <c r="L9" i="5"/>
  <c r="B86" i="31"/>
  <c r="K86" i="31" s="1"/>
  <c r="B153" i="30"/>
  <c r="K153" i="30" s="1"/>
  <c r="B321" i="28"/>
  <c r="K321" i="28" s="1"/>
  <c r="L8" i="5"/>
  <c r="B65" i="31"/>
  <c r="K65" i="31" s="1"/>
  <c r="B152" i="30"/>
  <c r="K152" i="30" s="1"/>
  <c r="B320" i="28"/>
  <c r="K320" i="28" s="1"/>
  <c r="L7" i="5"/>
  <c r="B41" i="31"/>
  <c r="K41" i="31" s="1"/>
  <c r="B151" i="30"/>
  <c r="K151" i="30" s="1"/>
  <c r="B319" i="28"/>
  <c r="K319" i="28" s="1"/>
  <c r="L18" i="5"/>
  <c r="B269" i="31"/>
  <c r="K269" i="31" s="1"/>
  <c r="B162" i="30"/>
  <c r="K162" i="30" s="1"/>
  <c r="B339" i="28"/>
  <c r="K339" i="28" s="1"/>
  <c r="L17" i="5"/>
  <c r="B261" i="31"/>
  <c r="K261" i="31" s="1"/>
  <c r="B161" i="30"/>
  <c r="K161" i="30" s="1"/>
  <c r="B337" i="28"/>
  <c r="K337" i="28" s="1"/>
  <c r="L16" i="5"/>
  <c r="B240" i="31"/>
  <c r="K240" i="31" s="1"/>
  <c r="B160" i="30"/>
  <c r="K160" i="30" s="1"/>
  <c r="B334" i="28"/>
  <c r="K334" i="28" s="1"/>
  <c r="C112" i="31"/>
  <c r="C383" i="30"/>
  <c r="C323" i="28"/>
  <c r="C131" i="31"/>
  <c r="C384" i="30"/>
  <c r="C325" i="28"/>
  <c r="C151" i="31"/>
  <c r="C385" i="30"/>
  <c r="C327" i="28"/>
  <c r="C176" i="31"/>
  <c r="C386" i="30"/>
  <c r="C329" i="28"/>
  <c r="C200" i="31"/>
  <c r="C387" i="30"/>
  <c r="C331" i="28"/>
  <c r="C222" i="31"/>
  <c r="C388" i="30"/>
  <c r="C333" i="28"/>
  <c r="C243" i="31"/>
  <c r="C389" i="30"/>
  <c r="C335" i="28"/>
  <c r="C262" i="31"/>
  <c r="C390" i="30"/>
  <c r="C336" i="28"/>
  <c r="C270" i="31"/>
  <c r="C391" i="30"/>
  <c r="C338" i="28"/>
  <c r="C281" i="31"/>
  <c r="C392" i="30"/>
  <c r="C340" i="28"/>
  <c r="M10" i="5"/>
  <c r="B112" i="31"/>
  <c r="K112" i="31" s="1"/>
  <c r="B383" i="30"/>
  <c r="K383" i="30" s="1"/>
  <c r="B323" i="28"/>
  <c r="K323" i="28" s="1"/>
  <c r="M19" i="5"/>
  <c r="B281" i="31"/>
  <c r="K281" i="31" s="1"/>
  <c r="B392" i="30"/>
  <c r="K392" i="30" s="1"/>
  <c r="B340" i="28"/>
  <c r="K340" i="28" s="1"/>
  <c r="M18" i="5"/>
  <c r="B270" i="31"/>
  <c r="K270" i="31" s="1"/>
  <c r="B391" i="30"/>
  <c r="K391" i="30" s="1"/>
  <c r="B338" i="28"/>
  <c r="K338" i="28" s="1"/>
  <c r="M17" i="5"/>
  <c r="B262" i="31"/>
  <c r="K262" i="31" s="1"/>
  <c r="B390" i="30"/>
  <c r="K390" i="30" s="1"/>
  <c r="B336" i="28"/>
  <c r="K336" i="28" s="1"/>
  <c r="M16" i="5"/>
  <c r="B243" i="31"/>
  <c r="K243" i="31" s="1"/>
  <c r="B389" i="30"/>
  <c r="K389" i="30" s="1"/>
  <c r="B335" i="28"/>
  <c r="K335" i="28" s="1"/>
  <c r="M15" i="5"/>
  <c r="B222" i="31"/>
  <c r="K222" i="31" s="1"/>
  <c r="B388" i="30"/>
  <c r="K388" i="30" s="1"/>
  <c r="B333" i="28"/>
  <c r="K333" i="28" s="1"/>
  <c r="M14" i="5"/>
  <c r="B200" i="31"/>
  <c r="K200" i="31" s="1"/>
  <c r="B387" i="30"/>
  <c r="K387" i="30" s="1"/>
  <c r="B331" i="28"/>
  <c r="K331" i="28" s="1"/>
  <c r="M13" i="5"/>
  <c r="B176" i="31"/>
  <c r="K176" i="31" s="1"/>
  <c r="B386" i="30"/>
  <c r="K386" i="30" s="1"/>
  <c r="B329" i="28"/>
  <c r="K329" i="28" s="1"/>
  <c r="M12" i="5"/>
  <c r="B151" i="31"/>
  <c r="K151" i="31" s="1"/>
  <c r="B385" i="30"/>
  <c r="K385" i="30" s="1"/>
  <c r="B327" i="28"/>
  <c r="K327" i="28" s="1"/>
  <c r="M11" i="5"/>
  <c r="B131" i="31"/>
  <c r="K131" i="31" s="1"/>
  <c r="B384" i="30"/>
  <c r="K384" i="30" s="1"/>
  <c r="B325" i="28"/>
  <c r="K325" i="28" s="1"/>
  <c r="C310" i="31"/>
  <c r="C164" i="30"/>
  <c r="C341" i="28"/>
  <c r="C334" i="31"/>
  <c r="C165" i="30"/>
  <c r="C343" i="28"/>
  <c r="C385" i="31"/>
  <c r="C167" i="30"/>
  <c r="C345" i="28"/>
  <c r="C409" i="31"/>
  <c r="C168" i="30"/>
  <c r="C347" i="28"/>
  <c r="C448" i="31"/>
  <c r="C170" i="30"/>
  <c r="C349" i="28"/>
  <c r="C498" i="31"/>
  <c r="C172" i="30"/>
  <c r="C353" i="28"/>
  <c r="C473" i="31"/>
  <c r="C171" i="30"/>
  <c r="C351" i="28"/>
  <c r="C523" i="31"/>
  <c r="C173" i="30"/>
  <c r="C356" i="28"/>
  <c r="C547" i="31"/>
  <c r="C174" i="30"/>
  <c r="C65" i="29"/>
  <c r="C357" i="28"/>
  <c r="C569" i="31"/>
  <c r="C175" i="30"/>
  <c r="C66" i="29"/>
  <c r="C359" i="28"/>
  <c r="C315" i="31"/>
  <c r="C394" i="30"/>
  <c r="C342" i="28"/>
  <c r="C339" i="31"/>
  <c r="C395" i="30"/>
  <c r="C344" i="28"/>
  <c r="C390" i="31"/>
  <c r="C397" i="30"/>
  <c r="C346" i="28"/>
  <c r="C414" i="31"/>
  <c r="C398" i="30"/>
  <c r="C348" i="28"/>
  <c r="C452" i="31"/>
  <c r="C400" i="30"/>
  <c r="C350" i="28"/>
  <c r="C477" i="31"/>
  <c r="C401" i="30"/>
  <c r="C352" i="28"/>
  <c r="C502" i="31"/>
  <c r="C402" i="30"/>
  <c r="C354" i="28"/>
  <c r="C527" i="31"/>
  <c r="C403" i="30"/>
  <c r="C355" i="28"/>
  <c r="C551" i="31"/>
  <c r="C404" i="30"/>
  <c r="C358" i="28"/>
  <c r="L28" i="5"/>
  <c r="B310" i="31"/>
  <c r="K310" i="31" s="1"/>
  <c r="B164" i="30"/>
  <c r="K164" i="30" s="1"/>
  <c r="B341" i="28"/>
  <c r="K341" i="28" s="1"/>
  <c r="L29" i="5"/>
  <c r="B334" i="31"/>
  <c r="K334" i="31" s="1"/>
  <c r="B165" i="30"/>
  <c r="K165" i="30" s="1"/>
  <c r="B343" i="28"/>
  <c r="K343" i="28" s="1"/>
  <c r="L31" i="5"/>
  <c r="B385" i="31"/>
  <c r="K385" i="31" s="1"/>
  <c r="B167" i="30"/>
  <c r="K167" i="30" s="1"/>
  <c r="B345" i="28"/>
  <c r="K345" i="28" s="1"/>
  <c r="L32" i="5"/>
  <c r="B409" i="31"/>
  <c r="K409" i="31" s="1"/>
  <c r="B168" i="30"/>
  <c r="K168" i="30" s="1"/>
  <c r="B347" i="28"/>
  <c r="K347" i="28" s="1"/>
  <c r="L34" i="5"/>
  <c r="B448" i="31"/>
  <c r="K448" i="31" s="1"/>
  <c r="B170" i="30"/>
  <c r="K170" i="30" s="1"/>
  <c r="B349" i="28"/>
  <c r="K349" i="28" s="1"/>
  <c r="L39" i="5"/>
  <c r="B569" i="31"/>
  <c r="K569" i="31" s="1"/>
  <c r="B175" i="30"/>
  <c r="K175" i="30" s="1"/>
  <c r="B66" i="29"/>
  <c r="B359" i="28"/>
  <c r="K359" i="28" s="1"/>
  <c r="L38" i="5"/>
  <c r="B547" i="31"/>
  <c r="K547" i="31" s="1"/>
  <c r="B174" i="30"/>
  <c r="K174" i="30" s="1"/>
  <c r="B65" i="29"/>
  <c r="B357" i="28"/>
  <c r="K357" i="28" s="1"/>
  <c r="L37" i="5"/>
  <c r="B523" i="31"/>
  <c r="K523" i="31" s="1"/>
  <c r="B173" i="30"/>
  <c r="K173" i="30" s="1"/>
  <c r="B356" i="28"/>
  <c r="K356" i="28" s="1"/>
  <c r="L36" i="5"/>
  <c r="B498" i="31"/>
  <c r="K498" i="31" s="1"/>
  <c r="B172" i="30"/>
  <c r="K172" i="30" s="1"/>
  <c r="B353" i="28"/>
  <c r="K353" i="28" s="1"/>
  <c r="L35" i="5"/>
  <c r="B473" i="31"/>
  <c r="K473" i="31" s="1"/>
  <c r="B171" i="30"/>
  <c r="K171" i="30" s="1"/>
  <c r="B351" i="28"/>
  <c r="K351" i="28" s="1"/>
  <c r="M28" i="5"/>
  <c r="B315" i="31"/>
  <c r="K315" i="31" s="1"/>
  <c r="B394" i="30"/>
  <c r="K394" i="30" s="1"/>
  <c r="B342" i="28"/>
  <c r="K342" i="28" s="1"/>
  <c r="M29" i="5"/>
  <c r="B339" i="31"/>
  <c r="K339" i="31" s="1"/>
  <c r="B395" i="30"/>
  <c r="K395" i="30" s="1"/>
  <c r="B344" i="28"/>
  <c r="K344" i="28" s="1"/>
  <c r="M31" i="5"/>
  <c r="B390" i="31"/>
  <c r="K390" i="31" s="1"/>
  <c r="B397" i="30"/>
  <c r="K397" i="30" s="1"/>
  <c r="B346" i="28"/>
  <c r="K346" i="28" s="1"/>
  <c r="M32" i="5"/>
  <c r="B414" i="31"/>
  <c r="K414" i="31" s="1"/>
  <c r="B398" i="30"/>
  <c r="K398" i="30" s="1"/>
  <c r="B348" i="28"/>
  <c r="K348" i="28" s="1"/>
  <c r="M34" i="5"/>
  <c r="B452" i="31"/>
  <c r="K452" i="31" s="1"/>
  <c r="B400" i="30"/>
  <c r="K400" i="30" s="1"/>
  <c r="B350" i="28"/>
  <c r="K350" i="28" s="1"/>
  <c r="M38" i="5"/>
  <c r="B551" i="31"/>
  <c r="K551" i="31" s="1"/>
  <c r="B404" i="30"/>
  <c r="K404" i="30" s="1"/>
  <c r="B358" i="28"/>
  <c r="K358" i="28" s="1"/>
  <c r="M37" i="5"/>
  <c r="B527" i="31"/>
  <c r="K527" i="31" s="1"/>
  <c r="B403" i="30"/>
  <c r="K403" i="30" s="1"/>
  <c r="B355" i="28"/>
  <c r="K355" i="28" s="1"/>
  <c r="M36" i="5"/>
  <c r="B502" i="31"/>
  <c r="K502" i="31" s="1"/>
  <c r="B402" i="30"/>
  <c r="K402" i="30" s="1"/>
  <c r="B354" i="28"/>
  <c r="K354" i="28" s="1"/>
  <c r="M35" i="5"/>
  <c r="B477" i="31"/>
  <c r="K477" i="31" s="1"/>
  <c r="B401" i="30"/>
  <c r="K401" i="30" s="1"/>
  <c r="B352" i="28"/>
  <c r="K352" i="28" s="1"/>
  <c r="C74" i="31"/>
  <c r="C363" i="30"/>
  <c r="C367" i="28"/>
  <c r="C158" i="31"/>
  <c r="C366" i="30"/>
  <c r="C371" i="28"/>
  <c r="C72" i="31"/>
  <c r="C221" i="30"/>
  <c r="C366" i="28"/>
  <c r="C95" i="31"/>
  <c r="C222" i="30"/>
  <c r="C369" i="28"/>
  <c r="C155" i="31"/>
  <c r="C224" i="30"/>
  <c r="C372" i="28"/>
  <c r="C181" i="31"/>
  <c r="C225" i="30"/>
  <c r="C374" i="28"/>
  <c r="C206" i="31"/>
  <c r="C226" i="30"/>
  <c r="C376" i="28"/>
  <c r="C229" i="31"/>
  <c r="C227" i="30"/>
  <c r="C378" i="28"/>
  <c r="C250" i="31"/>
  <c r="C228" i="30"/>
  <c r="C380" i="28"/>
  <c r="C156" i="31"/>
  <c r="C261" i="30"/>
  <c r="C373" i="28"/>
  <c r="C182" i="31"/>
  <c r="C262" i="30"/>
  <c r="C375" i="28"/>
  <c r="C207" i="31"/>
  <c r="C263" i="30"/>
  <c r="C377" i="28"/>
  <c r="C230" i="31"/>
  <c r="C264" i="30"/>
  <c r="C379" i="28"/>
  <c r="C251" i="31"/>
  <c r="C265" i="30"/>
  <c r="C381" i="28"/>
  <c r="C274" i="31"/>
  <c r="C266" i="30"/>
  <c r="C382" i="28"/>
  <c r="C284" i="31"/>
  <c r="C267" i="30"/>
  <c r="C383" i="28"/>
  <c r="AD5" i="5"/>
  <c r="B10" i="31"/>
  <c r="K10" i="31" s="1"/>
  <c r="B360" i="30"/>
  <c r="K360" i="30" s="1"/>
  <c r="B360" i="28"/>
  <c r="K360" i="28" s="1"/>
  <c r="AE6" i="5"/>
  <c r="B27" i="31"/>
  <c r="K27" i="31" s="1"/>
  <c r="B219" i="30"/>
  <c r="K219" i="30" s="1"/>
  <c r="B362" i="28"/>
  <c r="K362" i="28" s="1"/>
  <c r="AE7" i="5"/>
  <c r="B51" i="31"/>
  <c r="K51" i="31" s="1"/>
  <c r="B220" i="30"/>
  <c r="K220" i="30" s="1"/>
  <c r="B364" i="28"/>
  <c r="K364" i="28" s="1"/>
  <c r="AD8" i="5"/>
  <c r="B74" i="31"/>
  <c r="K74" i="31" s="1"/>
  <c r="B363" i="30"/>
  <c r="K363" i="30" s="1"/>
  <c r="B367" i="28"/>
  <c r="K367" i="28" s="1"/>
  <c r="AE8" i="5"/>
  <c r="B72" i="31"/>
  <c r="K72" i="31" s="1"/>
  <c r="B221" i="30"/>
  <c r="K221" i="30" s="1"/>
  <c r="B366" i="28"/>
  <c r="K366" i="28" s="1"/>
  <c r="AE9" i="5"/>
  <c r="B95" i="31"/>
  <c r="K95" i="31" s="1"/>
  <c r="B222" i="30"/>
  <c r="K222" i="30" s="1"/>
  <c r="B369" i="28"/>
  <c r="K369" i="28" s="1"/>
  <c r="AD11" i="5"/>
  <c r="B158" i="31"/>
  <c r="K158" i="31" s="1"/>
  <c r="B366" i="30"/>
  <c r="K366" i="30" s="1"/>
  <c r="B371" i="28"/>
  <c r="K371" i="28" s="1"/>
  <c r="AA5" i="5"/>
  <c r="B15" i="31"/>
  <c r="K15" i="31" s="1"/>
  <c r="B556" i="30"/>
  <c r="K556" i="30" s="1"/>
  <c r="B361" i="28"/>
  <c r="K361" i="28" s="1"/>
  <c r="AA8" i="5"/>
  <c r="B78" i="31"/>
  <c r="K78" i="31" s="1"/>
  <c r="B559" i="30"/>
  <c r="K559" i="30" s="1"/>
  <c r="B368" i="28"/>
  <c r="K368" i="28" s="1"/>
  <c r="AA7" i="5"/>
  <c r="B57" i="31"/>
  <c r="K57" i="31" s="1"/>
  <c r="B558" i="30"/>
  <c r="K558" i="30" s="1"/>
  <c r="B365" i="28"/>
  <c r="K365" i="28" s="1"/>
  <c r="AA6" i="5"/>
  <c r="B33" i="31"/>
  <c r="K33" i="31" s="1"/>
  <c r="B557" i="30"/>
  <c r="K557" i="30" s="1"/>
  <c r="B363" i="28"/>
  <c r="K363" i="28" s="1"/>
  <c r="C298" i="31"/>
  <c r="C372" i="30"/>
  <c r="C384" i="28"/>
  <c r="C322" i="31"/>
  <c r="C373" i="30"/>
  <c r="C388" i="28"/>
  <c r="C349" i="31"/>
  <c r="C374" i="30"/>
  <c r="C390" i="28"/>
  <c r="C373" i="31"/>
  <c r="C375" i="30"/>
  <c r="C391" i="28"/>
  <c r="C399" i="31"/>
  <c r="C376" i="30"/>
  <c r="C392" i="28"/>
  <c r="C433" i="31"/>
  <c r="C377" i="30"/>
  <c r="C395" i="28"/>
  <c r="C461" i="31"/>
  <c r="C378" i="30"/>
  <c r="C398" i="28"/>
  <c r="C487" i="31"/>
  <c r="C379" i="30"/>
  <c r="C399" i="28"/>
  <c r="C514" i="31"/>
  <c r="C380" i="30"/>
  <c r="C400" i="28"/>
  <c r="C538" i="31"/>
  <c r="C381" i="30"/>
  <c r="C70" i="29"/>
  <c r="C401" i="28"/>
  <c r="C561" i="31"/>
  <c r="C382" i="30"/>
  <c r="C71" i="29"/>
  <c r="C402" i="28"/>
  <c r="AD27" i="5"/>
  <c r="B298" i="31"/>
  <c r="K298" i="31" s="1"/>
  <c r="B372" i="30"/>
  <c r="K372" i="30" s="1"/>
  <c r="B384" i="28"/>
  <c r="K384" i="28" s="1"/>
  <c r="AD37" i="5"/>
  <c r="B561" i="31"/>
  <c r="K561" i="31" s="1"/>
  <c r="B382" i="30"/>
  <c r="K382" i="30" s="1"/>
  <c r="B71" i="29"/>
  <c r="B402" i="28"/>
  <c r="K402" i="28" s="1"/>
  <c r="AD36" i="5"/>
  <c r="B538" i="31"/>
  <c r="K538" i="31" s="1"/>
  <c r="B381" i="30"/>
  <c r="K381" i="30" s="1"/>
  <c r="B70" i="29"/>
  <c r="B401" i="28"/>
  <c r="K401" i="28" s="1"/>
  <c r="AD35" i="5"/>
  <c r="B514" i="31"/>
  <c r="K514" i="31" s="1"/>
  <c r="B380" i="30"/>
  <c r="K380" i="30" s="1"/>
  <c r="B400" i="28"/>
  <c r="K400" i="28" s="1"/>
  <c r="AD34" i="5"/>
  <c r="B487" i="31"/>
  <c r="K487" i="31" s="1"/>
  <c r="B379" i="30"/>
  <c r="K379" i="30" s="1"/>
  <c r="B399" i="28"/>
  <c r="K399" i="28" s="1"/>
  <c r="AD33" i="5"/>
  <c r="B461" i="31"/>
  <c r="K461" i="31" s="1"/>
  <c r="B378" i="30"/>
  <c r="K378" i="30" s="1"/>
  <c r="B398" i="28"/>
  <c r="K398" i="28" s="1"/>
  <c r="AD32" i="5"/>
  <c r="B433" i="31"/>
  <c r="K433" i="31" s="1"/>
  <c r="B377" i="30"/>
  <c r="K377" i="30" s="1"/>
  <c r="B395" i="28"/>
  <c r="K395" i="28" s="1"/>
  <c r="AD31" i="5"/>
  <c r="B399" i="31"/>
  <c r="K399" i="31" s="1"/>
  <c r="B376" i="30"/>
  <c r="K376" i="30" s="1"/>
  <c r="B392" i="28"/>
  <c r="K392" i="28" s="1"/>
  <c r="AD30" i="5"/>
  <c r="B373" i="31"/>
  <c r="K373" i="31" s="1"/>
  <c r="B375" i="30"/>
  <c r="K375" i="30" s="1"/>
  <c r="B391" i="28"/>
  <c r="K391" i="28" s="1"/>
  <c r="AD29" i="5"/>
  <c r="B349" i="31"/>
  <c r="K349" i="31" s="1"/>
  <c r="B374" i="30"/>
  <c r="K374" i="30" s="1"/>
  <c r="B390" i="28"/>
  <c r="K390" i="28" s="1"/>
  <c r="AD28" i="5"/>
  <c r="B322" i="31"/>
  <c r="K322" i="31" s="1"/>
  <c r="B373" i="30"/>
  <c r="K373" i="30" s="1"/>
  <c r="B388" i="28"/>
  <c r="K388" i="28" s="1"/>
  <c r="C305" i="31"/>
  <c r="C569" i="30"/>
  <c r="C386" i="28"/>
  <c r="C301" i="31"/>
  <c r="C441" i="30"/>
  <c r="C387" i="28"/>
  <c r="C400" i="31"/>
  <c r="C445" i="30"/>
  <c r="C393" i="28"/>
  <c r="C436" i="31"/>
  <c r="C446" i="30"/>
  <c r="C397" i="28"/>
  <c r="C291" i="31"/>
  <c r="C137" i="30"/>
  <c r="C385" i="28"/>
  <c r="C318" i="31"/>
  <c r="C138" i="30"/>
  <c r="C389" i="28"/>
  <c r="C394" i="31"/>
  <c r="C141" i="30"/>
  <c r="C394" i="28"/>
  <c r="C424" i="31"/>
  <c r="C142" i="30"/>
  <c r="C396" i="28"/>
  <c r="AA27" i="5"/>
  <c r="B305" i="31"/>
  <c r="K305" i="31" s="1"/>
  <c r="B569" i="30"/>
  <c r="K569" i="30" s="1"/>
  <c r="B386" i="28"/>
  <c r="K386" i="28" s="1"/>
  <c r="AB27" i="5"/>
  <c r="B301" i="31"/>
  <c r="K301" i="31" s="1"/>
  <c r="B441" i="30"/>
  <c r="K441" i="30" s="1"/>
  <c r="B387" i="28"/>
  <c r="K387" i="28" s="1"/>
  <c r="AC27" i="5"/>
  <c r="B291" i="31"/>
  <c r="K291" i="31" s="1"/>
  <c r="B137" i="30"/>
  <c r="K137" i="30" s="1"/>
  <c r="B385" i="28"/>
  <c r="K385" i="28" s="1"/>
  <c r="AC28" i="5"/>
  <c r="B318" i="31"/>
  <c r="K318" i="31" s="1"/>
  <c r="B138" i="30"/>
  <c r="K138" i="30" s="1"/>
  <c r="B389" i="28"/>
  <c r="K389" i="28" s="1"/>
  <c r="AB31" i="5"/>
  <c r="B400" i="31"/>
  <c r="K400" i="31" s="1"/>
  <c r="B445" i="30"/>
  <c r="K445" i="30" s="1"/>
  <c r="B393" i="28"/>
  <c r="K393" i="28" s="1"/>
  <c r="AC31" i="5"/>
  <c r="B394" i="31"/>
  <c r="K394" i="31" s="1"/>
  <c r="B141" i="30"/>
  <c r="K141" i="30" s="1"/>
  <c r="B394" i="28"/>
  <c r="K394" i="28" s="1"/>
  <c r="AC32" i="5"/>
  <c r="B424" i="31"/>
  <c r="K424" i="31" s="1"/>
  <c r="B142" i="30"/>
  <c r="K142" i="30" s="1"/>
  <c r="B396" i="28"/>
  <c r="K396" i="28" s="1"/>
  <c r="AB32" i="5"/>
  <c r="B436" i="31"/>
  <c r="K436" i="31" s="1"/>
  <c r="B446" i="30"/>
  <c r="K446" i="30" s="1"/>
  <c r="B397" i="28"/>
  <c r="K397" i="28" s="1"/>
  <c r="C11" i="31"/>
  <c r="C430" i="30"/>
  <c r="C403" i="28"/>
  <c r="C30" i="31"/>
  <c r="C431" i="30"/>
  <c r="C405" i="28"/>
  <c r="C54" i="31"/>
  <c r="C432" i="30"/>
  <c r="C407" i="28"/>
  <c r="C75" i="31"/>
  <c r="C433" i="30"/>
  <c r="C409" i="28"/>
  <c r="C98" i="31"/>
  <c r="C434" i="30"/>
  <c r="C411" i="28"/>
  <c r="C133" i="31"/>
  <c r="C435" i="30"/>
  <c r="C413" i="28"/>
  <c r="C210" i="31"/>
  <c r="C438" i="30"/>
  <c r="C417" i="28"/>
  <c r="C233" i="31"/>
  <c r="C439" i="30"/>
  <c r="C419" i="28"/>
  <c r="C254" i="31"/>
  <c r="C440" i="30"/>
  <c r="C421" i="28"/>
  <c r="AB5" i="5"/>
  <c r="B11" i="31"/>
  <c r="K11" i="31" s="1"/>
  <c r="B430" i="30"/>
  <c r="K430" i="30" s="1"/>
  <c r="B403" i="28"/>
  <c r="K403" i="28" s="1"/>
  <c r="AB6" i="5"/>
  <c r="B30" i="31"/>
  <c r="K30" i="31" s="1"/>
  <c r="B431" i="30"/>
  <c r="K431" i="30" s="1"/>
  <c r="B405" i="28"/>
  <c r="K405" i="28" s="1"/>
  <c r="AB7" i="5"/>
  <c r="B54" i="31"/>
  <c r="K54" i="31" s="1"/>
  <c r="B432" i="30"/>
  <c r="K432" i="30" s="1"/>
  <c r="B407" i="28"/>
  <c r="K407" i="28" s="1"/>
  <c r="AB15" i="5"/>
  <c r="B254" i="31"/>
  <c r="K254" i="31" s="1"/>
  <c r="B440" i="30"/>
  <c r="K440" i="30" s="1"/>
  <c r="B421" i="28"/>
  <c r="K421" i="28" s="1"/>
  <c r="AB14" i="5"/>
  <c r="B233" i="31"/>
  <c r="K233" i="31" s="1"/>
  <c r="B439" i="30"/>
  <c r="K439" i="30" s="1"/>
  <c r="B419" i="28"/>
  <c r="K419" i="28" s="1"/>
  <c r="AB13" i="5"/>
  <c r="B210" i="31"/>
  <c r="K210" i="31" s="1"/>
  <c r="B438" i="30"/>
  <c r="K438" i="30" s="1"/>
  <c r="B417" i="28"/>
  <c r="K417" i="28" s="1"/>
  <c r="C4" i="31"/>
  <c r="C125" i="30"/>
  <c r="C404" i="28"/>
  <c r="C26" i="31"/>
  <c r="C126" i="30"/>
  <c r="C406" i="28"/>
  <c r="C50" i="31"/>
  <c r="C127" i="30"/>
  <c r="C408" i="28"/>
  <c r="C71" i="31"/>
  <c r="C128" i="30"/>
  <c r="C410" i="28"/>
  <c r="C93" i="31"/>
  <c r="C129" i="30"/>
  <c r="C412" i="28"/>
  <c r="C122" i="31"/>
  <c r="C130" i="30"/>
  <c r="C414" i="28"/>
  <c r="C154" i="31"/>
  <c r="C131" i="30"/>
  <c r="C415" i="28"/>
  <c r="C180" i="31"/>
  <c r="C132" i="30"/>
  <c r="C416" i="28"/>
  <c r="C205" i="31"/>
  <c r="C133" i="30"/>
  <c r="C418" i="28"/>
  <c r="C228" i="31"/>
  <c r="C134" i="30"/>
  <c r="C420" i="28"/>
  <c r="AC5" i="5"/>
  <c r="B4" i="31"/>
  <c r="K4" i="31" s="1"/>
  <c r="B125" i="30"/>
  <c r="K125" i="30" s="1"/>
  <c r="B404" i="28"/>
  <c r="K404" i="28" s="1"/>
  <c r="AC14" i="5"/>
  <c r="B228" i="31"/>
  <c r="K228" i="31" s="1"/>
  <c r="B134" i="30"/>
  <c r="K134" i="30" s="1"/>
  <c r="B420" i="28"/>
  <c r="K420" i="28" s="1"/>
  <c r="AC13" i="5"/>
  <c r="B205" i="31"/>
  <c r="K205" i="31" s="1"/>
  <c r="B133" i="30"/>
  <c r="K133" i="30" s="1"/>
  <c r="B418" i="28"/>
  <c r="K418" i="28" s="1"/>
  <c r="AC12" i="5"/>
  <c r="B180" i="31"/>
  <c r="K180" i="31" s="1"/>
  <c r="B132" i="30"/>
  <c r="K132" i="30" s="1"/>
  <c r="B416" i="28"/>
  <c r="K416" i="28" s="1"/>
  <c r="AC11" i="5"/>
  <c r="B154" i="31"/>
  <c r="K154" i="31" s="1"/>
  <c r="B131" i="30"/>
  <c r="K131" i="30" s="1"/>
  <c r="B415" i="28"/>
  <c r="K415" i="28" s="1"/>
  <c r="AC10" i="5"/>
  <c r="B122" i="31"/>
  <c r="K122" i="31" s="1"/>
  <c r="B130" i="30"/>
  <c r="K130" i="30" s="1"/>
  <c r="B414" i="28"/>
  <c r="K414" i="28" s="1"/>
  <c r="AC9" i="5"/>
  <c r="B93" i="31"/>
  <c r="K93" i="31" s="1"/>
  <c r="B129" i="30"/>
  <c r="K129" i="30" s="1"/>
  <c r="B412" i="28"/>
  <c r="K412" i="28" s="1"/>
  <c r="AC8" i="5"/>
  <c r="B71" i="31"/>
  <c r="K71" i="31" s="1"/>
  <c r="B128" i="30"/>
  <c r="K128" i="30" s="1"/>
  <c r="B410" i="28"/>
  <c r="K410" i="28" s="1"/>
  <c r="AC7" i="5"/>
  <c r="B50" i="31"/>
  <c r="K50" i="31" s="1"/>
  <c r="B127" i="30"/>
  <c r="K127" i="30" s="1"/>
  <c r="B408" i="28"/>
  <c r="K408" i="28" s="1"/>
  <c r="AC6" i="5"/>
  <c r="B26" i="31"/>
  <c r="K26" i="31" s="1"/>
  <c r="B126" i="30"/>
  <c r="K126" i="30" s="1"/>
  <c r="B406" i="28"/>
  <c r="K406" i="28" s="1"/>
  <c r="C297" i="31"/>
  <c r="C349" i="30"/>
  <c r="C422" i="28"/>
  <c r="C560" i="31"/>
  <c r="C359" i="30"/>
  <c r="C76" i="29"/>
  <c r="C442" i="28"/>
  <c r="C537" i="31"/>
  <c r="C358" i="30"/>
  <c r="C75" i="29"/>
  <c r="C440" i="28"/>
  <c r="C513" i="31"/>
  <c r="C357" i="30"/>
  <c r="C438" i="28"/>
  <c r="C486" i="31"/>
  <c r="C356" i="30"/>
  <c r="C436" i="28"/>
  <c r="C460" i="31"/>
  <c r="C355" i="30"/>
  <c r="C434" i="28"/>
  <c r="C432" i="31"/>
  <c r="C354" i="30"/>
  <c r="C432" i="28"/>
  <c r="C398" i="31"/>
  <c r="C353" i="30"/>
  <c r="C430" i="28"/>
  <c r="C372" i="31"/>
  <c r="C352" i="30"/>
  <c r="C428" i="28"/>
  <c r="C348" i="31"/>
  <c r="C351" i="30"/>
  <c r="C426" i="28"/>
  <c r="C321" i="31"/>
  <c r="C350" i="30"/>
  <c r="C424" i="28"/>
  <c r="Y27" i="5"/>
  <c r="B297" i="31"/>
  <c r="K297" i="31" s="1"/>
  <c r="B349" i="30"/>
  <c r="K349" i="30" s="1"/>
  <c r="B422" i="28"/>
  <c r="K422" i="28" s="1"/>
  <c r="Y37" i="5"/>
  <c r="B560" i="31"/>
  <c r="K560" i="31" s="1"/>
  <c r="B359" i="30"/>
  <c r="K359" i="30" s="1"/>
  <c r="B76" i="29"/>
  <c r="B442" i="28"/>
  <c r="K442" i="28" s="1"/>
  <c r="Y36" i="5"/>
  <c r="B537" i="31"/>
  <c r="K537" i="31" s="1"/>
  <c r="B358" i="30"/>
  <c r="K358" i="30" s="1"/>
  <c r="B75" i="29"/>
  <c r="B440" i="28"/>
  <c r="K440" i="28" s="1"/>
  <c r="Y35" i="5"/>
  <c r="B513" i="31"/>
  <c r="K513" i="31" s="1"/>
  <c r="B357" i="30"/>
  <c r="K357" i="30" s="1"/>
  <c r="B438" i="28"/>
  <c r="K438" i="28" s="1"/>
  <c r="Y34" i="5"/>
  <c r="B486" i="31"/>
  <c r="K486" i="31" s="1"/>
  <c r="B356" i="30"/>
  <c r="K356" i="30" s="1"/>
  <c r="B436" i="28"/>
  <c r="K436" i="28" s="1"/>
  <c r="Y33" i="5"/>
  <c r="B460" i="31"/>
  <c r="K460" i="31" s="1"/>
  <c r="B355" i="30"/>
  <c r="K355" i="30" s="1"/>
  <c r="B434" i="28"/>
  <c r="K434" i="28" s="1"/>
  <c r="Y32" i="5"/>
  <c r="B432" i="31"/>
  <c r="K432" i="31" s="1"/>
  <c r="B354" i="30"/>
  <c r="K354" i="30" s="1"/>
  <c r="B432" i="28"/>
  <c r="K432" i="28" s="1"/>
  <c r="Y31" i="5"/>
  <c r="B398" i="31"/>
  <c r="K398" i="31" s="1"/>
  <c r="B353" i="30"/>
  <c r="K353" i="30" s="1"/>
  <c r="B430" i="28"/>
  <c r="K430" i="28" s="1"/>
  <c r="Y30" i="5"/>
  <c r="B372" i="31"/>
  <c r="K372" i="31" s="1"/>
  <c r="B352" i="30"/>
  <c r="K352" i="30" s="1"/>
  <c r="B428" i="28"/>
  <c r="K428" i="28" s="1"/>
  <c r="Y29" i="5"/>
  <c r="B348" i="31"/>
  <c r="K348" i="31" s="1"/>
  <c r="B351" i="30"/>
  <c r="K351" i="30" s="1"/>
  <c r="B426" i="28"/>
  <c r="K426" i="28" s="1"/>
  <c r="Y28" i="5"/>
  <c r="B321" i="31"/>
  <c r="K321" i="31" s="1"/>
  <c r="B350" i="30"/>
  <c r="K350" i="30" s="1"/>
  <c r="B424" i="28"/>
  <c r="K424" i="28" s="1"/>
  <c r="C295" i="31"/>
  <c r="C302" i="30"/>
  <c r="C423" i="28"/>
  <c r="C536" i="31"/>
  <c r="C311" i="30"/>
  <c r="C441" i="28"/>
  <c r="C512" i="31"/>
  <c r="C310" i="30"/>
  <c r="C439" i="28"/>
  <c r="C485" i="31"/>
  <c r="C309" i="30"/>
  <c r="C437" i="28"/>
  <c r="C459" i="31"/>
  <c r="C308" i="30"/>
  <c r="C435" i="28"/>
  <c r="C430" i="31"/>
  <c r="C307" i="30"/>
  <c r="C433" i="28"/>
  <c r="C397" i="31"/>
  <c r="C306" i="30"/>
  <c r="C431" i="28"/>
  <c r="C371" i="31"/>
  <c r="C305" i="30"/>
  <c r="C429" i="28"/>
  <c r="C347" i="31"/>
  <c r="C304" i="30"/>
  <c r="C427" i="28"/>
  <c r="C320" i="31"/>
  <c r="C303" i="30"/>
  <c r="C425" i="28"/>
  <c r="AH27" i="5"/>
  <c r="B295" i="31"/>
  <c r="K295" i="31" s="1"/>
  <c r="B302" i="30"/>
  <c r="K302" i="30" s="1"/>
  <c r="B423" i="28"/>
  <c r="K423" i="28" s="1"/>
  <c r="AH36" i="5"/>
  <c r="B536" i="31"/>
  <c r="K536" i="31" s="1"/>
  <c r="B311" i="30"/>
  <c r="K311" i="30" s="1"/>
  <c r="B441" i="28"/>
  <c r="K441" i="28" s="1"/>
  <c r="AH35" i="5"/>
  <c r="B512" i="31"/>
  <c r="K512" i="31" s="1"/>
  <c r="B310" i="30"/>
  <c r="K310" i="30" s="1"/>
  <c r="B439" i="28"/>
  <c r="K439" i="28" s="1"/>
  <c r="AH34" i="5"/>
  <c r="B485" i="31"/>
  <c r="K485" i="31" s="1"/>
  <c r="B309" i="30"/>
  <c r="K309" i="30" s="1"/>
  <c r="B437" i="28"/>
  <c r="K437" i="28" s="1"/>
  <c r="AH33" i="5"/>
  <c r="B459" i="31"/>
  <c r="K459" i="31" s="1"/>
  <c r="B308" i="30"/>
  <c r="K308" i="30" s="1"/>
  <c r="B435" i="28"/>
  <c r="K435" i="28" s="1"/>
  <c r="AH32" i="5"/>
  <c r="B430" i="31"/>
  <c r="K430" i="31" s="1"/>
  <c r="B307" i="30"/>
  <c r="K307" i="30" s="1"/>
  <c r="B433" i="28"/>
  <c r="K433" i="28" s="1"/>
  <c r="AH31" i="5"/>
  <c r="B397" i="31"/>
  <c r="K397" i="31" s="1"/>
  <c r="B306" i="30"/>
  <c r="K306" i="30" s="1"/>
  <c r="B431" i="28"/>
  <c r="K431" i="28" s="1"/>
  <c r="AH30" i="5"/>
  <c r="B371" i="31"/>
  <c r="K371" i="31" s="1"/>
  <c r="B305" i="30"/>
  <c r="K305" i="30" s="1"/>
  <c r="B429" i="28"/>
  <c r="K429" i="28" s="1"/>
  <c r="AH29" i="5"/>
  <c r="B347" i="31"/>
  <c r="K347" i="31" s="1"/>
  <c r="B304" i="30"/>
  <c r="K304" i="30" s="1"/>
  <c r="B427" i="28"/>
  <c r="K427" i="28" s="1"/>
  <c r="AH28" i="5"/>
  <c r="B320" i="31"/>
  <c r="K320" i="31" s="1"/>
  <c r="B303" i="30"/>
  <c r="K303" i="30" s="1"/>
  <c r="B425" i="28"/>
  <c r="K425" i="28" s="1"/>
  <c r="C102" i="31"/>
  <c r="C560" i="30"/>
  <c r="C445" i="28"/>
  <c r="C288" i="31"/>
  <c r="C568" i="30"/>
  <c r="C460" i="28"/>
  <c r="C279" i="31"/>
  <c r="C567" i="30"/>
  <c r="C458" i="28"/>
  <c r="C257" i="31"/>
  <c r="C566" i="30"/>
  <c r="C456" i="28"/>
  <c r="C236" i="31"/>
  <c r="C565" i="30"/>
  <c r="C454" i="28"/>
  <c r="C213" i="31"/>
  <c r="C564" i="30"/>
  <c r="C452" i="28"/>
  <c r="C189" i="31"/>
  <c r="C563" i="30"/>
  <c r="C450" i="28"/>
  <c r="C162" i="31"/>
  <c r="C562" i="30"/>
  <c r="C449" i="28"/>
  <c r="C137" i="31"/>
  <c r="C561" i="30"/>
  <c r="C447" i="28"/>
  <c r="C29" i="31"/>
  <c r="C361" i="30"/>
  <c r="C443" i="28"/>
  <c r="C53" i="31"/>
  <c r="C362" i="30"/>
  <c r="C444" i="28"/>
  <c r="C97" i="31"/>
  <c r="C364" i="30"/>
  <c r="C446" i="28"/>
  <c r="C130" i="31"/>
  <c r="C365" i="30"/>
  <c r="C448" i="28"/>
  <c r="C184" i="31"/>
  <c r="C367" i="30"/>
  <c r="C451" i="28"/>
  <c r="C209" i="31"/>
  <c r="C368" i="30"/>
  <c r="C453" i="28"/>
  <c r="C232" i="31"/>
  <c r="C369" i="30"/>
  <c r="C455" i="28"/>
  <c r="C253" i="31"/>
  <c r="C370" i="30"/>
  <c r="C457" i="28"/>
  <c r="C276" i="31"/>
  <c r="C371" i="30"/>
  <c r="C459" i="28"/>
  <c r="AD6" i="5"/>
  <c r="B29" i="31"/>
  <c r="K29" i="31" s="1"/>
  <c r="B361" i="30"/>
  <c r="K361" i="30" s="1"/>
  <c r="B443" i="28"/>
  <c r="K443" i="28" s="1"/>
  <c r="AD7" i="5"/>
  <c r="B53" i="31"/>
  <c r="K53" i="31" s="1"/>
  <c r="B362" i="30"/>
  <c r="K362" i="30" s="1"/>
  <c r="B444" i="28"/>
  <c r="K444" i="28" s="1"/>
  <c r="AD9" i="5"/>
  <c r="B97" i="31"/>
  <c r="K97" i="31" s="1"/>
  <c r="B364" i="30"/>
  <c r="K364" i="30" s="1"/>
  <c r="B446" i="28"/>
  <c r="K446" i="28" s="1"/>
  <c r="AD10" i="5"/>
  <c r="B130" i="31"/>
  <c r="K130" i="31" s="1"/>
  <c r="B365" i="30"/>
  <c r="K365" i="30" s="1"/>
  <c r="B448" i="28"/>
  <c r="K448" i="28" s="1"/>
  <c r="AD12" i="5"/>
  <c r="B184" i="31"/>
  <c r="K184" i="31" s="1"/>
  <c r="B367" i="30"/>
  <c r="K367" i="30" s="1"/>
  <c r="B451" i="28"/>
  <c r="K451" i="28" s="1"/>
  <c r="AD16" i="5"/>
  <c r="B276" i="31"/>
  <c r="K276" i="31" s="1"/>
  <c r="B371" i="30"/>
  <c r="K371" i="30" s="1"/>
  <c r="B459" i="28"/>
  <c r="K459" i="28" s="1"/>
  <c r="AD15" i="5"/>
  <c r="B253" i="31"/>
  <c r="K253" i="31" s="1"/>
  <c r="B370" i="30"/>
  <c r="K370" i="30" s="1"/>
  <c r="B457" i="28"/>
  <c r="K457" i="28" s="1"/>
  <c r="AD14" i="5"/>
  <c r="B232" i="31"/>
  <c r="K232" i="31" s="1"/>
  <c r="B369" i="30"/>
  <c r="K369" i="30" s="1"/>
  <c r="B455" i="28"/>
  <c r="K455" i="28" s="1"/>
  <c r="AD13" i="5"/>
  <c r="B209" i="31"/>
  <c r="K209" i="31" s="1"/>
  <c r="B368" i="30"/>
  <c r="K368" i="30" s="1"/>
  <c r="B453" i="28"/>
  <c r="K453" i="28" s="1"/>
  <c r="C304" i="31"/>
  <c r="C544" i="30"/>
  <c r="C461" i="28"/>
  <c r="C325" i="31"/>
  <c r="C545" i="30"/>
  <c r="C462" i="28"/>
  <c r="C352" i="31"/>
  <c r="C546" i="30"/>
  <c r="C464" i="28"/>
  <c r="C376" i="31"/>
  <c r="C547" i="30"/>
  <c r="C466" i="28"/>
  <c r="C403" i="31"/>
  <c r="C548" i="30"/>
  <c r="C468" i="28"/>
  <c r="C439" i="31"/>
  <c r="C549" i="30"/>
  <c r="C469" i="28"/>
  <c r="C464" i="31"/>
  <c r="C550" i="30"/>
  <c r="C470" i="28"/>
  <c r="C491" i="31"/>
  <c r="C551" i="30"/>
  <c r="C472" i="28"/>
  <c r="C517" i="31"/>
  <c r="C552" i="30"/>
  <c r="C474" i="28"/>
  <c r="C541" i="31"/>
  <c r="C553" i="30"/>
  <c r="C80" i="29"/>
  <c r="C477" i="28"/>
  <c r="C564" i="31"/>
  <c r="C554" i="30"/>
  <c r="C81" i="29"/>
  <c r="C479" i="28"/>
  <c r="X27" i="5"/>
  <c r="B304" i="31"/>
  <c r="K304" i="31" s="1"/>
  <c r="B544" i="30"/>
  <c r="K544" i="30" s="1"/>
  <c r="B461" i="28"/>
  <c r="K461" i="28" s="1"/>
  <c r="X37" i="5"/>
  <c r="B564" i="31"/>
  <c r="K564" i="31" s="1"/>
  <c r="B554" i="30"/>
  <c r="K554" i="30" s="1"/>
  <c r="B81" i="29"/>
  <c r="B479" i="28"/>
  <c r="K479" i="28" s="1"/>
  <c r="X36" i="5"/>
  <c r="B541" i="31"/>
  <c r="K541" i="31" s="1"/>
  <c r="B553" i="30"/>
  <c r="K553" i="30" s="1"/>
  <c r="B80" i="29"/>
  <c r="B477" i="28"/>
  <c r="K477" i="28" s="1"/>
  <c r="X35" i="5"/>
  <c r="B517" i="31"/>
  <c r="K517" i="31" s="1"/>
  <c r="B552" i="30"/>
  <c r="K552" i="30" s="1"/>
  <c r="B474" i="28"/>
  <c r="K474" i="28" s="1"/>
  <c r="X34" i="5"/>
  <c r="B491" i="31"/>
  <c r="K491" i="31" s="1"/>
  <c r="B551" i="30"/>
  <c r="K551" i="30" s="1"/>
  <c r="B472" i="28"/>
  <c r="K472" i="28" s="1"/>
  <c r="X33" i="5"/>
  <c r="B464" i="31"/>
  <c r="K464" i="31" s="1"/>
  <c r="B550" i="30"/>
  <c r="K550" i="30" s="1"/>
  <c r="B470" i="28"/>
  <c r="K470" i="28" s="1"/>
  <c r="X32" i="5"/>
  <c r="B439" i="31"/>
  <c r="K439" i="31" s="1"/>
  <c r="B549" i="30"/>
  <c r="K549" i="30" s="1"/>
  <c r="B469" i="28"/>
  <c r="K469" i="28" s="1"/>
  <c r="X31" i="5"/>
  <c r="B403" i="31"/>
  <c r="K403" i="31" s="1"/>
  <c r="B548" i="30"/>
  <c r="K548" i="30" s="1"/>
  <c r="B468" i="28"/>
  <c r="K468" i="28" s="1"/>
  <c r="X30" i="5"/>
  <c r="B376" i="31"/>
  <c r="K376" i="31" s="1"/>
  <c r="B547" i="30"/>
  <c r="K547" i="30" s="1"/>
  <c r="B466" i="28"/>
  <c r="K466" i="28" s="1"/>
  <c r="X29" i="5"/>
  <c r="B352" i="31"/>
  <c r="K352" i="31" s="1"/>
  <c r="B546" i="30"/>
  <c r="K546" i="30" s="1"/>
  <c r="B464" i="28"/>
  <c r="K464" i="28" s="1"/>
  <c r="X28" i="5"/>
  <c r="B325" i="31"/>
  <c r="K325" i="31" s="1"/>
  <c r="B545" i="30"/>
  <c r="K545" i="30" s="1"/>
  <c r="B462" i="28"/>
  <c r="K462" i="28" s="1"/>
  <c r="C323" i="31"/>
  <c r="C442" i="30"/>
  <c r="C463" i="28"/>
  <c r="C350" i="31"/>
  <c r="C443" i="30"/>
  <c r="C465" i="28"/>
  <c r="C374" i="31"/>
  <c r="C444" i="30"/>
  <c r="C467" i="28"/>
  <c r="C462" i="31"/>
  <c r="C447" i="30"/>
  <c r="C471" i="28"/>
  <c r="C488" i="31"/>
  <c r="C448" i="30"/>
  <c r="C473" i="28"/>
  <c r="C515" i="31"/>
  <c r="C449" i="30"/>
  <c r="C475" i="28"/>
  <c r="C539" i="31"/>
  <c r="C450" i="30"/>
  <c r="C476" i="28"/>
  <c r="C562" i="31"/>
  <c r="C451" i="30"/>
  <c r="C478" i="28"/>
  <c r="C577" i="31"/>
  <c r="C452" i="30"/>
  <c r="C480" i="28"/>
  <c r="AB28" i="5"/>
  <c r="B323" i="31"/>
  <c r="K323" i="31" s="1"/>
  <c r="B442" i="30"/>
  <c r="K442" i="30" s="1"/>
  <c r="B463" i="28"/>
  <c r="K463" i="28" s="1"/>
  <c r="AB30" i="5"/>
  <c r="B374" i="31"/>
  <c r="K374" i="31" s="1"/>
  <c r="B444" i="30"/>
  <c r="K444" i="30" s="1"/>
  <c r="B467" i="28"/>
  <c r="K467" i="28" s="1"/>
  <c r="AB29" i="5"/>
  <c r="B350" i="31"/>
  <c r="K350" i="31" s="1"/>
  <c r="B443" i="30"/>
  <c r="K443" i="30" s="1"/>
  <c r="B465" i="28"/>
  <c r="K465" i="28" s="1"/>
  <c r="AB33" i="5"/>
  <c r="B462" i="31"/>
  <c r="K462" i="31" s="1"/>
  <c r="B447" i="30"/>
  <c r="K447" i="30" s="1"/>
  <c r="B471" i="28"/>
  <c r="K471" i="28" s="1"/>
  <c r="AB38" i="5"/>
  <c r="B577" i="31"/>
  <c r="K577" i="31" s="1"/>
  <c r="B452" i="30"/>
  <c r="K452" i="30" s="1"/>
  <c r="B480" i="28"/>
  <c r="K480" i="28" s="1"/>
  <c r="AB37" i="5"/>
  <c r="B562" i="31"/>
  <c r="K562" i="31" s="1"/>
  <c r="B451" i="30"/>
  <c r="K451" i="30" s="1"/>
  <c r="B478" i="28"/>
  <c r="K478" i="28" s="1"/>
  <c r="AB36" i="5"/>
  <c r="B539" i="31"/>
  <c r="K539" i="31" s="1"/>
  <c r="B450" i="30"/>
  <c r="K450" i="30" s="1"/>
  <c r="B476" i="28"/>
  <c r="K476" i="28" s="1"/>
  <c r="AB35" i="5"/>
  <c r="B515" i="31"/>
  <c r="K515" i="31" s="1"/>
  <c r="B449" i="30"/>
  <c r="K449" i="30" s="1"/>
  <c r="B475" i="28"/>
  <c r="K475" i="28" s="1"/>
  <c r="AB34" i="5"/>
  <c r="B488" i="31"/>
  <c r="K488" i="31" s="1"/>
  <c r="B448" i="30"/>
  <c r="K448" i="30" s="1"/>
  <c r="B473" i="28"/>
  <c r="K473" i="28" s="1"/>
  <c r="C141" i="31"/>
  <c r="C296" i="30"/>
  <c r="C85" i="29"/>
  <c r="C481" i="28"/>
  <c r="C166" i="31"/>
  <c r="C297" i="30"/>
  <c r="C86" i="29"/>
  <c r="C482" i="28"/>
  <c r="C198" i="31"/>
  <c r="C298" i="30"/>
  <c r="C87" i="29"/>
  <c r="C483" i="28"/>
  <c r="C226" i="31"/>
  <c r="C299" i="30"/>
  <c r="C88" i="29"/>
  <c r="C484" i="28"/>
  <c r="C248" i="31"/>
  <c r="C300" i="30"/>
  <c r="C89" i="29"/>
  <c r="C485" i="28"/>
  <c r="C265" i="31"/>
  <c r="C301" i="30"/>
  <c r="C90" i="29"/>
  <c r="C486" i="28"/>
  <c r="AH12" i="5"/>
  <c r="B141" i="31"/>
  <c r="K141" i="31" s="1"/>
  <c r="B296" i="30"/>
  <c r="K296" i="30" s="1"/>
  <c r="B85" i="29"/>
  <c r="B481" i="28"/>
  <c r="K481" i="28" s="1"/>
  <c r="B265" i="31"/>
  <c r="K265" i="31" s="1"/>
  <c r="B301" i="30"/>
  <c r="K301" i="30" s="1"/>
  <c r="B90" i="29"/>
  <c r="B486" i="28"/>
  <c r="K486" i="28" s="1"/>
  <c r="AH17" i="5"/>
  <c r="B248" i="31"/>
  <c r="K248" i="31" s="1"/>
  <c r="B300" i="30"/>
  <c r="K300" i="30" s="1"/>
  <c r="B89" i="29"/>
  <c r="B485" i="28"/>
  <c r="K485" i="28" s="1"/>
  <c r="AH16" i="5"/>
  <c r="B226" i="31"/>
  <c r="K226" i="31" s="1"/>
  <c r="B299" i="30"/>
  <c r="K299" i="30" s="1"/>
  <c r="B88" i="29"/>
  <c r="B484" i="28"/>
  <c r="K484" i="28" s="1"/>
  <c r="AH15" i="5"/>
  <c r="B198" i="31"/>
  <c r="K198" i="31" s="1"/>
  <c r="B298" i="30"/>
  <c r="K298" i="30" s="1"/>
  <c r="B87" i="29"/>
  <c r="B483" i="28"/>
  <c r="K483" i="28" s="1"/>
  <c r="AH14" i="5"/>
  <c r="B166" i="31"/>
  <c r="K166" i="31" s="1"/>
  <c r="B297" i="30"/>
  <c r="K297" i="30" s="1"/>
  <c r="B86" i="29"/>
  <c r="B482" i="28"/>
  <c r="K482" i="28" s="1"/>
  <c r="AH13" i="5"/>
  <c r="C319" i="31"/>
  <c r="C229" i="30"/>
  <c r="C91" i="29"/>
  <c r="C487" i="28"/>
  <c r="C346" i="31"/>
  <c r="C230" i="30"/>
  <c r="C92" i="29"/>
  <c r="C488" i="28"/>
  <c r="C427" i="31"/>
  <c r="C233" i="30"/>
  <c r="C93" i="29"/>
  <c r="C489" i="28"/>
  <c r="C457" i="31"/>
  <c r="C234" i="30"/>
  <c r="C94" i="29"/>
  <c r="C490" i="28"/>
  <c r="C534" i="31"/>
  <c r="C237" i="30"/>
  <c r="C95" i="29"/>
  <c r="C491" i="28"/>
  <c r="C558" i="31"/>
  <c r="C238" i="30"/>
  <c r="C96" i="29"/>
  <c r="C492" i="28"/>
  <c r="AE28" i="5"/>
  <c r="B319" i="31"/>
  <c r="K319" i="31" s="1"/>
  <c r="B229" i="30"/>
  <c r="K229" i="30" s="1"/>
  <c r="B91" i="29"/>
  <c r="B487" i="28"/>
  <c r="K487" i="28" s="1"/>
  <c r="AE29" i="5"/>
  <c r="B346" i="31"/>
  <c r="K346" i="31" s="1"/>
  <c r="B230" i="30"/>
  <c r="K230" i="30" s="1"/>
  <c r="B92" i="29"/>
  <c r="B488" i="28"/>
  <c r="K488" i="28" s="1"/>
  <c r="AE32" i="5"/>
  <c r="B427" i="31"/>
  <c r="K427" i="31" s="1"/>
  <c r="B233" i="30"/>
  <c r="K233" i="30" s="1"/>
  <c r="B93" i="29"/>
  <c r="B489" i="28"/>
  <c r="K489" i="28" s="1"/>
  <c r="AE33" i="5"/>
  <c r="B457" i="31"/>
  <c r="K457" i="31" s="1"/>
  <c r="B234" i="30"/>
  <c r="K234" i="30" s="1"/>
  <c r="B94" i="29"/>
  <c r="B490" i="28"/>
  <c r="K490" i="28" s="1"/>
  <c r="AE36" i="5"/>
  <c r="B534" i="31"/>
  <c r="K534" i="31" s="1"/>
  <c r="B237" i="30"/>
  <c r="K237" i="30" s="1"/>
  <c r="B95" i="29"/>
  <c r="B491" i="28"/>
  <c r="K491" i="28" s="1"/>
  <c r="AE37" i="5"/>
  <c r="B558" i="31"/>
  <c r="K558" i="31" s="1"/>
  <c r="B238" i="30"/>
  <c r="K238" i="30" s="1"/>
  <c r="B96" i="29"/>
  <c r="B492" i="28"/>
  <c r="K492" i="28" s="1"/>
  <c r="AB10" i="5"/>
  <c r="B133" i="31"/>
  <c r="K133" i="31" s="1"/>
  <c r="B435" i="30"/>
  <c r="K435" i="30" s="1"/>
  <c r="B413" i="28"/>
  <c r="K413" i="28" s="1"/>
  <c r="AB9" i="5"/>
  <c r="B98" i="31"/>
  <c r="K98" i="31" s="1"/>
  <c r="B434" i="30"/>
  <c r="K434" i="30" s="1"/>
  <c r="B411" i="28"/>
  <c r="K411" i="28" s="1"/>
  <c r="AB8" i="5"/>
  <c r="B75" i="31"/>
  <c r="K75" i="31" s="1"/>
  <c r="B433" i="30"/>
  <c r="K433" i="30" s="1"/>
  <c r="B409" i="28"/>
  <c r="K409" i="28" s="1"/>
  <c r="C159" i="31"/>
  <c r="C436" i="30"/>
  <c r="C499" i="28"/>
  <c r="C185" i="31"/>
  <c r="C437" i="30"/>
  <c r="C500" i="28"/>
  <c r="AB11" i="5"/>
  <c r="B159" i="31"/>
  <c r="K159" i="31" s="1"/>
  <c r="B436" i="30"/>
  <c r="K436" i="30" s="1"/>
  <c r="B499" i="28"/>
  <c r="K499" i="28" s="1"/>
  <c r="AB12" i="5"/>
  <c r="B185" i="31"/>
  <c r="K185" i="31" s="1"/>
  <c r="B437" i="30"/>
  <c r="K437" i="30" s="1"/>
  <c r="B500" i="28"/>
  <c r="K500" i="28" s="1"/>
  <c r="AC15" i="5"/>
  <c r="B249" i="31"/>
  <c r="K249" i="31" s="1"/>
  <c r="B135" i="30"/>
  <c r="K135" i="30" s="1"/>
  <c r="B505" i="28"/>
  <c r="K505" i="28" s="1"/>
  <c r="AC16" i="5"/>
  <c r="B273" i="31"/>
  <c r="K273" i="31" s="1"/>
  <c r="B136" i="30"/>
  <c r="K136" i="30" s="1"/>
  <c r="B506" i="28"/>
  <c r="K506" i="28" s="1"/>
  <c r="C28" i="31"/>
  <c r="C337" i="30"/>
  <c r="C493" i="28"/>
  <c r="C52" i="31"/>
  <c r="C338" i="30"/>
  <c r="C494" i="28"/>
  <c r="C73" i="31"/>
  <c r="C339" i="30"/>
  <c r="C495" i="28"/>
  <c r="C96" i="31"/>
  <c r="C340" i="30"/>
  <c r="C496" i="28"/>
  <c r="C129" i="31"/>
  <c r="C341" i="30"/>
  <c r="C497" i="28"/>
  <c r="C157" i="31"/>
  <c r="C342" i="30"/>
  <c r="C498" i="28"/>
  <c r="C231" i="31"/>
  <c r="C345" i="30"/>
  <c r="C503" i="28"/>
  <c r="C252" i="31"/>
  <c r="C346" i="30"/>
  <c r="C504" i="28"/>
  <c r="C183" i="31"/>
  <c r="C343" i="30"/>
  <c r="C501" i="28"/>
  <c r="C208" i="31"/>
  <c r="C344" i="30"/>
  <c r="C502" i="28"/>
  <c r="C275" i="31"/>
  <c r="C347" i="30"/>
  <c r="C507" i="28"/>
  <c r="C285" i="31"/>
  <c r="C348" i="30"/>
  <c r="C508" i="28"/>
  <c r="Y6" i="5"/>
  <c r="B28" i="31"/>
  <c r="K28" i="31" s="1"/>
  <c r="B337" i="30"/>
  <c r="K337" i="30" s="1"/>
  <c r="B493" i="28"/>
  <c r="K493" i="28" s="1"/>
  <c r="Y11" i="5"/>
  <c r="B157" i="31"/>
  <c r="K157" i="31" s="1"/>
  <c r="B342" i="30"/>
  <c r="K342" i="30" s="1"/>
  <c r="B498" i="28"/>
  <c r="K498" i="28" s="1"/>
  <c r="Y10" i="5"/>
  <c r="B129" i="31"/>
  <c r="K129" i="31" s="1"/>
  <c r="B341" i="30"/>
  <c r="K341" i="30" s="1"/>
  <c r="B497" i="28"/>
  <c r="K497" i="28" s="1"/>
  <c r="Y9" i="5"/>
  <c r="B96" i="31"/>
  <c r="K96" i="31" s="1"/>
  <c r="B340" i="30"/>
  <c r="K340" i="30" s="1"/>
  <c r="B496" i="28"/>
  <c r="K496" i="28" s="1"/>
  <c r="Y8" i="5"/>
  <c r="B73" i="31"/>
  <c r="K73" i="31" s="1"/>
  <c r="B339" i="30"/>
  <c r="K339" i="30" s="1"/>
  <c r="B495" i="28"/>
  <c r="K495" i="28" s="1"/>
  <c r="Y7" i="5"/>
  <c r="B52" i="31"/>
  <c r="K52" i="31" s="1"/>
  <c r="B338" i="30"/>
  <c r="K338" i="30" s="1"/>
  <c r="B494" i="28"/>
  <c r="K494" i="28" s="1"/>
  <c r="Y12" i="5"/>
  <c r="B183" i="31"/>
  <c r="K183" i="31" s="1"/>
  <c r="B343" i="30"/>
  <c r="K343" i="30" s="1"/>
  <c r="B501" i="28"/>
  <c r="K501" i="28" s="1"/>
  <c r="Y13" i="5"/>
  <c r="B208" i="31"/>
  <c r="K208" i="31" s="1"/>
  <c r="B344" i="30"/>
  <c r="K344" i="30" s="1"/>
  <c r="B502" i="28"/>
  <c r="K502" i="28" s="1"/>
  <c r="Y15" i="5"/>
  <c r="B252" i="31"/>
  <c r="K252" i="31" s="1"/>
  <c r="B346" i="30"/>
  <c r="K346" i="30" s="1"/>
  <c r="B504" i="28"/>
  <c r="K504" i="28" s="1"/>
  <c r="Y14" i="5"/>
  <c r="B231" i="31"/>
  <c r="K231" i="31" s="1"/>
  <c r="B345" i="30"/>
  <c r="K345" i="30" s="1"/>
  <c r="B503" i="28"/>
  <c r="K503" i="28" s="1"/>
  <c r="Y16" i="5"/>
  <c r="B275" i="31"/>
  <c r="K275" i="31" s="1"/>
  <c r="B347" i="30"/>
  <c r="K347" i="30" s="1"/>
  <c r="B507" i="28"/>
  <c r="K507" i="28" s="1"/>
  <c r="Y17" i="5"/>
  <c r="B285" i="31"/>
  <c r="K285" i="31" s="1"/>
  <c r="B348" i="30"/>
  <c r="K348" i="30" s="1"/>
  <c r="B508" i="28"/>
  <c r="K508" i="28" s="1"/>
  <c r="C370" i="31"/>
  <c r="C231" i="30"/>
  <c r="C509" i="28"/>
  <c r="C396" i="31"/>
  <c r="C232" i="30"/>
  <c r="C510" i="28"/>
  <c r="C483" i="31"/>
  <c r="C235" i="30"/>
  <c r="C516" i="28"/>
  <c r="C510" i="31"/>
  <c r="C236" i="30"/>
  <c r="C518" i="28"/>
  <c r="C458" i="31"/>
  <c r="C268" i="30"/>
  <c r="C513" i="28"/>
  <c r="C484" i="31"/>
  <c r="C269" i="30"/>
  <c r="C515" i="28"/>
  <c r="C511" i="31"/>
  <c r="C270" i="30"/>
  <c r="C517" i="28"/>
  <c r="C535" i="31"/>
  <c r="C271" i="30"/>
  <c r="C519" i="28"/>
  <c r="C559" i="31"/>
  <c r="C272" i="30"/>
  <c r="C520" i="28"/>
  <c r="AE30" i="5"/>
  <c r="B370" i="31"/>
  <c r="K370" i="31" s="1"/>
  <c r="B231" i="30"/>
  <c r="K231" i="30" s="1"/>
  <c r="B509" i="28"/>
  <c r="K509" i="28" s="1"/>
  <c r="AE31" i="5"/>
  <c r="B396" i="31"/>
  <c r="K396" i="31" s="1"/>
  <c r="B232" i="30"/>
  <c r="K232" i="30" s="1"/>
  <c r="B510" i="28"/>
  <c r="K510" i="28" s="1"/>
  <c r="AE34" i="5"/>
  <c r="B483" i="31"/>
  <c r="K483" i="31" s="1"/>
  <c r="B235" i="30"/>
  <c r="K235" i="30" s="1"/>
  <c r="B516" i="28"/>
  <c r="K516" i="28" s="1"/>
  <c r="AE35" i="5"/>
  <c r="B510" i="31"/>
  <c r="K510" i="31" s="1"/>
  <c r="B236" i="30"/>
  <c r="K236" i="30" s="1"/>
  <c r="B518" i="28"/>
  <c r="K518" i="28" s="1"/>
  <c r="E539" i="31"/>
  <c r="E450" i="30"/>
  <c r="E476" i="28"/>
  <c r="E323" i="31"/>
  <c r="E442" i="30"/>
  <c r="E463" i="28"/>
  <c r="G464" i="31"/>
  <c r="G550" i="30"/>
  <c r="G470" i="28"/>
  <c r="G376" i="31"/>
  <c r="G547" i="30"/>
  <c r="G466" i="28"/>
  <c r="E520" i="31"/>
  <c r="E49" i="30"/>
  <c r="E160" i="28"/>
  <c r="G495" i="31"/>
  <c r="G48" i="30"/>
  <c r="G159" i="28"/>
  <c r="E495" i="31"/>
  <c r="E48" i="30"/>
  <c r="E159" i="28"/>
  <c r="E421" i="31"/>
  <c r="E45" i="30"/>
  <c r="E156" i="28"/>
  <c r="E470" i="31"/>
  <c r="E47" i="30"/>
  <c r="E36" i="29"/>
  <c r="E158" i="28"/>
  <c r="E445" i="31"/>
  <c r="E46" i="30"/>
  <c r="E35" i="29"/>
  <c r="E157" i="28"/>
  <c r="G479" i="31"/>
  <c r="G500" i="30"/>
  <c r="G86" i="28"/>
  <c r="G437" i="31"/>
  <c r="G498" i="30"/>
  <c r="G84" i="28"/>
  <c r="G504" i="31"/>
  <c r="G501" i="30"/>
  <c r="G87" i="28"/>
  <c r="G454" i="31"/>
  <c r="G499" i="30"/>
  <c r="G85" i="28"/>
  <c r="E549" i="31"/>
  <c r="E295" i="30"/>
  <c r="G450" i="31"/>
  <c r="G291" i="30"/>
  <c r="G362" i="31"/>
  <c r="G210" i="30"/>
  <c r="G336" i="31"/>
  <c r="G251" i="30"/>
  <c r="E577" i="31"/>
  <c r="E452" i="30"/>
  <c r="E480" i="28"/>
  <c r="E374" i="31"/>
  <c r="E444" i="30"/>
  <c r="E467" i="28"/>
  <c r="G517" i="31"/>
  <c r="G552" i="30"/>
  <c r="G474" i="28"/>
  <c r="G439" i="31"/>
  <c r="G549" i="30"/>
  <c r="G469" i="28"/>
  <c r="E403" i="31"/>
  <c r="E548" i="30"/>
  <c r="E468" i="28"/>
  <c r="E325" i="31"/>
  <c r="E545" i="30"/>
  <c r="E462" i="28"/>
  <c r="G430" i="31"/>
  <c r="G307" i="30"/>
  <c r="G433" i="28"/>
  <c r="G320" i="31"/>
  <c r="G303" i="30"/>
  <c r="G425" i="28"/>
  <c r="G432" i="31"/>
  <c r="G354" i="30"/>
  <c r="G432" i="28"/>
  <c r="G348" i="31"/>
  <c r="G351" i="30"/>
  <c r="G426" i="28"/>
  <c r="G372" i="31"/>
  <c r="G352" i="30"/>
  <c r="G428" i="28"/>
  <c r="G297" i="31"/>
  <c r="G349" i="30"/>
  <c r="G422" i="28"/>
  <c r="G562" i="31"/>
  <c r="G451" i="30"/>
  <c r="G478" i="28"/>
  <c r="E488" i="31"/>
  <c r="E448" i="30"/>
  <c r="E473" i="28"/>
  <c r="G539" i="31"/>
  <c r="G450" i="30"/>
  <c r="G476" i="28"/>
  <c r="E462" i="31"/>
  <c r="E447" i="30"/>
  <c r="E471" i="28"/>
  <c r="G508" i="31"/>
  <c r="G216" i="30"/>
  <c r="G493" i="31"/>
  <c r="G215" i="30"/>
  <c r="E362" i="31"/>
  <c r="E210" i="30"/>
  <c r="G449" i="31"/>
  <c r="G256" i="30"/>
  <c r="G411" i="31"/>
  <c r="G254" i="30"/>
  <c r="E336" i="31"/>
  <c r="E251" i="30"/>
  <c r="G533" i="31"/>
  <c r="G146" i="30"/>
  <c r="G575" i="28"/>
  <c r="G509" i="31"/>
  <c r="G145" i="30"/>
  <c r="G572" i="28"/>
  <c r="E481" i="31"/>
  <c r="E144" i="30"/>
  <c r="E569" i="28"/>
  <c r="E456" i="31"/>
  <c r="E143" i="30"/>
  <c r="E566" i="28"/>
  <c r="G369" i="31"/>
  <c r="G140" i="30"/>
  <c r="G560" i="28"/>
  <c r="E369" i="31"/>
  <c r="E140" i="30"/>
  <c r="E560" i="28"/>
  <c r="E345" i="31"/>
  <c r="E139" i="30"/>
  <c r="E557" i="28"/>
  <c r="E326" i="31"/>
  <c r="E570" i="30"/>
  <c r="E554" i="28"/>
  <c r="E440" i="31"/>
  <c r="E574" i="30"/>
  <c r="E564" i="28"/>
  <c r="E404" i="31"/>
  <c r="E573" i="30"/>
  <c r="E562" i="28"/>
  <c r="E377" i="31"/>
  <c r="E572" i="30"/>
  <c r="E559" i="28"/>
  <c r="E353" i="31"/>
  <c r="E571" i="30"/>
  <c r="E556" i="28"/>
  <c r="E375" i="31"/>
  <c r="E522" i="30"/>
  <c r="E558" i="28"/>
  <c r="E351" i="31"/>
  <c r="E521" i="30"/>
  <c r="E555" i="28"/>
  <c r="E324" i="31"/>
  <c r="E520" i="30"/>
  <c r="E553" i="28"/>
  <c r="G287" i="31"/>
  <c r="G543" i="30"/>
  <c r="G551" i="28"/>
  <c r="E287" i="31"/>
  <c r="E543" i="30"/>
  <c r="E551" i="28"/>
  <c r="G278" i="31"/>
  <c r="G542" i="30"/>
  <c r="G549" i="28"/>
  <c r="E278" i="31"/>
  <c r="E542" i="30"/>
  <c r="E549" i="28"/>
  <c r="E19" i="23"/>
  <c r="G256" i="31"/>
  <c r="G541" i="30"/>
  <c r="E256" i="31"/>
  <c r="E541" i="30"/>
  <c r="G20" i="23"/>
  <c r="G73" i="23" s="1"/>
  <c r="E81" i="23" s="1"/>
  <c r="G235" i="31"/>
  <c r="G540" i="30"/>
  <c r="B20" i="23"/>
  <c r="G62" i="23" s="1"/>
  <c r="E67" i="23" s="1"/>
  <c r="E235" i="31"/>
  <c r="E540" i="30"/>
  <c r="D20" i="23"/>
  <c r="E212" i="31"/>
  <c r="E539" i="30"/>
  <c r="E543" i="28"/>
  <c r="E188" i="31"/>
  <c r="E538" i="30"/>
  <c r="E541" i="28"/>
  <c r="G161" i="31"/>
  <c r="G537" i="30"/>
  <c r="E18" i="23"/>
  <c r="G71" i="23" s="1"/>
  <c r="E161" i="31"/>
  <c r="E537" i="30"/>
  <c r="F20" i="23"/>
  <c r="G72" i="23" s="1"/>
  <c r="E77" i="23" s="1"/>
  <c r="G136" i="31"/>
  <c r="G536" i="30"/>
  <c r="D19" i="23"/>
  <c r="E136" i="31"/>
  <c r="E536" i="30"/>
  <c r="B19" i="23"/>
  <c r="G63" i="23" s="1"/>
  <c r="G65" i="23" s="1"/>
  <c r="A24" i="23" s="1"/>
  <c r="G69" i="23" s="1"/>
  <c r="E101" i="31"/>
  <c r="E535" i="30"/>
  <c r="E535" i="28"/>
  <c r="E77" i="31"/>
  <c r="E534" i="30"/>
  <c r="E533" i="28"/>
  <c r="G56" i="31"/>
  <c r="G533" i="30"/>
  <c r="G531" i="28"/>
  <c r="E56" i="31"/>
  <c r="E533" i="30"/>
  <c r="E531" i="28"/>
  <c r="G32" i="31"/>
  <c r="G532" i="30"/>
  <c r="G529" i="28"/>
  <c r="E32" i="31"/>
  <c r="E532" i="30"/>
  <c r="E529" i="28"/>
  <c r="G14" i="31"/>
  <c r="G531" i="30"/>
  <c r="G527" i="28"/>
  <c r="E14" i="31"/>
  <c r="E531" i="30"/>
  <c r="E527" i="28"/>
  <c r="G31" i="31"/>
  <c r="G507" i="30"/>
  <c r="G528" i="28"/>
  <c r="E31" i="31"/>
  <c r="E507" i="30"/>
  <c r="E528" i="28"/>
  <c r="G286" i="31"/>
  <c r="G518" i="30"/>
  <c r="G550" i="28"/>
  <c r="E286" i="31"/>
  <c r="E518" i="30"/>
  <c r="E550" i="28"/>
  <c r="G277" i="31"/>
  <c r="G517" i="30"/>
  <c r="G548" i="28"/>
  <c r="E277" i="31"/>
  <c r="E517" i="30"/>
  <c r="E548" i="28"/>
  <c r="G255" i="31"/>
  <c r="G516" i="30"/>
  <c r="G546" i="28"/>
  <c r="E255" i="31"/>
  <c r="E516" i="30"/>
  <c r="E546" i="28"/>
  <c r="G234" i="31"/>
  <c r="G515" i="30"/>
  <c r="G544" i="28"/>
  <c r="G211" i="31"/>
  <c r="G514" i="30"/>
  <c r="G542" i="28"/>
  <c r="E211" i="31"/>
  <c r="E514" i="30"/>
  <c r="E542" i="28"/>
  <c r="G187" i="31"/>
  <c r="G513" i="30"/>
  <c r="C20" i="23"/>
  <c r="G83" i="23" s="1"/>
  <c r="E88" i="23" s="1"/>
  <c r="E187" i="31"/>
  <c r="E513" i="30"/>
  <c r="A20" i="23"/>
  <c r="G60" i="23" s="1"/>
  <c r="E66" i="23" s="1"/>
  <c r="G160" i="31"/>
  <c r="G512" i="30"/>
  <c r="F19" i="23"/>
  <c r="G59" i="23" s="1"/>
  <c r="G78" i="23" s="1"/>
  <c r="E160" i="31"/>
  <c r="E512" i="30"/>
  <c r="G19" i="23"/>
  <c r="G74" i="23" s="1"/>
  <c r="G81" i="23" s="1"/>
  <c r="G135" i="31"/>
  <c r="G511" i="30"/>
  <c r="G536" i="28"/>
  <c r="G100" i="31"/>
  <c r="G510" i="30"/>
  <c r="G534" i="28"/>
  <c r="E100" i="31"/>
  <c r="E510" i="30"/>
  <c r="E534" i="28"/>
  <c r="G76" i="31"/>
  <c r="G509" i="30"/>
  <c r="G532" i="28"/>
  <c r="E76" i="31"/>
  <c r="E509" i="30"/>
  <c r="E532" i="28"/>
  <c r="G55" i="31"/>
  <c r="G508" i="30"/>
  <c r="G530" i="28"/>
  <c r="E55" i="31"/>
  <c r="E508" i="30"/>
  <c r="E530" i="28"/>
  <c r="G13" i="31"/>
  <c r="G506" i="30"/>
  <c r="G526" i="28"/>
  <c r="E13" i="31"/>
  <c r="E506" i="30"/>
  <c r="E526" i="28"/>
  <c r="G9" i="31"/>
  <c r="G336" i="30"/>
  <c r="G525" i="28"/>
  <c r="E9" i="31"/>
  <c r="E336" i="30"/>
  <c r="E525" i="28"/>
  <c r="C9" i="31"/>
  <c r="C336" i="30"/>
  <c r="C525" i="28"/>
  <c r="C31" i="31"/>
  <c r="C507" i="30"/>
  <c r="C528" i="28"/>
  <c r="C286" i="31"/>
  <c r="C518" i="30"/>
  <c r="C550" i="28"/>
  <c r="C277" i="31"/>
  <c r="C517" i="30"/>
  <c r="C548" i="28"/>
  <c r="C255" i="31"/>
  <c r="C516" i="30"/>
  <c r="C546" i="28"/>
  <c r="C234" i="31"/>
  <c r="C515" i="30"/>
  <c r="C544" i="28"/>
  <c r="C211" i="31"/>
  <c r="C514" i="30"/>
  <c r="C542" i="28"/>
  <c r="C187" i="31"/>
  <c r="C513" i="30"/>
  <c r="C540" i="28"/>
  <c r="C160" i="31"/>
  <c r="C512" i="30"/>
  <c r="C538" i="28"/>
  <c r="C135" i="31"/>
  <c r="C511" i="30"/>
  <c r="C536" i="28"/>
  <c r="C100" i="31"/>
  <c r="C510" i="30"/>
  <c r="C534" i="28"/>
  <c r="C76" i="31"/>
  <c r="C509" i="30"/>
  <c r="C532" i="28"/>
  <c r="C55" i="31"/>
  <c r="C508" i="30"/>
  <c r="C530" i="28"/>
  <c r="C13" i="31"/>
  <c r="C506" i="30"/>
  <c r="C526" i="28"/>
  <c r="C14" i="31"/>
  <c r="C531" i="30"/>
  <c r="C527" i="28"/>
  <c r="C32" i="31"/>
  <c r="C532" i="30"/>
  <c r="C529" i="28"/>
  <c r="C56" i="31"/>
  <c r="C533" i="30"/>
  <c r="C531" i="28"/>
  <c r="C77" i="31"/>
  <c r="C534" i="30"/>
  <c r="C533" i="28"/>
  <c r="C101" i="31"/>
  <c r="C535" i="30"/>
  <c r="C535" i="28"/>
  <c r="C136" i="31"/>
  <c r="C536" i="30"/>
  <c r="C537" i="28"/>
  <c r="C161" i="31"/>
  <c r="C537" i="30"/>
  <c r="C539" i="28"/>
  <c r="C188" i="31"/>
  <c r="C538" i="30"/>
  <c r="C541" i="28"/>
  <c r="C212" i="31"/>
  <c r="C539" i="30"/>
  <c r="C543" i="28"/>
  <c r="C235" i="31"/>
  <c r="C540" i="30"/>
  <c r="C545" i="28"/>
  <c r="C256" i="31"/>
  <c r="C541" i="30"/>
  <c r="C547" i="28"/>
  <c r="C278" i="31"/>
  <c r="C542" i="30"/>
  <c r="C549" i="28"/>
  <c r="C287" i="31"/>
  <c r="C543" i="30"/>
  <c r="C551" i="28"/>
  <c r="Y5" i="5"/>
  <c r="B9" i="31"/>
  <c r="K9" i="31" s="1"/>
  <c r="B336" i="30"/>
  <c r="K336" i="30" s="1"/>
  <c r="B525" i="28"/>
  <c r="K525" i="28" s="1"/>
  <c r="W17" i="5"/>
  <c r="B286" i="31"/>
  <c r="K286" i="31" s="1"/>
  <c r="B518" i="30"/>
  <c r="K518" i="30" s="1"/>
  <c r="B550" i="28"/>
  <c r="K550" i="28" s="1"/>
  <c r="W16" i="5"/>
  <c r="B277" i="31"/>
  <c r="K277" i="31" s="1"/>
  <c r="B517" i="30"/>
  <c r="K517" i="30" s="1"/>
  <c r="B548" i="28"/>
  <c r="K548" i="28" s="1"/>
  <c r="W15" i="5"/>
  <c r="B255" i="31"/>
  <c r="K255" i="31" s="1"/>
  <c r="B516" i="30"/>
  <c r="K516" i="30" s="1"/>
  <c r="B546" i="28"/>
  <c r="K546" i="28" s="1"/>
  <c r="W14" i="5"/>
  <c r="B234" i="31"/>
  <c r="K234" i="31" s="1"/>
  <c r="B515" i="30"/>
  <c r="K515" i="30" s="1"/>
  <c r="B544" i="28"/>
  <c r="K544" i="28" s="1"/>
  <c r="W13" i="5"/>
  <c r="B211" i="31"/>
  <c r="K211" i="31" s="1"/>
  <c r="B514" i="30"/>
  <c r="K514" i="30" s="1"/>
  <c r="B542" i="28"/>
  <c r="K542" i="28" s="1"/>
  <c r="W12" i="5"/>
  <c r="B187" i="31"/>
  <c r="K187" i="31" s="1"/>
  <c r="B513" i="30"/>
  <c r="K513" i="30" s="1"/>
  <c r="B540" i="28"/>
  <c r="K540" i="28" s="1"/>
  <c r="W11" i="5"/>
  <c r="B160" i="31"/>
  <c r="K160" i="31" s="1"/>
  <c r="B512" i="30"/>
  <c r="K512" i="30" s="1"/>
  <c r="B538" i="28"/>
  <c r="K538" i="28" s="1"/>
  <c r="W10" i="5"/>
  <c r="B135" i="31"/>
  <c r="K135" i="31" s="1"/>
  <c r="B511" i="30"/>
  <c r="K511" i="30" s="1"/>
  <c r="B536" i="28"/>
  <c r="K536" i="28" s="1"/>
  <c r="W9" i="5"/>
  <c r="B100" i="31"/>
  <c r="K100" i="31" s="1"/>
  <c r="B510" i="30"/>
  <c r="K510" i="30" s="1"/>
  <c r="B534" i="28"/>
  <c r="K534" i="28" s="1"/>
  <c r="W8" i="5"/>
  <c r="B76" i="31"/>
  <c r="K76" i="31" s="1"/>
  <c r="B509" i="30"/>
  <c r="K509" i="30" s="1"/>
  <c r="B532" i="28"/>
  <c r="K532" i="28" s="1"/>
  <c r="W7" i="5"/>
  <c r="B55" i="31"/>
  <c r="K55" i="31" s="1"/>
  <c r="B508" i="30"/>
  <c r="K508" i="30" s="1"/>
  <c r="B530" i="28"/>
  <c r="K530" i="28" s="1"/>
  <c r="X5" i="5"/>
  <c r="B14" i="31"/>
  <c r="K14" i="31" s="1"/>
  <c r="B531" i="30"/>
  <c r="K531" i="30" s="1"/>
  <c r="B527" i="28"/>
  <c r="K527" i="28" s="1"/>
  <c r="X17" i="5"/>
  <c r="B287" i="31"/>
  <c r="K287" i="31" s="1"/>
  <c r="B543" i="30"/>
  <c r="K543" i="30" s="1"/>
  <c r="B551" i="28"/>
  <c r="K551" i="28" s="1"/>
  <c r="X16" i="5"/>
  <c r="B278" i="31"/>
  <c r="K278" i="31" s="1"/>
  <c r="B542" i="30"/>
  <c r="K542" i="30" s="1"/>
  <c r="B549" i="28"/>
  <c r="K549" i="28" s="1"/>
  <c r="X15" i="5"/>
  <c r="B256" i="31"/>
  <c r="K256" i="31" s="1"/>
  <c r="B541" i="30"/>
  <c r="K541" i="30" s="1"/>
  <c r="B547" i="28"/>
  <c r="K547" i="28" s="1"/>
  <c r="X14" i="5"/>
  <c r="B235" i="31"/>
  <c r="K235" i="31" s="1"/>
  <c r="B540" i="30"/>
  <c r="K540" i="30" s="1"/>
  <c r="B545" i="28"/>
  <c r="K545" i="28" s="1"/>
  <c r="X13" i="5"/>
  <c r="B212" i="31"/>
  <c r="K212" i="31" s="1"/>
  <c r="B539" i="30"/>
  <c r="K539" i="30" s="1"/>
  <c r="B543" i="28"/>
  <c r="K543" i="28" s="1"/>
  <c r="X12" i="5"/>
  <c r="B188" i="31"/>
  <c r="K188" i="31" s="1"/>
  <c r="B538" i="30"/>
  <c r="K538" i="30" s="1"/>
  <c r="B541" i="28"/>
  <c r="K541" i="28" s="1"/>
  <c r="X11" i="5"/>
  <c r="B161" i="31"/>
  <c r="K161" i="31" s="1"/>
  <c r="B537" i="30"/>
  <c r="K537" i="30" s="1"/>
  <c r="B539" i="28"/>
  <c r="K539" i="28" s="1"/>
  <c r="X10" i="5"/>
  <c r="B136" i="31"/>
  <c r="K136" i="31" s="1"/>
  <c r="B536" i="30"/>
  <c r="K536" i="30" s="1"/>
  <c r="B537" i="28"/>
  <c r="K537" i="28" s="1"/>
  <c r="X9" i="5"/>
  <c r="B101" i="31"/>
  <c r="K101" i="31" s="1"/>
  <c r="B535" i="30"/>
  <c r="K535" i="30" s="1"/>
  <c r="B535" i="28"/>
  <c r="K535" i="28" s="1"/>
  <c r="X8" i="5"/>
  <c r="B77" i="31"/>
  <c r="K77" i="31" s="1"/>
  <c r="B534" i="30"/>
  <c r="K534" i="30" s="1"/>
  <c r="B533" i="28"/>
  <c r="K533" i="28" s="1"/>
  <c r="X7" i="5"/>
  <c r="B56" i="31"/>
  <c r="K56" i="31" s="1"/>
  <c r="B533" i="30"/>
  <c r="K533" i="30" s="1"/>
  <c r="B531" i="28"/>
  <c r="K531" i="28" s="1"/>
  <c r="X6" i="5"/>
  <c r="B32" i="31"/>
  <c r="K32" i="31" s="1"/>
  <c r="B532" i="30"/>
  <c r="K532" i="30" s="1"/>
  <c r="B529" i="28"/>
  <c r="K529" i="28" s="1"/>
  <c r="C303" i="31"/>
  <c r="C519" i="30"/>
  <c r="C552" i="28"/>
  <c r="C324" i="31"/>
  <c r="C520" i="30"/>
  <c r="C553" i="28"/>
  <c r="C351" i="31"/>
  <c r="C521" i="30"/>
  <c r="C555" i="28"/>
  <c r="C375" i="31"/>
  <c r="C522" i="30"/>
  <c r="C558" i="28"/>
  <c r="C402" i="31"/>
  <c r="C523" i="30"/>
  <c r="C561" i="28"/>
  <c r="C438" i="31"/>
  <c r="C524" i="30"/>
  <c r="C563" i="28"/>
  <c r="C463" i="31"/>
  <c r="C525" i="30"/>
  <c r="C565" i="28"/>
  <c r="C490" i="31"/>
  <c r="C526" i="30"/>
  <c r="C567" i="28"/>
  <c r="C516" i="31"/>
  <c r="C527" i="30"/>
  <c r="C570" i="28"/>
  <c r="C563" i="31"/>
  <c r="C529" i="30"/>
  <c r="C105" i="29"/>
  <c r="C576" i="28"/>
  <c r="C540" i="31"/>
  <c r="C528" i="30"/>
  <c r="C106" i="29"/>
  <c r="C573" i="28"/>
  <c r="W27" i="5"/>
  <c r="B303" i="31"/>
  <c r="K303" i="31" s="1"/>
  <c r="B519" i="30"/>
  <c r="K519" i="30" s="1"/>
  <c r="B552" i="28"/>
  <c r="K552" i="28" s="1"/>
  <c r="W37" i="5"/>
  <c r="B540" i="31"/>
  <c r="K540" i="31" s="1"/>
  <c r="B528" i="30"/>
  <c r="K528" i="30" s="1"/>
  <c r="B106" i="29"/>
  <c r="B573" i="28"/>
  <c r="K573" i="28" s="1"/>
  <c r="W36" i="5"/>
  <c r="B563" i="31"/>
  <c r="K563" i="31" s="1"/>
  <c r="B529" i="30"/>
  <c r="K529" i="30" s="1"/>
  <c r="B105" i="29"/>
  <c r="B576" i="28"/>
  <c r="K576" i="28" s="1"/>
  <c r="W35" i="5"/>
  <c r="B516" i="31"/>
  <c r="K516" i="31" s="1"/>
  <c r="B527" i="30"/>
  <c r="K527" i="30" s="1"/>
  <c r="B570" i="28"/>
  <c r="K570" i="28" s="1"/>
  <c r="W34" i="5"/>
  <c r="B490" i="31"/>
  <c r="K490" i="31" s="1"/>
  <c r="B526" i="30"/>
  <c r="K526" i="30" s="1"/>
  <c r="B567" i="28"/>
  <c r="K567" i="28" s="1"/>
  <c r="W33" i="5"/>
  <c r="B463" i="31"/>
  <c r="K463" i="31" s="1"/>
  <c r="B525" i="30"/>
  <c r="K525" i="30" s="1"/>
  <c r="B565" i="28"/>
  <c r="K565" i="28" s="1"/>
  <c r="W32" i="5"/>
  <c r="B438" i="31"/>
  <c r="K438" i="31" s="1"/>
  <c r="B524" i="30"/>
  <c r="K524" i="30" s="1"/>
  <c r="B563" i="28"/>
  <c r="K563" i="28" s="1"/>
  <c r="W31" i="5"/>
  <c r="B402" i="31"/>
  <c r="K402" i="31" s="1"/>
  <c r="B523" i="30"/>
  <c r="K523" i="30" s="1"/>
  <c r="B561" i="28"/>
  <c r="K561" i="28" s="1"/>
  <c r="W30" i="5"/>
  <c r="B375" i="31"/>
  <c r="K375" i="31" s="1"/>
  <c r="B522" i="30"/>
  <c r="K522" i="30" s="1"/>
  <c r="B558" i="28"/>
  <c r="K558" i="28" s="1"/>
  <c r="W29" i="5"/>
  <c r="B351" i="31"/>
  <c r="K351" i="31" s="1"/>
  <c r="B521" i="30"/>
  <c r="K521" i="30" s="1"/>
  <c r="B555" i="28"/>
  <c r="K555" i="28" s="1"/>
  <c r="W28" i="5"/>
  <c r="B324" i="31"/>
  <c r="K324" i="31" s="1"/>
  <c r="B520" i="30"/>
  <c r="K520" i="30" s="1"/>
  <c r="B553" i="28"/>
  <c r="K553" i="28" s="1"/>
  <c r="C353" i="31"/>
  <c r="C571" i="30"/>
  <c r="C556" i="28"/>
  <c r="C377" i="31"/>
  <c r="C572" i="30"/>
  <c r="C559" i="28"/>
  <c r="C404" i="31"/>
  <c r="C573" i="30"/>
  <c r="C562" i="28"/>
  <c r="C440" i="31"/>
  <c r="C574" i="30"/>
  <c r="C564" i="28"/>
  <c r="C492" i="31"/>
  <c r="C576" i="30"/>
  <c r="C568" i="28"/>
  <c r="C518" i="31"/>
  <c r="C577" i="30"/>
  <c r="C571" i="28"/>
  <c r="C542" i="31"/>
  <c r="C578" i="30"/>
  <c r="C574" i="28"/>
  <c r="C565" i="31"/>
  <c r="C579" i="30"/>
  <c r="C577" i="28"/>
  <c r="C580" i="31"/>
  <c r="C580" i="30"/>
  <c r="C579" i="28"/>
  <c r="C326" i="31"/>
  <c r="C570" i="30"/>
  <c r="C554" i="28"/>
  <c r="AA28" i="5"/>
  <c r="B353" i="31"/>
  <c r="K353" i="31" s="1"/>
  <c r="B571" i="30"/>
  <c r="K571" i="30" s="1"/>
  <c r="B556" i="28"/>
  <c r="K556" i="28" s="1"/>
  <c r="AA32" i="5"/>
  <c r="B492" i="31"/>
  <c r="K492" i="31" s="1"/>
  <c r="B576" i="30"/>
  <c r="K576" i="30" s="1"/>
  <c r="B568" i="28"/>
  <c r="K568" i="28" s="1"/>
  <c r="AA31" i="5"/>
  <c r="B440" i="31"/>
  <c r="K440" i="31" s="1"/>
  <c r="B574" i="30"/>
  <c r="K574" i="30" s="1"/>
  <c r="B564" i="28"/>
  <c r="K564" i="28" s="1"/>
  <c r="AA30" i="5"/>
  <c r="B404" i="31"/>
  <c r="K404" i="31" s="1"/>
  <c r="B573" i="30"/>
  <c r="K573" i="30" s="1"/>
  <c r="B562" i="28"/>
  <c r="K562" i="28" s="1"/>
  <c r="AA29" i="5"/>
  <c r="B377" i="31"/>
  <c r="K377" i="31" s="1"/>
  <c r="B572" i="30"/>
  <c r="K572" i="30" s="1"/>
  <c r="B559" i="28"/>
  <c r="K559" i="28" s="1"/>
  <c r="C345" i="31"/>
  <c r="C139" i="30"/>
  <c r="C557" i="28"/>
  <c r="C369" i="31"/>
  <c r="C140" i="30"/>
  <c r="C560" i="28"/>
  <c r="C456" i="31"/>
  <c r="C143" i="30"/>
  <c r="C566" i="28"/>
  <c r="C481" i="31"/>
  <c r="C144" i="30"/>
  <c r="C569" i="28"/>
  <c r="C509" i="31"/>
  <c r="C145" i="30"/>
  <c r="C572" i="28"/>
  <c r="C533" i="31"/>
  <c r="C146" i="30"/>
  <c r="C575" i="28"/>
  <c r="C557" i="31"/>
  <c r="C147" i="30"/>
  <c r="C578" i="28"/>
  <c r="C576" i="31"/>
  <c r="C148" i="30"/>
  <c r="C580" i="28"/>
  <c r="AC29" i="5"/>
  <c r="B345" i="31"/>
  <c r="K345" i="31" s="1"/>
  <c r="B139" i="30"/>
  <c r="K139" i="30" s="1"/>
  <c r="B557" i="28"/>
  <c r="K557" i="28" s="1"/>
  <c r="AC30" i="5"/>
  <c r="B369" i="31"/>
  <c r="K369" i="31" s="1"/>
  <c r="B140" i="30"/>
  <c r="K140" i="30" s="1"/>
  <c r="B560" i="28"/>
  <c r="K560" i="28" s="1"/>
  <c r="AC33" i="5"/>
  <c r="B456" i="31"/>
  <c r="K456" i="31" s="1"/>
  <c r="B143" i="30"/>
  <c r="K143" i="30" s="1"/>
  <c r="B566" i="28"/>
  <c r="K566" i="28" s="1"/>
  <c r="AC38" i="5"/>
  <c r="B576" i="31"/>
  <c r="K576" i="31" s="1"/>
  <c r="B148" i="30"/>
  <c r="K148" i="30" s="1"/>
  <c r="B580" i="28"/>
  <c r="K580" i="28" s="1"/>
  <c r="AC37" i="5"/>
  <c r="B557" i="31"/>
  <c r="K557" i="31" s="1"/>
  <c r="B147" i="30"/>
  <c r="K147" i="30" s="1"/>
  <c r="B578" i="28"/>
  <c r="K578" i="28" s="1"/>
  <c r="AC36" i="5"/>
  <c r="B533" i="31"/>
  <c r="K533" i="31" s="1"/>
  <c r="B146" i="30"/>
  <c r="K146" i="30" s="1"/>
  <c r="B575" i="28"/>
  <c r="K575" i="28" s="1"/>
  <c r="AC35" i="5"/>
  <c r="B509" i="31"/>
  <c r="K509" i="31" s="1"/>
  <c r="B145" i="30"/>
  <c r="K145" i="30" s="1"/>
  <c r="B572" i="28"/>
  <c r="K572" i="28" s="1"/>
  <c r="AC34" i="5"/>
  <c r="B481" i="31"/>
  <c r="K481" i="31" s="1"/>
  <c r="B144" i="30"/>
  <c r="K144" i="30" s="1"/>
  <c r="B569" i="28"/>
  <c r="K569" i="28" s="1"/>
  <c r="W5" i="5"/>
  <c r="B13" i="31"/>
  <c r="K13" i="31" s="1"/>
  <c r="B506" i="30"/>
  <c r="K506" i="30" s="1"/>
  <c r="B526" i="28"/>
  <c r="K526" i="28" s="1"/>
  <c r="W6" i="5"/>
  <c r="B31" i="31"/>
  <c r="K31" i="31" s="1"/>
  <c r="B507" i="30"/>
  <c r="K507" i="30" s="1"/>
  <c r="B528" i="28"/>
  <c r="K528" i="28" s="1"/>
  <c r="E580" i="31"/>
  <c r="E580" i="30"/>
  <c r="E565" i="31"/>
  <c r="E579" i="30"/>
  <c r="G377" i="31"/>
  <c r="G572" i="30"/>
  <c r="G339" i="31"/>
  <c r="G395" i="30"/>
  <c r="G344" i="28"/>
  <c r="G310" i="31"/>
  <c r="G164" i="30"/>
  <c r="G341" i="28"/>
  <c r="G270" i="31"/>
  <c r="G391" i="30"/>
  <c r="G338" i="28"/>
  <c r="G334" i="31"/>
  <c r="G165" i="30"/>
  <c r="G343" i="28"/>
  <c r="G281" i="31"/>
  <c r="G392" i="30"/>
  <c r="G340" i="28"/>
  <c r="E371" i="31"/>
  <c r="E305" i="30"/>
  <c r="E429" i="28"/>
  <c r="G512" i="31"/>
  <c r="G310" i="30"/>
  <c r="G439" i="28"/>
  <c r="E397" i="31"/>
  <c r="E306" i="30"/>
  <c r="E431" i="28"/>
  <c r="E486" i="31"/>
  <c r="E356" i="30"/>
  <c r="E436" i="28"/>
  <c r="G398" i="31"/>
  <c r="G353" i="30"/>
  <c r="G430" i="28"/>
  <c r="G196" i="31"/>
  <c r="G247" i="30"/>
  <c r="G22" i="31"/>
  <c r="G239" i="30"/>
  <c r="G429" i="31"/>
  <c r="G290" i="30"/>
  <c r="E525" i="31"/>
  <c r="E294" i="30"/>
  <c r="E196" i="31"/>
  <c r="E247" i="30"/>
  <c r="G126" i="31"/>
  <c r="G244" i="30"/>
  <c r="G410" i="31"/>
  <c r="G212" i="30"/>
  <c r="E126" i="31"/>
  <c r="E244" i="30"/>
  <c r="E22" i="31"/>
  <c r="E239" i="30"/>
  <c r="G387" i="31"/>
  <c r="G253" i="30"/>
  <c r="E335" i="31"/>
  <c r="E209" i="30"/>
  <c r="E312" i="31"/>
  <c r="E250" i="30"/>
  <c r="G556" i="31"/>
  <c r="G218" i="30"/>
  <c r="G532" i="31"/>
  <c r="G217" i="30"/>
  <c r="E410" i="31"/>
  <c r="E212" i="30"/>
  <c r="G474" i="31"/>
  <c r="G257" i="30"/>
  <c r="G428" i="31"/>
  <c r="G255" i="30"/>
  <c r="E387" i="31"/>
  <c r="E253" i="30"/>
  <c r="E390" i="31"/>
  <c r="E397" i="30"/>
  <c r="E346" i="28"/>
  <c r="E452" i="31"/>
  <c r="E400" i="30"/>
  <c r="E350" i="28"/>
  <c r="E310" i="31"/>
  <c r="E164" i="30"/>
  <c r="E341" i="28"/>
  <c r="E448" i="31"/>
  <c r="E170" i="30"/>
  <c r="E349" i="28"/>
  <c r="E334" i="31"/>
  <c r="E165" i="30"/>
  <c r="E343" i="28"/>
  <c r="E347" i="31"/>
  <c r="E304" i="30"/>
  <c r="E427" i="28"/>
  <c r="E512" i="31"/>
  <c r="E310" i="30"/>
  <c r="E439" i="28"/>
  <c r="E295" i="31"/>
  <c r="E302" i="30"/>
  <c r="E423" i="28"/>
  <c r="E398" i="31"/>
  <c r="E353" i="30"/>
  <c r="E430" i="28"/>
  <c r="E321" i="31"/>
  <c r="E350" i="30"/>
  <c r="E424" i="28"/>
  <c r="G536" i="31"/>
  <c r="G311" i="30"/>
  <c r="G441" i="28"/>
  <c r="E430" i="31"/>
  <c r="E307" i="30"/>
  <c r="E433" i="28"/>
  <c r="E233" i="31"/>
  <c r="E439" i="30"/>
  <c r="E419" i="28"/>
  <c r="E30" i="31"/>
  <c r="E431" i="30"/>
  <c r="E405" i="28"/>
  <c r="G513" i="31"/>
  <c r="G357" i="30"/>
  <c r="G438" i="28"/>
  <c r="E432" i="31"/>
  <c r="E354" i="30"/>
  <c r="E432" i="28"/>
  <c r="G233" i="31"/>
  <c r="G439" i="30"/>
  <c r="G419" i="28"/>
  <c r="E98" i="31"/>
  <c r="E434" i="30"/>
  <c r="E411" i="28"/>
  <c r="G460" i="31"/>
  <c r="G355" i="30"/>
  <c r="G434" i="28"/>
  <c r="E372" i="31"/>
  <c r="E352" i="30"/>
  <c r="E428" i="28"/>
  <c r="G98" i="31"/>
  <c r="G434" i="30"/>
  <c r="G411" i="28"/>
  <c r="G30" i="31"/>
  <c r="G431" i="30"/>
  <c r="G405" i="28"/>
  <c r="G490" i="31"/>
  <c r="G526" i="30"/>
  <c r="G567" i="28"/>
  <c r="G438" i="31"/>
  <c r="G524" i="30"/>
  <c r="G563" i="28"/>
  <c r="G351" i="31"/>
  <c r="G521" i="30"/>
  <c r="G555" i="28"/>
  <c r="E234" i="31"/>
  <c r="E515" i="30"/>
  <c r="E544" i="28"/>
  <c r="E135" i="31"/>
  <c r="E511" i="30"/>
  <c r="E536" i="28"/>
  <c r="G462" i="31"/>
  <c r="G447" i="30"/>
  <c r="G471" i="28"/>
  <c r="G323" i="31"/>
  <c r="G442" i="30"/>
  <c r="G463" i="28"/>
  <c r="E562" i="31"/>
  <c r="E451" i="30"/>
  <c r="E478" i="28"/>
  <c r="E350" i="31"/>
  <c r="E443" i="30"/>
  <c r="E465" i="28"/>
  <c r="E376" i="31"/>
  <c r="E547" i="30"/>
  <c r="E466" i="28"/>
  <c r="E304" i="31"/>
  <c r="E544" i="30"/>
  <c r="E461" i="28"/>
  <c r="E130" i="31"/>
  <c r="E365" i="30"/>
  <c r="E448" i="28"/>
  <c r="E29" i="31"/>
  <c r="E361" i="30"/>
  <c r="E443" i="28"/>
  <c r="G322" i="31"/>
  <c r="G373" i="30"/>
  <c r="G388" i="28"/>
  <c r="G284" i="31"/>
  <c r="G267" i="30"/>
  <c r="G383" i="28"/>
  <c r="G156" i="31"/>
  <c r="G261" i="30"/>
  <c r="G373" i="28"/>
  <c r="G57" i="31"/>
  <c r="G558" i="30"/>
  <c r="G365" i="28"/>
  <c r="E291" i="31"/>
  <c r="E137" i="30"/>
  <c r="E385" i="28"/>
  <c r="G182" i="31"/>
  <c r="G262" i="30"/>
  <c r="G375" i="28"/>
  <c r="E15" i="31"/>
  <c r="E556" i="30"/>
  <c r="E361" i="28"/>
  <c r="E461" i="31"/>
  <c r="E378" i="30"/>
  <c r="E398" i="28"/>
  <c r="E251" i="31"/>
  <c r="E265" i="30"/>
  <c r="E381" i="28"/>
  <c r="E182" i="31"/>
  <c r="E262" i="30"/>
  <c r="E375" i="28"/>
  <c r="E78" i="31"/>
  <c r="E559" i="30"/>
  <c r="E368" i="28"/>
  <c r="E576" i="31"/>
  <c r="E148" i="30"/>
  <c r="E557" i="31"/>
  <c r="E147" i="30"/>
  <c r="E516" i="31"/>
  <c r="E527" i="30"/>
  <c r="E463" i="31"/>
  <c r="E525" i="30"/>
  <c r="G456" i="31"/>
  <c r="G143" i="30"/>
  <c r="G375" i="31"/>
  <c r="G522" i="30"/>
  <c r="G318" i="31"/>
  <c r="G138" i="30"/>
  <c r="G389" i="28"/>
  <c r="E230" i="31"/>
  <c r="E264" i="30"/>
  <c r="E379" i="28"/>
  <c r="E57" i="31"/>
  <c r="E558" i="30"/>
  <c r="E365" i="28"/>
  <c r="G298" i="31"/>
  <c r="G372" i="30"/>
  <c r="G384" i="28"/>
  <c r="G274" i="31"/>
  <c r="G266" i="30"/>
  <c r="G382" i="28"/>
  <c r="G230" i="31"/>
  <c r="G264" i="30"/>
  <c r="G379" i="28"/>
  <c r="E156" i="31"/>
  <c r="E261" i="30"/>
  <c r="E373" i="28"/>
  <c r="G452" i="31"/>
  <c r="G400" i="30"/>
  <c r="G350" i="28"/>
  <c r="E270" i="31"/>
  <c r="E391" i="30"/>
  <c r="E338" i="28"/>
  <c r="E222" i="31"/>
  <c r="E388" i="30"/>
  <c r="E333" i="28"/>
  <c r="E20" i="31"/>
  <c r="E150" i="30"/>
  <c r="E318" i="28"/>
  <c r="G448" i="31"/>
  <c r="G170" i="30"/>
  <c r="G349" i="28"/>
  <c r="E281" i="31"/>
  <c r="E392" i="30"/>
  <c r="E340" i="28"/>
  <c r="G222" i="31"/>
  <c r="G388" i="30"/>
  <c r="G333" i="28"/>
  <c r="E151" i="31"/>
  <c r="E385" i="30"/>
  <c r="E327" i="28"/>
  <c r="E473" i="31"/>
  <c r="E171" i="30"/>
  <c r="E351" i="28"/>
  <c r="E269" i="31"/>
  <c r="E162" i="30"/>
  <c r="E339" i="28"/>
  <c r="G200" i="31"/>
  <c r="G387" i="30"/>
  <c r="G331" i="28"/>
  <c r="E131" i="31"/>
  <c r="E384" i="30"/>
  <c r="E325" i="28"/>
  <c r="E498" i="31"/>
  <c r="E172" i="30"/>
  <c r="E353" i="28"/>
  <c r="E261" i="31"/>
  <c r="E161" i="30"/>
  <c r="E337" i="28"/>
  <c r="E200" i="31"/>
  <c r="E387" i="30"/>
  <c r="E331" i="28"/>
  <c r="E5" i="31"/>
  <c r="E149" i="30"/>
  <c r="E317" i="28"/>
  <c r="G225" i="31"/>
  <c r="G63" i="30"/>
  <c r="G15" i="28"/>
  <c r="E139" i="31"/>
  <c r="E182" i="30"/>
  <c r="E10" i="28"/>
  <c r="E225" i="31"/>
  <c r="E63" i="30"/>
  <c r="E15" i="28"/>
  <c r="E59" i="31"/>
  <c r="E178" i="30"/>
  <c r="E4" i="28"/>
  <c r="E363" i="31"/>
  <c r="E252" i="30"/>
  <c r="G219" i="31"/>
  <c r="G248" i="30"/>
  <c r="E148" i="31"/>
  <c r="E245" i="30"/>
  <c r="E386" i="31"/>
  <c r="E211" i="30"/>
  <c r="G148" i="31"/>
  <c r="G245" i="30"/>
  <c r="G43" i="31"/>
  <c r="G240" i="30"/>
  <c r="E450" i="31"/>
  <c r="E291" i="30"/>
  <c r="E337" i="31"/>
  <c r="E286" i="30"/>
  <c r="E219" i="31"/>
  <c r="E248" i="30"/>
  <c r="E43" i="31"/>
  <c r="E240" i="30"/>
  <c r="E85" i="31"/>
  <c r="E103" i="30"/>
  <c r="E163" i="28"/>
  <c r="E19" i="31"/>
  <c r="E100" i="30"/>
  <c r="E161" i="28"/>
  <c r="G573" i="31"/>
  <c r="G504" i="30"/>
  <c r="G41" i="29"/>
  <c r="G175" i="28"/>
  <c r="G575" i="31"/>
  <c r="G505" i="30"/>
  <c r="G40" i="29"/>
  <c r="G174" i="28"/>
  <c r="G214" i="31"/>
  <c r="G34" i="30"/>
  <c r="G167" i="28"/>
  <c r="G19" i="31"/>
  <c r="G100" i="30"/>
  <c r="G161" i="28"/>
  <c r="E573" i="31"/>
  <c r="E504" i="30"/>
  <c r="E41" i="29"/>
  <c r="E175" i="28"/>
  <c r="E575" i="31"/>
  <c r="E505" i="30"/>
  <c r="E40" i="29"/>
  <c r="E174" i="28"/>
  <c r="E214" i="31"/>
  <c r="E34" i="30"/>
  <c r="E167" i="28"/>
  <c r="G85" i="31"/>
  <c r="G103" i="30"/>
  <c r="G163" i="28"/>
  <c r="E491" i="31"/>
  <c r="E551" i="30"/>
  <c r="E472" i="28"/>
  <c r="G325" i="31"/>
  <c r="G545" i="30"/>
  <c r="G462" i="28"/>
  <c r="E213" i="31"/>
  <c r="E564" i="30"/>
  <c r="E452" i="28"/>
  <c r="E137" i="31"/>
  <c r="E561" i="30"/>
  <c r="E447" i="28"/>
  <c r="E479" i="31"/>
  <c r="E500" i="30"/>
  <c r="E86" i="28"/>
  <c r="E224" i="31"/>
  <c r="E487" i="30"/>
  <c r="E73" i="28"/>
  <c r="G134" i="31"/>
  <c r="G483" i="30"/>
  <c r="G70" i="28"/>
  <c r="E504" i="31"/>
  <c r="E501" i="30"/>
  <c r="E87" i="28"/>
  <c r="E454" i="31"/>
  <c r="E499" i="30"/>
  <c r="E85" i="28"/>
  <c r="G224" i="31"/>
  <c r="G487" i="30"/>
  <c r="G73" i="28"/>
  <c r="G12" i="31"/>
  <c r="G477" i="30"/>
  <c r="G66" i="28"/>
  <c r="E536" i="31"/>
  <c r="E311" i="30"/>
  <c r="E441" i="28"/>
  <c r="E320" i="31"/>
  <c r="E303" i="30"/>
  <c r="E425" i="28"/>
  <c r="G75" i="31"/>
  <c r="G433" i="30"/>
  <c r="G409" i="28"/>
  <c r="G11" i="31"/>
  <c r="G430" i="30"/>
  <c r="G403" i="28"/>
  <c r="E513" i="31"/>
  <c r="E357" i="30"/>
  <c r="E438" i="28"/>
  <c r="E348" i="31"/>
  <c r="E351" i="30"/>
  <c r="E426" i="28"/>
  <c r="G210" i="31"/>
  <c r="G438" i="30"/>
  <c r="G417" i="28"/>
  <c r="E75" i="31"/>
  <c r="E433" i="30"/>
  <c r="E409" i="28"/>
  <c r="E460" i="31"/>
  <c r="E355" i="30"/>
  <c r="E434" i="28"/>
  <c r="E297" i="31"/>
  <c r="E349" i="30"/>
  <c r="E422" i="28"/>
  <c r="E210" i="31"/>
  <c r="E438" i="30"/>
  <c r="E417" i="28"/>
  <c r="E11" i="31"/>
  <c r="E430" i="30"/>
  <c r="E403" i="28"/>
  <c r="E402" i="31"/>
  <c r="E523" i="30"/>
  <c r="E561" i="28"/>
  <c r="G212" i="31"/>
  <c r="G539" i="30"/>
  <c r="G543" i="28"/>
  <c r="G101" i="31"/>
  <c r="G535" i="30"/>
  <c r="G535" i="28"/>
  <c r="E301" i="31"/>
  <c r="E441" i="30"/>
  <c r="E387" i="28"/>
  <c r="G207" i="31"/>
  <c r="G263" i="30"/>
  <c r="G377" i="28"/>
  <c r="E125" i="31"/>
  <c r="E223" i="30"/>
  <c r="E370" i="28"/>
  <c r="G487" i="31"/>
  <c r="G379" i="30"/>
  <c r="G399" i="28"/>
  <c r="E274" i="31"/>
  <c r="E266" i="30"/>
  <c r="E382" i="28"/>
  <c r="G125" i="31"/>
  <c r="G223" i="30"/>
  <c r="G370" i="28"/>
  <c r="G33" i="31"/>
  <c r="G557" i="30"/>
  <c r="G363" i="28"/>
  <c r="G399" i="31"/>
  <c r="G376" i="30"/>
  <c r="G392" i="28"/>
  <c r="E284" i="31"/>
  <c r="E267" i="30"/>
  <c r="E383" i="28"/>
  <c r="E207" i="31"/>
  <c r="E263" i="30"/>
  <c r="E377" i="28"/>
  <c r="E33" i="31"/>
  <c r="E557" i="30"/>
  <c r="E363" i="28"/>
  <c r="G285" i="31"/>
  <c r="G348" i="30"/>
  <c r="G508" i="28"/>
  <c r="G275" i="31"/>
  <c r="G347" i="30"/>
  <c r="G507" i="28"/>
  <c r="G203" i="31"/>
  <c r="G62" i="30"/>
  <c r="G13" i="28"/>
  <c r="E116" i="31"/>
  <c r="E181" i="30"/>
  <c r="E9" i="28"/>
  <c r="E203" i="31"/>
  <c r="E62" i="30"/>
  <c r="E13" i="28"/>
  <c r="E48" i="31"/>
  <c r="E177" i="30"/>
  <c r="E3" i="28"/>
  <c r="G488" i="31"/>
  <c r="G448" i="30"/>
  <c r="G473" i="28"/>
  <c r="G350" i="31"/>
  <c r="G443" i="30"/>
  <c r="G465" i="28"/>
  <c r="G189" i="31"/>
  <c r="G563" i="30"/>
  <c r="G450" i="28"/>
  <c r="G102" i="31"/>
  <c r="G560" i="30"/>
  <c r="G445" i="28"/>
  <c r="E167" i="31"/>
  <c r="E10" i="30"/>
  <c r="E212" i="28"/>
  <c r="E16" i="31"/>
  <c r="E3" i="30"/>
  <c r="E205" i="28"/>
  <c r="G167" i="31"/>
  <c r="G10" i="30"/>
  <c r="G212" i="28"/>
  <c r="E82" i="31"/>
  <c r="E6" i="30"/>
  <c r="E208" i="28"/>
  <c r="G553" i="31"/>
  <c r="G503" i="30"/>
  <c r="G26" i="29"/>
  <c r="G89" i="28"/>
  <c r="G529" i="31"/>
  <c r="G502" i="30"/>
  <c r="G25" i="29"/>
  <c r="G88" i="28"/>
  <c r="E202" i="31"/>
  <c r="E486" i="30"/>
  <c r="E72" i="28"/>
  <c r="E70" i="31"/>
  <c r="E480" i="30"/>
  <c r="E68" i="28"/>
  <c r="G273" i="31"/>
  <c r="G136" i="30"/>
  <c r="G506" i="28"/>
  <c r="G249" i="31"/>
  <c r="G135" i="30"/>
  <c r="G505" i="28"/>
  <c r="E303" i="31"/>
  <c r="E519" i="30"/>
  <c r="E552" i="28"/>
  <c r="G188" i="31"/>
  <c r="G538" i="30"/>
  <c r="G541" i="28"/>
  <c r="G77" i="31"/>
  <c r="G534" i="30"/>
  <c r="G533" i="28"/>
  <c r="E533" i="31"/>
  <c r="E146" i="30"/>
  <c r="E509" i="31"/>
  <c r="E145" i="30"/>
  <c r="E563" i="31"/>
  <c r="E529" i="30"/>
  <c r="E490" i="31"/>
  <c r="E526" i="30"/>
  <c r="E438" i="31"/>
  <c r="E524" i="30"/>
  <c r="E540" i="31"/>
  <c r="E528" i="30"/>
  <c r="G345" i="31"/>
  <c r="G139" i="30"/>
  <c r="G324" i="31"/>
  <c r="G520" i="30"/>
  <c r="G436" i="31"/>
  <c r="G446" i="30"/>
  <c r="G400" i="31"/>
  <c r="G445" i="30"/>
  <c r="E424" i="31"/>
  <c r="E142" i="30"/>
  <c r="E394" i="31"/>
  <c r="E141" i="30"/>
  <c r="G301" i="31"/>
  <c r="G441" i="30"/>
  <c r="G291" i="31"/>
  <c r="G137" i="30"/>
  <c r="E484" i="31"/>
  <c r="E269" i="30"/>
  <c r="G458" i="31"/>
  <c r="G268" i="30"/>
  <c r="G179" i="31"/>
  <c r="G61" i="30"/>
  <c r="G12" i="28"/>
  <c r="E94" i="31"/>
  <c r="E180" i="30"/>
  <c r="E7" i="28"/>
  <c r="E179" i="31"/>
  <c r="E61" i="30"/>
  <c r="E12" i="28"/>
  <c r="E35" i="31"/>
  <c r="E176" i="30"/>
  <c r="E2" i="28"/>
  <c r="E464" i="31"/>
  <c r="E550" i="30"/>
  <c r="E470" i="28"/>
  <c r="G304" i="31"/>
  <c r="G544" i="30"/>
  <c r="G461" i="28"/>
  <c r="G184" i="31"/>
  <c r="G367" i="30"/>
  <c r="G451" i="28"/>
  <c r="G53" i="31"/>
  <c r="G362" i="30"/>
  <c r="G444" i="28"/>
  <c r="G396" i="31"/>
  <c r="G232" i="30"/>
  <c r="G510" i="28"/>
  <c r="E455" i="31"/>
  <c r="E214" i="30"/>
  <c r="E512" i="28"/>
  <c r="E511" i="31"/>
  <c r="E270" i="30"/>
  <c r="E517" i="28"/>
  <c r="G465" i="31"/>
  <c r="G575" i="30"/>
  <c r="G514" i="28"/>
  <c r="E285" i="31"/>
  <c r="E348" i="30"/>
  <c r="E508" i="28"/>
  <c r="E275" i="31"/>
  <c r="E347" i="30"/>
  <c r="E507" i="28"/>
  <c r="E500" i="31"/>
  <c r="E293" i="30"/>
  <c r="E475" i="31"/>
  <c r="E292" i="30"/>
  <c r="E388" i="31"/>
  <c r="E288" i="30"/>
  <c r="G173" i="31"/>
  <c r="G246" i="30"/>
  <c r="E67" i="31"/>
  <c r="E241" i="30"/>
  <c r="E412" i="31"/>
  <c r="E289" i="30"/>
  <c r="G144" i="31"/>
  <c r="G81" i="30"/>
  <c r="G39" i="31"/>
  <c r="G76" i="30"/>
  <c r="E370" i="31"/>
  <c r="E231" i="30"/>
  <c r="E509" i="28"/>
  <c r="G426" i="31"/>
  <c r="G213" i="30"/>
  <c r="G511" i="28"/>
  <c r="E578" i="31"/>
  <c r="E530" i="30"/>
  <c r="E579" i="31"/>
  <c r="E555" i="30"/>
  <c r="E559" i="31"/>
  <c r="E272" i="30"/>
  <c r="E535" i="31"/>
  <c r="E271" i="30"/>
  <c r="G484" i="31"/>
  <c r="G269" i="30"/>
  <c r="G515" i="28"/>
  <c r="E458" i="31"/>
  <c r="E268" i="30"/>
  <c r="E513" i="28"/>
  <c r="E273" i="31"/>
  <c r="E136" i="30"/>
  <c r="E506" i="28"/>
  <c r="E249" i="31"/>
  <c r="E135" i="30"/>
  <c r="E505" i="28"/>
  <c r="G262" i="31"/>
  <c r="G390" i="30"/>
  <c r="G336" i="28"/>
  <c r="G217" i="31"/>
  <c r="G159" i="30"/>
  <c r="G332" i="28"/>
  <c r="G251" i="31"/>
  <c r="G265" i="30"/>
  <c r="G349" i="31"/>
  <c r="G374" i="30"/>
  <c r="E518" i="31"/>
  <c r="E577" i="30"/>
  <c r="E492" i="31"/>
  <c r="E576" i="30"/>
  <c r="G353" i="31"/>
  <c r="G571" i="30"/>
  <c r="G326" i="31"/>
  <c r="G570" i="30"/>
  <c r="E433" i="31"/>
  <c r="E377" i="30"/>
  <c r="E395" i="28"/>
  <c r="E250" i="31"/>
  <c r="E228" i="30"/>
  <c r="E380" i="28"/>
  <c r="G15" i="31"/>
  <c r="G556" i="30"/>
  <c r="G361" i="28"/>
  <c r="G78" i="31"/>
  <c r="G559" i="30"/>
  <c r="G368" i="28"/>
  <c r="E305" i="31"/>
  <c r="E569" i="30"/>
  <c r="E386" i="28"/>
  <c r="E158" i="31"/>
  <c r="E366" i="30"/>
  <c r="E371" i="28"/>
  <c r="G10" i="31"/>
  <c r="G360" i="30"/>
  <c r="G360" i="28"/>
  <c r="E487" i="31"/>
  <c r="E379" i="30"/>
  <c r="E399" i="28"/>
  <c r="E298" i="31"/>
  <c r="E372" i="30"/>
  <c r="E384" i="28"/>
  <c r="G158" i="31"/>
  <c r="G366" i="30"/>
  <c r="G371" i="28"/>
  <c r="G74" i="31"/>
  <c r="G363" i="30"/>
  <c r="G367" i="28"/>
  <c r="E399" i="31"/>
  <c r="E376" i="30"/>
  <c r="E392" i="28"/>
  <c r="E322" i="31"/>
  <c r="E373" i="30"/>
  <c r="E388" i="28"/>
  <c r="E74" i="31"/>
  <c r="E363" i="30"/>
  <c r="E367" i="28"/>
  <c r="E10" i="31"/>
  <c r="E360" i="30"/>
  <c r="E360" i="28"/>
  <c r="G494" i="31"/>
  <c r="G21" i="30"/>
  <c r="G51" i="29"/>
  <c r="G222" i="28"/>
  <c r="G469" i="31"/>
  <c r="G20" i="30"/>
  <c r="G50" i="29"/>
  <c r="G221" i="28"/>
  <c r="G82" i="31"/>
  <c r="G6" i="30"/>
  <c r="G208" i="28"/>
  <c r="G16" i="31"/>
  <c r="G3" i="30"/>
  <c r="G205" i="28"/>
  <c r="E543" i="31"/>
  <c r="E23" i="30"/>
  <c r="E224" i="28"/>
  <c r="G519" i="31"/>
  <c r="G22" i="30"/>
  <c r="G223" i="28"/>
  <c r="G142" i="31"/>
  <c r="G9" i="30"/>
  <c r="G211" i="28"/>
  <c r="E61" i="31"/>
  <c r="E5" i="30"/>
  <c r="E207" i="28"/>
  <c r="E519" i="31"/>
  <c r="E22" i="30"/>
  <c r="E223" i="28"/>
  <c r="E444" i="31"/>
  <c r="E19" i="30"/>
  <c r="E220" i="28"/>
  <c r="G61" i="31"/>
  <c r="G5" i="30"/>
  <c r="G207" i="28"/>
  <c r="G2" i="31"/>
  <c r="G2" i="30"/>
  <c r="G204" i="28"/>
  <c r="E494" i="31"/>
  <c r="E21" i="30"/>
  <c r="E51" i="29"/>
  <c r="E222" i="28"/>
  <c r="E469" i="31"/>
  <c r="E20" i="30"/>
  <c r="E50" i="29"/>
  <c r="E221" i="28"/>
  <c r="E142" i="31"/>
  <c r="E9" i="30"/>
  <c r="E211" i="28"/>
  <c r="E2" i="31"/>
  <c r="E2" i="30"/>
  <c r="E204" i="28"/>
  <c r="G580" i="31"/>
  <c r="G580" i="30"/>
  <c r="G565" i="31"/>
  <c r="G579" i="30"/>
  <c r="G518" i="31"/>
  <c r="G577" i="30"/>
  <c r="G492" i="31"/>
  <c r="G576" i="30"/>
  <c r="G404" i="31"/>
  <c r="G573" i="30"/>
  <c r="G303" i="31"/>
  <c r="G519" i="30"/>
  <c r="G576" i="31"/>
  <c r="G148" i="30"/>
  <c r="G557" i="31"/>
  <c r="G147" i="30"/>
  <c r="G516" i="31"/>
  <c r="G527" i="30"/>
  <c r="G463" i="31"/>
  <c r="G525" i="30"/>
  <c r="G540" i="31"/>
  <c r="G528" i="30"/>
  <c r="G563" i="31"/>
  <c r="G529" i="30"/>
  <c r="G481" i="31"/>
  <c r="G144" i="30"/>
  <c r="G402" i="31"/>
  <c r="G523" i="30"/>
  <c r="E414" i="31"/>
  <c r="E398" i="30"/>
  <c r="E348" i="28"/>
  <c r="G151" i="31"/>
  <c r="G385" i="30"/>
  <c r="G327" i="28"/>
  <c r="G20" i="31"/>
  <c r="G150" i="30"/>
  <c r="G318" i="28"/>
  <c r="E315" i="31"/>
  <c r="E394" i="30"/>
  <c r="E342" i="28"/>
  <c r="G131" i="31"/>
  <c r="G384" i="30"/>
  <c r="G325" i="28"/>
  <c r="G5" i="31"/>
  <c r="G149" i="30"/>
  <c r="G317" i="28"/>
  <c r="E153" i="31"/>
  <c r="E484" i="30"/>
  <c r="E71" i="28"/>
  <c r="E25" i="31"/>
  <c r="E478" i="30"/>
  <c r="E67" i="28"/>
  <c r="E553" i="31"/>
  <c r="E503" i="30"/>
  <c r="E26" i="29"/>
  <c r="E89" i="28"/>
  <c r="E529" i="31"/>
  <c r="E502" i="30"/>
  <c r="E25" i="29"/>
  <c r="E88" i="28"/>
  <c r="E134" i="31"/>
  <c r="E483" i="30"/>
  <c r="E70" i="28"/>
  <c r="E12" i="31"/>
  <c r="E477" i="30"/>
  <c r="E66" i="28"/>
  <c r="G139" i="31"/>
  <c r="G182" i="30"/>
  <c r="G10" i="28"/>
  <c r="G59" i="31"/>
  <c r="G178" i="30"/>
  <c r="G4" i="28"/>
  <c r="G94" i="31"/>
  <c r="G180" i="30"/>
  <c r="G7" i="28"/>
  <c r="G35" i="31"/>
  <c r="G176" i="30"/>
  <c r="G2" i="28"/>
  <c r="G116" i="31"/>
  <c r="G181" i="30"/>
  <c r="G9" i="28"/>
  <c r="G48" i="31"/>
  <c r="G177" i="30"/>
  <c r="G3" i="28"/>
  <c r="E551" i="31"/>
  <c r="E404" i="30"/>
  <c r="E358" i="28"/>
  <c r="G527" i="31"/>
  <c r="G403" i="30"/>
  <c r="G355" i="28"/>
  <c r="E502" i="31"/>
  <c r="E402" i="30"/>
  <c r="E354" i="28"/>
  <c r="G477" i="31"/>
  <c r="G401" i="30"/>
  <c r="G352" i="28"/>
  <c r="E262" i="31"/>
  <c r="E390" i="30"/>
  <c r="E336" i="28"/>
  <c r="E217" i="31"/>
  <c r="E159" i="30"/>
  <c r="E332" i="28"/>
  <c r="G390" i="31"/>
  <c r="G397" i="30"/>
  <c r="G346" i="28"/>
  <c r="E339" i="31"/>
  <c r="E395" i="30"/>
  <c r="E344" i="28"/>
  <c r="G473" i="31"/>
  <c r="G171" i="30"/>
  <c r="G351" i="28"/>
  <c r="G498" i="31"/>
  <c r="G172" i="30"/>
  <c r="G353" i="28"/>
  <c r="E483" i="31"/>
  <c r="E235" i="30"/>
  <c r="E510" i="31"/>
  <c r="E236" i="30"/>
  <c r="E570" i="31"/>
  <c r="E405" i="30"/>
  <c r="E567" i="31"/>
  <c r="E99" i="30"/>
  <c r="G370" i="31"/>
  <c r="G231" i="30"/>
  <c r="E426" i="31"/>
  <c r="E213" i="30"/>
  <c r="G485" i="31"/>
  <c r="G309" i="30"/>
  <c r="E485" i="31"/>
  <c r="E309" i="30"/>
  <c r="G459" i="31"/>
  <c r="G308" i="30"/>
  <c r="E459" i="31"/>
  <c r="E308" i="30"/>
  <c r="G486" i="31"/>
  <c r="G356" i="30"/>
  <c r="G180" i="31"/>
  <c r="G132" i="30"/>
  <c r="G154" i="31"/>
  <c r="G131" i="30"/>
  <c r="G347" i="31"/>
  <c r="G304" i="30"/>
  <c r="G371" i="31"/>
  <c r="G305" i="30"/>
  <c r="G295" i="31"/>
  <c r="G302" i="30"/>
  <c r="G321" i="31"/>
  <c r="G350" i="30"/>
  <c r="E556" i="31"/>
  <c r="E218" i="30"/>
  <c r="E532" i="31"/>
  <c r="E217" i="30"/>
  <c r="G386" i="31"/>
  <c r="G211" i="30"/>
  <c r="E474" i="31"/>
  <c r="E257" i="30"/>
  <c r="E428" i="31"/>
  <c r="E255" i="30"/>
  <c r="G363" i="31"/>
  <c r="G252" i="30"/>
  <c r="G524" i="31"/>
  <c r="G259" i="30"/>
  <c r="G499" i="31"/>
  <c r="G258" i="30"/>
  <c r="G229" i="31"/>
  <c r="G227" i="30"/>
  <c r="G378" i="28"/>
  <c r="G206" i="31"/>
  <c r="G226" i="30"/>
  <c r="G376" i="28"/>
  <c r="G483" i="31"/>
  <c r="G235" i="30"/>
  <c r="G510" i="31"/>
  <c r="G236" i="30"/>
  <c r="G570" i="31"/>
  <c r="G405" i="30"/>
  <c r="G567" i="31"/>
  <c r="G99" i="30"/>
  <c r="E396" i="31"/>
  <c r="E232" i="30"/>
  <c r="G455" i="31"/>
  <c r="G214" i="30"/>
  <c r="G578" i="31"/>
  <c r="G530" i="30"/>
  <c r="G579" i="31"/>
  <c r="G555" i="30"/>
  <c r="G559" i="31"/>
  <c r="G272" i="30"/>
  <c r="G535" i="31"/>
  <c r="G271" i="30"/>
  <c r="G511" i="31"/>
  <c r="G270" i="30"/>
  <c r="E465" i="31"/>
  <c r="E575" i="30"/>
  <c r="G252" i="31"/>
  <c r="G346" i="30"/>
  <c r="G504" i="28"/>
  <c r="G231" i="31"/>
  <c r="G345" i="30"/>
  <c r="G503" i="28"/>
  <c r="E508" i="31"/>
  <c r="E216" i="30"/>
  <c r="E493" i="31"/>
  <c r="E215" i="30"/>
  <c r="G335" i="31"/>
  <c r="G209" i="30"/>
  <c r="G500" i="31"/>
  <c r="G293" i="30"/>
  <c r="G475" i="31"/>
  <c r="G292" i="30"/>
  <c r="E524" i="31"/>
  <c r="E259" i="30"/>
  <c r="E449" i="31"/>
  <c r="E256" i="30"/>
  <c r="E411" i="31"/>
  <c r="E254" i="30"/>
  <c r="G215" i="31"/>
  <c r="G84" i="30"/>
  <c r="G192" i="31"/>
  <c r="G83" i="30"/>
  <c r="E499" i="31"/>
  <c r="E258" i="30"/>
  <c r="G312" i="31"/>
  <c r="G250" i="30"/>
  <c r="G412" i="31"/>
  <c r="G289" i="30"/>
  <c r="G549" i="31"/>
  <c r="G295" i="30"/>
  <c r="E436" i="31"/>
  <c r="E446" i="30"/>
  <c r="E400" i="31"/>
  <c r="E445" i="30"/>
  <c r="G424" i="31"/>
  <c r="G142" i="30"/>
  <c r="G394" i="31"/>
  <c r="G141" i="30"/>
  <c r="E229" i="31"/>
  <c r="E227" i="30"/>
  <c r="E206" i="31"/>
  <c r="E226" i="30"/>
  <c r="G305" i="31"/>
  <c r="G569" i="30"/>
  <c r="E318" i="31"/>
  <c r="E138" i="30"/>
  <c r="G461" i="31"/>
  <c r="G378" i="30"/>
  <c r="G433" i="31"/>
  <c r="G377" i="30"/>
  <c r="G551" i="31"/>
  <c r="G404" i="30"/>
  <c r="E527" i="31"/>
  <c r="E403" i="30"/>
  <c r="G502" i="31"/>
  <c r="G402" i="30"/>
  <c r="E477" i="31"/>
  <c r="E401" i="30"/>
  <c r="G414" i="31"/>
  <c r="G398" i="30"/>
  <c r="G194" i="31"/>
  <c r="G158" i="30"/>
  <c r="G330" i="28"/>
  <c r="G171" i="31"/>
  <c r="G157" i="30"/>
  <c r="G328" i="28"/>
  <c r="G315" i="31"/>
  <c r="G394" i="30"/>
  <c r="G409" i="31"/>
  <c r="G168" i="30"/>
  <c r="G261" i="31"/>
  <c r="G161" i="30"/>
  <c r="G316" i="28"/>
  <c r="G314" i="28"/>
  <c r="G311" i="28"/>
  <c r="G308" i="28"/>
  <c r="G299" i="28"/>
  <c r="E299" i="28"/>
  <c r="E297" i="28"/>
  <c r="G295" i="28"/>
  <c r="E295" i="28"/>
  <c r="E292" i="28"/>
  <c r="E315" i="28"/>
  <c r="G303" i="28"/>
  <c r="G305" i="28"/>
  <c r="E305" i="28"/>
  <c r="E313" i="28"/>
  <c r="E301" i="28"/>
  <c r="E298" i="28"/>
  <c r="E293" i="28"/>
  <c r="G306" i="28"/>
  <c r="G304" i="28"/>
  <c r="G302" i="28"/>
  <c r="G300" i="28"/>
  <c r="G296" i="28"/>
  <c r="E296" i="28"/>
  <c r="E294" i="28"/>
  <c r="G291" i="28"/>
  <c r="E291" i="28"/>
  <c r="E289" i="28"/>
  <c r="G286" i="28"/>
  <c r="E286" i="28"/>
  <c r="G284" i="28"/>
  <c r="E284" i="28"/>
  <c r="G282" i="28"/>
  <c r="E282" i="28"/>
  <c r="G280" i="28"/>
  <c r="E280" i="28"/>
  <c r="G278" i="28"/>
  <c r="E278" i="28"/>
  <c r="G276" i="28"/>
  <c r="E276" i="28"/>
  <c r="G270" i="28"/>
  <c r="E270" i="28"/>
  <c r="G268" i="28"/>
  <c r="E268" i="28"/>
  <c r="G265" i="28"/>
  <c r="E265" i="28"/>
  <c r="G266" i="28"/>
  <c r="E266" i="28"/>
  <c r="G263" i="28"/>
  <c r="E263" i="28"/>
  <c r="G288" i="28"/>
  <c r="E288" i="28"/>
  <c r="G287" i="28"/>
  <c r="E287" i="28"/>
  <c r="G285" i="28"/>
  <c r="E285" i="28"/>
  <c r="G283" i="28"/>
  <c r="G281" i="28"/>
  <c r="G279" i="28"/>
  <c r="E279" i="28"/>
  <c r="G277" i="28"/>
  <c r="E277" i="28"/>
  <c r="G275" i="28"/>
  <c r="E275" i="28"/>
  <c r="G273" i="28"/>
  <c r="E273" i="28"/>
  <c r="G271" i="28"/>
  <c r="E271" i="28"/>
  <c r="G269" i="28"/>
  <c r="E269" i="28"/>
  <c r="G267" i="28"/>
  <c r="E267" i="28"/>
  <c r="G264" i="28"/>
  <c r="E264" i="28"/>
  <c r="C264" i="28"/>
  <c r="C267" i="28"/>
  <c r="C269" i="28"/>
  <c r="C271" i="28"/>
  <c r="C273" i="28"/>
  <c r="C275" i="28"/>
  <c r="C277" i="28"/>
  <c r="C279" i="28"/>
  <c r="C281" i="28"/>
  <c r="C283" i="28"/>
  <c r="C285" i="28"/>
  <c r="C287" i="28"/>
  <c r="C288" i="28"/>
  <c r="K6" i="5"/>
  <c r="B264" i="28"/>
  <c r="K264" i="28" s="1"/>
  <c r="K18" i="5"/>
  <c r="B288" i="28"/>
  <c r="K288" i="28" s="1"/>
  <c r="K17" i="5"/>
  <c r="B287" i="28"/>
  <c r="K287" i="28" s="1"/>
  <c r="K16" i="5"/>
  <c r="B285" i="28"/>
  <c r="K285" i="28" s="1"/>
  <c r="K15" i="5"/>
  <c r="B283" i="28"/>
  <c r="K283" i="28" s="1"/>
  <c r="K14" i="5"/>
  <c r="B281" i="28"/>
  <c r="K281" i="28" s="1"/>
  <c r="K13" i="5"/>
  <c r="B279" i="28"/>
  <c r="K279" i="28" s="1"/>
  <c r="K12" i="5"/>
  <c r="B277" i="28"/>
  <c r="K277" i="28" s="1"/>
  <c r="K11" i="5"/>
  <c r="B275" i="28"/>
  <c r="K275" i="28" s="1"/>
  <c r="K10" i="5"/>
  <c r="B273" i="28"/>
  <c r="K273" i="28" s="1"/>
  <c r="K9" i="5"/>
  <c r="B271" i="28"/>
  <c r="K271" i="28" s="1"/>
  <c r="K8" i="5"/>
  <c r="B269" i="28"/>
  <c r="K269" i="28" s="1"/>
  <c r="K7" i="5"/>
  <c r="B267" i="28"/>
  <c r="K267" i="28" s="1"/>
  <c r="C263" i="28"/>
  <c r="C266" i="28"/>
  <c r="C265" i="28"/>
  <c r="C286" i="28"/>
  <c r="C284" i="28"/>
  <c r="C282" i="28"/>
  <c r="C280" i="28"/>
  <c r="C278" i="28"/>
  <c r="C276" i="28"/>
  <c r="C274" i="28"/>
  <c r="C272" i="28"/>
  <c r="C270" i="28"/>
  <c r="C268" i="28"/>
  <c r="T5" i="5"/>
  <c r="B263" i="28"/>
  <c r="K263" i="28" s="1"/>
  <c r="T6" i="5"/>
  <c r="B266" i="28"/>
  <c r="K266" i="28" s="1"/>
  <c r="Q6" i="5"/>
  <c r="B265" i="28"/>
  <c r="K265" i="28" s="1"/>
  <c r="Q16" i="5"/>
  <c r="B286" i="28"/>
  <c r="K286" i="28" s="1"/>
  <c r="Q15" i="5"/>
  <c r="B284" i="28"/>
  <c r="K284" i="28" s="1"/>
  <c r="Q14" i="5"/>
  <c r="B282" i="28"/>
  <c r="K282" i="28" s="1"/>
  <c r="Q13" i="5"/>
  <c r="B280" i="28"/>
  <c r="K280" i="28" s="1"/>
  <c r="Q12" i="5"/>
  <c r="B278" i="28"/>
  <c r="K278" i="28" s="1"/>
  <c r="Q11" i="5"/>
  <c r="B276" i="28"/>
  <c r="K276" i="28" s="1"/>
  <c r="Q10" i="5"/>
  <c r="B274" i="28"/>
  <c r="K274" i="28" s="1"/>
  <c r="Q9" i="5"/>
  <c r="B272" i="28"/>
  <c r="K272" i="28" s="1"/>
  <c r="Q8" i="5"/>
  <c r="B270" i="28"/>
  <c r="K270" i="28" s="1"/>
  <c r="Q7" i="5"/>
  <c r="B268" i="28"/>
  <c r="K268" i="28" s="1"/>
  <c r="C289" i="28"/>
  <c r="C291" i="28"/>
  <c r="C294" i="28"/>
  <c r="C296" i="28"/>
  <c r="C300" i="28"/>
  <c r="C302" i="28"/>
  <c r="C304" i="28"/>
  <c r="C306" i="28"/>
  <c r="C60" i="29"/>
  <c r="C309" i="28"/>
  <c r="C61" i="29"/>
  <c r="C312" i="28"/>
  <c r="Q28" i="5"/>
  <c r="B289" i="28"/>
  <c r="K289" i="28" s="1"/>
  <c r="Q37" i="5"/>
  <c r="B61" i="29"/>
  <c r="B312" i="28"/>
  <c r="K312" i="28" s="1"/>
  <c r="Q36" i="5"/>
  <c r="B60" i="29"/>
  <c r="B309" i="28"/>
  <c r="K309" i="28" s="1"/>
  <c r="Q35" i="5"/>
  <c r="B306" i="28"/>
  <c r="K306" i="28" s="1"/>
  <c r="Q34" i="5"/>
  <c r="B304" i="28"/>
  <c r="K304" i="28" s="1"/>
  <c r="Q33" i="5"/>
  <c r="B302" i="28"/>
  <c r="K302" i="28" s="1"/>
  <c r="Q32" i="5"/>
  <c r="B300" i="28"/>
  <c r="K300" i="28" s="1"/>
  <c r="Q31" i="5"/>
  <c r="B296" i="28"/>
  <c r="K296" i="28" s="1"/>
  <c r="Q30" i="5"/>
  <c r="B294" i="28"/>
  <c r="K294" i="28" s="1"/>
  <c r="Q29" i="5"/>
  <c r="B291" i="28"/>
  <c r="K291" i="28" s="1"/>
  <c r="C290" i="28"/>
  <c r="C293" i="28"/>
  <c r="C298" i="28"/>
  <c r="C301" i="28"/>
  <c r="C313" i="28"/>
  <c r="C305" i="28"/>
  <c r="C307" i="28"/>
  <c r="C310" i="28"/>
  <c r="C303" i="28"/>
  <c r="C315" i="28"/>
  <c r="P28" i="5"/>
  <c r="B290" i="28"/>
  <c r="K290" i="28" s="1"/>
  <c r="P29" i="5"/>
  <c r="B293" i="28"/>
  <c r="K293" i="28" s="1"/>
  <c r="P31" i="5"/>
  <c r="B298" i="28"/>
  <c r="K298" i="28" s="1"/>
  <c r="P38" i="5"/>
  <c r="B315" i="28"/>
  <c r="K315" i="28" s="1"/>
  <c r="P37" i="5"/>
  <c r="B303" i="28"/>
  <c r="K303" i="28" s="1"/>
  <c r="P36" i="5"/>
  <c r="B310" i="28"/>
  <c r="K310" i="28" s="1"/>
  <c r="P35" i="5"/>
  <c r="B307" i="28"/>
  <c r="K307" i="28" s="1"/>
  <c r="P34" i="5"/>
  <c r="B305" i="28"/>
  <c r="K305" i="28" s="1"/>
  <c r="P33" i="5"/>
  <c r="B313" i="28"/>
  <c r="K313" i="28" s="1"/>
  <c r="P32" i="5"/>
  <c r="B301" i="28"/>
  <c r="K301" i="28" s="1"/>
  <c r="C292" i="28"/>
  <c r="C295" i="28"/>
  <c r="C297" i="28"/>
  <c r="C299" i="28"/>
  <c r="C308" i="28"/>
  <c r="C311" i="28"/>
  <c r="C314" i="28"/>
  <c r="C316" i="28"/>
  <c r="E303" i="28"/>
  <c r="E290" i="28"/>
  <c r="G416" i="28"/>
  <c r="G415" i="28"/>
  <c r="E311" i="28"/>
  <c r="E308" i="28"/>
  <c r="G292" i="28"/>
  <c r="G310" i="28"/>
  <c r="G307" i="28"/>
  <c r="E61" i="29"/>
  <c r="E312" i="28"/>
  <c r="E304" i="28"/>
  <c r="E300" i="28"/>
  <c r="E283" i="28"/>
  <c r="E281" i="28"/>
  <c r="E60" i="29"/>
  <c r="E309" i="28"/>
  <c r="G289" i="28"/>
  <c r="G301" i="28"/>
  <c r="G315" i="28"/>
  <c r="E397" i="28"/>
  <c r="E393" i="28"/>
  <c r="G396" i="28"/>
  <c r="G394" i="28"/>
  <c r="E378" i="28"/>
  <c r="E376" i="28"/>
  <c r="G386" i="28"/>
  <c r="E389" i="28"/>
  <c r="G398" i="28"/>
  <c r="G395" i="28"/>
  <c r="G516" i="28"/>
  <c r="G518" i="28"/>
  <c r="G522" i="28"/>
  <c r="G521" i="28"/>
  <c r="E510" i="28"/>
  <c r="G512" i="28"/>
  <c r="G101" i="29"/>
  <c r="G524" i="28"/>
  <c r="G100" i="29"/>
  <c r="G523" i="28"/>
  <c r="G520" i="28"/>
  <c r="G519" i="28"/>
  <c r="G517" i="28"/>
  <c r="E514" i="28"/>
  <c r="E504" i="28"/>
  <c r="E503" i="28"/>
  <c r="G358" i="28"/>
  <c r="E355" i="28"/>
  <c r="G354" i="28"/>
  <c r="E352" i="28"/>
  <c r="G348" i="28"/>
  <c r="E330" i="28"/>
  <c r="E328" i="28"/>
  <c r="G342" i="28"/>
  <c r="G347" i="28"/>
  <c r="G337" i="28"/>
  <c r="G437" i="28"/>
  <c r="E437" i="28"/>
  <c r="G435" i="28"/>
  <c r="E435" i="28"/>
  <c r="G436" i="28"/>
  <c r="E416" i="28"/>
  <c r="E415" i="28"/>
  <c r="G427" i="28"/>
  <c r="G429" i="28"/>
  <c r="G423" i="28"/>
  <c r="G424" i="28"/>
  <c r="G374" i="28"/>
  <c r="G372" i="28"/>
  <c r="G547" i="28"/>
  <c r="G545" i="28"/>
  <c r="G540" i="28"/>
  <c r="G538" i="28"/>
  <c r="G498" i="28"/>
  <c r="G497" i="28"/>
  <c r="G274" i="28"/>
  <c r="G272" i="28"/>
  <c r="G397" i="28"/>
  <c r="G393" i="28"/>
  <c r="E396" i="28"/>
  <c r="E394" i="28"/>
  <c r="G387" i="28"/>
  <c r="E374" i="28"/>
  <c r="E372" i="28"/>
  <c r="G385" i="28"/>
  <c r="G381" i="28"/>
  <c r="G390" i="28"/>
  <c r="E580" i="28"/>
  <c r="E578" i="28"/>
  <c r="E579" i="28"/>
  <c r="E577" i="28"/>
  <c r="E570" i="28"/>
  <c r="E565" i="28"/>
  <c r="E547" i="28"/>
  <c r="E545" i="28"/>
  <c r="G559" i="28"/>
  <c r="G566" i="28"/>
  <c r="G558" i="28"/>
  <c r="E539" i="28"/>
  <c r="E537" i="28"/>
  <c r="E516" i="28"/>
  <c r="E518" i="28"/>
  <c r="E522" i="28"/>
  <c r="E521" i="28"/>
  <c r="G509" i="28"/>
  <c r="E511" i="28"/>
  <c r="E101" i="29"/>
  <c r="E524" i="28"/>
  <c r="E100" i="29"/>
  <c r="E523" i="28"/>
  <c r="E520" i="28"/>
  <c r="E519" i="28"/>
  <c r="E515" i="28"/>
  <c r="G513" i="28"/>
  <c r="E498" i="28"/>
  <c r="E497" i="28"/>
  <c r="G580" i="28"/>
  <c r="G578" i="28"/>
  <c r="E571" i="28"/>
  <c r="E568" i="28"/>
  <c r="G570" i="28"/>
  <c r="G565" i="28"/>
  <c r="G539" i="28"/>
  <c r="G537" i="28"/>
  <c r="G106" i="29"/>
  <c r="G573" i="28"/>
  <c r="G105" i="29"/>
  <c r="G576" i="28"/>
  <c r="G556" i="28"/>
  <c r="G569" i="28"/>
  <c r="G561" i="28"/>
  <c r="G554" i="28"/>
  <c r="E575" i="28"/>
  <c r="E572" i="28"/>
  <c r="G579" i="28"/>
  <c r="G577" i="28"/>
  <c r="G571" i="28"/>
  <c r="G568" i="28"/>
  <c r="E105" i="29"/>
  <c r="E576" i="28"/>
  <c r="E567" i="28"/>
  <c r="E563" i="28"/>
  <c r="E540" i="28"/>
  <c r="E538" i="28"/>
  <c r="E106" i="29"/>
  <c r="E573" i="28"/>
  <c r="G557" i="28"/>
  <c r="G553" i="28"/>
  <c r="G562" i="28"/>
  <c r="G552" i="28"/>
  <c r="E316" i="28"/>
  <c r="E314" i="28"/>
  <c r="G297" i="28"/>
  <c r="E310" i="28"/>
  <c r="E307" i="28"/>
  <c r="E306" i="28"/>
  <c r="E302" i="28"/>
  <c r="G294" i="28"/>
  <c r="E274" i="28"/>
  <c r="E272" i="28"/>
  <c r="G61" i="29"/>
  <c r="G312" i="28"/>
  <c r="G60" i="29"/>
  <c r="G309" i="28"/>
  <c r="G298" i="28"/>
  <c r="G313" i="28"/>
  <c r="AA43" i="5"/>
  <c r="W43" i="5"/>
  <c r="X21" i="5"/>
  <c r="W21" i="5"/>
  <c r="Y21" i="5"/>
  <c r="AE43" i="5"/>
  <c r="AH21" i="5"/>
  <c r="X43" i="5"/>
  <c r="AH43" i="5"/>
  <c r="Y43" i="5"/>
  <c r="AC21" i="5"/>
  <c r="AC43" i="5"/>
  <c r="AB21" i="5"/>
  <c r="AB43" i="5"/>
  <c r="AD43" i="5"/>
  <c r="AA21" i="5"/>
  <c r="AE21" i="5"/>
  <c r="AD21" i="5"/>
  <c r="M43" i="5"/>
  <c r="L43" i="5"/>
  <c r="M21" i="5"/>
  <c r="L21" i="5"/>
  <c r="H43" i="5"/>
  <c r="P43" i="5"/>
  <c r="Q43" i="5"/>
  <c r="T21" i="5"/>
  <c r="Q21" i="5"/>
  <c r="K21" i="5"/>
  <c r="N43" i="5"/>
  <c r="N21" i="5"/>
  <c r="J43" i="5"/>
  <c r="H21" i="5"/>
  <c r="I21" i="5"/>
  <c r="G43" i="5"/>
  <c r="G21" i="5"/>
  <c r="D43" i="5"/>
  <c r="C21" i="5"/>
  <c r="C43" i="5"/>
  <c r="D21" i="5"/>
  <c r="B43" i="5"/>
  <c r="B21" i="5"/>
  <c r="E84" i="10"/>
  <c r="G79" i="10"/>
  <c r="E54" i="18"/>
  <c r="E53" i="18"/>
  <c r="G54" i="18"/>
  <c r="G32" i="18"/>
  <c r="G64" i="19"/>
  <c r="E79" i="23"/>
  <c r="G51" i="17"/>
  <c r="E51" i="17"/>
  <c r="E52" i="17"/>
  <c r="G33" i="17"/>
  <c r="G68" i="16"/>
  <c r="G67" i="16"/>
  <c r="G75" i="10"/>
  <c r="G65" i="10"/>
  <c r="E86" i="10"/>
  <c r="G84" i="10"/>
  <c r="G55" i="10"/>
  <c r="I19" i="10"/>
  <c r="H19" i="10"/>
  <c r="G60" i="10"/>
  <c r="G76" i="10"/>
  <c r="I17" i="10"/>
  <c r="G73" i="10"/>
  <c r="E82" i="10"/>
  <c r="G62" i="10"/>
  <c r="G64" i="10"/>
  <c r="G63" i="10"/>
  <c r="H20" i="10"/>
  <c r="H17" i="10"/>
  <c r="E77" i="10"/>
  <c r="G83" i="10"/>
  <c r="E83" i="10"/>
  <c r="E75" i="10"/>
  <c r="G86" i="10"/>
  <c r="G79" i="23" l="1"/>
  <c r="G75" i="23"/>
  <c r="G250" i="31"/>
  <c r="G228" i="30"/>
  <c r="G373" i="31"/>
  <c r="G375" i="30"/>
  <c r="E542" i="31"/>
  <c r="E578" i="30"/>
  <c r="E409" i="31"/>
  <c r="E168" i="30"/>
  <c r="E347" i="28"/>
  <c r="E385" i="31"/>
  <c r="E167" i="30"/>
  <c r="E345" i="28"/>
  <c r="G397" i="31"/>
  <c r="G306" i="30"/>
  <c r="G337" i="31"/>
  <c r="G286" i="30"/>
  <c r="E349" i="31"/>
  <c r="E374" i="30"/>
  <c r="E373" i="31"/>
  <c r="E375" i="30"/>
  <c r="G269" i="31"/>
  <c r="G162" i="30"/>
  <c r="G385" i="31"/>
  <c r="G167" i="30"/>
  <c r="G293" i="28"/>
  <c r="E390" i="28"/>
  <c r="E391" i="28"/>
  <c r="G339" i="28"/>
  <c r="G345" i="28"/>
  <c r="G431" i="28"/>
  <c r="G380" i="28"/>
  <c r="G391" i="28"/>
  <c r="E574" i="28"/>
  <c r="G290" i="28"/>
  <c r="AJ43" i="5"/>
  <c r="AJ21" i="5"/>
  <c r="E293" i="4"/>
  <c r="D293" i="4"/>
  <c r="E292" i="4"/>
  <c r="D292" i="4"/>
  <c r="J289" i="4"/>
  <c r="I289" i="4"/>
  <c r="G289" i="4"/>
  <c r="F289" i="4"/>
  <c r="E289" i="4"/>
  <c r="D289" i="4"/>
  <c r="J288" i="4"/>
  <c r="I288" i="4"/>
  <c r="H288" i="4"/>
  <c r="G288" i="4"/>
  <c r="E288" i="4"/>
  <c r="H287" i="4"/>
  <c r="G440" i="31" l="1"/>
  <c r="G574" i="30"/>
  <c r="G564" i="28"/>
  <c r="G542" i="31"/>
  <c r="G578" i="30"/>
  <c r="G574" i="28"/>
  <c r="AJ46" i="5"/>
  <c r="B322" i="4"/>
  <c r="F314" i="4"/>
  <c r="F320" i="4" l="1"/>
  <c r="F319" i="4"/>
  <c r="F318" i="4"/>
  <c r="F317" i="4"/>
  <c r="F316" i="4"/>
  <c r="F315" i="4"/>
  <c r="F313" i="4"/>
  <c r="F312" i="4"/>
  <c r="F311" i="4"/>
  <c r="F310" i="4"/>
  <c r="F309" i="4"/>
  <c r="F308" i="4"/>
  <c r="F307" i="4"/>
  <c r="F306" i="4"/>
  <c r="F305" i="4"/>
  <c r="F304" i="4"/>
  <c r="F303" i="4"/>
  <c r="F322" i="4" l="1"/>
</calcChain>
</file>

<file path=xl/sharedStrings.xml><?xml version="1.0" encoding="utf-8"?>
<sst xmlns="http://schemas.openxmlformats.org/spreadsheetml/2006/main" count="6556" uniqueCount="2442">
  <si>
    <t>RECORD</t>
  </si>
  <si>
    <t>CLUB</t>
  </si>
  <si>
    <t>CLUB#</t>
  </si>
  <si>
    <t>CONTACT</t>
  </si>
  <si>
    <t>CONTACT USWP#</t>
  </si>
  <si>
    <t>CELL</t>
  </si>
  <si>
    <t>EMAIL</t>
  </si>
  <si>
    <t>TEAM</t>
  </si>
  <si>
    <t>TEAM CONTACT</t>
  </si>
  <si>
    <t>DIV</t>
  </si>
  <si>
    <t>DUE</t>
  </si>
  <si>
    <t>COMMENTS</t>
  </si>
  <si>
    <t>Capital</t>
  </si>
  <si>
    <t>miras jelic</t>
  </si>
  <si>
    <t>mirkesu@yahoo.com</t>
  </si>
  <si>
    <t>miras jelic 804 2181512</t>
  </si>
  <si>
    <t>16U BOYS PLATINUM</t>
  </si>
  <si>
    <t>14U BOYS SILVER</t>
  </si>
  <si>
    <t>Shadow Water Polo Club</t>
  </si>
  <si>
    <t>Canadian</t>
  </si>
  <si>
    <t>Moataz Salem</t>
  </si>
  <si>
    <t>shadowboyswp@gmail.com</t>
  </si>
  <si>
    <t>Shadow Men</t>
  </si>
  <si>
    <t>Moataz Salem 416-990-9913</t>
  </si>
  <si>
    <t>19U BOYS PLATINUM</t>
  </si>
  <si>
    <t>Shadow water Polo 19U Men Team is a Canadian Team,</t>
  </si>
  <si>
    <t>St. Louis Area Polo (SLAP)</t>
  </si>
  <si>
    <t>Miguel Figueras</t>
  </si>
  <si>
    <t>eiznof@gmail.com</t>
  </si>
  <si>
    <t>Miguel Figueras 515-371-3146</t>
  </si>
  <si>
    <t>16U BOYS GOLD</t>
  </si>
  <si>
    <t>Per Brad's ok, we will have 4 players on the roster who will still be 16 at the time of the tournament but will turn 17 prior to August 1st, 2026</t>
  </si>
  <si>
    <t>Davis Water Polo Club</t>
  </si>
  <si>
    <t>Carolyn Walker</t>
  </si>
  <si>
    <t>Carolynkwalker@gmail.com</t>
  </si>
  <si>
    <t>Davis 10U Mix</t>
  </si>
  <si>
    <t>Ashley Macedo - 805-618-6788</t>
  </si>
  <si>
    <t>10U COED GOLD</t>
  </si>
  <si>
    <t>Davis 12U Girls</t>
  </si>
  <si>
    <t>Carolyn Walker 925-708-3783</t>
  </si>
  <si>
    <t>12U GIRLS PLATINUM</t>
  </si>
  <si>
    <t>Davis 12U Boys</t>
  </si>
  <si>
    <t>Scott Strong 916 -765-1792</t>
  </si>
  <si>
    <t>12U BOYS PLATINUM</t>
  </si>
  <si>
    <t>14U Girls</t>
  </si>
  <si>
    <t>Mary Rhodes 805-588-5002</t>
  </si>
  <si>
    <t>14U GIRLS PLATINUM</t>
  </si>
  <si>
    <t>14U Boys</t>
  </si>
  <si>
    <t>Nick Alden 408-821-9539</t>
  </si>
  <si>
    <t>14U BOYS GOLD</t>
  </si>
  <si>
    <t>Davis 16U Blue</t>
  </si>
  <si>
    <t>Tracy Stapleton - 530-400-2167</t>
  </si>
  <si>
    <t>Davis 16U White</t>
  </si>
  <si>
    <t>16U BOYS SILVER</t>
  </si>
  <si>
    <t>Triton Aquatics</t>
  </si>
  <si>
    <t>Alex Lazzereschi</t>
  </si>
  <si>
    <t>925.596.4746</t>
  </si>
  <si>
    <t>alex@tritonaquatics.org</t>
  </si>
  <si>
    <t>Gold</t>
  </si>
  <si>
    <t>Alex Lazzereschi - 925.596.4746</t>
  </si>
  <si>
    <t>Stanford</t>
  </si>
  <si>
    <t>Emily Stiling</t>
  </si>
  <si>
    <t>estiling@stanfordwpc.com</t>
  </si>
  <si>
    <t>10u Stanford Red</t>
  </si>
  <si>
    <t>Emily Stiling (559-346-8971)</t>
  </si>
  <si>
    <t>10U BOYS</t>
  </si>
  <si>
    <t>10u - 1 team 12u - 3 teams 14u - 2 teams We will be submitting 1x more 14u team + 2x 16u teams</t>
  </si>
  <si>
    <t>12u Stanford Red</t>
  </si>
  <si>
    <t>12u Stanford Black</t>
  </si>
  <si>
    <t>12U BOYS GOLD</t>
  </si>
  <si>
    <t>12u Stanford White</t>
  </si>
  <si>
    <t>14u Stanford Red</t>
  </si>
  <si>
    <t>14U BOYS PLATINUM</t>
  </si>
  <si>
    <t>14u Stanford Black</t>
  </si>
  <si>
    <t>13's Stanford</t>
  </si>
  <si>
    <t>Emily Stiling (55)3468971</t>
  </si>
  <si>
    <t>16u Black Stanford</t>
  </si>
  <si>
    <t>16u White Stanford</t>
  </si>
  <si>
    <t>Mid-Pen WPC</t>
  </si>
  <si>
    <t>Steven Canalez</t>
  </si>
  <si>
    <t>(408) 616-9628</t>
  </si>
  <si>
    <t>steven.canalez@gmail.com</t>
  </si>
  <si>
    <t>Mid-Pen 18U</t>
  </si>
  <si>
    <t>Bruno Antonino [Cell: (650) 713-1670]</t>
  </si>
  <si>
    <t>19U BOYS GOLD</t>
  </si>
  <si>
    <t>Mid-Pen 16U</t>
  </si>
  <si>
    <t>Steven Canalez [Cell: (408) 616-9628]</t>
  </si>
  <si>
    <t>Honolulu Water Polo</t>
  </si>
  <si>
    <t>Kale Ai</t>
  </si>
  <si>
    <t>kaleai@hnlwaterpolo.org</t>
  </si>
  <si>
    <t>HNLWP Blue</t>
  </si>
  <si>
    <t>Kale Ai 8082306053</t>
  </si>
  <si>
    <t>We are flying back to honolulu on Sunday 02/01/26 at 4:30pm from LAX. Kindly requesting our games finish by 1:00pm so we can safely make it to the airport on time.</t>
  </si>
  <si>
    <t>HNLWP Green</t>
  </si>
  <si>
    <t>HNLWP</t>
  </si>
  <si>
    <t>14U GIRLS GOLD</t>
  </si>
  <si>
    <t>Pacific Valley Premier</t>
  </si>
  <si>
    <t>Eve Okamura</t>
  </si>
  <si>
    <t>eveeokamura@gmail.com</t>
  </si>
  <si>
    <t>HIGH SCHOOL GIRLS</t>
  </si>
  <si>
    <t>California Republic</t>
  </si>
  <si>
    <t>Tyson Frenn</t>
  </si>
  <si>
    <t>calrepublicwpc@gmail.com</t>
  </si>
  <si>
    <t>Cal Republic</t>
  </si>
  <si>
    <t>Damien Lawrence 209-406-6854</t>
  </si>
  <si>
    <t>CT Premier WPC</t>
  </si>
  <si>
    <t>Scott Schulte</t>
  </si>
  <si>
    <t>917-562-9610</t>
  </si>
  <si>
    <t>admin@ctpremierwpc.com</t>
  </si>
  <si>
    <t>CT Premier WPC 16U</t>
  </si>
  <si>
    <t>Gabriel Maldonado 203-543-8925</t>
  </si>
  <si>
    <t>We are not sure if we want to enter our 18U team in the Platinum or Gold division, we are still deciding.</t>
  </si>
  <si>
    <t>CT Premier WPC 14U</t>
  </si>
  <si>
    <t>Valentin Horvath 929-610-3725</t>
  </si>
  <si>
    <t>CT Premier WPC 18U</t>
  </si>
  <si>
    <t>Scott Schulte 917-562-9610</t>
  </si>
  <si>
    <t>Yolo Polo</t>
  </si>
  <si>
    <t>Kevin Friedman</t>
  </si>
  <si>
    <t>415.871.6328</t>
  </si>
  <si>
    <t>Kevin@YoloPolo.org</t>
  </si>
  <si>
    <t>Yolo 10u Mixed Black</t>
  </si>
  <si>
    <t>Kevin Friedman 415.871.6328</t>
  </si>
  <si>
    <t>10U COED PLATINUM</t>
  </si>
  <si>
    <t>Please share the DRAFT schedule / matchups. This will be the first travel tournament for a number of our families and we hope to have reasonable matchups in the appropriate flights. Last year, we did not receive a notification that there was a new</t>
  </si>
  <si>
    <t>Yolo 10u Mixed Yellow</t>
  </si>
  <si>
    <t>Trevor Rose 530.400.3128</t>
  </si>
  <si>
    <t>Yolo 12u Mixed Black</t>
  </si>
  <si>
    <t>Katie Walsh 510.406.1970</t>
  </si>
  <si>
    <t>12U COED</t>
  </si>
  <si>
    <t>American River Water Polo Club</t>
  </si>
  <si>
    <t>Zachary Koerner</t>
  </si>
  <si>
    <t>zackoerner@gmail.com</t>
  </si>
  <si>
    <t>18 Blue</t>
  </si>
  <si>
    <t>Zachary Koerner (916)812-8242</t>
  </si>
  <si>
    <t>18 Gold</t>
  </si>
  <si>
    <t>Josh Ford 559-303-5400</t>
  </si>
  <si>
    <t>16 Blue</t>
  </si>
  <si>
    <t>Caleb Robertson 530-391-9463</t>
  </si>
  <si>
    <t>16 Gold</t>
  </si>
  <si>
    <t>Jake Bowers 916-597-3722</t>
  </si>
  <si>
    <t>14 Gold</t>
  </si>
  <si>
    <t>Ernesto Arias (707)718-1780</t>
  </si>
  <si>
    <t>14 Blue</t>
  </si>
  <si>
    <t>Rachel Ruano 916-730-9653</t>
  </si>
  <si>
    <t>12U Blue</t>
  </si>
  <si>
    <t>Logan Reilly (916)547-3555</t>
  </si>
  <si>
    <t>Berkeley WPC</t>
  </si>
  <si>
    <t>Ryan Feaver</t>
  </si>
  <si>
    <t>rfeaver@yahoo.com</t>
  </si>
  <si>
    <t>Ryan Feaver 925-786-5418</t>
  </si>
  <si>
    <t>WCAC United</t>
  </si>
  <si>
    <t>Mike K</t>
  </si>
  <si>
    <t>waterpolo@wcacswim.org</t>
  </si>
  <si>
    <t>WCAC United 18U</t>
  </si>
  <si>
    <t>Bobby Halligan, 610-533-9910</t>
  </si>
  <si>
    <t>Our 16U is a 16U / 14U mix who is looking forward to the experience of going out west but would definitely be best served by a lower flight if possible.</t>
  </si>
  <si>
    <t>WCAC United 16U</t>
  </si>
  <si>
    <t>PRIDE</t>
  </si>
  <si>
    <t>SERELA KAY</t>
  </si>
  <si>
    <t>805-450-3368</t>
  </si>
  <si>
    <t>serelakay@gmail.com</t>
  </si>
  <si>
    <t>PRIDE BLACK</t>
  </si>
  <si>
    <t>Ben Brown 619-245-8037</t>
  </si>
  <si>
    <t>PRIDE RED</t>
  </si>
  <si>
    <t>CC United</t>
  </si>
  <si>
    <t>Kirk L Jensen</t>
  </si>
  <si>
    <t>925-286 1081</t>
  </si>
  <si>
    <t>ccupolo@gmail.com</t>
  </si>
  <si>
    <t>CC United Black</t>
  </si>
  <si>
    <t>Brodie Jasper 510-708-2463</t>
  </si>
  <si>
    <t>Tor Jensen 925-330-0967</t>
  </si>
  <si>
    <t>Nick Jordan 916-225-9128</t>
  </si>
  <si>
    <t>Andrew Churukian 650-274-1594</t>
  </si>
  <si>
    <t>Annika Jensen 925-323-8915</t>
  </si>
  <si>
    <t>CC United Blue</t>
  </si>
  <si>
    <t>Casey Hammond 925-822-2559</t>
  </si>
  <si>
    <t>CC United Black - "A" team Blue- "B" team White-"C" team</t>
  </si>
  <si>
    <t>Andrew churukian 650-274-1594</t>
  </si>
  <si>
    <t>CC United White</t>
  </si>
  <si>
    <t>Rogue 619</t>
  </si>
  <si>
    <t>Zac Reiff</t>
  </si>
  <si>
    <t>zreiff@hotmail.com</t>
  </si>
  <si>
    <t>Rogue 619 14U Girls</t>
  </si>
  <si>
    <t>Zac Reiff 6198408120</t>
  </si>
  <si>
    <t>Late day one game would be appreciated for travel from Imperial Beach.</t>
  </si>
  <si>
    <t>Big Valley Water Polo Academy</t>
  </si>
  <si>
    <t>Jeff Hoornaert</t>
  </si>
  <si>
    <t>hooey15@gmail.com</t>
  </si>
  <si>
    <t>Big Valley 19u</t>
  </si>
  <si>
    <t>Big Valley 16u</t>
  </si>
  <si>
    <t>Longhorn</t>
  </si>
  <si>
    <t>Jeff Green</t>
  </si>
  <si>
    <t>green.jeffrey.s@gmail.com</t>
  </si>
  <si>
    <t>Jeff Green 3108929915</t>
  </si>
  <si>
    <t>Farallon Aquatics</t>
  </si>
  <si>
    <t>Zac Monsees</t>
  </si>
  <si>
    <t>zmonsees@gmail.com</t>
  </si>
  <si>
    <t>Zac Monsees (408)747-7219</t>
  </si>
  <si>
    <t>Mission WPC</t>
  </si>
  <si>
    <t>Jon Barnea</t>
  </si>
  <si>
    <t>650-269-8445</t>
  </si>
  <si>
    <t>jbarnea@missionwpc.com</t>
  </si>
  <si>
    <t>Jon Barnea 650-269-8445</t>
  </si>
  <si>
    <t>No 7 am games. Thanks Nick!</t>
  </si>
  <si>
    <t>Jon Millers ‭(949) 395-2590‬</t>
  </si>
  <si>
    <t>Brett Luch (831) 236-2256‬</t>
  </si>
  <si>
    <t>Sean Kern (949) 307-6625‬</t>
  </si>
  <si>
    <t>Gold Coast WPC</t>
  </si>
  <si>
    <t>Mike Giles</t>
  </si>
  <si>
    <t>mdgilesaquatics@msn.com</t>
  </si>
  <si>
    <t>Gold Coast</t>
  </si>
  <si>
    <t>Michael Giles 805-807-1704</t>
  </si>
  <si>
    <t>Not sure if the 12u girls are actually platinum...</t>
  </si>
  <si>
    <t>San Jose Express</t>
  </si>
  <si>
    <t>Davor Koret</t>
  </si>
  <si>
    <t>sjexpressaquatics@gmail.com</t>
  </si>
  <si>
    <t>San Jose Express Blue</t>
  </si>
  <si>
    <t>Davor Koret, sjexpressaquatics@gmail.com, 40862791</t>
  </si>
  <si>
    <t>San Jose Express Gold</t>
  </si>
  <si>
    <t>19U BOYS SILVER</t>
  </si>
  <si>
    <t>SD East County Aquatics</t>
  </si>
  <si>
    <t>Clint McLaughlin</t>
  </si>
  <si>
    <t>619-985-7613</t>
  </si>
  <si>
    <t>Eastcountyaquatics@gmail.com</t>
  </si>
  <si>
    <t>SD ECA</t>
  </si>
  <si>
    <t>Preston Burke</t>
  </si>
  <si>
    <t>Clint McLaughlin - 619-985-7613</t>
  </si>
  <si>
    <t>14U GIRLS SILVER</t>
  </si>
  <si>
    <t>Dalton Collie</t>
  </si>
  <si>
    <t>925-286-1081</t>
  </si>
  <si>
    <t>CCU White- "C" team</t>
  </si>
  <si>
    <t>SHAQ</t>
  </si>
  <si>
    <t>matt swanson</t>
  </si>
  <si>
    <t>sleepyhollowaquatics@gmail.com</t>
  </si>
  <si>
    <t>SHAQ BLUE</t>
  </si>
  <si>
    <t>matt swanson - 416-680-8205</t>
  </si>
  <si>
    <t>SHAQ WHITE</t>
  </si>
  <si>
    <t>Asphalt Green</t>
  </si>
  <si>
    <t>mguerrerio@gmail.com</t>
  </si>
  <si>
    <t>mguerrerio@asphaltgreen.org</t>
  </si>
  <si>
    <t>AGWPC 16</t>
  </si>
  <si>
    <t>Ilija Duretic. 7186908211</t>
  </si>
  <si>
    <t>Northwest Water Polo Club</t>
  </si>
  <si>
    <t>Adam Jacobson</t>
  </si>
  <si>
    <t>adam@northwestwaterpoloclub.com</t>
  </si>
  <si>
    <t>Northwest</t>
  </si>
  <si>
    <t>Adam 2062348350</t>
  </si>
  <si>
    <t>matt swanson 415-680-8205</t>
  </si>
  <si>
    <t>680 Water Polo</t>
  </si>
  <si>
    <t>Mike Agostino</t>
  </si>
  <si>
    <t>mike.agostino77@gmail.com</t>
  </si>
  <si>
    <t>680 Red</t>
  </si>
  <si>
    <t>Mike Agostino, 925 408 4873</t>
  </si>
  <si>
    <t>For 10u "Blue" - can we put them in the Gold Division? 10u Boys "Red" should be in Platinum."</t>
  </si>
  <si>
    <t>10U GIRLS</t>
  </si>
  <si>
    <t>680 Blue</t>
  </si>
  <si>
    <t>680 White</t>
  </si>
  <si>
    <t>NORCAL</t>
  </si>
  <si>
    <t>Seth Tasman</t>
  </si>
  <si>
    <t>stasman8@gmail.com</t>
  </si>
  <si>
    <t>Seth Tasman - 407 304 7421</t>
  </si>
  <si>
    <t>Caleb Conroy - ‭(831) 234-1202‬</t>
  </si>
  <si>
    <t>South Coast Water Polo</t>
  </si>
  <si>
    <t>Matt Warshaw</t>
  </si>
  <si>
    <t>matt@southcoastaquatics.com</t>
  </si>
  <si>
    <t>South Coast 10U Red</t>
  </si>
  <si>
    <t>Ricky Mulcahey (818) 391-8563</t>
  </si>
  <si>
    <t>Short breaks in between games</t>
  </si>
  <si>
    <t>South Coast 12U Red</t>
  </si>
  <si>
    <t>South Coast 14U Red (A)</t>
  </si>
  <si>
    <t>Michael Potter, (818) 257-3091</t>
  </si>
  <si>
    <t>South Coast 14U White (B)</t>
  </si>
  <si>
    <t>Greg Olsen, (805) 990-3515</t>
  </si>
  <si>
    <t>South Coast 14U Blue (C)</t>
  </si>
  <si>
    <t>Samir Nahas, (805) 738-2320</t>
  </si>
  <si>
    <t>South Coast 16U Red (A)</t>
  </si>
  <si>
    <t>Xavier Volegnau, (805) 268-4213</t>
  </si>
  <si>
    <t>South Coast White (B) 16U</t>
  </si>
  <si>
    <t>Hayden Goldberg, (310) 903-1141</t>
  </si>
  <si>
    <t>Shortest possible breaks in between games.</t>
  </si>
  <si>
    <t>South Coast Red (A) 18U</t>
  </si>
  <si>
    <t>Chet Hardy, (805) 479-0057</t>
  </si>
  <si>
    <t>South Coast Red (A) 12U</t>
  </si>
  <si>
    <t>Kaitlin Gardhouse, (818) 584-4532</t>
  </si>
  <si>
    <t>South Coast Red (A) 14U</t>
  </si>
  <si>
    <t>Jason Rosenthal, (818) 370-7160</t>
  </si>
  <si>
    <t>Channel Islands United</t>
  </si>
  <si>
    <t>Mike Giles 805-807-1704</t>
  </si>
  <si>
    <t>Lamorinda Water Polo Club</t>
  </si>
  <si>
    <t>Christine McCracken</t>
  </si>
  <si>
    <t>925-963-3850</t>
  </si>
  <si>
    <t>cmccrackenlamorindawpc@gmail.com</t>
  </si>
  <si>
    <t>Lamorinda A</t>
  </si>
  <si>
    <t>Guy Baker 562-485-7305</t>
  </si>
  <si>
    <t>Lincoln Haley 925-323-1995</t>
  </si>
  <si>
    <t>Lamorinda B</t>
  </si>
  <si>
    <t>Max Murphy 925-212-6629</t>
  </si>
  <si>
    <t>Pat O'Brien 310-897-8914</t>
  </si>
  <si>
    <t>Lamorinda</t>
  </si>
  <si>
    <t>Matthew Ward 925-360-6647</t>
  </si>
  <si>
    <t>Riverside Water Polo</t>
  </si>
  <si>
    <t>Sarah Greenawalt</t>
  </si>
  <si>
    <t>riversidewp@gmail.com</t>
  </si>
  <si>
    <t>Zachary Lowery 817-455-9058, Kevin Rosa 951-201-26</t>
  </si>
  <si>
    <t>The team we are entering is a full team of 19u athletes from the CBU men's team.</t>
  </si>
  <si>
    <t>Mike Agostino - 925 408 4873</t>
  </si>
  <si>
    <t>Kevin Loscotoff - 916-206-7891</t>
  </si>
  <si>
    <t>Ali Hartley 415-948-1635 &amp; Tom Rector 415-300-6880</t>
  </si>
  <si>
    <t>Lamorinda C</t>
  </si>
  <si>
    <t>Tom Rector 415-300-6880 &amp; Ali Hartley 415-948-1635</t>
  </si>
  <si>
    <t>Lamorinda Blue (A)</t>
  </si>
  <si>
    <t>Cameron Jamison 925-695-5884</t>
  </si>
  <si>
    <t>Emily Heindel 925-286-1605</t>
  </si>
  <si>
    <t>Lamorinda Gold (B)</t>
  </si>
  <si>
    <t>Roger Darrin 925-726-9948</t>
  </si>
  <si>
    <t>LA City United Water Polo</t>
  </si>
  <si>
    <t>Alan</t>
  </si>
  <si>
    <t>alan.clemente@lacity.org</t>
  </si>
  <si>
    <t>LA City United Water polo</t>
  </si>
  <si>
    <t>Alan Clemente 323-236-1116</t>
  </si>
  <si>
    <t>We have 3 girls that we would like to be added the 14u boys.</t>
  </si>
  <si>
    <t>shore aquatics</t>
  </si>
  <si>
    <t>chi kredell</t>
  </si>
  <si>
    <t>chi kredell / 562-331-1114</t>
  </si>
  <si>
    <t>waterpolo@shoreaquatics.com</t>
  </si>
  <si>
    <t>zac polmanteer 562-852-5800</t>
  </si>
  <si>
    <t>chi kredell 562-331-1114</t>
  </si>
  <si>
    <t>Orange County Water Polo Club</t>
  </si>
  <si>
    <t>Petar Asic</t>
  </si>
  <si>
    <t>pasic04@gmail.com</t>
  </si>
  <si>
    <t>10U co-ed blue</t>
  </si>
  <si>
    <t>Petar Asic 949-939-3169</t>
  </si>
  <si>
    <t>10U co-ed red</t>
  </si>
  <si>
    <t>12U boys blue</t>
  </si>
  <si>
    <t>14U boys blue</t>
  </si>
  <si>
    <t>14U boys red</t>
  </si>
  <si>
    <t>18u boys blue</t>
  </si>
  <si>
    <t>Brea Olinda Aquatics (BOA)</t>
  </si>
  <si>
    <t>Steve Franks</t>
  </si>
  <si>
    <t>2bdee@msn.com</t>
  </si>
  <si>
    <t>BOA 16 White</t>
  </si>
  <si>
    <t>Damian Madrigal 7146206337</t>
  </si>
  <si>
    <t>BOA 16 Blue</t>
  </si>
  <si>
    <t>BOA 14</t>
  </si>
  <si>
    <t>Evan Anderson 415-254-1148</t>
  </si>
  <si>
    <t>Marin</t>
  </si>
  <si>
    <t>Andrew Morris</t>
  </si>
  <si>
    <t>aquaticsim@gmail.com</t>
  </si>
  <si>
    <t>Andrew Morris 415-320-6222</t>
  </si>
  <si>
    <t>12u team is a mixed team (2 girls). Is that ok?</t>
  </si>
  <si>
    <t>LAWPC</t>
  </si>
  <si>
    <t>Peggy McClintick</t>
  </si>
  <si>
    <t>818-282-3737</t>
  </si>
  <si>
    <t>peggymcc;\lintick@gmail.com</t>
  </si>
  <si>
    <t>Tico Carslade 310-925-5382</t>
  </si>
  <si>
    <t>Can we be done by 4 pm Saturday</t>
  </si>
  <si>
    <t>Vanguard Aquatics</t>
  </si>
  <si>
    <t>Djoko Radunovic</t>
  </si>
  <si>
    <t>radunovicdj@gmail.com</t>
  </si>
  <si>
    <t>Vanguard Blue</t>
  </si>
  <si>
    <t>Djoko Radunovic 562 225 0653</t>
  </si>
  <si>
    <t>Vanguard Silver</t>
  </si>
  <si>
    <t>Patriot</t>
  </si>
  <si>
    <t>Duje Grubsic</t>
  </si>
  <si>
    <t>kora.youngblood@patriotaquatics.org</t>
  </si>
  <si>
    <t>14u Navy</t>
  </si>
  <si>
    <t>Miles Wilson, 949-812-2586‬</t>
  </si>
  <si>
    <t>Please move our 10u White team to the SILVER division if one is created.</t>
  </si>
  <si>
    <t>14u Red</t>
  </si>
  <si>
    <t>10u Navy</t>
  </si>
  <si>
    <t>Tijmen Egtberts, 707-799-1148</t>
  </si>
  <si>
    <t>10u Red</t>
  </si>
  <si>
    <t>10u White</t>
  </si>
  <si>
    <t>LA Premier</t>
  </si>
  <si>
    <t>John Grover</t>
  </si>
  <si>
    <t>jackgrover2@gmail.com</t>
  </si>
  <si>
    <t>LA Premier 14u</t>
  </si>
  <si>
    <t>Mot Stothart 310-494-1045</t>
  </si>
  <si>
    <t>LA Premier 10u</t>
  </si>
  <si>
    <t>Logan Altieri 323-836-8973</t>
  </si>
  <si>
    <t>Sand Canyon WPC</t>
  </si>
  <si>
    <t>Hunter Starkey</t>
  </si>
  <si>
    <t>hunterstarkey15@yahoo.com</t>
  </si>
  <si>
    <t>Sand Canyon</t>
  </si>
  <si>
    <t>Hunter Starkey 9098313893</t>
  </si>
  <si>
    <t>La Jolla United</t>
  </si>
  <si>
    <t>Steve Horowitz</t>
  </si>
  <si>
    <t>steve@mybrandimpact.com</t>
  </si>
  <si>
    <t>La Jolla United 18 Navy</t>
  </si>
  <si>
    <t>Arman Momdzhyan</t>
  </si>
  <si>
    <t>La Jolla United 18 Gold</t>
  </si>
  <si>
    <t>La Jolla United 16 Navy</t>
  </si>
  <si>
    <t>La Jolla United 16 Gold</t>
  </si>
  <si>
    <t>La Jolla United 16 White</t>
  </si>
  <si>
    <t>La Jolla United 16 Silver</t>
  </si>
  <si>
    <t>San Mateo Aquatics Club</t>
  </si>
  <si>
    <t>Matthew Olujic</t>
  </si>
  <si>
    <t>sanmateoaquaticsclub@gmail.com</t>
  </si>
  <si>
    <t>San Mateo 12u</t>
  </si>
  <si>
    <t>Rowan Chapman, 6507879307</t>
  </si>
  <si>
    <t>Ohana WPA</t>
  </si>
  <si>
    <t>Ethan Hung</t>
  </si>
  <si>
    <t>info@ohanawpa.org</t>
  </si>
  <si>
    <t>Ohana</t>
  </si>
  <si>
    <t>Ethan Hung 7144678332</t>
  </si>
  <si>
    <t>ORWP</t>
  </si>
  <si>
    <t>David Arakelyan</t>
  </si>
  <si>
    <t>818-640-7522</t>
  </si>
  <si>
    <t>orwpclub@gmail.com</t>
  </si>
  <si>
    <t>ORWP A</t>
  </si>
  <si>
    <t>David Arakelyan 818-640-7522</t>
  </si>
  <si>
    <t>16u boys blue</t>
  </si>
  <si>
    <t>Poway Valley</t>
  </si>
  <si>
    <t>Dusty Tockstein</t>
  </si>
  <si>
    <t>BoysVP.PVWP@gmail.com</t>
  </si>
  <si>
    <t>PVWP 16u Black</t>
  </si>
  <si>
    <t>Austin Farkas 858.414.3066</t>
  </si>
  <si>
    <t>PVWP 18u Black</t>
  </si>
  <si>
    <t>PVWP 14y Black</t>
  </si>
  <si>
    <t>PVWP 12u Coed</t>
  </si>
  <si>
    <t>CMAC</t>
  </si>
  <si>
    <t>Jose De La Jara</t>
  </si>
  <si>
    <t>Jose@costamesaaquatics.org</t>
  </si>
  <si>
    <t>Cmac 16s</t>
  </si>
  <si>
    <t>jose@costamesaaquatics.org</t>
  </si>
  <si>
    <t>Santa Cruz</t>
  </si>
  <si>
    <t>Ryan chapatte</t>
  </si>
  <si>
    <t>ryan@santacruzwpc.com</t>
  </si>
  <si>
    <t>Santa Cruz Black</t>
  </si>
  <si>
    <t>Eric Byrd 2095348103</t>
  </si>
  <si>
    <t>Santa Cruz Blue</t>
  </si>
  <si>
    <t>Bella Bynes 8318183750</t>
  </si>
  <si>
    <t>Bruce Watson 8315665570</t>
  </si>
  <si>
    <t>Ryan chapatte 8312473770</t>
  </si>
  <si>
    <t>Orcutt Polo Association</t>
  </si>
  <si>
    <t>Matthew O Shippen</t>
  </si>
  <si>
    <t>matthew.shippen@outlook.com</t>
  </si>
  <si>
    <t>Opa</t>
  </si>
  <si>
    <t>Matthew O Shippen 8053451604</t>
  </si>
  <si>
    <t>12U girls blue</t>
  </si>
  <si>
    <t>Imperial Water Polo Club</t>
  </si>
  <si>
    <t>Pavle Filipovic</t>
  </si>
  <si>
    <t>714-504-2735</t>
  </si>
  <si>
    <t>pavle@imperialwaterpolo.com</t>
  </si>
  <si>
    <t>Imperial Blue</t>
  </si>
  <si>
    <t>Pavle Filipovic; 714-504-2735</t>
  </si>
  <si>
    <t>Imperial WPC</t>
  </si>
  <si>
    <t>Pavle Filipovic, 714-504-2735</t>
  </si>
  <si>
    <t>LA JOLLA UNITED</t>
  </si>
  <si>
    <t>619-886-7379</t>
  </si>
  <si>
    <t>assist@lajollaunited.com</t>
  </si>
  <si>
    <t>Steve Horowitz 619-886-7379</t>
  </si>
  <si>
    <t>LA JOLLA UNITED NAVY</t>
  </si>
  <si>
    <t>LA JOLLA UNITED GOLD</t>
  </si>
  <si>
    <t>Chargers WPC</t>
  </si>
  <si>
    <t>Mark Canner</t>
  </si>
  <si>
    <t>markcanner@aol.com</t>
  </si>
  <si>
    <t>18 boys Charger White</t>
  </si>
  <si>
    <t>Mark Canner (203)613-5191</t>
  </si>
  <si>
    <t>Please have our games on saturday early in the morning due to a winter formal.</t>
  </si>
  <si>
    <t>Jeremy Kish 415-602-0856</t>
  </si>
  <si>
    <t>Hieland Water Polo Club</t>
  </si>
  <si>
    <t>Mitch Carty</t>
  </si>
  <si>
    <t>mitchc@cifss.org</t>
  </si>
  <si>
    <t>Hieland 19UB</t>
  </si>
  <si>
    <t>Mitch Carty 562-858-1985</t>
  </si>
  <si>
    <t>Del Mar Water Polo Club</t>
  </si>
  <si>
    <t>Calvin R Lawrence</t>
  </si>
  <si>
    <t>coachcalvin@delmarwpc.com</t>
  </si>
  <si>
    <t>Del Mar 10U Blue</t>
  </si>
  <si>
    <t>Thalia Ormbsy, +1 (805) 453-9613</t>
  </si>
  <si>
    <t>Hieland 16UB</t>
  </si>
  <si>
    <t>Del Mar 10U White</t>
  </si>
  <si>
    <t>Connor Sharman, +1 (530) 305-5067</t>
  </si>
  <si>
    <t>Hieland 14UB</t>
  </si>
  <si>
    <t>James Wolff</t>
  </si>
  <si>
    <t>+1 (203) 722-6413</t>
  </si>
  <si>
    <t>jameswolff@ucsb.edu</t>
  </si>
  <si>
    <t>Channel Islands United 14U Gol</t>
  </si>
  <si>
    <t>Jamie Wolff +1 (203) 722-6413</t>
  </si>
  <si>
    <t>Saddleback El Toro</t>
  </si>
  <si>
    <t>Austin Hoff</t>
  </si>
  <si>
    <t>(949) 423-9147</t>
  </si>
  <si>
    <t>austinmhoff@yahoo.com</t>
  </si>
  <si>
    <t>SET</t>
  </si>
  <si>
    <t>Austin (949)423-9147</t>
  </si>
  <si>
    <t>14u will be COED. 12u Boys in Silver if available.</t>
  </si>
  <si>
    <t>Foothill Club Water Polo</t>
  </si>
  <si>
    <t>Dave Merryman</t>
  </si>
  <si>
    <t>info@foothillwaterpolo.com</t>
  </si>
  <si>
    <t>Foothill Red</t>
  </si>
  <si>
    <t>Dominic Vicino 909-732-1571</t>
  </si>
  <si>
    <t>Foothill Black</t>
  </si>
  <si>
    <t>William Thomas 925-257-3705</t>
  </si>
  <si>
    <t>Dillon Unsoeld 909-802-8639</t>
  </si>
  <si>
    <t>Jenna Main 562-237-6765</t>
  </si>
  <si>
    <t>Cody Lehotsky 909-600-8774</t>
  </si>
  <si>
    <t>Emilio Molina 909-329-9988</t>
  </si>
  <si>
    <t>San Clemente</t>
  </si>
  <si>
    <t>Christopher L Powell</t>
  </si>
  <si>
    <t>clpowell14@gmail.com</t>
  </si>
  <si>
    <t>San Clemente Red</t>
  </si>
  <si>
    <t>Christopher L Powell &amp; 9492281573</t>
  </si>
  <si>
    <t>10U San Clemente Boys Black and would like to be in a silver division of 10U Coed</t>
  </si>
  <si>
    <t>San Clemente Black</t>
  </si>
  <si>
    <t>Cmac 12s COED</t>
  </si>
  <si>
    <t>CMAC 12s Boys</t>
  </si>
  <si>
    <t>Trojan</t>
  </si>
  <si>
    <t>Healy</t>
  </si>
  <si>
    <t>erikhealy@mac.com</t>
  </si>
  <si>
    <t>Trojan Cardinal</t>
  </si>
  <si>
    <t>Trojan Gold</t>
  </si>
  <si>
    <t>310-529-9060</t>
  </si>
  <si>
    <t>Coronado aquatics club</t>
  </si>
  <si>
    <t>Jesse smith</t>
  </si>
  <si>
    <t>jesse 6193161919</t>
  </si>
  <si>
    <t>jessesmith@fastmail.fm</t>
  </si>
  <si>
    <t>Nado</t>
  </si>
  <si>
    <t>jesse smith 619 316 1919</t>
  </si>
  <si>
    <t>David Merryman</t>
  </si>
  <si>
    <t>Guillermo Ocasio +1 (949) 836-2804</t>
  </si>
  <si>
    <t>San Diego Shores</t>
  </si>
  <si>
    <t>Tim Reed</t>
  </si>
  <si>
    <t>858 888 2838</t>
  </si>
  <si>
    <t>shoresaquatics@gmail.com</t>
  </si>
  <si>
    <t>Shores Black</t>
  </si>
  <si>
    <t>Tim Reed 858 888 2838</t>
  </si>
  <si>
    <t>Supreme water polo</t>
  </si>
  <si>
    <t>Giorgi</t>
  </si>
  <si>
    <t>Supremewaterpolo@gmail.com</t>
  </si>
  <si>
    <t>Supreme</t>
  </si>
  <si>
    <t>CDM</t>
  </si>
  <si>
    <t>Marc Hunt</t>
  </si>
  <si>
    <t>polocoachhunt@gmail.com</t>
  </si>
  <si>
    <t>CDM Pink</t>
  </si>
  <si>
    <t>Marc Hunt 949-287-1242</t>
  </si>
  <si>
    <t>CDM Navy</t>
  </si>
  <si>
    <t>Marc Hunt - 949287-1242</t>
  </si>
  <si>
    <t>Back Bay</t>
  </si>
  <si>
    <t>Jesse Briggs</t>
  </si>
  <si>
    <t>Backbaywaterpolo@gmail.com</t>
  </si>
  <si>
    <t>Back Bay Navy</t>
  </si>
  <si>
    <t>Marc Hunt 949 287-1242</t>
  </si>
  <si>
    <t>Our 12 Boys would go to silver division if you have it.</t>
  </si>
  <si>
    <t>Jesse Briggs 949-872-0867</t>
  </si>
  <si>
    <t>Jesse Briggs - 949-872-0867</t>
  </si>
  <si>
    <t>Bobby Mcdonald 714-397-7653</t>
  </si>
  <si>
    <t>Justin Johnson</t>
  </si>
  <si>
    <t>jstnjhnsn1@gmail.com</t>
  </si>
  <si>
    <t>Justin Johnson 949 632 9362</t>
  </si>
  <si>
    <t>Mary McDonough</t>
  </si>
  <si>
    <t>marymac14@hotmail.com</t>
  </si>
  <si>
    <t>Channel Islands United 18 Teal</t>
  </si>
  <si>
    <t>Thomas S Davis</t>
  </si>
  <si>
    <t>Channel Islands United 16 Gold</t>
  </si>
  <si>
    <t>Channel Islands United 16 Blue</t>
  </si>
  <si>
    <t>Newport Beach Water Polo</t>
  </si>
  <si>
    <t>Michele Rankin</t>
  </si>
  <si>
    <t>admin@newportbeachwaterpolo.com</t>
  </si>
  <si>
    <t>NBWP</t>
  </si>
  <si>
    <t>Michele Rankin 9492755678</t>
  </si>
  <si>
    <t>I think we have credit from previous tournament that I entered duplicate teams. This is our 14U Girls B team</t>
  </si>
  <si>
    <t>Tim Outtrim 8319157500</t>
  </si>
  <si>
    <t>this is our 12U girls B team</t>
  </si>
  <si>
    <t>North Irvine WPC</t>
  </si>
  <si>
    <t>Edwin M Carrera</t>
  </si>
  <si>
    <t>ed3carrera@gmail.com</t>
  </si>
  <si>
    <t>North Irvine Black</t>
  </si>
  <si>
    <t>12U Girls Gold Division if possible</t>
  </si>
  <si>
    <t>North Irvine Red</t>
  </si>
  <si>
    <t>North Irvine</t>
  </si>
  <si>
    <t>Stanford Water Polo</t>
  </si>
  <si>
    <t>Cathy Cantoni</t>
  </si>
  <si>
    <t>cathy.cantoni@gmail.com</t>
  </si>
  <si>
    <t>Stanford 14u Girls</t>
  </si>
  <si>
    <t>Sydney Nash (650) 245-1902</t>
  </si>
  <si>
    <t>I realize this entry is coming late, so totally understand if we are not able to join. We'd love to join 14u Girls if there is space/availability!</t>
  </si>
  <si>
    <t>Clarke Tamariki 415-722-3356</t>
  </si>
  <si>
    <t>Route 66 Aquatics</t>
  </si>
  <si>
    <t>Brianna Zapata</t>
  </si>
  <si>
    <t>Bzapata@route66aquatics.com</t>
  </si>
  <si>
    <t>Brianna Zapata, 9096814958</t>
  </si>
  <si>
    <t>Mission Water Polo</t>
  </si>
  <si>
    <t>Brett Ormsby</t>
  </si>
  <si>
    <t>858-703-7324</t>
  </si>
  <si>
    <t>btormsby@gmail.com</t>
  </si>
  <si>
    <t>Misson WPC</t>
  </si>
  <si>
    <t>Brett Ormsby 858-703-7324</t>
  </si>
  <si>
    <t>18U BOYS GOLD</t>
  </si>
  <si>
    <t>Loyola Water Polo Club</t>
  </si>
  <si>
    <t>John Loughran</t>
  </si>
  <si>
    <t>loyolawaterpolo@loyolawaterpolo.com</t>
  </si>
  <si>
    <t>Loyola WPC</t>
  </si>
  <si>
    <t>David Carrasco 4243938958</t>
  </si>
  <si>
    <t>Devil's Gate Water Polo</t>
  </si>
  <si>
    <t>Armond Abramian</t>
  </si>
  <si>
    <t>armond@socalrecycling.com</t>
  </si>
  <si>
    <t>Devil's Gate 14 U Boys</t>
  </si>
  <si>
    <t>Armond Abramian 818-822-6162</t>
  </si>
  <si>
    <t>CC United Water Polo</t>
  </si>
  <si>
    <t>CCU Black</t>
  </si>
  <si>
    <t>Marcus Longton 925-451-5018</t>
  </si>
  <si>
    <t>South Bay United</t>
  </si>
  <si>
    <t>Kurt Fry</t>
  </si>
  <si>
    <t>310-993-4760</t>
  </si>
  <si>
    <t>kurtfry@me.com</t>
  </si>
  <si>
    <t>Kurt Fry 310-993-4760</t>
  </si>
  <si>
    <t>Please enter our 10u CoEd in the lowest division.</t>
  </si>
  <si>
    <t>Palos Verdes</t>
  </si>
  <si>
    <t>Charles Kim</t>
  </si>
  <si>
    <t>310-896-1560</t>
  </si>
  <si>
    <t>charleskim93@yahoo.com</t>
  </si>
  <si>
    <t>Palos Verdes B Team</t>
  </si>
  <si>
    <t>Can we work on reducing the gap time? For Year of Horse, our 14u boys team had like 6 hour gap time...</t>
  </si>
  <si>
    <t>Justin Gonzales</t>
  </si>
  <si>
    <t>Legends water Polo</t>
  </si>
  <si>
    <t>Robert Echeverria</t>
  </si>
  <si>
    <t>socal7575@gmail.com</t>
  </si>
  <si>
    <t>LV Legends</t>
  </si>
  <si>
    <t>Robert Echeverria (323)559-2020</t>
  </si>
  <si>
    <t>2 sets medals here</t>
  </si>
  <si>
    <t>3rdA</t>
  </si>
  <si>
    <t>3rdD</t>
  </si>
  <si>
    <t>See Below and ADVISE BY WED Jan 20 5pm!</t>
  </si>
  <si>
    <t>G (girls)</t>
  </si>
  <si>
    <t>GIRLS, RR THEN FOR MEDALS</t>
  </si>
  <si>
    <t>3rdB</t>
  </si>
  <si>
    <t>3rdC</t>
  </si>
  <si>
    <t>680 RED (girls)</t>
  </si>
  <si>
    <t>10U_COED_GOLD</t>
  </si>
  <si>
    <t>G1-LAMORINDA BLUE (A) (girls)</t>
  </si>
  <si>
    <t>THEN INTERACT WITH COED GOLD</t>
  </si>
  <si>
    <t>DEL MAR BLUE (girls)</t>
  </si>
  <si>
    <t>G2-DEL MAR BLUE (girls)</t>
  </si>
  <si>
    <t>G1</t>
  </si>
  <si>
    <t>LAMORINDA BLUE (A) (girls)</t>
  </si>
  <si>
    <t>G3-680 RED (girls)</t>
  </si>
  <si>
    <t>G2</t>
  </si>
  <si>
    <t>SAN CLEMENTE RED (girls)</t>
  </si>
  <si>
    <t>G4-SAN CLEMENTE RED (girls)</t>
  </si>
  <si>
    <t>G3</t>
  </si>
  <si>
    <t>CUSTOM COMBO</t>
  </si>
  <si>
    <t>G4</t>
  </si>
  <si>
    <t>DAVIS</t>
  </si>
  <si>
    <t>A</t>
  </si>
  <si>
    <t>B</t>
  </si>
  <si>
    <t>C</t>
  </si>
  <si>
    <t>D</t>
  </si>
  <si>
    <t>DEL MAR WHITE</t>
  </si>
  <si>
    <t>A1-LA JOLLA UNITED</t>
  </si>
  <si>
    <t>B1-DAVIS</t>
  </si>
  <si>
    <t>C1-SOUTH COAST RED</t>
  </si>
  <si>
    <t>D1-TROJAN</t>
  </si>
  <si>
    <t>A2-LOYOLA WPC</t>
  </si>
  <si>
    <t>B2-ORANGE COUNTY WPC RED</t>
  </si>
  <si>
    <t>C2-SOUTH BAY UNITED</t>
  </si>
  <si>
    <t>D2-PATRIOT WHITE</t>
  </si>
  <si>
    <t>LAMORINDA C</t>
  </si>
  <si>
    <t>A3-LAMORINDA C</t>
  </si>
  <si>
    <t>B3-DEL MAR WHITE</t>
  </si>
  <si>
    <t>C3-SAN CLEMENTE BLACK</t>
  </si>
  <si>
    <t>D3-YOLO YELLOW</t>
  </si>
  <si>
    <t>LOYOLA WPC</t>
  </si>
  <si>
    <t>ORANGE COUNTY WPC RED</t>
  </si>
  <si>
    <t>PATRIOT WHITE</t>
  </si>
  <si>
    <t>SAN CLEMENTE BLACK</t>
  </si>
  <si>
    <t>SOUTH BAY UNITED</t>
  </si>
  <si>
    <t>SOUTH COAST RED</t>
  </si>
  <si>
    <t>TROJAN</t>
  </si>
  <si>
    <t>YOLO YELLOW</t>
  </si>
  <si>
    <t>CHANNEL ISLANDS UNITED</t>
  </si>
  <si>
    <t>10U_COED_PLATINUM</t>
  </si>
  <si>
    <t>CHULA VISTA PREMIER</t>
  </si>
  <si>
    <t>A1-CHANNEL ISLANDS UNITED</t>
  </si>
  <si>
    <t>B1-ORANGE COUNTY WPC BLUE</t>
  </si>
  <si>
    <t>FOOTHILL RED</t>
  </si>
  <si>
    <t>A2-FOOTHILL RED</t>
  </si>
  <si>
    <t>B2-CHULA VISTA PREMIER</t>
  </si>
  <si>
    <t>LAMORINDA GOLD (B)</t>
  </si>
  <si>
    <t>A3-YOLO BLACK</t>
  </si>
  <si>
    <t>B3-PATRIOT RED</t>
  </si>
  <si>
    <t>NORTH IRVINE BLACK</t>
  </si>
  <si>
    <t>A4-NORTH IRVINE BLACK</t>
  </si>
  <si>
    <t>B4-LAMORINDA GOLD (B)</t>
  </si>
  <si>
    <t>ORANGE COUNTY WPC BLUE</t>
  </si>
  <si>
    <t>PATRIOT RED</t>
  </si>
  <si>
    <t>YOLO BLACK</t>
  </si>
  <si>
    <t>680 BLUE</t>
  </si>
  <si>
    <t>10U_BOYS</t>
  </si>
  <si>
    <t>avoid intra-club play on day 1, and 5-8</t>
  </si>
  <si>
    <t>680 RED</t>
  </si>
  <si>
    <t>CC UNITED BLACK</t>
  </si>
  <si>
    <t>A1-LAMORINDA BLUE (A)</t>
  </si>
  <si>
    <t>B1-CC UNITED BLACK</t>
  </si>
  <si>
    <t>CC UNITED BLUE</t>
  </si>
  <si>
    <t>A2-680 RED</t>
  </si>
  <si>
    <t>B2-SAN CLEMENTE RED</t>
  </si>
  <si>
    <t>LA PREMIER</t>
  </si>
  <si>
    <t>A3-LA PREMIER</t>
  </si>
  <si>
    <t>B3-STANFORD RED</t>
  </si>
  <si>
    <t>LAMORINDA BLUE (A)</t>
  </si>
  <si>
    <t>A4-CC UNITED BLUE</t>
  </si>
  <si>
    <t>B4-680 BLUE</t>
  </si>
  <si>
    <t>SAN CLEMENTE RED</t>
  </si>
  <si>
    <t>STANFORD RED</t>
  </si>
  <si>
    <t>12U_GIRLS_PLATINUM</t>
  </si>
  <si>
    <t>BACK BAY NAVY</t>
  </si>
  <si>
    <t>A1-BACK BAY NAVY</t>
  </si>
  <si>
    <t>B1-680 RED</t>
  </si>
  <si>
    <t>C1-NEWPORT BEACH</t>
  </si>
  <si>
    <t>D1-SHAQ</t>
  </si>
  <si>
    <t>A2-GOLD COAST</t>
  </si>
  <si>
    <t>B2-SOUTH COAST RED</t>
  </si>
  <si>
    <t>C2-DAVIS</t>
  </si>
  <si>
    <t>D2-LA JOLLA UNITED</t>
  </si>
  <si>
    <t>GOLD COAST</t>
  </si>
  <si>
    <t>B3-ORANGE COUNTY WPC BLUE</t>
  </si>
  <si>
    <t>C3-LAMORINDA B</t>
  </si>
  <si>
    <t>D3-NORTH IRVINE</t>
  </si>
  <si>
    <t>LAMORINDA B</t>
  </si>
  <si>
    <t>NEWPORT BEACH</t>
  </si>
  <si>
    <t>NORTH IRVINE</t>
  </si>
  <si>
    <t>12U_BOYS_GOLD</t>
  </si>
  <si>
    <t>E</t>
  </si>
  <si>
    <t>F</t>
  </si>
  <si>
    <t>680 WHITE</t>
  </si>
  <si>
    <t>AMERICAN RIVER BLUE</t>
  </si>
  <si>
    <t>BACK BAY</t>
  </si>
  <si>
    <t>CC UNITED WHITE</t>
  </si>
  <si>
    <t>G</t>
  </si>
  <si>
    <t>H</t>
  </si>
  <si>
    <t>A1(1)-ORANGE COUNTY WPC BLUE</t>
  </si>
  <si>
    <t>B1(4)-MARIN</t>
  </si>
  <si>
    <t>C1(5)-BACK BAY</t>
  </si>
  <si>
    <t>D1(8)-GOLD COAST</t>
  </si>
  <si>
    <t>E1(2)-TROJAN</t>
  </si>
  <si>
    <t>F1(3)-CMAC</t>
  </si>
  <si>
    <t>G1(6)-SAN MATEO</t>
  </si>
  <si>
    <t>H1(7)-FOOTHILL RED</t>
  </si>
  <si>
    <t>A2(16)-STANFORD BLACK</t>
  </si>
  <si>
    <t>B2(13)-SAN CLEMENTE BLACK</t>
  </si>
  <si>
    <t>C2(12)-CC UNITED BLUE</t>
  </si>
  <si>
    <t>D2(9)-NORTH IRVINE RED</t>
  </si>
  <si>
    <t>E2(15)-LA JOLLA UNITED GOLD</t>
  </si>
  <si>
    <t>F2(14)-680 BLUE</t>
  </si>
  <si>
    <t>G2(11)-SOUTH COAST RED</t>
  </si>
  <si>
    <t>H2(10)-AMERICAN RIVER BLUE</t>
  </si>
  <si>
    <t>A3(17)-680 WHITE</t>
  </si>
  <si>
    <t>B3(20)-LAMORINDA C</t>
  </si>
  <si>
    <t>C3(21)-MISSION WPC B</t>
  </si>
  <si>
    <t>D3(24)-LAMORINDA B</t>
  </si>
  <si>
    <t>E3(18)-CC UNITED WHITE</t>
  </si>
  <si>
    <t>F3(19)-PATRIOT 10 NAVY</t>
  </si>
  <si>
    <t>G3(22)-NORTH IRVINE WHITE</t>
  </si>
  <si>
    <t>H3(23)-STANFORD WHITE</t>
  </si>
  <si>
    <t>MARIN</t>
  </si>
  <si>
    <t>MISSION WPC B</t>
  </si>
  <si>
    <t>NORTH IRVINE RED</t>
  </si>
  <si>
    <t>NORTH IRVINE WHITE</t>
  </si>
  <si>
    <t>PATRIOT 10 NAVY</t>
  </si>
  <si>
    <t>SAN MATEO</t>
  </si>
  <si>
    <t>STANFORD BLACK</t>
  </si>
  <si>
    <t>STANFORD WHITE</t>
  </si>
  <si>
    <t>12U_BOYS_PLATINUM</t>
  </si>
  <si>
    <t>A1-MISSION WPC A</t>
  </si>
  <si>
    <t>C1-STANFORD RED</t>
  </si>
  <si>
    <t>A2-LAMORINDA A</t>
  </si>
  <si>
    <t>B2-NORTH IRVINE BLACK</t>
  </si>
  <si>
    <t>C2-ORWP A</t>
  </si>
  <si>
    <t>A3-680 RED</t>
  </si>
  <si>
    <t>B3-LA JOLLA UNITED NAVY</t>
  </si>
  <si>
    <t>C3-SHAQ</t>
  </si>
  <si>
    <t>LAMORINDA A</t>
  </si>
  <si>
    <t>C4-DAVIS</t>
  </si>
  <si>
    <t>MISSION WPC A</t>
  </si>
  <si>
    <t>12U_COED</t>
  </si>
  <si>
    <t>LA CITY UNITED</t>
  </si>
  <si>
    <t>A1-CMAC</t>
  </si>
  <si>
    <t>B1-POWAY VALLEY</t>
  </si>
  <si>
    <t>A2-SET</t>
  </si>
  <si>
    <t>B2-LOYOLA WPC</t>
  </si>
  <si>
    <t>PALOS VERDES</t>
  </si>
  <si>
    <t>A3-PALOS VERDES</t>
  </si>
  <si>
    <t>B3-YOLO BLACK</t>
  </si>
  <si>
    <t>POWAY VALLEY</t>
  </si>
  <si>
    <t>B4-LA CITY UNITED</t>
  </si>
  <si>
    <t>14U_GIRLS_GOLD</t>
  </si>
  <si>
    <t>CDM NAVY</t>
  </si>
  <si>
    <t>B1-HONOLULU</t>
  </si>
  <si>
    <t>C1-SHAQ</t>
  </si>
  <si>
    <t>D1-NORTHWEST</t>
  </si>
  <si>
    <t>A2-SANTA CRUZ BLUE</t>
  </si>
  <si>
    <t>B2-ROGUE 619</t>
  </si>
  <si>
    <t>C2-GOLD COAST</t>
  </si>
  <si>
    <t>D2-SD ECA</t>
  </si>
  <si>
    <t xml:space="preserve">HONOLULU </t>
  </si>
  <si>
    <t>A3-PASADENA AC</t>
  </si>
  <si>
    <t>B3-BACK BAY</t>
  </si>
  <si>
    <t>C3-PALOS VERDES</t>
  </si>
  <si>
    <t>D3-LAMORINDA C</t>
  </si>
  <si>
    <t>C4-CDM NAVY</t>
  </si>
  <si>
    <t>D4-NORTH IRVINE</t>
  </si>
  <si>
    <t>NORTHWEST</t>
  </si>
  <si>
    <t>PASADENA AC</t>
  </si>
  <si>
    <t>ROGUE 619</t>
  </si>
  <si>
    <t>SANTA CRUZ BLUE</t>
  </si>
  <si>
    <t>14U_GIRLS_PLATINUM</t>
  </si>
  <si>
    <t>CDM PINK</t>
  </si>
  <si>
    <t>A1-CDM PINK</t>
  </si>
  <si>
    <t>C1-SANTA CRUZ BLACK</t>
  </si>
  <si>
    <t>A2-DAVIS</t>
  </si>
  <si>
    <t>B2-NEWPORT BEACH</t>
  </si>
  <si>
    <t>C2-SOUTH COAST RED (A)</t>
  </si>
  <si>
    <t>A3-STANFORD</t>
  </si>
  <si>
    <t>C3-FOOTHILL RED</t>
  </si>
  <si>
    <t>C4-LAMORINDA B</t>
  </si>
  <si>
    <t>SANTA CRUZ BLACK</t>
  </si>
  <si>
    <t>SOUTH COAST RED (A)</t>
  </si>
  <si>
    <t>STANFORD</t>
  </si>
  <si>
    <t>14U_BOYS_SILVER</t>
  </si>
  <si>
    <t>AMERICAN RIVER GOLD</t>
  </si>
  <si>
    <t>A1-POWAY VALLEY BLACK</t>
  </si>
  <si>
    <t>B1-SAN FRANCISCO</t>
  </si>
  <si>
    <t>C1-PASADENA AC</t>
  </si>
  <si>
    <t>D1-SAND CANYON</t>
  </si>
  <si>
    <t>E1-GOLD COAST</t>
  </si>
  <si>
    <t>F1-SET</t>
  </si>
  <si>
    <t>B2-TROJAN GOLD</t>
  </si>
  <si>
    <t>C2-TRITON GOLD</t>
  </si>
  <si>
    <t>D2-AMERICAN RIVER GOLD</t>
  </si>
  <si>
    <t>E2-HONOLULU GREEN</t>
  </si>
  <si>
    <t>F2-NADO</t>
  </si>
  <si>
    <t>A3-SAN CLEMENTE BLACK</t>
  </si>
  <si>
    <t>B3-SOUTH COAST BLUE (C)</t>
  </si>
  <si>
    <t>C3-ORANGE COUNTY WPC RED</t>
  </si>
  <si>
    <t>D3-PALOS VERDES B</t>
  </si>
  <si>
    <t>E3-CC UNITED WHITE</t>
  </si>
  <si>
    <t>F3-680 WHITE</t>
  </si>
  <si>
    <t>HONOLULU GREEN</t>
  </si>
  <si>
    <t>NADO</t>
  </si>
  <si>
    <t>PALOS VERDES B</t>
  </si>
  <si>
    <t>POWAY VALLEY BLACK</t>
  </si>
  <si>
    <t>G (1,4,5)</t>
  </si>
  <si>
    <t>H (2,3,6)</t>
  </si>
  <si>
    <t>J (7,10,11)</t>
  </si>
  <si>
    <t>K (8,9,12)</t>
  </si>
  <si>
    <t>M (13,16,17)</t>
  </si>
  <si>
    <t>N (14,15,18)</t>
  </si>
  <si>
    <t>G1(1stA)-</t>
  </si>
  <si>
    <t>H1(1stD)-</t>
  </si>
  <si>
    <t>J1(2ndF)-</t>
  </si>
  <si>
    <t>K1(2ndC)-</t>
  </si>
  <si>
    <t>M1(3rdA)-</t>
  </si>
  <si>
    <t>N1(3rdD)-</t>
  </si>
  <si>
    <t>SAN FRANCISCO</t>
  </si>
  <si>
    <t>G2(1stB)-</t>
  </si>
  <si>
    <t>H2(1stE)-</t>
  </si>
  <si>
    <t>J2(2ndE)-</t>
  </si>
  <si>
    <t>K2(2ndB)-</t>
  </si>
  <si>
    <t>M2(3rdB)-</t>
  </si>
  <si>
    <t>N2(3rdE)-</t>
  </si>
  <si>
    <t>SAND CANYON</t>
  </si>
  <si>
    <t>G3(1stC)-</t>
  </si>
  <si>
    <t>H3(1stF)-</t>
  </si>
  <si>
    <t>J3(2ndD)-</t>
  </si>
  <si>
    <t>K3(2ndA)-</t>
  </si>
  <si>
    <t>M3(3rdC)-</t>
  </si>
  <si>
    <t>N3(3rdF)-</t>
  </si>
  <si>
    <t>SOUTH COAST BLUE (C)</t>
  </si>
  <si>
    <t>TRITON GOLD</t>
  </si>
  <si>
    <t>TROJAN GOLD</t>
  </si>
  <si>
    <t>14U_BOYS_GOLD</t>
  </si>
  <si>
    <t>(3rdA)-</t>
  </si>
  <si>
    <t>(3rdE)-</t>
  </si>
  <si>
    <t>(3rdF)-</t>
  </si>
  <si>
    <t>BOA</t>
  </si>
  <si>
    <t>(3rdB)-</t>
  </si>
  <si>
    <t>(3rdC)-</t>
  </si>
  <si>
    <t>CT PREMIER</t>
  </si>
  <si>
    <t>(3rdG)-</t>
  </si>
  <si>
    <t>(3rdH)-</t>
  </si>
  <si>
    <t>A1(1)-HONOLULU BLUE</t>
  </si>
  <si>
    <t>B1(4)-DAVIS</t>
  </si>
  <si>
    <t>C1(5)-LAWPC</t>
  </si>
  <si>
    <t>8-SAN CLEMENTE RED</t>
  </si>
  <si>
    <t>E1(2)-FOOTHILL RED</t>
  </si>
  <si>
    <t>F1(3)-CT PREMIER</t>
  </si>
  <si>
    <t>6-SD ECA</t>
  </si>
  <si>
    <t>7-HIELAND</t>
  </si>
  <si>
    <t>(3rdD)-</t>
  </si>
  <si>
    <t>HIELAND</t>
  </si>
  <si>
    <t>A2(16)-SHORE AQUATICS</t>
  </si>
  <si>
    <t>B2(13)-BACK BAY</t>
  </si>
  <si>
    <t>C2(12)-NORTHWEST</t>
  </si>
  <si>
    <t>9-STANFORD BLACK</t>
  </si>
  <si>
    <t>E2(15)-MISSION WPC B</t>
  </si>
  <si>
    <t>F2(14)-BOA</t>
  </si>
  <si>
    <t>11-LAMORINDA B</t>
  </si>
  <si>
    <t>10-SHAQ WHITE</t>
  </si>
  <si>
    <t>(4thD)-</t>
  </si>
  <si>
    <t>HONOLULU BLUE</t>
  </si>
  <si>
    <t>A3(17)-NORTH IRVINE RED</t>
  </si>
  <si>
    <t>B3(20)-LA JOLLA UNITED GOLD</t>
  </si>
  <si>
    <t>C3(21)-STANFORD 13</t>
  </si>
  <si>
    <t>24-PRIDE RED</t>
  </si>
  <si>
    <t>E3(18)-CC UNITED BLUE</t>
  </si>
  <si>
    <t>F3(19)-680 BLUE</t>
  </si>
  <si>
    <t>22-VANGUARD SILVER</t>
  </si>
  <si>
    <t>23-PATRIOT RED</t>
  </si>
  <si>
    <t>(4thH)-</t>
  </si>
  <si>
    <t/>
  </si>
  <si>
    <t>25-AMERICAN RIVER BLUE</t>
  </si>
  <si>
    <t>26-SOUTH COAST WHITE (B)</t>
  </si>
  <si>
    <t>J (1st-8th)</t>
  </si>
  <si>
    <t>K (1st-8th)</t>
  </si>
  <si>
    <t>L (9th-16th)</t>
  </si>
  <si>
    <t>M (9th-16th)</t>
  </si>
  <si>
    <t>N (17th-26th)</t>
  </si>
  <si>
    <t>O (17th-26th)</t>
  </si>
  <si>
    <t>P (17th-26th)</t>
  </si>
  <si>
    <t>J1(1stA)-</t>
  </si>
  <si>
    <t>K1(1stE)-</t>
  </si>
  <si>
    <t>L1(2ndA)-</t>
  </si>
  <si>
    <t>M1(2ndE)-</t>
  </si>
  <si>
    <t>N1(3rdA)-</t>
  </si>
  <si>
    <t>O1(3rdE)-</t>
  </si>
  <si>
    <t>P1(3rdF)-</t>
  </si>
  <si>
    <t>J2(1stB)-</t>
  </si>
  <si>
    <t>K2(1stF)-</t>
  </si>
  <si>
    <t>L2(2ndB)-</t>
  </si>
  <si>
    <t>M2(2ndF)-</t>
  </si>
  <si>
    <t>N2(3rdG)-</t>
  </si>
  <si>
    <t>O2(3rdC)-</t>
  </si>
  <si>
    <t>P2(3rdB)-</t>
  </si>
  <si>
    <t>J3(1stC)-</t>
  </si>
  <si>
    <t>K3(1stG)-</t>
  </si>
  <si>
    <t>L3(2ndC)-</t>
  </si>
  <si>
    <t>M3(2ndG)-</t>
  </si>
  <si>
    <t>N3(3rdH)</t>
  </si>
  <si>
    <t>O3(3rdD)</t>
  </si>
  <si>
    <t>P3(4thD)</t>
  </si>
  <si>
    <t>J4(1stD)</t>
  </si>
  <si>
    <t>K4(1stH)</t>
  </si>
  <si>
    <t>L4(2ndD)</t>
  </si>
  <si>
    <t>M4(2ndH)</t>
  </si>
  <si>
    <t>P4(4thH)</t>
  </si>
  <si>
    <t>Q (overall 3rd)</t>
  </si>
  <si>
    <t>R (overall 1st)</t>
  </si>
  <si>
    <t>Q1(2ndJ)</t>
  </si>
  <si>
    <t>R1(1stJ)</t>
  </si>
  <si>
    <t>Q2(2ndK)</t>
  </si>
  <si>
    <t>R2(1stK)</t>
  </si>
  <si>
    <t>SHORE AQUATICS</t>
  </si>
  <si>
    <t>SOUTH COAST WHITE (B)</t>
  </si>
  <si>
    <t>STANFORD 13</t>
  </si>
  <si>
    <t>VANGUARD SILVER</t>
  </si>
  <si>
    <t>14U_BOYS_PLATINUM</t>
  </si>
  <si>
    <t>B1-NORCAL</t>
  </si>
  <si>
    <t>C1-VANGUARD BLUE</t>
  </si>
  <si>
    <t>D1-LA JOLLA UNITED NAVY</t>
  </si>
  <si>
    <t>3-CHANNEL ISLANDS UNITED GOLD</t>
  </si>
  <si>
    <t>6-PATRIOT NAVY</t>
  </si>
  <si>
    <t>CHANNEL ISLANDS UNITED GOLD</t>
  </si>
  <si>
    <t>B2-PALOS VERDES A</t>
  </si>
  <si>
    <t>C2-LAMORINDA A</t>
  </si>
  <si>
    <t>D2-PRIDE BLACK</t>
  </si>
  <si>
    <t>10-CC UNITED BLACK</t>
  </si>
  <si>
    <t>7-LA PREMIER</t>
  </si>
  <si>
    <t>DEVIL'S GATE</t>
  </si>
  <si>
    <t>A3-TROJAN CARDINAL</t>
  </si>
  <si>
    <t>B3-NORTH IRVINE BLACK</t>
  </si>
  <si>
    <t>C3-SOUTH COAST RED (A)</t>
  </si>
  <si>
    <t>D3-STANFORD RED</t>
  </si>
  <si>
    <t>15-ORANGE COUNTY WPC BLUE</t>
  </si>
  <si>
    <t>18-SHAQ BLUE</t>
  </si>
  <si>
    <t>20-DEVIL'S GATE</t>
  </si>
  <si>
    <t>19-ROUTE 66 AQUATICS</t>
  </si>
  <si>
    <t>I</t>
  </si>
  <si>
    <t>J</t>
  </si>
  <si>
    <t>K</t>
  </si>
  <si>
    <t>L</t>
  </si>
  <si>
    <t>PALOS VERDES A</t>
  </si>
  <si>
    <t>H1(2ndA)-</t>
  </si>
  <si>
    <t>I1(3rdA)-</t>
  </si>
  <si>
    <t>J1(1stD)-</t>
  </si>
  <si>
    <t>K1(2ndD)-</t>
  </si>
  <si>
    <t>L1(3rdD)-</t>
  </si>
  <si>
    <t>PATRIOT NAVY</t>
  </si>
  <si>
    <t>H2(2ndB)-</t>
  </si>
  <si>
    <t>I2(3rdB)-</t>
  </si>
  <si>
    <t>J2(1stE)</t>
  </si>
  <si>
    <t>K2(2ndE)</t>
  </si>
  <si>
    <t>L2(3rdE)</t>
  </si>
  <si>
    <t>H3(2ndC)-</t>
  </si>
  <si>
    <t>I3(3rdC)-</t>
  </si>
  <si>
    <t>J3(1stF)</t>
  </si>
  <si>
    <t>K3(2ndF)</t>
  </si>
  <si>
    <t>L3(3rdF)</t>
  </si>
  <si>
    <t>ROUTE 66 AQUATICS</t>
  </si>
  <si>
    <t>I4(4thE)</t>
  </si>
  <si>
    <t>L4(4thF)</t>
  </si>
  <si>
    <t>TROJAN CARDINAL</t>
  </si>
  <si>
    <t>VANGUARD BLUE</t>
  </si>
  <si>
    <t>BOA WHITE</t>
  </si>
  <si>
    <t>16U_BOYS_SILVER</t>
  </si>
  <si>
    <t>A1-MID PEN</t>
  </si>
  <si>
    <t>B1-SANTA CRUZ</t>
  </si>
  <si>
    <t>C1-SET</t>
  </si>
  <si>
    <t>D1-SD ECA</t>
  </si>
  <si>
    <t>3-SHORE AQUATICS</t>
  </si>
  <si>
    <t>6-HIELAND</t>
  </si>
  <si>
    <t>DAVIS WHITE</t>
  </si>
  <si>
    <t>A2-BOA WHITE</t>
  </si>
  <si>
    <t>B2-NORTH IRVINE</t>
  </si>
  <si>
    <t>C2-DAVIS WHITE</t>
  </si>
  <si>
    <t>D2-LOYOLA WPC</t>
  </si>
  <si>
    <t>10-STANFORD WHITE</t>
  </si>
  <si>
    <t>7-WCAC UNITED</t>
  </si>
  <si>
    <t>A3-TRITON GOLD</t>
  </si>
  <si>
    <t>B3-LA JOLLA UNITED SILVER</t>
  </si>
  <si>
    <t>D3-CC UNITED WHITE</t>
  </si>
  <si>
    <t>15-LV LEGENDS</t>
  </si>
  <si>
    <t>18-SAN CLEMENTE BLACK</t>
  </si>
  <si>
    <t>LA JOLLA UNITED SILVER</t>
  </si>
  <si>
    <t>20-LA JOLLA UNITED WHITE</t>
  </si>
  <si>
    <t>19-SAN JOSE EXPRESS GOLD</t>
  </si>
  <si>
    <t>LA JOLLA UNITED WHITE</t>
  </si>
  <si>
    <t>LV LEGENDS</t>
  </si>
  <si>
    <t>MID PEN</t>
  </si>
  <si>
    <t>SAN JOSE EXPRESS GOLD</t>
  </si>
  <si>
    <t>SANTA CRUZ</t>
  </si>
  <si>
    <t>WCAC UNITED</t>
  </si>
  <si>
    <t>16U_BOYS_GOLD</t>
  </si>
  <si>
    <t>BIG VALLEY</t>
  </si>
  <si>
    <t>BOA BLUE</t>
  </si>
  <si>
    <t>CAL REPUBLIC</t>
  </si>
  <si>
    <t>CHANNEL ISLANDS UNITED BLUE</t>
  </si>
  <si>
    <t>A1-SAN JOSE EXPRESS BLUE</t>
  </si>
  <si>
    <t>B1-CMAC</t>
  </si>
  <si>
    <t>C1-ST LOUIS AREA POLO</t>
  </si>
  <si>
    <t>D1-POWAY VALLEY BLACK</t>
  </si>
  <si>
    <t>E1-CT PREMIER</t>
  </si>
  <si>
    <t>F1-BIG VALLEY</t>
  </si>
  <si>
    <t>A2-CHANNEL ISLANDS UNITED BLUE</t>
  </si>
  <si>
    <t>B2-DAVIS BLUE</t>
  </si>
  <si>
    <t>C2-CAL REPUBLIC</t>
  </si>
  <si>
    <t>D2-CC UNITED BLUE</t>
  </si>
  <si>
    <t>E2-ORANGE COUNTY WPC BLUE</t>
  </si>
  <si>
    <t>F2-LA JOLLA UNITED GOLD</t>
  </si>
  <si>
    <t>A3-AMERICAN RIVER GOLD</t>
  </si>
  <si>
    <t>B3-SOUTH COAST WHITE (B)</t>
  </si>
  <si>
    <t>C3-TROJAN GOLD</t>
  </si>
  <si>
    <t>D3-BOA BLUE</t>
  </si>
  <si>
    <t>E3-STANFORD BLACK</t>
  </si>
  <si>
    <t>F3-VANGUARD SILVER</t>
  </si>
  <si>
    <t>DAVIS BLUE</t>
  </si>
  <si>
    <t>F4-680 BLUE</t>
  </si>
  <si>
    <t>G (1st-6th)</t>
  </si>
  <si>
    <t>H (1st-6th)</t>
  </si>
  <si>
    <t>I (7th-12th)</t>
  </si>
  <si>
    <t>J (7th-12th)</t>
  </si>
  <si>
    <t>K (13th-18th)</t>
  </si>
  <si>
    <t>L (13th-19th)</t>
  </si>
  <si>
    <t>I1(2ndA)-</t>
  </si>
  <si>
    <t>J1(2ndD)-</t>
  </si>
  <si>
    <t>K1(3rdA)-</t>
  </si>
  <si>
    <t>SAN JOSE EXPRESS BLUE</t>
  </si>
  <si>
    <t>I2(2ndB)-</t>
  </si>
  <si>
    <t>K2(3rdB)-</t>
  </si>
  <si>
    <t>L2(3rdE)-</t>
  </si>
  <si>
    <t>I3(2ndC)-</t>
  </si>
  <si>
    <t>J3(2ndF)-</t>
  </si>
  <si>
    <t>K3(3rdC)-</t>
  </si>
  <si>
    <t>L3(3rdF)-</t>
  </si>
  <si>
    <t>ST LOUIS AREA POLO</t>
  </si>
  <si>
    <t>L4(4thF)-</t>
  </si>
  <si>
    <t>N Overall 3rd</t>
  </si>
  <si>
    <t>O Overall 1st</t>
  </si>
  <si>
    <t>N1(2ndG)-</t>
  </si>
  <si>
    <t>O1(1stG)-</t>
  </si>
  <si>
    <t>N2(2ndH)-</t>
  </si>
  <si>
    <t>O2(1stH)-</t>
  </si>
  <si>
    <t>16U_BOYS_PLATINUM</t>
  </si>
  <si>
    <t>A1-CC UNITED BLACK</t>
  </si>
  <si>
    <t>B1-LA JOLLA UNITED NAVY</t>
  </si>
  <si>
    <t>C1-680 RED</t>
  </si>
  <si>
    <t>D1-LAMORINDA A</t>
  </si>
  <si>
    <t>E1-CHANNEL ISLANDS UNITED GOLD</t>
  </si>
  <si>
    <t>F1-SD SHORES BLACK</t>
  </si>
  <si>
    <t>ASPHALT GREEN</t>
  </si>
  <si>
    <t>A2-SAND CANYON</t>
  </si>
  <si>
    <t>B2-AMERICAN RIVER BLUE</t>
  </si>
  <si>
    <t>C2-VANGUARD BLUE</t>
  </si>
  <si>
    <t>D2-SOUTH COAST RED (A)</t>
  </si>
  <si>
    <t>E2-TROJAN CARDINAL</t>
  </si>
  <si>
    <t>F2-SHAQ</t>
  </si>
  <si>
    <t>CAPITAL</t>
  </si>
  <si>
    <t>A3-CAPITAL</t>
  </si>
  <si>
    <t>B3-IMPERIAL WPC</t>
  </si>
  <si>
    <t>D3-SANTA CRUZ</t>
  </si>
  <si>
    <t>E3-SAN CLEMENTE RED</t>
  </si>
  <si>
    <t>F3-ASPHALT GREEN</t>
  </si>
  <si>
    <t>IMPERIAL WPC</t>
  </si>
  <si>
    <t>SD SHORES BLACK</t>
  </si>
  <si>
    <t>CHARGERS WHITE</t>
  </si>
  <si>
    <t>19U_BOYS_SILVER</t>
  </si>
  <si>
    <t>OHANA</t>
  </si>
  <si>
    <t>A1-SHORE AQUATICS</t>
  </si>
  <si>
    <t>B1-CHARGERS WHITE</t>
  </si>
  <si>
    <t>do not match up</t>
  </si>
  <si>
    <t>OPA</t>
  </si>
  <si>
    <t>A2-OPA</t>
  </si>
  <si>
    <t>B2-SAN JOSE EXPRESS GOLD</t>
  </si>
  <si>
    <t>A3-SD ECA</t>
  </si>
  <si>
    <t>B3-OHANA</t>
  </si>
  <si>
    <t>19U_BOYS_GOLD</t>
  </si>
  <si>
    <t>A1-HIELAND</t>
  </si>
  <si>
    <t>B1-MID PEN</t>
  </si>
  <si>
    <t>C1-NORTHWEST</t>
  </si>
  <si>
    <t>D1-BIG VALLEY</t>
  </si>
  <si>
    <t>CLOVIS BLACK</t>
  </si>
  <si>
    <t>A2-CLOVIS BLACK</t>
  </si>
  <si>
    <t>B2-ORANGE COUNTY WPC BLUE</t>
  </si>
  <si>
    <t>C2-MISSON WPC</t>
  </si>
  <si>
    <t>D2-SET</t>
  </si>
  <si>
    <t>FARALLON</t>
  </si>
  <si>
    <t>A3-LA JOLLA UNITED GOLD</t>
  </si>
  <si>
    <t>B3-FARALLON</t>
  </si>
  <si>
    <t>C3-MARIN</t>
  </si>
  <si>
    <t>D3-LONGHORN</t>
  </si>
  <si>
    <t>A4-VANGUARD SILVER</t>
  </si>
  <si>
    <t>B4-PASADENA AC</t>
  </si>
  <si>
    <t>C4-AMERICAN RIVER GOLD</t>
  </si>
  <si>
    <t>D4-WCAC UNITED</t>
  </si>
  <si>
    <t>LONGHORN</t>
  </si>
  <si>
    <t>MISSON WPC</t>
  </si>
  <si>
    <t>19U_BOYS_PLATINUM</t>
  </si>
  <si>
    <t>BERKELEY WPC</t>
  </si>
  <si>
    <t>CCU BLACK</t>
  </si>
  <si>
    <t>CHANNEL ISLANDS UNITED TEAL</t>
  </si>
  <si>
    <t>FOOTHILL BLACK</t>
  </si>
  <si>
    <t>A1(1)-CC UNITED BLACK</t>
  </si>
  <si>
    <t>B1(4)-SD SHORES BLACK</t>
  </si>
  <si>
    <t>C1(5)-LA JOLLA UNITED NAVY</t>
  </si>
  <si>
    <t>8-AMERICAN RIVER BLUE</t>
  </si>
  <si>
    <t>E1(2)-LAMORINDA A</t>
  </si>
  <si>
    <t>F1(3)-NORCAL</t>
  </si>
  <si>
    <t>6-CHANNEL ISLANDS UNITED TEAL</t>
  </si>
  <si>
    <t>7-TROJAN</t>
  </si>
  <si>
    <t>A2(16)-POWAY VALLEY BLACK</t>
  </si>
  <si>
    <t>B2(13)-IMPERIAL BLUE</t>
  </si>
  <si>
    <t>C2(12)-SANTA CRUZ</t>
  </si>
  <si>
    <t>9-SOUTH COAST RED (A)</t>
  </si>
  <si>
    <t>E2(15)-VANGUARD BLUE</t>
  </si>
  <si>
    <t>F2(14)-SHADOW MEN</t>
  </si>
  <si>
    <t>11-SAN JOSE EXPRESS BLUE</t>
  </si>
  <si>
    <t>10-SHAQ</t>
  </si>
  <si>
    <t>IMPERIAL BLUE</t>
  </si>
  <si>
    <t>A3(17)-LV LEGENDS</t>
  </si>
  <si>
    <t>B3(20)-BERKELEY WPC</t>
  </si>
  <si>
    <t>C3(21)-NORTH IRVINE BLACK</t>
  </si>
  <si>
    <t>24-SAND CANYON</t>
  </si>
  <si>
    <t>E3(18)-CHULA VISTA PREMIER</t>
  </si>
  <si>
    <t>F3(19)-FOOTHILL RED</t>
  </si>
  <si>
    <t>22-CT PREMIER</t>
  </si>
  <si>
    <t>23-RIVERSIDE</t>
  </si>
  <si>
    <t>25-SUPREME</t>
  </si>
  <si>
    <t>27-CC UNITED BLUE</t>
  </si>
  <si>
    <t>26-FOOTHILL BLACK</t>
  </si>
  <si>
    <t>(4thG)-</t>
  </si>
  <si>
    <t>J (1st-</t>
  </si>
  <si>
    <t>K (1st-</t>
  </si>
  <si>
    <t>L (9th-</t>
  </si>
  <si>
    <t>M (9th-</t>
  </si>
  <si>
    <t>N (17th-</t>
  </si>
  <si>
    <t>O (17th-</t>
  </si>
  <si>
    <t>P (17th-</t>
  </si>
  <si>
    <t>RIVERSIDE</t>
  </si>
  <si>
    <t>SHADOW MEN</t>
  </si>
  <si>
    <t>SUPREME</t>
  </si>
  <si>
    <t>DIVISION</t>
  </si>
  <si>
    <t>TEAMS</t>
  </si>
  <si>
    <t>SATURDAY</t>
  </si>
  <si>
    <t>SUNDAY</t>
  </si>
  <si>
    <t>TOTAL</t>
  </si>
  <si>
    <t>SORTKEY</t>
  </si>
  <si>
    <t>2026 KAP7 INTERNATIONAL</t>
  </si>
  <si>
    <t>CHICLETS MASTER</t>
  </si>
  <si>
    <t>11am start Sat</t>
  </si>
  <si>
    <t>start at 1pm!</t>
  </si>
  <si>
    <t>12:30-pm - 6:30pm starts</t>
  </si>
  <si>
    <t>SATURDAY, JANUARY 31</t>
  </si>
  <si>
    <t>10U</t>
  </si>
  <si>
    <t>12U</t>
  </si>
  <si>
    <t>14U</t>
  </si>
  <si>
    <t>19U/16U</t>
  </si>
  <si>
    <t>COURSES</t>
  </si>
  <si>
    <t>WOOLLETT FAR LEFT</t>
  </si>
  <si>
    <t>BECKMAN HS 2</t>
  </si>
  <si>
    <t>EL TORO HS 2</t>
  </si>
  <si>
    <t>WOOLLETT FAR RIGHT</t>
  </si>
  <si>
    <t>BECKMAN HS 1</t>
  </si>
  <si>
    <t>COSTA MESA HS 2</t>
  </si>
  <si>
    <t>TUSTIN HS 2</t>
  </si>
  <si>
    <t>COSTA MESA HS 1</t>
  </si>
  <si>
    <t>EL TORO HS 1</t>
  </si>
  <si>
    <t>TUSTIN HS 1</t>
  </si>
  <si>
    <t>ALISO NIGUEL HS</t>
  </si>
  <si>
    <t>SAN CLEMENTE HS</t>
  </si>
  <si>
    <t>LAGUNA HILLS HS</t>
  </si>
  <si>
    <t>ESTANCIA HS 2</t>
  </si>
  <si>
    <t>ESPERANZA HS</t>
  </si>
  <si>
    <t>WOOLLETT NEAR LEFT</t>
  </si>
  <si>
    <t>WOOLLETT NEAR RIGHT</t>
  </si>
  <si>
    <t>SAN JUAN HILLS HS</t>
  </si>
  <si>
    <t>FULLERTON COLLEGE</t>
  </si>
  <si>
    <t>YORBA LINDA HS</t>
  </si>
  <si>
    <t>WESTMINSTER HS</t>
  </si>
  <si>
    <t>EDISON HS</t>
  </si>
  <si>
    <t>SONORA HS</t>
  </si>
  <si>
    <t>ESTANCIA HS 1</t>
  </si>
  <si>
    <t>SADDLEBACK COLLEGE</t>
  </si>
  <si>
    <t>TOTAL SATURDAY</t>
  </si>
  <si>
    <t>GAMES</t>
  </si>
  <si>
    <t>xxxx</t>
  </si>
  <si>
    <t>7am start ok</t>
  </si>
  <si>
    <t>7:00am-5:00pm starts</t>
  </si>
  <si>
    <t>SUNDAY, FEBRUARY 1</t>
  </si>
  <si>
    <t>custom</t>
  </si>
  <si>
    <t>14U 19U</t>
  </si>
  <si>
    <t>TOTAL SUNDAY</t>
  </si>
  <si>
    <t>last game above 4:20pm</t>
  </si>
  <si>
    <t>last 2 games 12U</t>
  </si>
  <si>
    <t>TOTAL GAMES</t>
  </si>
  <si>
    <t>16 teams</t>
  </si>
  <si>
    <t>5 min. qrtrs.</t>
  </si>
  <si>
    <t>16+16</t>
  </si>
  <si>
    <t>HOT! RESULTS</t>
  </si>
  <si>
    <t>RESULTS FEED</t>
  </si>
  <si>
    <t>SUBMIT SCORES LOGIN</t>
  </si>
  <si>
    <t>DATE</t>
  </si>
  <si>
    <t>TIME</t>
  </si>
  <si>
    <t>LOCATION</t>
  </si>
  <si>
    <t>GAME ID</t>
  </si>
  <si>
    <t>WHITE TEAM</t>
  </si>
  <si>
    <t>S</t>
  </si>
  <si>
    <t>DARK TEAM</t>
  </si>
  <si>
    <t>10Cau01</t>
  </si>
  <si>
    <t>D bracket D1,D3</t>
  </si>
  <si>
    <t>10Cau02</t>
  </si>
  <si>
    <t>A bracket A1,A3</t>
  </si>
  <si>
    <t>10Cau03</t>
  </si>
  <si>
    <t>B bracket B1,B3</t>
  </si>
  <si>
    <t>10Cau04</t>
  </si>
  <si>
    <t>C bracket C1,C3</t>
  </si>
  <si>
    <t>10Cau05</t>
  </si>
  <si>
    <t>girls 1st-4th</t>
  </si>
  <si>
    <t>10Cau07</t>
  </si>
  <si>
    <t>D bracket D2,D3</t>
  </si>
  <si>
    <t>10Cau06</t>
  </si>
  <si>
    <t>10Cau08</t>
  </si>
  <si>
    <t>A bracket A2,A3</t>
  </si>
  <si>
    <t>10Cau09</t>
  </si>
  <si>
    <t>B bracket B2,B3</t>
  </si>
  <si>
    <t>10Cau10</t>
  </si>
  <si>
    <t>C bracket C2,C3</t>
  </si>
  <si>
    <t>10Cau13</t>
  </si>
  <si>
    <t>D bracket D1,D2</t>
  </si>
  <si>
    <t>10Cau14</t>
  </si>
  <si>
    <t>A bracket A1,A2</t>
  </si>
  <si>
    <t>10Cau11</t>
  </si>
  <si>
    <t>10Cau15</t>
  </si>
  <si>
    <t>B bracket B1,B2</t>
  </si>
  <si>
    <t>10Cau12</t>
  </si>
  <si>
    <t>10Cau16</t>
  </si>
  <si>
    <t>C bracket C1,C2</t>
  </si>
  <si>
    <t>10Cau17</t>
  </si>
  <si>
    <t>10Cau19</t>
  </si>
  <si>
    <t>2ndA-LOYOLA WPC</t>
  </si>
  <si>
    <t>2ndD-TROJAN</t>
  </si>
  <si>
    <t>5-8 coed semi</t>
  </si>
  <si>
    <t>10Cau18</t>
  </si>
  <si>
    <t>10Cau20</t>
  </si>
  <si>
    <t>2ndB-ORANGE COUNTY WPC RED</t>
  </si>
  <si>
    <t>2ndC-SAN CLEMENTE BLACK</t>
  </si>
  <si>
    <t>10Cau21</t>
  </si>
  <si>
    <t>1stA-LA JOLLA UNITED</t>
  </si>
  <si>
    <t>1stD-YOLO YELLOW</t>
  </si>
  <si>
    <t>1-4 coed semi</t>
  </si>
  <si>
    <t>10Cau22</t>
  </si>
  <si>
    <t>1stB-DAVIS</t>
  </si>
  <si>
    <t>1stC-SOUTH BAY UNITED</t>
  </si>
  <si>
    <t>10Cau23</t>
  </si>
  <si>
    <t>3rdB-DEL MAR WHITE</t>
  </si>
  <si>
    <t>girls-coed interact</t>
  </si>
  <si>
    <t>10Cau25</t>
  </si>
  <si>
    <t>3rdC-SOUTH COAST RED</t>
  </si>
  <si>
    <t>10Cau24</t>
  </si>
  <si>
    <t>3rdD-PATRIOT WHITE</t>
  </si>
  <si>
    <t>10Cau26</t>
  </si>
  <si>
    <t>3rdA-LAMORINDA C</t>
  </si>
  <si>
    <t>10Cau27</t>
  </si>
  <si>
    <t>7th Coed</t>
  </si>
  <si>
    <t>10Cau29</t>
  </si>
  <si>
    <t>3rd Coed</t>
  </si>
  <si>
    <t>10Cau28</t>
  </si>
  <si>
    <t>5th Coed</t>
  </si>
  <si>
    <t>10Cau30</t>
  </si>
  <si>
    <t>1st Coed</t>
  </si>
  <si>
    <t>10Cau31</t>
  </si>
  <si>
    <t>coed 9-12</t>
  </si>
  <si>
    <t>10Cau32</t>
  </si>
  <si>
    <t>1st</t>
  </si>
  <si>
    <t>2nd</t>
  </si>
  <si>
    <t>3rd</t>
  </si>
  <si>
    <t>GIRLS</t>
  </si>
  <si>
    <t>8 teams</t>
  </si>
  <si>
    <t>5 min quarters</t>
  </si>
  <si>
    <t>16 games</t>
  </si>
  <si>
    <t>8+8</t>
  </si>
  <si>
    <t>10Cpt01</t>
  </si>
  <si>
    <t>bracket, B1/B3</t>
  </si>
  <si>
    <t>10Cpt02</t>
  </si>
  <si>
    <t>bracket, B2/B4</t>
  </si>
  <si>
    <t>10Cpt03</t>
  </si>
  <si>
    <t>bracket, A1/A3</t>
  </si>
  <si>
    <t>10Cpt04</t>
  </si>
  <si>
    <t>bracket, A2/A4</t>
  </si>
  <si>
    <t>10Cpt05</t>
  </si>
  <si>
    <t>bracket, B1/B4</t>
  </si>
  <si>
    <t>10Cpt06</t>
  </si>
  <si>
    <t>bracket, B2/B3</t>
  </si>
  <si>
    <t>10Cpt07</t>
  </si>
  <si>
    <t>bracket, A1/A4</t>
  </si>
  <si>
    <t>10Cpt08</t>
  </si>
  <si>
    <t>bracket, A2/A3</t>
  </si>
  <si>
    <t>10Cpt09</t>
  </si>
  <si>
    <t>bracket, B3/B4</t>
  </si>
  <si>
    <t>10Cpt10</t>
  </si>
  <si>
    <t>bracket, A3/A4</t>
  </si>
  <si>
    <t>10Cpt11</t>
  </si>
  <si>
    <t>bracket, B1/B2</t>
  </si>
  <si>
    <t>10Cpt12</t>
  </si>
  <si>
    <t>bracket, A1/A2</t>
  </si>
  <si>
    <t>10Cpt13</t>
  </si>
  <si>
    <t>4thA-FOOTHILL RED</t>
  </si>
  <si>
    <t>4thB-LAMORINDA GOLD (B)</t>
  </si>
  <si>
    <t>7th</t>
  </si>
  <si>
    <t>10Cpt14</t>
  </si>
  <si>
    <t>3rdA-YOLO BLACK</t>
  </si>
  <si>
    <t>3rdB-PATRIOT RED</t>
  </si>
  <si>
    <t>5th</t>
  </si>
  <si>
    <t>10Cpt15</t>
  </si>
  <si>
    <t>2ndA-CHANNEL ISLANDS UNITED</t>
  </si>
  <si>
    <t>2ndB-CHULA VISTA PREMIER</t>
  </si>
  <si>
    <t>10Cpt16</t>
  </si>
  <si>
    <t>1stA-NORTH IRVINE BLACK</t>
  </si>
  <si>
    <t>1stB-ORANGE COUNTY WPC BLUE</t>
  </si>
  <si>
    <t>10B01</t>
  </si>
  <si>
    <t>10B02</t>
  </si>
  <si>
    <t>10B03</t>
  </si>
  <si>
    <t>10B04</t>
  </si>
  <si>
    <t>10B05</t>
  </si>
  <si>
    <t>10B06</t>
  </si>
  <si>
    <t>10B07</t>
  </si>
  <si>
    <t>10B08</t>
  </si>
  <si>
    <t>10B09</t>
  </si>
  <si>
    <t>10B10</t>
  </si>
  <si>
    <t>10B11</t>
  </si>
  <si>
    <t>10B12</t>
  </si>
  <si>
    <t>10B13</t>
  </si>
  <si>
    <t>4thA-LA PREMIER</t>
  </si>
  <si>
    <t>4thB-680 BLUE</t>
  </si>
  <si>
    <t>10B14</t>
  </si>
  <si>
    <t>3rdA-CC UNITED BLUE</t>
  </si>
  <si>
    <t>3rdB-STANFORD RED</t>
  </si>
  <si>
    <t>10B15</t>
  </si>
  <si>
    <t>2ndA-LAMORINDA BLUE (A)</t>
  </si>
  <si>
    <t>2ndB-SAN CLEMENTE RED</t>
  </si>
  <si>
    <t>10B16</t>
  </si>
  <si>
    <t>1stA-680 RED</t>
  </si>
  <si>
    <t>1stB-CC UNITED BLACK</t>
  </si>
  <si>
    <t>12 teams</t>
  </si>
  <si>
    <t>6 min. qrtrs.</t>
  </si>
  <si>
    <t>12+12</t>
  </si>
  <si>
    <t>12Gpt01</t>
  </si>
  <si>
    <t>12Gpt02</t>
  </si>
  <si>
    <t>12Gpt03</t>
  </si>
  <si>
    <t>12Gpt04</t>
  </si>
  <si>
    <t>12Gpt05</t>
  </si>
  <si>
    <t>12Gpt06</t>
  </si>
  <si>
    <t>12Gpt07</t>
  </si>
  <si>
    <t>12Gpt09</t>
  </si>
  <si>
    <t>12Gpt08</t>
  </si>
  <si>
    <t>12Gpt10</t>
  </si>
  <si>
    <t>12Gpt11</t>
  </si>
  <si>
    <t>12Gpt12</t>
  </si>
  <si>
    <t>12Gpt15</t>
  </si>
  <si>
    <t>2ndA-LAMORINDA C</t>
  </si>
  <si>
    <t xml:space="preserve">2ndD-LA JOLLA UNITED	</t>
  </si>
  <si>
    <t>5-8 semi 2A/2D</t>
  </si>
  <si>
    <t>12Gpt21</t>
  </si>
  <si>
    <t>3rdA-GOLD COAST</t>
  </si>
  <si>
    <t>3rdD-NORTH IRVINE</t>
  </si>
  <si>
    <t>9-12 semi 3A/3D</t>
  </si>
  <si>
    <t>12Gpt22</t>
  </si>
  <si>
    <t>3rdB-SOUTH COAST RED</t>
  </si>
  <si>
    <t>3rdC-DAVIS</t>
  </si>
  <si>
    <t>9-12 semi 3B/3C</t>
  </si>
  <si>
    <t>12Gpt16</t>
  </si>
  <si>
    <t xml:space="preserve">2ndB-ORANGE COUNTY WPC BLUE	</t>
  </si>
  <si>
    <t>2ndC-LAMORINDA B</t>
  </si>
  <si>
    <t>5-8 semi 2B/2C</t>
  </si>
  <si>
    <t>12Gpt13</t>
  </si>
  <si>
    <t>1stA-BACK BAY NAVY</t>
  </si>
  <si>
    <t>1stD-SHAQ</t>
  </si>
  <si>
    <t>1-4 semi 1A/1D</t>
  </si>
  <si>
    <t>12Gpt14</t>
  </si>
  <si>
    <t>1stB-680 RED</t>
  </si>
  <si>
    <t>1stC-NEWPORT BEACH</t>
  </si>
  <si>
    <t>1-4 semi 1B/1C</t>
  </si>
  <si>
    <t>12Gpt23</t>
  </si>
  <si>
    <t>9th</t>
  </si>
  <si>
    <t>12Gpt19</t>
  </si>
  <si>
    <t>12Gpt24</t>
  </si>
  <si>
    <t>11th</t>
  </si>
  <si>
    <t>12Gpt20</t>
  </si>
  <si>
    <t>12Gpt17</t>
  </si>
  <si>
    <t>12Gpt18</t>
  </si>
  <si>
    <t>23 teams</t>
  </si>
  <si>
    <t>25+24</t>
  </si>
  <si>
    <t>4-MARIN</t>
  </si>
  <si>
    <t>5-BACK BAY</t>
  </si>
  <si>
    <t>2-TROJAN</t>
  </si>
  <si>
    <t>3-CMAC</t>
  </si>
  <si>
    <t>6-SAN MATEO</t>
  </si>
  <si>
    <t>A2(12)-STANFORD BLACK</t>
  </si>
  <si>
    <t>9-SOUTH COAST RED</t>
  </si>
  <si>
    <t>8-GOLD COAST</t>
  </si>
  <si>
    <t>11-680 BLUE</t>
  </si>
  <si>
    <t>10-AMERICAN RIVER BLUE</t>
  </si>
  <si>
    <t>7-FOOTHILL RED</t>
  </si>
  <si>
    <t>A3(13)-SAN CLEMENTE BLACK</t>
  </si>
  <si>
    <t>16-NORTH IRVINE RED</t>
  </si>
  <si>
    <t>17-LA JOLLA UNITED GOLD</t>
  </si>
  <si>
    <t>14-CC UNITED BLUE</t>
  </si>
  <si>
    <t>15-MISSION WPC B</t>
  </si>
  <si>
    <t>18-LAMORINDA B</t>
  </si>
  <si>
    <t>21-LAMORINDA C</t>
  </si>
  <si>
    <t>20-CC UNITED WHITE</t>
  </si>
  <si>
    <t>23-PATRIOT 10 NAVY</t>
  </si>
  <si>
    <t>22-STANFORD WHITE</t>
  </si>
  <si>
    <t>19-680 WHITE</t>
  </si>
  <si>
    <t>L (13th-18th)</t>
  </si>
  <si>
    <t>M (19th-23rd) 2 games each</t>
  </si>
  <si>
    <t>RR</t>
  </si>
  <si>
    <t>M5(4thD)-</t>
  </si>
  <si>
    <t>P Overall 5th</t>
  </si>
  <si>
    <t>P1(3rdG)-</t>
  </si>
  <si>
    <t>P2(3rdH)-</t>
  </si>
  <si>
    <t>12Bau11</t>
  </si>
  <si>
    <t>12Bau01</t>
  </si>
  <si>
    <t>W/L C1/C4</t>
  </si>
  <si>
    <t>12Bau05</t>
  </si>
  <si>
    <t>12Bau03</t>
  </si>
  <si>
    <t>W/L C2/C3</t>
  </si>
  <si>
    <t>12Bau07</t>
  </si>
  <si>
    <t>W/L B1/B4</t>
  </si>
  <si>
    <t>12Bau09</t>
  </si>
  <si>
    <t>W/L B2/B3</t>
  </si>
  <si>
    <t>12Bau17</t>
  </si>
  <si>
    <t>12Bau15</t>
  </si>
  <si>
    <t>1st/2ndC</t>
  </si>
  <si>
    <t>12Bau13</t>
  </si>
  <si>
    <t>3rd/4thC</t>
  </si>
  <si>
    <t>12Bau21</t>
  </si>
  <si>
    <t>1st/2ndB</t>
  </si>
  <si>
    <t>12Bau19</t>
  </si>
  <si>
    <t>3rd/4thB</t>
  </si>
  <si>
    <t>12Bau23</t>
  </si>
  <si>
    <t>G bracket 1A,1C</t>
  </si>
  <si>
    <t>12Bau02</t>
  </si>
  <si>
    <t>W/L D1/D4</t>
  </si>
  <si>
    <t>12Bau04</t>
  </si>
  <si>
    <t>W/L D2/D3</t>
  </si>
  <si>
    <t>12Bau06</t>
  </si>
  <si>
    <t>W/L E1/E4</t>
  </si>
  <si>
    <t>12Bau08</t>
  </si>
  <si>
    <t>W/L E2/E3</t>
  </si>
  <si>
    <t>12Bau10</t>
  </si>
  <si>
    <t>W/L F1/F4</t>
  </si>
  <si>
    <t>12Bau12</t>
  </si>
  <si>
    <t>W/L F2/F3</t>
  </si>
  <si>
    <t>12Bau16</t>
  </si>
  <si>
    <t>1st/2ndD</t>
  </si>
  <si>
    <t>12Bau14</t>
  </si>
  <si>
    <t>3rd/4thD</t>
  </si>
  <si>
    <t>12Bau20</t>
  </si>
  <si>
    <t>1st/2nd E</t>
  </si>
  <si>
    <t>12Bau18</t>
  </si>
  <si>
    <t>3rd/4th E</t>
  </si>
  <si>
    <t>12Bau24</t>
  </si>
  <si>
    <t>1st/2nd F</t>
  </si>
  <si>
    <t>12Bau22</t>
  </si>
  <si>
    <t>3rd/4th F</t>
  </si>
  <si>
    <t>12Bau25</t>
  </si>
  <si>
    <t>H bracket 1D/1E</t>
  </si>
  <si>
    <t>12Bau26</t>
  </si>
  <si>
    <t>I bracket I1,I3</t>
  </si>
  <si>
    <t>12Bau28</t>
  </si>
  <si>
    <t>G bracket G1,G3</t>
  </si>
  <si>
    <t>12Bau30</t>
  </si>
  <si>
    <t>H bracket H1,H3</t>
  </si>
  <si>
    <t>12Bau33</t>
  </si>
  <si>
    <t>I bracket I2,I3</t>
  </si>
  <si>
    <t>12Bau36</t>
  </si>
  <si>
    <t>G bracket G2,G3</t>
  </si>
  <si>
    <t>12Bau38</t>
  </si>
  <si>
    <t>H bracket H2,H3</t>
  </si>
  <si>
    <t>12Bau40</t>
  </si>
  <si>
    <t>I bracket I1,2</t>
  </si>
  <si>
    <t>12Bau43</t>
  </si>
  <si>
    <t>5th 3G/3H</t>
  </si>
  <si>
    <t>12Bau46</t>
  </si>
  <si>
    <t>3rd 2G/2H</t>
  </si>
  <si>
    <t>12Bau49</t>
  </si>
  <si>
    <t>1st 1G/1H</t>
  </si>
  <si>
    <t>12Bau27</t>
  </si>
  <si>
    <t>L bracket L1,L3</t>
  </si>
  <si>
    <t>12Bau29</t>
  </si>
  <si>
    <t>J bracket J1,J3</t>
  </si>
  <si>
    <t>12Bau31</t>
  </si>
  <si>
    <t>K bracket K1,K3</t>
  </si>
  <si>
    <t>12Bau34</t>
  </si>
  <si>
    <t>L bracket L2,L3</t>
  </si>
  <si>
    <t>12Bau37</t>
  </si>
  <si>
    <t>J bracket J2,J3</t>
  </si>
  <si>
    <t>12Bau39</t>
  </si>
  <si>
    <t>K bracket K2,K3</t>
  </si>
  <si>
    <t>12Bau41</t>
  </si>
  <si>
    <t>L bracket L1,L2</t>
  </si>
  <si>
    <t>12Bau44</t>
  </si>
  <si>
    <t>J bracket J1,J2</t>
  </si>
  <si>
    <t>12Bau47</t>
  </si>
  <si>
    <t>K bracket K1,K2</t>
  </si>
  <si>
    <t>12Bau32</t>
  </si>
  <si>
    <t>19th-23rd</t>
  </si>
  <si>
    <t>12Bau35</t>
  </si>
  <si>
    <t>12Bau42</t>
  </si>
  <si>
    <t>12Bau45</t>
  </si>
  <si>
    <t>12Bau48</t>
  </si>
  <si>
    <t>24 teams</t>
  </si>
  <si>
    <t>24+26</t>
  </si>
  <si>
    <t>12Bau04A</t>
  </si>
  <si>
    <t>12Bau01A</t>
  </si>
  <si>
    <t>E bracket E1,E3</t>
  </si>
  <si>
    <t>12Bau08A</t>
  </si>
  <si>
    <t>G bracket G1,G2</t>
  </si>
  <si>
    <t>12Bau02A</t>
  </si>
  <si>
    <t>12Bau03A</t>
  </si>
  <si>
    <t>F bracket F1,F3</t>
  </si>
  <si>
    <t>12Bau05A</t>
  </si>
  <si>
    <t>E bracket E2,E3</t>
  </si>
  <si>
    <t>12Bau12A</t>
  </si>
  <si>
    <t>12Bau06A</t>
  </si>
  <si>
    <t>12Bau07A</t>
  </si>
  <si>
    <t>F bracket F2,F3</t>
  </si>
  <si>
    <t>12Bau09A</t>
  </si>
  <si>
    <t>E bracket E1,E2</t>
  </si>
  <si>
    <t>12Bau10A</t>
  </si>
  <si>
    <t>H bracket H1,H2</t>
  </si>
  <si>
    <t>12Bau11A</t>
  </si>
  <si>
    <t>F bracket F1,F2</t>
  </si>
  <si>
    <t>1stA-ORANGE COUNTY WPC BLUE</t>
  </si>
  <si>
    <t>1stD-LAMORINDA B</t>
  </si>
  <si>
    <t>1-8 cross 1A/1D</t>
  </si>
  <si>
    <t>1stB-SAN CLEMENTE BLACK</t>
  </si>
  <si>
    <t>1stC-MISSION WPC B</t>
  </si>
  <si>
    <t>1-8 cross 1B/1C</t>
  </si>
  <si>
    <t>3rdA-680 WHITE</t>
  </si>
  <si>
    <t>3rdD-NORTH IRVINE RED</t>
  </si>
  <si>
    <t>17-24 cross 3A/3D</t>
  </si>
  <si>
    <t>3rdB-LAMORINDA C</t>
  </si>
  <si>
    <t>3rdC-BACK BAY</t>
  </si>
  <si>
    <t>17-24 cross 3B/3C</t>
  </si>
  <si>
    <t>12Bau14A</t>
  </si>
  <si>
    <t>3rdF-PATRIOT 10 NAVY</t>
  </si>
  <si>
    <t>3rdG-NORTH IRVINE WHITE</t>
  </si>
  <si>
    <t>17-24 cross 3F/3G</t>
  </si>
  <si>
    <t>overall 1-4 semi</t>
  </si>
  <si>
    <t>12Bau24A</t>
  </si>
  <si>
    <t>2ndA-STANFORD BLACK</t>
  </si>
  <si>
    <t>2ndD-GOLD COAST</t>
  </si>
  <si>
    <t>9-16 cross 2A/2D</t>
  </si>
  <si>
    <t>2ndB-MARIN</t>
  </si>
  <si>
    <t>2ndC-CC UNITED BLUE</t>
  </si>
  <si>
    <t>9-16 cross 2B,2C</t>
  </si>
  <si>
    <t>12Bau20A</t>
  </si>
  <si>
    <t>tie 17th</t>
  </si>
  <si>
    <t>tie 5th</t>
  </si>
  <si>
    <t>tie 13th</t>
  </si>
  <si>
    <t>tie 21st</t>
  </si>
  <si>
    <t>tie 9th</t>
  </si>
  <si>
    <t>12Bau17A</t>
  </si>
  <si>
    <t>1stE-TROJAN</t>
  </si>
  <si>
    <t>1stH-FOOTHILL RED</t>
  </si>
  <si>
    <t>1-8 cross 1E/1H</t>
  </si>
  <si>
    <t>12Bau18A</t>
  </si>
  <si>
    <t>1stF-680 BLUE</t>
  </si>
  <si>
    <t>1stG-SAN MATEO</t>
  </si>
  <si>
    <t>1-8 cross 1F/1G</t>
  </si>
  <si>
    <t>12Bau13A</t>
  </si>
  <si>
    <t>3rdE-CC UNITED WHITE</t>
  </si>
  <si>
    <t>3rdH-AMERICAN RIVER BLUE</t>
  </si>
  <si>
    <t>17-24 cross 3E/3H</t>
  </si>
  <si>
    <t>12Bau15A</t>
  </si>
  <si>
    <t>2ndE-LA JOLLA UNITED GOLD</t>
  </si>
  <si>
    <t>2ndH-STANFORD WHITE</t>
  </si>
  <si>
    <t>9-16 cross 2E/2H</t>
  </si>
  <si>
    <t>12Bau16A</t>
  </si>
  <si>
    <t>2ndF-CMAC</t>
  </si>
  <si>
    <t>2ndG-SOUTH COAST RED</t>
  </si>
  <si>
    <t>9-16 cross 2F/2G</t>
  </si>
  <si>
    <t>12Bau19A</t>
  </si>
  <si>
    <t>12Bau23A</t>
  </si>
  <si>
    <t>12Bau22A</t>
  </si>
  <si>
    <t>12Bau21A</t>
  </si>
  <si>
    <t>10 teams</t>
  </si>
  <si>
    <t>21 games</t>
  </si>
  <si>
    <t>10+11</t>
  </si>
  <si>
    <t>12Bpt01</t>
  </si>
  <si>
    <t>12Bpt02</t>
  </si>
  <si>
    <t>12Bpt03</t>
  </si>
  <si>
    <t>C bracket C1,C4</t>
  </si>
  <si>
    <t>12Bpt04</t>
  </si>
  <si>
    <t>12Bpt05</t>
  </si>
  <si>
    <t>12Bpt06</t>
  </si>
  <si>
    <t>12Bpt07</t>
  </si>
  <si>
    <t>12Bpt08</t>
  </si>
  <si>
    <t>C bracket C3,C4</t>
  </si>
  <si>
    <t>12Bpt09</t>
  </si>
  <si>
    <t>12Bpt10</t>
  </si>
  <si>
    <t>12Bpt11</t>
  </si>
  <si>
    <t>C bracket C2,C4</t>
  </si>
  <si>
    <t>12Bpt12</t>
  </si>
  <si>
    <t>12Bpt13</t>
  </si>
  <si>
    <t>2ndA-680 RED</t>
  </si>
  <si>
    <t>3rdB-LA JOLLA UNITED NAVY</t>
  </si>
  <si>
    <t>5th-10th 2A/3B</t>
  </si>
  <si>
    <t>12Bpt14</t>
  </si>
  <si>
    <t>3rdA-LAMORINDA A</t>
  </si>
  <si>
    <t>2ndB-NORTH IRVINE BLACK</t>
  </si>
  <si>
    <t>5th-10th 3A/2B</t>
  </si>
  <si>
    <t>12Bpt15</t>
  </si>
  <si>
    <t>1stA-MISSION WPC A</t>
  </si>
  <si>
    <t>2ndC-ORWP A</t>
  </si>
  <si>
    <t>1-4 semi 1A/2C</t>
  </si>
  <si>
    <t>12Bpt16</t>
  </si>
  <si>
    <t>1stC-STANFORD RED</t>
  </si>
  <si>
    <t>12Bpt18</t>
  </si>
  <si>
    <t>3rdC-SHAQ</t>
  </si>
  <si>
    <t>7th-10th</t>
  </si>
  <si>
    <t>12Bpt20</t>
  </si>
  <si>
    <t>12Bpt21</t>
  </si>
  <si>
    <t>12Bpt17</t>
  </si>
  <si>
    <t>12Bpt19</t>
  </si>
  <si>
    <t>4thC-DAVIS</t>
  </si>
  <si>
    <t>7 teams</t>
  </si>
  <si>
    <t>6 min quarters</t>
  </si>
  <si>
    <t>15 games</t>
  </si>
  <si>
    <t>7+8</t>
  </si>
  <si>
    <t>12C01</t>
  </si>
  <si>
    <t>12C02</t>
  </si>
  <si>
    <t>B bracket B1,B4</t>
  </si>
  <si>
    <t>12C04</t>
  </si>
  <si>
    <t>12C03</t>
  </si>
  <si>
    <t>12C05</t>
  </si>
  <si>
    <t>12C06</t>
  </si>
  <si>
    <t>B bracket B2,B4</t>
  </si>
  <si>
    <t>12C07</t>
  </si>
  <si>
    <t>12C08</t>
  </si>
  <si>
    <t>B bracket B3,B4</t>
  </si>
  <si>
    <t>12C09</t>
  </si>
  <si>
    <t>12C10</t>
  </si>
  <si>
    <t>3rdA-CMAC</t>
  </si>
  <si>
    <t>4thB-LOYOLA WPC</t>
  </si>
  <si>
    <t>5th-7th</t>
  </si>
  <si>
    <t>12C11</t>
  </si>
  <si>
    <t>1stA-SET</t>
  </si>
  <si>
    <t>2ndB-LA CITY UNITED</t>
  </si>
  <si>
    <t>1-4 semi</t>
  </si>
  <si>
    <t>12C12</t>
  </si>
  <si>
    <t>1stB-YOLO BLACK</t>
  </si>
  <si>
    <t>2ndA-PALOS VERDES</t>
  </si>
  <si>
    <t>12C13</t>
  </si>
  <si>
    <t>3rdB-POWAY VALLEY</t>
  </si>
  <si>
    <t>12C15</t>
  </si>
  <si>
    <t>12C14</t>
  </si>
  <si>
    <t xml:space="preserve">  </t>
  </si>
  <si>
    <t>&lt;---POINTS        SCORES---&gt;</t>
  </si>
  <si>
    <t>14 teams</t>
  </si>
  <si>
    <t>14+14</t>
  </si>
  <si>
    <t>14Gau12</t>
  </si>
  <si>
    <t>14Gau03</t>
  </si>
  <si>
    <t>14Gau04</t>
  </si>
  <si>
    <t>14Gau09</t>
  </si>
  <si>
    <t>14Gau01</t>
  </si>
  <si>
    <t>14Gau02</t>
  </si>
  <si>
    <t>14Gau10</t>
  </si>
  <si>
    <t>14Gau11</t>
  </si>
  <si>
    <t>14Gau08</t>
  </si>
  <si>
    <t>14Gau07</t>
  </si>
  <si>
    <t>14Gau14</t>
  </si>
  <si>
    <t>14Gau13</t>
  </si>
  <si>
    <t>14Gau05</t>
  </si>
  <si>
    <t>14Gau06</t>
  </si>
  <si>
    <t>14Gau24</t>
  </si>
  <si>
    <t>2ndB-BACK BAY</t>
  </si>
  <si>
    <t>5-8 semi</t>
  </si>
  <si>
    <t>14Gau18</t>
  </si>
  <si>
    <t>3rdB-HONOLULU</t>
  </si>
  <si>
    <t>9th-14th 3B,4D</t>
  </si>
  <si>
    <t>14Gau23</t>
  </si>
  <si>
    <t>2ndA-LA JOLLA UNITED</t>
  </si>
  <si>
    <t>14Gau16</t>
  </si>
  <si>
    <t>3rdA-SANTA CRUZ BLUE</t>
  </si>
  <si>
    <t>9th-14th 3A,3D</t>
  </si>
  <si>
    <t>14Gau15</t>
  </si>
  <si>
    <t>1stA-PASADENA AC</t>
  </si>
  <si>
    <t>14Gau17</t>
  </si>
  <si>
    <t>1stB-ROGUE 619</t>
  </si>
  <si>
    <t>14Gau26</t>
  </si>
  <si>
    <t>9th-14th 4C,4D</t>
  </si>
  <si>
    <t>14Gau20</t>
  </si>
  <si>
    <t>9th-14th 3C,3D</t>
  </si>
  <si>
    <t>14Gau19</t>
  </si>
  <si>
    <t>9th-14th 4C,3B</t>
  </si>
  <si>
    <t>14Gau27</t>
  </si>
  <si>
    <t>14Gau28</t>
  </si>
  <si>
    <t>14Gau25</t>
  </si>
  <si>
    <t>9th-14th 3A,3C</t>
  </si>
  <si>
    <t>14Gau21</t>
  </si>
  <si>
    <t>14Gau22</t>
  </si>
  <si>
    <t>14Gpt01</t>
  </si>
  <si>
    <t>14Gpt02</t>
  </si>
  <si>
    <t>14Gpt03</t>
  </si>
  <si>
    <t>14Gpt04</t>
  </si>
  <si>
    <t>14Gpt05</t>
  </si>
  <si>
    <t>14Gpt06</t>
  </si>
  <si>
    <t>14Gpt07</t>
  </si>
  <si>
    <t>14Gpt08</t>
  </si>
  <si>
    <t>14Gpt09</t>
  </si>
  <si>
    <t>14Gpt10</t>
  </si>
  <si>
    <t>14Gpt11</t>
  </si>
  <si>
    <t>14Gpt12</t>
  </si>
  <si>
    <t>14Gpt13</t>
  </si>
  <si>
    <t>2ndA-STANFORD</t>
  </si>
  <si>
    <t>3rdB-NEWPORT BEACH</t>
  </si>
  <si>
    <t>14Gpt14</t>
  </si>
  <si>
    <t>3rdA-DAVIS</t>
  </si>
  <si>
    <t>2ndB-CC UNITED BLACK</t>
  </si>
  <si>
    <t>14Gpt15</t>
  </si>
  <si>
    <t>1stA-CDM PINK</t>
  </si>
  <si>
    <t xml:space="preserve">2ndC-SOUTH COAST RED (A)	</t>
  </si>
  <si>
    <t>14Gpt16</t>
  </si>
  <si>
    <t>1stB-PATRIOT RED</t>
  </si>
  <si>
    <t>1stC-SANTA CRUZ BLACK</t>
  </si>
  <si>
    <t>14Gpt18</t>
  </si>
  <si>
    <t>3rdC-LAMORINDA B</t>
  </si>
  <si>
    <t>14Gpt20</t>
  </si>
  <si>
    <t>14Gpt21</t>
  </si>
  <si>
    <t>14Gpt17</t>
  </si>
  <si>
    <t>14Gpt19</t>
  </si>
  <si>
    <t>4thC-FOOTHILL RED</t>
  </si>
  <si>
    <t>17 teams</t>
  </si>
  <si>
    <t>7 min. qrtrs.</t>
  </si>
  <si>
    <t>18+18</t>
  </si>
  <si>
    <t>B1-SAND CANYON</t>
  </si>
  <si>
    <t>C1-GOLD COAST</t>
  </si>
  <si>
    <t>D1-PASADENA AC</t>
  </si>
  <si>
    <t>E1-SET</t>
  </si>
  <si>
    <t>F1-NADO</t>
  </si>
  <si>
    <t>G1-TRITON GOLD</t>
  </si>
  <si>
    <t>H1-TROJAN GOLD</t>
  </si>
  <si>
    <t>A2-SOUTH COAST BLUE (C)</t>
  </si>
  <si>
    <t>B2-CC UNITED WHITE</t>
  </si>
  <si>
    <t>C2-ORANGE COUNTY WPC RED</t>
  </si>
  <si>
    <t>D2-SAN CLEMENTE BLACK</t>
  </si>
  <si>
    <t>E2-PALOS VERDES B</t>
  </si>
  <si>
    <t>F2-AMERICAN RIVER GOLD</t>
  </si>
  <si>
    <t>G2-LOYOLA WPC</t>
  </si>
  <si>
    <t>H2-HONOLULU GREEN</t>
  </si>
  <si>
    <t>A3-680 WHITE</t>
  </si>
  <si>
    <t>1, 4, 5, 8</t>
  </si>
  <si>
    <t>2, 3, 6, 7</t>
  </si>
  <si>
    <t>9, 12, 13, 16</t>
  </si>
  <si>
    <t>10, 11,14, 15</t>
  </si>
  <si>
    <t>3rdH=15th, 16th, 17th</t>
  </si>
  <si>
    <t>L (9th-17th)</t>
  </si>
  <si>
    <t>M (9th-17th)</t>
  </si>
  <si>
    <t>P (15th-17th)</t>
  </si>
  <si>
    <t>P1(3rdA)-</t>
  </si>
  <si>
    <t>L4(2ndA)-</t>
  </si>
  <si>
    <t>M4(2ndB)-</t>
  </si>
  <si>
    <t>14Bag01</t>
  </si>
  <si>
    <t>14Bag03</t>
  </si>
  <si>
    <t>D bracket D1/D2</t>
  </si>
  <si>
    <t>14Bag04</t>
  </si>
  <si>
    <t>E bracket E1/E2</t>
  </si>
  <si>
    <t>14Bag05</t>
  </si>
  <si>
    <t>14Bag02</t>
  </si>
  <si>
    <t>H bracket H1/H2</t>
  </si>
  <si>
    <t>14Bag11</t>
  </si>
  <si>
    <t>1DE</t>
  </si>
  <si>
    <t>14Bag10</t>
  </si>
  <si>
    <t>14Bag15</t>
  </si>
  <si>
    <t>2DE</t>
  </si>
  <si>
    <t>14Bag14</t>
  </si>
  <si>
    <t>1AH</t>
  </si>
  <si>
    <t>14Bag18</t>
  </si>
  <si>
    <t>2AH</t>
  </si>
  <si>
    <t>14Bag06</t>
  </si>
  <si>
    <t>B bracket B1/B2</t>
  </si>
  <si>
    <t>14Bag07</t>
  </si>
  <si>
    <t>G bracket G1/G2</t>
  </si>
  <si>
    <t>14Bag08</t>
  </si>
  <si>
    <t>C bracket C1/C2</t>
  </si>
  <si>
    <t>14Bag09</t>
  </si>
  <si>
    <t>F bracket F1/F2</t>
  </si>
  <si>
    <t>14Bag16</t>
  </si>
  <si>
    <t>2BG</t>
  </si>
  <si>
    <t>14Bag12</t>
  </si>
  <si>
    <t>1BG</t>
  </si>
  <si>
    <t>14Bag13</t>
  </si>
  <si>
    <t>1CF</t>
  </si>
  <si>
    <t>14Bag17</t>
  </si>
  <si>
    <t>2CF</t>
  </si>
  <si>
    <t>14Bag19</t>
  </si>
  <si>
    <t>3rd/4thL 13-16</t>
  </si>
  <si>
    <t>14Bag20</t>
  </si>
  <si>
    <t>3rd/4thM 13-16</t>
  </si>
  <si>
    <t>14Bag31</t>
  </si>
  <si>
    <t>15th-17th</t>
  </si>
  <si>
    <t>14Bag25</t>
  </si>
  <si>
    <t>1st/2ndL 9-12</t>
  </si>
  <si>
    <t>14Bag27</t>
  </si>
  <si>
    <t>14Bag26</t>
  </si>
  <si>
    <t>1st/2ndM 9-12</t>
  </si>
  <si>
    <t>14Bag36</t>
  </si>
  <si>
    <t>14Bag34</t>
  </si>
  <si>
    <t>14Bag35</t>
  </si>
  <si>
    <t>14Bag30</t>
  </si>
  <si>
    <t>13th</t>
  </si>
  <si>
    <t>14Bag23</t>
  </si>
  <si>
    <t>3rd/4thK 5-8</t>
  </si>
  <si>
    <t>14Bag24</t>
  </si>
  <si>
    <t>3rd/4thJ 5-8</t>
  </si>
  <si>
    <t>14Bag21</t>
  </si>
  <si>
    <t>1st/2ndK 1-4</t>
  </si>
  <si>
    <t>14Bag22</t>
  </si>
  <si>
    <t>1st/2ndJ 1-4</t>
  </si>
  <si>
    <t>14Bag32</t>
  </si>
  <si>
    <t>14Bag33</t>
  </si>
  <si>
    <t>14Bag28</t>
  </si>
  <si>
    <t>14Bag29</t>
  </si>
  <si>
    <t>18 teams</t>
  </si>
  <si>
    <t>38 games</t>
  </si>
  <si>
    <t>18+20</t>
  </si>
  <si>
    <t>G1(1stA)-POWAY VALLEY BLACK</t>
  </si>
  <si>
    <t>H1(1stD)-SAND CANYON</t>
  </si>
  <si>
    <t>J1(2ndF)-NADO</t>
  </si>
  <si>
    <t>K1(2ndC)-ORANGE COUNTY WPC RED</t>
  </si>
  <si>
    <t>M1(3rdA)-SAN CLEMENTE BLACK</t>
  </si>
  <si>
    <t>N1(3rdD)-AMERICAN RIVER GOLD</t>
  </si>
  <si>
    <t>G2(1stB)-SAN FRANCISCO</t>
  </si>
  <si>
    <t>H2(1stE)-GOLD COAST</t>
  </si>
  <si>
    <t>J2(2ndE)-HONOLULU GREEN</t>
  </si>
  <si>
    <t>K2(2ndB)-SOUTH COAST BLUE (C)</t>
  </si>
  <si>
    <t>M2(3rdB)-TROJAN GOLD</t>
  </si>
  <si>
    <t>N2(3rdE)-CC UNITED WHITE</t>
  </si>
  <si>
    <t>G3(1stC)-PASADENA AC</t>
  </si>
  <si>
    <t>H3(1stF)-680 WHITE</t>
  </si>
  <si>
    <t>J3(2ndD)-PALOS VERDES B</t>
  </si>
  <si>
    <t>K3(2ndA)-LOYOLA WPC</t>
  </si>
  <si>
    <t xml:space="preserve">M3(3rdC)-TRITON GOLD	</t>
  </si>
  <si>
    <t>N3(3rdF)-SET</t>
  </si>
  <si>
    <t>GAME#</t>
  </si>
  <si>
    <t>WHITE</t>
  </si>
  <si>
    <t>DARK</t>
  </si>
  <si>
    <t>1st-6th</t>
  </si>
  <si>
    <t>7th-12th</t>
  </si>
  <si>
    <t>14Bag37</t>
  </si>
  <si>
    <t>2ndG-PASADENA AC</t>
  </si>
  <si>
    <t>2ndH-SAND CANYON</t>
  </si>
  <si>
    <t>overall 3rd</t>
  </si>
  <si>
    <t>14Bag38</t>
  </si>
  <si>
    <t>1stG-POWAY VALLEY BLACK</t>
  </si>
  <si>
    <t>1stH-GOLD COAST</t>
  </si>
  <si>
    <t>overall 1st</t>
  </si>
  <si>
    <t>13th-18th</t>
  </si>
  <si>
    <t>26 teams</t>
  </si>
  <si>
    <t>26+28</t>
  </si>
  <si>
    <t>G1(6)-SD ECA</t>
  </si>
  <si>
    <t>G2(11)-LAMORINDA B</t>
  </si>
  <si>
    <t>G3(22)-VANGUARD SILVER</t>
  </si>
  <si>
    <t>J1(1stA)-SHORE AQUATICS</t>
  </si>
  <si>
    <t>K1(1stE)-MISSION WPC B</t>
  </si>
  <si>
    <t>L1(2ndA)-NORTH IRVINE RED</t>
  </si>
  <si>
    <t>M1(2ndE)-CC UNITED BLUE</t>
  </si>
  <si>
    <t>N1(3rdA)-HONOLULU BLUE</t>
  </si>
  <si>
    <t>O1(3rdE)-FOOTHILL RED</t>
  </si>
  <si>
    <t>P1(3rdF)-BOA</t>
  </si>
  <si>
    <t>J2(1stB)-BACK BAY</t>
  </si>
  <si>
    <t>K2(1stF)-680 BLUE</t>
  </si>
  <si>
    <t>L2(2ndB)-DAVIS</t>
  </si>
  <si>
    <t>M2(2ndF)-CT PREMIER</t>
  </si>
  <si>
    <t>N2(3rdG)-SD ECA</t>
  </si>
  <si>
    <t>O2(3rdC)-STANFORD 13</t>
  </si>
  <si>
    <t>P2(3rdB)-LA JOLLA UNITED GOLD</t>
  </si>
  <si>
    <t>J3(1stC)-NORTHWEST</t>
  </si>
  <si>
    <t>K3(1stG)-VANGUARD SILVER</t>
  </si>
  <si>
    <t>L3(2ndC)-LAWPC</t>
  </si>
  <si>
    <t xml:space="preserve">M3(2ndG)-LAMORINDA B	</t>
  </si>
  <si>
    <t>14Bau01</t>
  </si>
  <si>
    <t>14Bau08</t>
  </si>
  <si>
    <t>14Bau09</t>
  </si>
  <si>
    <t>14Bau02</t>
  </si>
  <si>
    <t>14Bau03</t>
  </si>
  <si>
    <t>14Bau04</t>
  </si>
  <si>
    <t>14Bau10</t>
  </si>
  <si>
    <t>14Bau11</t>
  </si>
  <si>
    <t>14Bau05</t>
  </si>
  <si>
    <t>3rd/4th D</t>
  </si>
  <si>
    <t>14Bau06</t>
  </si>
  <si>
    <t>1st/2nd D</t>
  </si>
  <si>
    <t>14Bau07</t>
  </si>
  <si>
    <t>14Bau12</t>
  </si>
  <si>
    <t>14Bau13</t>
  </si>
  <si>
    <t>14Bau15</t>
  </si>
  <si>
    <t>W/L H1/H4</t>
  </si>
  <si>
    <t>14Bau16</t>
  </si>
  <si>
    <t>W/L H2/H3</t>
  </si>
  <si>
    <t>14Bau14</t>
  </si>
  <si>
    <t>14Bau21</t>
  </si>
  <si>
    <t>14Bau22</t>
  </si>
  <si>
    <t>14Bau18</t>
  </si>
  <si>
    <t>3rd/4th H</t>
  </si>
  <si>
    <t>14Bau19</t>
  </si>
  <si>
    <t>1st/2nd H</t>
  </si>
  <si>
    <t>14Bau17</t>
  </si>
  <si>
    <t>14Bau23</t>
  </si>
  <si>
    <t>14Bau24</t>
  </si>
  <si>
    <t>14Bau20</t>
  </si>
  <si>
    <t>14Bau25</t>
  </si>
  <si>
    <t>14Bau26</t>
  </si>
  <si>
    <t>14Bau27</t>
  </si>
  <si>
    <t>1st-8th</t>
  </si>
  <si>
    <t>14Bau28</t>
  </si>
  <si>
    <t>14Bau29</t>
  </si>
  <si>
    <t>14Bau30</t>
  </si>
  <si>
    <t>14Bau37</t>
  </si>
  <si>
    <t>1st/2ndJ</t>
  </si>
  <si>
    <t>14Bau38</t>
  </si>
  <si>
    <t>1st/2ndK</t>
  </si>
  <si>
    <t>14Bau39</t>
  </si>
  <si>
    <t>3rd/4thJ</t>
  </si>
  <si>
    <t>14Bau40</t>
  </si>
  <si>
    <t>3rd/4thK</t>
  </si>
  <si>
    <t>14Bau35</t>
  </si>
  <si>
    <t>14Bau36</t>
  </si>
  <si>
    <t>14Bau41</t>
  </si>
  <si>
    <t>N bracket</t>
  </si>
  <si>
    <t>14Bau42</t>
  </si>
  <si>
    <t>O bracket</t>
  </si>
  <si>
    <t>14Bau43</t>
  </si>
  <si>
    <t>W/L P</t>
  </si>
  <si>
    <t>14Bau44</t>
  </si>
  <si>
    <t>14Bau49</t>
  </si>
  <si>
    <t>14Bau46</t>
  </si>
  <si>
    <t>14Bau47</t>
  </si>
  <si>
    <t>1st/2ndP</t>
  </si>
  <si>
    <t>14Bau48</t>
  </si>
  <si>
    <t>3rd/4thP</t>
  </si>
  <si>
    <t>14Bau45</t>
  </si>
  <si>
    <t>14Bau50</t>
  </si>
  <si>
    <t>14Bau31</t>
  </si>
  <si>
    <t>9th16th</t>
  </si>
  <si>
    <t>14Bau32</t>
  </si>
  <si>
    <t>14Bau33</t>
  </si>
  <si>
    <t>14Bau34</t>
  </si>
  <si>
    <t>14Bau51</t>
  </si>
  <si>
    <t>1st/2ndL</t>
  </si>
  <si>
    <t>14Bau52</t>
  </si>
  <si>
    <t>3rd/4thL</t>
  </si>
  <si>
    <t>14Bau53</t>
  </si>
  <si>
    <t>1st/2ndM</t>
  </si>
  <si>
    <t>14Bau54</t>
  </si>
  <si>
    <t>3rd/4thM</t>
  </si>
  <si>
    <t>20 teams</t>
  </si>
  <si>
    <t>43 games</t>
  </si>
  <si>
    <t>24+19</t>
  </si>
  <si>
    <t>G1(1stA)-MISSION WPC A</t>
  </si>
  <si>
    <t>H1(2ndA)-TROJAN CARDINAL</t>
  </si>
  <si>
    <t>I1(3rdA)-680 RED</t>
  </si>
  <si>
    <t>J1(1stD)-LA JOLLA UNITED NAVY</t>
  </si>
  <si>
    <t>K1(2ndD)-PRIDE BLACK</t>
  </si>
  <si>
    <t>L1(3rdD)-STANFORD RED</t>
  </si>
  <si>
    <t>G2(1stB)-PALOS VERDES A</t>
  </si>
  <si>
    <t>H2(2ndB)-NORCAL</t>
  </si>
  <si>
    <t>I2(3rdB)-NORTH IRVINE BLACK</t>
  </si>
  <si>
    <t>G3(1stC)-VANGUARD BLUE</t>
  </si>
  <si>
    <t>H3(2ndC)-SOUTH COAST RED (A)</t>
  </si>
  <si>
    <t>L3(3rdC)-LAMORINDA A</t>
  </si>
  <si>
    <t>14Bpt12</t>
  </si>
  <si>
    <t>D bracket</t>
  </si>
  <si>
    <t>14Bpt13</t>
  </si>
  <si>
    <t>B bracket</t>
  </si>
  <si>
    <t>14Bpt09</t>
  </si>
  <si>
    <t>A bracket</t>
  </si>
  <si>
    <t>14Bpt07</t>
  </si>
  <si>
    <t>W/L F</t>
  </si>
  <si>
    <t>14Bpt08</t>
  </si>
  <si>
    <t>14Bpt03</t>
  </si>
  <si>
    <t>14Bpt01</t>
  </si>
  <si>
    <t>W/L E</t>
  </si>
  <si>
    <t>14Bpt02</t>
  </si>
  <si>
    <t>14Bpt10</t>
  </si>
  <si>
    <t>1st/2ndF</t>
  </si>
  <si>
    <t>14Bpt11</t>
  </si>
  <si>
    <t>3rd/4thF</t>
  </si>
  <si>
    <t>14Bpt04</t>
  </si>
  <si>
    <t>3rd/4thE</t>
  </si>
  <si>
    <t>14Bpt06</t>
  </si>
  <si>
    <t>14Bpt21</t>
  </si>
  <si>
    <t>J bracket</t>
  </si>
  <si>
    <t>14Bpt23</t>
  </si>
  <si>
    <t>K bracket</t>
  </si>
  <si>
    <t>14Bpt14</t>
  </si>
  <si>
    <t>C bracket</t>
  </si>
  <si>
    <t>14Bpt15</t>
  </si>
  <si>
    <t>14Bpt16</t>
  </si>
  <si>
    <t>14Bpt17</t>
  </si>
  <si>
    <t>14Bpt18</t>
  </si>
  <si>
    <t>14Bpt19</t>
  </si>
  <si>
    <t>14Bpt20</t>
  </si>
  <si>
    <t>14Bpt05</t>
  </si>
  <si>
    <t>1st/2ndE</t>
  </si>
  <si>
    <t>14Bpt22</t>
  </si>
  <si>
    <t>H bracket</t>
  </si>
  <si>
    <t>14Bpt34</t>
  </si>
  <si>
    <t>G bracket</t>
  </si>
  <si>
    <t>14Bpt24</t>
  </si>
  <si>
    <t>14Bpt25</t>
  </si>
  <si>
    <t>14Bpt26</t>
  </si>
  <si>
    <t>14Bpt27</t>
  </si>
  <si>
    <t>14Bpt28</t>
  </si>
  <si>
    <t>14Bpt30</t>
  </si>
  <si>
    <t>14Bpt29</t>
  </si>
  <si>
    <t>14Bpt43</t>
  </si>
  <si>
    <t>3rdG-PALOS VERDES A</t>
  </si>
  <si>
    <t xml:space="preserve">3rdJ-CHANNEL ISLANDS UNITED GOLD	</t>
  </si>
  <si>
    <t>14Bpt31</t>
  </si>
  <si>
    <t>2ndG-VANGUARD BLUE</t>
  </si>
  <si>
    <t>2ndJ-PATRIOT NAVY</t>
  </si>
  <si>
    <t>14Bpt32</t>
  </si>
  <si>
    <t>1stG-MISSION WPC A</t>
  </si>
  <si>
    <t>1stJ-LA JOLLA UNITED NAVY</t>
  </si>
  <si>
    <t>14Bpt33</t>
  </si>
  <si>
    <t>W/L L</t>
  </si>
  <si>
    <t>14Bpt35</t>
  </si>
  <si>
    <t>14Bpt36</t>
  </si>
  <si>
    <t>W/L I</t>
  </si>
  <si>
    <t>14Bpt37</t>
  </si>
  <si>
    <t>14Bpt40</t>
  </si>
  <si>
    <t>14Bpt41</t>
  </si>
  <si>
    <t>14Bpt38</t>
  </si>
  <si>
    <t>1st/2ndI</t>
  </si>
  <si>
    <t>14Bpt39</t>
  </si>
  <si>
    <t>14Bpt42</t>
  </si>
  <si>
    <t>3rd/4thI</t>
  </si>
  <si>
    <t>G1(1stA)-MID PEN</t>
  </si>
  <si>
    <t>H1(2ndA)-TRITON GOLD</t>
  </si>
  <si>
    <t>I1(3rdA)-BOA WHITE</t>
  </si>
  <si>
    <t>J1(1stD)-CC UNITED WHITE</t>
  </si>
  <si>
    <t>K1(2ndD)-SD ECA</t>
  </si>
  <si>
    <t>L1(3rdD)-LOYOLA WPC</t>
  </si>
  <si>
    <t>G2(1stB)-SANTA CRUZ</t>
  </si>
  <si>
    <t>H2(2ndB)-LA JOLLA UNITED SILVER</t>
  </si>
  <si>
    <t>I2(3rdB)-NORTH IRVINE</t>
  </si>
  <si>
    <t>G3(1stC)-LAMORINDA B</t>
  </si>
  <si>
    <t>H3(2ndC)-DAVIS WHITE</t>
  </si>
  <si>
    <t>L3(3rdC)-SET</t>
  </si>
  <si>
    <t>16Bag03</t>
  </si>
  <si>
    <t>16Bag07</t>
  </si>
  <si>
    <t>16Bag08</t>
  </si>
  <si>
    <t>16Bag06</t>
  </si>
  <si>
    <t>16Bag01</t>
  </si>
  <si>
    <t>16Bag02</t>
  </si>
  <si>
    <t>16Bag09</t>
  </si>
  <si>
    <t>16Bag10</t>
  </si>
  <si>
    <t>16Bag11</t>
  </si>
  <si>
    <t>16Bag04</t>
  </si>
  <si>
    <t>16Bag05</t>
  </si>
  <si>
    <t>16Bag21</t>
  </si>
  <si>
    <t>16Bag12</t>
  </si>
  <si>
    <t>16Bag13</t>
  </si>
  <si>
    <t>16Bag14</t>
  </si>
  <si>
    <t>16Bag15</t>
  </si>
  <si>
    <t>16Bag16</t>
  </si>
  <si>
    <t>16Bag17</t>
  </si>
  <si>
    <t>16Bag18</t>
  </si>
  <si>
    <t>16Bag19</t>
  </si>
  <si>
    <t>16Bag20</t>
  </si>
  <si>
    <t>16Bag23</t>
  </si>
  <si>
    <t>16Bag22</t>
  </si>
  <si>
    <t>16Bag34</t>
  </si>
  <si>
    <t>16Bag24</t>
  </si>
  <si>
    <t>16Bag25</t>
  </si>
  <si>
    <t>16Bag26</t>
  </si>
  <si>
    <t>16Bag27</t>
  </si>
  <si>
    <t>16Bag28</t>
  </si>
  <si>
    <t>16Bag29</t>
  </si>
  <si>
    <t>16Bag30</t>
  </si>
  <si>
    <t>16Bag40</t>
  </si>
  <si>
    <t>16Bag43</t>
  </si>
  <si>
    <t>3rdG-MID PEN</t>
  </si>
  <si>
    <t>3rdJ-HIELAND</t>
  </si>
  <si>
    <t>16Bag31</t>
  </si>
  <si>
    <t>2ndG-SANTA CRUZ</t>
  </si>
  <si>
    <t>2ndJ-CC UNITED WHITE</t>
  </si>
  <si>
    <t>16Bag32</t>
  </si>
  <si>
    <t>1stG-LAMORINDA B</t>
  </si>
  <si>
    <t xml:space="preserve">1stJ-LA JOLLA UNITED WHITE	</t>
  </si>
  <si>
    <t>16Bag36</t>
  </si>
  <si>
    <t>16Bag37</t>
  </si>
  <si>
    <t>16Bag33</t>
  </si>
  <si>
    <t>16Bag35</t>
  </si>
  <si>
    <t>16Bag38</t>
  </si>
  <si>
    <t>16Bag41</t>
  </si>
  <si>
    <t>16Bag39</t>
  </si>
  <si>
    <t>16Bag42</t>
  </si>
  <si>
    <t xml:space="preserve">LA JOLLA UNITED WHITE	</t>
  </si>
  <si>
    <t>19 teams</t>
  </si>
  <si>
    <t>19+21</t>
  </si>
  <si>
    <t>G1(1stA)-SAN JOSE EXPRESS BLUE</t>
  </si>
  <si>
    <t>H1(1stD)-CC UNITED BLUE</t>
  </si>
  <si>
    <t>I1(2ndA)-CHANNEL ISLANDS UNITED BLUE</t>
  </si>
  <si>
    <t>J1(2ndD)-POWAY VALLEY BLACK</t>
  </si>
  <si>
    <t>K1(3rdA)-AMERICAN RIVER GOLD</t>
  </si>
  <si>
    <t>L1(3rdD)-BOA BLUE</t>
  </si>
  <si>
    <t>G2(1stB)-SOUTH COAST WHITE (B)</t>
  </si>
  <si>
    <t>H2(1stE)-CT PREMIER</t>
  </si>
  <si>
    <t>I2(2ndB)-DAVIS BLUE</t>
  </si>
  <si>
    <t>J2(2ndE)-STANFORD BLACK</t>
  </si>
  <si>
    <t>K2(3rdB)-CMAC</t>
  </si>
  <si>
    <t>L2(3rdE)-ORANGE COUNTY WPC BLUE</t>
  </si>
  <si>
    <t>G3(1stC)-CAL REPUBLIC</t>
  </si>
  <si>
    <t>I3(2ndC)-TROJAN GOLD</t>
  </si>
  <si>
    <t>K3(3rdC)-ST LOUIS AREA POLO</t>
  </si>
  <si>
    <t>N1(2ndG)-SAN JOSE EXPRESS BLUE</t>
  </si>
  <si>
    <t>O1(1stG)-SOUTH COAST WHITE (B)</t>
  </si>
  <si>
    <t>N2(2ndH)-CT PREMIER</t>
  </si>
  <si>
    <t>O2(1stH)-LA JOLLA UNITED GOLD</t>
  </si>
  <si>
    <t>16Bau01</t>
  </si>
  <si>
    <t>16Bau02</t>
  </si>
  <si>
    <t>16Bau03</t>
  </si>
  <si>
    <t>16Bau04</t>
  </si>
  <si>
    <t>16Bau05</t>
  </si>
  <si>
    <t>16Bau06</t>
  </si>
  <si>
    <t>16Bau07</t>
  </si>
  <si>
    <t>16Bau08</t>
  </si>
  <si>
    <t>16Bau09</t>
  </si>
  <si>
    <t>16Bau10</t>
  </si>
  <si>
    <t>16Bau11</t>
  </si>
  <si>
    <t>E bracket</t>
  </si>
  <si>
    <t>16Bau12</t>
  </si>
  <si>
    <t>F bracket</t>
  </si>
  <si>
    <t>16Bau13</t>
  </si>
  <si>
    <t>16Bau14</t>
  </si>
  <si>
    <t>16Bau15</t>
  </si>
  <si>
    <t>16Bau16</t>
  </si>
  <si>
    <t>16Bau17</t>
  </si>
  <si>
    <t>16Bau18</t>
  </si>
  <si>
    <t>16Bau19</t>
  </si>
  <si>
    <t>16Bau20</t>
  </si>
  <si>
    <t>16Bau21</t>
  </si>
  <si>
    <t>16Bau22</t>
  </si>
  <si>
    <t>16Bau23</t>
  </si>
  <si>
    <t>16Bau24</t>
  </si>
  <si>
    <t>16Bau25</t>
  </si>
  <si>
    <t>16Bau26</t>
  </si>
  <si>
    <t>16Bau27</t>
  </si>
  <si>
    <t>16Bau28</t>
  </si>
  <si>
    <t>I bracket I1,I2</t>
  </si>
  <si>
    <t>16Bau29</t>
  </si>
  <si>
    <t>3rd 2ndG/2ndH</t>
  </si>
  <si>
    <t>16Bau30</t>
  </si>
  <si>
    <t>1st 1stG/1stH</t>
  </si>
  <si>
    <t>16Bau31</t>
  </si>
  <si>
    <t>16Bau32</t>
  </si>
  <si>
    <t>16Bau33</t>
  </si>
  <si>
    <t>W/L L1/L4</t>
  </si>
  <si>
    <t>16Bau34</t>
  </si>
  <si>
    <t>W/L L2/L3</t>
  </si>
  <si>
    <t>16Bau35</t>
  </si>
  <si>
    <t>16Bau36</t>
  </si>
  <si>
    <t>16Bau37</t>
  </si>
  <si>
    <t>16Bau38</t>
  </si>
  <si>
    <t>16Bau39</t>
  </si>
  <si>
    <t>16Bau40</t>
  </si>
  <si>
    <t>G1(1stA)-CC UNITED BLACK</t>
  </si>
  <si>
    <t>H1(1stD)-LAMORINDA A</t>
  </si>
  <si>
    <t>J1(2ndF)-SHAQ</t>
  </si>
  <si>
    <t>K1(2ndC)-VANGUARD BLUE</t>
  </si>
  <si>
    <t>M1(3rdA)-CAPITAL</t>
  </si>
  <si>
    <t>N1(3rdD)-SANTA CRUZ</t>
  </si>
  <si>
    <t>G2(1stB)-IMPERIAL WPC</t>
  </si>
  <si>
    <t>H2(1stE)-CHANNEL ISLANDS UNITED GOLD</t>
  </si>
  <si>
    <t>J2(2ndE)-SAN CLEMENTE RED</t>
  </si>
  <si>
    <t>K2(2ndB)-AMERICAN RIVER BLUE</t>
  </si>
  <si>
    <t>M2(3rdB)-LA JOLLA UNITED NAVY</t>
  </si>
  <si>
    <t>N2(3rdE)-TROJAN CARDINAL</t>
  </si>
  <si>
    <t>G3(1stC)-680 RED</t>
  </si>
  <si>
    <t>H3(1stF)-SD SHORES BLACK</t>
  </si>
  <si>
    <t>J3(2ndD)-SOUTH COAST RED (A)</t>
  </si>
  <si>
    <t xml:space="preserve">K3(2ndA)-SAND CANYON	</t>
  </si>
  <si>
    <t>M3(3rdC)-FOOTHILL RED</t>
  </si>
  <si>
    <t>N3(3rdF)-ASPHALT GREEN</t>
  </si>
  <si>
    <t>16Bpt01</t>
  </si>
  <si>
    <t>16Bpt03</t>
  </si>
  <si>
    <t>16Bpt05</t>
  </si>
  <si>
    <t>16Bpt07</t>
  </si>
  <si>
    <t>16Bpt09</t>
  </si>
  <si>
    <t>16Bpt11</t>
  </si>
  <si>
    <t>16Bpt13</t>
  </si>
  <si>
    <t>16Bpt15</t>
  </si>
  <si>
    <t>16Bpt17</t>
  </si>
  <si>
    <t>16Bpt02</t>
  </si>
  <si>
    <t>16Bpt04</t>
  </si>
  <si>
    <t>16Bpt06</t>
  </si>
  <si>
    <t>16Bpt08</t>
  </si>
  <si>
    <t>16Bpt10</t>
  </si>
  <si>
    <t>16Bpt12</t>
  </si>
  <si>
    <t>16Bpt14</t>
  </si>
  <si>
    <t>16Bpt16</t>
  </si>
  <si>
    <t>16Bpt18</t>
  </si>
  <si>
    <t>16Bpt19</t>
  </si>
  <si>
    <t>16Bpt21</t>
  </si>
  <si>
    <t>16Bpt23</t>
  </si>
  <si>
    <t>16Bpt25</t>
  </si>
  <si>
    <t>16Bpt27</t>
  </si>
  <si>
    <t>16Bpt29</t>
  </si>
  <si>
    <t>16Bpt31</t>
  </si>
  <si>
    <t>16Bpt33</t>
  </si>
  <si>
    <t>16Bpt35</t>
  </si>
  <si>
    <t>16Bpt37</t>
  </si>
  <si>
    <t>2ndG-IMPERIAL WPC</t>
  </si>
  <si>
    <t>2ndH-LAMORINDA A</t>
  </si>
  <si>
    <t>16Bpt38</t>
  </si>
  <si>
    <t>1stG-CC UNITED BLACK</t>
  </si>
  <si>
    <t>1stH-CHANNEL ISLANDS UNITED GOLD</t>
  </si>
  <si>
    <t>16Bpt26</t>
  </si>
  <si>
    <t>16Bpt28</t>
  </si>
  <si>
    <t>16Bpt30</t>
  </si>
  <si>
    <t>16Bpt32</t>
  </si>
  <si>
    <t>16Bpt34</t>
  </si>
  <si>
    <t>16Bpt36</t>
  </si>
  <si>
    <t>16Bpt20</t>
  </si>
  <si>
    <t>16Bpt22</t>
  </si>
  <si>
    <t>16Bpt24</t>
  </si>
  <si>
    <t>6 teams CUSTOM</t>
  </si>
  <si>
    <t>7 min quarters</t>
  </si>
  <si>
    <t>12 games</t>
  </si>
  <si>
    <t>6+6</t>
  </si>
  <si>
    <t>19Bag01</t>
  </si>
  <si>
    <t>19Bag02</t>
  </si>
  <si>
    <t>19Bag03</t>
  </si>
  <si>
    <t>19Bag04</t>
  </si>
  <si>
    <t>19Bag05</t>
  </si>
  <si>
    <t>19Bag06</t>
  </si>
  <si>
    <t>19Bag07</t>
  </si>
  <si>
    <t>A1,B2</t>
  </si>
  <si>
    <t>19Bag08</t>
  </si>
  <si>
    <t>A2,B3</t>
  </si>
  <si>
    <t>19Bag09</t>
  </si>
  <si>
    <t>A3,B2</t>
  </si>
  <si>
    <t>19Bag10</t>
  </si>
  <si>
    <t>A1,B1</t>
  </si>
  <si>
    <t>19Bag11</t>
  </si>
  <si>
    <t>A2,B1</t>
  </si>
  <si>
    <t>19Bag12</t>
  </si>
  <si>
    <t>A3,B3</t>
  </si>
  <si>
    <t>TOTAL POINTS</t>
  </si>
  <si>
    <t>AvB</t>
  </si>
  <si>
    <t>AvA</t>
  </si>
  <si>
    <t>(9,11)</t>
  </si>
  <si>
    <t>(10,8)</t>
  </si>
  <si>
    <t>(7,8)</t>
  </si>
  <si>
    <t>(5,9)</t>
  </si>
  <si>
    <t>(8,10)</t>
  </si>
  <si>
    <t>(6,14)</t>
  </si>
  <si>
    <t>(7,10)</t>
  </si>
  <si>
    <t>(5,16)</t>
  </si>
  <si>
    <t>(11,9)</t>
  </si>
  <si>
    <t>(14,6)</t>
  </si>
  <si>
    <t>(17,12)</t>
  </si>
  <si>
    <t>(15,5)</t>
  </si>
  <si>
    <t>(9,6)</t>
  </si>
  <si>
    <t>(9,5)</t>
  </si>
  <si>
    <t>(16,5)</t>
  </si>
  <si>
    <t>(5,15)</t>
  </si>
  <si>
    <t>(8,7)</t>
  </si>
  <si>
    <t>(6,9)</t>
  </si>
  <si>
    <t>(10,7)</t>
  </si>
  <si>
    <t>(12,17)</t>
  </si>
  <si>
    <t>19Bau01</t>
  </si>
  <si>
    <t>W/L A2/A3</t>
  </si>
  <si>
    <t>19Bau02</t>
  </si>
  <si>
    <t>W/L A1/A4</t>
  </si>
  <si>
    <t>19Bau03</t>
  </si>
  <si>
    <t>19Bau04</t>
  </si>
  <si>
    <t>19Bau05</t>
  </si>
  <si>
    <t>3rd/4thA</t>
  </si>
  <si>
    <t>19Bau06</t>
  </si>
  <si>
    <t>1st/2ndA</t>
  </si>
  <si>
    <t>19Bau09</t>
  </si>
  <si>
    <t>19Bau10</t>
  </si>
  <si>
    <t>19Bau11</t>
  </si>
  <si>
    <t>19Bau12</t>
  </si>
  <si>
    <t>19Bau07</t>
  </si>
  <si>
    <t>19Bau08</t>
  </si>
  <si>
    <t>19Bau13</t>
  </si>
  <si>
    <t>19Bau14</t>
  </si>
  <si>
    <t>19Bau15</t>
  </si>
  <si>
    <t>19Bau16</t>
  </si>
  <si>
    <t>19Bau29</t>
  </si>
  <si>
    <t>13-16 semi</t>
  </si>
  <si>
    <t>19Bau30</t>
  </si>
  <si>
    <t>19Bau27</t>
  </si>
  <si>
    <t>19Bau21</t>
  </si>
  <si>
    <t>5-8 semi 2D/2A</t>
  </si>
  <si>
    <t>19Bau22</t>
  </si>
  <si>
    <t>5-8 semi 2C/2B</t>
  </si>
  <si>
    <t>19Bau28</t>
  </si>
  <si>
    <t>19Bau19</t>
  </si>
  <si>
    <t>19Bau34</t>
  </si>
  <si>
    <t>19Bau33</t>
  </si>
  <si>
    <t>15th</t>
  </si>
  <si>
    <t>19Bau20</t>
  </si>
  <si>
    <t>19Bau25</t>
  </si>
  <si>
    <t>19Bau26</t>
  </si>
  <si>
    <t>19Bau31</t>
  </si>
  <si>
    <t>19Bau32</t>
  </si>
  <si>
    <t>19Bau23</t>
  </si>
  <si>
    <t>19Bau24</t>
  </si>
  <si>
    <t>MISSION WPC</t>
  </si>
  <si>
    <t>27 teams</t>
  </si>
  <si>
    <t>27+29</t>
  </si>
  <si>
    <t>J1(1stA)-CC UNITED BLACK</t>
  </si>
  <si>
    <t>K1(1stE)-LAMORINDA A</t>
  </si>
  <si>
    <t>L1(2ndA)-POWAY VALLEY BLACK</t>
  </si>
  <si>
    <t>M1(2ndE)-VANGUARD BLUE</t>
  </si>
  <si>
    <t>N1(3rdA)-LV LEGENDS</t>
  </si>
  <si>
    <t>O1(3rdE)-CHULA VISTA PREMIER</t>
  </si>
  <si>
    <t>P1(3rdF)-SHADOW MEN</t>
  </si>
  <si>
    <t>J2(1stB)-BERKELEY WPC</t>
  </si>
  <si>
    <t>K2(1stF)-FOOTHILL RED</t>
  </si>
  <si>
    <t>L2(2ndB)-SD SHORES BLACK</t>
  </si>
  <si>
    <t>M2(2ndF)-NORCAL</t>
  </si>
  <si>
    <t>O2(3rdC)-NORTH IRVINE BLACK</t>
  </si>
  <si>
    <t>P2(3rdB)-IMPERIAL BLUE</t>
  </si>
  <si>
    <t>J3(1stC)-LA JOLLA UNITED NAVY</t>
  </si>
  <si>
    <t>L3(2ndC)-SANTA CRUZ</t>
  </si>
  <si>
    <t>19Bpt01</t>
  </si>
  <si>
    <t>19Bpt02</t>
  </si>
  <si>
    <t>19Bpt14</t>
  </si>
  <si>
    <t>W/L G1/G4</t>
  </si>
  <si>
    <t>19Bpt03</t>
  </si>
  <si>
    <t>19Bpt04</t>
  </si>
  <si>
    <t>19Bpt08</t>
  </si>
  <si>
    <t>19Bpt09</t>
  </si>
  <si>
    <t>19Bpt05</t>
  </si>
  <si>
    <t>19Bpt06</t>
  </si>
  <si>
    <t>19Bpt10</t>
  </si>
  <si>
    <t>19Bpt11</t>
  </si>
  <si>
    <t>19Bpt07</t>
  </si>
  <si>
    <t>19Bpt12</t>
  </si>
  <si>
    <t>19Bpt13</t>
  </si>
  <si>
    <t>19Bpt15</t>
  </si>
  <si>
    <t>W/L G2/G3</t>
  </si>
  <si>
    <t>19Bpt16</t>
  </si>
  <si>
    <t>W/L H</t>
  </si>
  <si>
    <t>19Bpt17</t>
  </si>
  <si>
    <t>19Bpt22</t>
  </si>
  <si>
    <t>19Bpt23</t>
  </si>
  <si>
    <t>19Bpt18</t>
  </si>
  <si>
    <t>1st/2ndG</t>
  </si>
  <si>
    <t>19Bpt19</t>
  </si>
  <si>
    <t>3rd/4thG</t>
  </si>
  <si>
    <t>19Bpt24</t>
  </si>
  <si>
    <t>19Bpt25</t>
  </si>
  <si>
    <t>19Bpt20</t>
  </si>
  <si>
    <t>19Bpt21</t>
  </si>
  <si>
    <t>19Bpt26</t>
  </si>
  <si>
    <t>19Bpt27</t>
  </si>
  <si>
    <t>19Bpt39</t>
  </si>
  <si>
    <t>W/L O</t>
  </si>
  <si>
    <t>19Bpt28</t>
  </si>
  <si>
    <t>19Bpt29</t>
  </si>
  <si>
    <t>19Bpt30</t>
  </si>
  <si>
    <t>19Bpt31</t>
  </si>
  <si>
    <t>19Bpt32</t>
  </si>
  <si>
    <t>19Bpt33</t>
  </si>
  <si>
    <t>19Bpt34</t>
  </si>
  <si>
    <t>19Bpt35</t>
  </si>
  <si>
    <t>19Bpt37</t>
  </si>
  <si>
    <t>19Bpt36</t>
  </si>
  <si>
    <t>19Bpt48</t>
  </si>
  <si>
    <t>19Bpt38</t>
  </si>
  <si>
    <t>19Bpt40</t>
  </si>
  <si>
    <t>19Bpt41</t>
  </si>
  <si>
    <t>19Bpt42</t>
  </si>
  <si>
    <t>19Bpt43</t>
  </si>
  <si>
    <t>1st/2ndO</t>
  </si>
  <si>
    <t>19Bpt44</t>
  </si>
  <si>
    <t>3rd/4thO</t>
  </si>
  <si>
    <t>19Bpt45</t>
  </si>
  <si>
    <t>19Bpt46</t>
  </si>
  <si>
    <t>19Bpt47</t>
  </si>
  <si>
    <t>19Bpt49</t>
  </si>
  <si>
    <t>9th16th L1/L4</t>
  </si>
  <si>
    <t>19Bpt50</t>
  </si>
  <si>
    <t>9th16th L2/L3</t>
  </si>
  <si>
    <t>19Bpt51</t>
  </si>
  <si>
    <t>9th16th M1/M4</t>
  </si>
  <si>
    <t>19Bpt52</t>
  </si>
  <si>
    <t>9th16th M2/M3</t>
  </si>
  <si>
    <t>19Bpt53</t>
  </si>
  <si>
    <t>19Bpt54</t>
  </si>
  <si>
    <t>19Bpt55</t>
  </si>
  <si>
    <t>19Bpt56</t>
  </si>
  <si>
    <t>VANGUARD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</si>
</sst>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"/>
    <numFmt numFmtId="165" formatCode="[$-409]d\-mmm;@"/>
    <numFmt numFmtId="166" formatCode="[$-409]h:mm\ AM/PM;@"/>
    <numFmt numFmtId="167" formatCode="0.0"/>
  </numFmts>
  <fonts count="53">
    <font>
      <sz val="11"/>
      <color theme="1"/>
      <name val="Aptos Narrow"/>
      <family val="2"/>
      <scheme val="minor"/>
    </font>
    <font>
      <b/>
      <u/>
      <sz val="14"/>
      <name val="Arial Narrow"/>
      <family val="2"/>
    </font>
    <font>
      <b/>
      <sz val="14"/>
      <name val="Arial Narrow"/>
      <family val="2"/>
    </font>
    <font>
      <sz val="14"/>
      <name val="Arial Narrow"/>
      <family val="2"/>
    </font>
    <font>
      <b/>
      <sz val="14"/>
      <color rgb="FFFF0000"/>
      <name val="Arial Narrow"/>
      <family val="2"/>
    </font>
    <font>
      <b/>
      <sz val="14"/>
      <color theme="7"/>
      <name val="Arial Narrow"/>
      <family val="2"/>
    </font>
    <font>
      <b/>
      <u/>
      <sz val="18"/>
      <color theme="7"/>
      <name val="Arial Narrow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rgb="FF00B0F0"/>
      <name val="Arial Narrow"/>
      <family val="2"/>
    </font>
    <font>
      <b/>
      <sz val="14"/>
      <color theme="0" tint="-0.14999847407452621"/>
      <name val="Arial Narrow"/>
      <family val="2"/>
    </font>
    <font>
      <sz val="14"/>
      <color theme="1"/>
      <name val="Arial Narrow"/>
      <family val="2"/>
    </font>
    <font>
      <b/>
      <sz val="14"/>
      <color theme="1"/>
      <name val="Arial Narrow"/>
      <family val="2"/>
    </font>
    <font>
      <b/>
      <sz val="14"/>
      <color rgb="FF000000"/>
      <name val="Arial Narrow"/>
      <family val="2"/>
    </font>
    <font>
      <b/>
      <sz val="14"/>
      <color rgb="FF00B050"/>
      <name val="Arial Narrow"/>
      <family val="2"/>
    </font>
    <font>
      <b/>
      <sz val="14"/>
      <color theme="0"/>
      <name val="Arial Narrow"/>
      <family val="2"/>
    </font>
    <font>
      <b/>
      <sz val="14"/>
      <color theme="3" tint="0.499984740745262"/>
      <name val="Arial Narrow"/>
      <family val="2"/>
    </font>
    <font>
      <b/>
      <sz val="14"/>
      <color rgb="FFFFFF00"/>
      <name val="Arial Narrow"/>
      <family val="2"/>
    </font>
    <font>
      <sz val="10"/>
      <name val="Verdana"/>
      <family val="2"/>
    </font>
    <font>
      <sz val="14"/>
      <color rgb="FF444444"/>
      <name val="Calibri"/>
      <family val="2"/>
    </font>
    <font>
      <b/>
      <u/>
      <sz val="14"/>
      <color theme="1"/>
      <name val="Arial Narrow"/>
      <family val="2"/>
    </font>
    <font>
      <b/>
      <u/>
      <sz val="14"/>
      <color theme="0"/>
      <name val="Arial Narrow"/>
      <family val="2"/>
    </font>
    <font>
      <b/>
      <u/>
      <sz val="14"/>
      <color rgb="FFFF0000"/>
      <name val="Arial Narrow"/>
      <family val="2"/>
    </font>
    <font>
      <sz val="14"/>
      <color theme="1"/>
      <name val="Aptos Narrow"/>
      <family val="2"/>
      <scheme val="minor"/>
    </font>
    <font>
      <sz val="14"/>
      <name val="Aptos Narrow"/>
      <family val="2"/>
      <scheme val="minor"/>
    </font>
    <font>
      <b/>
      <u/>
      <sz val="14"/>
      <color rgb="FF000000"/>
      <name val="Arial Narrow"/>
      <family val="2"/>
    </font>
    <font>
      <sz val="14"/>
      <color rgb="FF444444"/>
      <name val="Calibri"/>
      <family val="2"/>
      <charset val="1"/>
    </font>
    <font>
      <b/>
      <u/>
      <sz val="14"/>
      <color rgb="FFE53358"/>
      <name val="Arial Narrow"/>
      <family val="2"/>
    </font>
    <font>
      <b/>
      <sz val="14"/>
      <color rgb="FF7030A0"/>
      <name val="Arial Narrow"/>
      <family val="2"/>
    </font>
    <font>
      <b/>
      <sz val="14"/>
      <color rgb="FFC00000"/>
      <name val="Arial Narrow"/>
      <family val="2"/>
    </font>
    <font>
      <b/>
      <sz val="14"/>
      <color rgb="FFFFC000"/>
      <name val="Arial Narrow"/>
      <family val="2"/>
    </font>
    <font>
      <b/>
      <sz val="14"/>
      <color rgb="FF92D050"/>
      <name val="Arial Narrow"/>
      <family val="2"/>
    </font>
    <font>
      <b/>
      <sz val="14"/>
      <color rgb="FF0070C0"/>
      <name val="Arial Narrow"/>
      <family val="2"/>
    </font>
    <font>
      <b/>
      <i/>
      <sz val="14"/>
      <name val="Arial Narrow"/>
      <family val="2"/>
    </font>
    <font>
      <b/>
      <i/>
      <u/>
      <sz val="14"/>
      <color theme="0"/>
      <name val="Arial Narrow"/>
      <family val="2"/>
    </font>
    <font>
      <b/>
      <sz val="14"/>
      <color theme="8" tint="0.59999389629810485"/>
      <name val="Arial Narrow"/>
      <family val="2"/>
    </font>
    <font>
      <b/>
      <i/>
      <sz val="14"/>
      <color theme="0"/>
      <name val="Arial Narrow"/>
      <family val="2"/>
    </font>
    <font>
      <b/>
      <i/>
      <sz val="14"/>
      <color theme="1" tint="0.499984740745262"/>
      <name val="Arial Narrow"/>
      <family val="2"/>
    </font>
    <font>
      <sz val="8"/>
      <name val="Aptos Narrow"/>
      <family val="2"/>
      <scheme val="minor"/>
    </font>
    <font>
      <sz val="14"/>
      <color rgb="FFFF0000"/>
      <name val="Arial Narrow"/>
      <family val="2"/>
    </font>
    <font>
      <b/>
      <u/>
      <sz val="14"/>
      <name val="Arial Narrow"/>
    </font>
    <font>
      <b/>
      <sz val="14"/>
      <color theme="0"/>
      <name val="Arial Narrow"/>
    </font>
    <font>
      <b/>
      <sz val="14"/>
      <color rgb="FFFFFF00"/>
      <name val="Arial Narrow"/>
    </font>
    <font>
      <b/>
      <sz val="14"/>
      <name val="Arial Narrow"/>
    </font>
    <font>
      <b/>
      <i/>
      <sz val="14"/>
      <name val="Arial Narrow"/>
    </font>
    <font>
      <b/>
      <sz val="14"/>
      <color rgb="FFFF0000"/>
      <name val="Arial Narrow"/>
    </font>
    <font>
      <b/>
      <i/>
      <sz val="14"/>
      <color theme="0"/>
      <name val="Arial Narrow"/>
    </font>
    <font>
      <b/>
      <u/>
      <sz val="14"/>
      <color theme="0"/>
      <name val="Arial Narrow"/>
    </font>
    <font>
      <b/>
      <i/>
      <u/>
      <sz val="14"/>
      <color theme="0"/>
      <name val="Arial Narrow"/>
    </font>
    <font>
      <b/>
      <sz val="14"/>
      <color theme="8" tint="0.59999389629810485"/>
      <name val="Arial Narrow"/>
    </font>
    <font>
      <sz val="14"/>
      <color theme="1"/>
      <name val="Arial Narrow"/>
    </font>
    <font>
      <b/>
      <sz val="14"/>
      <color theme="5"/>
      <name val="Arial Narrow"/>
      <family val="2"/>
    </font>
    <font>
      <sz val="14"/>
      <color theme="5"/>
      <name val="Arial Narrow"/>
      <family val="2"/>
    </font>
  </fonts>
  <fills count="7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rgb="FFF58787"/>
        <bgColor rgb="FF000000"/>
      </patternFill>
    </fill>
    <fill>
      <patternFill patternType="solid">
        <fgColor rgb="FF99FF33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86DCD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FF9F8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B732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72D1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00CAFC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E5E7A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78217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5BA7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BCE4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B2FB51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1E7C66"/>
        <bgColor indexed="64"/>
      </patternFill>
    </fill>
    <fill>
      <patternFill patternType="solid">
        <fgColor rgb="FF00FFCC"/>
        <bgColor rgb="FF000000"/>
      </patternFill>
    </fill>
    <fill>
      <patternFill patternType="solid">
        <fgColor theme="3" tint="0.89999084444715716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9F89"/>
        <bgColor rgb="FF000000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FC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D6DCE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8" fillId="0" borderId="0" applyNumberFormat="0" applyFill="0" applyBorder="0" applyAlignment="0" applyProtection="0"/>
    <xf numFmtId="0" fontId="7" fillId="0" borderId="0"/>
    <xf numFmtId="0" fontId="18" fillId="0" borderId="0"/>
    <xf numFmtId="0" fontId="8" fillId="0" borderId="0" applyNumberFormat="0" applyFill="0" applyBorder="0" applyAlignment="0" applyProtection="0"/>
    <xf numFmtId="0" fontId="18" fillId="0" borderId="0"/>
  </cellStyleXfs>
  <cellXfs count="456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18" fontId="12" fillId="0" borderId="1" xfId="0" applyNumberFormat="1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right" vertical="center"/>
    </xf>
    <xf numFmtId="18" fontId="12" fillId="0" borderId="1" xfId="0" applyNumberFormat="1" applyFont="1" applyBorder="1" applyAlignment="1">
      <alignment horizontal="right" vertical="center"/>
    </xf>
    <xf numFmtId="0" fontId="12" fillId="2" borderId="1" xfId="0" applyFont="1" applyFill="1" applyBorder="1" applyAlignment="1">
      <alignment horizontal="right" vertical="center"/>
    </xf>
    <xf numFmtId="0" fontId="1" fillId="7" borderId="1" xfId="2" applyFont="1" applyFill="1" applyBorder="1" applyAlignment="1">
      <alignment horizontal="center" vertical="center"/>
    </xf>
    <xf numFmtId="0" fontId="1" fillId="8" borderId="1" xfId="2" applyFont="1" applyFill="1" applyBorder="1" applyAlignment="1">
      <alignment horizontal="center" vertical="center"/>
    </xf>
    <xf numFmtId="0" fontId="2" fillId="7" borderId="1" xfId="2" applyFont="1" applyFill="1" applyBorder="1" applyAlignment="1">
      <alignment horizontal="center" vertical="center"/>
    </xf>
    <xf numFmtId="0" fontId="2" fillId="8" borderId="1" xfId="2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165" fontId="15" fillId="9" borderId="1" xfId="2" applyNumberFormat="1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13" fillId="14" borderId="1" xfId="2" applyFont="1" applyFill="1" applyBorder="1" applyAlignment="1">
      <alignment horizontal="center"/>
    </xf>
    <xf numFmtId="0" fontId="1" fillId="14" borderId="1" xfId="2" applyFont="1" applyFill="1" applyBorder="1" applyAlignment="1">
      <alignment horizontal="center" vertical="center"/>
    </xf>
    <xf numFmtId="0" fontId="13" fillId="0" borderId="3" xfId="2" applyFont="1" applyBorder="1" applyAlignment="1">
      <alignment horizontal="center"/>
    </xf>
    <xf numFmtId="0" fontId="13" fillId="0" borderId="1" xfId="2" applyFont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1" fillId="17" borderId="1" xfId="3" applyFont="1" applyFill="1" applyBorder="1" applyAlignment="1">
      <alignment horizontal="center" vertical="center"/>
    </xf>
    <xf numFmtId="0" fontId="2" fillId="0" borderId="1" xfId="3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17" borderId="1" xfId="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2" fillId="0" borderId="1" xfId="3" applyFont="1" applyBorder="1" applyAlignment="1">
      <alignment horizontal="left" vertical="center"/>
    </xf>
    <xf numFmtId="0" fontId="2" fillId="0" borderId="1" xfId="3" applyFont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19" fillId="0" borderId="0" xfId="0" applyFont="1"/>
    <xf numFmtId="0" fontId="17" fillId="21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0" fontId="1" fillId="23" borderId="1" xfId="3" applyFont="1" applyFill="1" applyBorder="1" applyAlignment="1">
      <alignment horizontal="center" vertical="center"/>
    </xf>
    <xf numFmtId="0" fontId="2" fillId="23" borderId="1" xfId="3" applyFont="1" applyFill="1" applyBorder="1" applyAlignment="1">
      <alignment horizontal="center" vertical="center"/>
    </xf>
    <xf numFmtId="0" fontId="17" fillId="24" borderId="1" xfId="0" applyFont="1" applyFill="1" applyBorder="1" applyAlignment="1">
      <alignment horizontal="center" vertical="center"/>
    </xf>
    <xf numFmtId="0" fontId="1" fillId="25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2" fillId="25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" fillId="26" borderId="1" xfId="2" applyFont="1" applyFill="1" applyBorder="1" applyAlignment="1">
      <alignment horizontal="center" vertical="center"/>
    </xf>
    <xf numFmtId="0" fontId="15" fillId="28" borderId="1" xfId="0" applyFont="1" applyFill="1" applyBorder="1" applyAlignment="1">
      <alignment horizontal="center" vertical="center"/>
    </xf>
    <xf numFmtId="0" fontId="12" fillId="27" borderId="1" xfId="0" applyFont="1" applyFill="1" applyBorder="1" applyAlignment="1">
      <alignment horizontal="center" vertical="center"/>
    </xf>
    <xf numFmtId="166" fontId="15" fillId="29" borderId="1" xfId="2" applyNumberFormat="1" applyFont="1" applyFill="1" applyBorder="1" applyAlignment="1">
      <alignment horizontal="center" vertical="center"/>
    </xf>
    <xf numFmtId="0" fontId="12" fillId="30" borderId="1" xfId="0" applyFont="1" applyFill="1" applyBorder="1" applyAlignment="1">
      <alignment horizontal="center" vertical="center"/>
    </xf>
    <xf numFmtId="0" fontId="12" fillId="31" borderId="1" xfId="0" applyFont="1" applyFill="1" applyBorder="1" applyAlignment="1">
      <alignment horizontal="center" vertical="center"/>
    </xf>
    <xf numFmtId="0" fontId="12" fillId="32" borderId="1" xfId="0" applyFont="1" applyFill="1" applyBorder="1" applyAlignment="1">
      <alignment horizontal="center" vertical="center"/>
    </xf>
    <xf numFmtId="0" fontId="12" fillId="33" borderId="1" xfId="0" applyFont="1" applyFill="1" applyBorder="1" applyAlignment="1">
      <alignment horizontal="center" vertical="center"/>
    </xf>
    <xf numFmtId="0" fontId="12" fillId="34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/>
    </xf>
    <xf numFmtId="0" fontId="2" fillId="35" borderId="1" xfId="0" applyFont="1" applyFill="1" applyBorder="1" applyAlignment="1">
      <alignment horizontal="center"/>
    </xf>
    <xf numFmtId="0" fontId="2" fillId="20" borderId="1" xfId="0" applyFont="1" applyFill="1" applyBorder="1" applyAlignment="1">
      <alignment horizontal="center"/>
    </xf>
    <xf numFmtId="0" fontId="2" fillId="36" borderId="1" xfId="0" applyFont="1" applyFill="1" applyBorder="1" applyAlignment="1">
      <alignment horizontal="center"/>
    </xf>
    <xf numFmtId="0" fontId="2" fillId="37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2" fillId="38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2" fillId="39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40" borderId="1" xfId="0" applyFont="1" applyFill="1" applyBorder="1" applyAlignment="1">
      <alignment horizontal="center" vertical="center"/>
    </xf>
    <xf numFmtId="166" fontId="2" fillId="7" borderId="1" xfId="2" applyNumberFormat="1" applyFont="1" applyFill="1" applyBorder="1" applyAlignment="1">
      <alignment horizontal="center" vertical="center"/>
    </xf>
    <xf numFmtId="0" fontId="2" fillId="41" borderId="1" xfId="0" applyFont="1" applyFill="1" applyBorder="1" applyAlignment="1">
      <alignment horizontal="center" vertical="center"/>
    </xf>
    <xf numFmtId="0" fontId="15" fillId="42" borderId="1" xfId="0" applyFont="1" applyFill="1" applyBorder="1" applyAlignment="1">
      <alignment horizontal="center" vertical="center"/>
    </xf>
    <xf numFmtId="0" fontId="15" fillId="43" borderId="1" xfId="0" applyFont="1" applyFill="1" applyBorder="1" applyAlignment="1">
      <alignment horizontal="center" vertical="center"/>
    </xf>
    <xf numFmtId="0" fontId="15" fillId="44" borderId="1" xfId="0" applyFont="1" applyFill="1" applyBorder="1" applyAlignment="1">
      <alignment horizontal="center" vertical="center"/>
    </xf>
    <xf numFmtId="0" fontId="2" fillId="45" borderId="1" xfId="0" applyFont="1" applyFill="1" applyBorder="1" applyAlignment="1">
      <alignment horizontal="center" vertical="center"/>
    </xf>
    <xf numFmtId="165" fontId="15" fillId="46" borderId="1" xfId="0" applyNumberFormat="1" applyFont="1" applyFill="1" applyBorder="1" applyAlignment="1">
      <alignment horizontal="center"/>
    </xf>
    <xf numFmtId="0" fontId="15" fillId="46" borderId="1" xfId="0" applyFont="1" applyFill="1" applyBorder="1" applyAlignment="1">
      <alignment horizontal="center" vertical="center"/>
    </xf>
    <xf numFmtId="0" fontId="1" fillId="26" borderId="1" xfId="2" applyFont="1" applyFill="1" applyBorder="1" applyAlignment="1">
      <alignment horizontal="center" vertical="center"/>
    </xf>
    <xf numFmtId="0" fontId="1" fillId="27" borderId="1" xfId="2" applyFont="1" applyFill="1" applyBorder="1" applyAlignment="1">
      <alignment horizontal="center" vertical="center"/>
    </xf>
    <xf numFmtId="0" fontId="21" fillId="28" borderId="1" xfId="0" applyFont="1" applyFill="1" applyBorder="1" applyAlignment="1">
      <alignment horizontal="center" vertical="center"/>
    </xf>
    <xf numFmtId="166" fontId="21" fillId="29" borderId="1" xfId="2" applyNumberFormat="1" applyFont="1" applyFill="1" applyBorder="1" applyAlignment="1">
      <alignment horizontal="center" vertical="center"/>
    </xf>
    <xf numFmtId="0" fontId="2" fillId="47" borderId="1" xfId="0" applyFont="1" applyFill="1" applyBorder="1" applyAlignment="1">
      <alignment horizontal="center" vertical="center"/>
    </xf>
    <xf numFmtId="0" fontId="15" fillId="48" borderId="1" xfId="2" applyFont="1" applyFill="1" applyBorder="1" applyAlignment="1">
      <alignment horizontal="center" vertical="center"/>
    </xf>
    <xf numFmtId="0" fontId="15" fillId="12" borderId="1" xfId="2" applyFont="1" applyFill="1" applyBorder="1" applyAlignment="1">
      <alignment horizontal="center" vertical="center"/>
    </xf>
    <xf numFmtId="0" fontId="2" fillId="49" borderId="1" xfId="2" applyFont="1" applyFill="1" applyBorder="1" applyAlignment="1">
      <alignment horizontal="center" vertical="center"/>
    </xf>
    <xf numFmtId="0" fontId="15" fillId="50" borderId="1" xfId="0" applyFont="1" applyFill="1" applyBorder="1" applyAlignment="1">
      <alignment horizontal="center" vertical="center"/>
    </xf>
    <xf numFmtId="0" fontId="15" fillId="51" borderId="1" xfId="2" applyFont="1" applyFill="1" applyBorder="1" applyAlignment="1">
      <alignment horizontal="center" vertical="center"/>
    </xf>
    <xf numFmtId="0" fontId="2" fillId="52" borderId="1" xfId="0" applyFont="1" applyFill="1" applyBorder="1" applyAlignment="1">
      <alignment horizontal="center" vertical="center"/>
    </xf>
    <xf numFmtId="0" fontId="2" fillId="53" borderId="1" xfId="0" applyFont="1" applyFill="1" applyBorder="1" applyAlignment="1">
      <alignment horizontal="center" vertical="center"/>
    </xf>
    <xf numFmtId="0" fontId="17" fillId="51" borderId="1" xfId="2" applyFont="1" applyFill="1" applyBorder="1" applyAlignment="1">
      <alignment horizontal="center" vertical="center"/>
    </xf>
    <xf numFmtId="18" fontId="15" fillId="51" borderId="1" xfId="2" applyNumberFormat="1" applyFont="1" applyFill="1" applyBorder="1" applyAlignment="1">
      <alignment horizontal="center" vertical="center"/>
    </xf>
    <xf numFmtId="165" fontId="15" fillId="51" borderId="1" xfId="2" applyNumberFormat="1" applyFont="1" applyFill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21" fillId="44" borderId="4" xfId="1" applyFont="1" applyFill="1" applyBorder="1" applyAlignment="1">
      <alignment horizontal="center" vertical="center"/>
    </xf>
    <xf numFmtId="0" fontId="21" fillId="54" borderId="4" xfId="4" applyFont="1" applyFill="1" applyBorder="1" applyAlignment="1">
      <alignment horizontal="center" vertical="center"/>
    </xf>
    <xf numFmtId="0" fontId="21" fillId="17" borderId="1" xfId="1" applyFont="1" applyFill="1" applyBorder="1" applyAlignment="1">
      <alignment horizontal="center" vertical="center"/>
    </xf>
    <xf numFmtId="0" fontId="22" fillId="23" borderId="1" xfId="0" applyFont="1" applyFill="1" applyBorder="1" applyAlignment="1">
      <alignment horizontal="center"/>
    </xf>
    <xf numFmtId="0" fontId="23" fillId="0" borderId="1" xfId="0" applyFont="1" applyBorder="1"/>
    <xf numFmtId="0" fontId="23" fillId="0" borderId="3" xfId="0" applyFont="1" applyBorder="1"/>
    <xf numFmtId="0" fontId="2" fillId="52" borderId="5" xfId="0" applyFont="1" applyFill="1" applyBorder="1" applyAlignment="1">
      <alignment horizontal="center" vertical="center"/>
    </xf>
    <xf numFmtId="166" fontId="2" fillId="52" borderId="1" xfId="0" applyNumberFormat="1" applyFont="1" applyFill="1" applyBorder="1" applyAlignment="1">
      <alignment horizontal="center" vertical="center"/>
    </xf>
    <xf numFmtId="16" fontId="2" fillId="52" borderId="1" xfId="0" applyNumberFormat="1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0" fontId="24" fillId="0" borderId="1" xfId="0" applyFont="1" applyBorder="1"/>
    <xf numFmtId="1" fontId="2" fillId="52" borderId="1" xfId="0" applyNumberFormat="1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166" fontId="25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66" fontId="13" fillId="0" borderId="1" xfId="0" applyNumberFormat="1" applyFont="1" applyBorder="1" applyAlignment="1">
      <alignment horizontal="center" vertical="center"/>
    </xf>
    <xf numFmtId="0" fontId="26" fillId="0" borderId="0" xfId="0" applyFont="1"/>
    <xf numFmtId="0" fontId="27" fillId="23" borderId="1" xfId="2" applyFont="1" applyFill="1" applyBorder="1" applyAlignment="1">
      <alignment horizontal="center" vertical="center"/>
    </xf>
    <xf numFmtId="0" fontId="2" fillId="53" borderId="5" xfId="0" applyFont="1" applyFill="1" applyBorder="1" applyAlignment="1">
      <alignment horizontal="center" vertical="center"/>
    </xf>
    <xf numFmtId="166" fontId="2" fillId="53" borderId="1" xfId="0" applyNumberFormat="1" applyFont="1" applyFill="1" applyBorder="1" applyAlignment="1">
      <alignment horizontal="center" vertical="center"/>
    </xf>
    <xf numFmtId="16" fontId="2" fillId="53" borderId="1" xfId="0" applyNumberFormat="1" applyFont="1" applyFill="1" applyBorder="1" applyAlignment="1">
      <alignment horizontal="center" vertical="center"/>
    </xf>
    <xf numFmtId="1" fontId="2" fillId="53" borderId="1" xfId="0" applyNumberFormat="1" applyFont="1" applyFill="1" applyBorder="1" applyAlignment="1">
      <alignment horizontal="center" vertical="center"/>
    </xf>
    <xf numFmtId="0" fontId="2" fillId="55" borderId="1" xfId="0" applyFont="1" applyFill="1" applyBorder="1" applyAlignment="1">
      <alignment horizontal="center" vertical="center"/>
    </xf>
    <xf numFmtId="0" fontId="15" fillId="9" borderId="1" xfId="2" applyFont="1" applyFill="1" applyBorder="1" applyAlignment="1">
      <alignment horizontal="center" vertical="center"/>
    </xf>
    <xf numFmtId="0" fontId="2" fillId="56" borderId="1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center" vertical="center"/>
    </xf>
    <xf numFmtId="0" fontId="15" fillId="46" borderId="1" xfId="0" applyFont="1" applyFill="1" applyBorder="1" applyAlignment="1">
      <alignment horizontal="center"/>
    </xf>
    <xf numFmtId="0" fontId="15" fillId="11" borderId="1" xfId="2" applyFont="1" applyFill="1" applyBorder="1" applyAlignment="1">
      <alignment horizontal="center" vertical="center"/>
    </xf>
    <xf numFmtId="0" fontId="15" fillId="57" borderId="1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right" vertical="center"/>
    </xf>
    <xf numFmtId="0" fontId="11" fillId="0" borderId="1" xfId="2" applyFont="1" applyBorder="1"/>
    <xf numFmtId="0" fontId="15" fillId="48" borderId="1" xfId="0" applyFont="1" applyFill="1" applyBorder="1" applyAlignment="1">
      <alignment horizontal="center" vertical="center"/>
    </xf>
    <xf numFmtId="166" fontId="15" fillId="48" borderId="1" xfId="2" applyNumberFormat="1" applyFont="1" applyFill="1" applyBorder="1" applyAlignment="1">
      <alignment horizontal="center" vertical="center"/>
    </xf>
    <xf numFmtId="0" fontId="2" fillId="47" borderId="1" xfId="0" applyFont="1" applyFill="1" applyBorder="1" applyAlignment="1">
      <alignment horizontal="center"/>
    </xf>
    <xf numFmtId="0" fontId="2" fillId="58" borderId="1" xfId="0" applyFont="1" applyFill="1" applyBorder="1" applyAlignment="1">
      <alignment horizontal="center" vertical="center"/>
    </xf>
    <xf numFmtId="0" fontId="4" fillId="58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/>
    </xf>
    <xf numFmtId="0" fontId="12" fillId="59" borderId="1" xfId="0" applyFont="1" applyFill="1" applyBorder="1" applyAlignment="1">
      <alignment horizontal="center" vertical="center"/>
    </xf>
    <xf numFmtId="0" fontId="12" fillId="59" borderId="1" xfId="0" applyFont="1" applyFill="1" applyBorder="1" applyAlignment="1">
      <alignment horizontal="right" vertical="center"/>
    </xf>
    <xf numFmtId="18" fontId="15" fillId="9" borderId="1" xfId="2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5" fontId="2" fillId="2" borderId="3" xfId="2" applyNumberFormat="1" applyFont="1" applyFill="1" applyBorder="1" applyAlignment="1">
      <alignment horizontal="center" vertical="center"/>
    </xf>
    <xf numFmtId="166" fontId="2" fillId="2" borderId="3" xfId="2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165" fontId="2" fillId="0" borderId="3" xfId="2" applyNumberFormat="1" applyFont="1" applyBorder="1" applyAlignment="1">
      <alignment horizontal="center" vertical="center"/>
    </xf>
    <xf numFmtId="166" fontId="2" fillId="0" borderId="3" xfId="2" applyNumberFormat="1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165" fontId="2" fillId="0" borderId="1" xfId="2" applyNumberFormat="1" applyFont="1" applyBorder="1" applyAlignment="1">
      <alignment horizontal="center" vertical="center"/>
    </xf>
    <xf numFmtId="18" fontId="2" fillId="0" borderId="1" xfId="2" applyNumberFormat="1" applyFont="1" applyBorder="1" applyAlignment="1">
      <alignment horizontal="center" vertical="center"/>
    </xf>
    <xf numFmtId="0" fontId="2" fillId="37" borderId="1" xfId="2" applyFont="1" applyFill="1" applyBorder="1" applyAlignment="1">
      <alignment horizontal="center" vertical="center"/>
    </xf>
    <xf numFmtId="0" fontId="2" fillId="37" borderId="1" xfId="0" applyFont="1" applyFill="1" applyBorder="1" applyAlignment="1">
      <alignment horizontal="center" vertical="center"/>
    </xf>
    <xf numFmtId="18" fontId="2" fillId="37" borderId="1" xfId="2" applyNumberFormat="1" applyFont="1" applyFill="1" applyBorder="1" applyAlignment="1">
      <alignment horizontal="center" vertical="center"/>
    </xf>
    <xf numFmtId="16" fontId="2" fillId="37" borderId="1" xfId="2" applyNumberFormat="1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8" fontId="12" fillId="37" borderId="1" xfId="0" applyNumberFormat="1" applyFont="1" applyFill="1" applyBorder="1" applyAlignment="1">
      <alignment horizontal="center" vertical="center"/>
    </xf>
    <xf numFmtId="0" fontId="2" fillId="8" borderId="1" xfId="3" applyFont="1" applyFill="1" applyBorder="1" applyAlignment="1">
      <alignment horizontal="center" vertical="center"/>
    </xf>
    <xf numFmtId="18" fontId="2" fillId="8" borderId="1" xfId="2" applyNumberFormat="1" applyFont="1" applyFill="1" applyBorder="1" applyAlignment="1">
      <alignment horizontal="center" vertical="center"/>
    </xf>
    <xf numFmtId="18" fontId="12" fillId="8" borderId="1" xfId="0" applyNumberFormat="1" applyFont="1" applyFill="1" applyBorder="1" applyAlignment="1">
      <alignment horizontal="center" vertical="center"/>
    </xf>
    <xf numFmtId="16" fontId="2" fillId="8" borderId="1" xfId="2" applyNumberFormat="1" applyFont="1" applyFill="1" applyBorder="1" applyAlignment="1">
      <alignment horizontal="center" vertical="center"/>
    </xf>
    <xf numFmtId="0" fontId="2" fillId="7" borderId="1" xfId="3" applyFont="1" applyFill="1" applyBorder="1" applyAlignment="1">
      <alignment horizontal="center" vertical="center"/>
    </xf>
    <xf numFmtId="18" fontId="2" fillId="7" borderId="1" xfId="2" applyNumberFormat="1" applyFont="1" applyFill="1" applyBorder="1" applyAlignment="1">
      <alignment horizontal="center" vertical="center"/>
    </xf>
    <xf numFmtId="165" fontId="2" fillId="7" borderId="1" xfId="2" applyNumberFormat="1" applyFont="1" applyFill="1" applyBorder="1" applyAlignment="1">
      <alignment horizontal="center" vertical="center"/>
    </xf>
    <xf numFmtId="165" fontId="1" fillId="0" borderId="1" xfId="2" applyNumberFormat="1" applyFont="1" applyBorder="1" applyAlignment="1">
      <alignment horizontal="center"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1" xfId="2" applyFont="1" applyFill="1" applyBorder="1" applyAlignment="1">
      <alignment horizontal="center" vertical="center"/>
    </xf>
    <xf numFmtId="18" fontId="2" fillId="2" borderId="1" xfId="2" applyNumberFormat="1" applyFont="1" applyFill="1" applyBorder="1" applyAlignment="1">
      <alignment horizontal="center" vertical="center"/>
    </xf>
    <xf numFmtId="165" fontId="2" fillId="2" borderId="1" xfId="2" applyNumberFormat="1" applyFont="1" applyFill="1" applyBorder="1" applyAlignment="1">
      <alignment horizontal="center" vertical="center"/>
    </xf>
    <xf numFmtId="166" fontId="2" fillId="8" borderId="1" xfId="2" applyNumberFormat="1" applyFont="1" applyFill="1" applyBorder="1" applyAlignment="1">
      <alignment horizontal="center" vertical="center"/>
    </xf>
    <xf numFmtId="165" fontId="2" fillId="8" borderId="1" xfId="2" applyNumberFormat="1" applyFont="1" applyFill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/>
    </xf>
    <xf numFmtId="18" fontId="2" fillId="55" borderId="1" xfId="0" applyNumberFormat="1" applyFont="1" applyFill="1" applyBorder="1" applyAlignment="1">
      <alignment horizontal="center" vertical="center"/>
    </xf>
    <xf numFmtId="16" fontId="2" fillId="55" borderId="1" xfId="0" applyNumberFormat="1" applyFont="1" applyFill="1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18" fontId="12" fillId="0" borderId="1" xfId="2" applyNumberFormat="1" applyFont="1" applyBorder="1" applyAlignment="1">
      <alignment horizontal="center" vertical="center"/>
    </xf>
    <xf numFmtId="16" fontId="12" fillId="0" borderId="1" xfId="2" applyNumberFormat="1" applyFont="1" applyBorder="1" applyAlignment="1">
      <alignment horizontal="center" vertical="center"/>
    </xf>
    <xf numFmtId="0" fontId="12" fillId="2" borderId="1" xfId="2" applyFont="1" applyFill="1" applyBorder="1" applyAlignment="1">
      <alignment horizontal="center" vertical="center"/>
    </xf>
    <xf numFmtId="18" fontId="12" fillId="2" borderId="1" xfId="2" applyNumberFormat="1" applyFont="1" applyFill="1" applyBorder="1" applyAlignment="1">
      <alignment horizontal="center" vertical="center"/>
    </xf>
    <xf numFmtId="16" fontId="12" fillId="2" borderId="1" xfId="2" applyNumberFormat="1" applyFont="1" applyFill="1" applyBorder="1" applyAlignment="1">
      <alignment horizontal="center" vertical="center"/>
    </xf>
    <xf numFmtId="18" fontId="2" fillId="41" borderId="1" xfId="0" applyNumberFormat="1" applyFont="1" applyFill="1" applyBorder="1" applyAlignment="1">
      <alignment horizontal="center" vertical="center"/>
    </xf>
    <xf numFmtId="0" fontId="20" fillId="0" borderId="6" xfId="2" applyFont="1" applyBorder="1" applyAlignment="1">
      <alignment horizontal="center" vertical="center"/>
    </xf>
    <xf numFmtId="0" fontId="20" fillId="0" borderId="3" xfId="2" applyFont="1" applyBorder="1" applyAlignment="1">
      <alignment horizontal="center" vertical="center"/>
    </xf>
    <xf numFmtId="0" fontId="20" fillId="0" borderId="7" xfId="2" applyFont="1" applyBorder="1" applyAlignment="1">
      <alignment horizontal="center" vertical="center"/>
    </xf>
    <xf numFmtId="0" fontId="20" fillId="0" borderId="1" xfId="2" applyFont="1" applyBorder="1" applyAlignment="1">
      <alignment horizontal="center" vertical="center"/>
    </xf>
    <xf numFmtId="0" fontId="22" fillId="23" borderId="1" xfId="3" applyFont="1" applyFill="1" applyBorder="1" applyAlignment="1">
      <alignment horizontal="center" vertical="center"/>
    </xf>
    <xf numFmtId="0" fontId="1" fillId="0" borderId="1" xfId="5" applyFont="1" applyBorder="1" applyAlignment="1">
      <alignment horizontal="center" vertical="center"/>
    </xf>
    <xf numFmtId="0" fontId="30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1" fillId="0" borderId="1" xfId="2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28" fillId="0" borderId="1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1" fillId="0" borderId="1" xfId="2" applyFont="1" applyBorder="1" applyAlignment="1">
      <alignment horizontal="center" vertical="center"/>
    </xf>
    <xf numFmtId="0" fontId="32" fillId="0" borderId="1" xfId="0" applyFont="1" applyBorder="1" applyAlignment="1">
      <alignment horizontal="center"/>
    </xf>
    <xf numFmtId="166" fontId="2" fillId="56" borderId="1" xfId="0" applyNumberFormat="1" applyFont="1" applyFill="1" applyBorder="1" applyAlignment="1">
      <alignment horizontal="center" vertical="center"/>
    </xf>
    <xf numFmtId="16" fontId="2" fillId="56" borderId="1" xfId="0" applyNumberFormat="1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8" fontId="15" fillId="11" borderId="1" xfId="2" applyNumberFormat="1" applyFont="1" applyFill="1" applyBorder="1" applyAlignment="1">
      <alignment horizontal="center" vertical="center"/>
    </xf>
    <xf numFmtId="165" fontId="15" fillId="11" borderId="1" xfId="2" applyNumberFormat="1" applyFont="1" applyFill="1" applyBorder="1" applyAlignment="1">
      <alignment horizontal="center" vertical="center"/>
    </xf>
    <xf numFmtId="18" fontId="15" fillId="44" borderId="1" xfId="0" applyNumberFormat="1" applyFont="1" applyFill="1" applyBorder="1" applyAlignment="1">
      <alignment horizontal="center" vertical="center"/>
    </xf>
    <xf numFmtId="16" fontId="15" fillId="44" borderId="1" xfId="0" applyNumberFormat="1" applyFont="1" applyFill="1" applyBorder="1" applyAlignment="1">
      <alignment horizontal="center" vertical="center"/>
    </xf>
    <xf numFmtId="0" fontId="15" fillId="57" borderId="1" xfId="2" applyFont="1" applyFill="1" applyBorder="1" applyAlignment="1">
      <alignment horizontal="center" vertical="center"/>
    </xf>
    <xf numFmtId="0" fontId="15" fillId="57" borderId="1" xfId="3" applyFont="1" applyFill="1" applyBorder="1" applyAlignment="1">
      <alignment horizontal="center" vertical="center"/>
    </xf>
    <xf numFmtId="166" fontId="15" fillId="57" borderId="1" xfId="3" applyNumberFormat="1" applyFont="1" applyFill="1" applyBorder="1" applyAlignment="1">
      <alignment horizontal="center" vertical="center"/>
    </xf>
    <xf numFmtId="166" fontId="15" fillId="57" borderId="1" xfId="2" applyNumberFormat="1" applyFont="1" applyFill="1" applyBorder="1" applyAlignment="1">
      <alignment horizontal="center" vertical="center"/>
    </xf>
    <xf numFmtId="165" fontId="15" fillId="57" borderId="1" xfId="2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/>
    </xf>
    <xf numFmtId="166" fontId="15" fillId="43" borderId="1" xfId="2" applyNumberFormat="1" applyFont="1" applyFill="1" applyBorder="1" applyAlignment="1">
      <alignment horizontal="center" vertical="center"/>
    </xf>
    <xf numFmtId="165" fontId="2" fillId="0" borderId="1" xfId="3" applyNumberFormat="1" applyFont="1" applyBorder="1" applyAlignment="1">
      <alignment horizontal="center" vertical="center"/>
    </xf>
    <xf numFmtId="0" fontId="2" fillId="45" borderId="1" xfId="2" applyFont="1" applyFill="1" applyBorder="1" applyAlignment="1">
      <alignment horizontal="center" vertical="center"/>
    </xf>
    <xf numFmtId="0" fontId="33" fillId="45" borderId="1" xfId="2" applyFont="1" applyFill="1" applyBorder="1" applyAlignment="1">
      <alignment horizontal="center" vertical="center"/>
    </xf>
    <xf numFmtId="18" fontId="2" fillId="45" borderId="1" xfId="2" applyNumberFormat="1" applyFont="1" applyFill="1" applyBorder="1" applyAlignment="1">
      <alignment horizontal="center" vertical="center"/>
    </xf>
    <xf numFmtId="165" fontId="2" fillId="45" borderId="1" xfId="2" applyNumberFormat="1" applyFont="1" applyFill="1" applyBorder="1" applyAlignment="1">
      <alignment horizontal="center" vertical="center"/>
    </xf>
    <xf numFmtId="0" fontId="1" fillId="0" borderId="1" xfId="3" applyFont="1" applyBorder="1" applyAlignment="1">
      <alignment horizontal="center" vertical="center"/>
    </xf>
    <xf numFmtId="165" fontId="1" fillId="0" borderId="1" xfId="3" applyNumberFormat="1" applyFont="1" applyBorder="1" applyAlignment="1">
      <alignment horizontal="center" vertical="center"/>
    </xf>
    <xf numFmtId="18" fontId="15" fillId="46" borderId="1" xfId="0" applyNumberFormat="1" applyFont="1" applyFill="1" applyBorder="1" applyAlignment="1">
      <alignment horizontal="center"/>
    </xf>
    <xf numFmtId="165" fontId="34" fillId="46" borderId="1" xfId="0" applyNumberFormat="1" applyFont="1" applyFill="1" applyBorder="1" applyAlignment="1">
      <alignment horizontal="center"/>
    </xf>
    <xf numFmtId="0" fontId="35" fillId="46" borderId="1" xfId="0" applyFont="1" applyFill="1" applyBorder="1" applyAlignment="1">
      <alignment horizontal="center"/>
    </xf>
    <xf numFmtId="18" fontId="2" fillId="23" borderId="1" xfId="0" applyNumberFormat="1" applyFont="1" applyFill="1" applyBorder="1" applyAlignment="1">
      <alignment horizontal="center"/>
    </xf>
    <xf numFmtId="165" fontId="2" fillId="23" borderId="1" xfId="0" applyNumberFormat="1" applyFont="1" applyFill="1" applyBorder="1" applyAlignment="1">
      <alignment horizontal="center"/>
    </xf>
    <xf numFmtId="0" fontId="4" fillId="23" borderId="1" xfId="0" applyFont="1" applyFill="1" applyBorder="1" applyAlignment="1">
      <alignment horizontal="center"/>
    </xf>
    <xf numFmtId="0" fontId="2" fillId="58" borderId="1" xfId="2" applyFont="1" applyFill="1" applyBorder="1" applyAlignment="1">
      <alignment horizontal="center" vertical="center"/>
    </xf>
    <xf numFmtId="0" fontId="2" fillId="58" borderId="1" xfId="3" applyFont="1" applyFill="1" applyBorder="1" applyAlignment="1">
      <alignment horizontal="center" vertical="center"/>
    </xf>
    <xf numFmtId="166" fontId="2" fillId="58" borderId="1" xfId="2" applyNumberFormat="1" applyFont="1" applyFill="1" applyBorder="1" applyAlignment="1">
      <alignment horizontal="center" vertical="center"/>
    </xf>
    <xf numFmtId="165" fontId="2" fillId="58" borderId="1" xfId="2" applyNumberFormat="1" applyFont="1" applyFill="1" applyBorder="1" applyAlignment="1">
      <alignment horizontal="center" vertical="center"/>
    </xf>
    <xf numFmtId="166" fontId="2" fillId="58" borderId="1" xfId="3" applyNumberFormat="1" applyFont="1" applyFill="1" applyBorder="1" applyAlignment="1">
      <alignment horizontal="center" vertical="center"/>
    </xf>
    <xf numFmtId="18" fontId="2" fillId="47" borderId="1" xfId="0" applyNumberFormat="1" applyFont="1" applyFill="1" applyBorder="1" applyAlignment="1">
      <alignment horizontal="center"/>
    </xf>
    <xf numFmtId="165" fontId="2" fillId="47" borderId="1" xfId="0" applyNumberFormat="1" applyFont="1" applyFill="1" applyBorder="1" applyAlignment="1">
      <alignment horizontal="center"/>
    </xf>
    <xf numFmtId="166" fontId="2" fillId="0" borderId="1" xfId="2" applyNumberFormat="1" applyFont="1" applyBorder="1" applyAlignment="1">
      <alignment horizontal="center" vertical="center"/>
    </xf>
    <xf numFmtId="0" fontId="15" fillId="48" borderId="1" xfId="3" applyFont="1" applyFill="1" applyBorder="1" applyAlignment="1">
      <alignment horizontal="center" vertical="center"/>
    </xf>
    <xf numFmtId="166" fontId="15" fillId="48" borderId="1" xfId="3" applyNumberFormat="1" applyFont="1" applyFill="1" applyBorder="1" applyAlignment="1">
      <alignment horizontal="center" vertical="center"/>
    </xf>
    <xf numFmtId="165" fontId="15" fillId="48" borderId="1" xfId="2" applyNumberFormat="1" applyFont="1" applyFill="1" applyBorder="1" applyAlignment="1">
      <alignment horizontal="center" vertical="center"/>
    </xf>
    <xf numFmtId="166" fontId="36" fillId="48" borderId="1" xfId="3" applyNumberFormat="1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6" fontId="2" fillId="2" borderId="1" xfId="0" applyNumberFormat="1" applyFont="1" applyFill="1" applyBorder="1" applyAlignment="1">
      <alignment horizontal="center"/>
    </xf>
    <xf numFmtId="0" fontId="15" fillId="44" borderId="1" xfId="2" applyFont="1" applyFill="1" applyBorder="1" applyAlignment="1">
      <alignment horizontal="center" vertical="center"/>
    </xf>
    <xf numFmtId="0" fontId="12" fillId="60" borderId="1" xfId="2" applyFont="1" applyFill="1" applyBorder="1" applyAlignment="1">
      <alignment horizontal="center" vertical="center"/>
    </xf>
    <xf numFmtId="0" fontId="2" fillId="61" borderId="1" xfId="2" applyFont="1" applyFill="1" applyBorder="1" applyAlignment="1">
      <alignment horizontal="center" vertical="center"/>
    </xf>
    <xf numFmtId="0" fontId="12" fillId="62" borderId="1" xfId="2" applyFont="1" applyFill="1" applyBorder="1" applyAlignment="1">
      <alignment horizontal="center" vertical="center"/>
    </xf>
    <xf numFmtId="0" fontId="32" fillId="0" borderId="1" xfId="2" applyFont="1" applyBorder="1" applyAlignment="1">
      <alignment horizontal="center" vertical="center"/>
    </xf>
    <xf numFmtId="0" fontId="15" fillId="63" borderId="1" xfId="2" applyFont="1" applyFill="1" applyBorder="1" applyAlignment="1">
      <alignment horizontal="center" vertical="center"/>
    </xf>
    <xf numFmtId="0" fontId="2" fillId="4" borderId="1" xfId="2" applyFont="1" applyFill="1" applyBorder="1" applyAlignment="1">
      <alignment horizontal="center" vertical="center"/>
    </xf>
    <xf numFmtId="0" fontId="14" fillId="0" borderId="1" xfId="2" applyFont="1" applyBorder="1" applyAlignment="1">
      <alignment horizontal="center" vertical="center"/>
    </xf>
    <xf numFmtId="0" fontId="12" fillId="23" borderId="1" xfId="2" applyFont="1" applyFill="1" applyBorder="1" applyAlignment="1">
      <alignment horizontal="center" vertical="center"/>
    </xf>
    <xf numFmtId="18" fontId="2" fillId="49" borderId="1" xfId="2" applyNumberFormat="1" applyFont="1" applyFill="1" applyBorder="1" applyAlignment="1">
      <alignment horizontal="center" vertical="center"/>
    </xf>
    <xf numFmtId="16" fontId="2" fillId="49" borderId="1" xfId="2" applyNumberFormat="1" applyFont="1" applyFill="1" applyBorder="1" applyAlignment="1">
      <alignment horizontal="center" vertical="center"/>
    </xf>
    <xf numFmtId="166" fontId="1" fillId="0" borderId="1" xfId="2" applyNumberFormat="1" applyFont="1" applyBorder="1" applyAlignment="1">
      <alignment horizontal="center" vertical="center"/>
    </xf>
    <xf numFmtId="0" fontId="1" fillId="61" borderId="1" xfId="2" applyFont="1" applyFill="1" applyBorder="1" applyAlignment="1">
      <alignment horizontal="center" vertical="center"/>
    </xf>
    <xf numFmtId="0" fontId="2" fillId="61" borderId="1" xfId="0" applyFont="1" applyFill="1" applyBorder="1" applyAlignment="1">
      <alignment horizontal="center" vertical="center"/>
    </xf>
    <xf numFmtId="0" fontId="13" fillId="61" borderId="3" xfId="2" applyFont="1" applyFill="1" applyBorder="1" applyAlignment="1">
      <alignment horizontal="center"/>
    </xf>
    <xf numFmtId="0" fontId="25" fillId="0" borderId="4" xfId="2" applyFont="1" applyBorder="1" applyAlignment="1">
      <alignment horizontal="center" vertical="center"/>
    </xf>
    <xf numFmtId="0" fontId="25" fillId="0" borderId="1" xfId="2" applyFont="1" applyBorder="1" applyAlignment="1">
      <alignment horizontal="center" vertical="center"/>
    </xf>
    <xf numFmtId="0" fontId="22" fillId="23" borderId="1" xfId="2" applyFont="1" applyFill="1" applyBorder="1" applyAlignment="1">
      <alignment horizontal="center" vertical="center"/>
    </xf>
    <xf numFmtId="18" fontId="22" fillId="0" borderId="1" xfId="2" applyNumberFormat="1" applyFont="1" applyBorder="1" applyAlignment="1">
      <alignment horizontal="center" vertical="center"/>
    </xf>
    <xf numFmtId="18" fontId="15" fillId="12" borderId="1" xfId="2" applyNumberFormat="1" applyFont="1" applyFill="1" applyBorder="1" applyAlignment="1">
      <alignment horizontal="center" vertical="center"/>
    </xf>
    <xf numFmtId="165" fontId="15" fillId="12" borderId="1" xfId="2" applyNumberFormat="1" applyFont="1" applyFill="1" applyBorder="1" applyAlignment="1">
      <alignment horizontal="center" vertical="center"/>
    </xf>
    <xf numFmtId="0" fontId="15" fillId="50" borderId="1" xfId="2" applyFont="1" applyFill="1" applyBorder="1" applyAlignment="1">
      <alignment horizontal="center" vertical="center"/>
    </xf>
    <xf numFmtId="18" fontId="15" fillId="50" borderId="1" xfId="2" applyNumberFormat="1" applyFont="1" applyFill="1" applyBorder="1" applyAlignment="1">
      <alignment horizontal="center" vertical="center"/>
    </xf>
    <xf numFmtId="165" fontId="15" fillId="50" borderId="1" xfId="2" applyNumberFormat="1" applyFont="1" applyFill="1" applyBorder="1" applyAlignment="1">
      <alignment horizontal="center" vertical="center"/>
    </xf>
    <xf numFmtId="166" fontId="33" fillId="58" borderId="1" xfId="3" applyNumberFormat="1" applyFont="1" applyFill="1" applyBorder="1" applyAlignment="1">
      <alignment horizontal="center" vertical="center"/>
    </xf>
    <xf numFmtId="0" fontId="33" fillId="8" borderId="1" xfId="2" applyFont="1" applyFill="1" applyBorder="1" applyAlignment="1">
      <alignment horizontal="center" vertical="center"/>
    </xf>
    <xf numFmtId="0" fontId="36" fillId="50" borderId="1" xfId="2" applyFont="1" applyFill="1" applyBorder="1" applyAlignment="1">
      <alignment horizontal="center" vertical="center"/>
    </xf>
    <xf numFmtId="0" fontId="36" fillId="11" borderId="1" xfId="2" applyFont="1" applyFill="1" applyBorder="1" applyAlignment="1">
      <alignment horizontal="center" vertical="center"/>
    </xf>
    <xf numFmtId="0" fontId="21" fillId="44" borderId="1" xfId="0" applyFont="1" applyFill="1" applyBorder="1" applyAlignment="1">
      <alignment horizontal="center" vertical="center"/>
    </xf>
    <xf numFmtId="0" fontId="36" fillId="44" borderId="1" xfId="0" applyFont="1" applyFill="1" applyBorder="1" applyAlignment="1">
      <alignment horizontal="center" vertical="center"/>
    </xf>
    <xf numFmtId="0" fontId="17" fillId="46" borderId="1" xfId="0" applyFont="1" applyFill="1" applyBorder="1" applyAlignment="1">
      <alignment horizontal="center"/>
    </xf>
    <xf numFmtId="0" fontId="36" fillId="46" borderId="1" xfId="0" applyFont="1" applyFill="1" applyBorder="1" applyAlignment="1">
      <alignment horizontal="center"/>
    </xf>
    <xf numFmtId="0" fontId="37" fillId="0" borderId="1" xfId="2" applyFont="1" applyBorder="1" applyAlignment="1">
      <alignment horizontal="center" vertical="center"/>
    </xf>
    <xf numFmtId="0" fontId="2" fillId="62" borderId="1" xfId="2" applyFont="1" applyFill="1" applyBorder="1" applyAlignment="1">
      <alignment horizontal="center" vertical="center"/>
    </xf>
    <xf numFmtId="165" fontId="2" fillId="62" borderId="1" xfId="2" applyNumberFormat="1" applyFont="1" applyFill="1" applyBorder="1" applyAlignment="1">
      <alignment horizontal="center" vertical="center"/>
    </xf>
    <xf numFmtId="0" fontId="2" fillId="23" borderId="1" xfId="2" applyFont="1" applyFill="1" applyBorder="1" applyAlignment="1">
      <alignment horizontal="center" vertical="center"/>
    </xf>
    <xf numFmtId="18" fontId="2" fillId="62" borderId="1" xfId="2" applyNumberFormat="1" applyFont="1" applyFill="1" applyBorder="1" applyAlignment="1">
      <alignment horizontal="center" vertical="center"/>
    </xf>
    <xf numFmtId="16" fontId="2" fillId="62" borderId="1" xfId="2" applyNumberFormat="1" applyFont="1" applyFill="1" applyBorder="1" applyAlignment="1">
      <alignment horizontal="center" vertical="center"/>
    </xf>
    <xf numFmtId="0" fontId="2" fillId="64" borderId="1" xfId="2" applyFont="1" applyFill="1" applyBorder="1" applyAlignment="1">
      <alignment horizontal="center" vertical="center"/>
    </xf>
    <xf numFmtId="165" fontId="2" fillId="65" borderId="1" xfId="2" applyNumberFormat="1" applyFont="1" applyFill="1" applyBorder="1" applyAlignment="1">
      <alignment horizontal="center" vertical="center"/>
    </xf>
    <xf numFmtId="0" fontId="4" fillId="66" borderId="1" xfId="2" applyFont="1" applyFill="1" applyBorder="1" applyAlignment="1">
      <alignment horizontal="center" vertical="center"/>
    </xf>
    <xf numFmtId="0" fontId="2" fillId="19" borderId="1" xfId="2" applyFont="1" applyFill="1" applyBorder="1" applyAlignment="1">
      <alignment horizontal="center" vertical="center"/>
    </xf>
    <xf numFmtId="0" fontId="14" fillId="62" borderId="1" xfId="2" applyFont="1" applyFill="1" applyBorder="1" applyAlignment="1">
      <alignment horizontal="center" vertical="center"/>
    </xf>
    <xf numFmtId="0" fontId="4" fillId="62" borderId="1" xfId="2" applyFont="1" applyFill="1" applyBorder="1" applyAlignment="1">
      <alignment horizontal="center" vertical="center"/>
    </xf>
    <xf numFmtId="18" fontId="2" fillId="67" borderId="1" xfId="2" applyNumberFormat="1" applyFont="1" applyFill="1" applyBorder="1" applyAlignment="1">
      <alignment horizontal="center" vertical="center"/>
    </xf>
    <xf numFmtId="0" fontId="9" fillId="62" borderId="1" xfId="2" applyFont="1" applyFill="1" applyBorder="1" applyAlignment="1">
      <alignment horizontal="center" vertical="center"/>
    </xf>
    <xf numFmtId="165" fontId="33" fillId="62" borderId="1" xfId="2" applyNumberFormat="1" applyFont="1" applyFill="1" applyBorder="1" applyAlignment="1">
      <alignment horizontal="center" vertical="center"/>
    </xf>
    <xf numFmtId="0" fontId="2" fillId="0" borderId="1" xfId="2" applyFont="1" applyBorder="1" applyAlignment="1">
      <alignment horizontal="center"/>
    </xf>
    <xf numFmtId="18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3" fillId="55" borderId="1" xfId="0" applyFont="1" applyFill="1" applyBorder="1" applyAlignment="1">
      <alignment horizontal="center" vertical="center"/>
    </xf>
    <xf numFmtId="0" fontId="33" fillId="0" borderId="1" xfId="2" applyFont="1" applyBorder="1" applyAlignment="1">
      <alignment horizontal="center" vertical="center"/>
    </xf>
    <xf numFmtId="0" fontId="22" fillId="23" borderId="1" xfId="0" applyFont="1" applyFill="1" applyBorder="1" applyAlignment="1">
      <alignment horizontal="center" vertical="center"/>
    </xf>
    <xf numFmtId="0" fontId="2" fillId="66" borderId="1" xfId="0" applyFont="1" applyFill="1" applyBorder="1" applyAlignment="1">
      <alignment horizontal="center" vertical="center"/>
    </xf>
    <xf numFmtId="0" fontId="2" fillId="68" borderId="1" xfId="0" applyFont="1" applyFill="1" applyBorder="1" applyAlignment="1">
      <alignment horizontal="center" vertical="center"/>
    </xf>
    <xf numFmtId="0" fontId="2" fillId="69" borderId="1" xfId="2" applyFont="1" applyFill="1" applyBorder="1" applyAlignment="1">
      <alignment horizontal="center" vertical="center"/>
    </xf>
    <xf numFmtId="0" fontId="2" fillId="0" borderId="1" xfId="0" applyFont="1" applyBorder="1"/>
    <xf numFmtId="0" fontId="2" fillId="69" borderId="1" xfId="3" applyFont="1" applyFill="1" applyBorder="1" applyAlignment="1">
      <alignment horizontal="center" vertical="center"/>
    </xf>
    <xf numFmtId="18" fontId="2" fillId="69" borderId="1" xfId="2" applyNumberFormat="1" applyFont="1" applyFill="1" applyBorder="1" applyAlignment="1">
      <alignment horizontal="center" vertical="center"/>
    </xf>
    <xf numFmtId="165" fontId="2" fillId="69" borderId="1" xfId="2" applyNumberFormat="1" applyFont="1" applyFill="1" applyBorder="1" applyAlignment="1">
      <alignment horizontal="center" vertical="center"/>
    </xf>
    <xf numFmtId="0" fontId="15" fillId="54" borderId="1" xfId="2" applyFont="1" applyFill="1" applyBorder="1" applyAlignment="1">
      <alignment horizontal="center" vertical="center"/>
    </xf>
    <xf numFmtId="18" fontId="15" fillId="54" borderId="1" xfId="2" applyNumberFormat="1" applyFont="1" applyFill="1" applyBorder="1" applyAlignment="1">
      <alignment horizontal="center" vertical="center"/>
    </xf>
    <xf numFmtId="165" fontId="15" fillId="54" borderId="1" xfId="2" applyNumberFormat="1" applyFont="1" applyFill="1" applyBorder="1" applyAlignment="1">
      <alignment horizontal="center" vertical="center"/>
    </xf>
    <xf numFmtId="1" fontId="2" fillId="69" borderId="1" xfId="3" applyNumberFormat="1" applyFont="1" applyFill="1" applyBorder="1" applyAlignment="1">
      <alignment horizontal="center" vertical="center"/>
    </xf>
    <xf numFmtId="18" fontId="4" fillId="69" borderId="1" xfId="2" applyNumberFormat="1" applyFont="1" applyFill="1" applyBorder="1" applyAlignment="1">
      <alignment horizontal="center" vertical="center"/>
    </xf>
    <xf numFmtId="0" fontId="2" fillId="70" borderId="1" xfId="2" applyFont="1" applyFill="1" applyBorder="1" applyAlignment="1">
      <alignment horizontal="center" vertical="center"/>
    </xf>
    <xf numFmtId="18" fontId="2" fillId="70" borderId="1" xfId="2" applyNumberFormat="1" applyFont="1" applyFill="1" applyBorder="1" applyAlignment="1">
      <alignment horizontal="center" vertical="center"/>
    </xf>
    <xf numFmtId="165" fontId="2" fillId="70" borderId="1" xfId="2" applyNumberFormat="1" applyFont="1" applyFill="1" applyBorder="1" applyAlignment="1">
      <alignment horizontal="center" vertical="center"/>
    </xf>
    <xf numFmtId="0" fontId="2" fillId="70" borderId="1" xfId="3" applyFont="1" applyFill="1" applyBorder="1" applyAlignment="1">
      <alignment horizontal="center" vertical="center"/>
    </xf>
    <xf numFmtId="0" fontId="4" fillId="70" borderId="1" xfId="2" applyFont="1" applyFill="1" applyBorder="1" applyAlignment="1">
      <alignment horizontal="center" vertical="center"/>
    </xf>
    <xf numFmtId="0" fontId="2" fillId="2" borderId="1" xfId="0" applyFont="1" applyFill="1" applyBorder="1"/>
    <xf numFmtId="18" fontId="4" fillId="70" borderId="1" xfId="2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7" borderId="1" xfId="0" applyFont="1" applyFill="1" applyBorder="1" applyAlignment="1">
      <alignment horizontal="center"/>
    </xf>
    <xf numFmtId="0" fontId="33" fillId="49" borderId="1" xfId="2" applyFont="1" applyFill="1" applyBorder="1" applyAlignment="1">
      <alignment horizontal="center" vertical="center"/>
    </xf>
    <xf numFmtId="165" fontId="33" fillId="70" borderId="1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33" fillId="45" borderId="1" xfId="0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166" fontId="40" fillId="0" borderId="1" xfId="0" applyNumberFormat="1" applyFont="1" applyBorder="1" applyAlignment="1">
      <alignment horizontal="center" vertical="center"/>
    </xf>
    <xf numFmtId="165" fontId="41" fillId="51" borderId="1" xfId="2" applyNumberFormat="1" applyFont="1" applyFill="1" applyBorder="1" applyAlignment="1">
      <alignment horizontal="center" vertical="center"/>
    </xf>
    <xf numFmtId="18" fontId="41" fillId="51" borderId="1" xfId="2" applyNumberFormat="1" applyFont="1" applyFill="1" applyBorder="1" applyAlignment="1">
      <alignment horizontal="center" vertical="center"/>
    </xf>
    <xf numFmtId="0" fontId="41" fillId="51" borderId="1" xfId="2" applyFont="1" applyFill="1" applyBorder="1" applyAlignment="1">
      <alignment horizontal="center" vertical="center"/>
    </xf>
    <xf numFmtId="0" fontId="42" fillId="51" borderId="1" xfId="2" applyFont="1" applyFill="1" applyBorder="1" applyAlignment="1">
      <alignment horizontal="center" vertical="center"/>
    </xf>
    <xf numFmtId="16" fontId="43" fillId="52" borderId="1" xfId="0" applyNumberFormat="1" applyFont="1" applyFill="1" applyBorder="1" applyAlignment="1">
      <alignment horizontal="center" vertical="center"/>
    </xf>
    <xf numFmtId="166" fontId="43" fillId="52" borderId="1" xfId="0" applyNumberFormat="1" applyFont="1" applyFill="1" applyBorder="1" applyAlignment="1">
      <alignment horizontal="center" vertical="center"/>
    </xf>
    <xf numFmtId="0" fontId="43" fillId="52" borderId="1" xfId="0" applyFont="1" applyFill="1" applyBorder="1" applyAlignment="1">
      <alignment horizontal="center" vertical="center"/>
    </xf>
    <xf numFmtId="1" fontId="43" fillId="52" borderId="1" xfId="0" applyNumberFormat="1" applyFont="1" applyFill="1" applyBorder="1" applyAlignment="1">
      <alignment horizontal="center" vertical="center"/>
    </xf>
    <xf numFmtId="0" fontId="43" fillId="52" borderId="5" xfId="0" applyFont="1" applyFill="1" applyBorder="1" applyAlignment="1">
      <alignment horizontal="center" vertical="center"/>
    </xf>
    <xf numFmtId="16" fontId="43" fillId="53" borderId="1" xfId="0" applyNumberFormat="1" applyFont="1" applyFill="1" applyBorder="1" applyAlignment="1">
      <alignment horizontal="center" vertical="center"/>
    </xf>
    <xf numFmtId="166" fontId="43" fillId="53" borderId="1" xfId="0" applyNumberFormat="1" applyFont="1" applyFill="1" applyBorder="1" applyAlignment="1">
      <alignment horizontal="center" vertical="center"/>
    </xf>
    <xf numFmtId="0" fontId="43" fillId="53" borderId="1" xfId="0" applyFont="1" applyFill="1" applyBorder="1" applyAlignment="1">
      <alignment horizontal="center" vertical="center"/>
    </xf>
    <xf numFmtId="1" fontId="43" fillId="53" borderId="1" xfId="0" applyNumberFormat="1" applyFont="1" applyFill="1" applyBorder="1" applyAlignment="1">
      <alignment horizontal="center" vertical="center"/>
    </xf>
    <xf numFmtId="0" fontId="43" fillId="53" borderId="5" xfId="0" applyFont="1" applyFill="1" applyBorder="1" applyAlignment="1">
      <alignment horizontal="center" vertical="center"/>
    </xf>
    <xf numFmtId="165" fontId="41" fillId="9" borderId="1" xfId="2" applyNumberFormat="1" applyFont="1" applyFill="1" applyBorder="1" applyAlignment="1">
      <alignment horizontal="center" vertical="center"/>
    </xf>
    <xf numFmtId="18" fontId="41" fillId="9" borderId="1" xfId="2" applyNumberFormat="1" applyFont="1" applyFill="1" applyBorder="1" applyAlignment="1">
      <alignment horizontal="center" vertical="center"/>
    </xf>
    <xf numFmtId="0" fontId="41" fillId="9" borderId="1" xfId="2" applyFont="1" applyFill="1" applyBorder="1" applyAlignment="1">
      <alignment horizontal="center" vertical="center"/>
    </xf>
    <xf numFmtId="165" fontId="43" fillId="70" borderId="1" xfId="2" applyNumberFormat="1" applyFont="1" applyFill="1" applyBorder="1" applyAlignment="1">
      <alignment horizontal="center" vertical="center"/>
    </xf>
    <xf numFmtId="18" fontId="43" fillId="70" borderId="1" xfId="2" applyNumberFormat="1" applyFont="1" applyFill="1" applyBorder="1" applyAlignment="1">
      <alignment horizontal="center" vertical="center"/>
    </xf>
    <xf numFmtId="0" fontId="43" fillId="70" borderId="1" xfId="2" applyFont="1" applyFill="1" applyBorder="1" applyAlignment="1">
      <alignment horizontal="center" vertical="center"/>
    </xf>
    <xf numFmtId="165" fontId="43" fillId="69" borderId="1" xfId="2" applyNumberFormat="1" applyFont="1" applyFill="1" applyBorder="1" applyAlignment="1">
      <alignment horizontal="center" vertical="center"/>
    </xf>
    <xf numFmtId="18" fontId="43" fillId="69" borderId="1" xfId="2" applyNumberFormat="1" applyFont="1" applyFill="1" applyBorder="1" applyAlignment="1">
      <alignment horizontal="center" vertical="center"/>
    </xf>
    <xf numFmtId="0" fontId="43" fillId="69" borderId="1" xfId="2" applyFont="1" applyFill="1" applyBorder="1" applyAlignment="1">
      <alignment horizontal="center" vertical="center"/>
    </xf>
    <xf numFmtId="0" fontId="43" fillId="69" borderId="1" xfId="3" applyFont="1" applyFill="1" applyBorder="1" applyAlignment="1">
      <alignment horizontal="center" vertical="center"/>
    </xf>
    <xf numFmtId="165" fontId="44" fillId="70" borderId="1" xfId="2" applyNumberFormat="1" applyFont="1" applyFill="1" applyBorder="1" applyAlignment="1">
      <alignment horizontal="center" vertical="center"/>
    </xf>
    <xf numFmtId="0" fontId="43" fillId="70" borderId="1" xfId="3" applyFont="1" applyFill="1" applyBorder="1" applyAlignment="1">
      <alignment horizontal="center" vertical="center"/>
    </xf>
    <xf numFmtId="1" fontId="43" fillId="69" borderId="1" xfId="3" applyNumberFormat="1" applyFont="1" applyFill="1" applyBorder="1" applyAlignment="1">
      <alignment horizontal="center" vertical="center"/>
    </xf>
    <xf numFmtId="0" fontId="45" fillId="70" borderId="1" xfId="2" applyFont="1" applyFill="1" applyBorder="1" applyAlignment="1">
      <alignment horizontal="center" vertical="center"/>
    </xf>
    <xf numFmtId="18" fontId="45" fillId="69" borderId="1" xfId="2" applyNumberFormat="1" applyFont="1" applyFill="1" applyBorder="1" applyAlignment="1">
      <alignment horizontal="center" vertical="center"/>
    </xf>
    <xf numFmtId="165" fontId="41" fillId="54" borderId="1" xfId="2" applyNumberFormat="1" applyFont="1" applyFill="1" applyBorder="1" applyAlignment="1">
      <alignment horizontal="center" vertical="center"/>
    </xf>
    <xf numFmtId="18" fontId="41" fillId="54" borderId="1" xfId="2" applyNumberFormat="1" applyFont="1" applyFill="1" applyBorder="1" applyAlignment="1">
      <alignment horizontal="center" vertical="center"/>
    </xf>
    <xf numFmtId="0" fontId="41" fillId="54" borderId="1" xfId="2" applyFont="1" applyFill="1" applyBorder="1" applyAlignment="1">
      <alignment horizontal="center" vertical="center"/>
    </xf>
    <xf numFmtId="18" fontId="45" fillId="70" borderId="1" xfId="2" applyNumberFormat="1" applyFont="1" applyFill="1" applyBorder="1" applyAlignment="1">
      <alignment horizontal="center" vertical="center"/>
    </xf>
    <xf numFmtId="16" fontId="43" fillId="55" borderId="1" xfId="0" applyNumberFormat="1" applyFont="1" applyFill="1" applyBorder="1" applyAlignment="1">
      <alignment horizontal="center" vertical="center"/>
    </xf>
    <xf numFmtId="18" fontId="43" fillId="55" borderId="1" xfId="0" applyNumberFormat="1" applyFont="1" applyFill="1" applyBorder="1" applyAlignment="1">
      <alignment horizontal="center" vertical="center"/>
    </xf>
    <xf numFmtId="18" fontId="43" fillId="41" borderId="1" xfId="0" applyNumberFormat="1" applyFont="1" applyFill="1" applyBorder="1" applyAlignment="1">
      <alignment horizontal="center" vertical="center"/>
    </xf>
    <xf numFmtId="0" fontId="43" fillId="55" borderId="1" xfId="0" applyFont="1" applyFill="1" applyBorder="1" applyAlignment="1">
      <alignment horizontal="center" vertical="center"/>
    </xf>
    <xf numFmtId="0" fontId="44" fillId="55" borderId="1" xfId="0" applyFont="1" applyFill="1" applyBorder="1" applyAlignment="1">
      <alignment horizontal="center" vertical="center"/>
    </xf>
    <xf numFmtId="16" fontId="43" fillId="56" borderId="1" xfId="0" applyNumberFormat="1" applyFont="1" applyFill="1" applyBorder="1" applyAlignment="1">
      <alignment horizontal="center" vertical="center"/>
    </xf>
    <xf numFmtId="166" fontId="43" fillId="56" borderId="1" xfId="0" applyNumberFormat="1" applyFont="1" applyFill="1" applyBorder="1" applyAlignment="1">
      <alignment horizontal="center" vertical="center"/>
    </xf>
    <xf numFmtId="0" fontId="43" fillId="56" borderId="1" xfId="0" applyFont="1" applyFill="1" applyBorder="1" applyAlignment="1">
      <alignment horizontal="center" vertical="center"/>
    </xf>
    <xf numFmtId="165" fontId="41" fillId="11" borderId="1" xfId="2" applyNumberFormat="1" applyFont="1" applyFill="1" applyBorder="1" applyAlignment="1">
      <alignment horizontal="center" vertical="center"/>
    </xf>
    <xf numFmtId="18" fontId="41" fillId="11" borderId="1" xfId="2" applyNumberFormat="1" applyFont="1" applyFill="1" applyBorder="1" applyAlignment="1">
      <alignment horizontal="center" vertical="center"/>
    </xf>
    <xf numFmtId="0" fontId="41" fillId="11" borderId="1" xfId="2" applyFont="1" applyFill="1" applyBorder="1" applyAlignment="1">
      <alignment horizontal="center" vertical="center"/>
    </xf>
    <xf numFmtId="0" fontId="46" fillId="11" borderId="1" xfId="2" applyFont="1" applyFill="1" applyBorder="1" applyAlignment="1">
      <alignment horizontal="center" vertical="center"/>
    </xf>
    <xf numFmtId="16" fontId="41" fillId="44" borderId="1" xfId="0" applyNumberFormat="1" applyFont="1" applyFill="1" applyBorder="1" applyAlignment="1">
      <alignment horizontal="center" vertical="center"/>
    </xf>
    <xf numFmtId="18" fontId="41" fillId="44" borderId="1" xfId="0" applyNumberFormat="1" applyFont="1" applyFill="1" applyBorder="1" applyAlignment="1">
      <alignment horizontal="center" vertical="center"/>
    </xf>
    <xf numFmtId="0" fontId="41" fillId="44" borderId="1" xfId="0" applyFont="1" applyFill="1" applyBorder="1" applyAlignment="1">
      <alignment horizontal="center" vertical="center"/>
    </xf>
    <xf numFmtId="0" fontId="47" fillId="44" borderId="1" xfId="0" applyFont="1" applyFill="1" applyBorder="1" applyAlignment="1">
      <alignment horizontal="center" vertical="center"/>
    </xf>
    <xf numFmtId="0" fontId="46" fillId="44" borderId="1" xfId="0" applyFont="1" applyFill="1" applyBorder="1" applyAlignment="1">
      <alignment horizontal="center" vertical="center"/>
    </xf>
    <xf numFmtId="165" fontId="41" fillId="57" borderId="1" xfId="2" applyNumberFormat="1" applyFont="1" applyFill="1" applyBorder="1" applyAlignment="1">
      <alignment horizontal="center" vertical="center"/>
    </xf>
    <xf numFmtId="166" fontId="41" fillId="57" borderId="1" xfId="2" applyNumberFormat="1" applyFont="1" applyFill="1" applyBorder="1" applyAlignment="1">
      <alignment horizontal="center" vertical="center"/>
    </xf>
    <xf numFmtId="0" fontId="41" fillId="57" borderId="1" xfId="0" applyFont="1" applyFill="1" applyBorder="1" applyAlignment="1">
      <alignment horizontal="center" vertical="center"/>
    </xf>
    <xf numFmtId="166" fontId="41" fillId="57" borderId="1" xfId="3" applyNumberFormat="1" applyFont="1" applyFill="1" applyBorder="1" applyAlignment="1">
      <alignment horizontal="center" vertical="center"/>
    </xf>
    <xf numFmtId="0" fontId="41" fillId="57" borderId="1" xfId="3" applyFont="1" applyFill="1" applyBorder="1" applyAlignment="1">
      <alignment horizontal="center" vertical="center"/>
    </xf>
    <xf numFmtId="0" fontId="41" fillId="57" borderId="1" xfId="2" applyFont="1" applyFill="1" applyBorder="1" applyAlignment="1">
      <alignment horizontal="center" vertical="center"/>
    </xf>
    <xf numFmtId="166" fontId="41" fillId="43" borderId="1" xfId="2" applyNumberFormat="1" applyFont="1" applyFill="1" applyBorder="1" applyAlignment="1">
      <alignment horizontal="center" vertical="center"/>
    </xf>
    <xf numFmtId="165" fontId="43" fillId="45" borderId="1" xfId="2" applyNumberFormat="1" applyFont="1" applyFill="1" applyBorder="1" applyAlignment="1">
      <alignment horizontal="center" vertical="center"/>
    </xf>
    <xf numFmtId="18" fontId="43" fillId="45" borderId="1" xfId="2" applyNumberFormat="1" applyFont="1" applyFill="1" applyBorder="1" applyAlignment="1">
      <alignment horizontal="center" vertical="center"/>
    </xf>
    <xf numFmtId="0" fontId="43" fillId="45" borderId="1" xfId="0" applyFont="1" applyFill="1" applyBorder="1" applyAlignment="1">
      <alignment horizontal="center" vertical="center"/>
    </xf>
    <xf numFmtId="0" fontId="43" fillId="45" borderId="1" xfId="2" applyFont="1" applyFill="1" applyBorder="1" applyAlignment="1">
      <alignment horizontal="center" vertical="center"/>
    </xf>
    <xf numFmtId="0" fontId="44" fillId="45" borderId="1" xfId="2" applyFont="1" applyFill="1" applyBorder="1" applyAlignment="1">
      <alignment horizontal="center" vertical="center"/>
    </xf>
    <xf numFmtId="165" fontId="41" fillId="46" borderId="1" xfId="0" applyNumberFormat="1" applyFont="1" applyFill="1" applyBorder="1" applyAlignment="1">
      <alignment horizontal="center"/>
    </xf>
    <xf numFmtId="18" fontId="41" fillId="46" borderId="1" xfId="0" applyNumberFormat="1" applyFont="1" applyFill="1" applyBorder="1" applyAlignment="1">
      <alignment horizontal="center"/>
    </xf>
    <xf numFmtId="0" fontId="41" fillId="46" borderId="1" xfId="0" applyFont="1" applyFill="1" applyBorder="1" applyAlignment="1">
      <alignment horizontal="center"/>
    </xf>
    <xf numFmtId="165" fontId="48" fillId="46" borderId="1" xfId="0" applyNumberFormat="1" applyFont="1" applyFill="1" applyBorder="1" applyAlignment="1">
      <alignment horizontal="center"/>
    </xf>
    <xf numFmtId="0" fontId="49" fillId="46" borderId="1" xfId="0" applyFont="1" applyFill="1" applyBorder="1" applyAlignment="1">
      <alignment horizontal="center"/>
    </xf>
    <xf numFmtId="0" fontId="46" fillId="46" borderId="1" xfId="0" applyFont="1" applyFill="1" applyBorder="1" applyAlignment="1">
      <alignment horizontal="center"/>
    </xf>
    <xf numFmtId="0" fontId="42" fillId="46" borderId="1" xfId="0" applyFont="1" applyFill="1" applyBorder="1" applyAlignment="1">
      <alignment horizontal="center"/>
    </xf>
    <xf numFmtId="165" fontId="43" fillId="23" borderId="1" xfId="0" applyNumberFormat="1" applyFont="1" applyFill="1" applyBorder="1" applyAlignment="1">
      <alignment horizontal="center"/>
    </xf>
    <xf numFmtId="18" fontId="43" fillId="23" borderId="1" xfId="0" applyNumberFormat="1" applyFont="1" applyFill="1" applyBorder="1" applyAlignment="1">
      <alignment horizontal="center"/>
    </xf>
    <xf numFmtId="0" fontId="43" fillId="23" borderId="1" xfId="0" applyFont="1" applyFill="1" applyBorder="1" applyAlignment="1">
      <alignment horizontal="center"/>
    </xf>
    <xf numFmtId="0" fontId="45" fillId="23" borderId="1" xfId="0" applyFont="1" applyFill="1" applyBorder="1" applyAlignment="1">
      <alignment horizontal="center"/>
    </xf>
    <xf numFmtId="165" fontId="43" fillId="47" borderId="1" xfId="0" applyNumberFormat="1" applyFont="1" applyFill="1" applyBorder="1" applyAlignment="1">
      <alignment horizontal="center"/>
    </xf>
    <xf numFmtId="18" fontId="43" fillId="47" borderId="1" xfId="0" applyNumberFormat="1" applyFont="1" applyFill="1" applyBorder="1" applyAlignment="1">
      <alignment horizontal="center"/>
    </xf>
    <xf numFmtId="0" fontId="43" fillId="47" borderId="1" xfId="0" applyFont="1" applyFill="1" applyBorder="1" applyAlignment="1">
      <alignment horizontal="center"/>
    </xf>
    <xf numFmtId="165" fontId="43" fillId="58" borderId="1" xfId="2" applyNumberFormat="1" applyFont="1" applyFill="1" applyBorder="1" applyAlignment="1">
      <alignment horizontal="center" vertical="center"/>
    </xf>
    <xf numFmtId="166" fontId="43" fillId="58" borderId="1" xfId="2" applyNumberFormat="1" applyFont="1" applyFill="1" applyBorder="1" applyAlignment="1">
      <alignment horizontal="center" vertical="center"/>
    </xf>
    <xf numFmtId="0" fontId="43" fillId="58" borderId="1" xfId="0" applyFont="1" applyFill="1" applyBorder="1" applyAlignment="1">
      <alignment horizontal="center" vertical="center"/>
    </xf>
    <xf numFmtId="166" fontId="43" fillId="58" borderId="1" xfId="3" applyNumberFormat="1" applyFont="1" applyFill="1" applyBorder="1" applyAlignment="1">
      <alignment horizontal="center" vertical="center"/>
    </xf>
    <xf numFmtId="0" fontId="43" fillId="58" borderId="1" xfId="3" applyFont="1" applyFill="1" applyBorder="1" applyAlignment="1">
      <alignment horizontal="center" vertical="center"/>
    </xf>
    <xf numFmtId="0" fontId="43" fillId="58" borderId="1" xfId="2" applyFont="1" applyFill="1" applyBorder="1" applyAlignment="1">
      <alignment horizontal="center" vertical="center"/>
    </xf>
    <xf numFmtId="166" fontId="44" fillId="58" borderId="1" xfId="3" applyNumberFormat="1" applyFont="1" applyFill="1" applyBorder="1" applyAlignment="1">
      <alignment horizontal="center" vertical="center"/>
    </xf>
    <xf numFmtId="0" fontId="45" fillId="58" borderId="1" xfId="0" applyFont="1" applyFill="1" applyBorder="1" applyAlignment="1">
      <alignment horizontal="center" vertical="center"/>
    </xf>
    <xf numFmtId="165" fontId="41" fillId="48" borderId="1" xfId="2" applyNumberFormat="1" applyFont="1" applyFill="1" applyBorder="1" applyAlignment="1">
      <alignment horizontal="center" vertical="center"/>
    </xf>
    <xf numFmtId="166" fontId="41" fillId="48" borderId="1" xfId="2" applyNumberFormat="1" applyFont="1" applyFill="1" applyBorder="1" applyAlignment="1">
      <alignment horizontal="center" vertical="center"/>
    </xf>
    <xf numFmtId="0" fontId="41" fillId="48" borderId="1" xfId="0" applyFont="1" applyFill="1" applyBorder="1" applyAlignment="1">
      <alignment horizontal="center" vertical="center"/>
    </xf>
    <xf numFmtId="166" fontId="41" fillId="48" borderId="1" xfId="3" applyNumberFormat="1" applyFont="1" applyFill="1" applyBorder="1" applyAlignment="1">
      <alignment horizontal="center" vertical="center"/>
    </xf>
    <xf numFmtId="0" fontId="41" fillId="48" borderId="1" xfId="3" applyFont="1" applyFill="1" applyBorder="1" applyAlignment="1">
      <alignment horizontal="center" vertical="center"/>
    </xf>
    <xf numFmtId="0" fontId="41" fillId="48" borderId="1" xfId="2" applyFont="1" applyFill="1" applyBorder="1" applyAlignment="1">
      <alignment horizontal="center" vertical="center"/>
    </xf>
    <xf numFmtId="166" fontId="46" fillId="48" borderId="1" xfId="3" applyNumberFormat="1" applyFont="1" applyFill="1" applyBorder="1" applyAlignment="1">
      <alignment horizontal="center" vertical="center"/>
    </xf>
    <xf numFmtId="16" fontId="43" fillId="49" borderId="1" xfId="2" applyNumberFormat="1" applyFont="1" applyFill="1" applyBorder="1" applyAlignment="1">
      <alignment horizontal="center" vertical="center"/>
    </xf>
    <xf numFmtId="18" fontId="43" fillId="49" borderId="1" xfId="2" applyNumberFormat="1" applyFont="1" applyFill="1" applyBorder="1" applyAlignment="1">
      <alignment horizontal="center" vertical="center"/>
    </xf>
    <xf numFmtId="0" fontId="43" fillId="49" borderId="1" xfId="2" applyFont="1" applyFill="1" applyBorder="1" applyAlignment="1">
      <alignment horizontal="center" vertical="center"/>
    </xf>
    <xf numFmtId="0" fontId="44" fillId="49" borderId="1" xfId="2" applyFont="1" applyFill="1" applyBorder="1" applyAlignment="1">
      <alignment horizontal="center" vertical="center"/>
    </xf>
    <xf numFmtId="165" fontId="41" fillId="12" borderId="1" xfId="2" applyNumberFormat="1" applyFont="1" applyFill="1" applyBorder="1" applyAlignment="1">
      <alignment horizontal="center" vertical="center"/>
    </xf>
    <xf numFmtId="18" fontId="41" fillId="12" borderId="1" xfId="2" applyNumberFormat="1" applyFont="1" applyFill="1" applyBorder="1" applyAlignment="1">
      <alignment horizontal="center" vertical="center"/>
    </xf>
    <xf numFmtId="0" fontId="41" fillId="12" borderId="1" xfId="2" applyFont="1" applyFill="1" applyBorder="1" applyAlignment="1">
      <alignment horizontal="center" vertical="center"/>
    </xf>
    <xf numFmtId="165" fontId="41" fillId="50" borderId="1" xfId="2" applyNumberFormat="1" applyFont="1" applyFill="1" applyBorder="1" applyAlignment="1">
      <alignment horizontal="center" vertical="center"/>
    </xf>
    <xf numFmtId="18" fontId="41" fillId="50" borderId="1" xfId="2" applyNumberFormat="1" applyFont="1" applyFill="1" applyBorder="1" applyAlignment="1">
      <alignment horizontal="center" vertical="center"/>
    </xf>
    <xf numFmtId="0" fontId="41" fillId="50" borderId="1" xfId="0" applyFont="1" applyFill="1" applyBorder="1" applyAlignment="1">
      <alignment horizontal="center" vertical="center"/>
    </xf>
    <xf numFmtId="0" fontId="41" fillId="50" borderId="1" xfId="2" applyFont="1" applyFill="1" applyBorder="1" applyAlignment="1">
      <alignment horizontal="center" vertical="center"/>
    </xf>
    <xf numFmtId="0" fontId="46" fillId="50" borderId="1" xfId="2" applyFont="1" applyFill="1" applyBorder="1" applyAlignment="1">
      <alignment horizontal="center" vertical="center"/>
    </xf>
    <xf numFmtId="0" fontId="43" fillId="55" borderId="5" xfId="0" applyFont="1" applyFill="1" applyBorder="1" applyAlignment="1">
      <alignment horizontal="center" vertical="center"/>
    </xf>
    <xf numFmtId="167" fontId="15" fillId="12" borderId="1" xfId="2" applyNumberFormat="1" applyFont="1" applyFill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18" fontId="4" fillId="12" borderId="1" xfId="2" applyNumberFormat="1" applyFont="1" applyFill="1" applyBorder="1" applyAlignment="1">
      <alignment horizontal="center" vertical="center"/>
    </xf>
    <xf numFmtId="18" fontId="45" fillId="12" borderId="1" xfId="2" applyNumberFormat="1" applyFont="1" applyFill="1" applyBorder="1" applyAlignment="1">
      <alignment horizontal="center" vertical="center"/>
    </xf>
    <xf numFmtId="0" fontId="41" fillId="46" borderId="5" xfId="0" applyFont="1" applyFill="1" applyBorder="1" applyAlignment="1">
      <alignment horizontal="center"/>
    </xf>
    <xf numFmtId="0" fontId="47" fillId="17" borderId="1" xfId="1" applyFont="1" applyFill="1" applyBorder="1" applyAlignment="1">
      <alignment horizontal="center" vertical="center"/>
    </xf>
    <xf numFmtId="0" fontId="43" fillId="0" borderId="1" xfId="3" applyFont="1" applyBorder="1" applyAlignment="1">
      <alignment horizontal="center" vertical="center"/>
    </xf>
    <xf numFmtId="165" fontId="40" fillId="0" borderId="1" xfId="3" applyNumberFormat="1" applyFont="1" applyBorder="1" applyAlignment="1">
      <alignment horizontal="center" vertical="center"/>
    </xf>
    <xf numFmtId="0" fontId="33" fillId="47" borderId="1" xfId="0" applyFont="1" applyFill="1" applyBorder="1" applyAlignment="1">
      <alignment horizontal="center"/>
    </xf>
    <xf numFmtId="167" fontId="2" fillId="55" borderId="1" xfId="0" applyNumberFormat="1" applyFont="1" applyFill="1" applyBorder="1" applyAlignment="1">
      <alignment horizontal="center" vertical="center"/>
    </xf>
    <xf numFmtId="167" fontId="15" fillId="51" borderId="1" xfId="2" applyNumberFormat="1" applyFont="1" applyFill="1" applyBorder="1" applyAlignment="1">
      <alignment horizontal="center" vertical="center"/>
    </xf>
    <xf numFmtId="167" fontId="2" fillId="45" borderId="1" xfId="0" applyNumberFormat="1" applyFont="1" applyFill="1" applyBorder="1" applyAlignment="1">
      <alignment horizontal="center" vertical="center"/>
    </xf>
    <xf numFmtId="0" fontId="51" fillId="0" borderId="1" xfId="2" applyFont="1" applyBorder="1"/>
    <xf numFmtId="0" fontId="52" fillId="0" borderId="1" xfId="2" applyFont="1" applyBorder="1"/>
    <xf numFmtId="0" fontId="51" fillId="0" borderId="1" xfId="2" applyFont="1" applyBorder="1" applyAlignment="1">
      <alignment horizontal="center" vertical="center"/>
    </xf>
  </cellXfs>
  <cellStyles count="6">
    <cellStyle name="Hyperlink" xfId="1" builtinId="8"/>
    <cellStyle name="Hyperlink 2" xfId="4" xr:uid="{FFF8C0AF-A861-4390-B1E4-E4D20642D323}"/>
    <cellStyle name="Normal" xfId="0" builtinId="0"/>
    <cellStyle name="Normal 2 2 2 2 2" xfId="2" xr:uid="{887471D9-509A-4CD5-9314-E5BA5BA16257}"/>
    <cellStyle name="Normal 2 6" xfId="3" xr:uid="{3D383834-D7F4-4BFE-ABB4-FD8011C1033F}"/>
    <cellStyle name="Normal 3" xfId="5" xr:uid="{089FB1FB-68EB-453D-AB87-5859613E3739}"/>
  </cellStyles>
  <dxfs count="0"/>
  <tableStyles count="0" defaultTableStyle="TableStyleMedium2" defaultPivotStyle="PivotStyleLight16"/>
  <colors>
    <mruColors>
      <color rgb="FFB2FB51"/>
      <color rgb="FF7821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events/26k7_divselect.htm" TargetMode="External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Relationship Id="rId4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events/26k7_divselect.htm" TargetMode="External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Relationship Id="rId4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events/26k7_divselect.htm" TargetMode="External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Relationship Id="rId4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events/26k7_divselect.htm" TargetMode="External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Relationship Id="rId4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events/26k7_divselect.htm" TargetMode="External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Relationship Id="rId4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events/26k7_divselect.htm" TargetMode="External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Relationship Id="rId4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events/26k7_divselect.htm" TargetMode="External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Relationship Id="rId4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events/26k7_divselect.htm" TargetMode="External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Relationship Id="rId4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events/26k7_divselect.htm" TargetMode="External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Relationship Id="rId4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events/26k7_divselect.htm" TargetMode="External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Relationship Id="rId4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events/26k7_divselect.htm" TargetMode="External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Relationship Id="rId4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events/26k7_divselect.htm" TargetMode="External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Relationship Id="rId4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events/26k7_divselect.htm" TargetMode="External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Relationship Id="rId4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events/26k7_divselect.htm" TargetMode="External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Relationship Id="rId4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events/26k7_divselect.htm" TargetMode="External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Relationship Id="rId4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events/26k7_divselect.htm" TargetMode="External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Relationship Id="rId4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events/26k7_divselect.htm" TargetMode="External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Relationship Id="rId4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ahunaevents.org/cgi-bin/start.cgi/events/26k7_divselect.htm" TargetMode="External"/><Relationship Id="rId2" Type="http://schemas.openxmlformats.org/officeDocument/2006/relationships/hyperlink" Target="https://www.kahunaevents.org/cgi-bin/start.cgi/events/submit_result_login.htm" TargetMode="External"/><Relationship Id="rId1" Type="http://schemas.openxmlformats.org/officeDocument/2006/relationships/hyperlink" Target="https://feeds.kahunaevents.org/kahuna.php" TargetMode="External"/><Relationship Id="rId4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D76EC-8A3A-4DAE-89EF-8163FE86210A}">
  <dimension ref="A1:AI568"/>
  <sheetViews>
    <sheetView workbookViewId="0"/>
  </sheetViews>
  <sheetFormatPr defaultRowHeight="18"/>
  <cols>
    <col min="1" max="1" width="10.7109375" style="1" bestFit="1" customWidth="1"/>
    <col min="2" max="2" width="37" style="1" bestFit="1" customWidth="1"/>
    <col min="3" max="3" width="11.5703125" style="1" bestFit="1" customWidth="1"/>
    <col min="4" max="4" width="27.42578125" style="1" bestFit="1" customWidth="1"/>
    <col min="5" max="5" width="20.85546875" style="1" bestFit="1" customWidth="1"/>
    <col min="6" max="6" width="29.7109375" style="1" bestFit="1" customWidth="1"/>
    <col min="7" max="7" width="45.140625" style="1" bestFit="1" customWidth="1"/>
    <col min="8" max="8" width="36.7109375" style="1" bestFit="1" customWidth="1"/>
    <col min="9" max="9" width="62.5703125" style="1" bestFit="1" customWidth="1"/>
    <col min="10" max="10" width="25.28515625" style="1" bestFit="1" customWidth="1"/>
    <col min="11" max="11" width="6.42578125" style="1" bestFit="1" customWidth="1"/>
    <col min="12" max="12" width="255.7109375" style="1" bestFit="1" customWidth="1"/>
    <col min="13" max="16384" width="9.140625" style="1"/>
  </cols>
  <sheetData>
    <row r="1" spans="1: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 spans="1:35">
      <c r="A2" s="2">
        <v>13</v>
      </c>
      <c r="B2" s="2" t="s">
        <v>12</v>
      </c>
      <c r="C2" s="2">
        <v>30226</v>
      </c>
      <c r="D2" s="2" t="s">
        <v>13</v>
      </c>
      <c r="E2" s="2">
        <v>575862</v>
      </c>
      <c r="F2" s="2">
        <v>8042181512</v>
      </c>
      <c r="G2" s="2" t="s">
        <v>14</v>
      </c>
      <c r="H2" s="2" t="s">
        <v>12</v>
      </c>
      <c r="I2" s="2" t="s">
        <v>15</v>
      </c>
      <c r="J2" s="2" t="s">
        <v>16</v>
      </c>
      <c r="K2" s="2">
        <v>1295</v>
      </c>
      <c r="L2" s="2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spans="1:35">
      <c r="A3" s="2">
        <v>14</v>
      </c>
      <c r="B3" s="2" t="s">
        <v>12</v>
      </c>
      <c r="C3" s="2">
        <v>30226</v>
      </c>
      <c r="D3" s="2" t="s">
        <v>13</v>
      </c>
      <c r="E3" s="2">
        <v>575862</v>
      </c>
      <c r="F3" s="2">
        <v>8042181512</v>
      </c>
      <c r="G3" s="2" t="s">
        <v>14</v>
      </c>
      <c r="H3" s="2" t="s">
        <v>12</v>
      </c>
      <c r="I3" s="2" t="s">
        <v>15</v>
      </c>
      <c r="J3" s="2" t="s">
        <v>17</v>
      </c>
      <c r="K3" s="2">
        <v>1295</v>
      </c>
      <c r="L3" s="2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 spans="1:35">
      <c r="A4" s="2">
        <v>15</v>
      </c>
      <c r="B4" s="2" t="s">
        <v>12</v>
      </c>
      <c r="C4" s="2">
        <v>30226</v>
      </c>
      <c r="D4" s="2" t="s">
        <v>13</v>
      </c>
      <c r="E4" s="2">
        <v>575862</v>
      </c>
      <c r="F4" s="2">
        <v>8042181512</v>
      </c>
      <c r="G4" s="2" t="s">
        <v>14</v>
      </c>
      <c r="H4" s="2" t="s">
        <v>12</v>
      </c>
      <c r="I4" s="2" t="s">
        <v>15</v>
      </c>
      <c r="J4" s="2" t="s">
        <v>16</v>
      </c>
      <c r="K4" s="2">
        <v>1295</v>
      </c>
      <c r="L4" s="2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 spans="1:35">
      <c r="A5" s="2">
        <v>16</v>
      </c>
      <c r="B5" s="2" t="s">
        <v>18</v>
      </c>
      <c r="C5" s="2" t="s">
        <v>19</v>
      </c>
      <c r="D5" s="2" t="s">
        <v>20</v>
      </c>
      <c r="E5" s="2" t="s">
        <v>19</v>
      </c>
      <c r="F5" s="2">
        <v>4169909913</v>
      </c>
      <c r="G5" s="2" t="s">
        <v>21</v>
      </c>
      <c r="H5" s="2" t="s">
        <v>22</v>
      </c>
      <c r="I5" s="2" t="s">
        <v>23</v>
      </c>
      <c r="J5" s="2" t="s">
        <v>24</v>
      </c>
      <c r="K5" s="2">
        <v>1295</v>
      </c>
      <c r="L5" s="2" t="s">
        <v>25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 spans="1:35">
      <c r="A6" s="2">
        <v>17</v>
      </c>
      <c r="B6" s="2" t="s">
        <v>26</v>
      </c>
      <c r="C6" s="2">
        <v>12</v>
      </c>
      <c r="D6" s="2" t="s">
        <v>27</v>
      </c>
      <c r="E6" s="2">
        <v>12585</v>
      </c>
      <c r="F6" s="2">
        <v>5153713146</v>
      </c>
      <c r="G6" s="2" t="s">
        <v>28</v>
      </c>
      <c r="H6" s="2" t="s">
        <v>26</v>
      </c>
      <c r="I6" s="2" t="s">
        <v>29</v>
      </c>
      <c r="J6" s="2" t="s">
        <v>30</v>
      </c>
      <c r="K6" s="2">
        <v>1295</v>
      </c>
      <c r="L6" s="2" t="s">
        <v>31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 spans="1:35">
      <c r="A7" s="2">
        <v>18</v>
      </c>
      <c r="B7" s="2" t="s">
        <v>32</v>
      </c>
      <c r="C7" s="2">
        <v>79</v>
      </c>
      <c r="D7" s="2" t="s">
        <v>33</v>
      </c>
      <c r="E7" s="2">
        <v>706176</v>
      </c>
      <c r="F7" s="2">
        <v>9257083783</v>
      </c>
      <c r="G7" s="2" t="s">
        <v>34</v>
      </c>
      <c r="H7" s="2" t="s">
        <v>35</v>
      </c>
      <c r="I7" s="2" t="s">
        <v>36</v>
      </c>
      <c r="J7" s="2" t="s">
        <v>37</v>
      </c>
      <c r="K7" s="2">
        <v>1095</v>
      </c>
      <c r="L7" s="2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</row>
    <row r="8" spans="1:35">
      <c r="A8" s="2">
        <v>19</v>
      </c>
      <c r="B8" s="2" t="s">
        <v>32</v>
      </c>
      <c r="C8" s="2">
        <v>79</v>
      </c>
      <c r="D8" s="2" t="s">
        <v>33</v>
      </c>
      <c r="E8" s="2">
        <v>706176</v>
      </c>
      <c r="F8" s="2">
        <v>9257083783</v>
      </c>
      <c r="G8" s="2" t="s">
        <v>34</v>
      </c>
      <c r="H8" s="2" t="s">
        <v>38</v>
      </c>
      <c r="I8" s="2" t="s">
        <v>39</v>
      </c>
      <c r="J8" s="2" t="s">
        <v>40</v>
      </c>
      <c r="K8" s="2">
        <v>1295</v>
      </c>
      <c r="L8" s="2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 spans="1:35">
      <c r="A9" s="2">
        <v>20</v>
      </c>
      <c r="B9" s="2" t="s">
        <v>32</v>
      </c>
      <c r="C9" s="2">
        <v>79</v>
      </c>
      <c r="D9" s="2" t="s">
        <v>33</v>
      </c>
      <c r="E9" s="2">
        <v>706176</v>
      </c>
      <c r="F9" s="2">
        <v>9257083783</v>
      </c>
      <c r="G9" s="2" t="s">
        <v>34</v>
      </c>
      <c r="H9" s="2" t="s">
        <v>41</v>
      </c>
      <c r="I9" s="2" t="s">
        <v>42</v>
      </c>
      <c r="J9" s="2" t="s">
        <v>43</v>
      </c>
      <c r="K9" s="2">
        <v>1295</v>
      </c>
      <c r="L9" s="2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</row>
    <row r="10" spans="1:35">
      <c r="A10" s="2">
        <v>21</v>
      </c>
      <c r="B10" s="2" t="s">
        <v>32</v>
      </c>
      <c r="C10" s="2">
        <v>79</v>
      </c>
      <c r="D10" s="2" t="s">
        <v>33</v>
      </c>
      <c r="E10" s="2">
        <v>706176</v>
      </c>
      <c r="F10" s="2">
        <v>9257083783</v>
      </c>
      <c r="G10" s="2" t="s">
        <v>34</v>
      </c>
      <c r="H10" s="2" t="s">
        <v>44</v>
      </c>
      <c r="I10" s="2" t="s">
        <v>45</v>
      </c>
      <c r="J10" s="2" t="s">
        <v>46</v>
      </c>
      <c r="K10" s="2">
        <v>1295</v>
      </c>
      <c r="L10" s="2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</row>
    <row r="11" spans="1:35">
      <c r="A11" s="2">
        <v>22</v>
      </c>
      <c r="B11" s="2" t="s">
        <v>32</v>
      </c>
      <c r="C11" s="2">
        <v>79</v>
      </c>
      <c r="D11" s="2" t="s">
        <v>33</v>
      </c>
      <c r="E11" s="2">
        <v>706176</v>
      </c>
      <c r="F11" s="2">
        <v>9257083783</v>
      </c>
      <c r="G11" s="2" t="s">
        <v>34</v>
      </c>
      <c r="H11" s="2" t="s">
        <v>47</v>
      </c>
      <c r="I11" s="2" t="s">
        <v>48</v>
      </c>
      <c r="J11" s="2" t="s">
        <v>49</v>
      </c>
      <c r="K11" s="2">
        <v>1295</v>
      </c>
      <c r="L11" s="2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</row>
    <row r="12" spans="1:35">
      <c r="A12" s="2">
        <v>23</v>
      </c>
      <c r="B12" s="2" t="s">
        <v>32</v>
      </c>
      <c r="C12" s="2">
        <v>79</v>
      </c>
      <c r="D12" s="2" t="s">
        <v>33</v>
      </c>
      <c r="E12" s="2">
        <v>706176</v>
      </c>
      <c r="F12" s="2">
        <v>9257083783</v>
      </c>
      <c r="G12" s="2" t="s">
        <v>34</v>
      </c>
      <c r="H12" s="2" t="s">
        <v>50</v>
      </c>
      <c r="I12" s="2" t="s">
        <v>51</v>
      </c>
      <c r="J12" s="2" t="s">
        <v>30</v>
      </c>
      <c r="K12" s="2">
        <v>1295</v>
      </c>
      <c r="L12" s="2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 spans="1:35">
      <c r="A13" s="2">
        <v>24</v>
      </c>
      <c r="B13" s="2" t="s">
        <v>32</v>
      </c>
      <c r="C13" s="2">
        <v>79</v>
      </c>
      <c r="D13" s="2" t="s">
        <v>33</v>
      </c>
      <c r="E13" s="2">
        <v>706176</v>
      </c>
      <c r="F13" s="2">
        <v>9257083783</v>
      </c>
      <c r="G13" s="2" t="s">
        <v>34</v>
      </c>
      <c r="H13" s="2" t="s">
        <v>52</v>
      </c>
      <c r="I13" s="2" t="s">
        <v>51</v>
      </c>
      <c r="J13" s="2" t="s">
        <v>53</v>
      </c>
      <c r="K13" s="2">
        <v>1295</v>
      </c>
      <c r="L13" s="2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 spans="1:35">
      <c r="A14" s="2">
        <v>25</v>
      </c>
      <c r="B14" s="2" t="s">
        <v>54</v>
      </c>
      <c r="C14" s="2">
        <v>34352</v>
      </c>
      <c r="D14" s="2" t="s">
        <v>55</v>
      </c>
      <c r="E14" s="2">
        <v>523427</v>
      </c>
      <c r="F14" s="2" t="s">
        <v>56</v>
      </c>
      <c r="G14" s="2" t="s">
        <v>57</v>
      </c>
      <c r="H14" s="2" t="s">
        <v>58</v>
      </c>
      <c r="I14" s="2" t="s">
        <v>59</v>
      </c>
      <c r="J14" s="2" t="s">
        <v>17</v>
      </c>
      <c r="K14" s="2">
        <v>1295</v>
      </c>
      <c r="L14" s="2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 spans="1:35">
      <c r="A15" s="2">
        <v>26</v>
      </c>
      <c r="B15" s="2" t="s">
        <v>54</v>
      </c>
      <c r="C15" s="2">
        <v>34352</v>
      </c>
      <c r="D15" s="2" t="s">
        <v>55</v>
      </c>
      <c r="E15" s="2">
        <v>523427</v>
      </c>
      <c r="F15" s="2" t="s">
        <v>56</v>
      </c>
      <c r="G15" s="2" t="s">
        <v>57</v>
      </c>
      <c r="H15" s="2" t="s">
        <v>58</v>
      </c>
      <c r="I15" s="2" t="s">
        <v>59</v>
      </c>
      <c r="J15" s="2" t="s">
        <v>53</v>
      </c>
      <c r="K15" s="2">
        <v>1295</v>
      </c>
      <c r="L15" s="2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 spans="1:35">
      <c r="A16" s="2">
        <v>27</v>
      </c>
      <c r="B16" s="2" t="s">
        <v>60</v>
      </c>
      <c r="C16" s="2">
        <v>570</v>
      </c>
      <c r="D16" s="2" t="s">
        <v>61</v>
      </c>
      <c r="E16" s="2">
        <v>716532</v>
      </c>
      <c r="F16" s="2">
        <v>5593468971</v>
      </c>
      <c r="G16" s="2" t="s">
        <v>62</v>
      </c>
      <c r="H16" s="2" t="s">
        <v>63</v>
      </c>
      <c r="I16" s="2" t="s">
        <v>64</v>
      </c>
      <c r="J16" s="2" t="s">
        <v>65</v>
      </c>
      <c r="K16" s="2">
        <v>1095</v>
      </c>
      <c r="L16" s="2" t="s">
        <v>66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 spans="1:35">
      <c r="A17" s="2">
        <v>28</v>
      </c>
      <c r="B17" s="2" t="s">
        <v>60</v>
      </c>
      <c r="C17" s="2">
        <v>570</v>
      </c>
      <c r="D17" s="2" t="s">
        <v>61</v>
      </c>
      <c r="E17" s="2">
        <v>716532</v>
      </c>
      <c r="F17" s="2">
        <v>5593468971</v>
      </c>
      <c r="G17" s="2" t="s">
        <v>62</v>
      </c>
      <c r="H17" s="2" t="s">
        <v>67</v>
      </c>
      <c r="I17" s="2" t="s">
        <v>64</v>
      </c>
      <c r="J17" s="2" t="s">
        <v>43</v>
      </c>
      <c r="K17" s="2">
        <v>1295</v>
      </c>
      <c r="L17" s="2" t="s">
        <v>66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 spans="1:35">
      <c r="A18" s="2">
        <v>29</v>
      </c>
      <c r="B18" s="2" t="s">
        <v>60</v>
      </c>
      <c r="C18" s="2">
        <v>570</v>
      </c>
      <c r="D18" s="2" t="s">
        <v>61</v>
      </c>
      <c r="E18" s="2">
        <v>716532</v>
      </c>
      <c r="F18" s="2">
        <v>5593468971</v>
      </c>
      <c r="G18" s="2" t="s">
        <v>62</v>
      </c>
      <c r="H18" s="2" t="s">
        <v>68</v>
      </c>
      <c r="I18" s="2" t="s">
        <v>64</v>
      </c>
      <c r="J18" s="2" t="s">
        <v>69</v>
      </c>
      <c r="K18" s="2">
        <v>1295</v>
      </c>
      <c r="L18" s="2" t="s">
        <v>66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 spans="1:35">
      <c r="A19" s="2">
        <v>30</v>
      </c>
      <c r="B19" s="2" t="s">
        <v>60</v>
      </c>
      <c r="C19" s="2">
        <v>570</v>
      </c>
      <c r="D19" s="2" t="s">
        <v>61</v>
      </c>
      <c r="E19" s="2">
        <v>716532</v>
      </c>
      <c r="F19" s="2">
        <v>5593468971</v>
      </c>
      <c r="G19" s="2" t="s">
        <v>62</v>
      </c>
      <c r="H19" s="2" t="s">
        <v>70</v>
      </c>
      <c r="I19" s="2" t="s">
        <v>64</v>
      </c>
      <c r="J19" s="2" t="s">
        <v>69</v>
      </c>
      <c r="K19" s="2">
        <v>1295</v>
      </c>
      <c r="L19" s="2" t="s">
        <v>66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 spans="1:35">
      <c r="A20" s="2">
        <v>31</v>
      </c>
      <c r="B20" s="2" t="s">
        <v>60</v>
      </c>
      <c r="C20" s="2">
        <v>570</v>
      </c>
      <c r="D20" s="2" t="s">
        <v>61</v>
      </c>
      <c r="E20" s="2">
        <v>716532</v>
      </c>
      <c r="F20" s="2">
        <v>5593468971</v>
      </c>
      <c r="G20" s="2" t="s">
        <v>62</v>
      </c>
      <c r="H20" s="2" t="s">
        <v>71</v>
      </c>
      <c r="I20" s="2" t="s">
        <v>64</v>
      </c>
      <c r="J20" s="2" t="s">
        <v>72</v>
      </c>
      <c r="K20" s="2">
        <v>1295</v>
      </c>
      <c r="L20" s="2" t="s">
        <v>66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 spans="1:35">
      <c r="A21" s="2">
        <v>32</v>
      </c>
      <c r="B21" s="2" t="s">
        <v>60</v>
      </c>
      <c r="C21" s="2">
        <v>570</v>
      </c>
      <c r="D21" s="2" t="s">
        <v>61</v>
      </c>
      <c r="E21" s="2">
        <v>716532</v>
      </c>
      <c r="F21" s="2">
        <v>5593468971</v>
      </c>
      <c r="G21" s="2" t="s">
        <v>62</v>
      </c>
      <c r="H21" s="2" t="s">
        <v>73</v>
      </c>
      <c r="I21" s="2" t="s">
        <v>64</v>
      </c>
      <c r="J21" s="2" t="s">
        <v>49</v>
      </c>
      <c r="K21" s="2">
        <v>1295</v>
      </c>
      <c r="L21" s="2" t="s">
        <v>66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 spans="1:35">
      <c r="A22" s="2">
        <v>33</v>
      </c>
      <c r="B22" s="2" t="s">
        <v>60</v>
      </c>
      <c r="C22" s="2">
        <v>570</v>
      </c>
      <c r="D22" s="2" t="s">
        <v>61</v>
      </c>
      <c r="E22" s="2">
        <v>716532</v>
      </c>
      <c r="F22" s="2">
        <v>5593468971</v>
      </c>
      <c r="G22" s="2" t="s">
        <v>62</v>
      </c>
      <c r="H22" s="2" t="s">
        <v>74</v>
      </c>
      <c r="I22" s="2" t="s">
        <v>75</v>
      </c>
      <c r="J22" s="2" t="s">
        <v>49</v>
      </c>
      <c r="K22" s="2">
        <v>1295</v>
      </c>
      <c r="L22" s="2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 spans="1:35">
      <c r="A23" s="2">
        <v>34</v>
      </c>
      <c r="B23" s="2" t="s">
        <v>60</v>
      </c>
      <c r="C23" s="2">
        <v>570</v>
      </c>
      <c r="D23" s="2" t="s">
        <v>61</v>
      </c>
      <c r="E23" s="2">
        <v>716532</v>
      </c>
      <c r="F23" s="2">
        <v>5593468971</v>
      </c>
      <c r="G23" s="2" t="s">
        <v>62</v>
      </c>
      <c r="H23" s="2" t="s">
        <v>76</v>
      </c>
      <c r="I23" s="2" t="s">
        <v>75</v>
      </c>
      <c r="J23" s="2" t="s">
        <v>30</v>
      </c>
      <c r="K23" s="2">
        <v>1295</v>
      </c>
      <c r="L23" s="2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 spans="1:35">
      <c r="A24" s="2">
        <v>35</v>
      </c>
      <c r="B24" s="2" t="s">
        <v>60</v>
      </c>
      <c r="C24" s="2">
        <v>570</v>
      </c>
      <c r="D24" s="2" t="s">
        <v>61</v>
      </c>
      <c r="E24" s="2">
        <v>716532</v>
      </c>
      <c r="F24" s="2">
        <v>5593468971</v>
      </c>
      <c r="G24" s="2" t="s">
        <v>62</v>
      </c>
      <c r="H24" s="2" t="s">
        <v>77</v>
      </c>
      <c r="I24" s="2" t="s">
        <v>75</v>
      </c>
      <c r="J24" s="2" t="s">
        <v>53</v>
      </c>
      <c r="K24" s="2">
        <v>1295</v>
      </c>
      <c r="L24" s="2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</row>
    <row r="25" spans="1:35">
      <c r="A25" s="2">
        <v>36</v>
      </c>
      <c r="B25" s="2" t="s">
        <v>60</v>
      </c>
      <c r="C25" s="2">
        <v>570</v>
      </c>
      <c r="D25" s="2" t="s">
        <v>61</v>
      </c>
      <c r="E25" s="2">
        <v>716532</v>
      </c>
      <c r="F25" s="2">
        <v>5593468971</v>
      </c>
      <c r="G25" s="2" t="s">
        <v>62</v>
      </c>
      <c r="H25" s="2" t="s">
        <v>74</v>
      </c>
      <c r="I25" s="2" t="s">
        <v>75</v>
      </c>
      <c r="J25" s="2" t="s">
        <v>49</v>
      </c>
      <c r="K25" s="2">
        <v>1295</v>
      </c>
      <c r="L25" s="2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</row>
    <row r="26" spans="1:35">
      <c r="A26" s="2">
        <v>37</v>
      </c>
      <c r="B26" s="2" t="s">
        <v>60</v>
      </c>
      <c r="C26" s="2">
        <v>570</v>
      </c>
      <c r="D26" s="2" t="s">
        <v>61</v>
      </c>
      <c r="E26" s="2">
        <v>716532</v>
      </c>
      <c r="F26" s="2">
        <v>5593468971</v>
      </c>
      <c r="G26" s="2" t="s">
        <v>62</v>
      </c>
      <c r="H26" s="2" t="s">
        <v>76</v>
      </c>
      <c r="I26" s="2" t="s">
        <v>75</v>
      </c>
      <c r="J26" s="2" t="s">
        <v>30</v>
      </c>
      <c r="K26" s="2">
        <v>1295</v>
      </c>
      <c r="L26" s="2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</row>
    <row r="27" spans="1:35">
      <c r="A27" s="2">
        <v>38</v>
      </c>
      <c r="B27" s="2" t="s">
        <v>60</v>
      </c>
      <c r="C27" s="2">
        <v>570</v>
      </c>
      <c r="D27" s="2" t="s">
        <v>61</v>
      </c>
      <c r="E27" s="2">
        <v>716532</v>
      </c>
      <c r="F27" s="2">
        <v>5593468971</v>
      </c>
      <c r="G27" s="2" t="s">
        <v>62</v>
      </c>
      <c r="H27" s="2" t="s">
        <v>77</v>
      </c>
      <c r="I27" s="2" t="s">
        <v>75</v>
      </c>
      <c r="J27" s="2" t="s">
        <v>53</v>
      </c>
      <c r="K27" s="2">
        <v>1295</v>
      </c>
      <c r="L27" s="2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</row>
    <row r="28" spans="1:35">
      <c r="A28" s="2">
        <v>39</v>
      </c>
      <c r="B28" s="2" t="s">
        <v>78</v>
      </c>
      <c r="C28" s="2">
        <v>24253</v>
      </c>
      <c r="D28" s="2" t="s">
        <v>79</v>
      </c>
      <c r="E28" s="2">
        <v>461255</v>
      </c>
      <c r="F28" s="2" t="s">
        <v>80</v>
      </c>
      <c r="G28" s="2" t="s">
        <v>81</v>
      </c>
      <c r="H28" s="2" t="s">
        <v>82</v>
      </c>
      <c r="I28" s="2" t="s">
        <v>83</v>
      </c>
      <c r="J28" s="2" t="s">
        <v>84</v>
      </c>
      <c r="K28" s="2">
        <v>1295</v>
      </c>
      <c r="L28" s="2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</row>
    <row r="29" spans="1:35">
      <c r="A29" s="2">
        <v>40</v>
      </c>
      <c r="B29" s="2" t="s">
        <v>78</v>
      </c>
      <c r="C29" s="2">
        <v>24253</v>
      </c>
      <c r="D29" s="2" t="s">
        <v>79</v>
      </c>
      <c r="E29" s="2">
        <v>461255</v>
      </c>
      <c r="F29" s="2" t="s">
        <v>80</v>
      </c>
      <c r="G29" s="2" t="s">
        <v>81</v>
      </c>
      <c r="H29" s="2" t="s">
        <v>85</v>
      </c>
      <c r="I29" s="2" t="s">
        <v>86</v>
      </c>
      <c r="J29" s="2" t="s">
        <v>53</v>
      </c>
      <c r="K29" s="2">
        <v>1295</v>
      </c>
      <c r="L29" s="2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</row>
    <row r="30" spans="1:35">
      <c r="A30" s="2">
        <v>41</v>
      </c>
      <c r="B30" s="2" t="s">
        <v>87</v>
      </c>
      <c r="C30" s="2">
        <v>17214</v>
      </c>
      <c r="D30" s="2" t="s">
        <v>88</v>
      </c>
      <c r="E30" s="2">
        <v>412736</v>
      </c>
      <c r="F30" s="2">
        <v>8082306053</v>
      </c>
      <c r="G30" s="2" t="s">
        <v>89</v>
      </c>
      <c r="H30" s="2" t="s">
        <v>90</v>
      </c>
      <c r="I30" s="2" t="s">
        <v>91</v>
      </c>
      <c r="J30" s="2" t="s">
        <v>49</v>
      </c>
      <c r="K30" s="2">
        <v>1295</v>
      </c>
      <c r="L30" s="2" t="s">
        <v>92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</row>
    <row r="31" spans="1:35">
      <c r="A31" s="2">
        <v>42</v>
      </c>
      <c r="B31" s="2" t="s">
        <v>87</v>
      </c>
      <c r="C31" s="2">
        <v>17214</v>
      </c>
      <c r="D31" s="2" t="s">
        <v>88</v>
      </c>
      <c r="E31" s="2">
        <v>412736</v>
      </c>
      <c r="F31" s="2">
        <v>8082306053</v>
      </c>
      <c r="G31" s="2" t="s">
        <v>89</v>
      </c>
      <c r="H31" s="2" t="s">
        <v>93</v>
      </c>
      <c r="I31" s="2" t="s">
        <v>91</v>
      </c>
      <c r="J31" s="2" t="s">
        <v>17</v>
      </c>
      <c r="K31" s="2">
        <v>1295</v>
      </c>
      <c r="L31" s="2" t="s">
        <v>92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 spans="1:35">
      <c r="A32" s="2">
        <v>43</v>
      </c>
      <c r="B32" s="2" t="s">
        <v>87</v>
      </c>
      <c r="C32" s="2">
        <v>17214</v>
      </c>
      <c r="D32" s="2" t="s">
        <v>88</v>
      </c>
      <c r="E32" s="2">
        <v>412736</v>
      </c>
      <c r="F32" s="2">
        <v>8082306053</v>
      </c>
      <c r="G32" s="2" t="s">
        <v>89</v>
      </c>
      <c r="H32" s="2" t="s">
        <v>94</v>
      </c>
      <c r="I32" s="2" t="s">
        <v>91</v>
      </c>
      <c r="J32" s="2" t="s">
        <v>95</v>
      </c>
      <c r="K32" s="2">
        <v>1295</v>
      </c>
      <c r="L32" s="2" t="s">
        <v>92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</row>
    <row r="33" spans="1:35">
      <c r="A33" s="2">
        <v>46</v>
      </c>
      <c r="B33" s="2" t="s">
        <v>96</v>
      </c>
      <c r="C33" s="2">
        <v>34095</v>
      </c>
      <c r="D33" s="2" t="s">
        <v>97</v>
      </c>
      <c r="E33" s="2">
        <v>480121</v>
      </c>
      <c r="F33" s="2">
        <v>4085503356</v>
      </c>
      <c r="G33" s="2" t="s">
        <v>98</v>
      </c>
      <c r="H33" s="2" t="s">
        <v>96</v>
      </c>
      <c r="I33" s="2">
        <v>4085503356</v>
      </c>
      <c r="J33" s="2" t="s">
        <v>99</v>
      </c>
      <c r="K33" s="2">
        <v>1295</v>
      </c>
      <c r="L33" s="2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</row>
    <row r="34" spans="1:35">
      <c r="A34" s="2">
        <v>47</v>
      </c>
      <c r="B34" s="2" t="s">
        <v>100</v>
      </c>
      <c r="C34" s="2">
        <v>26152</v>
      </c>
      <c r="D34" s="2" t="s">
        <v>101</v>
      </c>
      <c r="E34" s="2">
        <v>396489</v>
      </c>
      <c r="F34" s="2">
        <v>7073197139</v>
      </c>
      <c r="G34" s="2" t="s">
        <v>102</v>
      </c>
      <c r="H34" s="2" t="s">
        <v>103</v>
      </c>
      <c r="I34" s="2" t="s">
        <v>104</v>
      </c>
      <c r="J34" s="2" t="s">
        <v>30</v>
      </c>
      <c r="K34" s="2">
        <v>1295</v>
      </c>
      <c r="L34" s="2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</row>
    <row r="35" spans="1:35">
      <c r="A35" s="2">
        <v>48</v>
      </c>
      <c r="B35" s="2" t="s">
        <v>105</v>
      </c>
      <c r="C35" s="2">
        <v>34969</v>
      </c>
      <c r="D35" s="2" t="s">
        <v>106</v>
      </c>
      <c r="E35" s="2">
        <v>15630</v>
      </c>
      <c r="F35" s="2" t="s">
        <v>107</v>
      </c>
      <c r="G35" s="2" t="s">
        <v>108</v>
      </c>
      <c r="H35" s="2" t="s">
        <v>109</v>
      </c>
      <c r="I35" s="2" t="s">
        <v>110</v>
      </c>
      <c r="J35" s="2" t="s">
        <v>30</v>
      </c>
      <c r="K35" s="2">
        <v>1295</v>
      </c>
      <c r="L35" s="2" t="s">
        <v>111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</row>
    <row r="36" spans="1:35">
      <c r="A36" s="2">
        <v>49</v>
      </c>
      <c r="B36" s="2" t="s">
        <v>105</v>
      </c>
      <c r="C36" s="2">
        <v>34969</v>
      </c>
      <c r="D36" s="2" t="s">
        <v>106</v>
      </c>
      <c r="E36" s="2">
        <v>15630</v>
      </c>
      <c r="F36" s="2" t="s">
        <v>107</v>
      </c>
      <c r="G36" s="2" t="s">
        <v>108</v>
      </c>
      <c r="H36" s="2" t="s">
        <v>112</v>
      </c>
      <c r="I36" s="2" t="s">
        <v>113</v>
      </c>
      <c r="J36" s="2" t="s">
        <v>49</v>
      </c>
      <c r="K36" s="2">
        <v>1295</v>
      </c>
      <c r="L36" s="2" t="s">
        <v>111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</row>
    <row r="37" spans="1:35">
      <c r="A37" s="2">
        <v>50</v>
      </c>
      <c r="B37" s="2" t="s">
        <v>105</v>
      </c>
      <c r="C37" s="2">
        <v>34969</v>
      </c>
      <c r="D37" s="2" t="s">
        <v>106</v>
      </c>
      <c r="E37" s="2">
        <v>15630</v>
      </c>
      <c r="F37" s="2" t="s">
        <v>107</v>
      </c>
      <c r="G37" s="2" t="s">
        <v>108</v>
      </c>
      <c r="H37" s="2" t="s">
        <v>114</v>
      </c>
      <c r="I37" s="2" t="s">
        <v>115</v>
      </c>
      <c r="J37" s="2" t="s">
        <v>24</v>
      </c>
      <c r="K37" s="2">
        <v>1295</v>
      </c>
      <c r="L37" s="2" t="s">
        <v>111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</row>
    <row r="38" spans="1:35">
      <c r="A38" s="2">
        <v>51</v>
      </c>
      <c r="B38" s="2" t="s">
        <v>116</v>
      </c>
      <c r="C38" s="2">
        <v>35474</v>
      </c>
      <c r="D38" s="2" t="s">
        <v>117</v>
      </c>
      <c r="E38" s="2">
        <v>635</v>
      </c>
      <c r="F38" s="2" t="s">
        <v>118</v>
      </c>
      <c r="G38" s="2" t="s">
        <v>119</v>
      </c>
      <c r="H38" s="2" t="s">
        <v>120</v>
      </c>
      <c r="I38" s="2" t="s">
        <v>121</v>
      </c>
      <c r="J38" s="2" t="s">
        <v>122</v>
      </c>
      <c r="K38" s="2">
        <v>1095</v>
      </c>
      <c r="L38" s="2" t="s">
        <v>123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 spans="1:35">
      <c r="A39" s="2">
        <v>52</v>
      </c>
      <c r="B39" s="2" t="s">
        <v>116</v>
      </c>
      <c r="C39" s="2">
        <v>35474</v>
      </c>
      <c r="D39" s="2" t="s">
        <v>117</v>
      </c>
      <c r="E39" s="2">
        <v>635</v>
      </c>
      <c r="F39" s="2" t="s">
        <v>118</v>
      </c>
      <c r="G39" s="2" t="s">
        <v>119</v>
      </c>
      <c r="H39" s="2" t="s">
        <v>124</v>
      </c>
      <c r="I39" s="2" t="s">
        <v>125</v>
      </c>
      <c r="J39" s="2" t="s">
        <v>37</v>
      </c>
      <c r="K39" s="2">
        <v>1095</v>
      </c>
      <c r="L39" s="2" t="s">
        <v>123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 spans="1:35">
      <c r="A40" s="2">
        <v>53</v>
      </c>
      <c r="B40" s="2" t="s">
        <v>116</v>
      </c>
      <c r="C40" s="2">
        <v>35474</v>
      </c>
      <c r="D40" s="2" t="s">
        <v>117</v>
      </c>
      <c r="E40" s="2">
        <v>635</v>
      </c>
      <c r="F40" s="2" t="s">
        <v>118</v>
      </c>
      <c r="G40" s="2" t="s">
        <v>119</v>
      </c>
      <c r="H40" s="2" t="s">
        <v>126</v>
      </c>
      <c r="I40" s="2" t="s">
        <v>127</v>
      </c>
      <c r="J40" s="2" t="s">
        <v>128</v>
      </c>
      <c r="K40" s="2">
        <v>1295</v>
      </c>
      <c r="L40" s="2" t="s">
        <v>123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 spans="1:35">
      <c r="A41" s="2">
        <v>54</v>
      </c>
      <c r="B41" s="2" t="s">
        <v>129</v>
      </c>
      <c r="C41" s="2">
        <v>85</v>
      </c>
      <c r="D41" s="2" t="s">
        <v>130</v>
      </c>
      <c r="E41" s="2">
        <v>19469</v>
      </c>
      <c r="F41" s="2">
        <v>9168128242</v>
      </c>
      <c r="G41" s="2" t="s">
        <v>131</v>
      </c>
      <c r="H41" s="2" t="s">
        <v>132</v>
      </c>
      <c r="I41" s="2" t="s">
        <v>133</v>
      </c>
      <c r="J41" s="2" t="s">
        <v>24</v>
      </c>
      <c r="K41" s="2">
        <v>1295</v>
      </c>
      <c r="L41" s="2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 spans="1:35">
      <c r="A42" s="2">
        <v>55</v>
      </c>
      <c r="B42" s="2" t="s">
        <v>129</v>
      </c>
      <c r="C42" s="2">
        <v>85</v>
      </c>
      <c r="D42" s="2" t="s">
        <v>130</v>
      </c>
      <c r="E42" s="2">
        <v>19469</v>
      </c>
      <c r="F42" s="2">
        <v>9168128242</v>
      </c>
      <c r="G42" s="2" t="s">
        <v>131</v>
      </c>
      <c r="H42" s="2" t="s">
        <v>134</v>
      </c>
      <c r="I42" s="2" t="s">
        <v>135</v>
      </c>
      <c r="J42" s="2" t="s">
        <v>84</v>
      </c>
      <c r="K42" s="2">
        <v>1295</v>
      </c>
      <c r="L42" s="2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 spans="1:35">
      <c r="A43" s="2">
        <v>56</v>
      </c>
      <c r="B43" s="2" t="s">
        <v>129</v>
      </c>
      <c r="C43" s="2">
        <v>85</v>
      </c>
      <c r="D43" s="2" t="s">
        <v>130</v>
      </c>
      <c r="E43" s="2">
        <v>19469</v>
      </c>
      <c r="F43" s="2">
        <v>9168128242</v>
      </c>
      <c r="G43" s="2" t="s">
        <v>131</v>
      </c>
      <c r="H43" s="2" t="s">
        <v>136</v>
      </c>
      <c r="I43" s="2" t="s">
        <v>137</v>
      </c>
      <c r="J43" s="2" t="s">
        <v>16</v>
      </c>
      <c r="K43" s="2">
        <v>1295</v>
      </c>
      <c r="L43" s="2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 spans="1:35">
      <c r="A44" s="2">
        <v>57</v>
      </c>
      <c r="B44" s="2" t="s">
        <v>129</v>
      </c>
      <c r="C44" s="2">
        <v>85</v>
      </c>
      <c r="D44" s="2" t="s">
        <v>130</v>
      </c>
      <c r="E44" s="2">
        <v>19469</v>
      </c>
      <c r="F44" s="2">
        <v>9168128242</v>
      </c>
      <c r="G44" s="2" t="s">
        <v>131</v>
      </c>
      <c r="H44" s="2" t="s">
        <v>138</v>
      </c>
      <c r="I44" s="2" t="s">
        <v>139</v>
      </c>
      <c r="J44" s="2" t="s">
        <v>30</v>
      </c>
      <c r="K44" s="2">
        <v>1295</v>
      </c>
      <c r="L44" s="2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 spans="1:35">
      <c r="A45" s="2">
        <v>58</v>
      </c>
      <c r="B45" s="2" t="s">
        <v>129</v>
      </c>
      <c r="C45" s="2">
        <v>85</v>
      </c>
      <c r="D45" s="2" t="s">
        <v>130</v>
      </c>
      <c r="E45" s="2">
        <v>19469</v>
      </c>
      <c r="F45" s="2">
        <v>9168128242</v>
      </c>
      <c r="G45" s="2" t="s">
        <v>131</v>
      </c>
      <c r="H45" s="2" t="s">
        <v>140</v>
      </c>
      <c r="I45" s="2" t="s">
        <v>141</v>
      </c>
      <c r="J45" s="2" t="s">
        <v>17</v>
      </c>
      <c r="K45" s="2">
        <v>1295</v>
      </c>
      <c r="L45" s="2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 spans="1:35">
      <c r="A46" s="2">
        <v>59</v>
      </c>
      <c r="B46" s="2" t="s">
        <v>129</v>
      </c>
      <c r="C46" s="2">
        <v>85</v>
      </c>
      <c r="D46" s="2" t="s">
        <v>130</v>
      </c>
      <c r="E46" s="2">
        <v>19469</v>
      </c>
      <c r="F46" s="2">
        <v>9168128242</v>
      </c>
      <c r="G46" s="2" t="s">
        <v>131</v>
      </c>
      <c r="H46" s="2" t="s">
        <v>142</v>
      </c>
      <c r="I46" s="2" t="s">
        <v>143</v>
      </c>
      <c r="J46" s="2" t="s">
        <v>49</v>
      </c>
      <c r="K46" s="2">
        <v>1295</v>
      </c>
      <c r="L46" s="2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 spans="1:35">
      <c r="A47" s="2">
        <v>60</v>
      </c>
      <c r="B47" s="2" t="s">
        <v>129</v>
      </c>
      <c r="C47" s="2">
        <v>85</v>
      </c>
      <c r="D47" s="2" t="s">
        <v>130</v>
      </c>
      <c r="E47" s="2">
        <v>19469</v>
      </c>
      <c r="F47" s="2">
        <v>9168128242</v>
      </c>
      <c r="G47" s="2" t="s">
        <v>131</v>
      </c>
      <c r="H47" s="2" t="s">
        <v>144</v>
      </c>
      <c r="I47" s="2" t="s">
        <v>145</v>
      </c>
      <c r="J47" s="2" t="s">
        <v>69</v>
      </c>
      <c r="K47" s="2">
        <v>1295</v>
      </c>
      <c r="L47" s="2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 spans="1:35">
      <c r="A48" s="2">
        <v>61</v>
      </c>
      <c r="B48" s="2" t="s">
        <v>146</v>
      </c>
      <c r="C48" s="2">
        <v>35520</v>
      </c>
      <c r="D48" s="2" t="s">
        <v>147</v>
      </c>
      <c r="E48" s="2">
        <v>13566</v>
      </c>
      <c r="F48" s="2">
        <v>9257865418</v>
      </c>
      <c r="G48" s="2" t="s">
        <v>148</v>
      </c>
      <c r="H48" s="2" t="s">
        <v>146</v>
      </c>
      <c r="I48" s="2" t="s">
        <v>149</v>
      </c>
      <c r="J48" s="2" t="s">
        <v>24</v>
      </c>
      <c r="K48" s="2">
        <v>1295</v>
      </c>
      <c r="L48" s="2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 spans="1:35">
      <c r="A49" s="2">
        <v>62</v>
      </c>
      <c r="B49" s="2" t="s">
        <v>150</v>
      </c>
      <c r="C49" s="2">
        <v>30546</v>
      </c>
      <c r="D49" s="2" t="s">
        <v>151</v>
      </c>
      <c r="E49" s="2">
        <v>604706</v>
      </c>
      <c r="F49" s="2">
        <v>2155656246</v>
      </c>
      <c r="G49" s="2" t="s">
        <v>152</v>
      </c>
      <c r="H49" s="2" t="s">
        <v>153</v>
      </c>
      <c r="I49" s="2" t="s">
        <v>154</v>
      </c>
      <c r="J49" s="2" t="s">
        <v>24</v>
      </c>
      <c r="K49" s="2">
        <v>1295</v>
      </c>
      <c r="L49" s="2" t="s">
        <v>155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 spans="1:35">
      <c r="A50" s="2">
        <v>63</v>
      </c>
      <c r="B50" s="2" t="s">
        <v>150</v>
      </c>
      <c r="C50" s="2">
        <v>30546</v>
      </c>
      <c r="D50" s="2" t="s">
        <v>151</v>
      </c>
      <c r="E50" s="2">
        <v>604706</v>
      </c>
      <c r="F50" s="2">
        <v>2155656246</v>
      </c>
      <c r="G50" s="2" t="s">
        <v>152</v>
      </c>
      <c r="H50" s="2" t="s">
        <v>156</v>
      </c>
      <c r="I50" s="2" t="s">
        <v>154</v>
      </c>
      <c r="J50" s="2" t="s">
        <v>53</v>
      </c>
      <c r="K50" s="2">
        <v>1295</v>
      </c>
      <c r="L50" s="2" t="s">
        <v>155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 spans="1:35">
      <c r="A51" s="2">
        <v>64</v>
      </c>
      <c r="B51" s="2" t="s">
        <v>157</v>
      </c>
      <c r="C51" s="2">
        <v>26981</v>
      </c>
      <c r="D51" s="2" t="s">
        <v>158</v>
      </c>
      <c r="E51" s="2">
        <v>391447</v>
      </c>
      <c r="F51" s="2" t="s">
        <v>159</v>
      </c>
      <c r="G51" s="2" t="s">
        <v>160</v>
      </c>
      <c r="H51" s="2" t="s">
        <v>161</v>
      </c>
      <c r="I51" s="2" t="s">
        <v>162</v>
      </c>
      <c r="J51" s="2" t="s">
        <v>72</v>
      </c>
      <c r="K51" s="2">
        <v>1295</v>
      </c>
      <c r="L51" s="2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 spans="1:35">
      <c r="A52" s="2">
        <v>65</v>
      </c>
      <c r="B52" s="2" t="s">
        <v>157</v>
      </c>
      <c r="C52" s="2">
        <v>26981</v>
      </c>
      <c r="D52" s="2" t="s">
        <v>158</v>
      </c>
      <c r="E52" s="2">
        <v>391447</v>
      </c>
      <c r="F52" s="2" t="s">
        <v>159</v>
      </c>
      <c r="G52" s="2" t="s">
        <v>160</v>
      </c>
      <c r="H52" s="2" t="s">
        <v>163</v>
      </c>
      <c r="I52" s="2" t="s">
        <v>162</v>
      </c>
      <c r="J52" s="2" t="s">
        <v>49</v>
      </c>
      <c r="K52" s="2">
        <v>1295</v>
      </c>
      <c r="L52" s="2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 spans="1:35">
      <c r="A53" s="2">
        <v>66</v>
      </c>
      <c r="B53" s="2" t="s">
        <v>164</v>
      </c>
      <c r="C53" s="2">
        <v>19137</v>
      </c>
      <c r="D53" s="2" t="s">
        <v>165</v>
      </c>
      <c r="E53" s="2">
        <v>14837</v>
      </c>
      <c r="F53" s="2" t="s">
        <v>166</v>
      </c>
      <c r="G53" s="2" t="s">
        <v>167</v>
      </c>
      <c r="H53" s="2" t="s">
        <v>168</v>
      </c>
      <c r="I53" s="2" t="s">
        <v>169</v>
      </c>
      <c r="J53" s="2" t="s">
        <v>72</v>
      </c>
      <c r="K53" s="2">
        <v>1295</v>
      </c>
      <c r="L53" s="2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 spans="1:35">
      <c r="A54" s="2">
        <v>67</v>
      </c>
      <c r="B54" s="2" t="s">
        <v>164</v>
      </c>
      <c r="C54" s="2">
        <v>19137</v>
      </c>
      <c r="D54" s="2" t="s">
        <v>165</v>
      </c>
      <c r="E54" s="2">
        <v>14837</v>
      </c>
      <c r="F54" s="2" t="s">
        <v>166</v>
      </c>
      <c r="G54" s="2" t="s">
        <v>167</v>
      </c>
      <c r="H54" s="2" t="s">
        <v>168</v>
      </c>
      <c r="I54" s="2" t="s">
        <v>170</v>
      </c>
      <c r="J54" s="2" t="s">
        <v>16</v>
      </c>
      <c r="K54" s="2">
        <v>1295</v>
      </c>
      <c r="L54" s="2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 spans="1:35">
      <c r="A55" s="2">
        <v>68</v>
      </c>
      <c r="B55" s="2" t="s">
        <v>164</v>
      </c>
      <c r="C55" s="2">
        <v>19137</v>
      </c>
      <c r="D55" s="2" t="s">
        <v>165</v>
      </c>
      <c r="E55" s="2">
        <v>14837</v>
      </c>
      <c r="F55" s="2" t="s">
        <v>166</v>
      </c>
      <c r="G55" s="2" t="s">
        <v>167</v>
      </c>
      <c r="H55" s="2" t="s">
        <v>168</v>
      </c>
      <c r="I55" s="2" t="s">
        <v>171</v>
      </c>
      <c r="J55" s="2" t="s">
        <v>43</v>
      </c>
      <c r="K55" s="2">
        <v>1295</v>
      </c>
      <c r="L55" s="2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 spans="1:35" ht="15" customHeight="1">
      <c r="A56" s="2">
        <v>69</v>
      </c>
      <c r="B56" s="2" t="s">
        <v>164</v>
      </c>
      <c r="C56" s="2">
        <v>19137</v>
      </c>
      <c r="D56" s="2" t="s">
        <v>165</v>
      </c>
      <c r="E56" s="2">
        <v>14837</v>
      </c>
      <c r="F56" s="2" t="s">
        <v>166</v>
      </c>
      <c r="G56" s="2" t="s">
        <v>167</v>
      </c>
      <c r="H56" s="2" t="s">
        <v>168</v>
      </c>
      <c r="I56" s="2" t="s">
        <v>172</v>
      </c>
      <c r="J56" s="2" t="s">
        <v>65</v>
      </c>
      <c r="K56" s="2">
        <v>1095</v>
      </c>
      <c r="L56" s="2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 spans="1:35">
      <c r="A57" s="2">
        <v>70</v>
      </c>
      <c r="B57" s="2" t="s">
        <v>164</v>
      </c>
      <c r="C57" s="2">
        <v>19137</v>
      </c>
      <c r="D57" s="2" t="s">
        <v>165</v>
      </c>
      <c r="E57" s="2">
        <v>14837</v>
      </c>
      <c r="F57" s="2" t="s">
        <v>166</v>
      </c>
      <c r="G57" s="2" t="s">
        <v>167</v>
      </c>
      <c r="H57" s="2" t="s">
        <v>168</v>
      </c>
      <c r="I57" s="2" t="s">
        <v>173</v>
      </c>
      <c r="J57" s="2" t="s">
        <v>46</v>
      </c>
      <c r="K57" s="2">
        <v>1295</v>
      </c>
      <c r="L57" s="2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 spans="1:35">
      <c r="A58" s="2">
        <v>71</v>
      </c>
      <c r="B58" s="2" t="s">
        <v>164</v>
      </c>
      <c r="C58" s="2">
        <v>19137</v>
      </c>
      <c r="D58" s="2" t="s">
        <v>165</v>
      </c>
      <c r="E58" s="2">
        <v>14837</v>
      </c>
      <c r="F58" s="2" t="s">
        <v>166</v>
      </c>
      <c r="G58" s="2" t="s">
        <v>167</v>
      </c>
      <c r="H58" s="2" t="s">
        <v>174</v>
      </c>
      <c r="I58" s="2" t="s">
        <v>175</v>
      </c>
      <c r="J58" s="2" t="s">
        <v>24</v>
      </c>
      <c r="K58" s="2">
        <v>1295</v>
      </c>
      <c r="L58" s="2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 spans="1:35">
      <c r="A59" s="2">
        <v>72</v>
      </c>
      <c r="B59" s="2" t="s">
        <v>164</v>
      </c>
      <c r="C59" s="2">
        <v>19137</v>
      </c>
      <c r="D59" s="2" t="s">
        <v>165</v>
      </c>
      <c r="E59" s="2">
        <v>14837</v>
      </c>
      <c r="F59" s="2" t="s">
        <v>166</v>
      </c>
      <c r="G59" s="2" t="s">
        <v>167</v>
      </c>
      <c r="H59" s="2" t="s">
        <v>174</v>
      </c>
      <c r="I59" s="2" t="s">
        <v>170</v>
      </c>
      <c r="J59" s="2" t="s">
        <v>30</v>
      </c>
      <c r="K59" s="2">
        <v>1295</v>
      </c>
      <c r="L59" s="2" t="s">
        <v>176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 spans="1:35">
      <c r="A60" s="2">
        <v>73</v>
      </c>
      <c r="B60" s="2" t="s">
        <v>164</v>
      </c>
      <c r="C60" s="2">
        <v>19137</v>
      </c>
      <c r="D60" s="2" t="s">
        <v>165</v>
      </c>
      <c r="E60" s="2">
        <v>14837</v>
      </c>
      <c r="F60" s="2" t="s">
        <v>166</v>
      </c>
      <c r="G60" s="2" t="s">
        <v>167</v>
      </c>
      <c r="H60" s="2" t="s">
        <v>174</v>
      </c>
      <c r="I60" s="2" t="s">
        <v>169</v>
      </c>
      <c r="J60" s="2" t="s">
        <v>49</v>
      </c>
      <c r="K60" s="2">
        <v>1295</v>
      </c>
      <c r="L60" s="2" t="s">
        <v>176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 spans="1:35">
      <c r="A61" s="2">
        <v>74</v>
      </c>
      <c r="B61" s="2" t="s">
        <v>164</v>
      </c>
      <c r="C61" s="2">
        <v>19137</v>
      </c>
      <c r="D61" s="2" t="s">
        <v>165</v>
      </c>
      <c r="E61" s="2">
        <v>14837</v>
      </c>
      <c r="F61" s="2" t="s">
        <v>166</v>
      </c>
      <c r="G61" s="2" t="s">
        <v>167</v>
      </c>
      <c r="H61" s="2" t="s">
        <v>174</v>
      </c>
      <c r="I61" s="2" t="s">
        <v>171</v>
      </c>
      <c r="J61" s="2" t="s">
        <v>69</v>
      </c>
      <c r="K61" s="2">
        <v>1295</v>
      </c>
      <c r="L61" s="2" t="s">
        <v>176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 spans="1:35">
      <c r="A62" s="2">
        <v>75</v>
      </c>
      <c r="B62" s="2" t="s">
        <v>164</v>
      </c>
      <c r="C62" s="2">
        <v>19137</v>
      </c>
      <c r="D62" s="2" t="s">
        <v>165</v>
      </c>
      <c r="E62" s="2">
        <v>14837</v>
      </c>
      <c r="F62" s="2" t="s">
        <v>166</v>
      </c>
      <c r="G62" s="2" t="s">
        <v>167</v>
      </c>
      <c r="H62" s="2" t="s">
        <v>174</v>
      </c>
      <c r="I62" s="2" t="s">
        <v>177</v>
      </c>
      <c r="J62" s="2" t="s">
        <v>65</v>
      </c>
      <c r="K62" s="2">
        <v>1095</v>
      </c>
      <c r="L62" s="2" t="s">
        <v>176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 spans="1:35">
      <c r="A63" s="2">
        <v>76</v>
      </c>
      <c r="B63" s="2" t="s">
        <v>164</v>
      </c>
      <c r="C63" s="2">
        <v>19137</v>
      </c>
      <c r="D63" s="2" t="s">
        <v>165</v>
      </c>
      <c r="E63" s="2">
        <v>14837</v>
      </c>
      <c r="F63" s="2" t="s">
        <v>166</v>
      </c>
      <c r="G63" s="2" t="s">
        <v>167</v>
      </c>
      <c r="H63" s="2" t="s">
        <v>178</v>
      </c>
      <c r="I63" s="2" t="s">
        <v>170</v>
      </c>
      <c r="J63" s="2" t="s">
        <v>53</v>
      </c>
      <c r="K63" s="2">
        <v>1295</v>
      </c>
      <c r="L63" s="2" t="s">
        <v>176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</row>
    <row r="64" spans="1:35">
      <c r="A64" s="2">
        <v>77</v>
      </c>
      <c r="B64" s="2" t="s">
        <v>179</v>
      </c>
      <c r="C64" s="2">
        <v>35467</v>
      </c>
      <c r="D64" s="2" t="s">
        <v>180</v>
      </c>
      <c r="E64" s="2">
        <v>652464</v>
      </c>
      <c r="F64" s="2">
        <v>6198408120</v>
      </c>
      <c r="G64" s="2" t="s">
        <v>181</v>
      </c>
      <c r="H64" s="2" t="s">
        <v>182</v>
      </c>
      <c r="I64" s="2" t="s">
        <v>183</v>
      </c>
      <c r="J64" s="2" t="s">
        <v>46</v>
      </c>
      <c r="K64" s="2">
        <v>1295</v>
      </c>
      <c r="L64" s="2" t="s">
        <v>184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 spans="1:35">
      <c r="A65" s="2">
        <v>78</v>
      </c>
      <c r="B65" s="2" t="s">
        <v>185</v>
      </c>
      <c r="C65" s="2">
        <v>29</v>
      </c>
      <c r="D65" s="2" t="s">
        <v>186</v>
      </c>
      <c r="E65" s="2">
        <v>426652</v>
      </c>
      <c r="F65" s="2">
        <v>2094062354</v>
      </c>
      <c r="G65" s="2" t="s">
        <v>187</v>
      </c>
      <c r="H65" s="2" t="s">
        <v>188</v>
      </c>
      <c r="I65" s="2" t="s">
        <v>186</v>
      </c>
      <c r="J65" s="2" t="s">
        <v>84</v>
      </c>
      <c r="K65" s="2">
        <v>1295</v>
      </c>
      <c r="L65" s="2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6" spans="1:35">
      <c r="A66" s="2">
        <v>79</v>
      </c>
      <c r="B66" s="2" t="s">
        <v>185</v>
      </c>
      <c r="C66" s="2">
        <v>29</v>
      </c>
      <c r="D66" s="2" t="s">
        <v>186</v>
      </c>
      <c r="E66" s="2">
        <v>426652</v>
      </c>
      <c r="F66" s="2">
        <v>2094062354</v>
      </c>
      <c r="G66" s="2" t="s">
        <v>187</v>
      </c>
      <c r="H66" s="2" t="s">
        <v>189</v>
      </c>
      <c r="I66" s="2" t="s">
        <v>186</v>
      </c>
      <c r="J66" s="2" t="s">
        <v>30</v>
      </c>
      <c r="K66" s="2">
        <v>1295</v>
      </c>
      <c r="L66" s="2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</row>
    <row r="67" spans="1:35">
      <c r="A67" s="2">
        <v>80</v>
      </c>
      <c r="B67" s="2" t="s">
        <v>190</v>
      </c>
      <c r="C67" s="2">
        <v>20672</v>
      </c>
      <c r="D67" s="2" t="s">
        <v>191</v>
      </c>
      <c r="E67" s="2">
        <v>14751</v>
      </c>
      <c r="F67" s="2">
        <v>3108929915</v>
      </c>
      <c r="G67" s="2" t="s">
        <v>192</v>
      </c>
      <c r="H67" s="2" t="s">
        <v>190</v>
      </c>
      <c r="I67" s="2" t="s">
        <v>193</v>
      </c>
      <c r="J67" s="2" t="s">
        <v>84</v>
      </c>
      <c r="K67" s="2">
        <v>1295</v>
      </c>
      <c r="L67" s="2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</row>
    <row r="68" spans="1:35">
      <c r="A68" s="2">
        <v>81</v>
      </c>
      <c r="B68" s="2" t="s">
        <v>194</v>
      </c>
      <c r="C68" s="2">
        <v>35523</v>
      </c>
      <c r="D68" s="2" t="s">
        <v>195</v>
      </c>
      <c r="E68" s="2">
        <v>344238</v>
      </c>
      <c r="F68" s="2">
        <v>4087477219</v>
      </c>
      <c r="G68" s="2" t="s">
        <v>196</v>
      </c>
      <c r="H68" s="2" t="s">
        <v>194</v>
      </c>
      <c r="I68" s="2" t="s">
        <v>197</v>
      </c>
      <c r="J68" s="2" t="s">
        <v>84</v>
      </c>
      <c r="K68" s="2">
        <v>1295</v>
      </c>
      <c r="L68" s="2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</row>
    <row r="69" spans="1:35">
      <c r="A69" s="2">
        <v>82</v>
      </c>
      <c r="B69" s="2" t="s">
        <v>198</v>
      </c>
      <c r="C69" s="2">
        <v>35012</v>
      </c>
      <c r="D69" s="2" t="s">
        <v>199</v>
      </c>
      <c r="E69" s="2">
        <v>4580</v>
      </c>
      <c r="F69" s="2" t="s">
        <v>200</v>
      </c>
      <c r="G69" s="2" t="s">
        <v>201</v>
      </c>
      <c r="H69" s="2" t="s">
        <v>198</v>
      </c>
      <c r="I69" s="2" t="s">
        <v>202</v>
      </c>
      <c r="J69" s="2" t="s">
        <v>72</v>
      </c>
      <c r="K69" s="2">
        <v>1295</v>
      </c>
      <c r="L69" s="2" t="s">
        <v>203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0" spans="1:35">
      <c r="A70" s="2">
        <v>83</v>
      </c>
      <c r="B70" s="2" t="s">
        <v>198</v>
      </c>
      <c r="C70" s="2">
        <v>35012</v>
      </c>
      <c r="D70" s="2" t="s">
        <v>199</v>
      </c>
      <c r="E70" s="2">
        <v>4580</v>
      </c>
      <c r="F70" s="2" t="s">
        <v>200</v>
      </c>
      <c r="G70" s="2" t="s">
        <v>201</v>
      </c>
      <c r="H70" s="2" t="s">
        <v>198</v>
      </c>
      <c r="I70" s="2" t="s">
        <v>204</v>
      </c>
      <c r="J70" s="2" t="s">
        <v>49</v>
      </c>
      <c r="K70" s="2">
        <v>1295</v>
      </c>
      <c r="L70" s="2" t="s">
        <v>203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</row>
    <row r="71" spans="1:35">
      <c r="A71" s="2">
        <v>84</v>
      </c>
      <c r="B71" s="2" t="s">
        <v>198</v>
      </c>
      <c r="C71" s="2">
        <v>35012</v>
      </c>
      <c r="D71" s="2" t="s">
        <v>199</v>
      </c>
      <c r="E71" s="2">
        <v>4580</v>
      </c>
      <c r="F71" s="2" t="s">
        <v>200</v>
      </c>
      <c r="G71" s="2" t="s">
        <v>201</v>
      </c>
      <c r="H71" s="2" t="s">
        <v>198</v>
      </c>
      <c r="I71" s="2" t="s">
        <v>205</v>
      </c>
      <c r="J71" s="2" t="s">
        <v>43</v>
      </c>
      <c r="K71" s="2">
        <v>1295</v>
      </c>
      <c r="L71" s="2" t="s">
        <v>203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</row>
    <row r="72" spans="1:35">
      <c r="A72" s="2">
        <v>85</v>
      </c>
      <c r="B72" s="2" t="s">
        <v>198</v>
      </c>
      <c r="C72" s="2">
        <v>35012</v>
      </c>
      <c r="D72" s="2" t="s">
        <v>199</v>
      </c>
      <c r="E72" s="2">
        <v>4580</v>
      </c>
      <c r="F72" s="2" t="s">
        <v>200</v>
      </c>
      <c r="G72" s="2" t="s">
        <v>201</v>
      </c>
      <c r="H72" s="2" t="s">
        <v>198</v>
      </c>
      <c r="I72" s="2" t="s">
        <v>206</v>
      </c>
      <c r="J72" s="2" t="s">
        <v>69</v>
      </c>
      <c r="K72" s="2">
        <v>1295</v>
      </c>
      <c r="L72" s="2" t="s">
        <v>203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</row>
    <row r="73" spans="1:35">
      <c r="A73" s="2">
        <v>86</v>
      </c>
      <c r="B73" s="2" t="s">
        <v>207</v>
      </c>
      <c r="C73" s="2">
        <v>10</v>
      </c>
      <c r="D73" s="2" t="s">
        <v>208</v>
      </c>
      <c r="E73" s="2">
        <v>32819</v>
      </c>
      <c r="F73" s="2">
        <v>8058071704</v>
      </c>
      <c r="G73" s="2" t="s">
        <v>209</v>
      </c>
      <c r="H73" s="2" t="s">
        <v>210</v>
      </c>
      <c r="I73" s="2" t="s">
        <v>211</v>
      </c>
      <c r="J73" s="2" t="s">
        <v>95</v>
      </c>
      <c r="K73" s="2">
        <v>1295</v>
      </c>
      <c r="L73" s="2" t="s">
        <v>212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</row>
    <row r="74" spans="1:35">
      <c r="A74" s="2">
        <v>87</v>
      </c>
      <c r="B74" s="2" t="s">
        <v>207</v>
      </c>
      <c r="C74" s="2">
        <v>10</v>
      </c>
      <c r="D74" s="2" t="s">
        <v>208</v>
      </c>
      <c r="E74" s="2">
        <v>32819</v>
      </c>
      <c r="F74" s="2">
        <v>8058071704</v>
      </c>
      <c r="G74" s="2" t="s">
        <v>209</v>
      </c>
      <c r="H74" s="2" t="s">
        <v>210</v>
      </c>
      <c r="I74" s="2" t="s">
        <v>211</v>
      </c>
      <c r="J74" s="2" t="s">
        <v>17</v>
      </c>
      <c r="K74" s="2">
        <v>1295</v>
      </c>
      <c r="L74" s="2" t="s">
        <v>212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</row>
    <row r="75" spans="1:35">
      <c r="A75" s="2">
        <v>88</v>
      </c>
      <c r="B75" s="2" t="s">
        <v>207</v>
      </c>
      <c r="C75" s="2">
        <v>10</v>
      </c>
      <c r="D75" s="2" t="s">
        <v>208</v>
      </c>
      <c r="E75" s="2">
        <v>32819</v>
      </c>
      <c r="F75" s="2">
        <v>8058071704</v>
      </c>
      <c r="G75" s="2" t="s">
        <v>209</v>
      </c>
      <c r="H75" s="2" t="s">
        <v>210</v>
      </c>
      <c r="I75" s="2" t="s">
        <v>211</v>
      </c>
      <c r="J75" s="2" t="s">
        <v>69</v>
      </c>
      <c r="K75" s="2">
        <v>1295</v>
      </c>
      <c r="L75" s="2" t="s">
        <v>212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</row>
    <row r="76" spans="1:35">
      <c r="A76" s="2">
        <v>89</v>
      </c>
      <c r="B76" s="2" t="s">
        <v>207</v>
      </c>
      <c r="C76" s="2">
        <v>10</v>
      </c>
      <c r="D76" s="2" t="s">
        <v>208</v>
      </c>
      <c r="E76" s="2">
        <v>32819</v>
      </c>
      <c r="F76" s="2">
        <v>8058071704</v>
      </c>
      <c r="G76" s="2" t="s">
        <v>209</v>
      </c>
      <c r="H76" s="2" t="s">
        <v>210</v>
      </c>
      <c r="I76" s="2" t="s">
        <v>211</v>
      </c>
      <c r="J76" s="2" t="s">
        <v>40</v>
      </c>
      <c r="K76" s="2">
        <v>1295</v>
      </c>
      <c r="L76" s="2" t="s">
        <v>212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</row>
    <row r="77" spans="1:35">
      <c r="A77" s="2">
        <v>90</v>
      </c>
      <c r="B77" s="2" t="s">
        <v>213</v>
      </c>
      <c r="C77" s="2">
        <v>25911</v>
      </c>
      <c r="D77" s="2" t="s">
        <v>214</v>
      </c>
      <c r="E77" s="2">
        <v>591546</v>
      </c>
      <c r="F77" s="2">
        <v>4086279167</v>
      </c>
      <c r="G77" s="2" t="s">
        <v>215</v>
      </c>
      <c r="H77" s="2" t="s">
        <v>216</v>
      </c>
      <c r="I77" s="2" t="s">
        <v>217</v>
      </c>
      <c r="J77" s="2" t="s">
        <v>30</v>
      </c>
      <c r="K77" s="2">
        <v>1295</v>
      </c>
      <c r="L77" s="2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</row>
    <row r="78" spans="1:35">
      <c r="A78" s="2">
        <v>91</v>
      </c>
      <c r="B78" s="2" t="s">
        <v>213</v>
      </c>
      <c r="C78" s="2">
        <v>25911</v>
      </c>
      <c r="D78" s="2" t="s">
        <v>214</v>
      </c>
      <c r="E78" s="2">
        <v>591546</v>
      </c>
      <c r="F78" s="2">
        <v>4086279167</v>
      </c>
      <c r="G78" s="2" t="s">
        <v>215</v>
      </c>
      <c r="H78" s="2" t="s">
        <v>218</v>
      </c>
      <c r="I78" s="2" t="s">
        <v>217</v>
      </c>
      <c r="J78" s="2" t="s">
        <v>53</v>
      </c>
      <c r="K78" s="2">
        <v>1295</v>
      </c>
      <c r="L78" s="2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</row>
    <row r="79" spans="1:35">
      <c r="A79" s="2">
        <v>92</v>
      </c>
      <c r="B79" s="2" t="s">
        <v>213</v>
      </c>
      <c r="C79" s="2">
        <v>25911</v>
      </c>
      <c r="D79" s="2" t="s">
        <v>214</v>
      </c>
      <c r="E79" s="2">
        <v>591546</v>
      </c>
      <c r="F79" s="2">
        <v>4086279167</v>
      </c>
      <c r="G79" s="2" t="s">
        <v>215</v>
      </c>
      <c r="H79" s="2" t="s">
        <v>216</v>
      </c>
      <c r="I79" s="2" t="s">
        <v>217</v>
      </c>
      <c r="J79" s="2" t="s">
        <v>24</v>
      </c>
      <c r="K79" s="2">
        <v>1295</v>
      </c>
      <c r="L79" s="2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</row>
    <row r="80" spans="1:35">
      <c r="A80" s="2">
        <v>93</v>
      </c>
      <c r="B80" s="2" t="s">
        <v>213</v>
      </c>
      <c r="C80" s="2">
        <v>25911</v>
      </c>
      <c r="D80" s="2" t="s">
        <v>214</v>
      </c>
      <c r="E80" s="2">
        <v>591546</v>
      </c>
      <c r="F80" s="2">
        <v>4086279167</v>
      </c>
      <c r="G80" s="2" t="s">
        <v>215</v>
      </c>
      <c r="H80" s="2" t="s">
        <v>218</v>
      </c>
      <c r="I80" s="2" t="s">
        <v>217</v>
      </c>
      <c r="J80" s="2" t="s">
        <v>219</v>
      </c>
      <c r="K80" s="2">
        <v>1295</v>
      </c>
      <c r="L80" s="2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</row>
    <row r="81" spans="1:35">
      <c r="A81" s="2">
        <v>94</v>
      </c>
      <c r="B81" s="2" t="s">
        <v>220</v>
      </c>
      <c r="C81" s="2">
        <v>15152</v>
      </c>
      <c r="D81" s="2" t="s">
        <v>221</v>
      </c>
      <c r="E81" s="2">
        <v>15690</v>
      </c>
      <c r="F81" s="2" t="s">
        <v>222</v>
      </c>
      <c r="G81" s="2" t="s">
        <v>223</v>
      </c>
      <c r="H81" s="2" t="s">
        <v>224</v>
      </c>
      <c r="I81" s="2" t="s">
        <v>225</v>
      </c>
      <c r="J81" s="2" t="s">
        <v>49</v>
      </c>
      <c r="K81" s="2">
        <v>1295</v>
      </c>
      <c r="L81" s="2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 spans="1:35">
      <c r="A82" s="2">
        <v>95</v>
      </c>
      <c r="B82" s="2" t="s">
        <v>220</v>
      </c>
      <c r="C82" s="2">
        <v>15152</v>
      </c>
      <c r="D82" s="2" t="s">
        <v>221</v>
      </c>
      <c r="E82" s="2">
        <v>15690</v>
      </c>
      <c r="F82" s="2" t="s">
        <v>222</v>
      </c>
      <c r="G82" s="2" t="s">
        <v>223</v>
      </c>
      <c r="H82" s="2" t="s">
        <v>224</v>
      </c>
      <c r="I82" s="2" t="s">
        <v>226</v>
      </c>
      <c r="J82" s="2" t="s">
        <v>227</v>
      </c>
      <c r="K82" s="2">
        <v>1295</v>
      </c>
      <c r="L82" s="2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 spans="1:35">
      <c r="A83" s="2">
        <v>96</v>
      </c>
      <c r="B83" s="2" t="s">
        <v>220</v>
      </c>
      <c r="C83" s="2">
        <v>15152</v>
      </c>
      <c r="D83" s="2" t="s">
        <v>221</v>
      </c>
      <c r="E83" s="2">
        <v>15690</v>
      </c>
      <c r="F83" s="2" t="s">
        <v>222</v>
      </c>
      <c r="G83" s="2" t="s">
        <v>223</v>
      </c>
      <c r="H83" s="2" t="s">
        <v>224</v>
      </c>
      <c r="I83" s="2" t="s">
        <v>228</v>
      </c>
      <c r="J83" s="2" t="s">
        <v>53</v>
      </c>
      <c r="K83" s="2">
        <v>1295</v>
      </c>
      <c r="L83" s="2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</row>
    <row r="84" spans="1:35">
      <c r="A84" s="2">
        <v>97</v>
      </c>
      <c r="B84" s="2" t="s">
        <v>164</v>
      </c>
      <c r="C84" s="2">
        <v>19137</v>
      </c>
      <c r="D84" s="2" t="s">
        <v>165</v>
      </c>
      <c r="E84" s="2">
        <v>14837</v>
      </c>
      <c r="F84" s="2" t="s">
        <v>229</v>
      </c>
      <c r="G84" s="2" t="s">
        <v>167</v>
      </c>
      <c r="H84" s="2" t="s">
        <v>178</v>
      </c>
      <c r="I84" s="2" t="s">
        <v>169</v>
      </c>
      <c r="J84" s="2" t="s">
        <v>17</v>
      </c>
      <c r="K84" s="2">
        <v>1295</v>
      </c>
      <c r="L84" s="2" t="s">
        <v>230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</row>
    <row r="85" spans="1:35">
      <c r="A85" s="2">
        <v>98</v>
      </c>
      <c r="B85" s="2" t="s">
        <v>164</v>
      </c>
      <c r="C85" s="2">
        <v>19137</v>
      </c>
      <c r="D85" s="2" t="s">
        <v>165</v>
      </c>
      <c r="E85" s="2">
        <v>14837</v>
      </c>
      <c r="F85" s="2" t="s">
        <v>229</v>
      </c>
      <c r="G85" s="2" t="s">
        <v>167</v>
      </c>
      <c r="H85" s="2" t="s">
        <v>178</v>
      </c>
      <c r="I85" s="2" t="s">
        <v>171</v>
      </c>
      <c r="J85" s="2" t="s">
        <v>69</v>
      </c>
      <c r="K85" s="2">
        <v>1295</v>
      </c>
      <c r="L85" s="2" t="s">
        <v>230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</row>
    <row r="86" spans="1:35">
      <c r="A86" s="2">
        <v>99</v>
      </c>
      <c r="B86" s="2" t="s">
        <v>231</v>
      </c>
      <c r="C86" s="2">
        <v>18329</v>
      </c>
      <c r="D86" s="2" t="s">
        <v>232</v>
      </c>
      <c r="E86" s="2">
        <v>15806</v>
      </c>
      <c r="F86" s="2">
        <v>4156808205</v>
      </c>
      <c r="G86" s="2" t="s">
        <v>233</v>
      </c>
      <c r="H86" s="2" t="s">
        <v>234</v>
      </c>
      <c r="I86" s="2" t="s">
        <v>235</v>
      </c>
      <c r="J86" s="2" t="s">
        <v>72</v>
      </c>
      <c r="K86" s="2">
        <v>1295</v>
      </c>
      <c r="L86" s="2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</row>
    <row r="87" spans="1:35">
      <c r="A87" s="2">
        <v>100</v>
      </c>
      <c r="B87" s="2" t="s">
        <v>231</v>
      </c>
      <c r="C87" s="2">
        <v>18329</v>
      </c>
      <c r="D87" s="2" t="s">
        <v>232</v>
      </c>
      <c r="E87" s="2">
        <v>15806</v>
      </c>
      <c r="F87" s="2">
        <v>4156808205</v>
      </c>
      <c r="G87" s="2" t="s">
        <v>233</v>
      </c>
      <c r="H87" s="2" t="s">
        <v>236</v>
      </c>
      <c r="I87" s="2" t="s">
        <v>235</v>
      </c>
      <c r="J87" s="2" t="s">
        <v>49</v>
      </c>
      <c r="K87" s="2">
        <v>1295</v>
      </c>
      <c r="L87" s="2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</row>
    <row r="88" spans="1:35">
      <c r="A88" s="2">
        <v>101</v>
      </c>
      <c r="B88" s="2" t="s">
        <v>231</v>
      </c>
      <c r="C88" s="2">
        <v>18329</v>
      </c>
      <c r="D88" s="2" t="s">
        <v>232</v>
      </c>
      <c r="E88" s="2">
        <v>15806</v>
      </c>
      <c r="F88" s="2">
        <v>4156808205</v>
      </c>
      <c r="G88" s="2" t="s">
        <v>233</v>
      </c>
      <c r="H88" s="2" t="s">
        <v>231</v>
      </c>
      <c r="I88" s="2" t="s">
        <v>235</v>
      </c>
      <c r="J88" s="2" t="s">
        <v>43</v>
      </c>
      <c r="K88" s="2">
        <v>1295</v>
      </c>
      <c r="L88" s="2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</row>
    <row r="89" spans="1:35">
      <c r="A89" s="2">
        <v>102</v>
      </c>
      <c r="B89" s="2" t="s">
        <v>231</v>
      </c>
      <c r="C89" s="2">
        <v>18329</v>
      </c>
      <c r="D89" s="2" t="s">
        <v>232</v>
      </c>
      <c r="E89" s="2">
        <v>15806</v>
      </c>
      <c r="F89" s="2">
        <v>4156808205</v>
      </c>
      <c r="G89" s="2" t="s">
        <v>233</v>
      </c>
      <c r="H89" s="2" t="s">
        <v>231</v>
      </c>
      <c r="I89" s="2" t="s">
        <v>235</v>
      </c>
      <c r="J89" s="2" t="s">
        <v>16</v>
      </c>
      <c r="K89" s="2">
        <v>1295</v>
      </c>
      <c r="L89" s="2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</row>
    <row r="90" spans="1:35">
      <c r="A90" s="2">
        <v>103</v>
      </c>
      <c r="B90" s="2" t="s">
        <v>231</v>
      </c>
      <c r="C90" s="2">
        <v>18329</v>
      </c>
      <c r="D90" s="2" t="s">
        <v>232</v>
      </c>
      <c r="E90" s="2">
        <v>15806</v>
      </c>
      <c r="F90" s="2">
        <v>4156808205</v>
      </c>
      <c r="G90" s="2" t="s">
        <v>233</v>
      </c>
      <c r="H90" s="2" t="s">
        <v>231</v>
      </c>
      <c r="I90" s="2" t="s">
        <v>235</v>
      </c>
      <c r="J90" s="2" t="s">
        <v>24</v>
      </c>
      <c r="K90" s="2">
        <v>1295</v>
      </c>
      <c r="L90" s="2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</row>
    <row r="91" spans="1:35">
      <c r="A91" s="2">
        <v>104</v>
      </c>
      <c r="B91" s="2" t="s">
        <v>237</v>
      </c>
      <c r="C91" s="2">
        <v>97</v>
      </c>
      <c r="D91" s="2" t="s">
        <v>238</v>
      </c>
      <c r="E91" s="2">
        <v>16064</v>
      </c>
      <c r="F91" s="2">
        <v>6462836884</v>
      </c>
      <c r="G91" s="2" t="s">
        <v>239</v>
      </c>
      <c r="H91" s="2" t="s">
        <v>240</v>
      </c>
      <c r="I91" s="2" t="s">
        <v>241</v>
      </c>
      <c r="J91" s="2" t="s">
        <v>16</v>
      </c>
      <c r="K91" s="2">
        <v>1295</v>
      </c>
      <c r="L91" s="2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</row>
    <row r="92" spans="1:35">
      <c r="A92" s="2">
        <v>105</v>
      </c>
      <c r="B92" s="2" t="s">
        <v>242</v>
      </c>
      <c r="C92" s="2">
        <v>23472</v>
      </c>
      <c r="D92" s="2" t="s">
        <v>243</v>
      </c>
      <c r="E92" s="2">
        <v>354615</v>
      </c>
      <c r="F92" s="2">
        <v>2062348350</v>
      </c>
      <c r="G92" s="2" t="s">
        <v>244</v>
      </c>
      <c r="H92" s="2" t="s">
        <v>245</v>
      </c>
      <c r="I92" s="2" t="s">
        <v>246</v>
      </c>
      <c r="J92" s="2" t="s">
        <v>84</v>
      </c>
      <c r="K92" s="2">
        <v>1295</v>
      </c>
      <c r="L92" s="2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</row>
    <row r="93" spans="1:35">
      <c r="A93" s="2">
        <v>106</v>
      </c>
      <c r="B93" s="2" t="s">
        <v>242</v>
      </c>
      <c r="C93" s="2">
        <v>23472</v>
      </c>
      <c r="D93" s="2" t="s">
        <v>243</v>
      </c>
      <c r="E93" s="2">
        <v>354615</v>
      </c>
      <c r="F93" s="2">
        <v>2062348350</v>
      </c>
      <c r="G93" s="2" t="s">
        <v>244</v>
      </c>
      <c r="H93" s="2" t="s">
        <v>245</v>
      </c>
      <c r="I93" s="2" t="s">
        <v>246</v>
      </c>
      <c r="J93" s="2" t="s">
        <v>49</v>
      </c>
      <c r="K93" s="2">
        <v>1295</v>
      </c>
      <c r="L93" s="2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</row>
    <row r="94" spans="1:35">
      <c r="A94" s="2">
        <v>107</v>
      </c>
      <c r="B94" s="2" t="s">
        <v>242</v>
      </c>
      <c r="C94" s="2">
        <v>23472</v>
      </c>
      <c r="D94" s="2" t="s">
        <v>243</v>
      </c>
      <c r="E94" s="2">
        <v>354615</v>
      </c>
      <c r="F94" s="2">
        <v>2062348350</v>
      </c>
      <c r="G94" s="2" t="s">
        <v>244</v>
      </c>
      <c r="H94" s="2" t="s">
        <v>245</v>
      </c>
      <c r="I94" s="2" t="s">
        <v>246</v>
      </c>
      <c r="J94" s="2" t="s">
        <v>95</v>
      </c>
      <c r="K94" s="2">
        <v>1295</v>
      </c>
      <c r="L94" s="2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</row>
    <row r="95" spans="1:35">
      <c r="A95" s="2">
        <v>108</v>
      </c>
      <c r="B95" s="2" t="s">
        <v>231</v>
      </c>
      <c r="C95" s="2">
        <v>18329</v>
      </c>
      <c r="D95" s="2" t="s">
        <v>232</v>
      </c>
      <c r="E95" s="2">
        <v>15806</v>
      </c>
      <c r="F95" s="2">
        <v>4156808205</v>
      </c>
      <c r="G95" s="2" t="s">
        <v>233</v>
      </c>
      <c r="H95" s="2" t="s">
        <v>231</v>
      </c>
      <c r="I95" s="2" t="s">
        <v>247</v>
      </c>
      <c r="J95" s="2" t="s">
        <v>95</v>
      </c>
      <c r="K95" s="2">
        <v>1295</v>
      </c>
      <c r="L95" s="2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</row>
    <row r="96" spans="1:35">
      <c r="A96" s="2">
        <v>109</v>
      </c>
      <c r="B96" s="2" t="s">
        <v>231</v>
      </c>
      <c r="C96" s="2">
        <v>18329</v>
      </c>
      <c r="D96" s="2" t="s">
        <v>232</v>
      </c>
      <c r="E96" s="2">
        <v>15806</v>
      </c>
      <c r="F96" s="2">
        <v>4156808205</v>
      </c>
      <c r="G96" s="2" t="s">
        <v>233</v>
      </c>
      <c r="H96" s="2" t="s">
        <v>231</v>
      </c>
      <c r="I96" s="2" t="s">
        <v>247</v>
      </c>
      <c r="J96" s="2" t="s">
        <v>40</v>
      </c>
      <c r="K96" s="2">
        <v>1295</v>
      </c>
      <c r="L96" s="2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</row>
    <row r="97" spans="1:35">
      <c r="A97" s="2">
        <v>110</v>
      </c>
      <c r="B97" s="2" t="s">
        <v>248</v>
      </c>
      <c r="C97" s="2">
        <v>37</v>
      </c>
      <c r="D97" s="2" t="s">
        <v>249</v>
      </c>
      <c r="E97" s="2">
        <v>472135</v>
      </c>
      <c r="F97" s="2">
        <v>9254084873</v>
      </c>
      <c r="G97" s="2" t="s">
        <v>250</v>
      </c>
      <c r="H97" s="2" t="s">
        <v>251</v>
      </c>
      <c r="I97" s="2" t="s">
        <v>252</v>
      </c>
      <c r="J97" s="2" t="s">
        <v>65</v>
      </c>
      <c r="K97" s="2">
        <v>1095</v>
      </c>
      <c r="L97" s="2" t="s">
        <v>253</v>
      </c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</row>
    <row r="98" spans="1:35">
      <c r="A98" s="2">
        <v>111</v>
      </c>
      <c r="B98" s="2" t="s">
        <v>248</v>
      </c>
      <c r="C98" s="2">
        <v>37</v>
      </c>
      <c r="D98" s="2" t="s">
        <v>249</v>
      </c>
      <c r="E98" s="2">
        <v>472135</v>
      </c>
      <c r="F98" s="2">
        <v>9254084873</v>
      </c>
      <c r="G98" s="2" t="s">
        <v>250</v>
      </c>
      <c r="H98" s="2" t="s">
        <v>251</v>
      </c>
      <c r="I98" s="2" t="s">
        <v>252</v>
      </c>
      <c r="J98" s="2" t="s">
        <v>254</v>
      </c>
      <c r="K98" s="2">
        <v>1095</v>
      </c>
      <c r="L98" s="2" t="s">
        <v>253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</row>
    <row r="99" spans="1:35">
      <c r="A99" s="2">
        <v>112</v>
      </c>
      <c r="B99" s="2" t="s">
        <v>248</v>
      </c>
      <c r="C99" s="2">
        <v>37</v>
      </c>
      <c r="D99" s="2" t="s">
        <v>249</v>
      </c>
      <c r="E99" s="2">
        <v>472135</v>
      </c>
      <c r="F99" s="2">
        <v>9254084873</v>
      </c>
      <c r="G99" s="2" t="s">
        <v>250</v>
      </c>
      <c r="H99" s="2" t="s">
        <v>255</v>
      </c>
      <c r="I99" s="2" t="s">
        <v>252</v>
      </c>
      <c r="J99" s="2" t="s">
        <v>65</v>
      </c>
      <c r="K99" s="2">
        <v>1095</v>
      </c>
      <c r="L99" s="2" t="s">
        <v>253</v>
      </c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</row>
    <row r="100" spans="1:35">
      <c r="A100" s="2">
        <v>113</v>
      </c>
      <c r="B100" s="2" t="s">
        <v>248</v>
      </c>
      <c r="C100" s="2">
        <v>37</v>
      </c>
      <c r="D100" s="2" t="s">
        <v>249</v>
      </c>
      <c r="E100" s="2">
        <v>472135</v>
      </c>
      <c r="F100" s="2">
        <v>9254084873</v>
      </c>
      <c r="G100" s="2" t="s">
        <v>250</v>
      </c>
      <c r="H100" s="2" t="s">
        <v>251</v>
      </c>
      <c r="I100" s="2" t="s">
        <v>252</v>
      </c>
      <c r="J100" s="2" t="s">
        <v>40</v>
      </c>
      <c r="K100" s="2">
        <v>1295</v>
      </c>
      <c r="L100" s="2" t="s">
        <v>253</v>
      </c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</row>
    <row r="101" spans="1:35">
      <c r="A101" s="2">
        <v>114</v>
      </c>
      <c r="B101" s="2" t="s">
        <v>248</v>
      </c>
      <c r="C101" s="2">
        <v>37</v>
      </c>
      <c r="D101" s="2" t="s">
        <v>249</v>
      </c>
      <c r="E101" s="2">
        <v>472135</v>
      </c>
      <c r="F101" s="2">
        <v>9254084873</v>
      </c>
      <c r="G101" s="2" t="s">
        <v>250</v>
      </c>
      <c r="H101" s="2" t="s">
        <v>251</v>
      </c>
      <c r="I101" s="2" t="s">
        <v>252</v>
      </c>
      <c r="J101" s="2" t="s">
        <v>43</v>
      </c>
      <c r="K101" s="2">
        <v>1295</v>
      </c>
      <c r="L101" s="2" t="s">
        <v>253</v>
      </c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</row>
    <row r="102" spans="1:35">
      <c r="A102" s="2">
        <v>115</v>
      </c>
      <c r="B102" s="2" t="s">
        <v>248</v>
      </c>
      <c r="C102" s="2">
        <v>37</v>
      </c>
      <c r="D102" s="2" t="s">
        <v>249</v>
      </c>
      <c r="E102" s="2">
        <v>472135</v>
      </c>
      <c r="F102" s="2">
        <v>9254084873</v>
      </c>
      <c r="G102" s="2" t="s">
        <v>250</v>
      </c>
      <c r="H102" s="2" t="s">
        <v>255</v>
      </c>
      <c r="I102" s="2" t="s">
        <v>252</v>
      </c>
      <c r="J102" s="2" t="s">
        <v>69</v>
      </c>
      <c r="K102" s="2">
        <v>1295</v>
      </c>
      <c r="L102" s="2" t="s">
        <v>253</v>
      </c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</row>
    <row r="103" spans="1:35">
      <c r="A103" s="2">
        <v>116</v>
      </c>
      <c r="B103" s="2" t="s">
        <v>248</v>
      </c>
      <c r="C103" s="2">
        <v>37</v>
      </c>
      <c r="D103" s="2" t="s">
        <v>249</v>
      </c>
      <c r="E103" s="2">
        <v>472135</v>
      </c>
      <c r="F103" s="2">
        <v>9254084873</v>
      </c>
      <c r="G103" s="2" t="s">
        <v>250</v>
      </c>
      <c r="H103" s="2" t="s">
        <v>256</v>
      </c>
      <c r="I103" s="2" t="s">
        <v>252</v>
      </c>
      <c r="J103" s="2" t="s">
        <v>69</v>
      </c>
      <c r="K103" s="2">
        <v>1295</v>
      </c>
      <c r="L103" s="2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</row>
    <row r="104" spans="1:35">
      <c r="A104" s="2">
        <v>117</v>
      </c>
      <c r="B104" s="2" t="s">
        <v>248</v>
      </c>
      <c r="C104" s="2">
        <v>37</v>
      </c>
      <c r="D104" s="2" t="s">
        <v>249</v>
      </c>
      <c r="E104" s="2">
        <v>472135</v>
      </c>
      <c r="F104" s="2">
        <v>9254084873</v>
      </c>
      <c r="G104" s="2" t="s">
        <v>250</v>
      </c>
      <c r="H104" s="2" t="s">
        <v>251</v>
      </c>
      <c r="I104" s="2" t="s">
        <v>252</v>
      </c>
      <c r="J104" s="2" t="s">
        <v>72</v>
      </c>
      <c r="K104" s="2">
        <v>1295</v>
      </c>
      <c r="L104" s="2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</row>
    <row r="105" spans="1:35">
      <c r="A105" s="2">
        <v>118</v>
      </c>
      <c r="B105" s="2" t="s">
        <v>248</v>
      </c>
      <c r="C105" s="2">
        <v>37</v>
      </c>
      <c r="D105" s="2" t="s">
        <v>249</v>
      </c>
      <c r="E105" s="2">
        <v>472135</v>
      </c>
      <c r="F105" s="2">
        <v>9254084873</v>
      </c>
      <c r="G105" s="2" t="s">
        <v>250</v>
      </c>
      <c r="H105" s="2" t="s">
        <v>255</v>
      </c>
      <c r="I105" s="2" t="s">
        <v>252</v>
      </c>
      <c r="J105" s="2" t="s">
        <v>49</v>
      </c>
      <c r="K105" s="2">
        <v>1295</v>
      </c>
      <c r="L105" s="2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</row>
    <row r="106" spans="1:35" ht="15" customHeight="1">
      <c r="A106" s="2">
        <v>119</v>
      </c>
      <c r="B106" s="2" t="s">
        <v>248</v>
      </c>
      <c r="C106" s="2">
        <v>37</v>
      </c>
      <c r="D106" s="2" t="s">
        <v>249</v>
      </c>
      <c r="E106" s="2">
        <v>472135</v>
      </c>
      <c r="F106" s="2">
        <v>9254084873</v>
      </c>
      <c r="G106" s="2" t="s">
        <v>250</v>
      </c>
      <c r="H106" s="2" t="s">
        <v>256</v>
      </c>
      <c r="I106" s="2" t="s">
        <v>252</v>
      </c>
      <c r="J106" s="2" t="s">
        <v>17</v>
      </c>
      <c r="K106" s="2">
        <v>1295</v>
      </c>
      <c r="L106" s="2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</row>
    <row r="107" spans="1:35">
      <c r="A107" s="2">
        <v>120</v>
      </c>
      <c r="B107" s="2" t="s">
        <v>257</v>
      </c>
      <c r="C107" s="2">
        <v>23991</v>
      </c>
      <c r="D107" s="2" t="s">
        <v>258</v>
      </c>
      <c r="E107" s="2">
        <v>408267</v>
      </c>
      <c r="F107" s="2">
        <v>4073047421</v>
      </c>
      <c r="G107" s="2" t="s">
        <v>259</v>
      </c>
      <c r="H107" s="2" t="s">
        <v>257</v>
      </c>
      <c r="I107" s="2" t="s">
        <v>260</v>
      </c>
      <c r="J107" s="2" t="s">
        <v>24</v>
      </c>
      <c r="K107" s="2">
        <v>1295</v>
      </c>
      <c r="L107" s="2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</row>
    <row r="108" spans="1:35">
      <c r="A108" s="2">
        <v>121</v>
      </c>
      <c r="B108" s="2" t="s">
        <v>257</v>
      </c>
      <c r="C108" s="2">
        <v>23991</v>
      </c>
      <c r="D108" s="2" t="s">
        <v>258</v>
      </c>
      <c r="E108" s="2">
        <v>408267</v>
      </c>
      <c r="F108" s="2">
        <v>4073047421</v>
      </c>
      <c r="G108" s="2" t="s">
        <v>259</v>
      </c>
      <c r="H108" s="2" t="s">
        <v>257</v>
      </c>
      <c r="I108" s="2" t="s">
        <v>261</v>
      </c>
      <c r="J108" s="2" t="s">
        <v>72</v>
      </c>
      <c r="K108" s="2">
        <v>1295</v>
      </c>
      <c r="L108" s="2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</row>
    <row r="109" spans="1:35">
      <c r="A109" s="2">
        <v>122</v>
      </c>
      <c r="B109" s="2" t="s">
        <v>262</v>
      </c>
      <c r="C109" s="2">
        <v>35</v>
      </c>
      <c r="D109" s="2" t="s">
        <v>263</v>
      </c>
      <c r="E109" s="2">
        <v>877</v>
      </c>
      <c r="F109" s="2">
        <v>8056602082</v>
      </c>
      <c r="G109" s="2" t="s">
        <v>264</v>
      </c>
      <c r="H109" s="2" t="s">
        <v>265</v>
      </c>
      <c r="I109" s="2" t="s">
        <v>266</v>
      </c>
      <c r="J109" s="2" t="s">
        <v>37</v>
      </c>
      <c r="K109" s="2">
        <v>1095</v>
      </c>
      <c r="L109" s="2" t="s">
        <v>267</v>
      </c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</row>
    <row r="110" spans="1:35">
      <c r="A110" s="2">
        <v>123</v>
      </c>
      <c r="B110" s="2" t="s">
        <v>262</v>
      </c>
      <c r="C110" s="2">
        <v>35</v>
      </c>
      <c r="D110" s="2" t="s">
        <v>263</v>
      </c>
      <c r="E110" s="2">
        <v>877</v>
      </c>
      <c r="F110" s="2">
        <v>8056602082</v>
      </c>
      <c r="G110" s="2" t="s">
        <v>264</v>
      </c>
      <c r="H110" s="2" t="s">
        <v>268</v>
      </c>
      <c r="I110" s="2" t="s">
        <v>266</v>
      </c>
      <c r="J110" s="2" t="s">
        <v>69</v>
      </c>
      <c r="K110" s="2">
        <v>1295</v>
      </c>
      <c r="L110" s="2" t="s">
        <v>267</v>
      </c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</row>
    <row r="111" spans="1:35">
      <c r="A111" s="2">
        <v>124</v>
      </c>
      <c r="B111" s="2" t="s">
        <v>262</v>
      </c>
      <c r="C111" s="2">
        <v>35</v>
      </c>
      <c r="D111" s="2" t="s">
        <v>263</v>
      </c>
      <c r="E111" s="2">
        <v>877</v>
      </c>
      <c r="F111" s="2">
        <v>8056602082</v>
      </c>
      <c r="G111" s="2" t="s">
        <v>264</v>
      </c>
      <c r="H111" s="2" t="s">
        <v>269</v>
      </c>
      <c r="I111" s="2" t="s">
        <v>270</v>
      </c>
      <c r="J111" s="2" t="s">
        <v>72</v>
      </c>
      <c r="K111" s="2">
        <v>1295</v>
      </c>
      <c r="L111" s="2" t="s">
        <v>267</v>
      </c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</row>
    <row r="112" spans="1:35">
      <c r="A112" s="2">
        <v>125</v>
      </c>
      <c r="B112" s="2" t="s">
        <v>262</v>
      </c>
      <c r="C112" s="2">
        <v>35</v>
      </c>
      <c r="D112" s="2" t="s">
        <v>263</v>
      </c>
      <c r="E112" s="2">
        <v>877</v>
      </c>
      <c r="F112" s="2">
        <v>8056602082</v>
      </c>
      <c r="G112" s="2" t="s">
        <v>264</v>
      </c>
      <c r="H112" s="2" t="s">
        <v>271</v>
      </c>
      <c r="I112" s="2" t="s">
        <v>272</v>
      </c>
      <c r="J112" s="2" t="s">
        <v>49</v>
      </c>
      <c r="K112" s="2">
        <v>1295</v>
      </c>
      <c r="L112" s="2" t="s">
        <v>267</v>
      </c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</row>
    <row r="113" spans="1:35">
      <c r="A113" s="2">
        <v>126</v>
      </c>
      <c r="B113" s="2" t="s">
        <v>262</v>
      </c>
      <c r="C113" s="2">
        <v>35</v>
      </c>
      <c r="D113" s="2" t="s">
        <v>263</v>
      </c>
      <c r="E113" s="2">
        <v>877</v>
      </c>
      <c r="F113" s="2">
        <v>8056602082</v>
      </c>
      <c r="G113" s="2" t="s">
        <v>264</v>
      </c>
      <c r="H113" s="2" t="s">
        <v>273</v>
      </c>
      <c r="I113" s="2" t="s">
        <v>274</v>
      </c>
      <c r="J113" s="2" t="s">
        <v>17</v>
      </c>
      <c r="K113" s="2">
        <v>1295</v>
      </c>
      <c r="L113" s="2" t="s">
        <v>267</v>
      </c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</row>
    <row r="114" spans="1:35">
      <c r="A114" s="2">
        <v>127</v>
      </c>
      <c r="B114" s="2" t="s">
        <v>262</v>
      </c>
      <c r="C114" s="2">
        <v>35</v>
      </c>
      <c r="D114" s="2" t="s">
        <v>263</v>
      </c>
      <c r="E114" s="2">
        <v>877</v>
      </c>
      <c r="F114" s="2">
        <v>8056602082</v>
      </c>
      <c r="G114" s="2" t="s">
        <v>264</v>
      </c>
      <c r="H114" s="2" t="s">
        <v>275</v>
      </c>
      <c r="I114" s="2" t="s">
        <v>276</v>
      </c>
      <c r="J114" s="2" t="s">
        <v>16</v>
      </c>
      <c r="K114" s="2">
        <v>1295</v>
      </c>
      <c r="L114" s="2" t="s">
        <v>267</v>
      </c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</row>
    <row r="115" spans="1:35">
      <c r="A115" s="2">
        <v>128</v>
      </c>
      <c r="B115" s="2" t="s">
        <v>262</v>
      </c>
      <c r="C115" s="2">
        <v>35</v>
      </c>
      <c r="D115" s="2" t="s">
        <v>263</v>
      </c>
      <c r="E115" s="2">
        <v>877</v>
      </c>
      <c r="F115" s="2">
        <v>8056602082</v>
      </c>
      <c r="G115" s="2" t="s">
        <v>264</v>
      </c>
      <c r="H115" s="2" t="s">
        <v>277</v>
      </c>
      <c r="I115" s="2" t="s">
        <v>278</v>
      </c>
      <c r="J115" s="2" t="s">
        <v>30</v>
      </c>
      <c r="K115" s="2">
        <v>1295</v>
      </c>
      <c r="L115" s="2" t="s">
        <v>279</v>
      </c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</row>
    <row r="116" spans="1:35">
      <c r="A116" s="2">
        <v>129</v>
      </c>
      <c r="B116" s="2" t="s">
        <v>262</v>
      </c>
      <c r="C116" s="2">
        <v>35</v>
      </c>
      <c r="D116" s="2" t="s">
        <v>263</v>
      </c>
      <c r="E116" s="2">
        <v>877</v>
      </c>
      <c r="F116" s="2">
        <v>8056602082</v>
      </c>
      <c r="G116" s="2" t="s">
        <v>264</v>
      </c>
      <c r="H116" s="2" t="s">
        <v>280</v>
      </c>
      <c r="I116" s="2" t="s">
        <v>281</v>
      </c>
      <c r="J116" s="2" t="s">
        <v>24</v>
      </c>
      <c r="K116" s="2">
        <v>1295</v>
      </c>
      <c r="L116" s="2" t="s">
        <v>279</v>
      </c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</row>
    <row r="117" spans="1:35">
      <c r="A117" s="2">
        <v>130</v>
      </c>
      <c r="B117" s="2" t="s">
        <v>262</v>
      </c>
      <c r="C117" s="2">
        <v>35</v>
      </c>
      <c r="D117" s="2" t="s">
        <v>263</v>
      </c>
      <c r="E117" s="2">
        <v>877</v>
      </c>
      <c r="F117" s="2">
        <v>8056602082</v>
      </c>
      <c r="G117" s="2" t="s">
        <v>264</v>
      </c>
      <c r="H117" s="2" t="s">
        <v>282</v>
      </c>
      <c r="I117" s="2" t="s">
        <v>283</v>
      </c>
      <c r="J117" s="2" t="s">
        <v>40</v>
      </c>
      <c r="K117" s="2">
        <v>1295</v>
      </c>
      <c r="L117" s="2" t="s">
        <v>279</v>
      </c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</row>
    <row r="118" spans="1:35">
      <c r="A118" s="2">
        <v>131</v>
      </c>
      <c r="B118" s="2" t="s">
        <v>262</v>
      </c>
      <c r="C118" s="2">
        <v>35</v>
      </c>
      <c r="D118" s="2" t="s">
        <v>263</v>
      </c>
      <c r="E118" s="2">
        <v>877</v>
      </c>
      <c r="F118" s="2">
        <v>8056602082</v>
      </c>
      <c r="G118" s="2" t="s">
        <v>264</v>
      </c>
      <c r="H118" s="2" t="s">
        <v>284</v>
      </c>
      <c r="I118" s="2" t="s">
        <v>285</v>
      </c>
      <c r="J118" s="2" t="s">
        <v>46</v>
      </c>
      <c r="K118" s="2">
        <v>1295</v>
      </c>
      <c r="L118" s="2" t="s">
        <v>279</v>
      </c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</row>
    <row r="119" spans="1:35">
      <c r="A119" s="2">
        <v>132</v>
      </c>
      <c r="B119" s="2" t="s">
        <v>286</v>
      </c>
      <c r="C119" s="2">
        <v>35448</v>
      </c>
      <c r="D119" s="2" t="s">
        <v>208</v>
      </c>
      <c r="E119" s="2">
        <v>6965</v>
      </c>
      <c r="F119" s="2">
        <v>8058071704</v>
      </c>
      <c r="G119" s="2" t="s">
        <v>209</v>
      </c>
      <c r="H119" s="2" t="s">
        <v>286</v>
      </c>
      <c r="I119" s="2" t="s">
        <v>287</v>
      </c>
      <c r="J119" s="2" t="s">
        <v>122</v>
      </c>
      <c r="K119" s="2">
        <v>1095</v>
      </c>
      <c r="L119" s="2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</row>
    <row r="120" spans="1:35">
      <c r="A120" s="2">
        <v>133</v>
      </c>
      <c r="B120" s="2" t="s">
        <v>288</v>
      </c>
      <c r="C120" s="2">
        <v>1309</v>
      </c>
      <c r="D120" s="2" t="s">
        <v>289</v>
      </c>
      <c r="E120" s="2">
        <v>485717</v>
      </c>
      <c r="F120" s="2" t="s">
        <v>290</v>
      </c>
      <c r="G120" s="2" t="s">
        <v>291</v>
      </c>
      <c r="H120" s="2" t="s">
        <v>292</v>
      </c>
      <c r="I120" s="2" t="s">
        <v>293</v>
      </c>
      <c r="J120" s="2" t="s">
        <v>24</v>
      </c>
      <c r="K120" s="2">
        <v>1295</v>
      </c>
      <c r="L120" s="2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</row>
    <row r="121" spans="1:35">
      <c r="A121" s="2">
        <v>134</v>
      </c>
      <c r="B121" s="2" t="s">
        <v>288</v>
      </c>
      <c r="C121" s="2">
        <v>1309</v>
      </c>
      <c r="D121" s="2" t="s">
        <v>289</v>
      </c>
      <c r="E121" s="2">
        <v>485717</v>
      </c>
      <c r="F121" s="2" t="s">
        <v>290</v>
      </c>
      <c r="G121" s="2" t="s">
        <v>291</v>
      </c>
      <c r="H121" s="2" t="s">
        <v>292</v>
      </c>
      <c r="I121" s="2" t="s">
        <v>294</v>
      </c>
      <c r="J121" s="2" t="s">
        <v>16</v>
      </c>
      <c r="K121" s="2">
        <v>1295</v>
      </c>
      <c r="L121" s="2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</row>
    <row r="122" spans="1:35">
      <c r="A122" s="2">
        <v>135</v>
      </c>
      <c r="B122" s="2" t="s">
        <v>288</v>
      </c>
      <c r="C122" s="2">
        <v>1309</v>
      </c>
      <c r="D122" s="2" t="s">
        <v>289</v>
      </c>
      <c r="E122" s="2">
        <v>485717</v>
      </c>
      <c r="F122" s="2" t="s">
        <v>290</v>
      </c>
      <c r="G122" s="2" t="s">
        <v>291</v>
      </c>
      <c r="H122" s="2" t="s">
        <v>295</v>
      </c>
      <c r="I122" s="2" t="s">
        <v>296</v>
      </c>
      <c r="J122" s="2" t="s">
        <v>30</v>
      </c>
      <c r="K122" s="2">
        <v>1295</v>
      </c>
      <c r="L122" s="2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</row>
    <row r="123" spans="1:35">
      <c r="A123" s="2">
        <v>136</v>
      </c>
      <c r="B123" s="2" t="s">
        <v>288</v>
      </c>
      <c r="C123" s="2">
        <v>1309</v>
      </c>
      <c r="D123" s="2" t="s">
        <v>289</v>
      </c>
      <c r="E123" s="2">
        <v>485717</v>
      </c>
      <c r="F123" s="2" t="s">
        <v>290</v>
      </c>
      <c r="G123" s="2" t="s">
        <v>291</v>
      </c>
      <c r="H123" s="2" t="s">
        <v>292</v>
      </c>
      <c r="I123" s="2" t="s">
        <v>297</v>
      </c>
      <c r="J123" s="2" t="s">
        <v>72</v>
      </c>
      <c r="K123" s="2">
        <v>1295</v>
      </c>
      <c r="L123" s="2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</row>
    <row r="124" spans="1:35">
      <c r="A124" s="2">
        <v>137</v>
      </c>
      <c r="B124" s="2" t="s">
        <v>288</v>
      </c>
      <c r="C124" s="2">
        <v>1309</v>
      </c>
      <c r="D124" s="2" t="s">
        <v>289</v>
      </c>
      <c r="E124" s="2">
        <v>485717</v>
      </c>
      <c r="F124" s="2" t="s">
        <v>290</v>
      </c>
      <c r="G124" s="2" t="s">
        <v>291</v>
      </c>
      <c r="H124" s="2" t="s">
        <v>295</v>
      </c>
      <c r="I124" s="2" t="s">
        <v>297</v>
      </c>
      <c r="J124" s="2" t="s">
        <v>49</v>
      </c>
      <c r="K124" s="2">
        <v>1295</v>
      </c>
      <c r="L124" s="2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</row>
    <row r="125" spans="1:35">
      <c r="A125" s="2">
        <v>138</v>
      </c>
      <c r="B125" s="2" t="s">
        <v>288</v>
      </c>
      <c r="C125" s="2">
        <v>1309</v>
      </c>
      <c r="D125" s="2" t="s">
        <v>289</v>
      </c>
      <c r="E125" s="2">
        <v>485717</v>
      </c>
      <c r="F125" s="2" t="s">
        <v>290</v>
      </c>
      <c r="G125" s="2" t="s">
        <v>291</v>
      </c>
      <c r="H125" s="2" t="s">
        <v>298</v>
      </c>
      <c r="I125" s="2" t="s">
        <v>299</v>
      </c>
      <c r="J125" s="2" t="s">
        <v>95</v>
      </c>
      <c r="K125" s="2">
        <v>1295</v>
      </c>
      <c r="L125" s="2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</row>
    <row r="126" spans="1:35">
      <c r="A126" s="2">
        <v>139</v>
      </c>
      <c r="B126" s="2" t="s">
        <v>300</v>
      </c>
      <c r="C126" s="2">
        <v>241</v>
      </c>
      <c r="D126" s="2" t="s">
        <v>301</v>
      </c>
      <c r="E126" s="2">
        <v>350449</v>
      </c>
      <c r="F126" s="2">
        <v>9512366476</v>
      </c>
      <c r="G126" s="2" t="s">
        <v>302</v>
      </c>
      <c r="H126" s="2" t="s">
        <v>300</v>
      </c>
      <c r="I126" s="2" t="s">
        <v>303</v>
      </c>
      <c r="J126" s="2" t="s">
        <v>24</v>
      </c>
      <c r="K126" s="2">
        <v>1295</v>
      </c>
      <c r="L126" s="2" t="s">
        <v>304</v>
      </c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</row>
    <row r="127" spans="1:35">
      <c r="A127" s="2">
        <v>140</v>
      </c>
      <c r="B127" s="2" t="s">
        <v>248</v>
      </c>
      <c r="C127" s="2">
        <v>37</v>
      </c>
      <c r="D127" s="2" t="s">
        <v>249</v>
      </c>
      <c r="E127" s="2">
        <v>472135</v>
      </c>
      <c r="F127" s="2">
        <v>9254084873</v>
      </c>
      <c r="G127" s="2" t="s">
        <v>250</v>
      </c>
      <c r="H127" s="2" t="s">
        <v>251</v>
      </c>
      <c r="I127" s="2" t="s">
        <v>305</v>
      </c>
      <c r="J127" s="2" t="s">
        <v>16</v>
      </c>
      <c r="K127" s="2">
        <v>1295</v>
      </c>
      <c r="L127" s="2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</row>
    <row r="128" spans="1:35">
      <c r="A128" s="2">
        <v>141</v>
      </c>
      <c r="B128" s="2" t="s">
        <v>248</v>
      </c>
      <c r="C128" s="2">
        <v>37</v>
      </c>
      <c r="D128" s="2" t="s">
        <v>249</v>
      </c>
      <c r="E128" s="2">
        <v>472135</v>
      </c>
      <c r="F128" s="2">
        <v>9254084873</v>
      </c>
      <c r="G128" s="2" t="s">
        <v>250</v>
      </c>
      <c r="H128" s="2" t="s">
        <v>255</v>
      </c>
      <c r="I128" s="2" t="s">
        <v>305</v>
      </c>
      <c r="J128" s="2" t="s">
        <v>30</v>
      </c>
      <c r="K128" s="2">
        <v>1295</v>
      </c>
      <c r="L128" s="2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</row>
    <row r="129" spans="1:35">
      <c r="A129" s="2">
        <v>142</v>
      </c>
      <c r="B129" s="2" t="s">
        <v>288</v>
      </c>
      <c r="C129" s="2">
        <v>1309</v>
      </c>
      <c r="D129" s="2" t="s">
        <v>289</v>
      </c>
      <c r="E129" s="2">
        <v>485717</v>
      </c>
      <c r="F129" s="2" t="s">
        <v>290</v>
      </c>
      <c r="G129" s="2" t="s">
        <v>291</v>
      </c>
      <c r="H129" s="2" t="s">
        <v>292</v>
      </c>
      <c r="I129" s="2" t="s">
        <v>306</v>
      </c>
      <c r="J129" s="2" t="s">
        <v>43</v>
      </c>
      <c r="K129" s="2">
        <v>1295</v>
      </c>
      <c r="L129" s="2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</row>
    <row r="130" spans="1:35">
      <c r="A130" s="2">
        <v>143</v>
      </c>
      <c r="B130" s="2" t="s">
        <v>288</v>
      </c>
      <c r="C130" s="2">
        <v>1309</v>
      </c>
      <c r="D130" s="2" t="s">
        <v>289</v>
      </c>
      <c r="E130" s="2">
        <v>485717</v>
      </c>
      <c r="F130" s="2" t="s">
        <v>290</v>
      </c>
      <c r="G130" s="2" t="s">
        <v>291</v>
      </c>
      <c r="H130" s="2" t="s">
        <v>295</v>
      </c>
      <c r="I130" s="2" t="s">
        <v>307</v>
      </c>
      <c r="J130" s="2" t="s">
        <v>69</v>
      </c>
      <c r="K130" s="2">
        <v>1295</v>
      </c>
      <c r="L130" s="2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</row>
    <row r="131" spans="1:35">
      <c r="A131" s="2">
        <v>144</v>
      </c>
      <c r="B131" s="2" t="s">
        <v>288</v>
      </c>
      <c r="C131" s="2">
        <v>1309</v>
      </c>
      <c r="D131" s="2" t="s">
        <v>289</v>
      </c>
      <c r="E131" s="2">
        <v>485717</v>
      </c>
      <c r="F131" s="2" t="s">
        <v>290</v>
      </c>
      <c r="G131" s="2" t="s">
        <v>291</v>
      </c>
      <c r="H131" s="2" t="s">
        <v>308</v>
      </c>
      <c r="I131" s="2" t="s">
        <v>309</v>
      </c>
      <c r="J131" s="2" t="s">
        <v>69</v>
      </c>
      <c r="K131" s="2">
        <v>1295</v>
      </c>
      <c r="L131" s="2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</row>
    <row r="132" spans="1:35">
      <c r="A132" s="2">
        <v>145</v>
      </c>
      <c r="B132" s="2" t="s">
        <v>288</v>
      </c>
      <c r="C132" s="2">
        <v>1309</v>
      </c>
      <c r="D132" s="2" t="s">
        <v>289</v>
      </c>
      <c r="E132" s="2">
        <v>485717</v>
      </c>
      <c r="F132" s="2" t="s">
        <v>290</v>
      </c>
      <c r="G132" s="2" t="s">
        <v>291</v>
      </c>
      <c r="H132" s="2" t="s">
        <v>310</v>
      </c>
      <c r="I132" s="2" t="s">
        <v>311</v>
      </c>
      <c r="J132" s="2" t="s">
        <v>65</v>
      </c>
      <c r="K132" s="2">
        <v>1095</v>
      </c>
      <c r="L132" s="2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</row>
    <row r="133" spans="1:35">
      <c r="A133" s="2">
        <v>146</v>
      </c>
      <c r="B133" s="2" t="s">
        <v>288</v>
      </c>
      <c r="C133" s="2">
        <v>1309</v>
      </c>
      <c r="D133" s="2" t="s">
        <v>289</v>
      </c>
      <c r="E133" s="2">
        <v>485717</v>
      </c>
      <c r="F133" s="2" t="s">
        <v>290</v>
      </c>
      <c r="G133" s="2" t="s">
        <v>291</v>
      </c>
      <c r="H133" s="2" t="s">
        <v>310</v>
      </c>
      <c r="I133" s="2" t="s">
        <v>312</v>
      </c>
      <c r="J133" s="2" t="s">
        <v>254</v>
      </c>
      <c r="K133" s="2">
        <v>1095</v>
      </c>
      <c r="L133" s="2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</row>
    <row r="134" spans="1:35">
      <c r="A134" s="2">
        <v>147</v>
      </c>
      <c r="B134" s="2" t="s">
        <v>288</v>
      </c>
      <c r="C134" s="2">
        <v>1309</v>
      </c>
      <c r="D134" s="2" t="s">
        <v>289</v>
      </c>
      <c r="E134" s="2">
        <v>485717</v>
      </c>
      <c r="F134" s="2" t="s">
        <v>290</v>
      </c>
      <c r="G134" s="2" t="s">
        <v>291</v>
      </c>
      <c r="H134" s="2" t="s">
        <v>313</v>
      </c>
      <c r="I134" s="2" t="s">
        <v>314</v>
      </c>
      <c r="J134" s="2" t="s">
        <v>122</v>
      </c>
      <c r="K134" s="2">
        <v>1095</v>
      </c>
      <c r="L134" s="2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</row>
    <row r="135" spans="1:35">
      <c r="A135" s="2">
        <v>150</v>
      </c>
      <c r="B135" s="2" t="s">
        <v>315</v>
      </c>
      <c r="C135" s="2">
        <v>35521</v>
      </c>
      <c r="D135" s="2" t="s">
        <v>316</v>
      </c>
      <c r="E135" s="2">
        <v>452075</v>
      </c>
      <c r="F135" s="2">
        <v>3232361116</v>
      </c>
      <c r="G135" s="2" t="s">
        <v>317</v>
      </c>
      <c r="H135" s="2" t="s">
        <v>318</v>
      </c>
      <c r="I135" s="2" t="s">
        <v>319</v>
      </c>
      <c r="J135" s="2" t="s">
        <v>128</v>
      </c>
      <c r="K135" s="2">
        <v>1295</v>
      </c>
      <c r="L135" s="2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</row>
    <row r="136" spans="1:35">
      <c r="A136" s="2">
        <v>151</v>
      </c>
      <c r="B136" s="2" t="s">
        <v>315</v>
      </c>
      <c r="C136" s="2">
        <v>35521</v>
      </c>
      <c r="D136" s="2" t="s">
        <v>316</v>
      </c>
      <c r="E136" s="2">
        <v>452075</v>
      </c>
      <c r="F136" s="2">
        <v>3232361116</v>
      </c>
      <c r="G136" s="2" t="s">
        <v>317</v>
      </c>
      <c r="H136" s="2" t="s">
        <v>318</v>
      </c>
      <c r="I136" s="2" t="s">
        <v>319</v>
      </c>
      <c r="J136" s="2" t="s">
        <v>17</v>
      </c>
      <c r="K136" s="2">
        <v>1295</v>
      </c>
      <c r="L136" s="2" t="s">
        <v>320</v>
      </c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</row>
    <row r="137" spans="1:35">
      <c r="A137" s="2">
        <v>152</v>
      </c>
      <c r="B137" s="2" t="s">
        <v>321</v>
      </c>
      <c r="C137" s="2">
        <v>892</v>
      </c>
      <c r="D137" s="2" t="s">
        <v>322</v>
      </c>
      <c r="E137" s="2">
        <v>44</v>
      </c>
      <c r="F137" s="2" t="s">
        <v>323</v>
      </c>
      <c r="G137" s="2" t="s">
        <v>324</v>
      </c>
      <c r="H137" s="2" t="s">
        <v>321</v>
      </c>
      <c r="I137" s="2" t="s">
        <v>325</v>
      </c>
      <c r="J137" s="2" t="s">
        <v>219</v>
      </c>
      <c r="K137" s="2">
        <v>1295</v>
      </c>
      <c r="L137" s="2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</row>
    <row r="138" spans="1:35">
      <c r="A138" s="2">
        <v>153</v>
      </c>
      <c r="B138" s="2" t="s">
        <v>321</v>
      </c>
      <c r="C138" s="2">
        <v>892</v>
      </c>
      <c r="D138" s="2" t="s">
        <v>322</v>
      </c>
      <c r="E138" s="2">
        <v>44</v>
      </c>
      <c r="F138" s="2" t="s">
        <v>323</v>
      </c>
      <c r="G138" s="2" t="s">
        <v>324</v>
      </c>
      <c r="H138" s="2" t="s">
        <v>321</v>
      </c>
      <c r="I138" s="2" t="s">
        <v>325</v>
      </c>
      <c r="J138" s="2" t="s">
        <v>53</v>
      </c>
      <c r="K138" s="2">
        <v>1295</v>
      </c>
      <c r="L138" s="2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</row>
    <row r="139" spans="1:35">
      <c r="A139" s="2">
        <v>154</v>
      </c>
      <c r="B139" s="2" t="s">
        <v>321</v>
      </c>
      <c r="C139" s="2">
        <v>892</v>
      </c>
      <c r="D139" s="2" t="s">
        <v>322</v>
      </c>
      <c r="E139" s="2">
        <v>44</v>
      </c>
      <c r="F139" s="2" t="s">
        <v>323</v>
      </c>
      <c r="G139" s="2" t="s">
        <v>324</v>
      </c>
      <c r="H139" s="2" t="s">
        <v>321</v>
      </c>
      <c r="I139" s="2" t="s">
        <v>326</v>
      </c>
      <c r="J139" s="2" t="s">
        <v>49</v>
      </c>
      <c r="K139" s="2">
        <v>1295</v>
      </c>
      <c r="L139" s="2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</row>
    <row r="140" spans="1:35">
      <c r="A140" s="2">
        <v>155</v>
      </c>
      <c r="B140" s="2" t="s">
        <v>327</v>
      </c>
      <c r="C140" s="2">
        <v>17818</v>
      </c>
      <c r="D140" s="2" t="s">
        <v>328</v>
      </c>
      <c r="E140" s="2">
        <v>330942</v>
      </c>
      <c r="F140" s="2">
        <v>9499393169</v>
      </c>
      <c r="G140" s="2" t="s">
        <v>329</v>
      </c>
      <c r="H140" s="2" t="s">
        <v>330</v>
      </c>
      <c r="I140" s="2" t="s">
        <v>331</v>
      </c>
      <c r="J140" s="2" t="s">
        <v>122</v>
      </c>
      <c r="K140" s="2">
        <v>1095</v>
      </c>
      <c r="L140" s="2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</row>
    <row r="141" spans="1:35">
      <c r="A141" s="2">
        <v>156</v>
      </c>
      <c r="B141" s="2" t="s">
        <v>327</v>
      </c>
      <c r="C141" s="2">
        <v>17818</v>
      </c>
      <c r="D141" s="2" t="s">
        <v>328</v>
      </c>
      <c r="E141" s="2">
        <v>330942</v>
      </c>
      <c r="F141" s="2">
        <v>9499393169</v>
      </c>
      <c r="G141" s="2" t="s">
        <v>329</v>
      </c>
      <c r="H141" s="2" t="s">
        <v>332</v>
      </c>
      <c r="I141" s="2" t="s">
        <v>328</v>
      </c>
      <c r="J141" s="2" t="s">
        <v>37</v>
      </c>
      <c r="K141" s="2">
        <v>1095</v>
      </c>
      <c r="L141" s="2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</row>
    <row r="142" spans="1:35">
      <c r="A142" s="2">
        <v>157</v>
      </c>
      <c r="B142" s="2" t="s">
        <v>327</v>
      </c>
      <c r="C142" s="2">
        <v>17818</v>
      </c>
      <c r="D142" s="2" t="s">
        <v>328</v>
      </c>
      <c r="E142" s="2">
        <v>330942</v>
      </c>
      <c r="F142" s="2">
        <v>9499393169</v>
      </c>
      <c r="G142" s="2" t="s">
        <v>329</v>
      </c>
      <c r="H142" s="2" t="s">
        <v>333</v>
      </c>
      <c r="I142" s="2" t="s">
        <v>328</v>
      </c>
      <c r="J142" s="2" t="s">
        <v>69</v>
      </c>
      <c r="K142" s="2">
        <v>1295</v>
      </c>
      <c r="L142" s="2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</row>
    <row r="143" spans="1:35">
      <c r="A143" s="2">
        <v>158</v>
      </c>
      <c r="B143" s="2" t="s">
        <v>327</v>
      </c>
      <c r="C143" s="2">
        <v>17818</v>
      </c>
      <c r="D143" s="2" t="s">
        <v>328</v>
      </c>
      <c r="E143" s="2">
        <v>330942</v>
      </c>
      <c r="F143" s="2">
        <v>9499393169</v>
      </c>
      <c r="G143" s="2" t="s">
        <v>329</v>
      </c>
      <c r="H143" s="2" t="s">
        <v>334</v>
      </c>
      <c r="I143" s="2" t="s">
        <v>328</v>
      </c>
      <c r="J143" s="2" t="s">
        <v>72</v>
      </c>
      <c r="K143" s="2">
        <v>1295</v>
      </c>
      <c r="L143" s="2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</row>
    <row r="144" spans="1:35">
      <c r="A144" s="2">
        <v>159</v>
      </c>
      <c r="B144" s="2" t="s">
        <v>327</v>
      </c>
      <c r="C144" s="2">
        <v>17818</v>
      </c>
      <c r="D144" s="2" t="s">
        <v>328</v>
      </c>
      <c r="E144" s="2">
        <v>330942</v>
      </c>
      <c r="F144" s="2">
        <v>9499393169</v>
      </c>
      <c r="G144" s="2" t="s">
        <v>329</v>
      </c>
      <c r="H144" s="2" t="s">
        <v>335</v>
      </c>
      <c r="I144" s="2" t="s">
        <v>328</v>
      </c>
      <c r="J144" s="2" t="s">
        <v>17</v>
      </c>
      <c r="K144" s="2">
        <v>1295</v>
      </c>
      <c r="L144" s="2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</row>
    <row r="145" spans="1:35">
      <c r="A145" s="2">
        <v>160</v>
      </c>
      <c r="B145" s="2" t="s">
        <v>327</v>
      </c>
      <c r="C145" s="2">
        <v>17818</v>
      </c>
      <c r="D145" s="2" t="s">
        <v>328</v>
      </c>
      <c r="E145" s="2">
        <v>330942</v>
      </c>
      <c r="F145" s="2">
        <v>9499393169</v>
      </c>
      <c r="G145" s="2" t="s">
        <v>329</v>
      </c>
      <c r="H145" s="2" t="s">
        <v>336</v>
      </c>
      <c r="I145" s="2" t="s">
        <v>328</v>
      </c>
      <c r="J145" s="2" t="s">
        <v>84</v>
      </c>
      <c r="K145" s="2">
        <v>1295</v>
      </c>
      <c r="L145" s="2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</row>
    <row r="146" spans="1:35">
      <c r="A146" s="2">
        <v>161</v>
      </c>
      <c r="B146" s="2" t="s">
        <v>337</v>
      </c>
      <c r="C146" s="2">
        <v>16541</v>
      </c>
      <c r="D146" s="2" t="s">
        <v>338</v>
      </c>
      <c r="E146" s="2">
        <v>739174</v>
      </c>
      <c r="F146" s="2">
        <v>7145952247</v>
      </c>
      <c r="G146" s="2" t="s">
        <v>339</v>
      </c>
      <c r="H146" s="2" t="s">
        <v>340</v>
      </c>
      <c r="I146" s="2" t="s">
        <v>341</v>
      </c>
      <c r="J146" s="2" t="s">
        <v>30</v>
      </c>
      <c r="K146" s="2">
        <v>1295</v>
      </c>
      <c r="L146" s="2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</row>
    <row r="147" spans="1:35">
      <c r="A147" s="2">
        <v>162</v>
      </c>
      <c r="B147" s="2" t="s">
        <v>337</v>
      </c>
      <c r="C147" s="2">
        <v>16541</v>
      </c>
      <c r="D147" s="2" t="s">
        <v>338</v>
      </c>
      <c r="E147" s="2">
        <v>739174</v>
      </c>
      <c r="F147" s="2">
        <v>7145952247</v>
      </c>
      <c r="G147" s="2" t="s">
        <v>339</v>
      </c>
      <c r="H147" s="2" t="s">
        <v>342</v>
      </c>
      <c r="I147" s="2" t="s">
        <v>341</v>
      </c>
      <c r="J147" s="2" t="s">
        <v>53</v>
      </c>
      <c r="K147" s="2">
        <v>1295</v>
      </c>
      <c r="L147" s="2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</row>
    <row r="148" spans="1:35">
      <c r="A148" s="2">
        <v>163</v>
      </c>
      <c r="B148" s="2" t="s">
        <v>337</v>
      </c>
      <c r="C148" s="2">
        <v>16541</v>
      </c>
      <c r="D148" s="2" t="s">
        <v>338</v>
      </c>
      <c r="E148" s="2">
        <v>739174</v>
      </c>
      <c r="F148" s="2">
        <v>7145952247</v>
      </c>
      <c r="G148" s="2" t="s">
        <v>339</v>
      </c>
      <c r="H148" s="2" t="s">
        <v>343</v>
      </c>
      <c r="I148" s="2" t="s">
        <v>341</v>
      </c>
      <c r="J148" s="2" t="s">
        <v>49</v>
      </c>
      <c r="K148" s="2">
        <v>1295</v>
      </c>
      <c r="L148" s="2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</row>
    <row r="149" spans="1:35">
      <c r="A149" s="2">
        <v>164</v>
      </c>
      <c r="B149" s="2" t="s">
        <v>288</v>
      </c>
      <c r="C149" s="2">
        <v>1309</v>
      </c>
      <c r="D149" s="2" t="s">
        <v>289</v>
      </c>
      <c r="E149" s="2">
        <v>485717</v>
      </c>
      <c r="F149" s="2" t="s">
        <v>290</v>
      </c>
      <c r="G149" s="2" t="s">
        <v>291</v>
      </c>
      <c r="H149" s="2" t="s">
        <v>308</v>
      </c>
      <c r="I149" s="2" t="s">
        <v>344</v>
      </c>
      <c r="J149" s="2" t="s">
        <v>37</v>
      </c>
      <c r="K149" s="2">
        <v>1095</v>
      </c>
      <c r="L149" s="2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</row>
    <row r="150" spans="1:35" ht="15" customHeight="1">
      <c r="A150" s="2">
        <v>165</v>
      </c>
      <c r="B150" s="2" t="s">
        <v>345</v>
      </c>
      <c r="C150" s="2">
        <v>473</v>
      </c>
      <c r="D150" s="2" t="s">
        <v>346</v>
      </c>
      <c r="E150" s="2">
        <v>6898</v>
      </c>
      <c r="F150" s="2">
        <v>4153206222</v>
      </c>
      <c r="G150" s="2" t="s">
        <v>347</v>
      </c>
      <c r="H150" s="2" t="s">
        <v>345</v>
      </c>
      <c r="I150" s="2" t="s">
        <v>348</v>
      </c>
      <c r="J150" s="2" t="s">
        <v>84</v>
      </c>
      <c r="K150" s="2">
        <v>1295</v>
      </c>
      <c r="L150" s="2" t="s">
        <v>349</v>
      </c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</row>
    <row r="151" spans="1:35">
      <c r="A151" s="2">
        <v>166</v>
      </c>
      <c r="B151" s="2" t="s">
        <v>345</v>
      </c>
      <c r="C151" s="2">
        <v>473</v>
      </c>
      <c r="D151" s="2" t="s">
        <v>346</v>
      </c>
      <c r="E151" s="2">
        <v>6898</v>
      </c>
      <c r="F151" s="2">
        <v>4153206222</v>
      </c>
      <c r="G151" s="2" t="s">
        <v>347</v>
      </c>
      <c r="H151" s="2" t="s">
        <v>345</v>
      </c>
      <c r="I151" s="2" t="s">
        <v>348</v>
      </c>
      <c r="J151" s="2" t="s">
        <v>69</v>
      </c>
      <c r="K151" s="2">
        <v>1295</v>
      </c>
      <c r="L151" s="2" t="s">
        <v>349</v>
      </c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</row>
    <row r="152" spans="1:35">
      <c r="A152" s="2">
        <v>167</v>
      </c>
      <c r="B152" s="2" t="s">
        <v>350</v>
      </c>
      <c r="C152" s="2">
        <v>1807</v>
      </c>
      <c r="D152" s="2" t="s">
        <v>351</v>
      </c>
      <c r="E152" s="2">
        <v>519009</v>
      </c>
      <c r="F152" s="2" t="s">
        <v>352</v>
      </c>
      <c r="G152" s="2" t="s">
        <v>353</v>
      </c>
      <c r="H152" s="2" t="s">
        <v>350</v>
      </c>
      <c r="I152" s="2" t="s">
        <v>354</v>
      </c>
      <c r="J152" s="2" t="s">
        <v>49</v>
      </c>
      <c r="K152" s="2">
        <v>1295</v>
      </c>
      <c r="L152" s="2" t="s">
        <v>355</v>
      </c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</row>
    <row r="153" spans="1:35">
      <c r="A153" s="2">
        <v>168</v>
      </c>
      <c r="B153" s="2" t="s">
        <v>356</v>
      </c>
      <c r="C153" s="2">
        <v>17185</v>
      </c>
      <c r="D153" s="2" t="s">
        <v>357</v>
      </c>
      <c r="E153" s="2">
        <v>437391</v>
      </c>
      <c r="F153" s="2">
        <v>5622250653</v>
      </c>
      <c r="G153" s="2" t="s">
        <v>358</v>
      </c>
      <c r="H153" s="2" t="s">
        <v>359</v>
      </c>
      <c r="I153" s="2" t="s">
        <v>360</v>
      </c>
      <c r="J153" s="2" t="s">
        <v>24</v>
      </c>
      <c r="K153" s="2">
        <v>1295</v>
      </c>
      <c r="L153" s="2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</row>
    <row r="154" spans="1:35">
      <c r="A154" s="2">
        <v>169</v>
      </c>
      <c r="B154" s="2" t="s">
        <v>356</v>
      </c>
      <c r="C154" s="2">
        <v>17185</v>
      </c>
      <c r="D154" s="2" t="s">
        <v>357</v>
      </c>
      <c r="E154" s="2">
        <v>437391</v>
      </c>
      <c r="F154" s="2">
        <v>5622250653</v>
      </c>
      <c r="G154" s="2" t="s">
        <v>358</v>
      </c>
      <c r="H154" s="2" t="s">
        <v>361</v>
      </c>
      <c r="I154" s="2" t="s">
        <v>357</v>
      </c>
      <c r="J154" s="2" t="s">
        <v>84</v>
      </c>
      <c r="K154" s="2">
        <v>1295</v>
      </c>
      <c r="L154" s="2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</row>
    <row r="155" spans="1:35">
      <c r="A155" s="2">
        <v>170</v>
      </c>
      <c r="B155" s="2" t="s">
        <v>356</v>
      </c>
      <c r="C155" s="2">
        <v>17185</v>
      </c>
      <c r="D155" s="2" t="s">
        <v>357</v>
      </c>
      <c r="E155" s="2">
        <v>437391</v>
      </c>
      <c r="F155" s="2">
        <v>5622250653</v>
      </c>
      <c r="G155" s="2" t="s">
        <v>358</v>
      </c>
      <c r="H155" s="2" t="s">
        <v>359</v>
      </c>
      <c r="I155" s="2" t="s">
        <v>357</v>
      </c>
      <c r="J155" s="2" t="s">
        <v>16</v>
      </c>
      <c r="K155" s="2">
        <v>1295</v>
      </c>
      <c r="L155" s="2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</row>
    <row r="156" spans="1:35">
      <c r="A156" s="2">
        <v>171</v>
      </c>
      <c r="B156" s="2" t="s">
        <v>356</v>
      </c>
      <c r="C156" s="2">
        <v>17185</v>
      </c>
      <c r="D156" s="2" t="s">
        <v>357</v>
      </c>
      <c r="E156" s="2">
        <v>437391</v>
      </c>
      <c r="F156" s="2">
        <v>5622250653</v>
      </c>
      <c r="G156" s="2" t="s">
        <v>358</v>
      </c>
      <c r="H156" s="2" t="s">
        <v>361</v>
      </c>
      <c r="I156" s="2" t="s">
        <v>357</v>
      </c>
      <c r="J156" s="2" t="s">
        <v>30</v>
      </c>
      <c r="K156" s="2">
        <v>1295</v>
      </c>
      <c r="L156" s="2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</row>
    <row r="157" spans="1:35">
      <c r="A157" s="2">
        <v>172</v>
      </c>
      <c r="B157" s="2" t="s">
        <v>356</v>
      </c>
      <c r="C157" s="2">
        <v>17185</v>
      </c>
      <c r="D157" s="2" t="s">
        <v>357</v>
      </c>
      <c r="E157" s="2">
        <v>437391</v>
      </c>
      <c r="F157" s="2">
        <v>5622250653</v>
      </c>
      <c r="G157" s="2" t="s">
        <v>358</v>
      </c>
      <c r="H157" s="2" t="s">
        <v>359</v>
      </c>
      <c r="I157" s="2" t="s">
        <v>357</v>
      </c>
      <c r="J157" s="2" t="s">
        <v>72</v>
      </c>
      <c r="K157" s="2">
        <v>1295</v>
      </c>
      <c r="L157" s="2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</row>
    <row r="158" spans="1:35">
      <c r="A158" s="2">
        <v>173</v>
      </c>
      <c r="B158" s="2" t="s">
        <v>356</v>
      </c>
      <c r="C158" s="2">
        <v>17185</v>
      </c>
      <c r="D158" s="2" t="s">
        <v>357</v>
      </c>
      <c r="E158" s="2">
        <v>437391</v>
      </c>
      <c r="F158" s="2">
        <v>5622250653</v>
      </c>
      <c r="G158" s="2" t="s">
        <v>358</v>
      </c>
      <c r="H158" s="2" t="s">
        <v>361</v>
      </c>
      <c r="I158" s="2" t="s">
        <v>357</v>
      </c>
      <c r="J158" s="2" t="s">
        <v>49</v>
      </c>
      <c r="K158" s="2">
        <v>1295</v>
      </c>
      <c r="L158" s="2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</row>
    <row r="159" spans="1:35">
      <c r="A159" s="2">
        <v>174</v>
      </c>
      <c r="B159" s="2" t="s">
        <v>362</v>
      </c>
      <c r="C159" s="2">
        <v>23572</v>
      </c>
      <c r="D159" s="2" t="s">
        <v>363</v>
      </c>
      <c r="E159" s="2">
        <v>473607</v>
      </c>
      <c r="F159" s="2">
        <v>9492269534</v>
      </c>
      <c r="G159" s="2" t="s">
        <v>364</v>
      </c>
      <c r="H159" s="2" t="s">
        <v>365</v>
      </c>
      <c r="I159" s="2" t="s">
        <v>366</v>
      </c>
      <c r="J159" s="2" t="s">
        <v>72</v>
      </c>
      <c r="K159" s="2">
        <v>1295</v>
      </c>
      <c r="L159" s="2" t="s">
        <v>367</v>
      </c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</row>
    <row r="160" spans="1:35">
      <c r="A160" s="2">
        <v>175</v>
      </c>
      <c r="B160" s="2" t="s">
        <v>362</v>
      </c>
      <c r="C160" s="2">
        <v>23572</v>
      </c>
      <c r="D160" s="2" t="s">
        <v>363</v>
      </c>
      <c r="E160" s="2">
        <v>473607</v>
      </c>
      <c r="F160" s="2">
        <v>9492269534</v>
      </c>
      <c r="G160" s="2" t="s">
        <v>364</v>
      </c>
      <c r="H160" s="2" t="s">
        <v>368</v>
      </c>
      <c r="I160" s="2" t="s">
        <v>366</v>
      </c>
      <c r="J160" s="2" t="s">
        <v>49</v>
      </c>
      <c r="K160" s="2">
        <v>1295</v>
      </c>
      <c r="L160" s="2" t="s">
        <v>367</v>
      </c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</row>
    <row r="161" spans="1:35">
      <c r="A161" s="2">
        <v>176</v>
      </c>
      <c r="B161" s="2" t="s">
        <v>362</v>
      </c>
      <c r="C161" s="2">
        <v>23572</v>
      </c>
      <c r="D161" s="2" t="s">
        <v>363</v>
      </c>
      <c r="E161" s="2">
        <v>473607</v>
      </c>
      <c r="F161" s="2">
        <v>9492269534</v>
      </c>
      <c r="G161" s="2" t="s">
        <v>364</v>
      </c>
      <c r="H161" s="2" t="s">
        <v>369</v>
      </c>
      <c r="I161" s="2" t="s">
        <v>370</v>
      </c>
      <c r="J161" s="2" t="s">
        <v>69</v>
      </c>
      <c r="K161" s="2">
        <v>1295</v>
      </c>
      <c r="L161" s="2" t="s">
        <v>367</v>
      </c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</row>
    <row r="162" spans="1:35">
      <c r="A162" s="2">
        <v>177</v>
      </c>
      <c r="B162" s="2" t="s">
        <v>362</v>
      </c>
      <c r="C162" s="2">
        <v>23572</v>
      </c>
      <c r="D162" s="2" t="s">
        <v>363</v>
      </c>
      <c r="E162" s="2">
        <v>473607</v>
      </c>
      <c r="F162" s="2">
        <v>9492269534</v>
      </c>
      <c r="G162" s="2" t="s">
        <v>364</v>
      </c>
      <c r="H162" s="2" t="s">
        <v>371</v>
      </c>
      <c r="I162" s="2" t="s">
        <v>370</v>
      </c>
      <c r="J162" s="2" t="s">
        <v>122</v>
      </c>
      <c r="K162" s="2">
        <v>1095</v>
      </c>
      <c r="L162" s="2" t="s">
        <v>367</v>
      </c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</row>
    <row r="163" spans="1:35">
      <c r="A163" s="2">
        <v>178</v>
      </c>
      <c r="B163" s="2" t="s">
        <v>362</v>
      </c>
      <c r="C163" s="2">
        <v>23572</v>
      </c>
      <c r="D163" s="2" t="s">
        <v>363</v>
      </c>
      <c r="E163" s="2">
        <v>473607</v>
      </c>
      <c r="F163" s="2">
        <v>9492269534</v>
      </c>
      <c r="G163" s="2" t="s">
        <v>364</v>
      </c>
      <c r="H163" s="2" t="s">
        <v>372</v>
      </c>
      <c r="I163" s="2" t="s">
        <v>370</v>
      </c>
      <c r="J163" s="2" t="s">
        <v>37</v>
      </c>
      <c r="K163" s="2">
        <v>1095</v>
      </c>
      <c r="L163" s="2" t="s">
        <v>367</v>
      </c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</row>
    <row r="164" spans="1:35">
      <c r="A164" s="2">
        <v>179</v>
      </c>
      <c r="B164" s="2" t="s">
        <v>373</v>
      </c>
      <c r="C164" s="2">
        <v>22230</v>
      </c>
      <c r="D164" s="2" t="s">
        <v>374</v>
      </c>
      <c r="E164" s="2">
        <v>418899</v>
      </c>
      <c r="F164" s="2">
        <v>6262420201</v>
      </c>
      <c r="G164" s="2" t="s">
        <v>375</v>
      </c>
      <c r="H164" s="2" t="s">
        <v>376</v>
      </c>
      <c r="I164" s="2" t="s">
        <v>377</v>
      </c>
      <c r="J164" s="2" t="s">
        <v>72</v>
      </c>
      <c r="K164" s="2">
        <v>1295</v>
      </c>
      <c r="L164" s="2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</row>
    <row r="165" spans="1:35">
      <c r="A165" s="2">
        <v>180</v>
      </c>
      <c r="B165" s="2" t="s">
        <v>373</v>
      </c>
      <c r="C165" s="2">
        <v>22230</v>
      </c>
      <c r="D165" s="2" t="s">
        <v>374</v>
      </c>
      <c r="E165" s="2">
        <v>418899</v>
      </c>
      <c r="F165" s="2">
        <v>6262420201</v>
      </c>
      <c r="G165" s="2" t="s">
        <v>375</v>
      </c>
      <c r="H165" s="2" t="s">
        <v>378</v>
      </c>
      <c r="I165" s="2" t="s">
        <v>379</v>
      </c>
      <c r="J165" s="2" t="s">
        <v>65</v>
      </c>
      <c r="K165" s="2">
        <v>1095</v>
      </c>
      <c r="L165" s="2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</row>
    <row r="166" spans="1:35">
      <c r="A166" s="2">
        <v>181</v>
      </c>
      <c r="B166" s="2" t="s">
        <v>380</v>
      </c>
      <c r="C166" s="2">
        <v>35051</v>
      </c>
      <c r="D166" s="2" t="s">
        <v>381</v>
      </c>
      <c r="E166" s="2">
        <v>518645</v>
      </c>
      <c r="F166" s="2">
        <v>9098313893</v>
      </c>
      <c r="G166" s="2" t="s">
        <v>382</v>
      </c>
      <c r="H166" s="2" t="s">
        <v>383</v>
      </c>
      <c r="I166" s="2" t="s">
        <v>384</v>
      </c>
      <c r="J166" s="2" t="s">
        <v>24</v>
      </c>
      <c r="K166" s="2">
        <v>1295</v>
      </c>
      <c r="L166" s="2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</row>
    <row r="167" spans="1:35">
      <c r="A167" s="2">
        <v>182</v>
      </c>
      <c r="B167" s="2" t="s">
        <v>380</v>
      </c>
      <c r="C167" s="2">
        <v>35051</v>
      </c>
      <c r="D167" s="2" t="s">
        <v>381</v>
      </c>
      <c r="E167" s="2">
        <v>518645</v>
      </c>
      <c r="F167" s="2">
        <v>9098313893</v>
      </c>
      <c r="G167" s="2" t="s">
        <v>382</v>
      </c>
      <c r="H167" s="2" t="s">
        <v>383</v>
      </c>
      <c r="I167" s="2" t="s">
        <v>384</v>
      </c>
      <c r="J167" s="2" t="s">
        <v>16</v>
      </c>
      <c r="K167" s="2">
        <v>1295</v>
      </c>
      <c r="L167" s="2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</row>
    <row r="168" spans="1:35">
      <c r="A168" s="2">
        <v>183</v>
      </c>
      <c r="B168" s="2" t="s">
        <v>380</v>
      </c>
      <c r="C168" s="2">
        <v>35051</v>
      </c>
      <c r="D168" s="2" t="s">
        <v>381</v>
      </c>
      <c r="E168" s="2">
        <v>518645</v>
      </c>
      <c r="F168" s="2">
        <v>9098313893</v>
      </c>
      <c r="G168" s="2" t="s">
        <v>382</v>
      </c>
      <c r="H168" s="2" t="s">
        <v>383</v>
      </c>
      <c r="I168" s="2"/>
      <c r="J168" s="2" t="s">
        <v>17</v>
      </c>
      <c r="K168" s="2">
        <v>1295</v>
      </c>
      <c r="L168" s="2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</row>
    <row r="169" spans="1:35">
      <c r="A169" s="2">
        <v>184</v>
      </c>
      <c r="B169" s="2" t="s">
        <v>385</v>
      </c>
      <c r="C169" s="2">
        <v>1654</v>
      </c>
      <c r="D169" s="2" t="s">
        <v>386</v>
      </c>
      <c r="E169" s="2">
        <v>627958</v>
      </c>
      <c r="F169" s="2">
        <v>6198867379</v>
      </c>
      <c r="G169" s="2" t="s">
        <v>387</v>
      </c>
      <c r="H169" s="2" t="s">
        <v>388</v>
      </c>
      <c r="I169" s="2" t="s">
        <v>389</v>
      </c>
      <c r="J169" s="2" t="s">
        <v>24</v>
      </c>
      <c r="K169" s="2">
        <v>1295</v>
      </c>
      <c r="L169" s="2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</row>
    <row r="170" spans="1:35">
      <c r="A170" s="2">
        <v>185</v>
      </c>
      <c r="B170" s="2" t="s">
        <v>385</v>
      </c>
      <c r="C170" s="2">
        <v>1654</v>
      </c>
      <c r="D170" s="2" t="s">
        <v>386</v>
      </c>
      <c r="E170" s="2">
        <v>627958</v>
      </c>
      <c r="F170" s="2">
        <v>6198867379</v>
      </c>
      <c r="G170" s="2" t="s">
        <v>387</v>
      </c>
      <c r="H170" s="2" t="s">
        <v>390</v>
      </c>
      <c r="I170" s="2"/>
      <c r="J170" s="2" t="s">
        <v>84</v>
      </c>
      <c r="K170" s="2">
        <v>1295</v>
      </c>
      <c r="L170" s="2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</row>
    <row r="171" spans="1:35">
      <c r="A171" s="2">
        <v>186</v>
      </c>
      <c r="B171" s="2" t="s">
        <v>385</v>
      </c>
      <c r="C171" s="2">
        <v>1654</v>
      </c>
      <c r="D171" s="2" t="s">
        <v>386</v>
      </c>
      <c r="E171" s="2">
        <v>627958</v>
      </c>
      <c r="F171" s="2">
        <v>6198867379</v>
      </c>
      <c r="G171" s="2" t="s">
        <v>387</v>
      </c>
      <c r="H171" s="2" t="s">
        <v>391</v>
      </c>
      <c r="I171" s="2"/>
      <c r="J171" s="2" t="s">
        <v>24</v>
      </c>
      <c r="K171" s="2">
        <v>1295</v>
      </c>
      <c r="L171" s="2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</row>
    <row r="172" spans="1:35">
      <c r="A172" s="2">
        <v>187</v>
      </c>
      <c r="B172" s="2" t="s">
        <v>385</v>
      </c>
      <c r="C172" s="2">
        <v>1654</v>
      </c>
      <c r="D172" s="2" t="s">
        <v>386</v>
      </c>
      <c r="E172" s="2">
        <v>627958</v>
      </c>
      <c r="F172" s="2">
        <v>6198867379</v>
      </c>
      <c r="G172" s="2" t="s">
        <v>387</v>
      </c>
      <c r="H172" s="2" t="s">
        <v>392</v>
      </c>
      <c r="I172" s="2"/>
      <c r="J172" s="2" t="s">
        <v>16</v>
      </c>
      <c r="K172" s="2">
        <v>1295</v>
      </c>
      <c r="L172" s="2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</row>
    <row r="173" spans="1:35">
      <c r="A173" s="2">
        <v>188</v>
      </c>
      <c r="B173" s="2" t="s">
        <v>385</v>
      </c>
      <c r="C173" s="2">
        <v>1654</v>
      </c>
      <c r="D173" s="2" t="s">
        <v>386</v>
      </c>
      <c r="E173" s="2">
        <v>627958</v>
      </c>
      <c r="F173" s="2">
        <v>6198867379</v>
      </c>
      <c r="G173" s="2" t="s">
        <v>387</v>
      </c>
      <c r="H173" s="2" t="s">
        <v>393</v>
      </c>
      <c r="I173" s="2"/>
      <c r="J173" s="2" t="s">
        <v>30</v>
      </c>
      <c r="K173" s="2">
        <v>1295</v>
      </c>
      <c r="L173" s="2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</row>
    <row r="174" spans="1:35">
      <c r="A174" s="2">
        <v>189</v>
      </c>
      <c r="B174" s="2" t="s">
        <v>385</v>
      </c>
      <c r="C174" s="2">
        <v>1654</v>
      </c>
      <c r="D174" s="2" t="s">
        <v>386</v>
      </c>
      <c r="E174" s="2">
        <v>627958</v>
      </c>
      <c r="F174" s="2">
        <v>6198867379</v>
      </c>
      <c r="G174" s="2" t="s">
        <v>387</v>
      </c>
      <c r="H174" s="2" t="s">
        <v>394</v>
      </c>
      <c r="I174" s="2"/>
      <c r="J174" s="2" t="s">
        <v>53</v>
      </c>
      <c r="K174" s="2">
        <v>1295</v>
      </c>
      <c r="L174" s="2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</row>
    <row r="175" spans="1:35">
      <c r="A175" s="2">
        <v>190</v>
      </c>
      <c r="B175" s="2" t="s">
        <v>395</v>
      </c>
      <c r="C175" s="2">
        <v>35446</v>
      </c>
      <c r="D175" s="2" t="s">
        <v>396</v>
      </c>
      <c r="E175" s="2">
        <v>469327</v>
      </c>
      <c r="F175" s="2">
        <v>6505324497</v>
      </c>
      <c r="G175" s="2" t="s">
        <v>397</v>
      </c>
      <c r="H175" s="2" t="s">
        <v>398</v>
      </c>
      <c r="I175" s="2" t="s">
        <v>399</v>
      </c>
      <c r="J175" s="2" t="s">
        <v>69</v>
      </c>
      <c r="K175" s="2">
        <v>1295</v>
      </c>
      <c r="L175" s="2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</row>
    <row r="176" spans="1:35">
      <c r="A176" s="2">
        <v>191</v>
      </c>
      <c r="B176" s="2" t="s">
        <v>400</v>
      </c>
      <c r="C176" s="2">
        <v>33664</v>
      </c>
      <c r="D176" s="2" t="s">
        <v>401</v>
      </c>
      <c r="E176" s="2">
        <v>456088</v>
      </c>
      <c r="F176" s="2">
        <v>7144678332</v>
      </c>
      <c r="G176" s="2" t="s">
        <v>402</v>
      </c>
      <c r="H176" s="2" t="s">
        <v>403</v>
      </c>
      <c r="I176" s="2" t="s">
        <v>404</v>
      </c>
      <c r="J176" s="2" t="s">
        <v>219</v>
      </c>
      <c r="K176" s="2">
        <v>1295</v>
      </c>
      <c r="L176" s="2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</row>
    <row r="177" spans="1:35">
      <c r="A177" s="2">
        <v>192</v>
      </c>
      <c r="B177" s="2" t="s">
        <v>405</v>
      </c>
      <c r="C177" s="2">
        <v>1344</v>
      </c>
      <c r="D177" s="2" t="s">
        <v>406</v>
      </c>
      <c r="E177" s="2">
        <v>458273</v>
      </c>
      <c r="F177" s="2" t="s">
        <v>407</v>
      </c>
      <c r="G177" s="2" t="s">
        <v>408</v>
      </c>
      <c r="H177" s="2" t="s">
        <v>409</v>
      </c>
      <c r="I177" s="2" t="s">
        <v>410</v>
      </c>
      <c r="J177" s="2" t="s">
        <v>43</v>
      </c>
      <c r="K177" s="2">
        <v>1295</v>
      </c>
      <c r="L177" s="2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</row>
    <row r="178" spans="1:35">
      <c r="A178" s="2">
        <v>193</v>
      </c>
      <c r="B178" s="2" t="s">
        <v>327</v>
      </c>
      <c r="C178" s="2">
        <v>17818</v>
      </c>
      <c r="D178" s="2" t="s">
        <v>328</v>
      </c>
      <c r="E178" s="2">
        <v>330942</v>
      </c>
      <c r="F178" s="2">
        <v>9499393169</v>
      </c>
      <c r="G178" s="2" t="s">
        <v>329</v>
      </c>
      <c r="H178" s="2" t="s">
        <v>411</v>
      </c>
      <c r="I178" s="2" t="s">
        <v>328</v>
      </c>
      <c r="J178" s="2" t="s">
        <v>30</v>
      </c>
      <c r="K178" s="2">
        <v>1295</v>
      </c>
      <c r="L178" s="2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</row>
    <row r="179" spans="1:35">
      <c r="A179" s="2">
        <v>194</v>
      </c>
      <c r="B179" s="2" t="s">
        <v>412</v>
      </c>
      <c r="C179" s="2">
        <v>281</v>
      </c>
      <c r="D179" s="2" t="s">
        <v>413</v>
      </c>
      <c r="E179" s="2">
        <v>642160</v>
      </c>
      <c r="F179" s="2">
        <v>8582456482</v>
      </c>
      <c r="G179" s="2" t="s">
        <v>414</v>
      </c>
      <c r="H179" s="2" t="s">
        <v>415</v>
      </c>
      <c r="I179" s="2" t="s">
        <v>416</v>
      </c>
      <c r="J179" s="2" t="s">
        <v>30</v>
      </c>
      <c r="K179" s="2">
        <v>1295</v>
      </c>
      <c r="L179" s="2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</row>
    <row r="180" spans="1:35">
      <c r="A180" s="2">
        <v>195</v>
      </c>
      <c r="B180" s="2" t="s">
        <v>412</v>
      </c>
      <c r="C180" s="2">
        <v>281</v>
      </c>
      <c r="D180" s="2" t="s">
        <v>413</v>
      </c>
      <c r="E180" s="2">
        <v>642160</v>
      </c>
      <c r="F180" s="2">
        <v>8582456482</v>
      </c>
      <c r="G180" s="2" t="s">
        <v>414</v>
      </c>
      <c r="H180" s="2" t="s">
        <v>417</v>
      </c>
      <c r="I180" s="2" t="s">
        <v>416</v>
      </c>
      <c r="J180" s="2" t="s">
        <v>24</v>
      </c>
      <c r="K180" s="2">
        <v>1295</v>
      </c>
      <c r="L180" s="2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</row>
    <row r="181" spans="1:35">
      <c r="A181" s="2">
        <v>196</v>
      </c>
      <c r="B181" s="2" t="s">
        <v>412</v>
      </c>
      <c r="C181" s="2">
        <v>281</v>
      </c>
      <c r="D181" s="2" t="s">
        <v>413</v>
      </c>
      <c r="E181" s="2">
        <v>642160</v>
      </c>
      <c r="F181" s="2">
        <v>8582456482</v>
      </c>
      <c r="G181" s="2" t="s">
        <v>414</v>
      </c>
      <c r="H181" s="2" t="s">
        <v>418</v>
      </c>
      <c r="I181" s="2"/>
      <c r="J181" s="2" t="s">
        <v>17</v>
      </c>
      <c r="K181" s="2">
        <v>1295</v>
      </c>
      <c r="L181" s="2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</row>
    <row r="182" spans="1:35">
      <c r="A182" s="2">
        <v>197</v>
      </c>
      <c r="B182" s="2" t="s">
        <v>412</v>
      </c>
      <c r="C182" s="2">
        <v>281</v>
      </c>
      <c r="D182" s="2" t="s">
        <v>413</v>
      </c>
      <c r="E182" s="2">
        <v>642160</v>
      </c>
      <c r="F182" s="2">
        <v>8582456482</v>
      </c>
      <c r="G182" s="2" t="s">
        <v>414</v>
      </c>
      <c r="H182" s="2" t="s">
        <v>419</v>
      </c>
      <c r="I182" s="2" t="s">
        <v>416</v>
      </c>
      <c r="J182" s="2" t="s">
        <v>128</v>
      </c>
      <c r="K182" s="2">
        <v>1295</v>
      </c>
      <c r="L182" s="2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</row>
    <row r="183" spans="1:35">
      <c r="A183" s="2">
        <v>198</v>
      </c>
      <c r="B183" s="2" t="s">
        <v>420</v>
      </c>
      <c r="C183" s="2">
        <v>7</v>
      </c>
      <c r="D183" s="2" t="s">
        <v>421</v>
      </c>
      <c r="E183" s="2">
        <v>40976</v>
      </c>
      <c r="F183" s="2">
        <v>7142409295</v>
      </c>
      <c r="G183" s="2" t="s">
        <v>422</v>
      </c>
      <c r="H183" s="2" t="s">
        <v>423</v>
      </c>
      <c r="I183" s="2" t="s">
        <v>424</v>
      </c>
      <c r="J183" s="2" t="s">
        <v>30</v>
      </c>
      <c r="K183" s="2">
        <v>1295</v>
      </c>
      <c r="L183" s="2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</row>
    <row r="184" spans="1:35">
      <c r="A184" s="2">
        <v>199</v>
      </c>
      <c r="B184" s="2" t="s">
        <v>425</v>
      </c>
      <c r="C184" s="2">
        <v>30099</v>
      </c>
      <c r="D184" s="2" t="s">
        <v>426</v>
      </c>
      <c r="E184" s="2">
        <v>8961</v>
      </c>
      <c r="F184" s="2">
        <v>8312473770</v>
      </c>
      <c r="G184" s="2" t="s">
        <v>427</v>
      </c>
      <c r="H184" s="2" t="s">
        <v>428</v>
      </c>
      <c r="I184" s="2" t="s">
        <v>429</v>
      </c>
      <c r="J184" s="2" t="s">
        <v>46</v>
      </c>
      <c r="K184" s="2">
        <v>1295</v>
      </c>
      <c r="L184" s="2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</row>
    <row r="185" spans="1:35">
      <c r="A185" s="2">
        <v>200</v>
      </c>
      <c r="B185" s="2" t="s">
        <v>425</v>
      </c>
      <c r="C185" s="2">
        <v>30099</v>
      </c>
      <c r="D185" s="2" t="s">
        <v>426</v>
      </c>
      <c r="E185" s="2">
        <v>8961</v>
      </c>
      <c r="F185" s="2">
        <v>8312473770</v>
      </c>
      <c r="G185" s="2" t="s">
        <v>427</v>
      </c>
      <c r="H185" s="2" t="s">
        <v>430</v>
      </c>
      <c r="I185" s="2" t="s">
        <v>431</v>
      </c>
      <c r="J185" s="2" t="s">
        <v>95</v>
      </c>
      <c r="K185" s="2">
        <v>1295</v>
      </c>
      <c r="L185" s="2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</row>
    <row r="186" spans="1:35">
      <c r="A186" s="2">
        <v>201</v>
      </c>
      <c r="B186" s="2" t="s">
        <v>425</v>
      </c>
      <c r="C186" s="2">
        <v>30099</v>
      </c>
      <c r="D186" s="2" t="s">
        <v>426</v>
      </c>
      <c r="E186" s="2">
        <v>8961</v>
      </c>
      <c r="F186" s="2">
        <v>8312473770</v>
      </c>
      <c r="G186" s="2" t="s">
        <v>427</v>
      </c>
      <c r="H186" s="2" t="s">
        <v>425</v>
      </c>
      <c r="I186" s="2" t="s">
        <v>432</v>
      </c>
      <c r="J186" s="2" t="s">
        <v>24</v>
      </c>
      <c r="K186" s="2">
        <v>1295</v>
      </c>
      <c r="L186" s="2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</row>
    <row r="187" spans="1:35">
      <c r="A187" s="2">
        <v>202</v>
      </c>
      <c r="B187" s="2" t="s">
        <v>425</v>
      </c>
      <c r="C187" s="2">
        <v>30099</v>
      </c>
      <c r="D187" s="2" t="s">
        <v>426</v>
      </c>
      <c r="E187" s="2">
        <v>8961</v>
      </c>
      <c r="F187" s="2">
        <v>8312473770</v>
      </c>
      <c r="G187" s="2" t="s">
        <v>427</v>
      </c>
      <c r="H187" s="2" t="s">
        <v>425</v>
      </c>
      <c r="I187" s="2" t="s">
        <v>433</v>
      </c>
      <c r="J187" s="2" t="s">
        <v>16</v>
      </c>
      <c r="K187" s="2">
        <v>1295</v>
      </c>
      <c r="L187" s="2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</row>
    <row r="188" spans="1:35">
      <c r="A188" s="2">
        <v>203</v>
      </c>
      <c r="B188" s="2" t="s">
        <v>434</v>
      </c>
      <c r="C188" s="2">
        <v>48</v>
      </c>
      <c r="D188" s="2" t="s">
        <v>435</v>
      </c>
      <c r="E188" s="2">
        <v>764492</v>
      </c>
      <c r="F188" s="2">
        <v>8053451604</v>
      </c>
      <c r="G188" s="2" t="s">
        <v>436</v>
      </c>
      <c r="H188" s="2" t="s">
        <v>437</v>
      </c>
      <c r="I188" s="2" t="s">
        <v>438</v>
      </c>
      <c r="J188" s="2" t="s">
        <v>219</v>
      </c>
      <c r="K188" s="2">
        <v>1295</v>
      </c>
      <c r="L188" s="2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</row>
    <row r="189" spans="1:35">
      <c r="A189" s="2">
        <v>204</v>
      </c>
      <c r="B189" s="2" t="s">
        <v>327</v>
      </c>
      <c r="C189" s="2">
        <v>17818</v>
      </c>
      <c r="D189" s="2" t="s">
        <v>328</v>
      </c>
      <c r="E189" s="2">
        <v>330942</v>
      </c>
      <c r="F189" s="2">
        <v>9499393169</v>
      </c>
      <c r="G189" s="2" t="s">
        <v>329</v>
      </c>
      <c r="H189" s="2" t="s">
        <v>439</v>
      </c>
      <c r="I189" s="2" t="s">
        <v>328</v>
      </c>
      <c r="J189" s="2" t="s">
        <v>40</v>
      </c>
      <c r="K189" s="2">
        <v>1295</v>
      </c>
      <c r="L189" s="2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</row>
    <row r="190" spans="1:35">
      <c r="A190" s="2">
        <v>205</v>
      </c>
      <c r="B190" s="2" t="s">
        <v>440</v>
      </c>
      <c r="C190" s="2">
        <v>33808</v>
      </c>
      <c r="D190" s="2" t="s">
        <v>441</v>
      </c>
      <c r="E190" s="2">
        <v>437323</v>
      </c>
      <c r="F190" s="2" t="s">
        <v>442</v>
      </c>
      <c r="G190" s="2" t="s">
        <v>443</v>
      </c>
      <c r="H190" s="2" t="s">
        <v>444</v>
      </c>
      <c r="I190" s="2" t="s">
        <v>445</v>
      </c>
      <c r="J190" s="2" t="s">
        <v>24</v>
      </c>
      <c r="K190" s="2">
        <v>1295</v>
      </c>
      <c r="L190" s="2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</row>
    <row r="191" spans="1:35">
      <c r="A191" s="2">
        <v>206</v>
      </c>
      <c r="B191" s="2" t="s">
        <v>440</v>
      </c>
      <c r="C191" s="2">
        <v>33808</v>
      </c>
      <c r="D191" s="2" t="s">
        <v>441</v>
      </c>
      <c r="E191" s="2">
        <v>437323</v>
      </c>
      <c r="F191" s="2" t="s">
        <v>442</v>
      </c>
      <c r="G191" s="2" t="s">
        <v>443</v>
      </c>
      <c r="H191" s="2" t="s">
        <v>446</v>
      </c>
      <c r="I191" s="2" t="s">
        <v>447</v>
      </c>
      <c r="J191" s="2" t="s">
        <v>16</v>
      </c>
      <c r="K191" s="2">
        <v>1295</v>
      </c>
      <c r="L191" s="2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</row>
    <row r="192" spans="1:35">
      <c r="A192" s="2">
        <v>207</v>
      </c>
      <c r="B192" s="2" t="s">
        <v>448</v>
      </c>
      <c r="C192" s="2">
        <v>1654</v>
      </c>
      <c r="D192" s="2" t="s">
        <v>386</v>
      </c>
      <c r="E192" s="2">
        <v>627958</v>
      </c>
      <c r="F192" s="2" t="s">
        <v>449</v>
      </c>
      <c r="G192" s="2" t="s">
        <v>450</v>
      </c>
      <c r="H192" s="2" t="s">
        <v>448</v>
      </c>
      <c r="I192" s="2" t="s">
        <v>451</v>
      </c>
      <c r="J192" s="2" t="s">
        <v>37</v>
      </c>
      <c r="K192" s="2">
        <v>1095</v>
      </c>
      <c r="L192" s="2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</row>
    <row r="193" spans="1:35">
      <c r="A193" s="2">
        <v>208</v>
      </c>
      <c r="B193" s="2" t="s">
        <v>448</v>
      </c>
      <c r="C193" s="2">
        <v>1654</v>
      </c>
      <c r="D193" s="2" t="s">
        <v>386</v>
      </c>
      <c r="E193" s="2">
        <v>627958</v>
      </c>
      <c r="F193" s="2" t="s">
        <v>449</v>
      </c>
      <c r="G193" s="2" t="s">
        <v>450</v>
      </c>
      <c r="H193" s="2" t="s">
        <v>452</v>
      </c>
      <c r="I193" s="2" t="s">
        <v>451</v>
      </c>
      <c r="J193" s="2" t="s">
        <v>43</v>
      </c>
      <c r="K193" s="2">
        <v>1295</v>
      </c>
      <c r="L193" s="2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</row>
    <row r="194" spans="1:35">
      <c r="A194" s="2">
        <v>209</v>
      </c>
      <c r="B194" s="2" t="s">
        <v>448</v>
      </c>
      <c r="C194" s="2">
        <v>1654</v>
      </c>
      <c r="D194" s="2" t="s">
        <v>386</v>
      </c>
      <c r="E194" s="2">
        <v>627958</v>
      </c>
      <c r="F194" s="2" t="s">
        <v>449</v>
      </c>
      <c r="G194" s="2" t="s">
        <v>450</v>
      </c>
      <c r="H194" s="2" t="s">
        <v>453</v>
      </c>
      <c r="I194" s="2" t="s">
        <v>451</v>
      </c>
      <c r="J194" s="2" t="s">
        <v>69</v>
      </c>
      <c r="K194" s="2">
        <v>1295</v>
      </c>
      <c r="L194" s="2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</row>
    <row r="195" spans="1:35">
      <c r="A195" s="2">
        <v>210</v>
      </c>
      <c r="B195" s="2" t="s">
        <v>448</v>
      </c>
      <c r="C195" s="2">
        <v>1654</v>
      </c>
      <c r="D195" s="2" t="s">
        <v>386</v>
      </c>
      <c r="E195" s="2">
        <v>627958</v>
      </c>
      <c r="F195" s="2" t="s">
        <v>449</v>
      </c>
      <c r="G195" s="2" t="s">
        <v>450</v>
      </c>
      <c r="H195" s="2" t="s">
        <v>452</v>
      </c>
      <c r="I195" s="2" t="s">
        <v>451</v>
      </c>
      <c r="J195" s="2" t="s">
        <v>72</v>
      </c>
      <c r="K195" s="2">
        <v>1295</v>
      </c>
      <c r="L195" s="2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</row>
    <row r="196" spans="1:35" ht="15" customHeight="1">
      <c r="A196" s="2">
        <v>211</v>
      </c>
      <c r="B196" s="2" t="s">
        <v>448</v>
      </c>
      <c r="C196" s="2">
        <v>1654</v>
      </c>
      <c r="D196" s="2" t="s">
        <v>386</v>
      </c>
      <c r="E196" s="2">
        <v>627958</v>
      </c>
      <c r="F196" s="2" t="s">
        <v>449</v>
      </c>
      <c r="G196" s="2" t="s">
        <v>450</v>
      </c>
      <c r="H196" s="2" t="s">
        <v>453</v>
      </c>
      <c r="I196" s="2" t="s">
        <v>451</v>
      </c>
      <c r="J196" s="2" t="s">
        <v>49</v>
      </c>
      <c r="K196" s="2">
        <v>1295</v>
      </c>
      <c r="L196" s="2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</row>
    <row r="197" spans="1:35" ht="15" customHeight="1">
      <c r="A197" s="2">
        <v>212</v>
      </c>
      <c r="B197" s="2" t="s">
        <v>448</v>
      </c>
      <c r="C197" s="2">
        <v>1654</v>
      </c>
      <c r="D197" s="2" t="s">
        <v>386</v>
      </c>
      <c r="E197" s="2">
        <v>627958</v>
      </c>
      <c r="F197" s="2" t="s">
        <v>449</v>
      </c>
      <c r="G197" s="2" t="s">
        <v>450</v>
      </c>
      <c r="H197" s="2" t="s">
        <v>448</v>
      </c>
      <c r="I197" s="2" t="s">
        <v>451</v>
      </c>
      <c r="J197" s="2" t="s">
        <v>40</v>
      </c>
      <c r="K197" s="2">
        <v>1295</v>
      </c>
      <c r="L197" s="2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</row>
    <row r="198" spans="1:35">
      <c r="A198" s="2">
        <v>213</v>
      </c>
      <c r="B198" s="2" t="s">
        <v>448</v>
      </c>
      <c r="C198" s="2">
        <v>1654</v>
      </c>
      <c r="D198" s="2" t="s">
        <v>386</v>
      </c>
      <c r="E198" s="2">
        <v>627958</v>
      </c>
      <c r="F198" s="2" t="s">
        <v>449</v>
      </c>
      <c r="G198" s="2" t="s">
        <v>450</v>
      </c>
      <c r="H198" s="2" t="s">
        <v>448</v>
      </c>
      <c r="I198" s="2" t="s">
        <v>451</v>
      </c>
      <c r="J198" s="2" t="s">
        <v>95</v>
      </c>
      <c r="K198" s="2">
        <v>1295</v>
      </c>
      <c r="L198" s="2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</row>
    <row r="199" spans="1:35">
      <c r="A199" s="2">
        <v>214</v>
      </c>
      <c r="B199" s="2" t="s">
        <v>454</v>
      </c>
      <c r="C199" s="2">
        <v>35390</v>
      </c>
      <c r="D199" s="2" t="s">
        <v>455</v>
      </c>
      <c r="E199" s="2">
        <v>440560</v>
      </c>
      <c r="F199" s="2">
        <v>2036135191</v>
      </c>
      <c r="G199" s="2" t="s">
        <v>456</v>
      </c>
      <c r="H199" s="2" t="s">
        <v>457</v>
      </c>
      <c r="I199" s="2" t="s">
        <v>458</v>
      </c>
      <c r="J199" s="2" t="s">
        <v>219</v>
      </c>
      <c r="K199" s="2">
        <v>1295</v>
      </c>
      <c r="L199" s="2" t="s">
        <v>459</v>
      </c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</row>
    <row r="200" spans="1:35">
      <c r="A200" s="2">
        <v>215</v>
      </c>
      <c r="B200" s="2" t="s">
        <v>288</v>
      </c>
      <c r="C200" s="2">
        <v>1309</v>
      </c>
      <c r="D200" s="2" t="s">
        <v>289</v>
      </c>
      <c r="E200" s="2">
        <v>485717</v>
      </c>
      <c r="F200" s="2" t="s">
        <v>290</v>
      </c>
      <c r="G200" s="2" t="s">
        <v>291</v>
      </c>
      <c r="H200" s="2" t="s">
        <v>308</v>
      </c>
      <c r="I200" s="2" t="s">
        <v>460</v>
      </c>
      <c r="J200" s="2" t="s">
        <v>40</v>
      </c>
      <c r="K200" s="2">
        <v>1295</v>
      </c>
      <c r="L200" s="2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</row>
    <row r="201" spans="1:35">
      <c r="A201" s="2">
        <v>216</v>
      </c>
      <c r="B201" s="2" t="s">
        <v>461</v>
      </c>
      <c r="C201" s="2">
        <v>35415</v>
      </c>
      <c r="D201" s="2" t="s">
        <v>462</v>
      </c>
      <c r="E201" s="2">
        <v>34232</v>
      </c>
      <c r="F201" s="2">
        <v>5628581985</v>
      </c>
      <c r="G201" s="2" t="s">
        <v>463</v>
      </c>
      <c r="H201" s="2" t="s">
        <v>464</v>
      </c>
      <c r="I201" s="2" t="s">
        <v>465</v>
      </c>
      <c r="J201" s="2" t="s">
        <v>84</v>
      </c>
      <c r="K201" s="2">
        <v>1295</v>
      </c>
      <c r="L201" s="2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</row>
    <row r="202" spans="1:35">
      <c r="A202" s="2">
        <v>217</v>
      </c>
      <c r="B202" s="2" t="s">
        <v>466</v>
      </c>
      <c r="C202" s="2">
        <v>18227</v>
      </c>
      <c r="D202" s="2" t="s">
        <v>467</v>
      </c>
      <c r="E202" s="2">
        <v>584750</v>
      </c>
      <c r="F202" s="2">
        <v>4058129821</v>
      </c>
      <c r="G202" s="2" t="s">
        <v>468</v>
      </c>
      <c r="H202" s="2" t="s">
        <v>469</v>
      </c>
      <c r="I202" s="2" t="s">
        <v>470</v>
      </c>
      <c r="J202" s="2" t="s">
        <v>254</v>
      </c>
      <c r="K202" s="2">
        <v>1095</v>
      </c>
      <c r="L202" s="2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</row>
    <row r="203" spans="1:35">
      <c r="A203" s="2">
        <v>218</v>
      </c>
      <c r="B203" s="2" t="s">
        <v>461</v>
      </c>
      <c r="C203" s="2">
        <v>35415</v>
      </c>
      <c r="D203" s="2" t="s">
        <v>462</v>
      </c>
      <c r="E203" s="2">
        <v>34232</v>
      </c>
      <c r="F203" s="2">
        <v>5628581985</v>
      </c>
      <c r="G203" s="2" t="s">
        <v>463</v>
      </c>
      <c r="H203" s="2" t="s">
        <v>471</v>
      </c>
      <c r="I203" s="2" t="s">
        <v>465</v>
      </c>
      <c r="J203" s="2" t="s">
        <v>53</v>
      </c>
      <c r="K203" s="2">
        <v>1295</v>
      </c>
      <c r="L203" s="2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</row>
    <row r="204" spans="1:35">
      <c r="A204" s="2">
        <v>219</v>
      </c>
      <c r="B204" s="2" t="s">
        <v>466</v>
      </c>
      <c r="C204" s="2">
        <v>18227</v>
      </c>
      <c r="D204" s="2" t="s">
        <v>467</v>
      </c>
      <c r="E204" s="2">
        <v>584750</v>
      </c>
      <c r="F204" s="2">
        <v>4058129821</v>
      </c>
      <c r="G204" s="2" t="s">
        <v>468</v>
      </c>
      <c r="H204" s="2" t="s">
        <v>472</v>
      </c>
      <c r="I204" s="2" t="s">
        <v>473</v>
      </c>
      <c r="J204" s="2" t="s">
        <v>37</v>
      </c>
      <c r="K204" s="2">
        <v>1095</v>
      </c>
      <c r="L204" s="2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</row>
    <row r="205" spans="1:35">
      <c r="A205" s="2">
        <v>220</v>
      </c>
      <c r="B205" s="2" t="s">
        <v>461</v>
      </c>
      <c r="C205" s="2">
        <v>35415</v>
      </c>
      <c r="D205" s="2" t="s">
        <v>462</v>
      </c>
      <c r="E205" s="2">
        <v>34232</v>
      </c>
      <c r="F205" s="2">
        <v>5628581985</v>
      </c>
      <c r="G205" s="2" t="s">
        <v>463</v>
      </c>
      <c r="H205" s="2" t="s">
        <v>474</v>
      </c>
      <c r="I205" s="2" t="s">
        <v>465</v>
      </c>
      <c r="J205" s="2" t="s">
        <v>49</v>
      </c>
      <c r="K205" s="2">
        <v>1295</v>
      </c>
      <c r="L205" s="2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</row>
    <row r="206" spans="1:35">
      <c r="A206" s="2">
        <v>221</v>
      </c>
      <c r="B206" s="2" t="s">
        <v>286</v>
      </c>
      <c r="C206" s="2">
        <v>3507</v>
      </c>
      <c r="D206" s="2" t="s">
        <v>475</v>
      </c>
      <c r="E206" s="2">
        <v>7777</v>
      </c>
      <c r="F206" s="2" t="s">
        <v>476</v>
      </c>
      <c r="G206" s="2" t="s">
        <v>477</v>
      </c>
      <c r="H206" s="2" t="s">
        <v>478</v>
      </c>
      <c r="I206" s="2" t="s">
        <v>479</v>
      </c>
      <c r="J206" s="2" t="s">
        <v>72</v>
      </c>
      <c r="K206" s="2">
        <v>1295</v>
      </c>
      <c r="L206" s="2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</row>
    <row r="207" spans="1:35">
      <c r="A207" s="2">
        <v>222</v>
      </c>
      <c r="B207" s="2" t="s">
        <v>480</v>
      </c>
      <c r="C207" s="2">
        <v>18</v>
      </c>
      <c r="D207" s="2" t="s">
        <v>481</v>
      </c>
      <c r="E207" s="2">
        <v>712373</v>
      </c>
      <c r="F207" s="2" t="s">
        <v>482</v>
      </c>
      <c r="G207" s="2" t="s">
        <v>483</v>
      </c>
      <c r="H207" s="2" t="s">
        <v>484</v>
      </c>
      <c r="I207" s="2" t="s">
        <v>485</v>
      </c>
      <c r="J207" s="2" t="s">
        <v>17</v>
      </c>
      <c r="K207" s="2">
        <v>1295</v>
      </c>
      <c r="L207" s="2" t="s">
        <v>486</v>
      </c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</row>
    <row r="208" spans="1:35">
      <c r="A208" s="2">
        <v>223</v>
      </c>
      <c r="B208" s="2" t="s">
        <v>480</v>
      </c>
      <c r="C208" s="2">
        <v>18</v>
      </c>
      <c r="D208" s="2" t="s">
        <v>481</v>
      </c>
      <c r="E208" s="2">
        <v>712373</v>
      </c>
      <c r="F208" s="2" t="s">
        <v>482</v>
      </c>
      <c r="G208" s="2" t="s">
        <v>483</v>
      </c>
      <c r="H208" s="2" t="s">
        <v>484</v>
      </c>
      <c r="I208" s="2" t="s">
        <v>485</v>
      </c>
      <c r="J208" s="2" t="s">
        <v>69</v>
      </c>
      <c r="K208" s="2">
        <v>1295</v>
      </c>
      <c r="L208" s="2" t="s">
        <v>486</v>
      </c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</row>
    <row r="209" spans="1:35">
      <c r="A209" s="2">
        <v>224</v>
      </c>
      <c r="B209" s="2" t="s">
        <v>487</v>
      </c>
      <c r="C209" s="2">
        <v>16519</v>
      </c>
      <c r="D209" s="2" t="s">
        <v>488</v>
      </c>
      <c r="E209" s="2">
        <v>330508</v>
      </c>
      <c r="F209" s="2">
        <v>9092946628</v>
      </c>
      <c r="G209" s="2" t="s">
        <v>489</v>
      </c>
      <c r="H209" s="2" t="s">
        <v>490</v>
      </c>
      <c r="I209" s="2" t="s">
        <v>491</v>
      </c>
      <c r="J209" s="2" t="s">
        <v>24</v>
      </c>
      <c r="K209" s="2">
        <v>1295</v>
      </c>
      <c r="L209" s="2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</row>
    <row r="210" spans="1:35">
      <c r="A210" s="2">
        <v>225</v>
      </c>
      <c r="B210" s="2" t="s">
        <v>487</v>
      </c>
      <c r="C210" s="2">
        <v>16519</v>
      </c>
      <c r="D210" s="2" t="s">
        <v>488</v>
      </c>
      <c r="E210" s="2">
        <v>330508</v>
      </c>
      <c r="F210" s="2">
        <v>9092946628</v>
      </c>
      <c r="G210" s="2" t="s">
        <v>489</v>
      </c>
      <c r="H210" s="2" t="s">
        <v>492</v>
      </c>
      <c r="I210" s="2" t="s">
        <v>493</v>
      </c>
      <c r="J210" s="2" t="s">
        <v>24</v>
      </c>
      <c r="K210" s="2">
        <v>1295</v>
      </c>
      <c r="L210" s="2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</row>
    <row r="211" spans="1:35">
      <c r="A211" s="2">
        <v>226</v>
      </c>
      <c r="B211" s="2" t="s">
        <v>487</v>
      </c>
      <c r="C211" s="2">
        <v>16519</v>
      </c>
      <c r="D211" s="2" t="s">
        <v>488</v>
      </c>
      <c r="E211" s="2">
        <v>330508</v>
      </c>
      <c r="F211" s="2">
        <v>9092946628</v>
      </c>
      <c r="G211" s="2" t="s">
        <v>489</v>
      </c>
      <c r="H211" s="2" t="s">
        <v>490</v>
      </c>
      <c r="I211" s="2" t="s">
        <v>494</v>
      </c>
      <c r="J211" s="2" t="s">
        <v>16</v>
      </c>
      <c r="K211" s="2">
        <v>1295</v>
      </c>
      <c r="L211" s="2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</row>
    <row r="212" spans="1:35">
      <c r="A212" s="2">
        <v>227</v>
      </c>
      <c r="B212" s="2" t="s">
        <v>487</v>
      </c>
      <c r="C212" s="2">
        <v>16519</v>
      </c>
      <c r="D212" s="2" t="s">
        <v>488</v>
      </c>
      <c r="E212" s="2">
        <v>330508</v>
      </c>
      <c r="F212" s="2">
        <v>9092946628</v>
      </c>
      <c r="G212" s="2" t="s">
        <v>489</v>
      </c>
      <c r="H212" s="2" t="s">
        <v>490</v>
      </c>
      <c r="I212" s="2" t="s">
        <v>495</v>
      </c>
      <c r="J212" s="2" t="s">
        <v>46</v>
      </c>
      <c r="K212" s="2">
        <v>1295</v>
      </c>
      <c r="L212" s="2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</row>
    <row r="213" spans="1:35">
      <c r="A213" s="2">
        <v>228</v>
      </c>
      <c r="B213" s="2" t="s">
        <v>487</v>
      </c>
      <c r="C213" s="2">
        <v>16519</v>
      </c>
      <c r="D213" s="2" t="s">
        <v>488</v>
      </c>
      <c r="E213" s="2">
        <v>330508</v>
      </c>
      <c r="F213" s="2">
        <v>9092946628</v>
      </c>
      <c r="G213" s="2" t="s">
        <v>489</v>
      </c>
      <c r="H213" s="2" t="s">
        <v>490</v>
      </c>
      <c r="I213" s="2" t="s">
        <v>496</v>
      </c>
      <c r="J213" s="2" t="s">
        <v>69</v>
      </c>
      <c r="K213" s="2">
        <v>1295</v>
      </c>
      <c r="L213" s="2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</row>
    <row r="214" spans="1:35">
      <c r="A214" s="2">
        <v>229</v>
      </c>
      <c r="B214" s="2" t="s">
        <v>487</v>
      </c>
      <c r="C214" s="2">
        <v>16519</v>
      </c>
      <c r="D214" s="2" t="s">
        <v>488</v>
      </c>
      <c r="E214" s="2">
        <v>330508</v>
      </c>
      <c r="F214" s="2">
        <v>9092946628</v>
      </c>
      <c r="G214" s="2" t="s">
        <v>489</v>
      </c>
      <c r="H214" s="2" t="s">
        <v>490</v>
      </c>
      <c r="I214" s="2" t="s">
        <v>497</v>
      </c>
      <c r="J214" s="2" t="s">
        <v>122</v>
      </c>
      <c r="K214" s="2">
        <v>1095</v>
      </c>
      <c r="L214" s="2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</row>
    <row r="215" spans="1:35">
      <c r="A215" s="2">
        <v>230</v>
      </c>
      <c r="B215" s="2" t="s">
        <v>498</v>
      </c>
      <c r="C215" s="2">
        <v>35384</v>
      </c>
      <c r="D215" s="2" t="s">
        <v>499</v>
      </c>
      <c r="E215" s="2">
        <v>812</v>
      </c>
      <c r="F215" s="2">
        <v>9492281573</v>
      </c>
      <c r="G215" s="2" t="s">
        <v>500</v>
      </c>
      <c r="H215" s="2" t="s">
        <v>501</v>
      </c>
      <c r="I215" s="2" t="s">
        <v>502</v>
      </c>
      <c r="J215" s="2" t="s">
        <v>37</v>
      </c>
      <c r="K215" s="2">
        <v>1095</v>
      </c>
      <c r="L215" s="2" t="s">
        <v>503</v>
      </c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</row>
    <row r="216" spans="1:35">
      <c r="A216" s="2">
        <v>231</v>
      </c>
      <c r="B216" s="2" t="s">
        <v>498</v>
      </c>
      <c r="C216" s="2">
        <v>35384</v>
      </c>
      <c r="D216" s="2" t="s">
        <v>499</v>
      </c>
      <c r="E216" s="2">
        <v>812</v>
      </c>
      <c r="F216" s="2">
        <v>9492281573</v>
      </c>
      <c r="G216" s="2" t="s">
        <v>500</v>
      </c>
      <c r="H216" s="2" t="s">
        <v>504</v>
      </c>
      <c r="I216" s="2" t="s">
        <v>502</v>
      </c>
      <c r="J216" s="2" t="s">
        <v>37</v>
      </c>
      <c r="K216" s="2">
        <v>1095</v>
      </c>
      <c r="L216" s="2" t="s">
        <v>503</v>
      </c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</row>
    <row r="217" spans="1:35">
      <c r="A217" s="2">
        <v>232</v>
      </c>
      <c r="B217" s="2" t="s">
        <v>498</v>
      </c>
      <c r="C217" s="2">
        <v>35384</v>
      </c>
      <c r="D217" s="2" t="s">
        <v>499</v>
      </c>
      <c r="E217" s="2">
        <v>812</v>
      </c>
      <c r="F217" s="2">
        <v>9492281573</v>
      </c>
      <c r="G217" s="2" t="s">
        <v>500</v>
      </c>
      <c r="H217" s="2" t="s">
        <v>501</v>
      </c>
      <c r="I217" s="2" t="s">
        <v>499</v>
      </c>
      <c r="J217" s="2" t="s">
        <v>254</v>
      </c>
      <c r="K217" s="2">
        <v>1095</v>
      </c>
      <c r="L217" s="2" t="s">
        <v>503</v>
      </c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</row>
    <row r="218" spans="1:35">
      <c r="A218" s="2">
        <v>233</v>
      </c>
      <c r="B218" s="2" t="s">
        <v>498</v>
      </c>
      <c r="C218" s="2">
        <v>35384</v>
      </c>
      <c r="D218" s="2" t="s">
        <v>499</v>
      </c>
      <c r="E218" s="2">
        <v>812</v>
      </c>
      <c r="F218" s="2">
        <v>9492281573</v>
      </c>
      <c r="G218" s="2" t="s">
        <v>500</v>
      </c>
      <c r="H218" s="2" t="s">
        <v>504</v>
      </c>
      <c r="I218" s="2" t="s">
        <v>502</v>
      </c>
      <c r="J218" s="2" t="s">
        <v>69</v>
      </c>
      <c r="K218" s="2">
        <v>1295</v>
      </c>
      <c r="L218" s="2" t="s">
        <v>503</v>
      </c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</row>
    <row r="219" spans="1:35">
      <c r="A219" s="2">
        <v>234</v>
      </c>
      <c r="B219" s="2" t="s">
        <v>498</v>
      </c>
      <c r="C219" s="2">
        <v>35384</v>
      </c>
      <c r="D219" s="2" t="s">
        <v>499</v>
      </c>
      <c r="E219" s="2">
        <v>812</v>
      </c>
      <c r="F219" s="2">
        <v>9492281573</v>
      </c>
      <c r="G219" s="2" t="s">
        <v>500</v>
      </c>
      <c r="H219" s="2" t="s">
        <v>501</v>
      </c>
      <c r="I219" s="2" t="s">
        <v>502</v>
      </c>
      <c r="J219" s="2" t="s">
        <v>49</v>
      </c>
      <c r="K219" s="2">
        <v>1295</v>
      </c>
      <c r="L219" s="2" t="s">
        <v>503</v>
      </c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</row>
    <row r="220" spans="1:35">
      <c r="A220" s="2">
        <v>235</v>
      </c>
      <c r="B220" s="2" t="s">
        <v>498</v>
      </c>
      <c r="C220" s="2">
        <v>35384</v>
      </c>
      <c r="D220" s="2" t="s">
        <v>499</v>
      </c>
      <c r="E220" s="2">
        <v>812</v>
      </c>
      <c r="F220" s="2">
        <v>9492281573</v>
      </c>
      <c r="G220" s="2" t="s">
        <v>500</v>
      </c>
      <c r="H220" s="2" t="s">
        <v>504</v>
      </c>
      <c r="I220" s="2" t="s">
        <v>502</v>
      </c>
      <c r="J220" s="2" t="s">
        <v>17</v>
      </c>
      <c r="K220" s="2">
        <v>1295</v>
      </c>
      <c r="L220" s="2" t="s">
        <v>503</v>
      </c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</row>
    <row r="221" spans="1:35">
      <c r="A221" s="2">
        <v>236</v>
      </c>
      <c r="B221" s="2" t="s">
        <v>498</v>
      </c>
      <c r="C221" s="2">
        <v>35384</v>
      </c>
      <c r="D221" s="2" t="s">
        <v>499</v>
      </c>
      <c r="E221" s="2">
        <v>812</v>
      </c>
      <c r="F221" s="2">
        <v>9492281573</v>
      </c>
      <c r="G221" s="2" t="s">
        <v>500</v>
      </c>
      <c r="H221" s="2" t="s">
        <v>501</v>
      </c>
      <c r="I221" s="2" t="s">
        <v>502</v>
      </c>
      <c r="J221" s="2" t="s">
        <v>16</v>
      </c>
      <c r="K221" s="2">
        <v>1295</v>
      </c>
      <c r="L221" s="2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</row>
    <row r="222" spans="1:35">
      <c r="A222" s="2">
        <v>237</v>
      </c>
      <c r="B222" s="2" t="s">
        <v>498</v>
      </c>
      <c r="C222" s="2">
        <v>35384</v>
      </c>
      <c r="D222" s="2" t="s">
        <v>499</v>
      </c>
      <c r="E222" s="2">
        <v>812</v>
      </c>
      <c r="F222" s="2">
        <v>9492281573</v>
      </c>
      <c r="G222" s="2" t="s">
        <v>500</v>
      </c>
      <c r="H222" s="2" t="s">
        <v>504</v>
      </c>
      <c r="I222" s="2" t="s">
        <v>502</v>
      </c>
      <c r="J222" s="2" t="s">
        <v>53</v>
      </c>
      <c r="K222" s="2">
        <v>1295</v>
      </c>
      <c r="L222" s="2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</row>
    <row r="223" spans="1:35">
      <c r="A223" s="2">
        <v>238</v>
      </c>
      <c r="B223" s="2" t="s">
        <v>420</v>
      </c>
      <c r="C223" s="2">
        <v>7</v>
      </c>
      <c r="D223" s="2" t="s">
        <v>421</v>
      </c>
      <c r="E223" s="2">
        <v>40976</v>
      </c>
      <c r="F223" s="2">
        <v>7142409295</v>
      </c>
      <c r="G223" s="2" t="s">
        <v>422</v>
      </c>
      <c r="H223" s="2" t="s">
        <v>505</v>
      </c>
      <c r="I223" s="2" t="s">
        <v>424</v>
      </c>
      <c r="J223" s="2" t="s">
        <v>128</v>
      </c>
      <c r="K223" s="2">
        <v>1295</v>
      </c>
      <c r="L223" s="2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</row>
    <row r="224" spans="1:35">
      <c r="A224" s="2">
        <v>239</v>
      </c>
      <c r="B224" s="2" t="s">
        <v>420</v>
      </c>
      <c r="C224" s="2">
        <v>7</v>
      </c>
      <c r="D224" s="2" t="s">
        <v>421</v>
      </c>
      <c r="E224" s="2">
        <v>40976</v>
      </c>
      <c r="F224" s="2">
        <v>7142409295</v>
      </c>
      <c r="G224" s="2" t="s">
        <v>422</v>
      </c>
      <c r="H224" s="2" t="s">
        <v>506</v>
      </c>
      <c r="I224" s="2" t="s">
        <v>424</v>
      </c>
      <c r="J224" s="2" t="s">
        <v>69</v>
      </c>
      <c r="K224" s="2">
        <v>1295</v>
      </c>
      <c r="L224" s="2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</row>
    <row r="225" spans="1:35">
      <c r="A225" s="2">
        <v>240</v>
      </c>
      <c r="B225" s="2" t="s">
        <v>507</v>
      </c>
      <c r="C225" s="2">
        <v>87</v>
      </c>
      <c r="D225" s="2" t="s">
        <v>508</v>
      </c>
      <c r="E225" s="2">
        <v>32499</v>
      </c>
      <c r="F225" s="2">
        <v>3105299060</v>
      </c>
      <c r="G225" s="2" t="s">
        <v>509</v>
      </c>
      <c r="H225" s="2" t="s">
        <v>507</v>
      </c>
      <c r="I225" s="2" t="s">
        <v>508</v>
      </c>
      <c r="J225" s="2" t="s">
        <v>37</v>
      </c>
      <c r="K225" s="2">
        <v>1095</v>
      </c>
      <c r="L225" s="2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</row>
    <row r="226" spans="1:35">
      <c r="A226" s="2">
        <v>241</v>
      </c>
      <c r="B226" s="2" t="s">
        <v>507</v>
      </c>
      <c r="C226" s="2">
        <v>87</v>
      </c>
      <c r="D226" s="2" t="s">
        <v>508</v>
      </c>
      <c r="E226" s="2">
        <v>32499</v>
      </c>
      <c r="F226" s="2">
        <v>3105299060</v>
      </c>
      <c r="G226" s="2" t="s">
        <v>509</v>
      </c>
      <c r="H226" s="2" t="s">
        <v>507</v>
      </c>
      <c r="I226" s="2" t="s">
        <v>508</v>
      </c>
      <c r="J226" s="2" t="s">
        <v>69</v>
      </c>
      <c r="K226" s="2">
        <v>1295</v>
      </c>
      <c r="L226" s="2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</row>
    <row r="227" spans="1:35">
      <c r="A227" s="2">
        <v>242</v>
      </c>
      <c r="B227" s="2" t="s">
        <v>507</v>
      </c>
      <c r="C227" s="2">
        <v>87</v>
      </c>
      <c r="D227" s="2" t="s">
        <v>508</v>
      </c>
      <c r="E227" s="2">
        <v>32499</v>
      </c>
      <c r="F227" s="2">
        <v>3105299060</v>
      </c>
      <c r="G227" s="2" t="s">
        <v>509</v>
      </c>
      <c r="H227" s="2" t="s">
        <v>510</v>
      </c>
      <c r="I227" s="2" t="s">
        <v>508</v>
      </c>
      <c r="J227" s="2" t="s">
        <v>72</v>
      </c>
      <c r="K227" s="2">
        <v>1295</v>
      </c>
      <c r="L227" s="2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</row>
    <row r="228" spans="1:35">
      <c r="A228" s="2">
        <v>243</v>
      </c>
      <c r="B228" s="2" t="s">
        <v>507</v>
      </c>
      <c r="C228" s="2">
        <v>87</v>
      </c>
      <c r="D228" s="2" t="s">
        <v>508</v>
      </c>
      <c r="E228" s="2">
        <v>32499</v>
      </c>
      <c r="F228" s="2">
        <v>3105299060</v>
      </c>
      <c r="G228" s="2" t="s">
        <v>509</v>
      </c>
      <c r="H228" s="2" t="s">
        <v>511</v>
      </c>
      <c r="I228" s="2" t="s">
        <v>508</v>
      </c>
      <c r="J228" s="2" t="s">
        <v>17</v>
      </c>
      <c r="K228" s="2">
        <v>1295</v>
      </c>
      <c r="L228" s="2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</row>
    <row r="229" spans="1:35">
      <c r="A229" s="2">
        <v>244</v>
      </c>
      <c r="B229" s="2" t="s">
        <v>507</v>
      </c>
      <c r="C229" s="2">
        <v>87</v>
      </c>
      <c r="D229" s="2" t="s">
        <v>508</v>
      </c>
      <c r="E229" s="2">
        <v>32499</v>
      </c>
      <c r="F229" s="2">
        <v>3105299060</v>
      </c>
      <c r="G229" s="2" t="s">
        <v>509</v>
      </c>
      <c r="H229" s="2" t="s">
        <v>510</v>
      </c>
      <c r="I229" s="2" t="s">
        <v>508</v>
      </c>
      <c r="J229" s="2" t="s">
        <v>16</v>
      </c>
      <c r="K229" s="2">
        <v>1295</v>
      </c>
      <c r="L229" s="2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</row>
    <row r="230" spans="1:35">
      <c r="A230" s="2">
        <v>245</v>
      </c>
      <c r="B230" s="2" t="s">
        <v>507</v>
      </c>
      <c r="C230" s="2">
        <v>87</v>
      </c>
      <c r="D230" s="2" t="s">
        <v>508</v>
      </c>
      <c r="E230" s="2">
        <v>32499</v>
      </c>
      <c r="F230" s="2">
        <v>3105299060</v>
      </c>
      <c r="G230" s="2" t="s">
        <v>509</v>
      </c>
      <c r="H230" s="2" t="s">
        <v>511</v>
      </c>
      <c r="I230" s="2" t="s">
        <v>508</v>
      </c>
      <c r="J230" s="2" t="s">
        <v>30</v>
      </c>
      <c r="K230" s="2">
        <v>1295</v>
      </c>
      <c r="L230" s="2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</row>
    <row r="231" spans="1:35">
      <c r="A231" s="2">
        <v>246</v>
      </c>
      <c r="B231" s="2" t="s">
        <v>507</v>
      </c>
      <c r="C231" s="2">
        <v>87</v>
      </c>
      <c r="D231" s="2" t="s">
        <v>508</v>
      </c>
      <c r="E231" s="2">
        <v>32499</v>
      </c>
      <c r="F231" s="2" t="s">
        <v>512</v>
      </c>
      <c r="G231" s="2" t="s">
        <v>509</v>
      </c>
      <c r="H231" s="2" t="s">
        <v>507</v>
      </c>
      <c r="I231" s="2" t="s">
        <v>508</v>
      </c>
      <c r="J231" s="2" t="s">
        <v>227</v>
      </c>
      <c r="K231" s="2">
        <v>1295</v>
      </c>
      <c r="L231" s="2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</row>
    <row r="232" spans="1:35">
      <c r="A232" s="2">
        <v>247</v>
      </c>
      <c r="B232" s="2" t="s">
        <v>513</v>
      </c>
      <c r="C232" s="2">
        <v>86</v>
      </c>
      <c r="D232" s="2" t="s">
        <v>514</v>
      </c>
      <c r="E232" s="2">
        <v>31874</v>
      </c>
      <c r="F232" s="2" t="s">
        <v>515</v>
      </c>
      <c r="G232" s="2" t="s">
        <v>516</v>
      </c>
      <c r="H232" s="2" t="s">
        <v>517</v>
      </c>
      <c r="I232" s="2" t="s">
        <v>518</v>
      </c>
      <c r="J232" s="2" t="s">
        <v>17</v>
      </c>
      <c r="K232" s="2">
        <v>1295</v>
      </c>
      <c r="L232" s="2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</row>
    <row r="233" spans="1:35">
      <c r="A233" s="2">
        <v>248</v>
      </c>
      <c r="B233" s="2" t="s">
        <v>507</v>
      </c>
      <c r="C233" s="2">
        <v>87</v>
      </c>
      <c r="D233" s="2" t="s">
        <v>508</v>
      </c>
      <c r="E233" s="2">
        <v>32499</v>
      </c>
      <c r="F233" s="2">
        <v>3105299060</v>
      </c>
      <c r="G233" s="2" t="s">
        <v>509</v>
      </c>
      <c r="H233" s="2" t="s">
        <v>507</v>
      </c>
      <c r="I233" s="2" t="s">
        <v>508</v>
      </c>
      <c r="J233" s="2" t="s">
        <v>24</v>
      </c>
      <c r="K233" s="2">
        <v>1295</v>
      </c>
      <c r="L233" s="2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</row>
    <row r="234" spans="1:35">
      <c r="A234" s="2">
        <v>249</v>
      </c>
      <c r="B234" s="2" t="s">
        <v>487</v>
      </c>
      <c r="C234" s="2">
        <v>16519</v>
      </c>
      <c r="D234" s="2" t="s">
        <v>519</v>
      </c>
      <c r="E234" s="2">
        <v>330508</v>
      </c>
      <c r="F234" s="2">
        <v>9092946628</v>
      </c>
      <c r="G234" s="2" t="s">
        <v>489</v>
      </c>
      <c r="H234" s="2" t="s">
        <v>490</v>
      </c>
      <c r="I234" s="2" t="s">
        <v>520</v>
      </c>
      <c r="J234" s="2" t="s">
        <v>49</v>
      </c>
      <c r="K234" s="2">
        <v>1295</v>
      </c>
      <c r="L234" s="2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</row>
    <row r="235" spans="1:35">
      <c r="A235" s="2">
        <v>250</v>
      </c>
      <c r="B235" s="2" t="s">
        <v>521</v>
      </c>
      <c r="C235" s="2">
        <v>1156</v>
      </c>
      <c r="D235" s="2" t="s">
        <v>522</v>
      </c>
      <c r="E235" s="2">
        <v>9076</v>
      </c>
      <c r="F235" s="2" t="s">
        <v>523</v>
      </c>
      <c r="G235" s="2" t="s">
        <v>524</v>
      </c>
      <c r="H235" s="2" t="s">
        <v>525</v>
      </c>
      <c r="I235" s="2" t="s">
        <v>526</v>
      </c>
      <c r="J235" s="2" t="s">
        <v>24</v>
      </c>
      <c r="K235" s="2">
        <v>1295</v>
      </c>
      <c r="L235" s="2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</row>
    <row r="236" spans="1:35">
      <c r="A236" s="2">
        <v>251</v>
      </c>
      <c r="B236" s="2" t="s">
        <v>527</v>
      </c>
      <c r="C236" s="2">
        <v>33580</v>
      </c>
      <c r="D236" s="2" t="s">
        <v>528</v>
      </c>
      <c r="E236" s="2">
        <v>558678</v>
      </c>
      <c r="F236" s="2">
        <v>8189292958</v>
      </c>
      <c r="G236" s="2" t="s">
        <v>529</v>
      </c>
      <c r="H236" s="2" t="s">
        <v>530</v>
      </c>
      <c r="I236" s="2">
        <v>8189292958</v>
      </c>
      <c r="J236" s="2" t="s">
        <v>24</v>
      </c>
      <c r="K236" s="2">
        <v>1295</v>
      </c>
      <c r="L236" s="2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</row>
    <row r="237" spans="1:35">
      <c r="A237" s="2">
        <v>252</v>
      </c>
      <c r="B237" s="2" t="s">
        <v>531</v>
      </c>
      <c r="C237" s="2">
        <v>26</v>
      </c>
      <c r="D237" s="2" t="s">
        <v>532</v>
      </c>
      <c r="E237" s="2">
        <v>11215</v>
      </c>
      <c r="F237" s="2">
        <v>9492871242</v>
      </c>
      <c r="G237" s="2" t="s">
        <v>533</v>
      </c>
      <c r="H237" s="2" t="s">
        <v>534</v>
      </c>
      <c r="I237" s="2" t="s">
        <v>535</v>
      </c>
      <c r="J237" s="2" t="s">
        <v>46</v>
      </c>
      <c r="K237" s="2">
        <v>1295</v>
      </c>
      <c r="L237" s="2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</row>
    <row r="238" spans="1:35">
      <c r="A238" s="2">
        <v>253</v>
      </c>
      <c r="B238" s="2" t="s">
        <v>531</v>
      </c>
      <c r="C238" s="2">
        <v>26</v>
      </c>
      <c r="D238" s="2" t="s">
        <v>532</v>
      </c>
      <c r="E238" s="2">
        <v>11215</v>
      </c>
      <c r="F238" s="2">
        <v>9492871242</v>
      </c>
      <c r="G238" s="2" t="s">
        <v>533</v>
      </c>
      <c r="H238" s="2" t="s">
        <v>536</v>
      </c>
      <c r="I238" s="2" t="s">
        <v>537</v>
      </c>
      <c r="J238" s="2" t="s">
        <v>95</v>
      </c>
      <c r="K238" s="2">
        <v>1295</v>
      </c>
      <c r="L238" s="2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</row>
    <row r="239" spans="1:35">
      <c r="A239" s="2">
        <v>254</v>
      </c>
      <c r="B239" s="2" t="s">
        <v>538</v>
      </c>
      <c r="C239" s="2">
        <v>15846</v>
      </c>
      <c r="D239" s="2" t="s">
        <v>539</v>
      </c>
      <c r="E239" s="2">
        <v>11215</v>
      </c>
      <c r="F239" s="2">
        <v>9492871242</v>
      </c>
      <c r="G239" s="2" t="s">
        <v>540</v>
      </c>
      <c r="H239" s="2" t="s">
        <v>541</v>
      </c>
      <c r="I239" s="2" t="s">
        <v>542</v>
      </c>
      <c r="J239" s="2" t="s">
        <v>40</v>
      </c>
      <c r="K239" s="2">
        <v>1295</v>
      </c>
      <c r="L239" s="2" t="s">
        <v>543</v>
      </c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</row>
    <row r="240" spans="1:35">
      <c r="A240" s="2">
        <v>255</v>
      </c>
      <c r="B240" s="2" t="s">
        <v>538</v>
      </c>
      <c r="C240" s="2">
        <v>15846</v>
      </c>
      <c r="D240" s="2" t="s">
        <v>539</v>
      </c>
      <c r="E240" s="2">
        <v>11215</v>
      </c>
      <c r="F240" s="2">
        <v>9492871242</v>
      </c>
      <c r="G240" s="2" t="s">
        <v>540</v>
      </c>
      <c r="H240" s="2" t="s">
        <v>538</v>
      </c>
      <c r="I240" s="2" t="s">
        <v>544</v>
      </c>
      <c r="J240" s="2" t="s">
        <v>95</v>
      </c>
      <c r="K240" s="2">
        <v>1295</v>
      </c>
      <c r="L240" s="2" t="s">
        <v>543</v>
      </c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</row>
    <row r="241" spans="1:35">
      <c r="A241" s="2">
        <v>256</v>
      </c>
      <c r="B241" s="2" t="s">
        <v>538</v>
      </c>
      <c r="C241" s="2">
        <v>15846</v>
      </c>
      <c r="D241" s="2" t="s">
        <v>539</v>
      </c>
      <c r="E241" s="2">
        <v>11215</v>
      </c>
      <c r="F241" s="2">
        <v>9492871242</v>
      </c>
      <c r="G241" s="2" t="s">
        <v>540</v>
      </c>
      <c r="H241" s="2" t="s">
        <v>538</v>
      </c>
      <c r="I241" s="2" t="s">
        <v>545</v>
      </c>
      <c r="J241" s="2" t="s">
        <v>49</v>
      </c>
      <c r="K241" s="2">
        <v>1295</v>
      </c>
      <c r="L241" s="2" t="s">
        <v>543</v>
      </c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</row>
    <row r="242" spans="1:35">
      <c r="A242" s="2">
        <v>257</v>
      </c>
      <c r="B242" s="2" t="s">
        <v>538</v>
      </c>
      <c r="C242" s="2">
        <v>15846</v>
      </c>
      <c r="D242" s="2" t="s">
        <v>539</v>
      </c>
      <c r="E242" s="2">
        <v>11215</v>
      </c>
      <c r="F242" s="2">
        <v>9492871242</v>
      </c>
      <c r="G242" s="2" t="s">
        <v>540</v>
      </c>
      <c r="H242" s="2" t="s">
        <v>538</v>
      </c>
      <c r="I242" s="2" t="s">
        <v>546</v>
      </c>
      <c r="J242" s="2" t="s">
        <v>69</v>
      </c>
      <c r="K242" s="2">
        <v>1295</v>
      </c>
      <c r="L242" s="2" t="s">
        <v>543</v>
      </c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</row>
    <row r="243" spans="1:35">
      <c r="A243" s="2">
        <v>258</v>
      </c>
      <c r="B243" s="2" t="s">
        <v>484</v>
      </c>
      <c r="C243" s="2">
        <v>18</v>
      </c>
      <c r="D243" s="2" t="s">
        <v>547</v>
      </c>
      <c r="E243" s="2">
        <v>13625</v>
      </c>
      <c r="F243" s="2">
        <v>9496329362</v>
      </c>
      <c r="G243" s="2" t="s">
        <v>548</v>
      </c>
      <c r="H243" s="2" t="s">
        <v>484</v>
      </c>
      <c r="I243" s="2" t="s">
        <v>549</v>
      </c>
      <c r="J243" s="2" t="s">
        <v>84</v>
      </c>
      <c r="K243" s="2">
        <v>1295</v>
      </c>
      <c r="L243" s="2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</row>
    <row r="244" spans="1:35">
      <c r="A244" s="2">
        <v>259</v>
      </c>
      <c r="B244" s="2" t="s">
        <v>484</v>
      </c>
      <c r="C244" s="2">
        <v>18</v>
      </c>
      <c r="D244" s="2" t="s">
        <v>547</v>
      </c>
      <c r="E244" s="2">
        <v>13625</v>
      </c>
      <c r="F244" s="2">
        <v>9496329362</v>
      </c>
      <c r="G244" s="2" t="s">
        <v>548</v>
      </c>
      <c r="H244" s="2" t="s">
        <v>484</v>
      </c>
      <c r="I244" s="2" t="s">
        <v>549</v>
      </c>
      <c r="J244" s="2" t="s">
        <v>53</v>
      </c>
      <c r="K244" s="2">
        <v>1295</v>
      </c>
      <c r="L244" s="2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</row>
    <row r="245" spans="1:35">
      <c r="A245" s="2">
        <v>260</v>
      </c>
      <c r="B245" s="2" t="s">
        <v>286</v>
      </c>
      <c r="C245" s="2">
        <v>35448</v>
      </c>
      <c r="D245" s="2" t="s">
        <v>550</v>
      </c>
      <c r="E245" s="2">
        <v>32819</v>
      </c>
      <c r="F245" s="2">
        <v>8059019998</v>
      </c>
      <c r="G245" s="2" t="s">
        <v>551</v>
      </c>
      <c r="H245" s="2" t="s">
        <v>552</v>
      </c>
      <c r="I245" s="2" t="s">
        <v>553</v>
      </c>
      <c r="J245" s="2" t="s">
        <v>24</v>
      </c>
      <c r="K245" s="2">
        <v>1295</v>
      </c>
      <c r="L245" s="2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</row>
    <row r="246" spans="1:35" ht="15" customHeight="1">
      <c r="A246" s="2">
        <v>261</v>
      </c>
      <c r="B246" s="2" t="s">
        <v>286</v>
      </c>
      <c r="C246" s="2">
        <v>35448</v>
      </c>
      <c r="D246" s="2" t="s">
        <v>550</v>
      </c>
      <c r="E246" s="2">
        <v>32819</v>
      </c>
      <c r="F246" s="2">
        <v>8059019998</v>
      </c>
      <c r="G246" s="2" t="s">
        <v>551</v>
      </c>
      <c r="H246" s="2" t="s">
        <v>554</v>
      </c>
      <c r="I246" s="2" t="s">
        <v>553</v>
      </c>
      <c r="J246" s="2" t="s">
        <v>16</v>
      </c>
      <c r="K246" s="2">
        <v>1295</v>
      </c>
      <c r="L246" s="2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</row>
    <row r="247" spans="1:35">
      <c r="A247" s="2">
        <v>262</v>
      </c>
      <c r="B247" s="2" t="s">
        <v>286</v>
      </c>
      <c r="C247" s="2">
        <v>35448</v>
      </c>
      <c r="D247" s="2" t="s">
        <v>550</v>
      </c>
      <c r="E247" s="2">
        <v>32819</v>
      </c>
      <c r="F247" s="2">
        <v>8059019998</v>
      </c>
      <c r="G247" s="2" t="s">
        <v>551</v>
      </c>
      <c r="H247" s="2" t="s">
        <v>555</v>
      </c>
      <c r="I247" s="2" t="s">
        <v>553</v>
      </c>
      <c r="J247" s="2" t="s">
        <v>30</v>
      </c>
      <c r="K247" s="2">
        <v>1295</v>
      </c>
      <c r="L247" s="2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</row>
    <row r="248" spans="1:35">
      <c r="A248" s="2">
        <v>263</v>
      </c>
      <c r="B248" s="2" t="s">
        <v>556</v>
      </c>
      <c r="C248" s="2">
        <v>20606</v>
      </c>
      <c r="D248" s="2" t="s">
        <v>557</v>
      </c>
      <c r="E248" s="2">
        <v>526060</v>
      </c>
      <c r="F248" s="2">
        <v>9492755678</v>
      </c>
      <c r="G248" s="2" t="s">
        <v>558</v>
      </c>
      <c r="H248" s="2" t="s">
        <v>559</v>
      </c>
      <c r="I248" s="2" t="s">
        <v>560</v>
      </c>
      <c r="J248" s="2" t="s">
        <v>46</v>
      </c>
      <c r="K248" s="2">
        <v>1295</v>
      </c>
      <c r="L248" s="2" t="s">
        <v>561</v>
      </c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</row>
    <row r="249" spans="1:35">
      <c r="A249" s="2">
        <v>264</v>
      </c>
      <c r="B249" s="2" t="s">
        <v>425</v>
      </c>
      <c r="C249" s="2">
        <v>30099</v>
      </c>
      <c r="D249" s="2" t="s">
        <v>426</v>
      </c>
      <c r="E249" s="2">
        <v>8961</v>
      </c>
      <c r="F249" s="2">
        <v>8312473770</v>
      </c>
      <c r="G249" s="2" t="s">
        <v>427</v>
      </c>
      <c r="H249" s="2" t="s">
        <v>425</v>
      </c>
      <c r="I249" s="2" t="s">
        <v>562</v>
      </c>
      <c r="J249" s="2" t="s">
        <v>53</v>
      </c>
      <c r="K249" s="2">
        <v>1295</v>
      </c>
      <c r="L249" s="2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</row>
    <row r="250" spans="1:35">
      <c r="A250" s="2">
        <v>265</v>
      </c>
      <c r="B250" s="2" t="s">
        <v>556</v>
      </c>
      <c r="C250" s="2">
        <v>20606</v>
      </c>
      <c r="D250" s="2" t="s">
        <v>557</v>
      </c>
      <c r="E250" s="2">
        <v>526060</v>
      </c>
      <c r="F250" s="2">
        <v>9492755678</v>
      </c>
      <c r="G250" s="2" t="s">
        <v>558</v>
      </c>
      <c r="H250" s="2" t="s">
        <v>559</v>
      </c>
      <c r="I250" s="2" t="s">
        <v>560</v>
      </c>
      <c r="J250" s="2" t="s">
        <v>40</v>
      </c>
      <c r="K250" s="2">
        <v>1295</v>
      </c>
      <c r="L250" s="2" t="s">
        <v>563</v>
      </c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</row>
    <row r="251" spans="1:35">
      <c r="A251" s="2">
        <v>266</v>
      </c>
      <c r="B251" s="2" t="s">
        <v>288</v>
      </c>
      <c r="C251" s="2">
        <v>1309</v>
      </c>
      <c r="D251" s="2" t="s">
        <v>289</v>
      </c>
      <c r="E251" s="2">
        <v>485717</v>
      </c>
      <c r="F251" s="2" t="s">
        <v>290</v>
      </c>
      <c r="G251" s="2" t="s">
        <v>291</v>
      </c>
      <c r="H251" s="2" t="s">
        <v>295</v>
      </c>
      <c r="I251" s="2" t="s">
        <v>460</v>
      </c>
      <c r="J251" s="2" t="s">
        <v>40</v>
      </c>
      <c r="K251" s="2">
        <v>1295</v>
      </c>
      <c r="L251" s="2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</row>
    <row r="252" spans="1:35">
      <c r="A252" s="2">
        <v>267</v>
      </c>
      <c r="B252" s="2" t="s">
        <v>564</v>
      </c>
      <c r="C252" s="2">
        <v>1834</v>
      </c>
      <c r="D252" s="2" t="s">
        <v>565</v>
      </c>
      <c r="E252" s="2">
        <v>33237</v>
      </c>
      <c r="F252" s="2">
        <v>9493072141</v>
      </c>
      <c r="G252" s="2" t="s">
        <v>566</v>
      </c>
      <c r="H252" s="2" t="s">
        <v>567</v>
      </c>
      <c r="I252" s="2" t="s">
        <v>565</v>
      </c>
      <c r="J252" s="2" t="s">
        <v>72</v>
      </c>
      <c r="K252" s="2">
        <v>1295</v>
      </c>
      <c r="L252" s="2" t="s">
        <v>568</v>
      </c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</row>
    <row r="253" spans="1:35">
      <c r="A253" s="2">
        <v>268</v>
      </c>
      <c r="B253" s="2" t="s">
        <v>564</v>
      </c>
      <c r="C253" s="2">
        <v>1834</v>
      </c>
      <c r="D253" s="2" t="s">
        <v>565</v>
      </c>
      <c r="E253" s="2">
        <v>33237</v>
      </c>
      <c r="F253" s="2">
        <v>9493072141</v>
      </c>
      <c r="G253" s="2" t="s">
        <v>566</v>
      </c>
      <c r="H253" s="2" t="s">
        <v>569</v>
      </c>
      <c r="I253" s="2"/>
      <c r="J253" s="2" t="s">
        <v>49</v>
      </c>
      <c r="K253" s="2">
        <v>1295</v>
      </c>
      <c r="L253" s="2" t="s">
        <v>568</v>
      </c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</row>
    <row r="254" spans="1:35">
      <c r="A254" s="2">
        <v>269</v>
      </c>
      <c r="B254" s="2" t="s">
        <v>564</v>
      </c>
      <c r="C254" s="2">
        <v>1834</v>
      </c>
      <c r="D254" s="2" t="s">
        <v>565</v>
      </c>
      <c r="E254" s="2">
        <v>33237</v>
      </c>
      <c r="F254" s="2">
        <v>9493072141</v>
      </c>
      <c r="G254" s="2" t="s">
        <v>566</v>
      </c>
      <c r="H254" s="2" t="s">
        <v>567</v>
      </c>
      <c r="I254" s="2" t="s">
        <v>565</v>
      </c>
      <c r="J254" s="2" t="s">
        <v>43</v>
      </c>
      <c r="K254" s="2">
        <v>1295</v>
      </c>
      <c r="L254" s="2" t="s">
        <v>568</v>
      </c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</row>
    <row r="255" spans="1:35">
      <c r="A255" s="2">
        <v>270</v>
      </c>
      <c r="B255" s="2" t="s">
        <v>564</v>
      </c>
      <c r="C255" s="2">
        <v>1834</v>
      </c>
      <c r="D255" s="2" t="s">
        <v>565</v>
      </c>
      <c r="E255" s="2">
        <v>33237</v>
      </c>
      <c r="F255" s="2">
        <v>9493072141</v>
      </c>
      <c r="G255" s="2" t="s">
        <v>566</v>
      </c>
      <c r="H255" s="2" t="s">
        <v>569</v>
      </c>
      <c r="I255" s="2"/>
      <c r="J255" s="2" t="s">
        <v>69</v>
      </c>
      <c r="K255" s="2">
        <v>1295</v>
      </c>
      <c r="L255" s="2" t="s">
        <v>568</v>
      </c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</row>
    <row r="256" spans="1:35">
      <c r="A256" s="2">
        <v>271</v>
      </c>
      <c r="B256" s="2" t="s">
        <v>564</v>
      </c>
      <c r="C256" s="2">
        <v>1834</v>
      </c>
      <c r="D256" s="2" t="s">
        <v>565</v>
      </c>
      <c r="E256" s="2">
        <v>33237</v>
      </c>
      <c r="F256" s="2">
        <v>9493072141</v>
      </c>
      <c r="G256" s="2" t="s">
        <v>566</v>
      </c>
      <c r="H256" s="2" t="s">
        <v>570</v>
      </c>
      <c r="I256" s="2" t="s">
        <v>565</v>
      </c>
      <c r="J256" s="2" t="s">
        <v>40</v>
      </c>
      <c r="K256" s="2">
        <v>1295</v>
      </c>
      <c r="L256" s="2" t="s">
        <v>568</v>
      </c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</row>
    <row r="257" spans="1:35">
      <c r="A257" s="2">
        <v>272</v>
      </c>
      <c r="B257" s="2" t="s">
        <v>564</v>
      </c>
      <c r="C257" s="2">
        <v>1834</v>
      </c>
      <c r="D257" s="2" t="s">
        <v>565</v>
      </c>
      <c r="E257" s="2">
        <v>33237</v>
      </c>
      <c r="F257" s="2">
        <v>9493072141</v>
      </c>
      <c r="G257" s="2" t="s">
        <v>566</v>
      </c>
      <c r="H257" s="2" t="s">
        <v>570</v>
      </c>
      <c r="I257" s="2"/>
      <c r="J257" s="2" t="s">
        <v>95</v>
      </c>
      <c r="K257" s="2">
        <v>1295</v>
      </c>
      <c r="L257" s="2" t="s">
        <v>568</v>
      </c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</row>
    <row r="258" spans="1:35">
      <c r="A258" s="2">
        <v>273</v>
      </c>
      <c r="B258" s="2" t="s">
        <v>564</v>
      </c>
      <c r="C258" s="2">
        <v>1834</v>
      </c>
      <c r="D258" s="2" t="s">
        <v>565</v>
      </c>
      <c r="E258" s="2">
        <v>33237</v>
      </c>
      <c r="F258" s="2">
        <v>9493072141</v>
      </c>
      <c r="G258" s="2" t="s">
        <v>566</v>
      </c>
      <c r="H258" s="2" t="s">
        <v>567</v>
      </c>
      <c r="I258" s="2" t="s">
        <v>565</v>
      </c>
      <c r="J258" s="2" t="s">
        <v>24</v>
      </c>
      <c r="K258" s="2">
        <v>1295</v>
      </c>
      <c r="L258" s="2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</row>
    <row r="259" spans="1:35">
      <c r="A259" s="2">
        <v>274</v>
      </c>
      <c r="B259" s="2" t="s">
        <v>564</v>
      </c>
      <c r="C259" s="2">
        <v>1834</v>
      </c>
      <c r="D259" s="2" t="s">
        <v>565</v>
      </c>
      <c r="E259" s="2">
        <v>33237</v>
      </c>
      <c r="F259" s="2">
        <v>9493072141</v>
      </c>
      <c r="G259" s="2" t="s">
        <v>566</v>
      </c>
      <c r="H259" s="2" t="s">
        <v>570</v>
      </c>
      <c r="I259" s="2" t="s">
        <v>565</v>
      </c>
      <c r="J259" s="2" t="s">
        <v>53</v>
      </c>
      <c r="K259" s="2">
        <v>1295</v>
      </c>
      <c r="L259" s="2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</row>
    <row r="260" spans="1:35">
      <c r="A260" s="2">
        <v>275</v>
      </c>
      <c r="B260" s="2" t="s">
        <v>564</v>
      </c>
      <c r="C260" s="2">
        <v>1834</v>
      </c>
      <c r="D260" s="2" t="s">
        <v>565</v>
      </c>
      <c r="E260" s="2">
        <v>33237</v>
      </c>
      <c r="F260" s="2">
        <v>9493072141</v>
      </c>
      <c r="G260" s="2" t="s">
        <v>566</v>
      </c>
      <c r="H260" s="2" t="s">
        <v>567</v>
      </c>
      <c r="I260" s="2" t="s">
        <v>565</v>
      </c>
      <c r="J260" s="2" t="s">
        <v>122</v>
      </c>
      <c r="K260" s="2">
        <v>1095</v>
      </c>
      <c r="L260" s="2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</row>
    <row r="261" spans="1:35">
      <c r="A261" s="2">
        <v>277</v>
      </c>
      <c r="B261" s="2" t="s">
        <v>571</v>
      </c>
      <c r="C261" s="2">
        <v>570</v>
      </c>
      <c r="D261" s="2" t="s">
        <v>572</v>
      </c>
      <c r="E261" s="2">
        <v>477069</v>
      </c>
      <c r="F261" s="2">
        <v>4083731352</v>
      </c>
      <c r="G261" s="2" t="s">
        <v>573</v>
      </c>
      <c r="H261" s="2" t="s">
        <v>574</v>
      </c>
      <c r="I261" s="2" t="s">
        <v>575</v>
      </c>
      <c r="J261" s="2" t="s">
        <v>46</v>
      </c>
      <c r="K261" s="2">
        <v>1295</v>
      </c>
      <c r="L261" s="2" t="s">
        <v>576</v>
      </c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</row>
    <row r="262" spans="1:35">
      <c r="A262" s="2">
        <v>278</v>
      </c>
      <c r="B262" s="2" t="s">
        <v>288</v>
      </c>
      <c r="C262" s="2">
        <v>1309</v>
      </c>
      <c r="D262" s="2" t="s">
        <v>289</v>
      </c>
      <c r="E262" s="2">
        <v>485717</v>
      </c>
      <c r="F262" s="2" t="s">
        <v>290</v>
      </c>
      <c r="G262" s="2" t="s">
        <v>291</v>
      </c>
      <c r="H262" s="2" t="s">
        <v>295</v>
      </c>
      <c r="I262" s="2" t="s">
        <v>577</v>
      </c>
      <c r="J262" s="2" t="s">
        <v>46</v>
      </c>
      <c r="K262" s="2">
        <v>1295</v>
      </c>
      <c r="L262" s="2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</row>
    <row r="263" spans="1:35">
      <c r="A263" s="2">
        <v>279</v>
      </c>
      <c r="B263" s="2" t="s">
        <v>578</v>
      </c>
      <c r="C263" s="2">
        <v>35337</v>
      </c>
      <c r="D263" s="2" t="s">
        <v>579</v>
      </c>
      <c r="E263" s="2">
        <v>715430</v>
      </c>
      <c r="F263" s="2">
        <v>9096814958</v>
      </c>
      <c r="G263" s="2" t="s">
        <v>580</v>
      </c>
      <c r="H263" s="2" t="s">
        <v>578</v>
      </c>
      <c r="I263" s="2" t="s">
        <v>581</v>
      </c>
      <c r="J263" s="2" t="s">
        <v>72</v>
      </c>
      <c r="K263" s="2">
        <v>1295</v>
      </c>
      <c r="L263" s="2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</row>
    <row r="264" spans="1:35">
      <c r="A264" s="2">
        <v>280</v>
      </c>
      <c r="B264" s="2" t="s">
        <v>582</v>
      </c>
      <c r="C264" s="2">
        <v>35012</v>
      </c>
      <c r="D264" s="2" t="s">
        <v>583</v>
      </c>
      <c r="E264" s="2">
        <v>18858</v>
      </c>
      <c r="F264" s="2" t="s">
        <v>584</v>
      </c>
      <c r="G264" s="2" t="s">
        <v>585</v>
      </c>
      <c r="H264" s="2" t="s">
        <v>586</v>
      </c>
      <c r="I264" s="2" t="s">
        <v>587</v>
      </c>
      <c r="J264" s="2" t="s">
        <v>588</v>
      </c>
      <c r="K264" s="2">
        <v>1295</v>
      </c>
      <c r="L264" s="2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</row>
    <row r="265" spans="1:35">
      <c r="A265" s="2">
        <v>281</v>
      </c>
      <c r="B265" s="2" t="s">
        <v>589</v>
      </c>
      <c r="C265" s="2">
        <v>35476</v>
      </c>
      <c r="D265" s="2" t="s">
        <v>590</v>
      </c>
      <c r="E265" s="2">
        <v>721618</v>
      </c>
      <c r="F265" s="2">
        <v>4243938958</v>
      </c>
      <c r="G265" s="2" t="s">
        <v>591</v>
      </c>
      <c r="H265" s="2" t="s">
        <v>592</v>
      </c>
      <c r="I265" s="2" t="s">
        <v>593</v>
      </c>
      <c r="J265" s="2" t="s">
        <v>37</v>
      </c>
      <c r="K265" s="2">
        <v>1095</v>
      </c>
      <c r="L265" s="2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</row>
    <row r="266" spans="1:35">
      <c r="A266" s="2">
        <v>282</v>
      </c>
      <c r="B266" s="2" t="s">
        <v>589</v>
      </c>
      <c r="C266" s="2">
        <v>35476</v>
      </c>
      <c r="D266" s="2" t="s">
        <v>590</v>
      </c>
      <c r="E266" s="2">
        <v>721618</v>
      </c>
      <c r="F266" s="2">
        <v>4243938958</v>
      </c>
      <c r="G266" s="2" t="s">
        <v>591</v>
      </c>
      <c r="H266" s="2" t="s">
        <v>592</v>
      </c>
      <c r="I266" s="2" t="s">
        <v>593</v>
      </c>
      <c r="J266" s="2" t="s">
        <v>128</v>
      </c>
      <c r="K266" s="2">
        <v>1295</v>
      </c>
      <c r="L266" s="2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</row>
    <row r="267" spans="1:35">
      <c r="A267" s="2">
        <v>283</v>
      </c>
      <c r="B267" s="2" t="s">
        <v>589</v>
      </c>
      <c r="C267" s="2">
        <v>35476</v>
      </c>
      <c r="D267" s="2" t="s">
        <v>590</v>
      </c>
      <c r="E267" s="2">
        <v>721618</v>
      </c>
      <c r="F267" s="2">
        <v>4243938958</v>
      </c>
      <c r="G267" s="2" t="s">
        <v>591</v>
      </c>
      <c r="H267" s="2" t="s">
        <v>592</v>
      </c>
      <c r="I267" s="2" t="s">
        <v>593</v>
      </c>
      <c r="J267" s="2" t="s">
        <v>17</v>
      </c>
      <c r="K267" s="2">
        <v>1295</v>
      </c>
      <c r="L267" s="2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</row>
    <row r="268" spans="1:35">
      <c r="A268" s="2">
        <v>284</v>
      </c>
      <c r="B268" s="2" t="s">
        <v>589</v>
      </c>
      <c r="C268" s="2">
        <v>35476</v>
      </c>
      <c r="D268" s="2" t="s">
        <v>590</v>
      </c>
      <c r="E268" s="2">
        <v>721618</v>
      </c>
      <c r="F268" s="2">
        <v>4243938958</v>
      </c>
      <c r="G268" s="2" t="s">
        <v>591</v>
      </c>
      <c r="H268" s="2" t="s">
        <v>592</v>
      </c>
      <c r="I268" s="2" t="s">
        <v>593</v>
      </c>
      <c r="J268" s="2" t="s">
        <v>53</v>
      </c>
      <c r="K268" s="2">
        <v>1295</v>
      </c>
      <c r="L268" s="2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</row>
    <row r="269" spans="1:35">
      <c r="A269" s="2">
        <v>285</v>
      </c>
      <c r="B269" s="2" t="s">
        <v>594</v>
      </c>
      <c r="C269" s="2">
        <v>35513</v>
      </c>
      <c r="D269" s="2" t="s">
        <v>595</v>
      </c>
      <c r="E269" s="2">
        <v>13569</v>
      </c>
      <c r="F269" s="2">
        <v>8188226162</v>
      </c>
      <c r="G269" s="2" t="s">
        <v>596</v>
      </c>
      <c r="H269" s="2" t="s">
        <v>597</v>
      </c>
      <c r="I269" s="2" t="s">
        <v>598</v>
      </c>
      <c r="J269" s="2" t="s">
        <v>72</v>
      </c>
      <c r="K269" s="2">
        <v>1295</v>
      </c>
      <c r="L269" s="2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</row>
    <row r="270" spans="1:35">
      <c r="A270" s="2">
        <v>286</v>
      </c>
      <c r="B270" s="2" t="s">
        <v>599</v>
      </c>
      <c r="C270" s="2">
        <v>19137</v>
      </c>
      <c r="D270" s="2" t="s">
        <v>165</v>
      </c>
      <c r="E270" s="2">
        <v>14837</v>
      </c>
      <c r="F270" s="2" t="s">
        <v>166</v>
      </c>
      <c r="G270" s="2" t="s">
        <v>167</v>
      </c>
      <c r="H270" s="2" t="s">
        <v>600</v>
      </c>
      <c r="I270" s="2" t="s">
        <v>601</v>
      </c>
      <c r="J270" s="2" t="s">
        <v>24</v>
      </c>
      <c r="K270" s="2">
        <v>1295</v>
      </c>
      <c r="L270" s="2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</row>
    <row r="271" spans="1:35">
      <c r="A271" s="2">
        <v>287</v>
      </c>
      <c r="B271" s="2" t="s">
        <v>602</v>
      </c>
      <c r="C271" s="2">
        <v>1280</v>
      </c>
      <c r="D271" s="2" t="s">
        <v>603</v>
      </c>
      <c r="E271" s="2">
        <v>325662</v>
      </c>
      <c r="F271" s="2" t="s">
        <v>604</v>
      </c>
      <c r="G271" s="2" t="s">
        <v>605</v>
      </c>
      <c r="H271" s="2" t="s">
        <v>602</v>
      </c>
      <c r="I271" s="2" t="s">
        <v>606</v>
      </c>
      <c r="J271" s="2" t="s">
        <v>37</v>
      </c>
      <c r="K271" s="2">
        <v>1095</v>
      </c>
      <c r="L271" s="2" t="s">
        <v>607</v>
      </c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</row>
    <row r="272" spans="1:35">
      <c r="A272" s="2">
        <v>288</v>
      </c>
      <c r="B272" s="2" t="s">
        <v>608</v>
      </c>
      <c r="C272" s="2">
        <v>17088</v>
      </c>
      <c r="D272" s="2" t="s">
        <v>609</v>
      </c>
      <c r="E272" s="2">
        <v>502246</v>
      </c>
      <c r="F272" s="2" t="s">
        <v>610</v>
      </c>
      <c r="G272" s="2" t="s">
        <v>611</v>
      </c>
      <c r="H272" s="2" t="s">
        <v>612</v>
      </c>
      <c r="I272" s="2" t="s">
        <v>610</v>
      </c>
      <c r="J272" s="2" t="s">
        <v>17</v>
      </c>
      <c r="K272" s="2">
        <v>1295</v>
      </c>
      <c r="L272" s="2" t="s">
        <v>613</v>
      </c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</row>
    <row r="273" spans="1:35">
      <c r="A273" s="2">
        <v>289</v>
      </c>
      <c r="B273" s="2" t="s">
        <v>608</v>
      </c>
      <c r="C273" s="2">
        <v>17088</v>
      </c>
      <c r="D273" s="2" t="s">
        <v>609</v>
      </c>
      <c r="E273" s="2">
        <v>502246</v>
      </c>
      <c r="F273" s="2" t="s">
        <v>610</v>
      </c>
      <c r="G273" s="2" t="s">
        <v>611</v>
      </c>
      <c r="H273" s="2" t="s">
        <v>608</v>
      </c>
      <c r="I273" s="2" t="s">
        <v>614</v>
      </c>
      <c r="J273" s="2" t="s">
        <v>227</v>
      </c>
      <c r="K273" s="2">
        <v>1295</v>
      </c>
      <c r="L273" s="2" t="s">
        <v>613</v>
      </c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</row>
    <row r="274" spans="1:35">
      <c r="A274" s="2">
        <v>290</v>
      </c>
      <c r="B274" s="2" t="s">
        <v>608</v>
      </c>
      <c r="C274" s="2">
        <v>17088</v>
      </c>
      <c r="D274" s="2" t="s">
        <v>609</v>
      </c>
      <c r="E274" s="2">
        <v>502246</v>
      </c>
      <c r="F274" s="2" t="s">
        <v>610</v>
      </c>
      <c r="G274" s="2" t="s">
        <v>611</v>
      </c>
      <c r="H274" s="2" t="s">
        <v>608</v>
      </c>
      <c r="I274" s="2"/>
      <c r="J274" s="2" t="s">
        <v>128</v>
      </c>
      <c r="K274" s="2">
        <v>1295</v>
      </c>
      <c r="L274" s="2" t="s">
        <v>613</v>
      </c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</row>
    <row r="275" spans="1:35">
      <c r="A275" s="2">
        <v>291</v>
      </c>
      <c r="B275" s="2" t="s">
        <v>615</v>
      </c>
      <c r="C275" s="2">
        <v>35550</v>
      </c>
      <c r="D275" s="2" t="s">
        <v>616</v>
      </c>
      <c r="E275" s="2">
        <v>338132</v>
      </c>
      <c r="F275" s="2">
        <v>3235592020</v>
      </c>
      <c r="G275" s="2" t="s">
        <v>617</v>
      </c>
      <c r="H275" s="2" t="s">
        <v>618</v>
      </c>
      <c r="I275" s="2" t="s">
        <v>619</v>
      </c>
      <c r="J275" s="2" t="s">
        <v>24</v>
      </c>
      <c r="K275" s="2">
        <v>1295</v>
      </c>
      <c r="L275" s="2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</row>
    <row r="276" spans="1:35">
      <c r="A276" s="2">
        <v>292</v>
      </c>
      <c r="B276" s="2" t="s">
        <v>615</v>
      </c>
      <c r="C276" s="2">
        <v>35550</v>
      </c>
      <c r="D276" s="2" t="s">
        <v>616</v>
      </c>
      <c r="E276" s="2">
        <v>338132</v>
      </c>
      <c r="F276" s="2">
        <v>3235592020</v>
      </c>
      <c r="G276" s="2" t="s">
        <v>617</v>
      </c>
      <c r="H276" s="2" t="s">
        <v>618</v>
      </c>
      <c r="I276" s="2" t="s">
        <v>619</v>
      </c>
      <c r="J276" s="2" t="s">
        <v>53</v>
      </c>
      <c r="K276" s="2">
        <v>1295</v>
      </c>
      <c r="L276" s="2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</row>
    <row r="277" spans="1:3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</row>
    <row r="278" spans="1:3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</row>
    <row r="279" spans="1:3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</row>
    <row r="280" spans="1:3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</row>
    <row r="281" spans="1:35" s="3" customForma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</row>
    <row r="282" spans="1:35" s="3" customForma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</row>
    <row r="283" spans="1:35" s="3" customForma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</row>
    <row r="284" spans="1:35" s="3" customForma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</row>
    <row r="285" spans="1:3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</row>
    <row r="286" spans="1:35" s="3" customForma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</row>
    <row r="287" spans="1:35" s="3" customForma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</row>
    <row r="288" spans="1:35" s="3" customForma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</row>
    <row r="289" spans="1:35" s="3" customForma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</row>
    <row r="290" spans="1:35" s="3" customForma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</row>
    <row r="291" spans="1:35" s="3" customForma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</row>
    <row r="292" spans="1:35" s="3" customForma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</row>
    <row r="293" spans="1:35" s="3" customForma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</row>
    <row r="294" spans="1:35" s="3" customForma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</row>
    <row r="295" spans="1:35" s="3" customForma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</row>
    <row r="296" spans="1:35" s="3" customForma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</row>
    <row r="297" spans="1:35" s="3" customForma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</row>
    <row r="298" spans="1:35" s="3" customForma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</row>
    <row r="299" spans="1:35" s="3" customForma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</row>
    <row r="300" spans="1:35" s="3" customForma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</row>
    <row r="301" spans="1:35" s="3" customForma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</row>
    <row r="302" spans="1:3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</row>
    <row r="303" spans="1:35" s="3" customFormat="1" ht="1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</row>
    <row r="304" spans="1:35" s="3" customForma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</row>
    <row r="305" spans="1:35" s="3" customForma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</row>
    <row r="306" spans="1:35" s="3" customForma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</row>
    <row r="307" spans="1:35" s="3" customForma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</row>
    <row r="308" spans="1:35" s="3" customForma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</row>
    <row r="309" spans="1:35" s="3" customForma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</row>
    <row r="310" spans="1:35" s="3" customForma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</row>
    <row r="311" spans="1:35" s="3" customForma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</row>
    <row r="312" spans="1:35" s="3" customForma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</row>
    <row r="313" spans="1:35" s="3" customForma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</row>
    <row r="314" spans="1:35" s="3" customForma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</row>
    <row r="315" spans="1:35" s="3" customForma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</row>
    <row r="316" spans="1:35" s="3" customForma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</row>
    <row r="317" spans="1:35" s="3" customForma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</row>
    <row r="318" spans="1:35" s="3" customForma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</row>
    <row r="319" spans="1:3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</row>
    <row r="320" spans="1:35" s="3" customForma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</row>
    <row r="321" spans="1:35" s="3" customForma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</row>
    <row r="322" spans="1:35" s="3" customForma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</row>
    <row r="323" spans="1:35" s="3" customForma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</row>
    <row r="324" spans="1:35" s="3" customForma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</row>
    <row r="325" spans="1:35" s="3" customForma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</row>
    <row r="326" spans="1:35" s="3" customForma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</row>
    <row r="327" spans="1:35" s="3" customForma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</row>
    <row r="328" spans="1:35" s="3" customForma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</row>
    <row r="329" spans="1:35" s="3" customForma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</row>
    <row r="330" spans="1:35" s="3" customForma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</row>
    <row r="331" spans="1:35" s="3" customForma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</row>
    <row r="332" spans="1:35" s="3" customForma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</row>
    <row r="333" spans="1:35" s="3" customForma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</row>
    <row r="334" spans="1:35" s="3" customForma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</row>
    <row r="335" spans="1:35" s="3" customForma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</row>
    <row r="336" spans="1:3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</row>
    <row r="337" spans="1:35" s="3" customForma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</row>
    <row r="338" spans="1:35" s="3" customForma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</row>
    <row r="339" spans="1:35" s="3" customFormat="1" ht="1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</row>
    <row r="340" spans="1:35" s="3" customForma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</row>
    <row r="341" spans="1:35" s="3" customForma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</row>
    <row r="342" spans="1:35" s="3" customForma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</row>
    <row r="343" spans="1:35" s="3" customForma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</row>
    <row r="344" spans="1:35" s="3" customForma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</row>
    <row r="345" spans="1:35" s="3" customForma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</row>
    <row r="346" spans="1:35" s="3" customForma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</row>
    <row r="347" spans="1:35" s="3" customForma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</row>
    <row r="348" spans="1:35" s="3" customForma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</row>
    <row r="349" spans="1:35" s="3" customForma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</row>
    <row r="350" spans="1:35" s="3" customForma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</row>
    <row r="351" spans="1:35" s="3" customForma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</row>
    <row r="352" spans="1:35" s="3" customForma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</row>
    <row r="353" spans="1:3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</row>
    <row r="354" spans="1:35" s="3" customForma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</row>
    <row r="355" spans="1:35" s="3" customForma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</row>
    <row r="356" spans="1:35" s="3" customForma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</row>
    <row r="357" spans="1:35" s="3" customForma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</row>
    <row r="358" spans="1:35" s="3" customForma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</row>
    <row r="359" spans="1:35" s="3" customForma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</row>
    <row r="360" spans="1:35" s="3" customForma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</row>
    <row r="361" spans="1:35" s="3" customForma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</row>
    <row r="362" spans="1:35" s="3" customForma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</row>
    <row r="363" spans="1:35" s="3" customForma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</row>
    <row r="364" spans="1:35" s="3" customForma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</row>
    <row r="365" spans="1:35" s="3" customForma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</row>
    <row r="366" spans="1:35" s="3" customForma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</row>
    <row r="367" spans="1:35" s="3" customForma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</row>
    <row r="368" spans="1:35" s="3" customForma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</row>
    <row r="369" spans="1:35" s="3" customForma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</row>
    <row r="370" spans="1:3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</row>
    <row r="371" spans="1:35" s="3" customForma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</row>
    <row r="372" spans="1:35" s="3" customForma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</row>
    <row r="373" spans="1:35" s="3" customForma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</row>
    <row r="374" spans="1:35" s="3" customForma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</row>
    <row r="375" spans="1:35" s="3" customFormat="1" ht="1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</row>
    <row r="376" spans="1:35" s="3" customForma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</row>
    <row r="377" spans="1:35" s="3" customForma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</row>
    <row r="378" spans="1:35" s="3" customForma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</row>
    <row r="379" spans="1:35" s="3" customForma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</row>
    <row r="380" spans="1:35" s="3" customForma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</row>
    <row r="381" spans="1:35" s="3" customForma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</row>
    <row r="382" spans="1:35" s="3" customForma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</row>
    <row r="383" spans="1:35" s="3" customForma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</row>
    <row r="384" spans="1:35" s="3" customForma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</row>
    <row r="385" spans="1:35" s="3" customForma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</row>
    <row r="386" spans="1:35" s="3" customForma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</row>
    <row r="387" spans="1:3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</row>
    <row r="388" spans="1:35" s="3" customForma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</row>
    <row r="389" spans="1:35" s="3" customForma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</row>
    <row r="390" spans="1:35" s="3" customForma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</row>
    <row r="391" spans="1:35" s="3" customForma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</row>
    <row r="392" spans="1:35" s="3" customForma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</row>
    <row r="393" spans="1:35" s="3" customForma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</row>
    <row r="394" spans="1:35" s="3" customForma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</row>
    <row r="395" spans="1:35" s="3" customForma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</row>
    <row r="396" spans="1:35" s="3" customForma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</row>
    <row r="397" spans="1:35" s="3" customForma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</row>
    <row r="398" spans="1:35" s="3" customForma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</row>
    <row r="399" spans="1:35" s="3" customForma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</row>
    <row r="400" spans="1:35" s="3" customForma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</row>
    <row r="401" spans="1:35" s="3" customForma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</row>
    <row r="402" spans="1:35" s="3" customForma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</row>
    <row r="403" spans="1:35" s="3" customForma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</row>
    <row r="404" spans="1:3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</row>
    <row r="405" spans="1:35" s="3" customForma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</row>
    <row r="406" spans="1:35" s="3" customForma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</row>
    <row r="407" spans="1:35" s="3" customForma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</row>
    <row r="408" spans="1:35" s="3" customForma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</row>
    <row r="409" spans="1:35" s="3" customForma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</row>
    <row r="410" spans="1:35" s="3" customForma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</row>
    <row r="411" spans="1:35" s="3" customFormat="1" ht="1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</row>
    <row r="412" spans="1:35" s="3" customForma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</row>
    <row r="413" spans="1:35" s="3" customForma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</row>
    <row r="414" spans="1:35" s="3" customForma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</row>
    <row r="415" spans="1:35" s="3" customForma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</row>
    <row r="416" spans="1:35" s="3" customForma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</row>
    <row r="417" spans="1:35" s="3" customForma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</row>
    <row r="418" spans="1:35" s="3" customForma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</row>
    <row r="419" spans="1:35" s="3" customForma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</row>
    <row r="420" spans="1:35" s="3" customForma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</row>
    <row r="421" spans="1:3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</row>
    <row r="422" spans="1:35" s="3" customForma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</row>
    <row r="423" spans="1:35" s="3" customForma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</row>
    <row r="424" spans="1:35" s="3" customForma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</row>
    <row r="425" spans="1:35" s="3" customForma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</row>
    <row r="426" spans="1:35" s="3" customForma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</row>
    <row r="427" spans="1:35" s="3" customForma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</row>
    <row r="428" spans="1:35" s="3" customForma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</row>
    <row r="429" spans="1:35" s="3" customForma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</row>
    <row r="430" spans="1:35" s="3" customForma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</row>
    <row r="431" spans="1:35" s="3" customForma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</row>
    <row r="432" spans="1:35" s="3" customForma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</row>
    <row r="433" spans="1:35" s="3" customForma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</row>
    <row r="434" spans="1:35" s="3" customForma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</row>
    <row r="435" spans="1:35" s="3" customForma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</row>
    <row r="436" spans="1:35" s="3" customForma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</row>
    <row r="437" spans="1:35" s="3" customForma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</row>
    <row r="438" spans="1:3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</row>
    <row r="439" spans="1:35" s="3" customForma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</row>
    <row r="440" spans="1:35" s="3" customForma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</row>
    <row r="441" spans="1:35" s="3" customForma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</row>
    <row r="442" spans="1:35" s="3" customForma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</row>
    <row r="443" spans="1:35" s="3" customForma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</row>
    <row r="444" spans="1:35" s="3" customForma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</row>
    <row r="445" spans="1:35" s="3" customForma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</row>
    <row r="446" spans="1:35" s="3" customForma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</row>
    <row r="447" spans="1:35" s="3" customFormat="1" ht="1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</row>
    <row r="448" spans="1:35" s="3" customForma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</row>
    <row r="449" spans="1:35" s="3" customForma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</row>
    <row r="450" spans="1:35" s="3" customForma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</row>
    <row r="451" spans="1:35" s="3" customForma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</row>
    <row r="452" spans="1:35" s="3" customForma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</row>
    <row r="453" spans="1:35" s="3" customForma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</row>
    <row r="454" spans="1:35" s="3" customForma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</row>
    <row r="455" spans="1:3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</row>
    <row r="456" spans="1:35" s="3" customForma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</row>
    <row r="457" spans="1:35" s="3" customForma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</row>
    <row r="458" spans="1:35" s="3" customForma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</row>
    <row r="459" spans="1:35" s="3" customForma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</row>
    <row r="460" spans="1:35" s="3" customForma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</row>
    <row r="461" spans="1:35" s="3" customForma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</row>
    <row r="462" spans="1:35" s="3" customForma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</row>
    <row r="463" spans="1:35" s="3" customForma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</row>
    <row r="464" spans="1:35" s="3" customForma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</row>
    <row r="465" spans="1:35" s="3" customForma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</row>
    <row r="466" spans="1:35" s="3" customForma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</row>
    <row r="467" spans="1:35" s="3" customForma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</row>
    <row r="468" spans="1:35" s="3" customForma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</row>
    <row r="469" spans="1:35" s="3" customForma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</row>
    <row r="470" spans="1:35" s="3" customForma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</row>
    <row r="471" spans="1:35" s="3" customForma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</row>
    <row r="472" spans="1:3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</row>
    <row r="473" spans="1:35" s="3" customForma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</row>
    <row r="474" spans="1:35" s="3" customForma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</row>
    <row r="475" spans="1:35" s="3" customForma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</row>
    <row r="476" spans="1:35" s="3" customForma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</row>
    <row r="477" spans="1:35" s="3" customForma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</row>
    <row r="478" spans="1:35" s="3" customForma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</row>
    <row r="479" spans="1:35" s="3" customForma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</row>
    <row r="480" spans="1:35" s="3" customForma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</row>
    <row r="481" spans="1:35" s="3" customForma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</row>
    <row r="482" spans="1:35" s="3" customForma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</row>
    <row r="483" spans="1:35" s="3" customFormat="1" ht="1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</row>
    <row r="484" spans="1:35" s="3" customForma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</row>
    <row r="485" spans="1:35" s="3" customForma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</row>
    <row r="486" spans="1:35" s="3" customForma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</row>
    <row r="487" spans="1:35" s="3" customForma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</row>
    <row r="488" spans="1:35" s="3" customForma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</row>
    <row r="489" spans="1:3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</row>
    <row r="490" spans="1:35" s="3" customForma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</row>
    <row r="491" spans="1:35" s="3" customForma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</row>
    <row r="492" spans="1:35" s="3" customForma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</row>
    <row r="493" spans="1:35" s="3" customForma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</row>
    <row r="494" spans="1:35" s="3" customForma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</row>
    <row r="495" spans="1:35" s="3" customForma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</row>
    <row r="496" spans="1:35" s="3" customForma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</row>
    <row r="497" spans="1:35" s="3" customForma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</row>
    <row r="498" spans="1:35" s="3" customForma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</row>
    <row r="499" spans="1:35" s="3" customForma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</row>
    <row r="500" spans="1:35" s="3" customForma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</row>
    <row r="501" spans="1:35" s="3" customForma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</row>
    <row r="502" spans="1:35" s="3" customForma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</row>
    <row r="503" spans="1:35" s="3" customForma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</row>
    <row r="504" spans="1:35" s="3" customForma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</row>
    <row r="505" spans="1:35" s="3" customForma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</row>
    <row r="506" spans="1:3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</row>
    <row r="507" spans="1:35" s="3" customForma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</row>
    <row r="508" spans="1:35" s="3" customForma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</row>
    <row r="509" spans="1:35" s="3" customForma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</row>
    <row r="510" spans="1:35" s="3" customForma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</row>
    <row r="511" spans="1:35" s="3" customForma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</row>
    <row r="512" spans="1:35" s="3" customForma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</row>
    <row r="513" spans="1:35" s="3" customForma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</row>
    <row r="514" spans="1:35" s="3" customForma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</row>
    <row r="515" spans="1:35" s="3" customForma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</row>
    <row r="516" spans="1:35" s="3" customForma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</row>
    <row r="517" spans="1:35" s="3" customForma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</row>
    <row r="518" spans="1:35" s="3" customForma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</row>
    <row r="519" spans="1:35" s="3" customFormat="1" ht="1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</row>
    <row r="520" spans="1:35" s="3" customForma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</row>
    <row r="521" spans="1:35" s="3" customForma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</row>
    <row r="522" spans="1:35" s="3" customForma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</row>
    <row r="523" spans="1:3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</row>
    <row r="524" spans="1:35" s="3" customForma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</row>
    <row r="525" spans="1:35" s="3" customForma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</row>
    <row r="526" spans="1:35" s="3" customForma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</row>
    <row r="527" spans="1:3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</row>
    <row r="528" spans="1:3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</row>
    <row r="529" spans="1:3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</row>
    <row r="530" spans="1:3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</row>
    <row r="531" spans="1:3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</row>
    <row r="532" spans="1:3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</row>
    <row r="533" spans="1:3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</row>
    <row r="534" spans="1:3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</row>
    <row r="535" spans="1: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</row>
    <row r="536" spans="1:3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</row>
    <row r="537" spans="1:3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</row>
    <row r="538" spans="1:3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</row>
    <row r="539" spans="1:3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</row>
    <row r="540" spans="1:3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</row>
    <row r="541" spans="1:3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</row>
    <row r="542" spans="1:3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</row>
    <row r="543" spans="1:3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</row>
    <row r="544" spans="1:3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</row>
    <row r="545" spans="1:3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</row>
    <row r="546" spans="1:3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</row>
    <row r="547" spans="1:3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</row>
    <row r="548" spans="1:3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</row>
    <row r="549" spans="1:3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</row>
    <row r="550" spans="1:3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</row>
    <row r="551" spans="1:3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</row>
    <row r="552" spans="1:3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</row>
    <row r="553" spans="1:3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</row>
    <row r="554" spans="1:3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</row>
    <row r="555" spans="1:3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</row>
    <row r="556" spans="1:3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</row>
    <row r="557" spans="1:3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</row>
    <row r="558" spans="1:3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</row>
    <row r="559" spans="1:3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</row>
    <row r="560" spans="1:3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</row>
    <row r="561" spans="1:3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</row>
    <row r="562" spans="1:3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</row>
    <row r="563" spans="1:3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</row>
    <row r="564" spans="1:3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</row>
    <row r="565" spans="1:3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</row>
    <row r="566" spans="1:3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</row>
    <row r="567" spans="1:3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</row>
    <row r="568" spans="1:3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016D1-1C48-4661-829C-EA433391AAD6}">
  <sheetPr>
    <pageSetUpPr fitToPage="1"/>
  </sheetPr>
  <dimension ref="A1:N110"/>
  <sheetViews>
    <sheetView workbookViewId="0"/>
  </sheetViews>
  <sheetFormatPr defaultRowHeight="18"/>
  <cols>
    <col min="1" max="2" width="25" style="331" customWidth="1"/>
    <col min="3" max="3" width="37.42578125" style="331" customWidth="1"/>
    <col min="4" max="4" width="25" style="331" customWidth="1"/>
    <col min="5" max="5" width="46" style="331" customWidth="1"/>
    <col min="6" max="6" width="25" style="331" customWidth="1"/>
    <col min="7" max="7" width="44" style="331" customWidth="1"/>
    <col min="8" max="8" width="25" style="331" customWidth="1"/>
    <col min="9" max="9" width="21.140625" style="331" bestFit="1" customWidth="1"/>
    <col min="10" max="10" width="30.140625" style="331" customWidth="1"/>
    <col min="11" max="11" width="5.5703125" style="331" customWidth="1"/>
    <col min="12" max="12" width="9.140625" style="331"/>
    <col min="13" max="13" width="44.85546875" style="331" bestFit="1" customWidth="1"/>
    <col min="14" max="14" width="5.5703125" style="331" customWidth="1"/>
    <col min="15" max="16384" width="9.140625" style="331"/>
  </cols>
  <sheetData>
    <row r="1" spans="1:14">
      <c r="A1" s="8" t="str">
        <f>'10U COED GOLD-16 TEAMS CUSTOM'!A9</f>
        <v>DATE</v>
      </c>
      <c r="B1" s="116" t="str">
        <f>'10U COED GOLD-16 TEAMS CUSTOM'!B9</f>
        <v>TIME</v>
      </c>
      <c r="C1" s="8" t="str">
        <f>'10U COED GOLD-16 TEAMS CUSTOM'!C9&amp;""</f>
        <v>LOCATION</v>
      </c>
      <c r="D1" s="8" t="str">
        <f>'10U COED GOLD-16 TEAMS CUSTOM'!D9&amp;""</f>
        <v>GAME ID</v>
      </c>
      <c r="E1" s="8" t="str">
        <f>'10U COED GOLD-16 TEAMS CUSTOM'!E9&amp;""</f>
        <v>WHITE TEAM</v>
      </c>
      <c r="F1" s="8" t="str">
        <f>'10U COED GOLD-16 TEAMS CUSTOM'!F9&amp;""</f>
        <v>S</v>
      </c>
      <c r="G1" s="8" t="str">
        <f>'10U COED GOLD-16 TEAMS CUSTOM'!G9&amp;""</f>
        <v>DARK TEAM</v>
      </c>
      <c r="H1" s="8" t="str">
        <f>'10U COED GOLD-16 TEAMS CUSTOM'!H9&amp;""</f>
        <v>S</v>
      </c>
      <c r="I1" s="8" t="str">
        <f>'10U COED GOLD-16 TEAMS CUSTOM'!I9&amp;""</f>
        <v>COMMENTS</v>
      </c>
      <c r="J1" s="8" t="str">
        <f>'10U COED GOLD-16 TEAMS CUSTOM'!J9&amp;""</f>
        <v>DIVISION</v>
      </c>
    </row>
    <row r="2" spans="1:14">
      <c r="L2" s="110" t="str">
        <f>'10U COED GOLD-16 TEAMS CUSTOM'!I46&amp;""</f>
        <v>1st</v>
      </c>
      <c r="M2" s="110" t="str">
        <f>'10U COED GOLD-16 TEAMS CUSTOM'!J46&amp;""</f>
        <v>DAVIS</v>
      </c>
      <c r="N2" s="332"/>
    </row>
    <row r="3" spans="1:14">
      <c r="A3" s="115">
        <f>'10U COED GOLD-16 TEAMS CUSTOM'!A40</f>
        <v>46054</v>
      </c>
      <c r="B3" s="114">
        <f>'10U COED GOLD-16 TEAMS CUSTOM'!B40</f>
        <v>0.52083333333333304</v>
      </c>
      <c r="C3" s="114" t="str">
        <f>'10U COED GOLD-16 TEAMS CUSTOM'!C40&amp;""</f>
        <v>WOOLLETT FAR LEFT</v>
      </c>
      <c r="D3" s="110" t="str">
        <f>'10U COED GOLD-16 TEAMS CUSTOM'!D40&amp;""</f>
        <v>10Cau29</v>
      </c>
      <c r="E3" s="110" t="str">
        <f>'10U COED GOLD-16 TEAMS CUSTOM'!E40&amp;""</f>
        <v>L#21-YOLO YELLOW</v>
      </c>
      <c r="F3" s="110" t="str">
        <f>'10U COED GOLD-16 TEAMS CUSTOM'!F40&amp;""</f>
        <v>11.2</v>
      </c>
      <c r="G3" s="110" t="str">
        <f>'10U COED GOLD-16 TEAMS CUSTOM'!G40&amp;""</f>
        <v>L#22-SOUTH BAY UNITED</v>
      </c>
      <c r="H3" s="110" t="str">
        <f>'10U COED GOLD-16 TEAMS CUSTOM'!H40&amp;""</f>
        <v>11.1</v>
      </c>
      <c r="I3" s="110" t="str">
        <f>'10U COED GOLD-16 TEAMS CUSTOM'!I40&amp;""</f>
        <v>3rd Coed</v>
      </c>
      <c r="J3" s="110" t="str">
        <f>'10U COED GOLD-16 TEAMS CUSTOM'!J40&amp;""</f>
        <v>10U_COED_GOLD</v>
      </c>
      <c r="L3" s="110" t="str">
        <f>'10U COED GOLD-16 TEAMS CUSTOM'!I47&amp;""</f>
        <v>2nd</v>
      </c>
      <c r="M3" s="110" t="str">
        <f>'10U COED GOLD-16 TEAMS CUSTOM'!J47&amp;""</f>
        <v>LA JOLLA UNITED</v>
      </c>
      <c r="N3" s="332"/>
    </row>
    <row r="4" spans="1:14">
      <c r="A4" s="115">
        <f>'10U COED GOLD-16 TEAMS CUSTOM'!A42</f>
        <v>46054</v>
      </c>
      <c r="B4" s="114">
        <f>'10U COED GOLD-16 TEAMS CUSTOM'!B42</f>
        <v>0.55208333333333304</v>
      </c>
      <c r="C4" s="114" t="str">
        <f>'10U COED GOLD-16 TEAMS CUSTOM'!C42&amp;""</f>
        <v>WOOLLETT FAR LEFT</v>
      </c>
      <c r="D4" s="110" t="str">
        <f>'10U COED GOLD-16 TEAMS CUSTOM'!D42&amp;""</f>
        <v>10Cau30</v>
      </c>
      <c r="E4" s="110" t="str">
        <f>'10U COED GOLD-16 TEAMS CUSTOM'!E42&amp;""</f>
        <v>W#21-LA JOLLA UNITED</v>
      </c>
      <c r="F4" s="110" t="str">
        <f>'10U COED GOLD-16 TEAMS CUSTOM'!F42&amp;""</f>
        <v>7</v>
      </c>
      <c r="G4" s="110" t="str">
        <f>'10U COED GOLD-16 TEAMS CUSTOM'!G42&amp;""</f>
        <v>W#22-DAVIS</v>
      </c>
      <c r="H4" s="110" t="str">
        <f>'10U COED GOLD-16 TEAMS CUSTOM'!H42&amp;""</f>
        <v>13</v>
      </c>
      <c r="I4" s="110" t="str">
        <f>'10U COED GOLD-16 TEAMS CUSTOM'!I42&amp;""</f>
        <v>1st Coed</v>
      </c>
      <c r="J4" s="110" t="str">
        <f>'10U COED GOLD-16 TEAMS CUSTOM'!J42&amp;""</f>
        <v>10U_COED_GOLD</v>
      </c>
      <c r="L4" s="110" t="str">
        <f>'10U COED GOLD-16 TEAMS CUSTOM'!I48&amp;""</f>
        <v>3rd</v>
      </c>
      <c r="M4" s="110" t="str">
        <f>'10U COED GOLD-16 TEAMS CUSTOM'!J48&amp;""</f>
        <v>YOLO YELLOW</v>
      </c>
      <c r="N4" s="332"/>
    </row>
    <row r="5" spans="1:14">
      <c r="M5" s="331" t="str">
        <f>'10U COED GOLD-16 TEAMS CUSTOM'!J50&amp;""</f>
        <v/>
      </c>
      <c r="N5" s="332"/>
    </row>
    <row r="6" spans="1:14">
      <c r="A6" s="337">
        <f>'10U COED GOLD-16 TEAMS CUSTOM'!A14</f>
        <v>46053</v>
      </c>
      <c r="B6" s="338">
        <f>'10U COED GOLD-16 TEAMS CUSTOM'!B14</f>
        <v>0.45833333333333298</v>
      </c>
      <c r="C6" s="338" t="str">
        <f>'10U COED GOLD-16 TEAMS CUSTOM'!C14&amp;""</f>
        <v>WOOLLETT FAR LEFT</v>
      </c>
      <c r="D6" s="340" t="str">
        <f>'10U COED GOLD-16 TEAMS CUSTOM'!D14&amp;""</f>
        <v>10Cau05</v>
      </c>
      <c r="E6" s="340" t="str">
        <f>'10U COED GOLD-16 TEAMS CUSTOM'!E14&amp;""</f>
        <v>G1-LAMORINDA BLUE (A) (girls)</v>
      </c>
      <c r="F6" s="340" t="str">
        <f>'10U COED GOLD-16 TEAMS CUSTOM'!F14&amp;""</f>
        <v>19</v>
      </c>
      <c r="G6" s="340" t="str">
        <f>'10U COED GOLD-16 TEAMS CUSTOM'!G14&amp;""</f>
        <v>G4-SAN CLEMENTE RED (girls)</v>
      </c>
      <c r="H6" s="339" t="str">
        <f>'10U COED GOLD-16 TEAMS CUSTOM'!H14&amp;""</f>
        <v>1</v>
      </c>
      <c r="I6" s="340" t="str">
        <f>'10U COED GOLD-16 TEAMS CUSTOM'!I14&amp;""</f>
        <v>girls 1st-4th</v>
      </c>
      <c r="J6" s="339" t="s">
        <v>254</v>
      </c>
      <c r="K6" s="442"/>
      <c r="L6" s="340" t="str">
        <f>'10U COED GOLD-16 TEAMS CUSTOM'!I51&amp;""</f>
        <v>1st</v>
      </c>
      <c r="M6" s="340" t="str">
        <f>'10U COED GOLD-16 TEAMS CUSTOM'!J51&amp;""</f>
        <v>LAMORINDA BLUE (A) (girls)</v>
      </c>
      <c r="N6" s="332"/>
    </row>
    <row r="7" spans="1:14">
      <c r="A7" s="337">
        <f>'10U COED GOLD-16 TEAMS CUSTOM'!A16</f>
        <v>46053</v>
      </c>
      <c r="B7" s="338">
        <f>'10U COED GOLD-16 TEAMS CUSTOM'!B16</f>
        <v>0.48958333333333298</v>
      </c>
      <c r="C7" s="338" t="str">
        <f>'10U COED GOLD-16 TEAMS CUSTOM'!C16&amp;""</f>
        <v>WOOLLETT FAR LEFT</v>
      </c>
      <c r="D7" s="340" t="str">
        <f>'10U COED GOLD-16 TEAMS CUSTOM'!D16&amp;""</f>
        <v>10Cau06</v>
      </c>
      <c r="E7" s="340" t="str">
        <f>'10U COED GOLD-16 TEAMS CUSTOM'!E16&amp;""</f>
        <v>G2-DEL MAR BLUE (girls)</v>
      </c>
      <c r="F7" s="340" t="str">
        <f>'10U COED GOLD-16 TEAMS CUSTOM'!F16&amp;""</f>
        <v>12</v>
      </c>
      <c r="G7" s="340" t="str">
        <f>'10U COED GOLD-16 TEAMS CUSTOM'!G16&amp;""</f>
        <v>G3-680 RED (girls)</v>
      </c>
      <c r="H7" s="339" t="str">
        <f>'10U COED GOLD-16 TEAMS CUSTOM'!H16&amp;""</f>
        <v>5</v>
      </c>
      <c r="I7" s="340" t="str">
        <f>'10U COED GOLD-16 TEAMS CUSTOM'!I16&amp;""</f>
        <v>girls 1st-4th</v>
      </c>
      <c r="J7" s="339" t="s">
        <v>254</v>
      </c>
      <c r="K7" s="442"/>
      <c r="L7" s="340" t="str">
        <f>'10U COED GOLD-16 TEAMS CUSTOM'!I52&amp;""</f>
        <v>2nd</v>
      </c>
      <c r="M7" s="340" t="str">
        <f>'10U COED GOLD-16 TEAMS CUSTOM'!J52&amp;""</f>
        <v>DEL MAR BLUE (girls)</v>
      </c>
      <c r="N7" s="332"/>
    </row>
    <row r="8" spans="1:14">
      <c r="A8" s="337">
        <f>'10U COED GOLD-16 TEAMS CUSTOM'!A22</f>
        <v>46053</v>
      </c>
      <c r="B8" s="338">
        <f>'10U COED GOLD-16 TEAMS CUSTOM'!B22</f>
        <v>0.64583333333333304</v>
      </c>
      <c r="C8" s="338" t="str">
        <f>'10U COED GOLD-16 TEAMS CUSTOM'!C22&amp;""</f>
        <v>WOOLLETT FAR LEFT</v>
      </c>
      <c r="D8" s="340" t="str">
        <f>'10U COED GOLD-16 TEAMS CUSTOM'!D22&amp;""</f>
        <v>10Cau11</v>
      </c>
      <c r="E8" s="340" t="str">
        <f>'10U COED GOLD-16 TEAMS CUSTOM'!E22&amp;""</f>
        <v>G1-LAMORINDA BLUE (A) (girls)</v>
      </c>
      <c r="F8" s="340" t="str">
        <f>'10U COED GOLD-16 TEAMS CUSTOM'!F22&amp;""</f>
        <v>17</v>
      </c>
      <c r="G8" s="340" t="str">
        <f>'10U COED GOLD-16 TEAMS CUSTOM'!G22&amp;""</f>
        <v>G3-680 RED (girls)</v>
      </c>
      <c r="H8" s="339" t="str">
        <f>'10U COED GOLD-16 TEAMS CUSTOM'!H22&amp;""</f>
        <v>3</v>
      </c>
      <c r="I8" s="340" t="str">
        <f>'10U COED GOLD-16 TEAMS CUSTOM'!I22&amp;""</f>
        <v>girls 1st-4th</v>
      </c>
      <c r="J8" s="339" t="s">
        <v>254</v>
      </c>
      <c r="K8" s="442"/>
      <c r="L8" s="340" t="str">
        <f>'10U COED GOLD-16 TEAMS CUSTOM'!I53&amp;""</f>
        <v>3rd</v>
      </c>
      <c r="M8" s="340" t="str">
        <f>'10U COED GOLD-16 TEAMS CUSTOM'!J53&amp;""</f>
        <v>680 RED (girls)</v>
      </c>
      <c r="N8" s="332"/>
    </row>
    <row r="9" spans="1:14">
      <c r="A9" s="337">
        <f>'10U COED GOLD-16 TEAMS CUSTOM'!A24</f>
        <v>46053</v>
      </c>
      <c r="B9" s="338">
        <f>'10U COED GOLD-16 TEAMS CUSTOM'!B24</f>
        <v>0.67708333333333304</v>
      </c>
      <c r="C9" s="338" t="str">
        <f>'10U COED GOLD-16 TEAMS CUSTOM'!C24&amp;""</f>
        <v>WOOLLETT FAR LEFT</v>
      </c>
      <c r="D9" s="340" t="str">
        <f>'10U COED GOLD-16 TEAMS CUSTOM'!D24&amp;""</f>
        <v>10Cau12</v>
      </c>
      <c r="E9" s="340" t="str">
        <f>'10U COED GOLD-16 TEAMS CUSTOM'!E24&amp;""</f>
        <v>G2-DEL MAR BLUE (girls)</v>
      </c>
      <c r="F9" s="340" t="str">
        <f>'10U COED GOLD-16 TEAMS CUSTOM'!F24&amp;""</f>
        <v>17</v>
      </c>
      <c r="G9" s="340" t="str">
        <f>'10U COED GOLD-16 TEAMS CUSTOM'!G24&amp;""</f>
        <v>G4-SAN CLEMENTE RED (girls)</v>
      </c>
      <c r="H9" s="339" t="str">
        <f>'10U COED GOLD-16 TEAMS CUSTOM'!H24&amp;""</f>
        <v>4</v>
      </c>
      <c r="I9" s="340" t="str">
        <f>'10U COED GOLD-16 TEAMS CUSTOM'!I24&amp;""</f>
        <v>girls 1st-4th</v>
      </c>
      <c r="J9" s="339" t="s">
        <v>254</v>
      </c>
      <c r="K9" s="442"/>
      <c r="N9" s="332"/>
    </row>
    <row r="10" spans="1:14">
      <c r="A10" s="337">
        <f>'10U COED GOLD-16 TEAMS CUSTOM'!A29</f>
        <v>46054</v>
      </c>
      <c r="B10" s="338">
        <f>'10U COED GOLD-16 TEAMS CUSTOM'!B29</f>
        <v>0.33333333333333331</v>
      </c>
      <c r="C10" s="338" t="str">
        <f>'10U COED GOLD-16 TEAMS CUSTOM'!C29&amp;""</f>
        <v>WOOLLETT FAR LEFT</v>
      </c>
      <c r="D10" s="340" t="str">
        <f>'10U COED GOLD-16 TEAMS CUSTOM'!D29&amp;""</f>
        <v>10Cau17</v>
      </c>
      <c r="E10" s="340" t="str">
        <f>'10U COED GOLD-16 TEAMS CUSTOM'!E29&amp;""</f>
        <v>G1-LAMORINDA BLUE (A) (girls)</v>
      </c>
      <c r="F10" s="340" t="str">
        <f>'10U COED GOLD-16 TEAMS CUSTOM'!F29&amp;""</f>
        <v>8</v>
      </c>
      <c r="G10" s="340" t="str">
        <f>'10U COED GOLD-16 TEAMS CUSTOM'!G29&amp;""</f>
        <v>G2-DEL MAR BLUE (girls)</v>
      </c>
      <c r="H10" s="339" t="str">
        <f>'10U COED GOLD-16 TEAMS CUSTOM'!H29&amp;""</f>
        <v>2</v>
      </c>
      <c r="I10" s="340" t="str">
        <f>'10U COED GOLD-16 TEAMS CUSTOM'!I29&amp;""</f>
        <v>girls 1st-4th</v>
      </c>
      <c r="J10" s="339" t="s">
        <v>254</v>
      </c>
      <c r="N10" s="332"/>
    </row>
    <row r="11" spans="1:14">
      <c r="A11" s="337">
        <f>'10U COED GOLD-16 TEAMS CUSTOM'!A31</f>
        <v>46054</v>
      </c>
      <c r="B11" s="338">
        <f>'10U COED GOLD-16 TEAMS CUSTOM'!B31</f>
        <v>0.36458333333333331</v>
      </c>
      <c r="C11" s="338" t="str">
        <f>'10U COED GOLD-16 TEAMS CUSTOM'!C31&amp;""</f>
        <v>WOOLLETT FAR LEFT</v>
      </c>
      <c r="D11" s="340" t="str">
        <f>'10U COED GOLD-16 TEAMS CUSTOM'!D31&amp;""</f>
        <v>10Cau18</v>
      </c>
      <c r="E11" s="340" t="str">
        <f>'10U COED GOLD-16 TEAMS CUSTOM'!E31&amp;""</f>
        <v>G3-680 RED (girls)</v>
      </c>
      <c r="F11" s="340" t="str">
        <f>'10U COED GOLD-16 TEAMS CUSTOM'!F31&amp;""</f>
        <v>11</v>
      </c>
      <c r="G11" s="340" t="str">
        <f>'10U COED GOLD-16 TEAMS CUSTOM'!G31&amp;""</f>
        <v>G4-SAN CLEMENTE RED (girls)</v>
      </c>
      <c r="H11" s="339" t="str">
        <f>'10U COED GOLD-16 TEAMS CUSTOM'!H31&amp;""</f>
        <v>8</v>
      </c>
      <c r="I11" s="340" t="str">
        <f>'10U COED GOLD-16 TEAMS CUSTOM'!I31&amp;""</f>
        <v>girls 1st-4th</v>
      </c>
      <c r="J11" s="339" t="s">
        <v>254</v>
      </c>
      <c r="N11" s="332"/>
    </row>
    <row r="12" spans="1:14">
      <c r="N12" s="332"/>
    </row>
    <row r="13" spans="1:14">
      <c r="A13" s="332"/>
      <c r="B13" s="332"/>
      <c r="C13" s="332"/>
      <c r="D13" s="332"/>
      <c r="E13" s="332"/>
      <c r="F13" s="332"/>
      <c r="G13" s="332"/>
      <c r="H13" s="332"/>
      <c r="I13" s="332"/>
      <c r="J13" s="332"/>
      <c r="K13" s="332"/>
      <c r="L13" s="332"/>
      <c r="M13" s="332"/>
      <c r="N13" s="332"/>
    </row>
    <row r="14" spans="1:14">
      <c r="J14" s="333" t="s">
        <v>620</v>
      </c>
      <c r="L14" s="111" t="str">
        <f>'10U COED PLATINUM-8 TEAMS'!I32&amp;""</f>
        <v>1st</v>
      </c>
      <c r="M14" s="111" t="str">
        <f>'10U COED PLATINUM-8 TEAMS'!J32&amp;""</f>
        <v>NORTH IRVINE BLACK</v>
      </c>
      <c r="N14" s="332"/>
    </row>
    <row r="15" spans="1:14">
      <c r="A15" s="125">
        <f>'10U COED PLATINUM-8 TEAMS'!A29</f>
        <v>46054</v>
      </c>
      <c r="B15" s="124">
        <f>'10U COED PLATINUM-8 TEAMS'!B29</f>
        <v>0.64583333333333304</v>
      </c>
      <c r="C15" s="111" t="str">
        <f>'10U COED PLATINUM-8 TEAMS'!C29&amp;""</f>
        <v>WOOLLETT FAR LEFT</v>
      </c>
      <c r="D15" s="111" t="str">
        <f>'10U COED PLATINUM-8 TEAMS'!D29&amp;""</f>
        <v>10Cpt15</v>
      </c>
      <c r="E15" s="111" t="str">
        <f>'10U COED PLATINUM-8 TEAMS'!E29&amp;""</f>
        <v>2ndA-CHANNEL ISLANDS UNITED</v>
      </c>
      <c r="F15" s="111" t="str">
        <f>'10U COED PLATINUM-8 TEAMS'!F29&amp;""</f>
        <v>9</v>
      </c>
      <c r="G15" s="111" t="str">
        <f>'10U COED PLATINUM-8 TEAMS'!G29&amp;""</f>
        <v>2ndB-CHULA VISTA PREMIER</v>
      </c>
      <c r="H15" s="111" t="str">
        <f>'10U COED PLATINUM-8 TEAMS'!H29&amp;""</f>
        <v>8</v>
      </c>
      <c r="I15" s="111" t="str">
        <f>'10U COED PLATINUM-8 TEAMS'!I29&amp;""</f>
        <v>3rd</v>
      </c>
      <c r="J15" s="111" t="str">
        <f>'10U COED PLATINUM-8 TEAMS'!J29&amp;""</f>
        <v>10U_COED_PLATINUM</v>
      </c>
      <c r="L15" s="111" t="str">
        <f>'10U COED PLATINUM-8 TEAMS'!I33&amp;""</f>
        <v>2nd</v>
      </c>
      <c r="M15" s="111" t="str">
        <f>'10U COED PLATINUM-8 TEAMS'!J33&amp;""</f>
        <v>ORANGE COUNTY WPC BLUE</v>
      </c>
      <c r="N15" s="332"/>
    </row>
    <row r="16" spans="1:14">
      <c r="A16" s="125">
        <f>'10U COED PLATINUM-8 TEAMS'!A30</f>
        <v>46054</v>
      </c>
      <c r="B16" s="124">
        <f>'10U COED PLATINUM-8 TEAMS'!B30</f>
        <v>0.67708333333333304</v>
      </c>
      <c r="C16" s="111" t="str">
        <f>'10U COED PLATINUM-8 TEAMS'!C30&amp;""</f>
        <v>WOOLLETT FAR LEFT</v>
      </c>
      <c r="D16" s="111" t="str">
        <f>'10U COED PLATINUM-8 TEAMS'!D30&amp;""</f>
        <v>10Cpt16</v>
      </c>
      <c r="E16" s="123" t="str">
        <f>'10U COED PLATINUM-8 TEAMS'!E30&amp;""</f>
        <v>1stA-NORTH IRVINE BLACK</v>
      </c>
      <c r="F16" s="111" t="str">
        <f>'10U COED PLATINUM-8 TEAMS'!F30&amp;""</f>
        <v>8</v>
      </c>
      <c r="G16" s="111" t="str">
        <f>'10U COED PLATINUM-8 TEAMS'!G30&amp;""</f>
        <v>1stB-ORANGE COUNTY WPC BLUE</v>
      </c>
      <c r="H16" s="111" t="str">
        <f>'10U COED PLATINUM-8 TEAMS'!H30&amp;""</f>
        <v>4</v>
      </c>
      <c r="I16" s="111" t="str">
        <f>'10U COED PLATINUM-8 TEAMS'!I30&amp;""</f>
        <v>1st</v>
      </c>
      <c r="J16" s="111" t="str">
        <f>'10U COED PLATINUM-8 TEAMS'!J30&amp;""</f>
        <v>10U_COED_PLATINUM</v>
      </c>
      <c r="L16" s="111" t="str">
        <f>'10U COED PLATINUM-8 TEAMS'!I34&amp;""</f>
        <v>3rd</v>
      </c>
      <c r="M16" s="111" t="str">
        <f>'10U COED PLATINUM-8 TEAMS'!J34&amp;""</f>
        <v>CHANNEL ISLANDS UNITED</v>
      </c>
      <c r="N16" s="332"/>
    </row>
    <row r="17" spans="1:14">
      <c r="N17" s="332"/>
    </row>
    <row r="18" spans="1:14">
      <c r="A18" s="332"/>
      <c r="B18" s="332"/>
      <c r="C18" s="332"/>
      <c r="D18" s="332"/>
      <c r="E18" s="332"/>
      <c r="F18" s="332"/>
      <c r="G18" s="332"/>
      <c r="H18" s="332"/>
      <c r="I18" s="332"/>
      <c r="J18" s="332"/>
      <c r="K18" s="332"/>
      <c r="L18" s="332"/>
      <c r="M18" s="332"/>
      <c r="N18" s="332"/>
    </row>
    <row r="19" spans="1:14">
      <c r="L19" s="112" t="str">
        <f>'10U BOYS-8 TEAMS'!I31&amp;""</f>
        <v>1st</v>
      </c>
      <c r="M19" s="112" t="str">
        <f>'10U BOYS-8 TEAMS'!J31&amp;""</f>
        <v>680 RED</v>
      </c>
      <c r="N19" s="332"/>
    </row>
    <row r="20" spans="1:14">
      <c r="A20" s="137">
        <f>'10U BOYS-8 TEAMS'!A28</f>
        <v>46054</v>
      </c>
      <c r="B20" s="136">
        <f>'10U BOYS-8 TEAMS'!B28</f>
        <v>0.58333333333333304</v>
      </c>
      <c r="C20" s="112" t="str">
        <f>'10U BOYS-8 TEAMS'!C28&amp;""</f>
        <v>WOOLLETT FAR LEFT</v>
      </c>
      <c r="D20" s="112" t="str">
        <f>'10U BOYS-8 TEAMS'!D28&amp;""</f>
        <v>10B15</v>
      </c>
      <c r="E20" s="112" t="str">
        <f>'10U BOYS-8 TEAMS'!E28&amp;""</f>
        <v>2ndA-LAMORINDA BLUE (A)</v>
      </c>
      <c r="F20" s="112" t="str">
        <f>'10U BOYS-8 TEAMS'!F28&amp;""</f>
        <v>6</v>
      </c>
      <c r="G20" s="112" t="str">
        <f>'10U BOYS-8 TEAMS'!G28&amp;""</f>
        <v>2ndB-SAN CLEMENTE RED</v>
      </c>
      <c r="H20" s="112" t="str">
        <f>'10U BOYS-8 TEAMS'!H28&amp;""</f>
        <v>14</v>
      </c>
      <c r="I20" s="112" t="str">
        <f>'10U BOYS-8 TEAMS'!I28&amp;""</f>
        <v>3rd</v>
      </c>
      <c r="J20" s="112" t="str">
        <f>'10U BOYS-8 TEAMS'!J28&amp;""</f>
        <v>10U_BOYS</v>
      </c>
      <c r="L20" s="112" t="str">
        <f>'10U BOYS-8 TEAMS'!I32&amp;""</f>
        <v>2nd</v>
      </c>
      <c r="M20" s="112" t="str">
        <f>'10U BOYS-8 TEAMS'!J32&amp;""</f>
        <v>CC UNITED BLACK</v>
      </c>
      <c r="N20" s="332"/>
    </row>
    <row r="21" spans="1:14">
      <c r="A21" s="137">
        <f>'10U BOYS-8 TEAMS'!A29</f>
        <v>46054</v>
      </c>
      <c r="B21" s="136">
        <f>'10U BOYS-8 TEAMS'!B29</f>
        <v>0.61458333333333304</v>
      </c>
      <c r="C21" s="112" t="str">
        <f>'10U BOYS-8 TEAMS'!C29&amp;""</f>
        <v>WOOLLETT FAR LEFT</v>
      </c>
      <c r="D21" s="112" t="str">
        <f>'10U BOYS-8 TEAMS'!D29&amp;""</f>
        <v>10B16</v>
      </c>
      <c r="E21" s="135" t="str">
        <f>'10U BOYS-8 TEAMS'!E29&amp;""</f>
        <v>1stA-680 RED</v>
      </c>
      <c r="F21" s="112" t="str">
        <f>'10U BOYS-8 TEAMS'!F29&amp;""</f>
        <v>6</v>
      </c>
      <c r="G21" s="112" t="str">
        <f>'10U BOYS-8 TEAMS'!G29&amp;""</f>
        <v>1stB-CC UNITED BLACK</v>
      </c>
      <c r="H21" s="112" t="str">
        <f>'10U BOYS-8 TEAMS'!H29&amp;""</f>
        <v>3</v>
      </c>
      <c r="I21" s="112" t="str">
        <f>'10U BOYS-8 TEAMS'!I29&amp;""</f>
        <v>1st</v>
      </c>
      <c r="J21" s="112" t="str">
        <f>'10U BOYS-8 TEAMS'!J29&amp;""</f>
        <v>10U_BOYS</v>
      </c>
      <c r="L21" s="112" t="str">
        <f>'10U BOYS-8 TEAMS'!I33&amp;""</f>
        <v>3rd</v>
      </c>
      <c r="M21" s="112" t="str">
        <f>'10U BOYS-8 TEAMS'!J33&amp;""</f>
        <v>SAN CLEMENTE RED</v>
      </c>
      <c r="N21" s="332"/>
    </row>
    <row r="22" spans="1:14">
      <c r="N22" s="332"/>
    </row>
    <row r="23" spans="1:14">
      <c r="A23" s="332"/>
      <c r="B23" s="332"/>
      <c r="C23" s="332"/>
      <c r="D23" s="332"/>
      <c r="E23" s="332"/>
      <c r="F23" s="332"/>
      <c r="G23" s="332"/>
      <c r="H23" s="332"/>
      <c r="I23" s="332"/>
      <c r="J23" s="332"/>
      <c r="K23" s="332"/>
      <c r="L23" s="332"/>
      <c r="M23" s="332"/>
      <c r="N23" s="332"/>
    </row>
    <row r="24" spans="1:14">
      <c r="L24" s="140" t="str">
        <f>'12U GIRLS PLATINUM-12 TEAMS'!I40&amp;""</f>
        <v>1st</v>
      </c>
      <c r="M24" s="140" t="str">
        <f>'12U GIRLS PLATINUM-12 TEAMS'!J40&amp;""</f>
        <v>680 RED</v>
      </c>
      <c r="N24" s="332"/>
    </row>
    <row r="25" spans="1:14">
      <c r="A25" s="32">
        <f>'12U GIRLS PLATINUM-12 TEAMS'!A37</f>
        <v>46054</v>
      </c>
      <c r="B25" s="157">
        <f>'12U GIRLS PLATINUM-12 TEAMS'!B37</f>
        <v>0.63888888888888895</v>
      </c>
      <c r="C25" s="32" t="str">
        <f>'12U GIRLS PLATINUM-12 TEAMS'!C37&amp;""</f>
        <v>WOOLLETT FAR RIGHT</v>
      </c>
      <c r="D25" s="140" t="str">
        <f>'12U GIRLS PLATINUM-12 TEAMS'!D37&amp;""</f>
        <v>12Gpt17</v>
      </c>
      <c r="E25" s="32" t="str">
        <f>'12U GIRLS PLATINUM-12 TEAMS'!E37&amp;""</f>
        <v>L#13-SHAQ</v>
      </c>
      <c r="F25" s="140" t="str">
        <f>'12U GIRLS PLATINUM-12 TEAMS'!F37&amp;""</f>
        <v>3</v>
      </c>
      <c r="G25" s="32" t="str">
        <f>'12U GIRLS PLATINUM-12 TEAMS'!G37&amp;""</f>
        <v>L#14-NEWPORT BEACH</v>
      </c>
      <c r="H25" s="140" t="str">
        <f>'12U GIRLS PLATINUM-12 TEAMS'!H37&amp;""</f>
        <v>2</v>
      </c>
      <c r="I25" s="140" t="str">
        <f>'12U GIRLS PLATINUM-12 TEAMS'!I37&amp;""</f>
        <v>3rd</v>
      </c>
      <c r="J25" s="140" t="str">
        <f>'12U GIRLS PLATINUM-12 TEAMS'!J37&amp;""</f>
        <v>12U_GIRLS_PLATINUM</v>
      </c>
      <c r="L25" s="140" t="str">
        <f>'12U GIRLS PLATINUM-12 TEAMS'!I41&amp;""</f>
        <v>2nd</v>
      </c>
      <c r="M25" s="140" t="str">
        <f>'12U GIRLS PLATINUM-12 TEAMS'!J41&amp;""</f>
        <v>BACK BAY NAVY</v>
      </c>
      <c r="N25" s="332"/>
    </row>
    <row r="26" spans="1:14">
      <c r="A26" s="32">
        <f>'12U GIRLS PLATINUM-12 TEAMS'!A38</f>
        <v>46054</v>
      </c>
      <c r="B26" s="157">
        <f>'12U GIRLS PLATINUM-12 TEAMS'!B38</f>
        <v>0.67361111111111105</v>
      </c>
      <c r="C26" s="32" t="str">
        <f>'12U GIRLS PLATINUM-12 TEAMS'!C38&amp;""</f>
        <v>WOOLLETT FAR RIGHT</v>
      </c>
      <c r="D26" s="140" t="str">
        <f>'12U GIRLS PLATINUM-12 TEAMS'!D38&amp;""</f>
        <v>12Gpt18</v>
      </c>
      <c r="E26" s="32" t="str">
        <f>'12U GIRLS PLATINUM-12 TEAMS'!E38&amp;""</f>
        <v>W#13-BACK BAY NAVY</v>
      </c>
      <c r="F26" s="140" t="str">
        <f>'12U GIRLS PLATINUM-12 TEAMS'!F38&amp;""</f>
        <v>4</v>
      </c>
      <c r="G26" s="32" t="str">
        <f>'12U GIRLS PLATINUM-12 TEAMS'!G38&amp;""</f>
        <v>W#14-680 RED</v>
      </c>
      <c r="H26" s="140" t="str">
        <f>'12U GIRLS PLATINUM-12 TEAMS'!H38&amp;""</f>
        <v>13</v>
      </c>
      <c r="I26" s="140" t="str">
        <f>'12U GIRLS PLATINUM-12 TEAMS'!I38&amp;""</f>
        <v>1st</v>
      </c>
      <c r="J26" s="140" t="str">
        <f>'12U GIRLS PLATINUM-12 TEAMS'!J38&amp;""</f>
        <v>12U_GIRLS_PLATINUM</v>
      </c>
      <c r="L26" s="140" t="str">
        <f>'12U GIRLS PLATINUM-12 TEAMS'!I42&amp;""</f>
        <v>3rd</v>
      </c>
      <c r="M26" s="140" t="str">
        <f>'12U GIRLS PLATINUM-12 TEAMS'!J42&amp;""</f>
        <v>SHAQ</v>
      </c>
      <c r="N26" s="332"/>
    </row>
    <row r="27" spans="1:14">
      <c r="N27" s="332"/>
    </row>
    <row r="28" spans="1:14">
      <c r="A28" s="332"/>
      <c r="B28" s="332"/>
      <c r="C28" s="332"/>
      <c r="D28" s="332"/>
      <c r="E28" s="332"/>
      <c r="F28" s="332"/>
      <c r="G28" s="332"/>
      <c r="H28" s="332"/>
      <c r="I28" s="332"/>
      <c r="J28" s="332"/>
      <c r="K28" s="332"/>
      <c r="L28" s="332"/>
      <c r="M28" s="332"/>
      <c r="N28" s="332"/>
    </row>
    <row r="29" spans="1:14">
      <c r="L29" s="310" t="str">
        <f>'12U BOYS GOLD-24 TEAMS'!I73&amp;""</f>
        <v>1st</v>
      </c>
      <c r="M29" s="310" t="str">
        <f>'12U BOYS GOLD-24 TEAMS'!J73&amp;""</f>
        <v>ORANGE COUNTY WPC BLUE</v>
      </c>
      <c r="N29" s="332"/>
    </row>
    <row r="30" spans="1:14">
      <c r="A30" s="317">
        <f>'12U BOYS GOLD-24 TEAMS'!A67</f>
        <v>46054</v>
      </c>
      <c r="B30" s="316">
        <f>'12U BOYS GOLD-24 TEAMS'!B67</f>
        <v>0.67361111111111105</v>
      </c>
      <c r="C30" s="316" t="str">
        <f>'12U BOYS GOLD-24 TEAMS'!C67&amp;""</f>
        <v>BECKMAN HS 1</v>
      </c>
      <c r="D30" s="315" t="str">
        <f>'12U BOYS GOLD-24 TEAMS'!D67&amp;""</f>
        <v>12Bau25</v>
      </c>
      <c r="E30" s="315" t="str">
        <f>'12U BOYS GOLD-24 TEAMS'!E67&amp;""</f>
        <v>L#24-SAN CLEMENTE BLACK</v>
      </c>
      <c r="F30" s="315" t="str">
        <f>'12U BOYS GOLD-24 TEAMS'!F67&amp;""</f>
        <v>8</v>
      </c>
      <c r="G30" s="315" t="str">
        <f>'12U BOYS GOLD-24 TEAMS'!G67&amp;""</f>
        <v>L#24A-680 BLUE</v>
      </c>
      <c r="H30" s="315" t="str">
        <f>'12U BOYS GOLD-24 TEAMS'!H67&amp;""</f>
        <v>6</v>
      </c>
      <c r="I30" s="315" t="str">
        <f>'12U BOYS GOLD-24 TEAMS'!I67&amp;""</f>
        <v>3rd</v>
      </c>
      <c r="J30" s="315" t="str">
        <f>'12U BOYS GOLD-24 TEAMS'!J67&amp;""</f>
        <v>12U_BOYS_GOLD</v>
      </c>
      <c r="L30" s="310" t="str">
        <f>'12U BOYS GOLD-24 TEAMS'!I74&amp;""</f>
        <v>2nd</v>
      </c>
      <c r="M30" s="310" t="str">
        <f>'12U BOYS GOLD-24 TEAMS'!J74&amp;""</f>
        <v>FOOTHILL RED</v>
      </c>
      <c r="N30" s="332"/>
    </row>
    <row r="31" spans="1:14">
      <c r="A31" s="317">
        <f>'12U BOYS GOLD-24 TEAMS'!A68</f>
        <v>46054</v>
      </c>
      <c r="B31" s="316">
        <f>'12U BOYS GOLD-24 TEAMS'!B68</f>
        <v>0.70833333333333404</v>
      </c>
      <c r="C31" s="316" t="str">
        <f>'12U BOYS GOLD-24 TEAMS'!C68&amp;""</f>
        <v>BECKMAN HS 1</v>
      </c>
      <c r="D31" s="315" t="str">
        <f>'12U BOYS GOLD-24 TEAMS'!D68&amp;""</f>
        <v>12Bau26</v>
      </c>
      <c r="E31" s="315" t="str">
        <f>'12U BOYS GOLD-24 TEAMS'!E68&amp;""</f>
        <v>W#24-ORANGE COUNTY WPC BLUE</v>
      </c>
      <c r="F31" s="315" t="str">
        <f>'12U BOYS GOLD-24 TEAMS'!F68&amp;""</f>
        <v>19</v>
      </c>
      <c r="G31" s="315" t="str">
        <f>'12U BOYS GOLD-24 TEAMS'!G68&amp;""</f>
        <v>W#24A-FOOTHILL RED</v>
      </c>
      <c r="H31" s="315" t="str">
        <f>'12U BOYS GOLD-24 TEAMS'!H68&amp;""</f>
        <v>5</v>
      </c>
      <c r="I31" s="315" t="str">
        <f>'12U BOYS GOLD-24 TEAMS'!I68&amp;""</f>
        <v>1st</v>
      </c>
      <c r="J31" s="315" t="str">
        <f>'12U BOYS GOLD-24 TEAMS'!J68&amp;""</f>
        <v>12U_BOYS_GOLD</v>
      </c>
      <c r="L31" s="310" t="str">
        <f>'12U BOYS GOLD-24 TEAMS'!I75&amp;""</f>
        <v>3rd</v>
      </c>
      <c r="M31" s="310" t="str">
        <f>'12U BOYS GOLD-24 TEAMS'!J75&amp;""</f>
        <v>SAN CLEMENTE BLACK</v>
      </c>
      <c r="N31" s="332"/>
    </row>
    <row r="32" spans="1:14">
      <c r="N32" s="332"/>
    </row>
    <row r="33" spans="1:14">
      <c r="A33" s="332"/>
      <c r="B33" s="332"/>
      <c r="C33" s="332"/>
      <c r="D33" s="332"/>
      <c r="E33" s="332"/>
      <c r="F33" s="332"/>
      <c r="G33" s="332"/>
      <c r="H33" s="332"/>
      <c r="I33" s="332"/>
      <c r="J33" s="332"/>
      <c r="K33" s="332"/>
      <c r="L33" s="332"/>
      <c r="M33" s="332"/>
      <c r="N33" s="332"/>
    </row>
    <row r="34" spans="1:14">
      <c r="L34" s="139" t="str">
        <f>'12U BOYS PLATINUM-10 TEAMS'!I37&amp;""</f>
        <v>1st</v>
      </c>
      <c r="M34" s="139" t="str">
        <f>'12U BOYS PLATINUM-10 TEAMS'!J37&amp;""</f>
        <v>MISSION WPC A</v>
      </c>
      <c r="N34" s="332"/>
    </row>
    <row r="35" spans="1:14">
      <c r="A35" s="190">
        <f>'12U BOYS PLATINUM-10 TEAMS'!A32</f>
        <v>46054</v>
      </c>
      <c r="B35" s="189">
        <f>'12U BOYS PLATINUM-10 TEAMS'!B32</f>
        <v>0.53472222222222199</v>
      </c>
      <c r="C35" s="189" t="str">
        <f>'12U BOYS PLATINUM-10 TEAMS'!C32&amp;""</f>
        <v>BECKMAN HS 1</v>
      </c>
      <c r="D35" s="139" t="str">
        <f>'12U BOYS PLATINUM-10 TEAMS'!D32&amp;""</f>
        <v>12Bpt20</v>
      </c>
      <c r="E35" s="139" t="str">
        <f>'12U BOYS PLATINUM-10 TEAMS'!E32&amp;""</f>
        <v>L#15-ORWP A</v>
      </c>
      <c r="F35" s="139" t="str">
        <f>'12U BOYS PLATINUM-10 TEAMS'!F32&amp;""</f>
        <v>4</v>
      </c>
      <c r="G35" s="139" t="str">
        <f>'12U BOYS PLATINUM-10 TEAMS'!G32&amp;""</f>
        <v>L#16-CC UNITED BLACK</v>
      </c>
      <c r="H35" s="139" t="str">
        <f>'12U BOYS PLATINUM-10 TEAMS'!H32&amp;""</f>
        <v>16</v>
      </c>
      <c r="I35" s="139" t="str">
        <f>'12U BOYS PLATINUM-10 TEAMS'!I32&amp;""</f>
        <v>3rd</v>
      </c>
      <c r="J35" s="139" t="str">
        <f>'12U BOYS PLATINUM-10 TEAMS'!J32&amp;""</f>
        <v>12U_BOYS_PLATINUM</v>
      </c>
      <c r="L35" s="139" t="str">
        <f>'12U BOYS PLATINUM-10 TEAMS'!I38&amp;""</f>
        <v>2nd</v>
      </c>
      <c r="M35" s="139" t="str">
        <f>'12U BOYS PLATINUM-10 TEAMS'!J38&amp;""</f>
        <v>STANFORD RED</v>
      </c>
      <c r="N35" s="332"/>
    </row>
    <row r="36" spans="1:14">
      <c r="A36" s="190">
        <f>'12U BOYS PLATINUM-10 TEAMS'!A33</f>
        <v>46054</v>
      </c>
      <c r="B36" s="189">
        <f>'12U BOYS PLATINUM-10 TEAMS'!B33</f>
        <v>0.56944444444444497</v>
      </c>
      <c r="C36" s="189" t="str">
        <f>'12U BOYS PLATINUM-10 TEAMS'!C33&amp;""</f>
        <v>BECKMAN HS 1</v>
      </c>
      <c r="D36" s="139" t="str">
        <f>'12U BOYS PLATINUM-10 TEAMS'!D33&amp;""</f>
        <v>12Bpt21</v>
      </c>
      <c r="E36" s="139" t="str">
        <f>'12U BOYS PLATINUM-10 TEAMS'!E33&amp;""</f>
        <v>W#15-MISSION WPC A</v>
      </c>
      <c r="F36" s="139" t="str">
        <f>'12U BOYS PLATINUM-10 TEAMS'!F33&amp;""</f>
        <v>18</v>
      </c>
      <c r="G36" s="139" t="str">
        <f>'12U BOYS PLATINUM-10 TEAMS'!G33&amp;""</f>
        <v>W#16-STANFORD RED</v>
      </c>
      <c r="H36" s="139" t="str">
        <f>'12U BOYS PLATINUM-10 TEAMS'!H33&amp;""</f>
        <v>4</v>
      </c>
      <c r="I36" s="139" t="str">
        <f>'12U BOYS PLATINUM-10 TEAMS'!I33&amp;""</f>
        <v>1st</v>
      </c>
      <c r="J36" s="139" t="str">
        <f>'12U BOYS PLATINUM-10 TEAMS'!J33&amp;""</f>
        <v>12U_BOYS_PLATINUM</v>
      </c>
      <c r="L36" s="139" t="str">
        <f>'12U BOYS PLATINUM-10 TEAMS'!I39&amp;""</f>
        <v>3rd</v>
      </c>
      <c r="M36" s="139" t="str">
        <f>'12U BOYS PLATINUM-10 TEAMS'!J39&amp;""</f>
        <v>CC UNITED BLACK</v>
      </c>
      <c r="N36" s="332"/>
    </row>
    <row r="37" spans="1:14">
      <c r="N37" s="332"/>
    </row>
    <row r="38" spans="1:14">
      <c r="A38" s="332"/>
      <c r="B38" s="332"/>
      <c r="C38" s="332"/>
      <c r="D38" s="332"/>
      <c r="E38" s="332"/>
      <c r="F38" s="332"/>
      <c r="G38" s="332"/>
      <c r="H38" s="332"/>
      <c r="I38" s="332"/>
      <c r="J38" s="332"/>
      <c r="K38" s="332"/>
      <c r="L38" s="332"/>
      <c r="M38" s="332"/>
      <c r="N38" s="332"/>
    </row>
    <row r="39" spans="1:14">
      <c r="L39" s="141" t="str">
        <f>'12U COED-7 TEAMS'!I33&amp;""</f>
        <v>1st</v>
      </c>
      <c r="M39" s="141" t="str">
        <f>'12U COED-7 TEAMS'!J33&amp;""</f>
        <v>YOLO BLACK</v>
      </c>
      <c r="N39" s="332"/>
    </row>
    <row r="40" spans="1:14">
      <c r="A40" s="214">
        <f>'12U COED-7 TEAMS'!A31</f>
        <v>46054</v>
      </c>
      <c r="B40" s="213">
        <f>'12U COED-7 TEAMS'!B31</f>
        <v>0.74305555555555602</v>
      </c>
      <c r="C40" s="141" t="str">
        <f>'12U COED-7 TEAMS'!C31&amp;""</f>
        <v>WOOLLETT FAR RIGHT</v>
      </c>
      <c r="D40" s="141" t="str">
        <f>'12U COED-7 TEAMS'!D31&amp;""</f>
        <v>12C14</v>
      </c>
      <c r="E40" s="141" t="str">
        <f>'12U COED-7 TEAMS'!E31&amp;""</f>
        <v>L#11-LA CITY UNITED</v>
      </c>
      <c r="F40" s="141" t="str">
        <f>'12U COED-7 TEAMS'!F31&amp;""</f>
        <v>15</v>
      </c>
      <c r="G40" s="141" t="str">
        <f>'12U COED-7 TEAMS'!G31&amp;""</f>
        <v>L#12-PALOS VERDES</v>
      </c>
      <c r="H40" s="141" t="str">
        <f>'12U COED-7 TEAMS'!H31&amp;""</f>
        <v>8</v>
      </c>
      <c r="I40" s="141" t="str">
        <f>'12U COED-7 TEAMS'!I31&amp;""</f>
        <v>3rd</v>
      </c>
      <c r="J40" s="141" t="str">
        <f>'12U COED-7 TEAMS'!J31&amp;""</f>
        <v>12U_COED</v>
      </c>
      <c r="L40" s="141" t="str">
        <f>'12U COED-7 TEAMS'!I34&amp;""</f>
        <v>2nd</v>
      </c>
      <c r="M40" s="141" t="str">
        <f>'12U COED-7 TEAMS'!J34&amp;""</f>
        <v>SET</v>
      </c>
      <c r="N40" s="332"/>
    </row>
    <row r="41" spans="1:14">
      <c r="A41" s="214">
        <f>'12U COED-7 TEAMS'!A30</f>
        <v>46054</v>
      </c>
      <c r="B41" s="213">
        <f>'12U COED-7 TEAMS'!B30</f>
        <v>0.70833333333333404</v>
      </c>
      <c r="C41" s="141" t="str">
        <f>'12U COED-7 TEAMS'!C30&amp;""</f>
        <v>WOOLLETT FAR RIGHT</v>
      </c>
      <c r="D41" s="141" t="str">
        <f>'12U COED-7 TEAMS'!D30&amp;""</f>
        <v>12C15</v>
      </c>
      <c r="E41" s="141" t="str">
        <f>'12U COED-7 TEAMS'!E30&amp;""</f>
        <v>W#11-SET</v>
      </c>
      <c r="F41" s="141" t="str">
        <f>'12U COED-7 TEAMS'!F30&amp;""</f>
        <v>7</v>
      </c>
      <c r="G41" s="141" t="str">
        <f>'12U COED-7 TEAMS'!G30&amp;""</f>
        <v>W#12-YOLO BLACK</v>
      </c>
      <c r="H41" s="141" t="str">
        <f>'12U COED-7 TEAMS'!H30&amp;""</f>
        <v>21</v>
      </c>
      <c r="I41" s="141" t="str">
        <f>'12U COED-7 TEAMS'!I30&amp;""</f>
        <v>1st</v>
      </c>
      <c r="J41" s="141" t="str">
        <f>'12U COED-7 TEAMS'!J30&amp;""</f>
        <v>12U_COED</v>
      </c>
      <c r="L41" s="141" t="str">
        <f>'12U COED-7 TEAMS'!I35&amp;""</f>
        <v>3rd</v>
      </c>
      <c r="M41" s="141" t="str">
        <f>'12U COED-7 TEAMS'!J35&amp;""</f>
        <v>LA CITY UNITED</v>
      </c>
      <c r="N41" s="332"/>
    </row>
    <row r="42" spans="1:14">
      <c r="N42" s="332"/>
    </row>
    <row r="43" spans="1:14">
      <c r="A43" s="332"/>
      <c r="B43" s="332"/>
      <c r="C43" s="332"/>
      <c r="D43" s="332"/>
      <c r="E43" s="332"/>
      <c r="F43" s="332"/>
      <c r="G43" s="332"/>
      <c r="H43" s="332"/>
      <c r="I43" s="332"/>
      <c r="J43" s="332"/>
      <c r="K43" s="332"/>
      <c r="L43" s="332"/>
      <c r="M43" s="332"/>
      <c r="N43" s="332"/>
    </row>
    <row r="44" spans="1:14">
      <c r="L44" s="145" t="str">
        <f>'14U GIRLS GOLD-14 TEAMS'!I43&amp;""</f>
        <v>1st</v>
      </c>
      <c r="M44" s="145" t="str">
        <f>'14U GIRLS GOLD-14 TEAMS'!J43&amp;""</f>
        <v>GOLD COAST</v>
      </c>
      <c r="N44" s="332"/>
    </row>
    <row r="45" spans="1:14">
      <c r="A45" s="218">
        <f>'14U GIRLS GOLD-14 TEAMS'!A39</f>
        <v>46054</v>
      </c>
      <c r="B45" s="217">
        <f>'14U GIRLS GOLD-14 TEAMS'!B39</f>
        <v>0.63888888888888895</v>
      </c>
      <c r="C45" s="217" t="str">
        <f>'14U GIRLS GOLD-14 TEAMS'!C39&amp;""</f>
        <v>SAN CLEMENTE HS</v>
      </c>
      <c r="D45" s="145" t="str">
        <f>'14U GIRLS GOLD-14 TEAMS'!D39&amp;""</f>
        <v>14Gau21</v>
      </c>
      <c r="E45" s="145" t="str">
        <f>'14U GIRLS GOLD-14 TEAMS'!E39&amp;""</f>
        <v>L#15-NORTH IRVINE</v>
      </c>
      <c r="F45" s="145" t="str">
        <f>'14U GIRLS GOLD-14 TEAMS'!F39&amp;""</f>
        <v>9</v>
      </c>
      <c r="G45" s="145" t="str">
        <f>'14U GIRLS GOLD-14 TEAMS'!G39&amp;""</f>
        <v>L#17-ROGUE 619</v>
      </c>
      <c r="H45" s="145" t="str">
        <f>'14U GIRLS GOLD-14 TEAMS'!H39&amp;""</f>
        <v>18</v>
      </c>
      <c r="I45" s="145" t="str">
        <f>'14U GIRLS GOLD-14 TEAMS'!I39&amp;""</f>
        <v>3rd</v>
      </c>
      <c r="J45" s="145" t="str">
        <f>'14U GIRLS GOLD-14 TEAMS'!J39&amp;""</f>
        <v>14U_GIRLS_GOLD</v>
      </c>
      <c r="L45" s="145" t="str">
        <f>'14U GIRLS GOLD-14 TEAMS'!I44&amp;""</f>
        <v>2nd</v>
      </c>
      <c r="M45" s="145" t="str">
        <f>'14U GIRLS GOLD-14 TEAMS'!J44&amp;""</f>
        <v>PASADENA AC</v>
      </c>
      <c r="N45" s="332"/>
    </row>
    <row r="46" spans="1:14">
      <c r="A46" s="218">
        <f>'14U GIRLS GOLD-14 TEAMS'!A40</f>
        <v>46054</v>
      </c>
      <c r="B46" s="217">
        <f>'14U GIRLS GOLD-14 TEAMS'!B40</f>
        <v>0.67361111111111105</v>
      </c>
      <c r="C46" s="217" t="str">
        <f>'14U GIRLS GOLD-14 TEAMS'!C40&amp;""</f>
        <v>SAN CLEMENTE HS</v>
      </c>
      <c r="D46" s="145" t="str">
        <f>'14U GIRLS GOLD-14 TEAMS'!D40&amp;""</f>
        <v>14Gau22</v>
      </c>
      <c r="E46" s="145" t="str">
        <f>'14U GIRLS GOLD-14 TEAMS'!E40&amp;""</f>
        <v>W#15-PASADENA AC</v>
      </c>
      <c r="F46" s="145" t="str">
        <f>'14U GIRLS GOLD-14 TEAMS'!F40&amp;""</f>
        <v>9</v>
      </c>
      <c r="G46" s="145" t="str">
        <f>'14U GIRLS GOLD-14 TEAMS'!G40&amp;""</f>
        <v>W#17-GOLD COAST</v>
      </c>
      <c r="H46" s="145" t="str">
        <f>'14U GIRLS GOLD-14 TEAMS'!H40&amp;""</f>
        <v>16</v>
      </c>
      <c r="I46" s="145" t="str">
        <f>'14U GIRLS GOLD-14 TEAMS'!I40&amp;""</f>
        <v>1st</v>
      </c>
      <c r="J46" s="145" t="str">
        <f>'14U GIRLS GOLD-14 TEAMS'!J40&amp;""</f>
        <v>14U_GIRLS_GOLD</v>
      </c>
      <c r="L46" s="145" t="str">
        <f>'14U GIRLS GOLD-14 TEAMS'!I45&amp;""</f>
        <v>3rd</v>
      </c>
      <c r="M46" s="145" t="str">
        <f>'14U GIRLS GOLD-14 TEAMS'!J45&amp;""</f>
        <v>ROGUE 619</v>
      </c>
      <c r="N46" s="332"/>
    </row>
    <row r="47" spans="1:14">
      <c r="N47" s="332"/>
    </row>
    <row r="48" spans="1:14">
      <c r="A48" s="332"/>
      <c r="B48" s="332"/>
      <c r="C48" s="332"/>
      <c r="D48" s="332"/>
      <c r="E48" s="332"/>
      <c r="F48" s="332"/>
      <c r="G48" s="332"/>
      <c r="H48" s="332"/>
      <c r="I48" s="332"/>
      <c r="J48" s="332"/>
      <c r="K48" s="332"/>
      <c r="L48" s="332"/>
      <c r="M48" s="332"/>
      <c r="N48" s="332"/>
    </row>
    <row r="49" spans="1:14">
      <c r="L49" s="97" t="str">
        <f>'14U GIRLS PLATINUM-10 TEAMS'!I36&amp;""</f>
        <v>1st</v>
      </c>
      <c r="M49" s="97" t="str">
        <f>'14U GIRLS PLATINUM-10 TEAMS'!J36&amp;""</f>
        <v>SANTA CRUZ BLACK</v>
      </c>
      <c r="N49" s="332"/>
    </row>
    <row r="50" spans="1:14">
      <c r="A50" s="220">
        <f>'14U GIRLS PLATINUM-10 TEAMS'!A31</f>
        <v>46054</v>
      </c>
      <c r="B50" s="219">
        <f>'14U GIRLS PLATINUM-10 TEAMS'!B31</f>
        <v>0.56944444444444497</v>
      </c>
      <c r="C50" s="219" t="str">
        <f>'14U GIRLS PLATINUM-10 TEAMS'!C31&amp;""</f>
        <v>ALISO NIGUEL HS</v>
      </c>
      <c r="D50" s="97" t="str">
        <f>'14U GIRLS PLATINUM-10 TEAMS'!D31&amp;""</f>
        <v>14Gpt20</v>
      </c>
      <c r="E50" s="97" t="str">
        <f>'14U GIRLS PLATINUM-10 TEAMS'!E31&amp;""</f>
        <v xml:space="preserve">L#15-SOUTH COAST RED (A)	</v>
      </c>
      <c r="F50" s="97" t="str">
        <f>'14U GIRLS PLATINUM-10 TEAMS'!F31&amp;""</f>
        <v>6.2</v>
      </c>
      <c r="G50" s="97" t="str">
        <f>'14U GIRLS PLATINUM-10 TEAMS'!G31&amp;""</f>
        <v>L#16-PATRIOT RED</v>
      </c>
      <c r="H50" s="97" t="str">
        <f>'14U GIRLS PLATINUM-10 TEAMS'!H31&amp;""</f>
        <v>6.1</v>
      </c>
      <c r="I50" s="97" t="str">
        <f>'14U GIRLS PLATINUM-10 TEAMS'!I31&amp;""</f>
        <v>3rd</v>
      </c>
      <c r="J50" s="97" t="str">
        <f>'14U GIRLS PLATINUM-10 TEAMS'!J31&amp;""</f>
        <v>14U_GIRLS_PLATINUM</v>
      </c>
      <c r="L50" s="97" t="str">
        <f>'14U GIRLS PLATINUM-10 TEAMS'!I37&amp;""</f>
        <v>2nd</v>
      </c>
      <c r="M50" s="97" t="str">
        <f>'14U GIRLS PLATINUM-10 TEAMS'!J37&amp;""</f>
        <v>CDM PINK</v>
      </c>
      <c r="N50" s="332"/>
    </row>
    <row r="51" spans="1:14">
      <c r="A51" s="220">
        <f>'14U GIRLS PLATINUM-10 TEAMS'!A32</f>
        <v>46054</v>
      </c>
      <c r="B51" s="219">
        <f>'14U GIRLS PLATINUM-10 TEAMS'!B32</f>
        <v>0.60416666666666696</v>
      </c>
      <c r="C51" s="219" t="str">
        <f>'14U GIRLS PLATINUM-10 TEAMS'!C32&amp;""</f>
        <v>ALISO NIGUEL HS</v>
      </c>
      <c r="D51" s="97" t="str">
        <f>'14U GIRLS PLATINUM-10 TEAMS'!D32&amp;""</f>
        <v>14Gpt21</v>
      </c>
      <c r="E51" s="97" t="str">
        <f>'14U GIRLS PLATINUM-10 TEAMS'!E32&amp;""</f>
        <v>W#15-CDM PINK</v>
      </c>
      <c r="F51" s="97" t="str">
        <f>'14U GIRLS PLATINUM-10 TEAMS'!F32&amp;""</f>
        <v>5</v>
      </c>
      <c r="G51" s="97" t="str">
        <f>'14U GIRLS PLATINUM-10 TEAMS'!G32&amp;""</f>
        <v>W#16-SANTA CRUZ BLACK</v>
      </c>
      <c r="H51" s="97" t="str">
        <f>'14U GIRLS PLATINUM-10 TEAMS'!H32&amp;""</f>
        <v>6</v>
      </c>
      <c r="I51" s="97" t="str">
        <f>'14U GIRLS PLATINUM-10 TEAMS'!I32&amp;""</f>
        <v>1st</v>
      </c>
      <c r="J51" s="97" t="str">
        <f>'14U GIRLS PLATINUM-10 TEAMS'!J32&amp;""</f>
        <v>14U_GIRLS_PLATINUM</v>
      </c>
      <c r="L51" s="97" t="str">
        <f>'14U GIRLS PLATINUM-10 TEAMS'!I38&amp;""</f>
        <v>3rd</v>
      </c>
      <c r="M51" s="97" t="str">
        <f>'14U GIRLS PLATINUM-10 TEAMS'!J38&amp;""</f>
        <v>SOUTH COAST RED (A)</v>
      </c>
      <c r="N51" s="332"/>
    </row>
    <row r="52" spans="1:14">
      <c r="N52" s="332"/>
    </row>
    <row r="53" spans="1:14">
      <c r="A53" s="332"/>
      <c r="B53" s="332"/>
      <c r="C53" s="332"/>
      <c r="D53" s="332"/>
      <c r="E53" s="332"/>
      <c r="F53" s="332"/>
      <c r="G53" s="332"/>
      <c r="H53" s="332"/>
      <c r="I53" s="332"/>
      <c r="J53" s="332"/>
      <c r="K53" s="332"/>
      <c r="L53" s="332"/>
      <c r="M53" s="332"/>
      <c r="N53" s="332"/>
    </row>
    <row r="54" spans="1:14">
      <c r="L54" s="221" t="str">
        <f>'14U BOYS SILVER-18 TEAMS'!I68&amp;""</f>
        <v>1st</v>
      </c>
      <c r="M54" s="221" t="str">
        <f>'14U BOYS SILVER-18 TEAMS'!J68&amp;""</f>
        <v>POWAY VALLEY BLACK</v>
      </c>
      <c r="N54" s="332"/>
    </row>
    <row r="55" spans="1:14">
      <c r="A55" s="225">
        <f>'14U BOYS SILVER-18 TEAMS'!A53</f>
        <v>46054</v>
      </c>
      <c r="B55" s="224">
        <f>'14U BOYS SILVER-18 TEAMS'!B53</f>
        <v>0.63888888888888895</v>
      </c>
      <c r="C55" s="224" t="str">
        <f>'14U BOYS SILVER-18 TEAMS'!C53&amp;""</f>
        <v>COSTA MESA HS 1</v>
      </c>
      <c r="D55" s="146" t="str">
        <f>'14U BOYS SILVER-18 TEAMS'!D53&amp;""</f>
        <v>14Bag37</v>
      </c>
      <c r="E55" s="224" t="str">
        <f>'14U BOYS SILVER-18 TEAMS'!E53&amp;""</f>
        <v>2ndG-PASADENA AC</v>
      </c>
      <c r="F55" s="221" t="str">
        <f>'14U BOYS SILVER-18 TEAMS'!F53&amp;""</f>
        <v>15</v>
      </c>
      <c r="G55" s="224" t="str">
        <f>'14U BOYS SILVER-18 TEAMS'!G53&amp;""</f>
        <v>2ndH-SAND CANYON</v>
      </c>
      <c r="H55" s="222" t="str">
        <f>'14U BOYS SILVER-18 TEAMS'!H53&amp;""</f>
        <v>14</v>
      </c>
      <c r="I55" s="221" t="str">
        <f>'14U BOYS SILVER-18 TEAMS'!I53&amp;""</f>
        <v>overall 3rd</v>
      </c>
      <c r="J55" s="146" t="str">
        <f>'14U BOYS SILVER-18 TEAMS'!J53&amp;""</f>
        <v>14U_BOYS_SILVER</v>
      </c>
      <c r="L55" s="221" t="str">
        <f>'14U BOYS SILVER-18 TEAMS'!I69&amp;""</f>
        <v>2nd</v>
      </c>
      <c r="M55" s="221" t="str">
        <f>'14U BOYS SILVER-18 TEAMS'!J69&amp;""</f>
        <v>GOLD COAST</v>
      </c>
      <c r="N55" s="332"/>
    </row>
    <row r="56" spans="1:14">
      <c r="A56" s="225">
        <f>'14U BOYS SILVER-18 TEAMS'!A54</f>
        <v>46054</v>
      </c>
      <c r="B56" s="224">
        <f>'14U BOYS SILVER-18 TEAMS'!B54</f>
        <v>0.67361111111111105</v>
      </c>
      <c r="C56" s="224" t="str">
        <f>'14U BOYS SILVER-18 TEAMS'!C54&amp;""</f>
        <v>COSTA MESA HS 1</v>
      </c>
      <c r="D56" s="146" t="str">
        <f>'14U BOYS SILVER-18 TEAMS'!D54&amp;""</f>
        <v>14Bag38</v>
      </c>
      <c r="E56" s="224" t="str">
        <f>'14U BOYS SILVER-18 TEAMS'!E54&amp;""</f>
        <v>1stG-POWAY VALLEY BLACK</v>
      </c>
      <c r="F56" s="221" t="str">
        <f>'14U BOYS SILVER-18 TEAMS'!F54&amp;""</f>
        <v>11</v>
      </c>
      <c r="G56" s="224" t="str">
        <f>'14U BOYS SILVER-18 TEAMS'!G54&amp;""</f>
        <v>1stH-GOLD COAST</v>
      </c>
      <c r="H56" s="222" t="str">
        <f>'14U BOYS SILVER-18 TEAMS'!H54&amp;""</f>
        <v>6</v>
      </c>
      <c r="I56" s="221" t="str">
        <f>'14U BOYS SILVER-18 TEAMS'!I54&amp;""</f>
        <v>overall 1st</v>
      </c>
      <c r="J56" s="146" t="str">
        <f>'14U BOYS SILVER-18 TEAMS'!J54&amp;""</f>
        <v>14U_BOYS_SILVER</v>
      </c>
      <c r="L56" s="221" t="str">
        <f>'14U BOYS SILVER-18 TEAMS'!I70&amp;""</f>
        <v>3rd</v>
      </c>
      <c r="M56" s="221" t="str">
        <f>'14U BOYS SILVER-18 TEAMS'!J70&amp;""</f>
        <v>PASADENA AC</v>
      </c>
      <c r="N56" s="332"/>
    </row>
    <row r="57" spans="1:14">
      <c r="N57" s="332"/>
    </row>
    <row r="58" spans="1:14">
      <c r="A58" s="332"/>
      <c r="B58" s="332"/>
      <c r="C58" s="332"/>
      <c r="D58" s="332"/>
      <c r="E58" s="332"/>
      <c r="F58" s="332"/>
      <c r="G58" s="332"/>
      <c r="H58" s="332"/>
      <c r="I58" s="332"/>
      <c r="J58" s="332"/>
      <c r="K58" s="332"/>
      <c r="L58" s="332"/>
      <c r="M58" s="332"/>
      <c r="N58" s="332"/>
    </row>
    <row r="59" spans="1:14">
      <c r="L59" s="98" t="str">
        <f>'14U BOYS GOLD-26 TEAMS'!I89&amp;""</f>
        <v>1st</v>
      </c>
      <c r="M59" s="98" t="str">
        <f>'14U BOYS GOLD-26 TEAMS'!J89&amp;""</f>
        <v>MISSION WPC B</v>
      </c>
      <c r="N59" s="332"/>
    </row>
    <row r="60" spans="1:14">
      <c r="A60" s="232">
        <f>'14U BOYS GOLD-26 TEAMS'!A64</f>
        <v>46054</v>
      </c>
      <c r="B60" s="231">
        <f>'14U BOYS GOLD-26 TEAMS'!B64</f>
        <v>0.60416666666666696</v>
      </c>
      <c r="C60" s="98" t="str">
        <f>'14U BOYS GOLD-26 TEAMS'!C64&amp;""</f>
        <v>ESTANCIA HS 2</v>
      </c>
      <c r="D60" s="98" t="str">
        <f>'14U BOYS GOLD-26 TEAMS'!D64&amp;""</f>
        <v>14Bau35</v>
      </c>
      <c r="E60" s="98" t="str">
        <f>'14U BOYS GOLD-26 TEAMS'!E64&amp;""</f>
        <v>Q1(2ndJ)-NORTHWEST</v>
      </c>
      <c r="F60" s="98" t="str">
        <f>'14U BOYS GOLD-26 TEAMS'!F64&amp;""</f>
        <v>13</v>
      </c>
      <c r="G60" s="98" t="str">
        <f>'14U BOYS GOLD-26 TEAMS'!G64&amp;""</f>
        <v>Q2(2ndK)-VANGUARD SILVER</v>
      </c>
      <c r="H60" s="98" t="str">
        <f>'14U BOYS GOLD-26 TEAMS'!H64&amp;""</f>
        <v>14</v>
      </c>
      <c r="I60" s="98" t="str">
        <f>'14U BOYS GOLD-26 TEAMS'!I64&amp;""</f>
        <v>overall 3rd</v>
      </c>
      <c r="J60" s="229" t="str">
        <f>'14U BOYS GOLD-26 TEAMS'!J64&amp;""</f>
        <v>14U_BOYS_GOLD</v>
      </c>
      <c r="L60" s="98" t="str">
        <f>'14U BOYS GOLD-26 TEAMS'!I90&amp;""</f>
        <v>2nd</v>
      </c>
      <c r="M60" s="98" t="str">
        <f>'14U BOYS GOLD-26 TEAMS'!J90&amp;""</f>
        <v>SHORE AQUATICS</v>
      </c>
      <c r="N60" s="332"/>
    </row>
    <row r="61" spans="1:14">
      <c r="A61" s="232">
        <f>'14U BOYS GOLD-26 TEAMS'!A65</f>
        <v>46054</v>
      </c>
      <c r="B61" s="231">
        <f>'14U BOYS GOLD-26 TEAMS'!B65</f>
        <v>0.63888888888888895</v>
      </c>
      <c r="C61" s="98" t="str">
        <f>'14U BOYS GOLD-26 TEAMS'!C65&amp;""</f>
        <v>ESTANCIA HS 2</v>
      </c>
      <c r="D61" s="98" t="str">
        <f>'14U BOYS GOLD-26 TEAMS'!D65&amp;""</f>
        <v>14Bau36</v>
      </c>
      <c r="E61" s="229" t="str">
        <f>'14U BOYS GOLD-26 TEAMS'!E65&amp;""</f>
        <v>R1(1stJ)-SHORE AQUATICS</v>
      </c>
      <c r="F61" s="229" t="str">
        <f>'14U BOYS GOLD-26 TEAMS'!F65&amp;""</f>
        <v>6</v>
      </c>
      <c r="G61" s="230" t="str">
        <f>'14U BOYS GOLD-26 TEAMS'!G65&amp;""</f>
        <v>R2(1stK)-MISSION WPC B</v>
      </c>
      <c r="H61" s="229" t="str">
        <f>'14U BOYS GOLD-26 TEAMS'!H65&amp;""</f>
        <v>7</v>
      </c>
      <c r="I61" s="98" t="str">
        <f>'14U BOYS GOLD-26 TEAMS'!I65&amp;""</f>
        <v>overall 1st</v>
      </c>
      <c r="J61" s="229" t="str">
        <f>'14U BOYS GOLD-26 TEAMS'!J65&amp;""</f>
        <v>14U_BOYS_GOLD</v>
      </c>
      <c r="L61" s="98" t="str">
        <f>'14U BOYS GOLD-26 TEAMS'!I91&amp;""</f>
        <v>3rd</v>
      </c>
      <c r="M61" s="98" t="str">
        <f>'14U BOYS GOLD-26 TEAMS'!J91&amp;""</f>
        <v>VANGUARD SILVER</v>
      </c>
      <c r="N61" s="332"/>
    </row>
    <row r="62" spans="1:14">
      <c r="N62" s="332"/>
    </row>
    <row r="63" spans="1:14">
      <c r="A63" s="332"/>
      <c r="B63" s="332"/>
      <c r="C63" s="332"/>
      <c r="D63" s="332"/>
      <c r="E63" s="332"/>
      <c r="F63" s="332"/>
      <c r="G63" s="332"/>
      <c r="H63" s="332"/>
      <c r="I63" s="332"/>
      <c r="J63" s="332"/>
      <c r="K63" s="332"/>
      <c r="L63" s="332"/>
      <c r="M63" s="332"/>
      <c r="N63" s="332"/>
    </row>
    <row r="64" spans="1:14">
      <c r="L64" s="144" t="str">
        <f>'14U BOYS PLATINUM-20 TEAMS'!I73&amp;""</f>
        <v>1st</v>
      </c>
      <c r="M64" s="144" t="str">
        <f>'14U BOYS PLATINUM-20 TEAMS'!J73&amp;""</f>
        <v>LA JOLLA UNITED NAVY</v>
      </c>
      <c r="N64" s="332"/>
    </row>
    <row r="65" spans="1:14">
      <c r="A65" s="99">
        <f>'14U BOYS PLATINUM-20 TEAMS'!A58</f>
        <v>46054</v>
      </c>
      <c r="B65" s="235">
        <f>'14U BOYS PLATINUM-20 TEAMS'!B58</f>
        <v>0.67361111111111105</v>
      </c>
      <c r="C65" s="235" t="str">
        <f>'14U BOYS PLATINUM-20 TEAMS'!C58&amp;""</f>
        <v>EL TORO HS 1</v>
      </c>
      <c r="D65" s="144" t="str">
        <f>'14U BOYS PLATINUM-20 TEAMS'!D58&amp;""</f>
        <v>14Bpt31</v>
      </c>
      <c r="E65" s="144" t="str">
        <f>'14U BOYS PLATINUM-20 TEAMS'!E58&amp;""</f>
        <v>2ndG-VANGUARD BLUE</v>
      </c>
      <c r="F65" s="144" t="str">
        <f>'14U BOYS PLATINUM-20 TEAMS'!F58&amp;""</f>
        <v>8</v>
      </c>
      <c r="G65" s="144" t="str">
        <f>'14U BOYS PLATINUM-20 TEAMS'!G58&amp;""</f>
        <v>2ndJ-PATRIOT NAVY</v>
      </c>
      <c r="H65" s="144" t="str">
        <f>'14U BOYS PLATINUM-20 TEAMS'!H58&amp;""</f>
        <v>13</v>
      </c>
      <c r="I65" s="144" t="str">
        <f>'14U BOYS PLATINUM-20 TEAMS'!I58&amp;""</f>
        <v>3rd</v>
      </c>
      <c r="J65" s="144" t="str">
        <f>'14U BOYS PLATINUM-20 TEAMS'!J58&amp;""</f>
        <v>14U_BOYS_PLATINUM</v>
      </c>
      <c r="L65" s="144" t="str">
        <f>'14U BOYS PLATINUM-20 TEAMS'!I74&amp;""</f>
        <v>2nd</v>
      </c>
      <c r="M65" s="144" t="str">
        <f>'14U BOYS PLATINUM-20 TEAMS'!J74&amp;""</f>
        <v>MISSION WPC A</v>
      </c>
      <c r="N65" s="332"/>
    </row>
    <row r="66" spans="1:14">
      <c r="A66" s="99">
        <f>'14U BOYS PLATINUM-20 TEAMS'!A59</f>
        <v>46054</v>
      </c>
      <c r="B66" s="235">
        <f>'14U BOYS PLATINUM-20 TEAMS'!B59</f>
        <v>0.70833333333333404</v>
      </c>
      <c r="C66" s="235" t="str">
        <f>'14U BOYS PLATINUM-20 TEAMS'!C59&amp;""</f>
        <v>EL TORO HS 1</v>
      </c>
      <c r="D66" s="144" t="str">
        <f>'14U BOYS PLATINUM-20 TEAMS'!D59&amp;""</f>
        <v>14Bpt32</v>
      </c>
      <c r="E66" s="144" t="str">
        <f>'14U BOYS PLATINUM-20 TEAMS'!E59&amp;""</f>
        <v>1stG-MISSION WPC A</v>
      </c>
      <c r="F66" s="144" t="str">
        <f>'14U BOYS PLATINUM-20 TEAMS'!F59&amp;""</f>
        <v>8</v>
      </c>
      <c r="G66" s="144" t="str">
        <f>'14U BOYS PLATINUM-20 TEAMS'!G59&amp;""</f>
        <v>1stJ-LA JOLLA UNITED NAVY</v>
      </c>
      <c r="H66" s="144" t="str">
        <f>'14U BOYS PLATINUM-20 TEAMS'!H59&amp;""</f>
        <v>12</v>
      </c>
      <c r="I66" s="144" t="str">
        <f>'14U BOYS PLATINUM-20 TEAMS'!I59&amp;""</f>
        <v>1st</v>
      </c>
      <c r="J66" s="144" t="str">
        <f>'14U BOYS PLATINUM-20 TEAMS'!J59&amp;""</f>
        <v>14U_BOYS_PLATINUM</v>
      </c>
      <c r="L66" s="144" t="str">
        <f>'14U BOYS PLATINUM-20 TEAMS'!I75&amp;""</f>
        <v>3rd</v>
      </c>
      <c r="M66" s="144" t="str">
        <f>'14U BOYS PLATINUM-20 TEAMS'!J75&amp;""</f>
        <v>PATRIOT NAVY</v>
      </c>
      <c r="N66" s="332"/>
    </row>
    <row r="67" spans="1:14">
      <c r="N67" s="332"/>
    </row>
    <row r="68" spans="1:14">
      <c r="A68" s="332"/>
      <c r="B68" s="332"/>
      <c r="C68" s="332"/>
      <c r="D68" s="332"/>
      <c r="E68" s="332"/>
      <c r="F68" s="332"/>
      <c r="G68" s="332"/>
      <c r="H68" s="332"/>
      <c r="I68" s="332"/>
      <c r="J68" s="332"/>
      <c r="K68" s="332"/>
      <c r="L68" s="332"/>
      <c r="M68" s="332"/>
      <c r="N68" s="332"/>
    </row>
    <row r="69" spans="1:14">
      <c r="L69" s="154" t="str">
        <f>'16U BOYS SILVER-20 TEAMS'!I73&amp;""</f>
        <v>1st</v>
      </c>
      <c r="M69" s="154" t="str">
        <f>'16U BOYS SILVER-20 TEAMS'!J73&amp;""</f>
        <v xml:space="preserve">LA JOLLA UNITED WHITE	</v>
      </c>
      <c r="N69" s="332"/>
    </row>
    <row r="70" spans="1:14">
      <c r="A70" s="239">
        <f>'16U BOYS SILVER-20 TEAMS'!A60</f>
        <v>46054</v>
      </c>
      <c r="B70" s="238">
        <f>'16U BOYS SILVER-20 TEAMS'!B60</f>
        <v>0.66666666666666696</v>
      </c>
      <c r="C70" s="238" t="str">
        <f>'16U BOYS SILVER-20 TEAMS'!C60&amp;""</f>
        <v>SONORA HS</v>
      </c>
      <c r="D70" s="154" t="str">
        <f>'16U BOYS SILVER-20 TEAMS'!D60&amp;""</f>
        <v>16Bag31</v>
      </c>
      <c r="E70" s="154" t="str">
        <f>'16U BOYS SILVER-20 TEAMS'!E60&amp;""</f>
        <v>2ndG-SANTA CRUZ</v>
      </c>
      <c r="F70" s="154" t="str">
        <f>'16U BOYS SILVER-20 TEAMS'!F60&amp;""</f>
        <v>5</v>
      </c>
      <c r="G70" s="154" t="str">
        <f>'16U BOYS SILVER-20 TEAMS'!G60&amp;""</f>
        <v>2ndJ-CC UNITED WHITE</v>
      </c>
      <c r="H70" s="154" t="str">
        <f>'16U BOYS SILVER-20 TEAMS'!H60&amp;""</f>
        <v>4</v>
      </c>
      <c r="I70" s="154" t="str">
        <f>'16U BOYS SILVER-20 TEAMS'!I60&amp;""</f>
        <v>3rd</v>
      </c>
      <c r="J70" s="154" t="str">
        <f>'16U BOYS SILVER-20 TEAMS'!J60&amp;""</f>
        <v>16U_BOYS_SILVER</v>
      </c>
      <c r="L70" s="154" t="str">
        <f>'16U BOYS SILVER-20 TEAMS'!I74&amp;""</f>
        <v>2nd</v>
      </c>
      <c r="M70" s="154" t="str">
        <f>'16U BOYS SILVER-20 TEAMS'!J74&amp;""</f>
        <v>LAMORINDA B</v>
      </c>
      <c r="N70" s="332"/>
    </row>
    <row r="71" spans="1:14">
      <c r="A71" s="239">
        <f>'16U BOYS SILVER-20 TEAMS'!A61</f>
        <v>46054</v>
      </c>
      <c r="B71" s="238">
        <f>'16U BOYS SILVER-20 TEAMS'!B61</f>
        <v>0.70833333333333304</v>
      </c>
      <c r="C71" s="238" t="str">
        <f>'16U BOYS SILVER-20 TEAMS'!C61&amp;""</f>
        <v>SONORA HS</v>
      </c>
      <c r="D71" s="154" t="str">
        <f>'16U BOYS SILVER-20 TEAMS'!D61&amp;""</f>
        <v>16Bag32</v>
      </c>
      <c r="E71" s="154" t="str">
        <f>'16U BOYS SILVER-20 TEAMS'!E61&amp;""</f>
        <v>1stG-LAMORINDA B</v>
      </c>
      <c r="F71" s="154" t="str">
        <f>'16U BOYS SILVER-20 TEAMS'!F61&amp;""</f>
        <v>12</v>
      </c>
      <c r="G71" s="154" t="str">
        <f>'16U BOYS SILVER-20 TEAMS'!G61&amp;""</f>
        <v xml:space="preserve">1stJ-LA JOLLA UNITED WHITE	</v>
      </c>
      <c r="H71" s="154" t="str">
        <f>'16U BOYS SILVER-20 TEAMS'!H61&amp;""</f>
        <v>15</v>
      </c>
      <c r="I71" s="154" t="str">
        <f>'16U BOYS SILVER-20 TEAMS'!I61&amp;""</f>
        <v>1st</v>
      </c>
      <c r="J71" s="154" t="str">
        <f>'16U BOYS SILVER-20 TEAMS'!J61&amp;""</f>
        <v>16U_BOYS_SILVER</v>
      </c>
      <c r="L71" s="154" t="str">
        <f>'16U BOYS SILVER-20 TEAMS'!I75&amp;""</f>
        <v>3rd</v>
      </c>
      <c r="M71" s="154" t="str">
        <f>'16U BOYS SILVER-20 TEAMS'!J75&amp;""</f>
        <v>SANTA CRUZ</v>
      </c>
      <c r="N71" s="332"/>
    </row>
    <row r="72" spans="1:14">
      <c r="N72" s="332"/>
    </row>
    <row r="73" spans="1:14">
      <c r="A73" s="332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</row>
    <row r="74" spans="1:14">
      <c r="L74" s="151" t="str">
        <f>'16U BOYS GOLD-19 TEAMS'!I71&amp;""</f>
        <v>1st</v>
      </c>
      <c r="M74" s="151" t="str">
        <f>'16U BOYS GOLD-19 TEAMS'!J71&amp;""</f>
        <v>LA JOLLA UNITED GOLD</v>
      </c>
      <c r="N74" s="332"/>
    </row>
    <row r="75" spans="1:14">
      <c r="A75" s="247">
        <f>'16U BOYS GOLD-19 TEAMS'!A57</f>
        <v>46054</v>
      </c>
      <c r="B75" s="246">
        <f>'16U BOYS GOLD-19 TEAMS'!B57</f>
        <v>0.66666666666666696</v>
      </c>
      <c r="C75" s="246" t="str">
        <f>'16U BOYS GOLD-19 TEAMS'!C57&amp;""</f>
        <v>SAN JUAN HILLS HS</v>
      </c>
      <c r="D75" s="151" t="str">
        <f>'16U BOYS GOLD-19 TEAMS'!D57&amp;""</f>
        <v>16Bau29</v>
      </c>
      <c r="E75" s="151" t="str">
        <f>'16U BOYS GOLD-19 TEAMS'!E57&amp;""</f>
        <v>N1(2ndG)-SAN JOSE EXPRESS BLUE</v>
      </c>
      <c r="F75" s="151" t="str">
        <f>'16U BOYS GOLD-19 TEAMS'!F57&amp;""</f>
        <v>8</v>
      </c>
      <c r="G75" s="151" t="str">
        <f>'16U BOYS GOLD-19 TEAMS'!G57&amp;""</f>
        <v>N2(2ndH)-CT PREMIER</v>
      </c>
      <c r="H75" s="151" t="str">
        <f>'16U BOYS GOLD-19 TEAMS'!H57&amp;""</f>
        <v>10</v>
      </c>
      <c r="I75" s="151" t="str">
        <f>'16U BOYS GOLD-19 TEAMS'!I57&amp;""</f>
        <v>3rd 2ndG/2ndH</v>
      </c>
      <c r="J75" s="151" t="str">
        <f>'16U BOYS GOLD-19 TEAMS'!J57&amp;""</f>
        <v>16U_BOYS_GOLD</v>
      </c>
      <c r="L75" s="151" t="str">
        <f>'16U BOYS GOLD-19 TEAMS'!I72&amp;""</f>
        <v>2nd</v>
      </c>
      <c r="M75" s="151" t="str">
        <f>'16U BOYS GOLD-19 TEAMS'!J72&amp;""</f>
        <v>SOUTH COAST WHITE (B)</v>
      </c>
      <c r="N75" s="332"/>
    </row>
    <row r="76" spans="1:14">
      <c r="A76" s="247">
        <f>'16U BOYS GOLD-19 TEAMS'!A58</f>
        <v>46054</v>
      </c>
      <c r="B76" s="246">
        <f>'16U BOYS GOLD-19 TEAMS'!B58</f>
        <v>0.70833333333333304</v>
      </c>
      <c r="C76" s="246" t="str">
        <f>'16U BOYS GOLD-19 TEAMS'!C58&amp;""</f>
        <v>SAN JUAN HILLS HS</v>
      </c>
      <c r="D76" s="151" t="str">
        <f>'16U BOYS GOLD-19 TEAMS'!D58&amp;""</f>
        <v>16Bau30</v>
      </c>
      <c r="E76" s="151" t="str">
        <f>'16U BOYS GOLD-19 TEAMS'!E58&amp;""</f>
        <v>O1(1stG)-SOUTH COAST WHITE (B)</v>
      </c>
      <c r="F76" s="151" t="str">
        <f>'16U BOYS GOLD-19 TEAMS'!F58&amp;""</f>
        <v>4</v>
      </c>
      <c r="G76" s="151" t="str">
        <f>'16U BOYS GOLD-19 TEAMS'!G58&amp;""</f>
        <v>O2(1stH)-LA JOLLA UNITED GOLD</v>
      </c>
      <c r="H76" s="151" t="str">
        <f>'16U BOYS GOLD-19 TEAMS'!H58&amp;""</f>
        <v>10</v>
      </c>
      <c r="I76" s="151" t="str">
        <f>'16U BOYS GOLD-19 TEAMS'!I58&amp;""</f>
        <v>1st 1stG/1stH</v>
      </c>
      <c r="J76" s="151" t="str">
        <f>'16U BOYS GOLD-19 TEAMS'!J58&amp;""</f>
        <v>16U_BOYS_GOLD</v>
      </c>
      <c r="L76" s="151" t="str">
        <f>'16U BOYS GOLD-19 TEAMS'!I73&amp;""</f>
        <v>3rd</v>
      </c>
      <c r="M76" s="151" t="str">
        <f>'16U BOYS GOLD-19 TEAMS'!J73&amp;""</f>
        <v>CT PREMIER</v>
      </c>
      <c r="N76" s="332"/>
    </row>
    <row r="77" spans="1:14">
      <c r="N77" s="332"/>
    </row>
    <row r="78" spans="1:14">
      <c r="A78" s="332"/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</row>
    <row r="79" spans="1:14">
      <c r="L79" s="106" t="str">
        <f>'16U BOYS PLATINUM-18 TEAMS'!I67&amp;""</f>
        <v>1st</v>
      </c>
      <c r="M79" s="106" t="str">
        <f>'16U BOYS PLATINUM-18 TEAMS'!J67&amp;""</f>
        <v>CC UNITED BLACK</v>
      </c>
      <c r="N79" s="332"/>
    </row>
    <row r="80" spans="1:14">
      <c r="A80" s="251">
        <f>'16U BOYS PLATINUM-18 TEAMS'!A53</f>
        <v>46054</v>
      </c>
      <c r="B80" s="150">
        <f>'16U BOYS PLATINUM-18 TEAMS'!B53</f>
        <v>0.66666666666666696</v>
      </c>
      <c r="C80" s="150" t="str">
        <f>'16U BOYS PLATINUM-18 TEAMS'!C53&amp;""</f>
        <v>WOOLLETT NEAR RIGHT</v>
      </c>
      <c r="D80" s="150" t="str">
        <f>'16U BOYS PLATINUM-18 TEAMS'!D53&amp;""</f>
        <v>16Bpt37</v>
      </c>
      <c r="E80" s="149" t="str">
        <f>'16U BOYS PLATINUM-18 TEAMS'!E53&amp;""</f>
        <v>2ndG-IMPERIAL WPC</v>
      </c>
      <c r="F80" s="150" t="str">
        <f>'16U BOYS PLATINUM-18 TEAMS'!F53&amp;""</f>
        <v>13</v>
      </c>
      <c r="G80" s="106" t="str">
        <f>'16U BOYS PLATINUM-18 TEAMS'!G53&amp;""</f>
        <v>2ndH-LAMORINDA A</v>
      </c>
      <c r="H80" s="150" t="str">
        <f>'16U BOYS PLATINUM-18 TEAMS'!H53&amp;""</f>
        <v>10</v>
      </c>
      <c r="I80" s="249" t="str">
        <f>'16U BOYS PLATINUM-18 TEAMS'!I53&amp;""</f>
        <v>overall 3rd</v>
      </c>
      <c r="J80" s="106" t="str">
        <f>'16U BOYS PLATINUM-18 TEAMS'!J53&amp;""</f>
        <v>16U_BOYS_PLATINUM</v>
      </c>
      <c r="L80" s="106" t="str">
        <f>'16U BOYS PLATINUM-18 TEAMS'!I68&amp;""</f>
        <v>2nd</v>
      </c>
      <c r="M80" s="106" t="str">
        <f>'16U BOYS PLATINUM-18 TEAMS'!J68&amp;""</f>
        <v>CHANNEL ISLANDS UNITED GOLD</v>
      </c>
      <c r="N80" s="332"/>
    </row>
    <row r="81" spans="1:14">
      <c r="A81" s="251">
        <f>'16U BOYS PLATINUM-18 TEAMS'!A54</f>
        <v>46054</v>
      </c>
      <c r="B81" s="150">
        <f>'16U BOYS PLATINUM-18 TEAMS'!B54</f>
        <v>0.70833333333333304</v>
      </c>
      <c r="C81" s="150" t="str">
        <f>'16U BOYS PLATINUM-18 TEAMS'!C54&amp;""</f>
        <v>WOOLLETT NEAR RIGHT</v>
      </c>
      <c r="D81" s="150" t="str">
        <f>'16U BOYS PLATINUM-18 TEAMS'!D54&amp;""</f>
        <v>16Bpt38</v>
      </c>
      <c r="E81" s="149" t="str">
        <f>'16U BOYS PLATINUM-18 TEAMS'!E54&amp;""</f>
        <v>1stG-CC UNITED BLACK</v>
      </c>
      <c r="F81" s="250" t="str">
        <f>'16U BOYS PLATINUM-18 TEAMS'!F54&amp;""</f>
        <v>11</v>
      </c>
      <c r="G81" s="249" t="str">
        <f>'16U BOYS PLATINUM-18 TEAMS'!G54&amp;""</f>
        <v>1stH-CHANNEL ISLANDS UNITED GOLD</v>
      </c>
      <c r="H81" s="250" t="str">
        <f>'16U BOYS PLATINUM-18 TEAMS'!H54&amp;""</f>
        <v>8</v>
      </c>
      <c r="I81" s="249" t="str">
        <f>'16U BOYS PLATINUM-18 TEAMS'!I54&amp;""</f>
        <v>overall 1st</v>
      </c>
      <c r="J81" s="106" t="str">
        <f>'16U BOYS PLATINUM-18 TEAMS'!J54&amp;""</f>
        <v>16U_BOYS_PLATINUM</v>
      </c>
      <c r="L81" s="106" t="str">
        <f>'16U BOYS PLATINUM-18 TEAMS'!I69&amp;""</f>
        <v>3rd</v>
      </c>
      <c r="M81" s="106" t="str">
        <f>'16U BOYS PLATINUM-18 TEAMS'!J69&amp;""</f>
        <v>IMPERIAL WPC</v>
      </c>
      <c r="N81" s="332"/>
    </row>
    <row r="82" spans="1:14">
      <c r="N82" s="332"/>
    </row>
    <row r="83" spans="1:14">
      <c r="A83" s="332"/>
      <c r="B83" s="332"/>
      <c r="C83" s="332"/>
      <c r="D83" s="332"/>
      <c r="E83" s="332"/>
      <c r="F83" s="332"/>
      <c r="G83" s="332"/>
      <c r="H83" s="332"/>
      <c r="I83" s="332"/>
      <c r="J83" s="332"/>
      <c r="K83" s="332"/>
      <c r="L83" s="332"/>
      <c r="M83" s="332"/>
      <c r="N83" s="332"/>
    </row>
    <row r="84" spans="1:14">
      <c r="L84" s="108" t="str">
        <f>'19U BOYS SILVER-6 TEAMS CUST'!I28&amp;""</f>
        <v>1st</v>
      </c>
      <c r="M84" s="108" t="str">
        <f>'19U BOYS SILVER-6 TEAMS CUST'!J28&amp;""</f>
        <v>SD ECA</v>
      </c>
      <c r="N84" s="332"/>
    </row>
    <row r="85" spans="1:14">
      <c r="A85" s="265">
        <f>'19U BOYS SILVER-6 TEAMS CUST'!A10</f>
        <v>46053</v>
      </c>
      <c r="B85" s="264">
        <f>'19U BOYS SILVER-6 TEAMS CUST'!B10</f>
        <v>0.52083333333333337</v>
      </c>
      <c r="C85" s="264" t="str">
        <f>'19U BOYS SILVER-6 TEAMS CUST'!C10&amp;""</f>
        <v>SADDLEBACK COLLEGE</v>
      </c>
      <c r="D85" s="108" t="str">
        <f>'19U BOYS SILVER-6 TEAMS CUST'!D10&amp;""</f>
        <v>19Bag01</v>
      </c>
      <c r="E85" s="108" t="str">
        <f>'19U BOYS SILVER-6 TEAMS CUST'!E10&amp;""</f>
        <v>A1-SHORE AQUATICS</v>
      </c>
      <c r="F85" s="108" t="str">
        <f>'19U BOYS SILVER-6 TEAMS CUST'!F10&amp;""</f>
        <v>9</v>
      </c>
      <c r="G85" s="108" t="str">
        <f>'19U BOYS SILVER-6 TEAMS CUST'!G10&amp;""</f>
        <v>A3-SD ECA</v>
      </c>
      <c r="H85" s="108" t="str">
        <f>'19U BOYS SILVER-6 TEAMS CUST'!H10&amp;""</f>
        <v>11</v>
      </c>
      <c r="I85" s="108" t="str">
        <f>'19U BOYS SILVER-6 TEAMS CUST'!I10&amp;""</f>
        <v>A bracket A1,A3</v>
      </c>
      <c r="J85" s="108" t="str">
        <f>'19U BOYS SILVER-6 TEAMS CUST'!J10&amp;""</f>
        <v>19U_BOYS_SILVER</v>
      </c>
      <c r="L85" s="108" t="str">
        <f>'19U BOYS SILVER-6 TEAMS CUST'!I29&amp;""</f>
        <v>2nd</v>
      </c>
      <c r="M85" s="108" t="str">
        <f>'19U BOYS SILVER-6 TEAMS CUST'!J29&amp;""</f>
        <v>CHARGERS WHITE</v>
      </c>
      <c r="N85" s="332"/>
    </row>
    <row r="86" spans="1:14">
      <c r="A86" s="265">
        <f>'19U BOYS SILVER-6 TEAMS CUST'!A11</f>
        <v>46053</v>
      </c>
      <c r="B86" s="264">
        <f>'19U BOYS SILVER-6 TEAMS CUST'!B11</f>
        <v>0.5625</v>
      </c>
      <c r="C86" s="264" t="str">
        <f>'19U BOYS SILVER-6 TEAMS CUST'!C11&amp;""</f>
        <v>SADDLEBACK COLLEGE</v>
      </c>
      <c r="D86" s="108" t="str">
        <f>'19U BOYS SILVER-6 TEAMS CUST'!D11&amp;""</f>
        <v>19Bag02</v>
      </c>
      <c r="E86" s="329" t="str">
        <f>'19U BOYS SILVER-6 TEAMS CUST'!E11&amp;""</f>
        <v>B1-CHARGERS WHITE</v>
      </c>
      <c r="F86" s="108" t="str">
        <f>'19U BOYS SILVER-6 TEAMS CUST'!F11&amp;""</f>
        <v>9</v>
      </c>
      <c r="G86" s="108" t="str">
        <f>'19U BOYS SILVER-6 TEAMS CUST'!G11&amp;""</f>
        <v>B3-OHANA</v>
      </c>
      <c r="H86" s="108" t="str">
        <f>'19U BOYS SILVER-6 TEAMS CUST'!H11&amp;""</f>
        <v>6</v>
      </c>
      <c r="I86" s="108" t="str">
        <f>'19U BOYS SILVER-6 TEAMS CUST'!I11&amp;""</f>
        <v>B bracket B1,B3</v>
      </c>
      <c r="J86" s="108" t="str">
        <f>'19U BOYS SILVER-6 TEAMS CUST'!J11&amp;""</f>
        <v>19U_BOYS_SILVER</v>
      </c>
      <c r="L86" s="108" t="str">
        <f>'19U BOYS SILVER-6 TEAMS CUST'!I30&amp;""</f>
        <v>3rd</v>
      </c>
      <c r="M86" s="108" t="str">
        <f>'19U BOYS SILVER-6 TEAMS CUST'!J30&amp;""</f>
        <v>OHANA</v>
      </c>
      <c r="N86" s="332"/>
    </row>
    <row r="87" spans="1:14">
      <c r="A87" s="265">
        <f>'19U BOYS SILVER-6 TEAMS CUST'!A12</f>
        <v>46053</v>
      </c>
      <c r="B87" s="264">
        <f>'19U BOYS SILVER-6 TEAMS CUST'!B12</f>
        <v>0.60416666666666696</v>
      </c>
      <c r="C87" s="264" t="str">
        <f>'19U BOYS SILVER-6 TEAMS CUST'!C12&amp;""</f>
        <v>SADDLEBACK COLLEGE</v>
      </c>
      <c r="D87" s="108" t="str">
        <f>'19U BOYS SILVER-6 TEAMS CUST'!D12&amp;""</f>
        <v>19Bag03</v>
      </c>
      <c r="E87" s="108" t="str">
        <f>'19U BOYS SILVER-6 TEAMS CUST'!E12&amp;""</f>
        <v>A2-OPA</v>
      </c>
      <c r="F87" s="108" t="str">
        <f>'19U BOYS SILVER-6 TEAMS CUST'!F12&amp;""</f>
        <v>6</v>
      </c>
      <c r="G87" s="108" t="str">
        <f>'19U BOYS SILVER-6 TEAMS CUST'!G12&amp;""</f>
        <v>A3-SD ECA</v>
      </c>
      <c r="H87" s="108" t="str">
        <f>'19U BOYS SILVER-6 TEAMS CUST'!H12&amp;""</f>
        <v>14</v>
      </c>
      <c r="I87" s="108" t="str">
        <f>'19U BOYS SILVER-6 TEAMS CUST'!I12&amp;""</f>
        <v>A bracket A2,A3</v>
      </c>
      <c r="J87" s="108" t="str">
        <f>'19U BOYS SILVER-6 TEAMS CUST'!J12&amp;""</f>
        <v>19U_BOYS_SILVER</v>
      </c>
      <c r="N87" s="332"/>
    </row>
    <row r="88" spans="1:14">
      <c r="A88" s="265">
        <f>'19U BOYS SILVER-6 TEAMS CUST'!A13</f>
        <v>46053</v>
      </c>
      <c r="B88" s="264">
        <f>'19U BOYS SILVER-6 TEAMS CUST'!B13</f>
        <v>0.64583333333333304</v>
      </c>
      <c r="C88" s="264" t="str">
        <f>'19U BOYS SILVER-6 TEAMS CUST'!C13&amp;""</f>
        <v>SADDLEBACK COLLEGE</v>
      </c>
      <c r="D88" s="108" t="str">
        <f>'19U BOYS SILVER-6 TEAMS CUST'!D13&amp;""</f>
        <v>19Bag04</v>
      </c>
      <c r="E88" s="329" t="str">
        <f>'19U BOYS SILVER-6 TEAMS CUST'!E13&amp;""</f>
        <v>B1-CHARGERS WHITE</v>
      </c>
      <c r="F88" s="108" t="str">
        <f>'19U BOYS SILVER-6 TEAMS CUST'!F13&amp;""</f>
        <v>10</v>
      </c>
      <c r="G88" s="108" t="str">
        <f>'19U BOYS SILVER-6 TEAMS CUST'!G13&amp;""</f>
        <v>B2-SAN JOSE EXPRESS GOLD</v>
      </c>
      <c r="H88" s="108" t="str">
        <f>'19U BOYS SILVER-6 TEAMS CUST'!H13&amp;""</f>
        <v>8</v>
      </c>
      <c r="I88" s="108" t="str">
        <f>'19U BOYS SILVER-6 TEAMS CUST'!I13&amp;""</f>
        <v>B bracket B1,B2</v>
      </c>
      <c r="J88" s="108" t="str">
        <f>'19U BOYS SILVER-6 TEAMS CUST'!J13&amp;""</f>
        <v>19U_BOYS_SILVER</v>
      </c>
      <c r="N88" s="332"/>
    </row>
    <row r="89" spans="1:14">
      <c r="A89" s="265">
        <f>'19U BOYS SILVER-6 TEAMS CUST'!A14</f>
        <v>46053</v>
      </c>
      <c r="B89" s="264">
        <f>'19U BOYS SILVER-6 TEAMS CUST'!B14</f>
        <v>0.6875</v>
      </c>
      <c r="C89" s="264" t="str">
        <f>'19U BOYS SILVER-6 TEAMS CUST'!C14&amp;""</f>
        <v>SADDLEBACK COLLEGE</v>
      </c>
      <c r="D89" s="108" t="str">
        <f>'19U BOYS SILVER-6 TEAMS CUST'!D14&amp;""</f>
        <v>19Bag05</v>
      </c>
      <c r="E89" s="108" t="str">
        <f>'19U BOYS SILVER-6 TEAMS CUST'!E14&amp;""</f>
        <v>A1-SHORE AQUATICS</v>
      </c>
      <c r="F89" s="108" t="str">
        <f>'19U BOYS SILVER-6 TEAMS CUST'!F14&amp;""</f>
        <v>10</v>
      </c>
      <c r="G89" s="108" t="str">
        <f>'19U BOYS SILVER-6 TEAMS CUST'!G14&amp;""</f>
        <v>A2-OPA</v>
      </c>
      <c r="H89" s="108" t="str">
        <f>'19U BOYS SILVER-6 TEAMS CUST'!H14&amp;""</f>
        <v>8</v>
      </c>
      <c r="I89" s="108" t="str">
        <f>'19U BOYS SILVER-6 TEAMS CUST'!I14&amp;""</f>
        <v>A bracket A1,A2</v>
      </c>
      <c r="J89" s="108" t="str">
        <f>'19U BOYS SILVER-6 TEAMS CUST'!J14&amp;""</f>
        <v>19U_BOYS_SILVER</v>
      </c>
      <c r="N89" s="332"/>
    </row>
    <row r="90" spans="1:14">
      <c r="A90" s="265">
        <f>'19U BOYS SILVER-6 TEAMS CUST'!A15</f>
        <v>46053</v>
      </c>
      <c r="B90" s="264">
        <f>'19U BOYS SILVER-6 TEAMS CUST'!B15</f>
        <v>0.72916666666666696</v>
      </c>
      <c r="C90" s="264" t="str">
        <f>'19U BOYS SILVER-6 TEAMS CUST'!C15&amp;""</f>
        <v>SADDLEBACK COLLEGE</v>
      </c>
      <c r="D90" s="108" t="str">
        <f>'19U BOYS SILVER-6 TEAMS CUST'!D15&amp;""</f>
        <v>19Bag06</v>
      </c>
      <c r="E90" s="108" t="str">
        <f>'19U BOYS SILVER-6 TEAMS CUST'!E15&amp;""</f>
        <v>B2-SAN JOSE EXPRESS GOLD</v>
      </c>
      <c r="F90" s="108" t="str">
        <f>'19U BOYS SILVER-6 TEAMS CUST'!F15&amp;""</f>
        <v>5</v>
      </c>
      <c r="G90" s="108" t="str">
        <f>'19U BOYS SILVER-6 TEAMS CUST'!G15&amp;""</f>
        <v>B3-OHANA</v>
      </c>
      <c r="H90" s="108" t="str">
        <f>'19U BOYS SILVER-6 TEAMS CUST'!H15&amp;""</f>
        <v>15</v>
      </c>
      <c r="I90" s="108" t="str">
        <f>'19U BOYS SILVER-6 TEAMS CUST'!I15&amp;""</f>
        <v>B bracket B2,B3</v>
      </c>
      <c r="J90" s="108" t="str">
        <f>'19U BOYS SILVER-6 TEAMS CUST'!J15&amp;""</f>
        <v>19U_BOYS_SILVER</v>
      </c>
      <c r="N90" s="332"/>
    </row>
    <row r="91" spans="1:14">
      <c r="A91" s="265">
        <f>'19U BOYS SILVER-6 TEAMS CUST'!A19</f>
        <v>46054</v>
      </c>
      <c r="B91" s="264">
        <f>'19U BOYS SILVER-6 TEAMS CUST'!B19</f>
        <v>0.33333333333333298</v>
      </c>
      <c r="C91" s="264" t="str">
        <f>'19U BOYS SILVER-6 TEAMS CUST'!C19&amp;""</f>
        <v>ESTANCIA HS 1</v>
      </c>
      <c r="D91" s="108" t="str">
        <f>'19U BOYS SILVER-6 TEAMS CUST'!D19&amp;""</f>
        <v>19Bag07</v>
      </c>
      <c r="E91" s="108" t="str">
        <f>'19U BOYS SILVER-6 TEAMS CUST'!E19&amp;""</f>
        <v>A1-SHORE AQUATICS</v>
      </c>
      <c r="F91" s="108" t="str">
        <f>'19U BOYS SILVER-6 TEAMS CUST'!F19&amp;""</f>
        <v>7</v>
      </c>
      <c r="G91" s="108" t="str">
        <f>'19U BOYS SILVER-6 TEAMS CUST'!G19&amp;""</f>
        <v>B2-SAN JOSE EXPRESS GOLD</v>
      </c>
      <c r="H91" s="108" t="str">
        <f>'19U BOYS SILVER-6 TEAMS CUST'!H19&amp;""</f>
        <v>8</v>
      </c>
      <c r="I91" s="108" t="str">
        <f>'19U BOYS SILVER-6 TEAMS CUST'!I19&amp;""</f>
        <v>A1,B2</v>
      </c>
      <c r="J91" s="108" t="str">
        <f>'19U BOYS SILVER-6 TEAMS CUST'!J19&amp;""</f>
        <v>19U_BOYS_SILVER</v>
      </c>
      <c r="N91" s="332"/>
    </row>
    <row r="92" spans="1:14">
      <c r="A92" s="265">
        <f>'19U BOYS SILVER-6 TEAMS CUST'!A20</f>
        <v>46054</v>
      </c>
      <c r="B92" s="264">
        <f>'19U BOYS SILVER-6 TEAMS CUST'!B20</f>
        <v>0.375</v>
      </c>
      <c r="C92" s="264" t="str">
        <f>'19U BOYS SILVER-6 TEAMS CUST'!C20&amp;""</f>
        <v>ESTANCIA HS 1</v>
      </c>
      <c r="D92" s="108" t="str">
        <f>'19U BOYS SILVER-6 TEAMS CUST'!D20&amp;""</f>
        <v>19Bag08</v>
      </c>
      <c r="E92" s="108" t="str">
        <f>'19U BOYS SILVER-6 TEAMS CUST'!E20&amp;""</f>
        <v>A2-OPA</v>
      </c>
      <c r="F92" s="108" t="str">
        <f>'19U BOYS SILVER-6 TEAMS CUST'!F20&amp;""</f>
        <v>7</v>
      </c>
      <c r="G92" s="108" t="str">
        <f>'19U BOYS SILVER-6 TEAMS CUST'!G20&amp;""</f>
        <v>B3-OHANA</v>
      </c>
      <c r="H92" s="108" t="str">
        <f>'19U BOYS SILVER-6 TEAMS CUST'!H20&amp;""</f>
        <v>10</v>
      </c>
      <c r="I92" s="108" t="str">
        <f>'19U BOYS SILVER-6 TEAMS CUST'!I20&amp;""</f>
        <v>A2,B3</v>
      </c>
      <c r="J92" s="108" t="str">
        <f>'19U BOYS SILVER-6 TEAMS CUST'!J20&amp;""</f>
        <v>19U_BOYS_SILVER</v>
      </c>
      <c r="N92" s="332"/>
    </row>
    <row r="93" spans="1:14">
      <c r="A93" s="265">
        <f>'19U BOYS SILVER-6 TEAMS CUST'!A22</f>
        <v>46054</v>
      </c>
      <c r="B93" s="264">
        <f>'19U BOYS SILVER-6 TEAMS CUST'!B22</f>
        <v>0.5</v>
      </c>
      <c r="C93" s="264" t="str">
        <f>'19U BOYS SILVER-6 TEAMS CUST'!C22&amp;""</f>
        <v>ESTANCIA HS 1</v>
      </c>
      <c r="D93" s="108" t="str">
        <f>'19U BOYS SILVER-6 TEAMS CUST'!D22&amp;""</f>
        <v>19Bag09</v>
      </c>
      <c r="E93" s="108" t="str">
        <f>'19U BOYS SILVER-6 TEAMS CUST'!E22&amp;""</f>
        <v>A3-SD ECA</v>
      </c>
      <c r="F93" s="108" t="str">
        <f>'19U BOYS SILVER-6 TEAMS CUST'!F22&amp;""</f>
        <v>15</v>
      </c>
      <c r="G93" s="108" t="str">
        <f>'19U BOYS SILVER-6 TEAMS CUST'!G22&amp;""</f>
        <v>B2-SAN JOSE EXPRESS GOLD</v>
      </c>
      <c r="H93" s="108" t="str">
        <f>'19U BOYS SILVER-6 TEAMS CUST'!H22&amp;""</f>
        <v>5</v>
      </c>
      <c r="I93" s="108" t="str">
        <f>'19U BOYS SILVER-6 TEAMS CUST'!I22&amp;""</f>
        <v>A3,B2</v>
      </c>
      <c r="J93" s="108" t="str">
        <f>'19U BOYS SILVER-6 TEAMS CUST'!J22&amp;""</f>
        <v>19U_BOYS_SILVER</v>
      </c>
      <c r="N93" s="332"/>
    </row>
    <row r="94" spans="1:14">
      <c r="A94" s="265">
        <f>'19U BOYS SILVER-6 TEAMS CUST'!A23</f>
        <v>46054</v>
      </c>
      <c r="B94" s="264">
        <f>'19U BOYS SILVER-6 TEAMS CUST'!B23</f>
        <v>0.54166666666666696</v>
      </c>
      <c r="C94" s="264" t="str">
        <f>'19U BOYS SILVER-6 TEAMS CUST'!C23&amp;""</f>
        <v>ESTANCIA HS 1</v>
      </c>
      <c r="D94" s="108" t="str">
        <f>'19U BOYS SILVER-6 TEAMS CUST'!D23&amp;""</f>
        <v>19Bag10</v>
      </c>
      <c r="E94" s="108" t="str">
        <f>'19U BOYS SILVER-6 TEAMS CUST'!E23&amp;""</f>
        <v>A1-SHORE AQUATICS</v>
      </c>
      <c r="F94" s="108" t="str">
        <f>'19U BOYS SILVER-6 TEAMS CUST'!F23&amp;""</f>
        <v>5</v>
      </c>
      <c r="G94" s="108" t="str">
        <f>'19U BOYS SILVER-6 TEAMS CUST'!G23&amp;""</f>
        <v>B1-CHARGERS WHITE</v>
      </c>
      <c r="H94" s="108" t="str">
        <f>'19U BOYS SILVER-6 TEAMS CUST'!H23&amp;""</f>
        <v>9</v>
      </c>
      <c r="I94" s="108" t="str">
        <f>'19U BOYS SILVER-6 TEAMS CUST'!I23&amp;""</f>
        <v>A1,B1</v>
      </c>
      <c r="J94" s="108" t="str">
        <f>'19U BOYS SILVER-6 TEAMS CUST'!J23&amp;""</f>
        <v>19U_BOYS_SILVER</v>
      </c>
      <c r="N94" s="332"/>
    </row>
    <row r="95" spans="1:14">
      <c r="A95" s="265">
        <f>'19U BOYS SILVER-6 TEAMS CUST'!A25</f>
        <v>46054</v>
      </c>
      <c r="B95" s="264">
        <f>'19U BOYS SILVER-6 TEAMS CUST'!B25</f>
        <v>0.66666666666666696</v>
      </c>
      <c r="C95" s="264" t="str">
        <f>'19U BOYS SILVER-6 TEAMS CUST'!C25&amp;""</f>
        <v>ESTANCIA HS 1</v>
      </c>
      <c r="D95" s="108" t="str">
        <f>'19U BOYS SILVER-6 TEAMS CUST'!D25&amp;""</f>
        <v>19Bag11</v>
      </c>
      <c r="E95" s="108" t="str">
        <f>'19U BOYS SILVER-6 TEAMS CUST'!E25&amp;""</f>
        <v>A2-OPA</v>
      </c>
      <c r="F95" s="108" t="str">
        <f>'19U BOYS SILVER-6 TEAMS CUST'!F25&amp;""</f>
        <v>5</v>
      </c>
      <c r="G95" s="108" t="str">
        <f>'19U BOYS SILVER-6 TEAMS CUST'!G25&amp;""</f>
        <v>B1-CHARGERS WHITE</v>
      </c>
      <c r="H95" s="108" t="str">
        <f>'19U BOYS SILVER-6 TEAMS CUST'!H25&amp;""</f>
        <v>16</v>
      </c>
      <c r="I95" s="108" t="str">
        <f>'19U BOYS SILVER-6 TEAMS CUST'!I25&amp;""</f>
        <v>A2,B1</v>
      </c>
      <c r="J95" s="108" t="str">
        <f>'19U BOYS SILVER-6 TEAMS CUST'!J25&amp;""</f>
        <v>19U_BOYS_SILVER</v>
      </c>
      <c r="N95" s="332"/>
    </row>
    <row r="96" spans="1:14">
      <c r="A96" s="265">
        <f>'19U BOYS SILVER-6 TEAMS CUST'!A26</f>
        <v>46054</v>
      </c>
      <c r="B96" s="264">
        <f>'19U BOYS SILVER-6 TEAMS CUST'!B26</f>
        <v>0.70833333333333304</v>
      </c>
      <c r="C96" s="264" t="str">
        <f>'19U BOYS SILVER-6 TEAMS CUST'!C26&amp;""</f>
        <v>ESTANCIA HS 1</v>
      </c>
      <c r="D96" s="108" t="str">
        <f>'19U BOYS SILVER-6 TEAMS CUST'!D26&amp;""</f>
        <v>19Bag12</v>
      </c>
      <c r="E96" s="108" t="str">
        <f>'19U BOYS SILVER-6 TEAMS CUST'!E26&amp;""</f>
        <v>A3-SD ECA</v>
      </c>
      <c r="F96" s="108" t="str">
        <f>'19U BOYS SILVER-6 TEAMS CUST'!F26&amp;""</f>
        <v>17</v>
      </c>
      <c r="G96" s="108" t="str">
        <f>'19U BOYS SILVER-6 TEAMS CUST'!G26&amp;""</f>
        <v>B3-OHANA</v>
      </c>
      <c r="H96" s="108" t="str">
        <f>'19U BOYS SILVER-6 TEAMS CUST'!H26&amp;""</f>
        <v>12</v>
      </c>
      <c r="I96" s="108" t="str">
        <f>'19U BOYS SILVER-6 TEAMS CUST'!I26&amp;""</f>
        <v>A3,B3</v>
      </c>
      <c r="J96" s="108" t="str">
        <f>'19U BOYS SILVER-6 TEAMS CUST'!J26&amp;""</f>
        <v>19U_BOYS_SILVER</v>
      </c>
      <c r="N96" s="332"/>
    </row>
    <row r="97" spans="1:14">
      <c r="N97" s="332"/>
    </row>
    <row r="98" spans="1:14">
      <c r="A98" s="332"/>
      <c r="B98" s="332"/>
      <c r="C98" s="332"/>
      <c r="D98" s="332"/>
      <c r="E98" s="332"/>
      <c r="F98" s="332"/>
      <c r="G98" s="332"/>
      <c r="H98" s="332"/>
      <c r="I98" s="332"/>
      <c r="J98" s="332"/>
      <c r="K98" s="332"/>
      <c r="L98" s="332"/>
      <c r="M98" s="332"/>
      <c r="N98" s="332"/>
    </row>
    <row r="99" spans="1:14">
      <c r="L99" s="107" t="str">
        <f>'19U BOYS GOLD-16 TEAMS'!I46&amp;""</f>
        <v>1st</v>
      </c>
      <c r="M99" s="107" t="str">
        <f>'19U BOYS GOLD-16 TEAMS'!J46&amp;""</f>
        <v>LONGHORN</v>
      </c>
      <c r="N99" s="332"/>
    </row>
    <row r="100" spans="1:14">
      <c r="A100" s="275">
        <f>'19U BOYS GOLD-16 TEAMS'!A43</f>
        <v>46054</v>
      </c>
      <c r="B100" s="274">
        <f>'19U BOYS GOLD-16 TEAMS'!B43</f>
        <v>0.75</v>
      </c>
      <c r="C100" s="274" t="str">
        <f>'19U BOYS GOLD-16 TEAMS'!C43&amp;""</f>
        <v>WOOLLETT NEAR RIGHT</v>
      </c>
      <c r="D100" s="107" t="str">
        <f>'19U BOYS GOLD-16 TEAMS'!D43&amp;""</f>
        <v>19Bau23</v>
      </c>
      <c r="E100" s="107" t="str">
        <f>'19U BOYS GOLD-16 TEAMS'!E43&amp;""</f>
        <v>L#19-HIELAND</v>
      </c>
      <c r="F100" s="107" t="str">
        <f>'19U BOYS GOLD-16 TEAMS'!F43&amp;""</f>
        <v>9</v>
      </c>
      <c r="G100" s="107" t="str">
        <f>'19U BOYS GOLD-16 TEAMS'!G43&amp;""</f>
        <v>L#20-ORANGE COUNTY WPC BLUE</v>
      </c>
      <c r="H100" s="107" t="str">
        <f>'19U BOYS GOLD-16 TEAMS'!H43&amp;""</f>
        <v>10</v>
      </c>
      <c r="I100" s="107" t="str">
        <f>'19U BOYS GOLD-16 TEAMS'!I43&amp;""</f>
        <v>3rd</v>
      </c>
      <c r="J100" s="107" t="str">
        <f>'19U BOYS GOLD-16 TEAMS'!J43&amp;""</f>
        <v>19U_BOYS_GOLD</v>
      </c>
      <c r="L100" s="107" t="str">
        <f>'19U BOYS GOLD-16 TEAMS'!I47&amp;""</f>
        <v>2nd</v>
      </c>
      <c r="M100" s="107" t="str">
        <f>'19U BOYS GOLD-16 TEAMS'!J47&amp;""</f>
        <v>MISSION WPC</v>
      </c>
      <c r="N100" s="332"/>
    </row>
    <row r="101" spans="1:14">
      <c r="A101" s="275">
        <f>'19U BOYS GOLD-16 TEAMS'!A44</f>
        <v>46054</v>
      </c>
      <c r="B101" s="274">
        <f>'19U BOYS GOLD-16 TEAMS'!B44</f>
        <v>0.75</v>
      </c>
      <c r="C101" s="274" t="str">
        <f>'19U BOYS GOLD-16 TEAMS'!C44&amp;""</f>
        <v>WOOLLETT NEAR LEFT</v>
      </c>
      <c r="D101" s="107" t="str">
        <f>'19U BOYS GOLD-16 TEAMS'!D44&amp;""</f>
        <v>19Bau24</v>
      </c>
      <c r="E101" s="107" t="str">
        <f>'19U BOYS GOLD-16 TEAMS'!E44&amp;""</f>
        <v>W#19-LONGHORN</v>
      </c>
      <c r="F101" s="107" t="str">
        <f>'19U BOYS GOLD-16 TEAMS'!F44&amp;""</f>
        <v>12</v>
      </c>
      <c r="G101" s="107" t="str">
        <f>'19U BOYS GOLD-16 TEAMS'!G44&amp;""</f>
        <v>W#20-MISSON WPC</v>
      </c>
      <c r="H101" s="107" t="str">
        <f>'19U BOYS GOLD-16 TEAMS'!H44&amp;""</f>
        <v>9</v>
      </c>
      <c r="I101" s="107" t="str">
        <f>'19U BOYS GOLD-16 TEAMS'!I44&amp;""</f>
        <v>1st</v>
      </c>
      <c r="J101" s="107" t="str">
        <f>'19U BOYS GOLD-16 TEAMS'!J44&amp;""</f>
        <v>19U_BOYS_GOLD</v>
      </c>
      <c r="L101" s="107" t="str">
        <f>'19U BOYS GOLD-16 TEAMS'!I48&amp;""</f>
        <v>3rd</v>
      </c>
      <c r="M101" s="107" t="str">
        <f>'19U BOYS GOLD-16 TEAMS'!J48&amp;""</f>
        <v>ORANGE COUNTY WPC BLUE</v>
      </c>
      <c r="N101" s="332"/>
    </row>
    <row r="102" spans="1:14">
      <c r="N102" s="332"/>
    </row>
    <row r="103" spans="1:14">
      <c r="A103" s="332"/>
      <c r="B103" s="332"/>
      <c r="C103" s="332"/>
      <c r="D103" s="332"/>
      <c r="E103" s="332"/>
      <c r="F103" s="332"/>
      <c r="G103" s="332"/>
      <c r="H103" s="332"/>
      <c r="I103" s="332"/>
      <c r="J103" s="332"/>
      <c r="K103" s="332"/>
      <c r="L103" s="332"/>
      <c r="M103" s="332"/>
      <c r="N103" s="332"/>
    </row>
    <row r="104" spans="1:14">
      <c r="L104" s="109" t="str">
        <f>'19U BOYS PLATINUM-27 TEAMS'!I93&amp;""</f>
        <v>1st</v>
      </c>
      <c r="M104" s="109" t="str">
        <f>'19U BOYS PLATINUM-27 TEAMS'!J93&amp;""</f>
        <v>CC UNITED BLACK</v>
      </c>
      <c r="N104" s="332"/>
    </row>
    <row r="105" spans="1:14">
      <c r="A105" s="278">
        <f>'19U BOYS PLATINUM-27 TEAMS'!A69</f>
        <v>46054</v>
      </c>
      <c r="B105" s="277">
        <f>'19U BOYS PLATINUM-27 TEAMS'!B69</f>
        <v>0.70833333333333304</v>
      </c>
      <c r="C105" s="109" t="str">
        <f>'19U BOYS PLATINUM-27 TEAMS'!C69&amp;""</f>
        <v>WOOLLETT NEAR LEFT</v>
      </c>
      <c r="D105" s="109" t="str">
        <f>'19U BOYS PLATINUM-27 TEAMS'!D69&amp;""</f>
        <v>19Bpt36</v>
      </c>
      <c r="E105" s="276" t="str">
        <f>'19U BOYS PLATINUM-27 TEAMS'!E69&amp;""</f>
        <v>Q1(2ndJ)-LA JOLLA UNITED NAVY</v>
      </c>
      <c r="F105" s="276" t="str">
        <f>'19U BOYS PLATINUM-27 TEAMS'!F69&amp;""</f>
        <v>12</v>
      </c>
      <c r="G105" s="276" t="str">
        <f>'19U BOYS PLATINUM-27 TEAMS'!G69&amp;""</f>
        <v>Q2(2ndK)-CHANNEL ISLANDS UNITED TEAL</v>
      </c>
      <c r="H105" s="276" t="str">
        <f>'19U BOYS PLATINUM-27 TEAMS'!H69&amp;""</f>
        <v>11</v>
      </c>
      <c r="I105" s="109" t="str">
        <f>'19U BOYS PLATINUM-27 TEAMS'!I69&amp;""</f>
        <v>overall 3rd</v>
      </c>
      <c r="J105" s="276" t="str">
        <f>'19U BOYS PLATINUM-27 TEAMS'!J69&amp;""</f>
        <v>19U_BOYS_PLATINUM</v>
      </c>
      <c r="L105" s="109" t="str">
        <f>'19U BOYS PLATINUM-27 TEAMS'!I94&amp;""</f>
        <v>2nd</v>
      </c>
      <c r="M105" s="109" t="str">
        <f>'19U BOYS PLATINUM-27 TEAMS'!J94&amp;""</f>
        <v>LAMORINDA A</v>
      </c>
      <c r="N105" s="332"/>
    </row>
    <row r="106" spans="1:14">
      <c r="A106" s="278">
        <f>'19U BOYS PLATINUM-27 TEAMS'!A68</f>
        <v>46054</v>
      </c>
      <c r="B106" s="277">
        <f>'19U BOYS PLATINUM-27 TEAMS'!B68</f>
        <v>0.66666666666666696</v>
      </c>
      <c r="C106" s="109" t="str">
        <f>'19U BOYS PLATINUM-27 TEAMS'!C68&amp;""</f>
        <v>WOOLLETT NEAR LEFT</v>
      </c>
      <c r="D106" s="109" t="str">
        <f>'19U BOYS PLATINUM-27 TEAMS'!D68&amp;""</f>
        <v>19Bpt37</v>
      </c>
      <c r="E106" s="276" t="str">
        <f>'19U BOYS PLATINUM-27 TEAMS'!E68&amp;""</f>
        <v>R1(1stJ)-CC UNITED BLACK</v>
      </c>
      <c r="F106" s="276" t="str">
        <f>'19U BOYS PLATINUM-27 TEAMS'!F68&amp;""</f>
        <v>12.4</v>
      </c>
      <c r="G106" s="276" t="str">
        <f>'19U BOYS PLATINUM-27 TEAMS'!G68&amp;""</f>
        <v>R2(1stK)-LAMORINDA A</v>
      </c>
      <c r="H106" s="276" t="str">
        <f>'19U BOYS PLATINUM-27 TEAMS'!H68&amp;""</f>
        <v>12.3</v>
      </c>
      <c r="I106" s="109" t="str">
        <f>'19U BOYS PLATINUM-27 TEAMS'!I68&amp;""</f>
        <v>overall 1st</v>
      </c>
      <c r="J106" s="276" t="str">
        <f>'19U BOYS PLATINUM-27 TEAMS'!J68&amp;""</f>
        <v>19U_BOYS_PLATINUM</v>
      </c>
      <c r="L106" s="109" t="str">
        <f>'19U BOYS PLATINUM-27 TEAMS'!I95&amp;""</f>
        <v>3rd</v>
      </c>
      <c r="M106" s="109" t="str">
        <f>'19U BOYS PLATINUM-27 TEAMS'!J95&amp;""</f>
        <v>LA JOLLA UNITED NAVY</v>
      </c>
      <c r="N106" s="332"/>
    </row>
    <row r="107" spans="1:14">
      <c r="A107" s="166">
        <f>'19U BOYS PLATINUM-27 TEAMS'!A92</f>
        <v>0</v>
      </c>
      <c r="B107" s="167">
        <f>'19U BOYS PLATINUM-27 TEAMS'!B92</f>
        <v>0</v>
      </c>
      <c r="C107" s="54" t="str">
        <f>'19U BOYS PLATINUM-27 TEAMS'!C92&amp;""</f>
        <v/>
      </c>
      <c r="D107" s="54" t="str">
        <f>'19U BOYS PLATINUM-27 TEAMS'!D92&amp;""</f>
        <v/>
      </c>
      <c r="E107" s="54" t="str">
        <f>'19U BOYS PLATINUM-27 TEAMS'!E92&amp;""</f>
        <v/>
      </c>
      <c r="F107" s="54" t="str">
        <f>'19U BOYS PLATINUM-27 TEAMS'!F92&amp;""</f>
        <v/>
      </c>
      <c r="G107" s="54" t="str">
        <f>'19U BOYS PLATINUM-27 TEAMS'!G92&amp;""</f>
        <v/>
      </c>
      <c r="H107" s="54" t="str">
        <f>'19U BOYS PLATINUM-27 TEAMS'!H92&amp;""</f>
        <v/>
      </c>
      <c r="I107" s="54" t="str">
        <f>'19U BOYS PLATINUM-27 TEAMS'!I92&amp;""</f>
        <v/>
      </c>
      <c r="J107" s="54" t="str">
        <f>'19U BOYS PLATINUM-27 TEAMS'!J92&amp;""</f>
        <v/>
      </c>
      <c r="N107" s="332"/>
    </row>
    <row r="108" spans="1:14">
      <c r="A108" s="228">
        <f>'19U BOYS PLATINUM-27 TEAMS'!A93</f>
        <v>0</v>
      </c>
      <c r="B108" s="54">
        <f>'19U BOYS PLATINUM-27 TEAMS'!B93</f>
        <v>0</v>
      </c>
      <c r="C108" s="332"/>
      <c r="D108" s="332"/>
      <c r="E108" s="332"/>
      <c r="F108" s="332"/>
      <c r="G108" s="332"/>
      <c r="H108" s="332"/>
      <c r="I108" s="332"/>
      <c r="J108" s="332"/>
      <c r="K108" s="332"/>
      <c r="L108" s="332"/>
      <c r="M108" s="332"/>
      <c r="N108" s="332"/>
    </row>
    <row r="109" spans="1:14">
      <c r="A109" s="228">
        <f>'19U BOYS PLATINUM-27 TEAMS'!A94</f>
        <v>0</v>
      </c>
      <c r="B109" s="54">
        <f>'19U BOYS PLATINUM-27 TEAMS'!B94</f>
        <v>0</v>
      </c>
      <c r="C109" s="54" t="str">
        <f>'19U BOYS PLATINUM-27 TEAMS'!C94&amp;""</f>
        <v/>
      </c>
      <c r="D109" s="54" t="str">
        <f>'19U BOYS PLATINUM-27 TEAMS'!D94&amp;""</f>
        <v/>
      </c>
      <c r="E109" s="54" t="str">
        <f>'19U BOYS PLATINUM-27 TEAMS'!E94&amp;""</f>
        <v/>
      </c>
      <c r="F109" s="54" t="str">
        <f>'19U BOYS PLATINUM-27 TEAMS'!F94&amp;""</f>
        <v/>
      </c>
      <c r="G109" s="54" t="str">
        <f>'19U BOYS PLATINUM-27 TEAMS'!G94&amp;""</f>
        <v/>
      </c>
      <c r="H109" s="54" t="str">
        <f>'19U BOYS PLATINUM-27 TEAMS'!H94&amp;""</f>
        <v/>
      </c>
    </row>
    <row r="110" spans="1:14">
      <c r="A110" s="228">
        <f>'19U BOYS PLATINUM-27 TEAMS'!A95</f>
        <v>0</v>
      </c>
      <c r="B110" s="54">
        <f>'19U BOYS PLATINUM-27 TEAMS'!B95</f>
        <v>0</v>
      </c>
      <c r="C110" s="54" t="str">
        <f>'19U BOYS PLATINUM-27 TEAMS'!C95&amp;""</f>
        <v/>
      </c>
      <c r="D110" s="54" t="str">
        <f>'19U BOYS PLATINUM-27 TEAMS'!D95&amp;""</f>
        <v/>
      </c>
      <c r="E110" s="54" t="str">
        <f>'19U BOYS PLATINUM-27 TEAMS'!E95&amp;""</f>
        <v/>
      </c>
      <c r="F110" s="54" t="str">
        <f>'19U BOYS PLATINUM-27 TEAMS'!F95&amp;""</f>
        <v/>
      </c>
      <c r="G110" s="54" t="str">
        <f>'19U BOYS PLATINUM-27 TEAMS'!G95&amp;""</f>
        <v/>
      </c>
      <c r="H110" s="54" t="str">
        <f>'19U BOYS PLATINUM-27 TEAMS'!H95&amp;""</f>
        <v/>
      </c>
    </row>
  </sheetData>
  <pageMargins left="0.7" right="0.7" top="0.75" bottom="0.75" header="0.3" footer="0.3"/>
  <pageSetup scale="3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7D219-F88F-45D8-A734-F2D0643338F2}">
  <dimension ref="A1:O322"/>
  <sheetViews>
    <sheetView topLeftCell="A286" workbookViewId="0">
      <selection activeCell="B320" sqref="B320"/>
    </sheetView>
  </sheetViews>
  <sheetFormatPr defaultRowHeight="18"/>
  <cols>
    <col min="1" max="1" width="64.42578125" style="2" customWidth="1"/>
    <col min="2" max="2" width="26.7109375" style="2" bestFit="1" customWidth="1"/>
    <col min="3" max="3" width="13" style="2" customWidth="1"/>
    <col min="4" max="4" width="46.42578125" style="2" customWidth="1"/>
    <col min="5" max="5" width="40.85546875" style="2" customWidth="1"/>
    <col min="6" max="6" width="37.5703125" style="2" customWidth="1"/>
    <col min="7" max="7" width="42.5703125" style="2" bestFit="1" customWidth="1"/>
    <col min="8" max="8" width="47" style="2" customWidth="1"/>
    <col min="9" max="9" width="36.28515625" style="2" customWidth="1"/>
    <col min="10" max="10" width="40.7109375" style="2" customWidth="1"/>
    <col min="11" max="11" width="34.28515625" style="2" customWidth="1"/>
    <col min="12" max="12" width="13.7109375" style="2" customWidth="1"/>
    <col min="13" max="13" width="11" style="2" customWidth="1"/>
    <col min="14" max="14" width="9.140625" style="2"/>
    <col min="15" max="15" width="23.85546875" style="2" customWidth="1"/>
    <col min="16" max="16384" width="9.140625" style="2"/>
  </cols>
  <sheetData>
    <row r="1" spans="1:8">
      <c r="A1" s="8" t="s">
        <v>7</v>
      </c>
      <c r="B1" s="8" t="s">
        <v>9</v>
      </c>
      <c r="G1" s="13" t="s">
        <v>621</v>
      </c>
      <c r="H1" s="13" t="s">
        <v>622</v>
      </c>
    </row>
    <row r="2" spans="1:8" ht="23.25">
      <c r="A2" s="11" t="s">
        <v>623</v>
      </c>
      <c r="B2" s="8"/>
      <c r="D2" s="8" t="s">
        <v>624</v>
      </c>
      <c r="E2" s="12" t="s">
        <v>625</v>
      </c>
      <c r="G2" s="13" t="s">
        <v>626</v>
      </c>
      <c r="H2" s="13" t="s">
        <v>627</v>
      </c>
    </row>
    <row r="3" spans="1:8">
      <c r="A3" s="2" t="s">
        <v>628</v>
      </c>
      <c r="B3" s="2" t="s">
        <v>629</v>
      </c>
      <c r="D3" s="2" t="s">
        <v>630</v>
      </c>
      <c r="E3" s="12" t="s">
        <v>631</v>
      </c>
    </row>
    <row r="4" spans="1:8">
      <c r="A4" s="2" t="s">
        <v>632</v>
      </c>
      <c r="B4" s="2" t="s">
        <v>629</v>
      </c>
      <c r="D4" s="2" t="s">
        <v>633</v>
      </c>
      <c r="G4" s="13" t="s">
        <v>634</v>
      </c>
      <c r="H4" s="13" t="s">
        <v>622</v>
      </c>
    </row>
    <row r="5" spans="1:8">
      <c r="A5" s="2" t="s">
        <v>635</v>
      </c>
      <c r="B5" s="2" t="s">
        <v>629</v>
      </c>
      <c r="D5" s="2" t="s">
        <v>636</v>
      </c>
      <c r="G5" s="13" t="s">
        <v>637</v>
      </c>
      <c r="H5" s="13" t="s">
        <v>627</v>
      </c>
    </row>
    <row r="6" spans="1:8">
      <c r="A6" s="2" t="s">
        <v>638</v>
      </c>
      <c r="B6" s="2" t="s">
        <v>629</v>
      </c>
      <c r="C6" s="2">
        <v>4</v>
      </c>
      <c r="D6" s="2" t="s">
        <v>639</v>
      </c>
      <c r="G6" s="13" t="s">
        <v>640</v>
      </c>
      <c r="H6" s="13" t="s">
        <v>626</v>
      </c>
    </row>
    <row r="7" spans="1:8">
      <c r="D7" s="12" t="s">
        <v>641</v>
      </c>
      <c r="G7" s="13" t="s">
        <v>642</v>
      </c>
      <c r="H7" s="13" t="s">
        <v>621</v>
      </c>
    </row>
    <row r="8" spans="1:8">
      <c r="A8" s="2" t="s">
        <v>643</v>
      </c>
      <c r="B8" s="2" t="s">
        <v>629</v>
      </c>
      <c r="D8" s="8" t="s">
        <v>644</v>
      </c>
      <c r="E8" s="8" t="s">
        <v>645</v>
      </c>
      <c r="F8" s="8" t="s">
        <v>646</v>
      </c>
      <c r="G8" s="8" t="s">
        <v>647</v>
      </c>
    </row>
    <row r="9" spans="1:8">
      <c r="A9" s="2" t="s">
        <v>648</v>
      </c>
      <c r="B9" s="2" t="s">
        <v>629</v>
      </c>
      <c r="D9" s="2" t="s">
        <v>649</v>
      </c>
      <c r="E9" s="2" t="s">
        <v>650</v>
      </c>
      <c r="F9" s="2" t="s">
        <v>651</v>
      </c>
      <c r="G9" s="2" t="s">
        <v>652</v>
      </c>
    </row>
    <row r="10" spans="1:8">
      <c r="A10" s="2" t="s">
        <v>448</v>
      </c>
      <c r="B10" s="2" t="s">
        <v>629</v>
      </c>
      <c r="D10" s="2" t="s">
        <v>653</v>
      </c>
      <c r="E10" s="2" t="s">
        <v>654</v>
      </c>
      <c r="F10" s="2" t="s">
        <v>655</v>
      </c>
      <c r="G10" s="2" t="s">
        <v>656</v>
      </c>
    </row>
    <row r="11" spans="1:8">
      <c r="A11" s="2" t="s">
        <v>657</v>
      </c>
      <c r="B11" s="2" t="s">
        <v>629</v>
      </c>
      <c r="D11" s="2" t="s">
        <v>658</v>
      </c>
      <c r="E11" s="2" t="s">
        <v>659</v>
      </c>
      <c r="F11" s="2" t="s">
        <v>660</v>
      </c>
      <c r="G11" s="2" t="s">
        <v>661</v>
      </c>
    </row>
    <row r="12" spans="1:8">
      <c r="A12" s="2" t="s">
        <v>662</v>
      </c>
      <c r="B12" s="2" t="s">
        <v>629</v>
      </c>
    </row>
    <row r="13" spans="1:8">
      <c r="A13" s="2" t="s">
        <v>663</v>
      </c>
      <c r="B13" s="2" t="s">
        <v>629</v>
      </c>
    </row>
    <row r="14" spans="1:8">
      <c r="A14" s="2" t="s">
        <v>664</v>
      </c>
      <c r="B14" s="2" t="s">
        <v>629</v>
      </c>
    </row>
    <row r="15" spans="1:8">
      <c r="A15" s="2" t="s">
        <v>665</v>
      </c>
      <c r="B15" s="2" t="s">
        <v>629</v>
      </c>
    </row>
    <row r="16" spans="1:8">
      <c r="A16" s="2" t="s">
        <v>666</v>
      </c>
      <c r="B16" s="2" t="s">
        <v>629</v>
      </c>
    </row>
    <row r="17" spans="1:13">
      <c r="A17" s="2" t="s">
        <v>667</v>
      </c>
      <c r="B17" s="2" t="s">
        <v>629</v>
      </c>
    </row>
    <row r="18" spans="1:13">
      <c r="A18" s="2" t="s">
        <v>668</v>
      </c>
      <c r="B18" s="2" t="s">
        <v>629</v>
      </c>
    </row>
    <row r="19" spans="1:13">
      <c r="A19" s="2" t="s">
        <v>669</v>
      </c>
      <c r="B19" s="2" t="s">
        <v>629</v>
      </c>
      <c r="C19" s="2">
        <v>12</v>
      </c>
    </row>
    <row r="20" spans="1:1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>
      <c r="A21" s="2" t="s">
        <v>670</v>
      </c>
      <c r="B21" s="2" t="s">
        <v>671</v>
      </c>
      <c r="D21" s="8" t="s">
        <v>644</v>
      </c>
      <c r="E21" s="8" t="s">
        <v>645</v>
      </c>
    </row>
    <row r="22" spans="1:13">
      <c r="A22" s="2" t="s">
        <v>672</v>
      </c>
      <c r="B22" s="2" t="s">
        <v>671</v>
      </c>
      <c r="D22" s="2" t="s">
        <v>673</v>
      </c>
      <c r="E22" s="2" t="s">
        <v>674</v>
      </c>
    </row>
    <row r="23" spans="1:13">
      <c r="A23" s="2" t="s">
        <v>675</v>
      </c>
      <c r="B23" s="2" t="s">
        <v>671</v>
      </c>
      <c r="D23" s="2" t="s">
        <v>676</v>
      </c>
      <c r="E23" s="2" t="s">
        <v>677</v>
      </c>
    </row>
    <row r="24" spans="1:13">
      <c r="A24" s="2" t="s">
        <v>678</v>
      </c>
      <c r="B24" s="2" t="s">
        <v>671</v>
      </c>
      <c r="D24" s="2" t="s">
        <v>679</v>
      </c>
      <c r="E24" s="2" t="s">
        <v>680</v>
      </c>
    </row>
    <row r="25" spans="1:13">
      <c r="A25" s="2" t="s">
        <v>681</v>
      </c>
      <c r="B25" s="2" t="s">
        <v>671</v>
      </c>
      <c r="D25" s="2" t="s">
        <v>682</v>
      </c>
      <c r="E25" s="2" t="s">
        <v>683</v>
      </c>
    </row>
    <row r="26" spans="1:13">
      <c r="A26" s="2" t="s">
        <v>684</v>
      </c>
      <c r="B26" s="2" t="s">
        <v>671</v>
      </c>
    </row>
    <row r="27" spans="1:13">
      <c r="A27" s="2" t="s">
        <v>685</v>
      </c>
      <c r="B27" s="2" t="s">
        <v>671</v>
      </c>
    </row>
    <row r="28" spans="1:13">
      <c r="A28" s="2" t="s">
        <v>686</v>
      </c>
      <c r="B28" s="2" t="s">
        <v>671</v>
      </c>
      <c r="C28" s="2">
        <v>8</v>
      </c>
    </row>
    <row r="29" spans="1:1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>
      <c r="A30" s="2" t="s">
        <v>687</v>
      </c>
      <c r="B30" s="2" t="s">
        <v>688</v>
      </c>
      <c r="D30" s="12" t="s">
        <v>689</v>
      </c>
    </row>
    <row r="31" spans="1:13">
      <c r="A31" s="2" t="s">
        <v>690</v>
      </c>
      <c r="B31" s="2" t="s">
        <v>688</v>
      </c>
      <c r="D31" s="8" t="s">
        <v>644</v>
      </c>
      <c r="E31" s="8" t="s">
        <v>645</v>
      </c>
    </row>
    <row r="32" spans="1:13">
      <c r="A32" s="2" t="s">
        <v>691</v>
      </c>
      <c r="B32" s="2" t="s">
        <v>688</v>
      </c>
      <c r="D32" s="2" t="s">
        <v>692</v>
      </c>
      <c r="E32" s="2" t="s">
        <v>693</v>
      </c>
    </row>
    <row r="33" spans="1:13">
      <c r="A33" s="2" t="s">
        <v>694</v>
      </c>
      <c r="B33" s="2" t="s">
        <v>688</v>
      </c>
      <c r="D33" s="2" t="s">
        <v>695</v>
      </c>
      <c r="E33" s="2" t="s">
        <v>696</v>
      </c>
    </row>
    <row r="34" spans="1:13">
      <c r="A34" s="2" t="s">
        <v>697</v>
      </c>
      <c r="B34" s="2" t="s">
        <v>688</v>
      </c>
      <c r="D34" s="2" t="s">
        <v>698</v>
      </c>
      <c r="E34" s="2" t="s">
        <v>699</v>
      </c>
    </row>
    <row r="35" spans="1:13">
      <c r="A35" s="2" t="s">
        <v>700</v>
      </c>
      <c r="B35" s="2" t="s">
        <v>688</v>
      </c>
      <c r="D35" s="2" t="s">
        <v>701</v>
      </c>
      <c r="E35" s="2" t="s">
        <v>702</v>
      </c>
    </row>
    <row r="36" spans="1:13">
      <c r="A36" s="2" t="s">
        <v>703</v>
      </c>
      <c r="B36" s="2" t="s">
        <v>688</v>
      </c>
    </row>
    <row r="37" spans="1:13">
      <c r="A37" s="2" t="s">
        <v>704</v>
      </c>
      <c r="B37" s="2" t="s">
        <v>688</v>
      </c>
      <c r="C37" s="2">
        <v>8</v>
      </c>
    </row>
    <row r="38" spans="1:1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>
      <c r="A39" s="2" t="s">
        <v>690</v>
      </c>
      <c r="B39" s="2" t="s">
        <v>705</v>
      </c>
      <c r="D39" s="8" t="s">
        <v>644</v>
      </c>
      <c r="E39" s="8" t="s">
        <v>645</v>
      </c>
      <c r="F39" s="8" t="s">
        <v>646</v>
      </c>
      <c r="G39" s="8" t="s">
        <v>647</v>
      </c>
    </row>
    <row r="40" spans="1:13">
      <c r="A40" s="2" t="s">
        <v>706</v>
      </c>
      <c r="B40" s="2" t="s">
        <v>705</v>
      </c>
      <c r="D40" s="2" t="s">
        <v>707</v>
      </c>
      <c r="E40" s="2" t="s">
        <v>708</v>
      </c>
      <c r="F40" s="2" t="s">
        <v>709</v>
      </c>
      <c r="G40" s="2" t="s">
        <v>710</v>
      </c>
    </row>
    <row r="41" spans="1:13">
      <c r="A41" s="2" t="s">
        <v>643</v>
      </c>
      <c r="B41" s="2" t="s">
        <v>705</v>
      </c>
      <c r="D41" s="2" t="s">
        <v>711</v>
      </c>
      <c r="E41" s="2" t="s">
        <v>712</v>
      </c>
      <c r="F41" s="2" t="s">
        <v>713</v>
      </c>
      <c r="G41" s="2" t="s">
        <v>714</v>
      </c>
    </row>
    <row r="42" spans="1:13">
      <c r="A42" s="2" t="s">
        <v>715</v>
      </c>
      <c r="B42" s="2" t="s">
        <v>705</v>
      </c>
      <c r="D42" s="2" t="s">
        <v>658</v>
      </c>
      <c r="E42" s="2" t="s">
        <v>716</v>
      </c>
      <c r="F42" s="2" t="s">
        <v>717</v>
      </c>
      <c r="G42" s="2" t="s">
        <v>718</v>
      </c>
    </row>
    <row r="43" spans="1:13">
      <c r="A43" s="2" t="s">
        <v>448</v>
      </c>
      <c r="B43" s="2" t="s">
        <v>705</v>
      </c>
    </row>
    <row r="44" spans="1:13">
      <c r="A44" s="2" t="s">
        <v>719</v>
      </c>
      <c r="B44" s="2" t="s">
        <v>705</v>
      </c>
    </row>
    <row r="45" spans="1:13">
      <c r="A45" s="2" t="s">
        <v>657</v>
      </c>
      <c r="B45" s="2" t="s">
        <v>705</v>
      </c>
    </row>
    <row r="46" spans="1:13">
      <c r="A46" s="2" t="s">
        <v>720</v>
      </c>
      <c r="B46" s="2" t="s">
        <v>705</v>
      </c>
    </row>
    <row r="47" spans="1:13">
      <c r="A47" s="2" t="s">
        <v>721</v>
      </c>
      <c r="B47" s="2" t="s">
        <v>705</v>
      </c>
    </row>
    <row r="48" spans="1:13">
      <c r="A48" s="2" t="s">
        <v>684</v>
      </c>
      <c r="B48" s="2" t="s">
        <v>705</v>
      </c>
    </row>
    <row r="49" spans="1:13">
      <c r="A49" s="2" t="s">
        <v>231</v>
      </c>
      <c r="B49" s="2" t="s">
        <v>705</v>
      </c>
    </row>
    <row r="50" spans="1:13">
      <c r="A50" s="2" t="s">
        <v>667</v>
      </c>
      <c r="B50" s="2" t="s">
        <v>705</v>
      </c>
      <c r="C50" s="2">
        <v>12</v>
      </c>
    </row>
    <row r="51" spans="1:1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>
      <c r="A52" s="2" t="s">
        <v>687</v>
      </c>
      <c r="B52" s="2" t="s">
        <v>722</v>
      </c>
      <c r="D52" s="25" t="s">
        <v>644</v>
      </c>
      <c r="E52" s="25" t="s">
        <v>645</v>
      </c>
      <c r="F52" s="25" t="s">
        <v>646</v>
      </c>
      <c r="G52" s="26" t="s">
        <v>647</v>
      </c>
      <c r="H52" s="26" t="s">
        <v>723</v>
      </c>
      <c r="I52" s="26" t="s">
        <v>724</v>
      </c>
      <c r="K52" s="8"/>
    </row>
    <row r="53" spans="1:13">
      <c r="A53" s="2" t="s">
        <v>725</v>
      </c>
      <c r="B53" s="2" t="s">
        <v>722</v>
      </c>
      <c r="D53" s="27">
        <v>1</v>
      </c>
      <c r="E53" s="27">
        <v>4</v>
      </c>
      <c r="F53" s="27">
        <v>5</v>
      </c>
      <c r="G53" s="28">
        <v>2</v>
      </c>
      <c r="H53" s="28">
        <v>3</v>
      </c>
      <c r="I53" s="28">
        <v>6</v>
      </c>
    </row>
    <row r="54" spans="1:13">
      <c r="A54" s="2" t="s">
        <v>726</v>
      </c>
      <c r="B54" s="2" t="s">
        <v>722</v>
      </c>
      <c r="D54" s="27">
        <v>12</v>
      </c>
      <c r="E54" s="27">
        <v>9</v>
      </c>
      <c r="F54" s="27">
        <v>8</v>
      </c>
      <c r="G54" s="28">
        <v>11</v>
      </c>
      <c r="H54" s="28">
        <v>10</v>
      </c>
      <c r="I54" s="28">
        <v>7</v>
      </c>
    </row>
    <row r="55" spans="1:13">
      <c r="A55" s="2" t="s">
        <v>727</v>
      </c>
      <c r="B55" s="2" t="s">
        <v>722</v>
      </c>
      <c r="D55" s="27">
        <v>13</v>
      </c>
      <c r="E55" s="27">
        <v>16</v>
      </c>
      <c r="F55" s="27">
        <v>17</v>
      </c>
      <c r="G55" s="28">
        <v>14</v>
      </c>
      <c r="H55" s="28">
        <v>15</v>
      </c>
      <c r="I55" s="28">
        <v>18</v>
      </c>
    </row>
    <row r="56" spans="1:13">
      <c r="A56" s="2" t="s">
        <v>694</v>
      </c>
      <c r="B56" s="2" t="s">
        <v>722</v>
      </c>
      <c r="D56" s="14"/>
      <c r="E56" s="27">
        <v>21</v>
      </c>
      <c r="F56" s="27">
        <v>20</v>
      </c>
      <c r="G56" s="28">
        <v>23</v>
      </c>
      <c r="H56" s="28">
        <v>22</v>
      </c>
      <c r="I56" s="28">
        <v>19</v>
      </c>
    </row>
    <row r="57" spans="1:13">
      <c r="A57" s="2" t="s">
        <v>728</v>
      </c>
      <c r="B57" s="2" t="s">
        <v>722</v>
      </c>
    </row>
    <row r="58" spans="1:13">
      <c r="A58" s="2" t="s">
        <v>420</v>
      </c>
      <c r="B58" s="2" t="s">
        <v>722</v>
      </c>
      <c r="D58" s="8" t="s">
        <v>644</v>
      </c>
      <c r="E58" s="8" t="s">
        <v>645</v>
      </c>
      <c r="F58" s="8" t="s">
        <v>646</v>
      </c>
      <c r="G58" s="8" t="s">
        <v>647</v>
      </c>
      <c r="H58" s="8" t="s">
        <v>723</v>
      </c>
      <c r="I58" s="8" t="s">
        <v>724</v>
      </c>
      <c r="J58" s="8" t="s">
        <v>729</v>
      </c>
      <c r="K58" s="8" t="s">
        <v>730</v>
      </c>
    </row>
    <row r="59" spans="1:13">
      <c r="A59" s="2" t="s">
        <v>675</v>
      </c>
      <c r="B59" s="2" t="s">
        <v>722</v>
      </c>
      <c r="D59" s="308" t="s">
        <v>731</v>
      </c>
      <c r="E59" s="308" t="s">
        <v>732</v>
      </c>
      <c r="F59" s="308" t="s">
        <v>733</v>
      </c>
      <c r="G59" s="308" t="s">
        <v>734</v>
      </c>
      <c r="H59" s="309" t="s">
        <v>735</v>
      </c>
      <c r="I59" s="309" t="s">
        <v>736</v>
      </c>
      <c r="J59" s="309" t="s">
        <v>737</v>
      </c>
      <c r="K59" s="309" t="s">
        <v>738</v>
      </c>
    </row>
    <row r="60" spans="1:13">
      <c r="A60" s="2" t="s">
        <v>715</v>
      </c>
      <c r="B60" s="2" t="s">
        <v>722</v>
      </c>
      <c r="D60" s="308" t="s">
        <v>739</v>
      </c>
      <c r="E60" s="308" t="s">
        <v>740</v>
      </c>
      <c r="F60" s="308" t="s">
        <v>741</v>
      </c>
      <c r="G60" s="308" t="s">
        <v>742</v>
      </c>
      <c r="H60" s="309" t="s">
        <v>743</v>
      </c>
      <c r="I60" s="309" t="s">
        <v>744</v>
      </c>
      <c r="J60" s="309" t="s">
        <v>745</v>
      </c>
      <c r="K60" s="309" t="s">
        <v>746</v>
      </c>
    </row>
    <row r="61" spans="1:13">
      <c r="A61" s="2" t="s">
        <v>453</v>
      </c>
      <c r="B61" s="2" t="s">
        <v>722</v>
      </c>
      <c r="D61" s="308" t="s">
        <v>747</v>
      </c>
      <c r="E61" s="308" t="s">
        <v>748</v>
      </c>
      <c r="F61" s="308" t="s">
        <v>749</v>
      </c>
      <c r="G61" s="308" t="s">
        <v>750</v>
      </c>
      <c r="H61" s="309" t="s">
        <v>751</v>
      </c>
      <c r="I61" s="309" t="s">
        <v>752</v>
      </c>
      <c r="J61" s="309" t="s">
        <v>753</v>
      </c>
      <c r="K61" s="309" t="s">
        <v>754</v>
      </c>
    </row>
    <row r="62" spans="1:13">
      <c r="A62" s="2" t="s">
        <v>719</v>
      </c>
      <c r="B62" s="2" t="s">
        <v>722</v>
      </c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1:13">
      <c r="A63" s="2" t="s">
        <v>657</v>
      </c>
      <c r="B63" s="2" t="s">
        <v>722</v>
      </c>
      <c r="D63" s="14"/>
      <c r="E63" s="14"/>
      <c r="F63" s="14"/>
      <c r="G63" s="14"/>
      <c r="H63" s="14"/>
      <c r="I63" s="14"/>
      <c r="J63" s="14"/>
      <c r="K63" s="14"/>
      <c r="L63" s="14"/>
      <c r="M63" s="14"/>
    </row>
    <row r="64" spans="1:13">
      <c r="A64" s="2" t="s">
        <v>755</v>
      </c>
      <c r="B64" s="2" t="s">
        <v>722</v>
      </c>
      <c r="D64" s="14"/>
      <c r="E64" s="14"/>
      <c r="F64" s="14"/>
      <c r="G64" s="14"/>
      <c r="H64" s="14"/>
      <c r="I64" s="14"/>
      <c r="J64" s="14"/>
      <c r="K64" s="14"/>
      <c r="L64" s="14"/>
      <c r="M64" s="14"/>
    </row>
    <row r="65" spans="1:13">
      <c r="A65" s="2" t="s">
        <v>756</v>
      </c>
      <c r="B65" s="2" t="s">
        <v>722</v>
      </c>
      <c r="D65" s="14"/>
      <c r="E65" s="14"/>
      <c r="F65" s="14"/>
      <c r="G65" s="14"/>
      <c r="H65" s="14"/>
      <c r="I65" s="14"/>
      <c r="J65" s="14"/>
      <c r="K65" s="14"/>
      <c r="L65" s="14"/>
      <c r="M65" s="14"/>
    </row>
    <row r="66" spans="1:13">
      <c r="A66" s="2" t="s">
        <v>757</v>
      </c>
      <c r="B66" s="2" t="s">
        <v>722</v>
      </c>
      <c r="D66" s="14"/>
      <c r="E66" s="14"/>
      <c r="F66" s="14"/>
      <c r="G66" s="14"/>
      <c r="H66" s="14"/>
      <c r="I66" s="14"/>
      <c r="J66" s="14"/>
      <c r="K66" s="14"/>
      <c r="L66" s="14"/>
      <c r="M66" s="14"/>
    </row>
    <row r="67" spans="1:13">
      <c r="A67" s="2" t="s">
        <v>758</v>
      </c>
      <c r="B67" s="2" t="s">
        <v>722</v>
      </c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68" spans="1:13">
      <c r="A68" s="2" t="s">
        <v>684</v>
      </c>
      <c r="B68" s="2" t="s">
        <v>722</v>
      </c>
      <c r="D68" s="14"/>
      <c r="E68" s="14"/>
      <c r="F68" s="14"/>
      <c r="G68" s="14"/>
      <c r="H68" s="14"/>
      <c r="I68" s="14"/>
      <c r="J68" s="14"/>
      <c r="K68" s="14"/>
      <c r="L68" s="14"/>
      <c r="M68" s="14"/>
    </row>
    <row r="69" spans="1:13">
      <c r="A69" s="2" t="s">
        <v>759</v>
      </c>
      <c r="B69" s="2" t="s">
        <v>722</v>
      </c>
      <c r="D69" s="14"/>
      <c r="E69" s="14"/>
      <c r="F69" s="14"/>
      <c r="G69" s="14"/>
      <c r="H69" s="14"/>
      <c r="I69" s="14"/>
      <c r="J69" s="14"/>
      <c r="K69" s="14"/>
      <c r="L69" s="14"/>
      <c r="M69" s="14"/>
    </row>
    <row r="70" spans="1:13">
      <c r="A70" s="2" t="s">
        <v>665</v>
      </c>
      <c r="B70" s="2" t="s">
        <v>722</v>
      </c>
      <c r="D70" s="14"/>
      <c r="E70" s="14"/>
      <c r="F70" s="14"/>
      <c r="G70" s="14"/>
      <c r="H70" s="14"/>
      <c r="I70" s="14"/>
      <c r="J70" s="14"/>
      <c r="K70" s="14"/>
      <c r="L70" s="14"/>
      <c r="M70" s="14"/>
    </row>
    <row r="71" spans="1:13">
      <c r="A71" s="45" t="s">
        <v>760</v>
      </c>
      <c r="B71" s="2" t="s">
        <v>722</v>
      </c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spans="1:13">
      <c r="A72" s="2" t="s">
        <v>667</v>
      </c>
      <c r="B72" s="2" t="s">
        <v>722</v>
      </c>
      <c r="D72" s="14"/>
      <c r="E72" s="14"/>
      <c r="F72" s="14"/>
      <c r="G72" s="14"/>
      <c r="H72" s="14"/>
      <c r="I72" s="14"/>
      <c r="J72" s="14"/>
      <c r="K72" s="14"/>
      <c r="L72" s="14"/>
      <c r="M72" s="14"/>
    </row>
    <row r="73" spans="1:13">
      <c r="A73" s="2" t="s">
        <v>761</v>
      </c>
      <c r="B73" s="2" t="s">
        <v>722</v>
      </c>
      <c r="D73" s="14"/>
      <c r="E73" s="14"/>
      <c r="F73" s="14"/>
      <c r="G73" s="14"/>
      <c r="H73" s="14"/>
      <c r="I73" s="14"/>
      <c r="J73" s="14"/>
      <c r="K73" s="14"/>
      <c r="L73" s="14"/>
      <c r="M73" s="14"/>
    </row>
    <row r="74" spans="1:13">
      <c r="A74" s="2" t="s">
        <v>762</v>
      </c>
      <c r="B74" s="2" t="s">
        <v>722</v>
      </c>
      <c r="D74" s="14"/>
      <c r="E74" s="14"/>
      <c r="F74" s="14"/>
      <c r="G74" s="14"/>
      <c r="H74" s="14"/>
      <c r="I74" s="14"/>
      <c r="J74" s="14"/>
      <c r="K74" s="14"/>
      <c r="L74" s="14"/>
      <c r="M74" s="14"/>
    </row>
    <row r="75" spans="1:13" ht="15" customHeight="1">
      <c r="A75" s="2" t="s">
        <v>668</v>
      </c>
      <c r="B75" s="2" t="s">
        <v>722</v>
      </c>
      <c r="C75" s="2">
        <v>24</v>
      </c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2" t="s">
        <v>690</v>
      </c>
      <c r="B77" s="2" t="s">
        <v>763</v>
      </c>
      <c r="D77" s="8" t="s">
        <v>644</v>
      </c>
      <c r="E77" s="8" t="s">
        <v>645</v>
      </c>
      <c r="F77" s="8" t="s">
        <v>646</v>
      </c>
    </row>
    <row r="78" spans="1:13">
      <c r="A78" s="2" t="s">
        <v>691</v>
      </c>
      <c r="B78" s="2" t="s">
        <v>763</v>
      </c>
      <c r="D78" s="2" t="s">
        <v>764</v>
      </c>
      <c r="E78" s="2" t="s">
        <v>693</v>
      </c>
      <c r="F78" s="2" t="s">
        <v>765</v>
      </c>
    </row>
    <row r="79" spans="1:13">
      <c r="A79" s="2" t="s">
        <v>643</v>
      </c>
      <c r="B79" s="2" t="s">
        <v>763</v>
      </c>
      <c r="D79" s="2" t="s">
        <v>766</v>
      </c>
      <c r="E79" s="2" t="s">
        <v>767</v>
      </c>
      <c r="F79" s="2" t="s">
        <v>768</v>
      </c>
    </row>
    <row r="80" spans="1:13">
      <c r="A80" s="2" t="s">
        <v>452</v>
      </c>
      <c r="B80" s="2" t="s">
        <v>763</v>
      </c>
      <c r="D80" s="2" t="s">
        <v>769</v>
      </c>
      <c r="E80" s="2" t="s">
        <v>770</v>
      </c>
      <c r="F80" s="2" t="s">
        <v>771</v>
      </c>
    </row>
    <row r="81" spans="1:13">
      <c r="A81" s="2" t="s">
        <v>772</v>
      </c>
      <c r="B81" s="2" t="s">
        <v>763</v>
      </c>
      <c r="F81" s="2" t="s">
        <v>773</v>
      </c>
    </row>
    <row r="82" spans="1:13">
      <c r="A82" s="2" t="s">
        <v>774</v>
      </c>
      <c r="B82" s="2" t="s">
        <v>763</v>
      </c>
    </row>
    <row r="83" spans="1:13">
      <c r="A83" s="2" t="s">
        <v>681</v>
      </c>
      <c r="B83" s="2" t="s">
        <v>763</v>
      </c>
    </row>
    <row r="84" spans="1:13">
      <c r="A84" s="2" t="s">
        <v>409</v>
      </c>
      <c r="B84" s="2" t="s">
        <v>763</v>
      </c>
    </row>
    <row r="85" spans="1:13">
      <c r="A85" s="2" t="s">
        <v>231</v>
      </c>
      <c r="B85" s="2" t="s">
        <v>763</v>
      </c>
    </row>
    <row r="86" spans="1:13">
      <c r="A86" s="2" t="s">
        <v>704</v>
      </c>
      <c r="B86" s="2" t="s">
        <v>763</v>
      </c>
      <c r="C86" s="2">
        <v>10</v>
      </c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2" t="s">
        <v>420</v>
      </c>
      <c r="B88" s="2" t="s">
        <v>775</v>
      </c>
      <c r="D88" s="8" t="s">
        <v>644</v>
      </c>
      <c r="E88" s="8" t="s">
        <v>645</v>
      </c>
    </row>
    <row r="89" spans="1:13">
      <c r="A89" s="2" t="s">
        <v>776</v>
      </c>
      <c r="B89" s="2" t="s">
        <v>775</v>
      </c>
      <c r="D89" s="2" t="s">
        <v>777</v>
      </c>
      <c r="E89" s="2" t="s">
        <v>778</v>
      </c>
    </row>
    <row r="90" spans="1:13">
      <c r="A90" s="2" t="s">
        <v>662</v>
      </c>
      <c r="B90" s="2" t="s">
        <v>775</v>
      </c>
      <c r="D90" s="2" t="s">
        <v>779</v>
      </c>
      <c r="E90" s="2" t="s">
        <v>780</v>
      </c>
    </row>
    <row r="91" spans="1:13">
      <c r="A91" s="2" t="s">
        <v>781</v>
      </c>
      <c r="B91" s="2" t="s">
        <v>775</v>
      </c>
      <c r="D91" s="2" t="s">
        <v>782</v>
      </c>
      <c r="E91" s="2" t="s">
        <v>783</v>
      </c>
    </row>
    <row r="92" spans="1:13">
      <c r="A92" s="2" t="s">
        <v>784</v>
      </c>
      <c r="B92" s="2" t="s">
        <v>775</v>
      </c>
      <c r="E92" s="2" t="s">
        <v>785</v>
      </c>
    </row>
    <row r="93" spans="1:13">
      <c r="A93" s="2" t="s">
        <v>484</v>
      </c>
      <c r="B93" s="2" t="s">
        <v>775</v>
      </c>
    </row>
    <row r="94" spans="1:13">
      <c r="A94" s="2" t="s">
        <v>686</v>
      </c>
      <c r="B94" s="2" t="s">
        <v>775</v>
      </c>
      <c r="C94" s="2">
        <v>7</v>
      </c>
    </row>
    <row r="95" spans="1:1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>
      <c r="A96" s="2" t="s">
        <v>727</v>
      </c>
      <c r="B96" s="2" t="s">
        <v>786</v>
      </c>
      <c r="D96" s="8" t="s">
        <v>644</v>
      </c>
      <c r="E96" s="8" t="s">
        <v>645</v>
      </c>
      <c r="F96" s="8" t="s">
        <v>646</v>
      </c>
      <c r="G96" s="8" t="s">
        <v>647</v>
      </c>
    </row>
    <row r="97" spans="1:13">
      <c r="A97" s="2" t="s">
        <v>787</v>
      </c>
      <c r="B97" s="2" t="s">
        <v>786</v>
      </c>
      <c r="D97" s="2" t="s">
        <v>649</v>
      </c>
      <c r="E97" s="2" t="s">
        <v>788</v>
      </c>
      <c r="F97" s="2" t="s">
        <v>789</v>
      </c>
      <c r="G97" s="2" t="s">
        <v>790</v>
      </c>
    </row>
    <row r="98" spans="1:13" ht="15" customHeight="1">
      <c r="A98" s="2" t="s">
        <v>715</v>
      </c>
      <c r="B98" s="2" t="s">
        <v>786</v>
      </c>
      <c r="D98" s="2" t="s">
        <v>791</v>
      </c>
      <c r="E98" s="2" t="s">
        <v>792</v>
      </c>
      <c r="F98" s="2" t="s">
        <v>793</v>
      </c>
      <c r="G98" s="2" t="s">
        <v>794</v>
      </c>
    </row>
    <row r="99" spans="1:13">
      <c r="A99" s="2" t="s">
        <v>795</v>
      </c>
      <c r="B99" s="2" t="s">
        <v>786</v>
      </c>
      <c r="D99" s="2" t="s">
        <v>796</v>
      </c>
      <c r="E99" s="2" t="s">
        <v>797</v>
      </c>
      <c r="F99" s="2" t="s">
        <v>798</v>
      </c>
      <c r="G99" s="2" t="s">
        <v>799</v>
      </c>
    </row>
    <row r="100" spans="1:13">
      <c r="A100" s="2" t="s">
        <v>448</v>
      </c>
      <c r="B100" s="2" t="s">
        <v>786</v>
      </c>
      <c r="F100" s="2" t="s">
        <v>800</v>
      </c>
      <c r="G100" s="2" t="s">
        <v>801</v>
      </c>
    </row>
    <row r="101" spans="1:13">
      <c r="A101" s="2" t="s">
        <v>657</v>
      </c>
      <c r="B101" s="2" t="s">
        <v>786</v>
      </c>
    </row>
    <row r="102" spans="1:13">
      <c r="A102" s="2" t="s">
        <v>721</v>
      </c>
      <c r="B102" s="2" t="s">
        <v>786</v>
      </c>
    </row>
    <row r="103" spans="1:13">
      <c r="A103" s="2" t="s">
        <v>802</v>
      </c>
      <c r="B103" s="2" t="s">
        <v>786</v>
      </c>
    </row>
    <row r="104" spans="1:13">
      <c r="A104" s="2" t="s">
        <v>781</v>
      </c>
      <c r="B104" s="2" t="s">
        <v>786</v>
      </c>
    </row>
    <row r="105" spans="1:13">
      <c r="A105" s="2" t="s">
        <v>803</v>
      </c>
      <c r="B105" s="2" t="s">
        <v>786</v>
      </c>
    </row>
    <row r="106" spans="1:13">
      <c r="A106" s="2" t="s">
        <v>804</v>
      </c>
      <c r="B106" s="2" t="s">
        <v>786</v>
      </c>
    </row>
    <row r="107" spans="1:13">
      <c r="A107" s="2" t="s">
        <v>805</v>
      </c>
      <c r="B107" s="2" t="s">
        <v>786</v>
      </c>
    </row>
    <row r="108" spans="1:13">
      <c r="A108" s="2" t="s">
        <v>224</v>
      </c>
      <c r="B108" s="2" t="s">
        <v>786</v>
      </c>
    </row>
    <row r="109" spans="1:13">
      <c r="A109" s="2" t="s">
        <v>231</v>
      </c>
      <c r="B109" s="2" t="s">
        <v>786</v>
      </c>
      <c r="C109" s="2">
        <v>14</v>
      </c>
    </row>
    <row r="110" spans="1:1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spans="1:13">
      <c r="A111" s="2" t="s">
        <v>691</v>
      </c>
      <c r="B111" s="2" t="s">
        <v>806</v>
      </c>
      <c r="D111" s="8" t="s">
        <v>644</v>
      </c>
      <c r="E111" s="8" t="s">
        <v>645</v>
      </c>
      <c r="F111" s="8" t="s">
        <v>646</v>
      </c>
    </row>
    <row r="112" spans="1:13">
      <c r="A112" s="2" t="s">
        <v>807</v>
      </c>
      <c r="B112" s="2" t="s">
        <v>806</v>
      </c>
      <c r="D112" s="2" t="s">
        <v>808</v>
      </c>
      <c r="E112" s="2" t="s">
        <v>693</v>
      </c>
      <c r="F112" s="2" t="s">
        <v>809</v>
      </c>
    </row>
    <row r="113" spans="1:13">
      <c r="A113" s="2" t="s">
        <v>643</v>
      </c>
      <c r="B113" s="2" t="s">
        <v>806</v>
      </c>
      <c r="D113" s="2" t="s">
        <v>810</v>
      </c>
      <c r="E113" s="2" t="s">
        <v>811</v>
      </c>
      <c r="F113" s="2" t="s">
        <v>812</v>
      </c>
    </row>
    <row r="114" spans="1:13">
      <c r="A114" s="2" t="s">
        <v>675</v>
      </c>
      <c r="B114" s="2" t="s">
        <v>806</v>
      </c>
      <c r="D114" s="2" t="s">
        <v>813</v>
      </c>
      <c r="E114" s="2" t="s">
        <v>680</v>
      </c>
      <c r="F114" s="2" t="s">
        <v>814</v>
      </c>
    </row>
    <row r="115" spans="1:13">
      <c r="A115" s="2" t="s">
        <v>719</v>
      </c>
      <c r="B115" s="2" t="s">
        <v>806</v>
      </c>
      <c r="F115" s="2" t="s">
        <v>815</v>
      </c>
    </row>
    <row r="116" spans="1:13">
      <c r="A116" s="2" t="s">
        <v>720</v>
      </c>
      <c r="B116" s="2" t="s">
        <v>806</v>
      </c>
    </row>
    <row r="117" spans="1:13">
      <c r="A117" s="2" t="s">
        <v>685</v>
      </c>
      <c r="B117" s="2" t="s">
        <v>806</v>
      </c>
    </row>
    <row r="118" spans="1:13">
      <c r="A118" s="2" t="s">
        <v>816</v>
      </c>
      <c r="B118" s="2" t="s">
        <v>806</v>
      </c>
    </row>
    <row r="119" spans="1:13">
      <c r="A119" s="2" t="s">
        <v>817</v>
      </c>
      <c r="B119" s="2" t="s">
        <v>806</v>
      </c>
    </row>
    <row r="120" spans="1:13">
      <c r="A120" s="2" t="s">
        <v>818</v>
      </c>
      <c r="B120" s="2" t="s">
        <v>806</v>
      </c>
      <c r="C120" s="2">
        <v>10</v>
      </c>
    </row>
    <row r="121" spans="1:1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spans="1:13">
      <c r="A122" s="2" t="s">
        <v>725</v>
      </c>
      <c r="B122" s="2" t="s">
        <v>819</v>
      </c>
      <c r="D122" s="42" t="s">
        <v>644</v>
      </c>
      <c r="E122" s="43" t="s">
        <v>645</v>
      </c>
      <c r="F122" s="43" t="s">
        <v>646</v>
      </c>
      <c r="G122" s="43" t="s">
        <v>647</v>
      </c>
      <c r="H122" s="43" t="s">
        <v>723</v>
      </c>
      <c r="I122" s="43" t="s">
        <v>724</v>
      </c>
      <c r="J122" s="191"/>
      <c r="K122" s="191"/>
    </row>
    <row r="123" spans="1:13">
      <c r="A123" s="2" t="s">
        <v>820</v>
      </c>
      <c r="B123" s="2" t="s">
        <v>819</v>
      </c>
      <c r="D123" s="44" t="s">
        <v>821</v>
      </c>
      <c r="E123" s="1" t="s">
        <v>822</v>
      </c>
      <c r="F123" s="1" t="s">
        <v>823</v>
      </c>
      <c r="G123" s="1" t="s">
        <v>824</v>
      </c>
      <c r="H123" s="1" t="s">
        <v>825</v>
      </c>
      <c r="I123" s="1" t="s">
        <v>826</v>
      </c>
      <c r="J123" s="191"/>
      <c r="K123" s="191"/>
    </row>
    <row r="124" spans="1:13">
      <c r="A124" s="2" t="s">
        <v>728</v>
      </c>
      <c r="B124" s="2" t="s">
        <v>819</v>
      </c>
      <c r="D124" s="44" t="s">
        <v>653</v>
      </c>
      <c r="E124" s="1" t="s">
        <v>827</v>
      </c>
      <c r="F124" s="1" t="s">
        <v>828</v>
      </c>
      <c r="G124" s="1" t="s">
        <v>829</v>
      </c>
      <c r="H124" s="1" t="s">
        <v>830</v>
      </c>
      <c r="I124" s="1" t="s">
        <v>831</v>
      </c>
      <c r="J124" s="191"/>
      <c r="K124" s="191"/>
    </row>
    <row r="125" spans="1:13">
      <c r="A125" s="2" t="s">
        <v>715</v>
      </c>
      <c r="B125" s="2" t="s">
        <v>819</v>
      </c>
      <c r="D125" s="44" t="s">
        <v>832</v>
      </c>
      <c r="E125" s="1" t="s">
        <v>833</v>
      </c>
      <c r="F125" s="1" t="s">
        <v>834</v>
      </c>
      <c r="G125" s="1" t="s">
        <v>835</v>
      </c>
      <c r="H125" s="1" t="s">
        <v>836</v>
      </c>
      <c r="I125" s="1" t="s">
        <v>837</v>
      </c>
      <c r="J125" s="191"/>
      <c r="K125" s="191"/>
    </row>
    <row r="126" spans="1:13">
      <c r="A126" s="2" t="s">
        <v>838</v>
      </c>
      <c r="B126" s="2" t="s">
        <v>819</v>
      </c>
      <c r="D126" s="44"/>
      <c r="E126" s="1"/>
      <c r="F126" s="1"/>
      <c r="G126" s="1"/>
      <c r="H126" s="1"/>
      <c r="I126" s="1"/>
      <c r="J126" s="191"/>
      <c r="K126" s="191"/>
    </row>
    <row r="127" spans="1:13">
      <c r="A127" s="2" t="s">
        <v>662</v>
      </c>
      <c r="B127" s="2" t="s">
        <v>819</v>
      </c>
      <c r="D127" s="42" t="s">
        <v>644</v>
      </c>
      <c r="E127" s="43" t="s">
        <v>645</v>
      </c>
      <c r="F127" s="43" t="s">
        <v>646</v>
      </c>
      <c r="G127" s="43" t="s">
        <v>647</v>
      </c>
      <c r="H127" s="43" t="s">
        <v>723</v>
      </c>
      <c r="I127" s="43" t="s">
        <v>724</v>
      </c>
      <c r="J127" s="191"/>
      <c r="K127" s="191"/>
    </row>
    <row r="128" spans="1:13">
      <c r="A128" s="2" t="s">
        <v>839</v>
      </c>
      <c r="B128" s="2" t="s">
        <v>819</v>
      </c>
      <c r="D128" s="1">
        <v>1</v>
      </c>
      <c r="E128" s="1">
        <v>4</v>
      </c>
      <c r="F128" s="1">
        <v>5</v>
      </c>
      <c r="G128" s="1">
        <v>2</v>
      </c>
      <c r="H128" s="1">
        <v>3</v>
      </c>
      <c r="I128" s="1">
        <v>6</v>
      </c>
      <c r="J128" s="191"/>
      <c r="K128" s="191"/>
    </row>
    <row r="129" spans="1:13">
      <c r="A129" s="2" t="s">
        <v>663</v>
      </c>
      <c r="B129" s="2" t="s">
        <v>819</v>
      </c>
      <c r="D129" s="1">
        <v>12</v>
      </c>
      <c r="E129" s="1">
        <v>9</v>
      </c>
      <c r="F129" s="1">
        <v>8</v>
      </c>
      <c r="G129" s="1">
        <v>11</v>
      </c>
      <c r="H129" s="1">
        <v>10</v>
      </c>
      <c r="I129" s="1">
        <v>7</v>
      </c>
      <c r="J129" s="191"/>
      <c r="K129" s="191"/>
    </row>
    <row r="130" spans="1:13">
      <c r="A130" s="2" t="s">
        <v>840</v>
      </c>
      <c r="B130" s="2" t="s">
        <v>819</v>
      </c>
      <c r="D130" s="1">
        <v>13</v>
      </c>
      <c r="E130" s="1">
        <v>16</v>
      </c>
      <c r="F130" s="1">
        <v>17</v>
      </c>
      <c r="G130" s="1">
        <v>14</v>
      </c>
      <c r="H130" s="1">
        <v>15</v>
      </c>
      <c r="I130" s="1">
        <v>18</v>
      </c>
      <c r="J130" s="191"/>
      <c r="K130" s="191"/>
    </row>
    <row r="131" spans="1:13">
      <c r="A131" s="2" t="s">
        <v>803</v>
      </c>
      <c r="B131" s="2" t="s">
        <v>819</v>
      </c>
      <c r="D131" s="1"/>
      <c r="E131" s="43"/>
      <c r="F131" s="1"/>
      <c r="G131" s="43"/>
      <c r="H131" s="43"/>
      <c r="I131" s="43"/>
      <c r="J131" s="191"/>
      <c r="K131" s="191"/>
    </row>
    <row r="132" spans="1:13">
      <c r="A132" s="2" t="s">
        <v>841</v>
      </c>
      <c r="B132" s="2" t="s">
        <v>819</v>
      </c>
      <c r="D132" s="42" t="s">
        <v>842</v>
      </c>
      <c r="E132" s="43" t="s">
        <v>843</v>
      </c>
      <c r="F132" s="43" t="s">
        <v>844</v>
      </c>
      <c r="G132" s="43" t="s">
        <v>845</v>
      </c>
      <c r="H132" s="43" t="s">
        <v>846</v>
      </c>
      <c r="I132" s="43" t="s">
        <v>847</v>
      </c>
      <c r="J132" s="191"/>
      <c r="K132" s="191"/>
    </row>
    <row r="133" spans="1:13">
      <c r="A133" s="2" t="s">
        <v>665</v>
      </c>
      <c r="B133" s="2" t="s">
        <v>819</v>
      </c>
      <c r="D133" s="1" t="s">
        <v>848</v>
      </c>
      <c r="E133" s="1" t="s">
        <v>849</v>
      </c>
      <c r="F133" s="1" t="s">
        <v>850</v>
      </c>
      <c r="G133" s="1" t="s">
        <v>851</v>
      </c>
      <c r="H133" s="1" t="s">
        <v>852</v>
      </c>
      <c r="I133" s="1" t="s">
        <v>853</v>
      </c>
      <c r="J133" s="191"/>
      <c r="K133" s="191"/>
    </row>
    <row r="134" spans="1:13">
      <c r="A134" s="2" t="s">
        <v>854</v>
      </c>
      <c r="B134" s="2" t="s">
        <v>819</v>
      </c>
      <c r="D134" s="1" t="s">
        <v>855</v>
      </c>
      <c r="E134" s="1" t="s">
        <v>856</v>
      </c>
      <c r="F134" s="1" t="s">
        <v>857</v>
      </c>
      <c r="G134" s="1" t="s">
        <v>858</v>
      </c>
      <c r="H134" s="1" t="s">
        <v>859</v>
      </c>
      <c r="I134" s="1" t="s">
        <v>860</v>
      </c>
      <c r="J134" s="191"/>
      <c r="K134" s="191"/>
    </row>
    <row r="135" spans="1:13">
      <c r="A135" s="2" t="s">
        <v>861</v>
      </c>
      <c r="B135" s="2" t="s">
        <v>819</v>
      </c>
      <c r="D135" s="1" t="s">
        <v>862</v>
      </c>
      <c r="E135" s="1" t="s">
        <v>863</v>
      </c>
      <c r="F135" s="1" t="s">
        <v>864</v>
      </c>
      <c r="G135" s="1" t="s">
        <v>865</v>
      </c>
      <c r="H135" s="1" t="s">
        <v>866</v>
      </c>
      <c r="I135" s="1" t="s">
        <v>867</v>
      </c>
      <c r="J135" s="191"/>
      <c r="K135" s="191"/>
    </row>
    <row r="136" spans="1:13">
      <c r="A136" s="2" t="s">
        <v>484</v>
      </c>
      <c r="B136" s="2" t="s">
        <v>819</v>
      </c>
      <c r="J136" s="31"/>
      <c r="K136" s="31"/>
    </row>
    <row r="137" spans="1:13">
      <c r="A137" s="2" t="s">
        <v>868</v>
      </c>
      <c r="B137" s="2" t="s">
        <v>819</v>
      </c>
      <c r="J137" s="31"/>
      <c r="K137" s="31"/>
    </row>
    <row r="138" spans="1:13">
      <c r="A138" s="2" t="s">
        <v>869</v>
      </c>
      <c r="B138" s="2" t="s">
        <v>819</v>
      </c>
      <c r="J138" s="31"/>
      <c r="K138" s="31"/>
    </row>
    <row r="139" spans="1:13">
      <c r="A139" s="2" t="s">
        <v>870</v>
      </c>
      <c r="B139" s="2" t="s">
        <v>819</v>
      </c>
      <c r="C139" s="2">
        <v>18</v>
      </c>
    </row>
    <row r="140" spans="1:1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spans="1:13">
      <c r="A141" s="2" t="s">
        <v>687</v>
      </c>
      <c r="B141" s="2" t="s">
        <v>871</v>
      </c>
      <c r="D141" s="88" t="s">
        <v>644</v>
      </c>
      <c r="E141" s="88" t="s">
        <v>645</v>
      </c>
      <c r="F141" s="46" t="s">
        <v>646</v>
      </c>
      <c r="G141" s="46" t="s">
        <v>647</v>
      </c>
      <c r="H141" s="46" t="s">
        <v>723</v>
      </c>
      <c r="I141" s="47" t="s">
        <v>724</v>
      </c>
      <c r="J141" s="48" t="s">
        <v>729</v>
      </c>
      <c r="K141" s="48" t="s">
        <v>730</v>
      </c>
      <c r="L141" s="49">
        <v>17</v>
      </c>
      <c r="M141" s="50" t="s">
        <v>872</v>
      </c>
    </row>
    <row r="142" spans="1:13">
      <c r="A142" s="2" t="s">
        <v>726</v>
      </c>
      <c r="B142" s="2" t="s">
        <v>871</v>
      </c>
      <c r="D142" s="88">
        <v>1</v>
      </c>
      <c r="E142" s="88">
        <v>4</v>
      </c>
      <c r="F142" s="46">
        <v>5</v>
      </c>
      <c r="G142" s="46">
        <v>8</v>
      </c>
      <c r="H142" s="46">
        <v>2</v>
      </c>
      <c r="I142" s="47">
        <v>3</v>
      </c>
      <c r="J142" s="51">
        <v>6</v>
      </c>
      <c r="K142" s="51">
        <v>7</v>
      </c>
      <c r="L142" s="49">
        <v>18</v>
      </c>
      <c r="M142" s="50" t="s">
        <v>873</v>
      </c>
    </row>
    <row r="143" spans="1:13">
      <c r="A143" s="2" t="s">
        <v>727</v>
      </c>
      <c r="B143" s="2" t="s">
        <v>871</v>
      </c>
      <c r="D143" s="88">
        <v>16</v>
      </c>
      <c r="E143" s="88">
        <v>13</v>
      </c>
      <c r="F143" s="46">
        <v>12</v>
      </c>
      <c r="G143" s="46">
        <v>9</v>
      </c>
      <c r="H143" s="46">
        <v>15</v>
      </c>
      <c r="I143" s="47">
        <v>14</v>
      </c>
      <c r="J143" s="51">
        <v>11</v>
      </c>
      <c r="K143" s="51">
        <v>10</v>
      </c>
      <c r="L143" s="49">
        <v>19</v>
      </c>
      <c r="M143" s="50" t="s">
        <v>874</v>
      </c>
    </row>
    <row r="144" spans="1:13">
      <c r="A144" s="2" t="s">
        <v>875</v>
      </c>
      <c r="B144" s="2" t="s">
        <v>871</v>
      </c>
      <c r="D144" s="88">
        <v>17</v>
      </c>
      <c r="E144" s="88">
        <v>20</v>
      </c>
      <c r="F144" s="46">
        <v>21</v>
      </c>
      <c r="G144" s="46">
        <v>24</v>
      </c>
      <c r="H144" s="46">
        <v>18</v>
      </c>
      <c r="I144" s="47">
        <v>19</v>
      </c>
      <c r="J144" s="51">
        <v>22</v>
      </c>
      <c r="K144" s="51">
        <v>23</v>
      </c>
      <c r="L144" s="49">
        <v>20</v>
      </c>
      <c r="M144" s="50" t="s">
        <v>876</v>
      </c>
    </row>
    <row r="145" spans="1:13">
      <c r="A145" s="2" t="s">
        <v>694</v>
      </c>
      <c r="B145" s="2" t="s">
        <v>871</v>
      </c>
      <c r="G145" s="46">
        <v>25</v>
      </c>
      <c r="K145" s="51">
        <v>26</v>
      </c>
      <c r="L145" s="49">
        <v>21</v>
      </c>
      <c r="M145" s="50" t="s">
        <v>877</v>
      </c>
    </row>
    <row r="146" spans="1:13">
      <c r="A146" s="2" t="s">
        <v>878</v>
      </c>
      <c r="B146" s="2" t="s">
        <v>871</v>
      </c>
      <c r="L146" s="49">
        <v>22</v>
      </c>
      <c r="M146" s="50" t="s">
        <v>879</v>
      </c>
    </row>
    <row r="147" spans="1:13">
      <c r="A147" s="2" t="s">
        <v>643</v>
      </c>
      <c r="B147" s="2" t="s">
        <v>871</v>
      </c>
      <c r="D147" s="89" t="s">
        <v>644</v>
      </c>
      <c r="E147" s="89" t="s">
        <v>645</v>
      </c>
      <c r="F147" s="52" t="s">
        <v>646</v>
      </c>
      <c r="G147" s="52" t="s">
        <v>647</v>
      </c>
      <c r="H147" s="52" t="s">
        <v>723</v>
      </c>
      <c r="I147" s="48" t="s">
        <v>724</v>
      </c>
      <c r="J147" s="48" t="s">
        <v>729</v>
      </c>
      <c r="K147" s="48" t="s">
        <v>730</v>
      </c>
      <c r="L147" s="49">
        <v>23</v>
      </c>
      <c r="M147" s="50" t="s">
        <v>880</v>
      </c>
    </row>
    <row r="148" spans="1:13">
      <c r="A148" s="2" t="s">
        <v>675</v>
      </c>
      <c r="B148" s="2" t="s">
        <v>871</v>
      </c>
      <c r="D148" s="88" t="s">
        <v>881</v>
      </c>
      <c r="E148" s="88" t="s">
        <v>882</v>
      </c>
      <c r="F148" s="46" t="s">
        <v>883</v>
      </c>
      <c r="G148" s="46" t="s">
        <v>884</v>
      </c>
      <c r="H148" s="46" t="s">
        <v>885</v>
      </c>
      <c r="I148" s="51" t="s">
        <v>886</v>
      </c>
      <c r="J148" s="51" t="s">
        <v>887</v>
      </c>
      <c r="K148" s="51" t="s">
        <v>888</v>
      </c>
      <c r="L148" s="49">
        <v>24</v>
      </c>
      <c r="M148" s="50" t="s">
        <v>889</v>
      </c>
    </row>
    <row r="149" spans="1:13">
      <c r="A149" s="2" t="s">
        <v>890</v>
      </c>
      <c r="B149" s="2" t="s">
        <v>871</v>
      </c>
      <c r="D149" s="88" t="s">
        <v>891</v>
      </c>
      <c r="E149" s="88" t="s">
        <v>892</v>
      </c>
      <c r="F149" s="46" t="s">
        <v>893</v>
      </c>
      <c r="G149" s="46" t="s">
        <v>894</v>
      </c>
      <c r="H149" s="46" t="s">
        <v>895</v>
      </c>
      <c r="I149" s="51" t="s">
        <v>896</v>
      </c>
      <c r="J149" s="51" t="s">
        <v>897</v>
      </c>
      <c r="K149" s="51" t="s">
        <v>898</v>
      </c>
      <c r="L149" s="49">
        <v>25</v>
      </c>
      <c r="M149" s="50" t="s">
        <v>899</v>
      </c>
    </row>
    <row r="150" spans="1:13">
      <c r="A150" s="2" t="s">
        <v>900</v>
      </c>
      <c r="B150" s="2" t="s">
        <v>871</v>
      </c>
      <c r="D150" s="88" t="s">
        <v>901</v>
      </c>
      <c r="E150" s="88" t="s">
        <v>902</v>
      </c>
      <c r="F150" s="46" t="s">
        <v>903</v>
      </c>
      <c r="G150" s="46" t="s">
        <v>904</v>
      </c>
      <c r="H150" s="46" t="s">
        <v>905</v>
      </c>
      <c r="I150" s="51" t="s">
        <v>906</v>
      </c>
      <c r="J150" s="51" t="s">
        <v>907</v>
      </c>
      <c r="K150" s="51" t="s">
        <v>908</v>
      </c>
      <c r="L150" s="49">
        <v>26</v>
      </c>
      <c r="M150" s="50" t="s">
        <v>909</v>
      </c>
    </row>
    <row r="151" spans="1:13">
      <c r="A151" s="2" t="s">
        <v>453</v>
      </c>
      <c r="B151" s="2" t="s">
        <v>871</v>
      </c>
      <c r="D151" s="2" t="s">
        <v>910</v>
      </c>
      <c r="E151" s="2" t="s">
        <v>910</v>
      </c>
      <c r="F151" s="2" t="s">
        <v>910</v>
      </c>
      <c r="G151" s="46" t="s">
        <v>911</v>
      </c>
      <c r="H151" s="2" t="s">
        <v>910</v>
      </c>
      <c r="I151" s="2" t="s">
        <v>910</v>
      </c>
      <c r="J151" s="2" t="s">
        <v>910</v>
      </c>
      <c r="K151" s="51" t="s">
        <v>912</v>
      </c>
      <c r="L151" s="54"/>
      <c r="M151" s="54"/>
    </row>
    <row r="152" spans="1:13">
      <c r="A152" s="2" t="s">
        <v>719</v>
      </c>
      <c r="B152" s="2" t="s">
        <v>871</v>
      </c>
      <c r="L152" s="54"/>
      <c r="M152" s="54"/>
    </row>
    <row r="153" spans="1:13">
      <c r="A153" s="2" t="s">
        <v>350</v>
      </c>
      <c r="B153" s="2" t="s">
        <v>871</v>
      </c>
      <c r="D153" s="90" t="s">
        <v>913</v>
      </c>
      <c r="E153" s="90" t="s">
        <v>914</v>
      </c>
      <c r="F153" s="55" t="s">
        <v>915</v>
      </c>
      <c r="G153" s="55" t="s">
        <v>916</v>
      </c>
      <c r="H153" s="56" t="s">
        <v>917</v>
      </c>
      <c r="I153" s="56" t="s">
        <v>918</v>
      </c>
      <c r="J153" s="56" t="s">
        <v>919</v>
      </c>
      <c r="L153" s="54"/>
      <c r="M153" s="54"/>
    </row>
    <row r="154" spans="1:13">
      <c r="A154" s="2" t="s">
        <v>756</v>
      </c>
      <c r="B154" s="2" t="s">
        <v>871</v>
      </c>
      <c r="D154" s="90" t="s">
        <v>920</v>
      </c>
      <c r="E154" s="90" t="s">
        <v>921</v>
      </c>
      <c r="F154" s="57" t="s">
        <v>922</v>
      </c>
      <c r="G154" s="57" t="s">
        <v>923</v>
      </c>
      <c r="H154" s="58" t="s">
        <v>924</v>
      </c>
      <c r="I154" s="58" t="s">
        <v>925</v>
      </c>
      <c r="J154" s="58" t="s">
        <v>926</v>
      </c>
      <c r="L154" s="54"/>
      <c r="M154" s="54"/>
    </row>
    <row r="155" spans="1:13">
      <c r="A155" s="2" t="s">
        <v>757</v>
      </c>
      <c r="B155" s="2" t="s">
        <v>871</v>
      </c>
      <c r="D155" s="90" t="s">
        <v>927</v>
      </c>
      <c r="E155" s="90" t="s">
        <v>928</v>
      </c>
      <c r="F155" s="57" t="s">
        <v>929</v>
      </c>
      <c r="G155" s="57" t="s">
        <v>930</v>
      </c>
      <c r="H155" s="58" t="s">
        <v>931</v>
      </c>
      <c r="I155" s="58" t="s">
        <v>932</v>
      </c>
      <c r="J155" s="58" t="s">
        <v>933</v>
      </c>
      <c r="L155" s="54"/>
      <c r="M155" s="54"/>
    </row>
    <row r="156" spans="1:13">
      <c r="A156" s="2" t="s">
        <v>802</v>
      </c>
      <c r="B156" s="2" t="s">
        <v>871</v>
      </c>
      <c r="D156" s="90" t="s">
        <v>934</v>
      </c>
      <c r="E156" s="90" t="s">
        <v>935</v>
      </c>
      <c r="F156" s="57" t="s">
        <v>936</v>
      </c>
      <c r="G156" s="57" t="s">
        <v>937</v>
      </c>
      <c r="H156" s="58" t="s">
        <v>938</v>
      </c>
      <c r="I156" s="58" t="s">
        <v>939</v>
      </c>
      <c r="J156" s="58" t="s">
        <v>940</v>
      </c>
      <c r="L156" s="54"/>
      <c r="M156" s="54"/>
    </row>
    <row r="157" spans="1:13">
      <c r="A157" s="2" t="s">
        <v>685</v>
      </c>
      <c r="B157" s="2" t="s">
        <v>871</v>
      </c>
      <c r="D157" s="90" t="s">
        <v>941</v>
      </c>
      <c r="E157" s="90" t="s">
        <v>942</v>
      </c>
      <c r="F157" s="57" t="s">
        <v>943</v>
      </c>
      <c r="G157" s="57" t="s">
        <v>944</v>
      </c>
      <c r="J157" s="58" t="s">
        <v>945</v>
      </c>
      <c r="L157" s="54"/>
      <c r="M157" s="54"/>
    </row>
    <row r="158" spans="1:13">
      <c r="A158" s="2" t="s">
        <v>163</v>
      </c>
      <c r="B158" s="2" t="s">
        <v>871</v>
      </c>
      <c r="H158" s="2">
        <v>17</v>
      </c>
      <c r="I158" s="2">
        <v>18</v>
      </c>
      <c r="J158" s="2">
        <v>19</v>
      </c>
      <c r="L158" s="54"/>
      <c r="M158" s="54"/>
    </row>
    <row r="159" spans="1:13">
      <c r="A159" s="2" t="s">
        <v>703</v>
      </c>
      <c r="B159" s="2" t="s">
        <v>871</v>
      </c>
      <c r="D159" s="90" t="s">
        <v>946</v>
      </c>
      <c r="E159" s="90" t="s">
        <v>947</v>
      </c>
      <c r="H159" s="2">
        <v>22</v>
      </c>
      <c r="I159" s="2">
        <v>21</v>
      </c>
      <c r="J159" s="2">
        <v>20</v>
      </c>
      <c r="L159" s="54"/>
      <c r="M159" s="54"/>
    </row>
    <row r="160" spans="1:13">
      <c r="A160" s="2" t="s">
        <v>224</v>
      </c>
      <c r="B160" s="2" t="s">
        <v>871</v>
      </c>
      <c r="D160" s="90" t="s">
        <v>948</v>
      </c>
      <c r="E160" s="90" t="s">
        <v>949</v>
      </c>
      <c r="H160" s="2">
        <v>23</v>
      </c>
      <c r="I160" s="2">
        <v>24</v>
      </c>
      <c r="J160" s="2">
        <v>25</v>
      </c>
      <c r="L160" s="54"/>
      <c r="M160" s="54"/>
    </row>
    <row r="161" spans="1:13">
      <c r="A161" s="2" t="s">
        <v>236</v>
      </c>
      <c r="B161" s="2" t="s">
        <v>871</v>
      </c>
      <c r="D161" s="90" t="s">
        <v>950</v>
      </c>
      <c r="E161" s="90" t="s">
        <v>951</v>
      </c>
      <c r="J161" s="2">
        <v>26</v>
      </c>
      <c r="L161" s="54"/>
      <c r="M161" s="54"/>
    </row>
    <row r="162" spans="1:13" ht="15" customHeight="1">
      <c r="A162" s="2" t="s">
        <v>952</v>
      </c>
      <c r="B162" s="2" t="s">
        <v>871</v>
      </c>
    </row>
    <row r="163" spans="1:13">
      <c r="A163" s="2" t="s">
        <v>953</v>
      </c>
      <c r="B163" s="2" t="s">
        <v>871</v>
      </c>
    </row>
    <row r="164" spans="1:13">
      <c r="A164" s="2" t="s">
        <v>954</v>
      </c>
      <c r="B164" s="2" t="s">
        <v>871</v>
      </c>
    </row>
    <row r="165" spans="1:13">
      <c r="A165" s="2" t="s">
        <v>761</v>
      </c>
      <c r="B165" s="2" t="s">
        <v>871</v>
      </c>
    </row>
    <row r="166" spans="1:13">
      <c r="A166" s="2" t="s">
        <v>955</v>
      </c>
      <c r="B166" s="2" t="s">
        <v>871</v>
      </c>
      <c r="C166" s="12">
        <v>26</v>
      </c>
    </row>
    <row r="167" spans="1:1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spans="1:13">
      <c r="A168" s="2" t="s">
        <v>690</v>
      </c>
      <c r="B168" s="2" t="s">
        <v>956</v>
      </c>
      <c r="D168" s="42" t="s">
        <v>644</v>
      </c>
      <c r="E168" s="43" t="s">
        <v>645</v>
      </c>
      <c r="F168" s="43" t="s">
        <v>646</v>
      </c>
      <c r="G168" s="43" t="s">
        <v>647</v>
      </c>
      <c r="H168" s="43" t="s">
        <v>723</v>
      </c>
      <c r="I168" s="43" t="s">
        <v>724</v>
      </c>
    </row>
    <row r="169" spans="1:13">
      <c r="A169" s="2" t="s">
        <v>691</v>
      </c>
      <c r="B169" s="2" t="s">
        <v>956</v>
      </c>
      <c r="D169" s="85" t="s">
        <v>764</v>
      </c>
      <c r="E169" s="85" t="s">
        <v>957</v>
      </c>
      <c r="F169" s="85" t="s">
        <v>958</v>
      </c>
      <c r="G169" s="86" t="s">
        <v>959</v>
      </c>
      <c r="H169" s="86" t="s">
        <v>960</v>
      </c>
      <c r="I169" s="86" t="s">
        <v>961</v>
      </c>
    </row>
    <row r="170" spans="1:13">
      <c r="A170" s="2" t="s">
        <v>962</v>
      </c>
      <c r="B170" s="2" t="s">
        <v>956</v>
      </c>
      <c r="D170" s="85" t="s">
        <v>695</v>
      </c>
      <c r="E170" s="85" t="s">
        <v>963</v>
      </c>
      <c r="F170" s="85" t="s">
        <v>964</v>
      </c>
      <c r="G170" s="86" t="s">
        <v>965</v>
      </c>
      <c r="H170" s="86" t="s">
        <v>966</v>
      </c>
      <c r="I170" s="86" t="s">
        <v>967</v>
      </c>
    </row>
    <row r="171" spans="1:13">
      <c r="A171" s="2" t="s">
        <v>968</v>
      </c>
      <c r="B171" s="2" t="s">
        <v>956</v>
      </c>
      <c r="D171" s="85" t="s">
        <v>969</v>
      </c>
      <c r="E171" s="85" t="s">
        <v>970</v>
      </c>
      <c r="F171" s="85" t="s">
        <v>971</v>
      </c>
      <c r="G171" s="86" t="s">
        <v>972</v>
      </c>
      <c r="H171" s="86" t="s">
        <v>973</v>
      </c>
      <c r="I171" s="86" t="s">
        <v>974</v>
      </c>
    </row>
    <row r="172" spans="1:13">
      <c r="A172" s="2" t="s">
        <v>452</v>
      </c>
      <c r="B172" s="2" t="s">
        <v>956</v>
      </c>
      <c r="D172" s="14" t="s">
        <v>910</v>
      </c>
      <c r="E172" s="14" t="s">
        <v>910</v>
      </c>
      <c r="F172" s="14" t="s">
        <v>910</v>
      </c>
      <c r="G172" s="14"/>
      <c r="H172" s="86" t="s">
        <v>975</v>
      </c>
      <c r="I172" s="86" t="s">
        <v>976</v>
      </c>
    </row>
    <row r="173" spans="1:13">
      <c r="A173" s="2" t="s">
        <v>697</v>
      </c>
      <c r="B173" s="2" t="s">
        <v>956</v>
      </c>
      <c r="D173" s="43" t="s">
        <v>644</v>
      </c>
      <c r="E173" s="43" t="s">
        <v>645</v>
      </c>
      <c r="F173" s="43" t="s">
        <v>646</v>
      </c>
      <c r="G173" s="43" t="s">
        <v>647</v>
      </c>
      <c r="H173" s="43" t="s">
        <v>723</v>
      </c>
      <c r="I173" s="43" t="s">
        <v>724</v>
      </c>
    </row>
    <row r="174" spans="1:13">
      <c r="A174" s="2" t="s">
        <v>772</v>
      </c>
      <c r="B174" s="2" t="s">
        <v>956</v>
      </c>
      <c r="D174" s="79">
        <v>1</v>
      </c>
      <c r="E174" s="79">
        <v>4</v>
      </c>
      <c r="F174" s="79">
        <v>5</v>
      </c>
      <c r="G174" s="87">
        <v>2</v>
      </c>
      <c r="H174" s="87">
        <v>3</v>
      </c>
      <c r="I174" s="87">
        <v>6</v>
      </c>
    </row>
    <row r="175" spans="1:13">
      <c r="A175" s="2" t="s">
        <v>774</v>
      </c>
      <c r="B175" s="2" t="s">
        <v>956</v>
      </c>
      <c r="D175" s="81">
        <v>12</v>
      </c>
      <c r="E175" s="81">
        <v>9</v>
      </c>
      <c r="F175" s="81">
        <v>8</v>
      </c>
      <c r="G175" s="82">
        <v>11</v>
      </c>
      <c r="H175" s="82">
        <v>10</v>
      </c>
      <c r="I175" s="82">
        <v>7</v>
      </c>
    </row>
    <row r="176" spans="1:13">
      <c r="A176" s="2" t="s">
        <v>257</v>
      </c>
      <c r="B176" s="2" t="s">
        <v>956</v>
      </c>
      <c r="D176" s="83">
        <v>13</v>
      </c>
      <c r="E176" s="83">
        <v>16</v>
      </c>
      <c r="F176" s="83">
        <v>17</v>
      </c>
      <c r="G176" s="84">
        <v>14</v>
      </c>
      <c r="H176" s="84">
        <v>15</v>
      </c>
      <c r="I176" s="84">
        <v>18</v>
      </c>
    </row>
    <row r="177" spans="1:13">
      <c r="A177" s="2" t="s">
        <v>681</v>
      </c>
      <c r="B177" s="2" t="s">
        <v>956</v>
      </c>
      <c r="D177" s="44"/>
      <c r="E177" s="1"/>
      <c r="F177" s="1"/>
      <c r="G177" s="1"/>
      <c r="H177" s="84">
        <v>20</v>
      </c>
      <c r="I177" s="84">
        <v>19</v>
      </c>
    </row>
    <row r="178" spans="1:13">
      <c r="A178" s="2" t="s">
        <v>684</v>
      </c>
      <c r="B178" s="2" t="s">
        <v>956</v>
      </c>
      <c r="D178" s="43" t="s">
        <v>729</v>
      </c>
      <c r="E178" s="43" t="s">
        <v>730</v>
      </c>
      <c r="F178" s="43" t="s">
        <v>977</v>
      </c>
      <c r="G178" s="43" t="s">
        <v>978</v>
      </c>
      <c r="H178" s="43" t="s">
        <v>979</v>
      </c>
      <c r="I178" s="43" t="s">
        <v>980</v>
      </c>
    </row>
    <row r="179" spans="1:13">
      <c r="A179" s="2" t="s">
        <v>981</v>
      </c>
      <c r="B179" s="2" t="s">
        <v>956</v>
      </c>
      <c r="D179" s="1" t="s">
        <v>848</v>
      </c>
      <c r="E179" s="1" t="s">
        <v>982</v>
      </c>
      <c r="F179" s="1" t="s">
        <v>983</v>
      </c>
      <c r="G179" s="1" t="s">
        <v>984</v>
      </c>
      <c r="H179" s="1" t="s">
        <v>985</v>
      </c>
      <c r="I179" s="1" t="s">
        <v>986</v>
      </c>
    </row>
    <row r="180" spans="1:13">
      <c r="A180" s="2" t="s">
        <v>987</v>
      </c>
      <c r="B180" s="2" t="s">
        <v>956</v>
      </c>
      <c r="D180" s="1" t="s">
        <v>855</v>
      </c>
      <c r="E180" s="1" t="s">
        <v>988</v>
      </c>
      <c r="F180" s="1" t="s">
        <v>989</v>
      </c>
      <c r="G180" s="1" t="s">
        <v>990</v>
      </c>
      <c r="H180" s="1" t="s">
        <v>991</v>
      </c>
      <c r="I180" s="1" t="s">
        <v>992</v>
      </c>
    </row>
    <row r="181" spans="1:13">
      <c r="A181" s="2" t="s">
        <v>161</v>
      </c>
      <c r="B181" s="2" t="s">
        <v>956</v>
      </c>
      <c r="D181" s="1" t="s">
        <v>862</v>
      </c>
      <c r="E181" s="1" t="s">
        <v>993</v>
      </c>
      <c r="F181" s="1" t="s">
        <v>994</v>
      </c>
      <c r="G181" s="1" t="s">
        <v>995</v>
      </c>
      <c r="H181" s="1" t="s">
        <v>996</v>
      </c>
      <c r="I181" s="1" t="s">
        <v>997</v>
      </c>
    </row>
    <row r="182" spans="1:13">
      <c r="A182" s="2" t="s">
        <v>998</v>
      </c>
      <c r="B182" s="2" t="s">
        <v>956</v>
      </c>
      <c r="D182" s="44"/>
      <c r="E182" s="1"/>
      <c r="F182" s="1" t="s">
        <v>999</v>
      </c>
      <c r="G182" s="1"/>
      <c r="H182" s="1"/>
      <c r="I182" s="1" t="s">
        <v>1000</v>
      </c>
    </row>
    <row r="183" spans="1:13">
      <c r="A183" s="2" t="s">
        <v>234</v>
      </c>
      <c r="B183" s="2" t="s">
        <v>956</v>
      </c>
    </row>
    <row r="184" spans="1:13">
      <c r="A184" s="2" t="s">
        <v>817</v>
      </c>
      <c r="B184" s="2" t="s">
        <v>956</v>
      </c>
    </row>
    <row r="185" spans="1:13">
      <c r="A185" s="2" t="s">
        <v>704</v>
      </c>
      <c r="B185" s="2" t="s">
        <v>956</v>
      </c>
    </row>
    <row r="186" spans="1:13">
      <c r="A186" s="2" t="s">
        <v>1001</v>
      </c>
      <c r="B186" s="2" t="s">
        <v>956</v>
      </c>
    </row>
    <row r="187" spans="1:13">
      <c r="A187" s="2" t="s">
        <v>1002</v>
      </c>
      <c r="B187" s="2" t="s">
        <v>956</v>
      </c>
      <c r="C187" s="2">
        <v>20</v>
      </c>
    </row>
    <row r="188" spans="1:1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spans="1:13">
      <c r="A189" s="2" t="s">
        <v>1003</v>
      </c>
      <c r="B189" s="2" t="s">
        <v>1004</v>
      </c>
      <c r="D189" s="42" t="s">
        <v>644</v>
      </c>
      <c r="E189" s="43" t="s">
        <v>645</v>
      </c>
      <c r="F189" s="43" t="s">
        <v>646</v>
      </c>
      <c r="G189" s="43" t="s">
        <v>647</v>
      </c>
      <c r="H189" s="43" t="s">
        <v>723</v>
      </c>
      <c r="I189" s="43" t="s">
        <v>724</v>
      </c>
    </row>
    <row r="190" spans="1:13">
      <c r="A190" s="2" t="s">
        <v>728</v>
      </c>
      <c r="B190" s="2" t="s">
        <v>1004</v>
      </c>
      <c r="D190" s="74" t="s">
        <v>1005</v>
      </c>
      <c r="E190" s="74" t="s">
        <v>1006</v>
      </c>
      <c r="F190" s="74" t="s">
        <v>1007</v>
      </c>
      <c r="G190" s="75" t="s">
        <v>1008</v>
      </c>
      <c r="H190" s="75" t="s">
        <v>1009</v>
      </c>
      <c r="I190" s="75" t="s">
        <v>1010</v>
      </c>
    </row>
    <row r="191" spans="1:13">
      <c r="A191" s="2" t="s">
        <v>1011</v>
      </c>
      <c r="B191" s="2" t="s">
        <v>1004</v>
      </c>
      <c r="D191" s="76" t="s">
        <v>1012</v>
      </c>
      <c r="E191" s="76" t="s">
        <v>1013</v>
      </c>
      <c r="F191" s="76" t="s">
        <v>1014</v>
      </c>
      <c r="G191" s="77" t="s">
        <v>1015</v>
      </c>
      <c r="H191" s="77" t="s">
        <v>1016</v>
      </c>
      <c r="I191" s="77" t="s">
        <v>1017</v>
      </c>
    </row>
    <row r="192" spans="1:13">
      <c r="A192" s="2" t="s">
        <v>890</v>
      </c>
      <c r="B192" s="2" t="s">
        <v>1004</v>
      </c>
      <c r="D192" s="78" t="s">
        <v>1018</v>
      </c>
      <c r="E192" s="78" t="s">
        <v>1019</v>
      </c>
      <c r="F192" s="78" t="s">
        <v>717</v>
      </c>
      <c r="G192" s="77" t="s">
        <v>1020</v>
      </c>
      <c r="H192" s="77" t="s">
        <v>1021</v>
      </c>
      <c r="I192" s="77" t="s">
        <v>1022</v>
      </c>
    </row>
    <row r="193" spans="1:9">
      <c r="A193" s="2" t="s">
        <v>1023</v>
      </c>
      <c r="B193" s="2" t="s">
        <v>1004</v>
      </c>
      <c r="D193" s="14" t="s">
        <v>910</v>
      </c>
      <c r="E193" s="14" t="s">
        <v>910</v>
      </c>
      <c r="F193" s="14" t="s">
        <v>910</v>
      </c>
      <c r="G193" s="14" t="s">
        <v>910</v>
      </c>
      <c r="H193" s="77" t="s">
        <v>1024</v>
      </c>
      <c r="I193" s="77" t="s">
        <v>1025</v>
      </c>
    </row>
    <row r="194" spans="1:9">
      <c r="A194" s="2" t="s">
        <v>1026</v>
      </c>
      <c r="B194" s="2" t="s">
        <v>1004</v>
      </c>
      <c r="D194" s="43" t="s">
        <v>644</v>
      </c>
      <c r="E194" s="43" t="s">
        <v>645</v>
      </c>
      <c r="F194" s="43" t="s">
        <v>646</v>
      </c>
      <c r="G194" s="43" t="s">
        <v>647</v>
      </c>
      <c r="H194" s="43" t="s">
        <v>723</v>
      </c>
      <c r="I194" s="43" t="s">
        <v>724</v>
      </c>
    </row>
    <row r="195" spans="1:9">
      <c r="A195" s="2" t="s">
        <v>719</v>
      </c>
      <c r="B195" s="2" t="s">
        <v>1004</v>
      </c>
      <c r="D195" s="79">
        <v>1</v>
      </c>
      <c r="E195" s="79">
        <v>4</v>
      </c>
      <c r="F195" s="79">
        <v>5</v>
      </c>
      <c r="G195" s="80">
        <v>2</v>
      </c>
      <c r="H195" s="80">
        <v>3</v>
      </c>
      <c r="I195" s="80">
        <v>6</v>
      </c>
    </row>
    <row r="196" spans="1:9">
      <c r="A196" s="2" t="s">
        <v>662</v>
      </c>
      <c r="B196" s="2" t="s">
        <v>1004</v>
      </c>
      <c r="D196" s="81">
        <v>12</v>
      </c>
      <c r="E196" s="81">
        <v>9</v>
      </c>
      <c r="F196" s="81">
        <v>8</v>
      </c>
      <c r="G196" s="82">
        <v>11</v>
      </c>
      <c r="H196" s="82">
        <v>10</v>
      </c>
      <c r="I196" s="82">
        <v>7</v>
      </c>
    </row>
    <row r="197" spans="1:9">
      <c r="A197" s="2" t="s">
        <v>1027</v>
      </c>
      <c r="B197" s="2" t="s">
        <v>1004</v>
      </c>
      <c r="D197" s="83">
        <v>13</v>
      </c>
      <c r="E197" s="83">
        <v>16</v>
      </c>
      <c r="F197" s="83">
        <v>17</v>
      </c>
      <c r="G197" s="84">
        <v>14</v>
      </c>
      <c r="H197" s="84">
        <v>15</v>
      </c>
      <c r="I197" s="84">
        <v>18</v>
      </c>
    </row>
    <row r="198" spans="1:9">
      <c r="A198" s="2" t="s">
        <v>1028</v>
      </c>
      <c r="B198" s="2" t="s">
        <v>1004</v>
      </c>
      <c r="D198" s="44"/>
      <c r="E198" s="1"/>
      <c r="F198" s="1"/>
      <c r="G198" s="1"/>
      <c r="H198" s="84">
        <v>20</v>
      </c>
      <c r="I198" s="84">
        <v>19</v>
      </c>
    </row>
    <row r="199" spans="1:9">
      <c r="A199" s="2" t="s">
        <v>721</v>
      </c>
      <c r="B199" s="2" t="s">
        <v>1004</v>
      </c>
      <c r="D199" s="43" t="s">
        <v>729</v>
      </c>
      <c r="E199" s="43" t="s">
        <v>730</v>
      </c>
      <c r="F199" s="43" t="s">
        <v>977</v>
      </c>
      <c r="G199" s="43" t="s">
        <v>978</v>
      </c>
      <c r="H199" s="43" t="s">
        <v>979</v>
      </c>
      <c r="I199" s="43" t="s">
        <v>980</v>
      </c>
    </row>
    <row r="200" spans="1:9">
      <c r="A200" s="2" t="s">
        <v>665</v>
      </c>
      <c r="B200" s="2" t="s">
        <v>1004</v>
      </c>
      <c r="D200" s="1" t="s">
        <v>848</v>
      </c>
      <c r="E200" s="1" t="s">
        <v>982</v>
      </c>
      <c r="F200" s="1" t="s">
        <v>983</v>
      </c>
      <c r="G200" s="1" t="s">
        <v>984</v>
      </c>
      <c r="H200" s="1" t="s">
        <v>985</v>
      </c>
      <c r="I200" s="1" t="s">
        <v>986</v>
      </c>
    </row>
    <row r="201" spans="1:9">
      <c r="A201" s="2" t="s">
        <v>1029</v>
      </c>
      <c r="B201" s="2" t="s">
        <v>1004</v>
      </c>
      <c r="D201" s="1" t="s">
        <v>855</v>
      </c>
      <c r="E201" s="1" t="s">
        <v>988</v>
      </c>
      <c r="F201" s="1" t="s">
        <v>989</v>
      </c>
      <c r="G201" s="1" t="s">
        <v>990</v>
      </c>
      <c r="H201" s="1" t="s">
        <v>991</v>
      </c>
      <c r="I201" s="1" t="s">
        <v>992</v>
      </c>
    </row>
    <row r="202" spans="1:9">
      <c r="A202" s="2" t="s">
        <v>1030</v>
      </c>
      <c r="B202" s="2" t="s">
        <v>1004</v>
      </c>
      <c r="D202" s="1" t="s">
        <v>862</v>
      </c>
      <c r="E202" s="1" t="s">
        <v>993</v>
      </c>
      <c r="F202" s="1" t="s">
        <v>994</v>
      </c>
      <c r="G202" s="1" t="s">
        <v>995</v>
      </c>
      <c r="H202" s="1" t="s">
        <v>996</v>
      </c>
      <c r="I202" s="1" t="s">
        <v>997</v>
      </c>
    </row>
    <row r="203" spans="1:9">
      <c r="A203" s="2" t="s">
        <v>224</v>
      </c>
      <c r="B203" s="2" t="s">
        <v>1004</v>
      </c>
      <c r="D203" s="44"/>
      <c r="E203" s="1"/>
      <c r="F203" s="1" t="s">
        <v>999</v>
      </c>
      <c r="G203" s="1"/>
      <c r="H203" s="1"/>
      <c r="I203" s="1" t="s">
        <v>1000</v>
      </c>
    </row>
    <row r="204" spans="1:9">
      <c r="A204" s="2" t="s">
        <v>484</v>
      </c>
      <c r="B204" s="2" t="s">
        <v>1004</v>
      </c>
    </row>
    <row r="205" spans="1:9">
      <c r="A205" s="2" t="s">
        <v>952</v>
      </c>
      <c r="B205" s="2" t="s">
        <v>1004</v>
      </c>
    </row>
    <row r="206" spans="1:9">
      <c r="A206" s="2" t="s">
        <v>762</v>
      </c>
      <c r="B206" s="2" t="s">
        <v>1004</v>
      </c>
    </row>
    <row r="207" spans="1:9">
      <c r="A207" s="2" t="s">
        <v>869</v>
      </c>
      <c r="B207" s="2" t="s">
        <v>1004</v>
      </c>
    </row>
    <row r="208" spans="1:9">
      <c r="A208" s="2" t="s">
        <v>1031</v>
      </c>
      <c r="B208" s="2" t="s">
        <v>1004</v>
      </c>
      <c r="C208" s="2">
        <v>20</v>
      </c>
    </row>
    <row r="209" spans="1:1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spans="1:13">
      <c r="A210" s="2" t="s">
        <v>687</v>
      </c>
      <c r="B210" s="2" t="s">
        <v>1032</v>
      </c>
      <c r="D210" s="8" t="s">
        <v>644</v>
      </c>
      <c r="E210" s="8" t="s">
        <v>645</v>
      </c>
      <c r="F210" s="8" t="s">
        <v>646</v>
      </c>
      <c r="G210" s="8" t="s">
        <v>647</v>
      </c>
      <c r="H210" s="8" t="s">
        <v>723</v>
      </c>
      <c r="I210" s="69" t="s">
        <v>724</v>
      </c>
    </row>
    <row r="211" spans="1:13">
      <c r="A211" s="2" t="s">
        <v>820</v>
      </c>
      <c r="B211" s="2" t="s">
        <v>1032</v>
      </c>
      <c r="D211" s="14">
        <v>1</v>
      </c>
      <c r="E211" s="14">
        <v>4</v>
      </c>
      <c r="F211" s="14">
        <v>5</v>
      </c>
      <c r="G211" s="14">
        <v>2</v>
      </c>
      <c r="H211" s="14">
        <v>3</v>
      </c>
      <c r="I211" s="14">
        <v>6</v>
      </c>
    </row>
    <row r="212" spans="1:13">
      <c r="A212" s="2" t="s">
        <v>1033</v>
      </c>
      <c r="B212" s="2" t="s">
        <v>1032</v>
      </c>
      <c r="D212" s="14">
        <v>12</v>
      </c>
      <c r="E212" s="14">
        <v>9</v>
      </c>
      <c r="F212" s="14">
        <v>8</v>
      </c>
      <c r="G212" s="14">
        <v>11</v>
      </c>
      <c r="H212" s="14">
        <v>10</v>
      </c>
      <c r="I212" s="14">
        <v>7</v>
      </c>
    </row>
    <row r="213" spans="1:13">
      <c r="A213" s="2" t="s">
        <v>1034</v>
      </c>
      <c r="B213" s="2" t="s">
        <v>1032</v>
      </c>
      <c r="D213" s="14">
        <v>13</v>
      </c>
      <c r="E213" s="14">
        <v>16</v>
      </c>
      <c r="F213" s="14">
        <v>17</v>
      </c>
      <c r="G213" s="14">
        <v>14</v>
      </c>
      <c r="H213" s="14">
        <v>15</v>
      </c>
      <c r="I213" s="14">
        <v>18</v>
      </c>
    </row>
    <row r="214" spans="1:13">
      <c r="A214" s="2" t="s">
        <v>1035</v>
      </c>
      <c r="B214" s="2" t="s">
        <v>1032</v>
      </c>
      <c r="D214" s="14"/>
      <c r="E214" s="14"/>
      <c r="F214" s="14"/>
      <c r="G214" s="14"/>
      <c r="H214" s="14"/>
      <c r="I214" s="14">
        <v>19</v>
      </c>
    </row>
    <row r="215" spans="1:13">
      <c r="A215" s="2" t="s">
        <v>694</v>
      </c>
      <c r="B215" s="2" t="s">
        <v>1032</v>
      </c>
      <c r="D215" s="101" t="s">
        <v>644</v>
      </c>
      <c r="E215" s="101" t="s">
        <v>645</v>
      </c>
      <c r="F215" s="102" t="s">
        <v>646</v>
      </c>
      <c r="G215" s="103" t="s">
        <v>647</v>
      </c>
      <c r="H215" s="103" t="s">
        <v>723</v>
      </c>
      <c r="I215" s="103" t="s">
        <v>724</v>
      </c>
    </row>
    <row r="216" spans="1:13">
      <c r="A216" s="2" t="s">
        <v>1036</v>
      </c>
      <c r="B216" s="2" t="s">
        <v>1032</v>
      </c>
      <c r="D216" s="72" t="s">
        <v>1037</v>
      </c>
      <c r="E216" s="72" t="s">
        <v>1038</v>
      </c>
      <c r="F216" s="72" t="s">
        <v>1039</v>
      </c>
      <c r="G216" s="71" t="s">
        <v>1040</v>
      </c>
      <c r="H216" s="71" t="s">
        <v>1041</v>
      </c>
      <c r="I216" s="71" t="s">
        <v>1042</v>
      </c>
    </row>
    <row r="217" spans="1:13">
      <c r="A217" s="2" t="s">
        <v>420</v>
      </c>
      <c r="B217" s="2" t="s">
        <v>1032</v>
      </c>
      <c r="D217" s="72" t="s">
        <v>1043</v>
      </c>
      <c r="E217" s="72" t="s">
        <v>1044</v>
      </c>
      <c r="F217" s="72" t="s">
        <v>1045</v>
      </c>
      <c r="G217" s="71" t="s">
        <v>1046</v>
      </c>
      <c r="H217" s="71" t="s">
        <v>1047</v>
      </c>
      <c r="I217" s="71" t="s">
        <v>1048</v>
      </c>
    </row>
    <row r="218" spans="1:13">
      <c r="A218" s="2" t="s">
        <v>878</v>
      </c>
      <c r="B218" s="2" t="s">
        <v>1032</v>
      </c>
      <c r="D218" s="72" t="s">
        <v>1049</v>
      </c>
      <c r="E218" s="72" t="s">
        <v>1050</v>
      </c>
      <c r="F218" s="72" t="s">
        <v>1051</v>
      </c>
      <c r="G218" s="71" t="s">
        <v>1052</v>
      </c>
      <c r="H218" s="71" t="s">
        <v>1053</v>
      </c>
      <c r="I218" s="71" t="s">
        <v>1054</v>
      </c>
    </row>
    <row r="219" spans="1:13">
      <c r="A219" s="2" t="s">
        <v>1055</v>
      </c>
      <c r="B219" s="2" t="s">
        <v>1032</v>
      </c>
      <c r="D219" s="14" t="s">
        <v>910</v>
      </c>
      <c r="E219" s="14" t="s">
        <v>910</v>
      </c>
      <c r="F219" s="14" t="s">
        <v>910</v>
      </c>
      <c r="G219" s="14" t="s">
        <v>910</v>
      </c>
      <c r="H219" s="14" t="s">
        <v>910</v>
      </c>
      <c r="I219" s="71" t="s">
        <v>1056</v>
      </c>
    </row>
    <row r="220" spans="1:13">
      <c r="A220" s="2" t="s">
        <v>453</v>
      </c>
      <c r="B220" s="2" t="s">
        <v>1032</v>
      </c>
      <c r="D220" s="14"/>
      <c r="E220" s="14"/>
      <c r="F220" s="14"/>
      <c r="G220" s="14"/>
      <c r="H220" s="14"/>
      <c r="I220" s="14"/>
    </row>
    <row r="221" spans="1:13">
      <c r="A221" s="2" t="s">
        <v>684</v>
      </c>
      <c r="B221" s="2" t="s">
        <v>1032</v>
      </c>
      <c r="D221" s="101" t="s">
        <v>1057</v>
      </c>
      <c r="E221" s="101" t="s">
        <v>1058</v>
      </c>
      <c r="F221" s="101" t="s">
        <v>1059</v>
      </c>
      <c r="G221" s="104" t="s">
        <v>1060</v>
      </c>
      <c r="H221" s="104" t="s">
        <v>1061</v>
      </c>
      <c r="I221" s="104" t="s">
        <v>1062</v>
      </c>
    </row>
    <row r="222" spans="1:13">
      <c r="A222" s="2" t="s">
        <v>841</v>
      </c>
      <c r="B222" s="2" t="s">
        <v>1032</v>
      </c>
      <c r="D222" s="70" t="s">
        <v>848</v>
      </c>
      <c r="E222" s="70" t="s">
        <v>849</v>
      </c>
      <c r="F222" s="70" t="s">
        <v>1063</v>
      </c>
      <c r="G222" s="73" t="s">
        <v>1064</v>
      </c>
      <c r="H222" s="73" t="s">
        <v>1065</v>
      </c>
      <c r="I222" s="73" t="s">
        <v>986</v>
      </c>
    </row>
    <row r="223" spans="1:13">
      <c r="A223" s="2" t="s">
        <v>1066</v>
      </c>
      <c r="B223" s="2" t="s">
        <v>1032</v>
      </c>
      <c r="D223" s="70" t="s">
        <v>855</v>
      </c>
      <c r="E223" s="70" t="s">
        <v>856</v>
      </c>
      <c r="F223" s="70" t="s">
        <v>1067</v>
      </c>
      <c r="G223" s="73" t="s">
        <v>857</v>
      </c>
      <c r="H223" s="73" t="s">
        <v>1068</v>
      </c>
      <c r="I223" s="73" t="s">
        <v>1069</v>
      </c>
    </row>
    <row r="224" spans="1:13">
      <c r="A224" s="2" t="s">
        <v>953</v>
      </c>
      <c r="B224" s="2" t="s">
        <v>1032</v>
      </c>
      <c r="D224" s="70" t="s">
        <v>862</v>
      </c>
      <c r="E224" s="70" t="s">
        <v>863</v>
      </c>
      <c r="F224" s="70" t="s">
        <v>1070</v>
      </c>
      <c r="G224" s="73" t="s">
        <v>1071</v>
      </c>
      <c r="H224" s="73" t="s">
        <v>1072</v>
      </c>
      <c r="I224" s="73" t="s">
        <v>1073</v>
      </c>
    </row>
    <row r="225" spans="1:13">
      <c r="A225" s="2" t="s">
        <v>1074</v>
      </c>
      <c r="B225" s="2" t="s">
        <v>1032</v>
      </c>
      <c r="D225" s="14"/>
      <c r="E225" s="14"/>
      <c r="F225" s="14"/>
      <c r="G225" s="14"/>
      <c r="H225" s="14"/>
      <c r="I225" s="73" t="s">
        <v>1075</v>
      </c>
    </row>
    <row r="226" spans="1:13">
      <c r="A226" s="2" t="s">
        <v>761</v>
      </c>
      <c r="B226" s="2" t="s">
        <v>1032</v>
      </c>
      <c r="D226" s="101" t="s">
        <v>1076</v>
      </c>
      <c r="E226" s="101" t="s">
        <v>1077</v>
      </c>
      <c r="F226" s="14"/>
      <c r="G226" s="14"/>
      <c r="H226" s="14"/>
      <c r="I226" s="14"/>
    </row>
    <row r="227" spans="1:13">
      <c r="A227" s="2" t="s">
        <v>870</v>
      </c>
      <c r="B227" s="2" t="s">
        <v>1032</v>
      </c>
      <c r="D227" s="70" t="s">
        <v>1078</v>
      </c>
      <c r="E227" s="70" t="s">
        <v>1079</v>
      </c>
      <c r="F227" s="14"/>
      <c r="G227" s="14"/>
      <c r="H227" s="14"/>
      <c r="I227" s="14"/>
    </row>
    <row r="228" spans="1:13">
      <c r="A228" s="2" t="s">
        <v>955</v>
      </c>
      <c r="B228" s="2" t="s">
        <v>1032</v>
      </c>
      <c r="C228" s="2">
        <v>19</v>
      </c>
      <c r="D228" s="70" t="s">
        <v>1080</v>
      </c>
      <c r="E228" s="70" t="s">
        <v>1081</v>
      </c>
      <c r="F228" s="14"/>
      <c r="G228" s="14"/>
      <c r="H228" s="14"/>
      <c r="I228" s="14"/>
    </row>
    <row r="229" spans="1:1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spans="1:13">
      <c r="A230" s="2" t="s">
        <v>690</v>
      </c>
      <c r="B230" s="2" t="s">
        <v>1082</v>
      </c>
      <c r="D230" s="42" t="s">
        <v>644</v>
      </c>
      <c r="E230" s="43" t="s">
        <v>645</v>
      </c>
      <c r="F230" s="43" t="s">
        <v>646</v>
      </c>
      <c r="G230" s="43" t="s">
        <v>647</v>
      </c>
      <c r="H230" s="43" t="s">
        <v>723</v>
      </c>
      <c r="I230" s="43" t="s">
        <v>724</v>
      </c>
    </row>
    <row r="231" spans="1:13">
      <c r="A231" s="2" t="s">
        <v>726</v>
      </c>
      <c r="B231" s="2" t="s">
        <v>1082</v>
      </c>
      <c r="D231" s="44" t="s">
        <v>1083</v>
      </c>
      <c r="E231" s="1" t="s">
        <v>1084</v>
      </c>
      <c r="F231" s="1" t="s">
        <v>1085</v>
      </c>
      <c r="G231" s="1" t="s">
        <v>1086</v>
      </c>
      <c r="H231" s="1" t="s">
        <v>1087</v>
      </c>
      <c r="I231" s="1" t="s">
        <v>1088</v>
      </c>
    </row>
    <row r="232" spans="1:13">
      <c r="A232" s="2" t="s">
        <v>1089</v>
      </c>
      <c r="B232" s="2" t="s">
        <v>1082</v>
      </c>
      <c r="D232" s="44" t="s">
        <v>1090</v>
      </c>
      <c r="E232" s="1" t="s">
        <v>1091</v>
      </c>
      <c r="F232" s="1" t="s">
        <v>1092</v>
      </c>
      <c r="G232" s="1" t="s">
        <v>1093</v>
      </c>
      <c r="H232" s="1" t="s">
        <v>1094</v>
      </c>
      <c r="I232" s="1" t="s">
        <v>1095</v>
      </c>
    </row>
    <row r="233" spans="1:13">
      <c r="A233" s="2" t="s">
        <v>1096</v>
      </c>
      <c r="B233" s="2" t="s">
        <v>1082</v>
      </c>
      <c r="D233" s="44" t="s">
        <v>1097</v>
      </c>
      <c r="E233" s="1" t="s">
        <v>1098</v>
      </c>
      <c r="F233" s="1" t="s">
        <v>814</v>
      </c>
      <c r="G233" s="1" t="s">
        <v>1099</v>
      </c>
      <c r="H233" s="1" t="s">
        <v>1100</v>
      </c>
      <c r="I233" s="1" t="s">
        <v>1101</v>
      </c>
    </row>
    <row r="234" spans="1:13" ht="15" customHeight="1">
      <c r="A234" s="2" t="s">
        <v>691</v>
      </c>
      <c r="B234" s="2" t="s">
        <v>1082</v>
      </c>
      <c r="D234" s="44"/>
      <c r="E234" s="1"/>
      <c r="F234" s="1"/>
      <c r="G234" s="1"/>
      <c r="H234" s="1"/>
      <c r="I234" s="1"/>
    </row>
    <row r="235" spans="1:13">
      <c r="A235" s="2" t="s">
        <v>962</v>
      </c>
      <c r="B235" s="2" t="s">
        <v>1082</v>
      </c>
      <c r="D235" s="42" t="s">
        <v>644</v>
      </c>
      <c r="E235" s="43" t="s">
        <v>645</v>
      </c>
      <c r="F235" s="43" t="s">
        <v>646</v>
      </c>
      <c r="G235" s="43" t="s">
        <v>647</v>
      </c>
      <c r="H235" s="43" t="s">
        <v>723</v>
      </c>
      <c r="I235" s="43" t="s">
        <v>724</v>
      </c>
    </row>
    <row r="236" spans="1:13">
      <c r="A236" s="2" t="s">
        <v>675</v>
      </c>
      <c r="B236" s="2" t="s">
        <v>1082</v>
      </c>
      <c r="D236" s="1">
        <v>1</v>
      </c>
      <c r="E236" s="1">
        <v>4</v>
      </c>
      <c r="F236" s="1">
        <v>5</v>
      </c>
      <c r="G236" s="1">
        <v>2</v>
      </c>
      <c r="H236" s="1">
        <v>3</v>
      </c>
      <c r="I236" s="1">
        <v>6</v>
      </c>
    </row>
    <row r="237" spans="1:13">
      <c r="A237" s="2" t="s">
        <v>1102</v>
      </c>
      <c r="B237" s="2" t="s">
        <v>1082</v>
      </c>
      <c r="D237" s="1">
        <v>12</v>
      </c>
      <c r="E237" s="1">
        <v>9</v>
      </c>
      <c r="F237" s="1">
        <v>8</v>
      </c>
      <c r="G237" s="1">
        <v>11</v>
      </c>
      <c r="H237" s="1">
        <v>10</v>
      </c>
      <c r="I237" s="1">
        <v>7</v>
      </c>
    </row>
    <row r="238" spans="1:13">
      <c r="A238" s="2" t="s">
        <v>452</v>
      </c>
      <c r="B238" s="2" t="s">
        <v>1082</v>
      </c>
      <c r="D238" s="1">
        <v>13</v>
      </c>
      <c r="E238" s="1">
        <v>16</v>
      </c>
      <c r="F238" s="1">
        <v>17</v>
      </c>
      <c r="G238" s="1">
        <v>14</v>
      </c>
      <c r="H238" s="1">
        <v>15</v>
      </c>
      <c r="I238" s="1">
        <v>18</v>
      </c>
    </row>
    <row r="239" spans="1:13">
      <c r="A239" s="2" t="s">
        <v>772</v>
      </c>
      <c r="B239" s="2" t="s">
        <v>1082</v>
      </c>
      <c r="D239" s="1"/>
      <c r="E239" s="43"/>
      <c r="F239" s="1"/>
      <c r="G239" s="43"/>
      <c r="H239" s="43"/>
      <c r="I239" s="43"/>
    </row>
    <row r="240" spans="1:13">
      <c r="A240" s="2" t="s">
        <v>703</v>
      </c>
      <c r="B240" s="2" t="s">
        <v>1082</v>
      </c>
      <c r="D240" s="42" t="s">
        <v>842</v>
      </c>
      <c r="E240" s="43" t="s">
        <v>843</v>
      </c>
      <c r="F240" s="43" t="s">
        <v>844</v>
      </c>
      <c r="G240" s="43" t="s">
        <v>845</v>
      </c>
      <c r="H240" s="43" t="s">
        <v>846</v>
      </c>
      <c r="I240" s="43" t="s">
        <v>847</v>
      </c>
    </row>
    <row r="241" spans="1:13">
      <c r="A241" s="2" t="s">
        <v>861</v>
      </c>
      <c r="B241" s="2" t="s">
        <v>1082</v>
      </c>
      <c r="D241" s="1" t="s">
        <v>848</v>
      </c>
      <c r="E241" s="1" t="s">
        <v>849</v>
      </c>
      <c r="F241" s="1" t="s">
        <v>850</v>
      </c>
      <c r="G241" s="1" t="s">
        <v>851</v>
      </c>
      <c r="H241" s="1" t="s">
        <v>852</v>
      </c>
      <c r="I241" s="1" t="s">
        <v>853</v>
      </c>
    </row>
    <row r="242" spans="1:13">
      <c r="A242" s="2" t="s">
        <v>1030</v>
      </c>
      <c r="B242" s="2" t="s">
        <v>1082</v>
      </c>
      <c r="D242" s="1" t="s">
        <v>855</v>
      </c>
      <c r="E242" s="1" t="s">
        <v>856</v>
      </c>
      <c r="F242" s="1" t="s">
        <v>857</v>
      </c>
      <c r="G242" s="1" t="s">
        <v>858</v>
      </c>
      <c r="H242" s="1" t="s">
        <v>859</v>
      </c>
      <c r="I242" s="1" t="s">
        <v>860</v>
      </c>
    </row>
    <row r="243" spans="1:13">
      <c r="A243" s="2" t="s">
        <v>1103</v>
      </c>
      <c r="B243" s="2" t="s">
        <v>1082</v>
      </c>
      <c r="D243" s="1" t="s">
        <v>862</v>
      </c>
      <c r="E243" s="1" t="s">
        <v>863</v>
      </c>
      <c r="F243" s="1" t="s">
        <v>864</v>
      </c>
      <c r="G243" s="1" t="s">
        <v>865</v>
      </c>
      <c r="H243" s="1" t="s">
        <v>866</v>
      </c>
      <c r="I243" s="1" t="s">
        <v>867</v>
      </c>
    </row>
    <row r="244" spans="1:13">
      <c r="A244" s="2" t="s">
        <v>231</v>
      </c>
      <c r="B244" s="2" t="s">
        <v>1082</v>
      </c>
    </row>
    <row r="245" spans="1:13">
      <c r="A245" s="2" t="s">
        <v>817</v>
      </c>
      <c r="B245" s="2" t="s">
        <v>1082</v>
      </c>
    </row>
    <row r="246" spans="1:13">
      <c r="A246" s="2" t="s">
        <v>1001</v>
      </c>
      <c r="B246" s="2" t="s">
        <v>1082</v>
      </c>
    </row>
    <row r="247" spans="1:13">
      <c r="A247" s="2" t="s">
        <v>1002</v>
      </c>
      <c r="B247" s="2" t="s">
        <v>1082</v>
      </c>
      <c r="C247" s="2">
        <v>18</v>
      </c>
    </row>
    <row r="248" spans="1:1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spans="1:13">
      <c r="A249" s="2" t="s">
        <v>1104</v>
      </c>
      <c r="B249" s="2" t="s">
        <v>1105</v>
      </c>
      <c r="D249" s="8" t="s">
        <v>644</v>
      </c>
      <c r="E249" s="8" t="s">
        <v>645</v>
      </c>
    </row>
    <row r="250" spans="1:13">
      <c r="A250" s="2" t="s">
        <v>1106</v>
      </c>
      <c r="B250" s="2" t="s">
        <v>1105</v>
      </c>
      <c r="D250" s="37" t="s">
        <v>1107</v>
      </c>
      <c r="E250" s="2" t="s">
        <v>1108</v>
      </c>
      <c r="F250" s="38" t="s">
        <v>1109</v>
      </c>
    </row>
    <row r="251" spans="1:13">
      <c r="A251" s="2" t="s">
        <v>1110</v>
      </c>
      <c r="B251" s="2" t="s">
        <v>1105</v>
      </c>
      <c r="D251" s="39" t="s">
        <v>1111</v>
      </c>
      <c r="E251" s="2" t="s">
        <v>1112</v>
      </c>
      <c r="F251" s="40"/>
    </row>
    <row r="252" spans="1:13">
      <c r="A252" s="2" t="s">
        <v>1029</v>
      </c>
      <c r="B252" s="2" t="s">
        <v>1105</v>
      </c>
      <c r="D252" s="39" t="s">
        <v>1113</v>
      </c>
      <c r="E252" s="41" t="s">
        <v>1114</v>
      </c>
      <c r="F252" s="38" t="s">
        <v>1109</v>
      </c>
    </row>
    <row r="253" spans="1:13">
      <c r="A253" s="2" t="s">
        <v>224</v>
      </c>
      <c r="B253" s="2" t="s">
        <v>1105</v>
      </c>
    </row>
    <row r="254" spans="1:13">
      <c r="A254" s="2" t="s">
        <v>952</v>
      </c>
      <c r="B254" s="2" t="s">
        <v>1105</v>
      </c>
      <c r="C254" s="2">
        <v>6</v>
      </c>
    </row>
    <row r="255" spans="1:1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 spans="1:13">
      <c r="A256" s="2" t="s">
        <v>820</v>
      </c>
      <c r="B256" s="2" t="s">
        <v>1115</v>
      </c>
      <c r="D256" s="8" t="s">
        <v>644</v>
      </c>
      <c r="E256" s="8" t="s">
        <v>645</v>
      </c>
      <c r="F256" s="8" t="s">
        <v>646</v>
      </c>
      <c r="G256" s="8" t="s">
        <v>647</v>
      </c>
    </row>
    <row r="257" spans="1:13">
      <c r="A257" s="2" t="s">
        <v>1033</v>
      </c>
      <c r="B257" s="2" t="s">
        <v>1115</v>
      </c>
      <c r="D257" s="2" t="s">
        <v>1116</v>
      </c>
      <c r="E257" s="2" t="s">
        <v>1117</v>
      </c>
      <c r="F257" s="2" t="s">
        <v>1118</v>
      </c>
      <c r="G257" s="2" t="s">
        <v>1119</v>
      </c>
    </row>
    <row r="258" spans="1:13">
      <c r="A258" s="2" t="s">
        <v>1120</v>
      </c>
      <c r="B258" s="2" t="s">
        <v>1115</v>
      </c>
      <c r="D258" s="2" t="s">
        <v>1121</v>
      </c>
      <c r="E258" s="2" t="s">
        <v>1122</v>
      </c>
      <c r="F258" s="2" t="s">
        <v>1123</v>
      </c>
      <c r="G258" s="2" t="s">
        <v>1124</v>
      </c>
    </row>
    <row r="259" spans="1:13">
      <c r="A259" s="2" t="s">
        <v>1125</v>
      </c>
      <c r="B259" s="2" t="s">
        <v>1115</v>
      </c>
      <c r="D259" s="2" t="s">
        <v>1126</v>
      </c>
      <c r="E259" s="2" t="s">
        <v>1127</v>
      </c>
      <c r="F259" s="2" t="s">
        <v>1128</v>
      </c>
      <c r="G259" s="2" t="s">
        <v>1129</v>
      </c>
    </row>
    <row r="260" spans="1:13">
      <c r="A260" s="2" t="s">
        <v>890</v>
      </c>
      <c r="B260" s="2" t="s">
        <v>1115</v>
      </c>
      <c r="D260" s="2" t="s">
        <v>1130</v>
      </c>
      <c r="E260" s="2" t="s">
        <v>1131</v>
      </c>
      <c r="F260" s="2" t="s">
        <v>1132</v>
      </c>
      <c r="G260" s="2" t="s">
        <v>1133</v>
      </c>
    </row>
    <row r="261" spans="1:13">
      <c r="A261" s="2" t="s">
        <v>453</v>
      </c>
      <c r="B261" s="2" t="s">
        <v>1115</v>
      </c>
    </row>
    <row r="262" spans="1:13">
      <c r="A262" s="2" t="s">
        <v>1134</v>
      </c>
      <c r="B262" s="2" t="s">
        <v>1115</v>
      </c>
    </row>
    <row r="263" spans="1:13">
      <c r="A263" s="2" t="s">
        <v>755</v>
      </c>
      <c r="B263" s="2" t="s">
        <v>1115</v>
      </c>
    </row>
    <row r="264" spans="1:13">
      <c r="A264" s="2" t="s">
        <v>1135</v>
      </c>
      <c r="B264" s="2" t="s">
        <v>1115</v>
      </c>
    </row>
    <row r="265" spans="1:13">
      <c r="A265" s="2" t="s">
        <v>1028</v>
      </c>
      <c r="B265" s="2" t="s">
        <v>1115</v>
      </c>
    </row>
    <row r="266" spans="1:13">
      <c r="A266" s="2" t="s">
        <v>802</v>
      </c>
      <c r="B266" s="2" t="s">
        <v>1115</v>
      </c>
    </row>
    <row r="267" spans="1:13">
      <c r="A267" s="2" t="s">
        <v>684</v>
      </c>
      <c r="B267" s="2" t="s">
        <v>1115</v>
      </c>
    </row>
    <row r="268" spans="1:13">
      <c r="A268" s="2" t="s">
        <v>803</v>
      </c>
      <c r="B268" s="2" t="s">
        <v>1115</v>
      </c>
    </row>
    <row r="269" spans="1:13">
      <c r="A269" s="2" t="s">
        <v>484</v>
      </c>
      <c r="B269" s="2" t="s">
        <v>1115</v>
      </c>
    </row>
    <row r="270" spans="1:13">
      <c r="A270" s="2" t="s">
        <v>955</v>
      </c>
      <c r="B270" s="2" t="s">
        <v>1115</v>
      </c>
    </row>
    <row r="271" spans="1:13">
      <c r="A271" s="2" t="s">
        <v>1031</v>
      </c>
      <c r="B271" s="2" t="s">
        <v>1115</v>
      </c>
      <c r="C271" s="12">
        <v>16</v>
      </c>
    </row>
    <row r="272" spans="1:1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spans="1:13">
      <c r="A273" s="2" t="s">
        <v>726</v>
      </c>
      <c r="B273" s="2" t="s">
        <v>1136</v>
      </c>
      <c r="D273" s="60" t="s">
        <v>644</v>
      </c>
      <c r="E273" s="60" t="s">
        <v>645</v>
      </c>
      <c r="F273" s="61" t="s">
        <v>646</v>
      </c>
      <c r="G273" s="61" t="s">
        <v>647</v>
      </c>
      <c r="H273" s="61" t="s">
        <v>723</v>
      </c>
      <c r="I273" s="62" t="s">
        <v>724</v>
      </c>
      <c r="J273" s="63" t="s">
        <v>729</v>
      </c>
      <c r="K273" s="63" t="s">
        <v>730</v>
      </c>
      <c r="L273" s="49">
        <v>17</v>
      </c>
      <c r="M273" s="50" t="s">
        <v>872</v>
      </c>
    </row>
    <row r="274" spans="1:13">
      <c r="A274" s="2" t="s">
        <v>1137</v>
      </c>
      <c r="B274" s="2" t="s">
        <v>1136</v>
      </c>
      <c r="D274" s="60">
        <v>1</v>
      </c>
      <c r="E274" s="60">
        <v>4</v>
      </c>
      <c r="F274" s="61">
        <v>5</v>
      </c>
      <c r="G274" s="61">
        <v>8</v>
      </c>
      <c r="H274" s="61">
        <v>2</v>
      </c>
      <c r="I274" s="62">
        <v>3</v>
      </c>
      <c r="J274" s="64">
        <v>6</v>
      </c>
      <c r="K274" s="64">
        <v>7</v>
      </c>
      <c r="L274" s="49">
        <v>18</v>
      </c>
      <c r="M274" s="50" t="s">
        <v>873</v>
      </c>
    </row>
    <row r="275" spans="1:13">
      <c r="A275" s="2" t="s">
        <v>694</v>
      </c>
      <c r="B275" s="2" t="s">
        <v>1136</v>
      </c>
      <c r="D275" s="60">
        <v>16</v>
      </c>
      <c r="E275" s="60">
        <v>13</v>
      </c>
      <c r="F275" s="61">
        <v>12</v>
      </c>
      <c r="G275" s="61">
        <v>9</v>
      </c>
      <c r="H275" s="61">
        <v>15</v>
      </c>
      <c r="I275" s="62">
        <v>14</v>
      </c>
      <c r="J275" s="64">
        <v>11</v>
      </c>
      <c r="K275" s="64">
        <v>10</v>
      </c>
      <c r="L275" s="49">
        <v>19</v>
      </c>
      <c r="M275" s="50" t="s">
        <v>874</v>
      </c>
    </row>
    <row r="276" spans="1:13">
      <c r="A276" s="2" t="s">
        <v>1138</v>
      </c>
      <c r="B276" s="2" t="s">
        <v>1136</v>
      </c>
      <c r="D276" s="60">
        <v>17</v>
      </c>
      <c r="E276" s="60">
        <v>20</v>
      </c>
      <c r="F276" s="61">
        <v>21</v>
      </c>
      <c r="G276" s="61">
        <v>24</v>
      </c>
      <c r="H276" s="61">
        <v>18</v>
      </c>
      <c r="I276" s="62">
        <v>19</v>
      </c>
      <c r="J276" s="64">
        <v>22</v>
      </c>
      <c r="K276" s="64">
        <v>23</v>
      </c>
      <c r="L276" s="49">
        <v>20</v>
      </c>
      <c r="M276" s="50" t="s">
        <v>876</v>
      </c>
    </row>
    <row r="277" spans="1:13" ht="15" customHeight="1">
      <c r="A277" s="2" t="s">
        <v>1139</v>
      </c>
      <c r="B277" s="2" t="s">
        <v>1136</v>
      </c>
      <c r="G277" s="61">
        <v>25</v>
      </c>
      <c r="J277" s="64">
        <v>27</v>
      </c>
      <c r="K277" s="64">
        <v>26</v>
      </c>
      <c r="L277" s="49">
        <v>21</v>
      </c>
      <c r="M277" s="50" t="s">
        <v>877</v>
      </c>
    </row>
    <row r="278" spans="1:13" ht="15" customHeight="1">
      <c r="A278" s="2" t="s">
        <v>672</v>
      </c>
      <c r="B278" s="2" t="s">
        <v>1136</v>
      </c>
      <c r="L278" s="49">
        <v>22</v>
      </c>
      <c r="M278" s="50" t="s">
        <v>879</v>
      </c>
    </row>
    <row r="279" spans="1:13">
      <c r="A279" s="2" t="s">
        <v>878</v>
      </c>
      <c r="B279" s="2" t="s">
        <v>1136</v>
      </c>
      <c r="D279" s="60" t="s">
        <v>644</v>
      </c>
      <c r="E279" s="60" t="s">
        <v>645</v>
      </c>
      <c r="F279" s="61" t="s">
        <v>646</v>
      </c>
      <c r="G279" s="61" t="s">
        <v>647</v>
      </c>
      <c r="H279" s="61" t="s">
        <v>723</v>
      </c>
      <c r="I279" s="62" t="s">
        <v>724</v>
      </c>
      <c r="J279" s="63" t="s">
        <v>729</v>
      </c>
      <c r="K279" s="63" t="s">
        <v>730</v>
      </c>
      <c r="L279" s="49">
        <v>23</v>
      </c>
      <c r="M279" s="50" t="s">
        <v>880</v>
      </c>
    </row>
    <row r="280" spans="1:13">
      <c r="A280" s="2" t="s">
        <v>1140</v>
      </c>
      <c r="B280" s="2" t="s">
        <v>1136</v>
      </c>
      <c r="D280" s="60" t="s">
        <v>1141</v>
      </c>
      <c r="E280" s="60" t="s">
        <v>1142</v>
      </c>
      <c r="F280" s="61" t="s">
        <v>1143</v>
      </c>
      <c r="G280" s="61" t="s">
        <v>1144</v>
      </c>
      <c r="H280" s="61" t="s">
        <v>1145</v>
      </c>
      <c r="I280" s="62" t="s">
        <v>1146</v>
      </c>
      <c r="J280" s="64" t="s">
        <v>1147</v>
      </c>
      <c r="K280" s="64" t="s">
        <v>1148</v>
      </c>
      <c r="L280" s="49">
        <v>24</v>
      </c>
      <c r="M280" s="50" t="s">
        <v>889</v>
      </c>
    </row>
    <row r="281" spans="1:13">
      <c r="A281" s="2" t="s">
        <v>675</v>
      </c>
      <c r="B281" s="2" t="s">
        <v>1136</v>
      </c>
      <c r="D281" s="60" t="s">
        <v>1149</v>
      </c>
      <c r="E281" s="60" t="s">
        <v>1150</v>
      </c>
      <c r="F281" s="61" t="s">
        <v>1151</v>
      </c>
      <c r="G281" s="61" t="s">
        <v>1152</v>
      </c>
      <c r="H281" s="61" t="s">
        <v>1153</v>
      </c>
      <c r="I281" s="62" t="s">
        <v>1154</v>
      </c>
      <c r="J281" s="64" t="s">
        <v>1155</v>
      </c>
      <c r="K281" s="64" t="s">
        <v>1156</v>
      </c>
      <c r="L281" s="49">
        <v>25</v>
      </c>
      <c r="M281" s="50" t="s">
        <v>899</v>
      </c>
    </row>
    <row r="282" spans="1:13">
      <c r="A282" s="2" t="s">
        <v>1157</v>
      </c>
      <c r="B282" s="2" t="s">
        <v>1136</v>
      </c>
      <c r="D282" s="60" t="s">
        <v>1158</v>
      </c>
      <c r="E282" s="60" t="s">
        <v>1159</v>
      </c>
      <c r="F282" s="61" t="s">
        <v>1160</v>
      </c>
      <c r="G282" s="61" t="s">
        <v>1161</v>
      </c>
      <c r="H282" s="61" t="s">
        <v>1162</v>
      </c>
      <c r="I282" s="62" t="s">
        <v>1163</v>
      </c>
      <c r="J282" s="64" t="s">
        <v>1164</v>
      </c>
      <c r="K282" s="64" t="s">
        <v>1165</v>
      </c>
      <c r="L282" s="49">
        <v>26</v>
      </c>
      <c r="M282" s="50" t="s">
        <v>909</v>
      </c>
    </row>
    <row r="283" spans="1:13">
      <c r="A283" s="2" t="s">
        <v>452</v>
      </c>
      <c r="B283" s="2" t="s">
        <v>1136</v>
      </c>
      <c r="D283" s="2" t="s">
        <v>910</v>
      </c>
      <c r="E283" s="2" t="s">
        <v>910</v>
      </c>
      <c r="F283" s="2" t="s">
        <v>910</v>
      </c>
      <c r="G283" s="61" t="s">
        <v>1166</v>
      </c>
      <c r="H283" s="2" t="s">
        <v>910</v>
      </c>
      <c r="I283" s="2" t="s">
        <v>910</v>
      </c>
      <c r="J283" s="64" t="s">
        <v>1167</v>
      </c>
      <c r="K283" s="64" t="s">
        <v>1168</v>
      </c>
      <c r="L283" s="49">
        <v>27</v>
      </c>
      <c r="M283" s="53" t="s">
        <v>1169</v>
      </c>
    </row>
    <row r="284" spans="1:13">
      <c r="A284" s="2" t="s">
        <v>772</v>
      </c>
      <c r="B284" s="2" t="s">
        <v>1136</v>
      </c>
      <c r="L284" s="54"/>
      <c r="M284" s="54"/>
    </row>
    <row r="285" spans="1:13">
      <c r="A285" s="2" t="s">
        <v>1027</v>
      </c>
      <c r="B285" s="2" t="s">
        <v>1136</v>
      </c>
      <c r="D285" s="65" t="s">
        <v>1170</v>
      </c>
      <c r="E285" s="65" t="s">
        <v>1171</v>
      </c>
      <c r="F285" s="66" t="s">
        <v>1172</v>
      </c>
      <c r="G285" s="66" t="s">
        <v>1173</v>
      </c>
      <c r="H285" s="67" t="s">
        <v>1174</v>
      </c>
      <c r="I285" s="67" t="s">
        <v>1175</v>
      </c>
      <c r="J285" s="67" t="s">
        <v>1176</v>
      </c>
      <c r="L285" s="54"/>
      <c r="M285" s="54"/>
    </row>
    <row r="286" spans="1:13">
      <c r="A286" s="2" t="s">
        <v>257</v>
      </c>
      <c r="B286" s="2" t="s">
        <v>1136</v>
      </c>
      <c r="D286" s="65" t="s">
        <v>920</v>
      </c>
      <c r="E286" s="65" t="s">
        <v>921</v>
      </c>
      <c r="F286" s="68" t="s">
        <v>922</v>
      </c>
      <c r="G286" s="68" t="s">
        <v>923</v>
      </c>
      <c r="H286" s="41" t="s">
        <v>924</v>
      </c>
      <c r="I286" s="41" t="s">
        <v>925</v>
      </c>
      <c r="J286" s="41" t="s">
        <v>926</v>
      </c>
      <c r="L286" s="54"/>
      <c r="M286" s="54"/>
    </row>
    <row r="287" spans="1:13">
      <c r="A287" s="2" t="s">
        <v>681</v>
      </c>
      <c r="B287" s="2" t="s">
        <v>1136</v>
      </c>
      <c r="D287" s="65" t="s">
        <v>927</v>
      </c>
      <c r="E287" s="65" t="s">
        <v>928</v>
      </c>
      <c r="F287" s="68" t="s">
        <v>929</v>
      </c>
      <c r="G287" s="68" t="s">
        <v>930</v>
      </c>
      <c r="H287" s="41" t="str">
        <f>IF(I321="","N2(3rdG)",IF(I321&gt;K321,_xlfn.CONCAT("N2(3rdG)-",RIGHT(H321,LEN(H321) - FIND("-",H321))), _xlfn.CONCAT("N2(3rdG)-",RIGHT(J321,LEN(J321) - FIND("-",J321)))))</f>
        <v>N2(3rdG)</v>
      </c>
      <c r="I287" s="41" t="s">
        <v>932</v>
      </c>
      <c r="J287" s="41" t="s">
        <v>933</v>
      </c>
      <c r="L287" s="54"/>
      <c r="M287" s="54"/>
    </row>
    <row r="288" spans="1:13">
      <c r="A288" s="2" t="s">
        <v>841</v>
      </c>
      <c r="B288" s="2" t="s">
        <v>1136</v>
      </c>
      <c r="D288" s="65" t="s">
        <v>934</v>
      </c>
      <c r="E288" s="65" t="str">
        <f>IF(I320="","K3(1stG)",IF(I320&gt;K320,_xlfn.CONCAT("K3(1stG)-",RIGHT(H320,LEN(H320) - FIND("-",H320))), _xlfn.CONCAT("K3(1stG)-",RIGHT(J320,LEN(J320) - FIND("-",J320)))))</f>
        <v>K3(1stG)</v>
      </c>
      <c r="F288" s="68" t="s">
        <v>936</v>
      </c>
      <c r="G288" s="68" t="str">
        <f>IF(I320="","M3(2ndG)",IF(I320&lt;K320,_xlfn.CONCAT("M3(2ndG)-",RIGHT(H320,LEN(H320) - FIND("-",H320))), _xlfn.CONCAT("M3(2ndG)-",RIGHT(J320,LEN(J320) - FIND("-",J320)))))</f>
        <v>M3(2ndG)</v>
      </c>
      <c r="H288" s="41" t="str">
        <f>IF(I326="","N2(3rdH)",IF(I326&gt;K326,_xlfn.CONCAT("N2(3rdH)-",RIGHT(H326,LEN(H326) - FIND("-",H326))), _xlfn.CONCAT("N2(3rdH)-",RIGHT(J326,LEN(J326) - FIND("-",J326)))))</f>
        <v>N2(3rdH)</v>
      </c>
      <c r="I288" s="41" t="str">
        <f>IF(I305="","O2(3rdD)",IF(I305&gt;K305,_xlfn.CONCAT("O2(3rdD)-",RIGHT(H305,LEN(H305) - FIND("-",H305))), _xlfn.CONCAT("O2(3rdD)-",RIGHT(J305,LEN(J305) - FIND("-",J305)))))</f>
        <v>O2(3rdD)</v>
      </c>
      <c r="J288" s="41" t="str">
        <f>IF(I305="","P3(4thD)",IF(I305&lt;K305,_xlfn.CONCAT("P3(4thD)-",RIGHT(H305,LEN(H305) - FIND("-",H305))), _xlfn.CONCAT("P3(4thD)-",RIGHT(J305,LEN(J305) - FIND("-",J305)))))</f>
        <v>P3(4thD)</v>
      </c>
      <c r="L288" s="54"/>
      <c r="M288" s="54"/>
    </row>
    <row r="289" spans="1:15">
      <c r="A289" s="2" t="s">
        <v>1177</v>
      </c>
      <c r="B289" s="2" t="s">
        <v>1136</v>
      </c>
      <c r="D289" s="65" t="str">
        <f>IF(I304="","J4(1stD)",IF(I304&gt;K304,_xlfn.CONCAT("J4(1stD)-",RIGHT(H304,LEN(H304) - FIND("-",H304))), _xlfn.CONCAT("J4(1stD)-",RIGHT(J304,LEN(J304) - FIND("-",J304)))))</f>
        <v>J4(1stD)</v>
      </c>
      <c r="E289" s="65" t="str">
        <f>IF(I322="","K4(1stH)",IF(I322&gt;K322,_xlfn.CONCAT("K4(1stH)-",RIGHT(H322,LEN(H322) - FIND("-",H322))), _xlfn.CONCAT("K4(1stH)-",RIGHT(J322,LEN(J322) - FIND("-",J322)))))</f>
        <v>K4(1stH)</v>
      </c>
      <c r="F289" s="68" t="str">
        <f>IF(I304="","L4(2ndD)",IF(I304&lt;K304,_xlfn.CONCAT("L4(2ndD)-",RIGHT(H304,LEN(H304) - FIND("-",H304))), _xlfn.CONCAT("L4(2ndD)-",RIGHT(J304,LEN(J304) - FIND("-",J304)))))</f>
        <v>L4(2ndD)</v>
      </c>
      <c r="G289" s="68" t="str">
        <f>IF(I322="","M4(2ndH)",IF(I322&lt;K322,_xlfn.CONCAT("M4(2ndH)-",RIGHT(H322,LEN(H322) - FIND("-",H322))), _xlfn.CONCAT("M4(2ndH)-",RIGHT(J322,LEN(J322) - FIND("-",J322)))))</f>
        <v>M4(2ndH)</v>
      </c>
      <c r="I289" s="41" t="str">
        <f>IF(I321="","O3(4thG)",IF(I321&lt;K321,_xlfn.CONCAT("O3(4thG)-",RIGHT(H321,LEN(H321) - FIND("-",H321))), _xlfn.CONCAT("O3(4thG)-",RIGHT(J321,LEN(J321) - FIND("-",J321)))))</f>
        <v>O3(4thG)</v>
      </c>
      <c r="J289" s="41" t="str">
        <f>IF(I326="","P3(4thH)",IF(I326&lt;K326,_xlfn.CONCAT("P3(4thH)-",RIGHT(H326,LEN(H326) - FIND("-",H326))), _xlfn.CONCAT("P3(4thH)-",RIGHT(J326,LEN(J326) - FIND("-",J326)))))</f>
        <v>P3(4thH)</v>
      </c>
      <c r="L289" s="54"/>
      <c r="M289" s="54"/>
    </row>
    <row r="290" spans="1:15" ht="18.75">
      <c r="A290" s="2" t="s">
        <v>1066</v>
      </c>
      <c r="B290" s="2" t="s">
        <v>1136</v>
      </c>
      <c r="F290" s="59"/>
      <c r="H290" s="2">
        <v>17</v>
      </c>
      <c r="I290" s="2">
        <v>18</v>
      </c>
      <c r="J290" s="2">
        <v>19</v>
      </c>
      <c r="L290" s="54"/>
      <c r="M290" s="54"/>
    </row>
    <row r="291" spans="1:15">
      <c r="A291" s="2" t="s">
        <v>861</v>
      </c>
      <c r="B291" s="2" t="s">
        <v>1136</v>
      </c>
      <c r="D291" s="65" t="s">
        <v>946</v>
      </c>
      <c r="E291" s="65" t="s">
        <v>947</v>
      </c>
      <c r="H291" s="2">
        <v>22</v>
      </c>
      <c r="I291" s="2">
        <v>21</v>
      </c>
      <c r="J291" s="2">
        <v>20</v>
      </c>
      <c r="L291" s="54"/>
      <c r="M291" s="54"/>
    </row>
    <row r="292" spans="1:15">
      <c r="A292" s="2" t="s">
        <v>1030</v>
      </c>
      <c r="B292" s="2" t="s">
        <v>1136</v>
      </c>
      <c r="D292" s="65" t="str">
        <f>IF(I335="","Q1(2ndJ)",IF(I335&lt;K335,_xlfn.CONCAT("Q1(2ndJ)-",RIGHT(H335,LEN(H335) - FIND("-",H335))), _xlfn.CONCAT("Q1(2ndJ)-",RIGHT(J335,LEN(J335) - FIND("-",J335)))))</f>
        <v>Q1(2ndJ)</v>
      </c>
      <c r="E292" s="65" t="str">
        <f>IF(I335="","R1(1stJ)",IF(I335&gt;K335,_xlfn.CONCAT("R1(1stJ)-",RIGHT(H335,LEN(H335) - FIND("-",H335))), _xlfn.CONCAT("R1(1stJ)-",RIGHT(J335,LEN(J335) - FIND("-",J335)))))</f>
        <v>R1(1stJ)</v>
      </c>
      <c r="H292" s="2">
        <v>23</v>
      </c>
      <c r="I292" s="2">
        <v>24</v>
      </c>
      <c r="J292" s="2">
        <v>25</v>
      </c>
      <c r="L292" s="54"/>
      <c r="M292" s="54"/>
    </row>
    <row r="293" spans="1:15">
      <c r="A293" s="2" t="s">
        <v>1178</v>
      </c>
      <c r="B293" s="2" t="s">
        <v>1136</v>
      </c>
      <c r="D293" s="65" t="str">
        <f>IF(I337="","Q2(2ndK)",IF(I337&lt;K337,_xlfn.CONCAT("Q2(2ndK)-",RIGHT(H337,LEN(H337) - FIND("-",H337))), _xlfn.CONCAT("Q2(2ndK)-",RIGHT(J337,LEN(J337) - FIND("-",J337)))))</f>
        <v>Q2(2ndK)</v>
      </c>
      <c r="E293" s="65" t="str">
        <f>IF(I337="","R2(1stK)",IF(I337&gt;K337,_xlfn.CONCAT("R2(1stK)-",RIGHT(H337,LEN(H337) - FIND("-",H337))), _xlfn.CONCAT("R2(1stK)-",RIGHT(J337,LEN(J337) - FIND("-",J337)))))</f>
        <v>R2(1stK)</v>
      </c>
      <c r="I293" s="2">
        <v>27</v>
      </c>
      <c r="J293" s="2">
        <v>26</v>
      </c>
      <c r="L293" s="54"/>
      <c r="M293" s="54"/>
    </row>
    <row r="294" spans="1:15">
      <c r="A294" s="2" t="s">
        <v>231</v>
      </c>
      <c r="B294" s="2" t="s">
        <v>1136</v>
      </c>
    </row>
    <row r="295" spans="1:15">
      <c r="A295" s="2" t="s">
        <v>1103</v>
      </c>
      <c r="B295" s="2" t="s">
        <v>1136</v>
      </c>
    </row>
    <row r="296" spans="1:15">
      <c r="A296" s="2" t="s">
        <v>817</v>
      </c>
      <c r="B296" s="2" t="s">
        <v>1136</v>
      </c>
    </row>
    <row r="297" spans="1:15">
      <c r="A297" s="2" t="s">
        <v>1179</v>
      </c>
      <c r="B297" s="2" t="s">
        <v>1136</v>
      </c>
    </row>
    <row r="298" spans="1:15">
      <c r="A298" s="2" t="s">
        <v>668</v>
      </c>
      <c r="B298" s="2" t="s">
        <v>1136</v>
      </c>
    </row>
    <row r="299" spans="1:15">
      <c r="A299" s="2" t="s">
        <v>1002</v>
      </c>
      <c r="B299" s="2" t="s">
        <v>1136</v>
      </c>
      <c r="C299" s="12">
        <v>27</v>
      </c>
    </row>
    <row r="300" spans="1:1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 spans="1:15">
      <c r="C301" s="2">
        <f>SUM(C2:C300)</f>
        <v>279</v>
      </c>
    </row>
    <row r="302" spans="1:15">
      <c r="A302" s="8" t="s">
        <v>1180</v>
      </c>
      <c r="B302" s="8" t="s">
        <v>1181</v>
      </c>
      <c r="C302" s="8"/>
      <c r="D302" s="8" t="s">
        <v>1182</v>
      </c>
      <c r="E302" s="8" t="s">
        <v>1183</v>
      </c>
      <c r="F302" s="8" t="s">
        <v>1184</v>
      </c>
    </row>
    <row r="303" spans="1:15">
      <c r="A303" s="110" t="s">
        <v>629</v>
      </c>
      <c r="B303" s="110">
        <v>16</v>
      </c>
      <c r="C303" s="110"/>
      <c r="D303" s="110">
        <v>16</v>
      </c>
      <c r="E303" s="110">
        <v>16</v>
      </c>
      <c r="F303" s="110">
        <f>SUM(D303:E303)</f>
        <v>32</v>
      </c>
    </row>
    <row r="304" spans="1:15" s="9" customFormat="1">
      <c r="A304" s="91" t="s">
        <v>671</v>
      </c>
      <c r="B304" s="91">
        <v>8</v>
      </c>
      <c r="C304" s="91"/>
      <c r="D304" s="91">
        <v>8</v>
      </c>
      <c r="E304" s="91">
        <v>8</v>
      </c>
      <c r="F304" s="91">
        <f t="shared" ref="F304:F320" si="0">SUM(D304:E304)</f>
        <v>16</v>
      </c>
      <c r="G304" s="2"/>
      <c r="H304" s="2"/>
      <c r="I304" s="2"/>
      <c r="J304" s="2"/>
      <c r="K304" s="2"/>
      <c r="L304" s="2"/>
      <c r="M304" s="2"/>
      <c r="N304" s="2"/>
      <c r="O304" s="2"/>
    </row>
    <row r="305" spans="1:15" s="9" customFormat="1">
      <c r="A305" s="92" t="s">
        <v>688</v>
      </c>
      <c r="B305" s="92">
        <v>8</v>
      </c>
      <c r="C305" s="92"/>
      <c r="D305" s="92">
        <v>8</v>
      </c>
      <c r="E305" s="92">
        <v>8</v>
      </c>
      <c r="F305" s="92">
        <f t="shared" si="0"/>
        <v>16</v>
      </c>
      <c r="G305" s="2"/>
      <c r="H305" s="2"/>
      <c r="I305" s="2"/>
      <c r="J305" s="2"/>
      <c r="K305" s="2"/>
      <c r="L305" s="2"/>
      <c r="M305" s="2"/>
      <c r="N305" s="2"/>
      <c r="O305" s="2"/>
    </row>
    <row r="306" spans="1:15" s="9" customFormat="1">
      <c r="A306" s="33" t="s">
        <v>705</v>
      </c>
      <c r="B306" s="33">
        <v>12</v>
      </c>
      <c r="C306" s="33"/>
      <c r="D306" s="33">
        <v>12</v>
      </c>
      <c r="E306" s="33">
        <v>12</v>
      </c>
      <c r="F306" s="33">
        <f t="shared" si="0"/>
        <v>24</v>
      </c>
      <c r="G306" s="2"/>
      <c r="H306" s="2"/>
      <c r="I306" s="2"/>
      <c r="J306" s="2"/>
      <c r="K306" s="2"/>
      <c r="L306" s="2"/>
      <c r="M306" s="2"/>
      <c r="N306" s="2"/>
      <c r="O306" s="2"/>
    </row>
    <row r="307" spans="1:15" s="9" customFormat="1">
      <c r="A307" s="34" t="s">
        <v>722</v>
      </c>
      <c r="B307" s="34">
        <v>24</v>
      </c>
      <c r="C307" s="34"/>
      <c r="D307" s="34">
        <v>24</v>
      </c>
      <c r="E307" s="34">
        <v>26</v>
      </c>
      <c r="F307" s="34">
        <f t="shared" si="0"/>
        <v>50</v>
      </c>
      <c r="G307" s="2"/>
      <c r="H307" s="2"/>
      <c r="I307" s="2"/>
      <c r="J307" s="2"/>
      <c r="K307" s="2"/>
      <c r="L307" s="2"/>
      <c r="M307" s="2"/>
      <c r="N307" s="2"/>
      <c r="O307" s="2"/>
    </row>
    <row r="308" spans="1:15" s="9" customFormat="1">
      <c r="A308" s="94" t="s">
        <v>763</v>
      </c>
      <c r="B308" s="94">
        <v>10</v>
      </c>
      <c r="C308" s="94"/>
      <c r="D308" s="94">
        <v>10</v>
      </c>
      <c r="E308" s="94">
        <v>11</v>
      </c>
      <c r="F308" s="94">
        <f t="shared" si="0"/>
        <v>21</v>
      </c>
      <c r="G308" s="2"/>
      <c r="H308" s="2"/>
      <c r="I308" s="2"/>
      <c r="J308" s="2"/>
      <c r="K308" s="2"/>
      <c r="L308" s="2"/>
      <c r="M308" s="2"/>
      <c r="N308" s="2"/>
      <c r="O308" s="2"/>
    </row>
    <row r="309" spans="1:15" s="9" customFormat="1">
      <c r="A309" s="36" t="s">
        <v>775</v>
      </c>
      <c r="B309" s="36">
        <v>7</v>
      </c>
      <c r="C309" s="36"/>
      <c r="D309" s="36">
        <v>7</v>
      </c>
      <c r="E309" s="36">
        <v>8</v>
      </c>
      <c r="F309" s="36">
        <f t="shared" si="0"/>
        <v>15</v>
      </c>
      <c r="G309" s="2"/>
      <c r="H309" s="2"/>
      <c r="I309" s="2"/>
      <c r="J309" s="2"/>
      <c r="K309" s="2"/>
      <c r="L309" s="2"/>
      <c r="M309" s="2"/>
      <c r="N309" s="2"/>
      <c r="O309" s="2"/>
    </row>
    <row r="310" spans="1:15" s="9" customFormat="1">
      <c r="A310" s="35" t="s">
        <v>786</v>
      </c>
      <c r="B310" s="95">
        <v>14</v>
      </c>
      <c r="C310" s="95"/>
      <c r="D310" s="95">
        <v>14</v>
      </c>
      <c r="E310" s="95">
        <v>14</v>
      </c>
      <c r="F310" s="95">
        <f t="shared" si="0"/>
        <v>28</v>
      </c>
      <c r="G310" s="2"/>
      <c r="H310" s="2"/>
      <c r="I310" s="2"/>
      <c r="J310" s="2"/>
      <c r="K310" s="2"/>
      <c r="L310" s="2"/>
      <c r="M310" s="2"/>
      <c r="N310" s="2"/>
      <c r="O310" s="2"/>
    </row>
    <row r="311" spans="1:15" s="9" customFormat="1">
      <c r="A311" s="97" t="s">
        <v>806</v>
      </c>
      <c r="B311" s="97">
        <v>10</v>
      </c>
      <c r="C311" s="97"/>
      <c r="D311" s="97">
        <v>10</v>
      </c>
      <c r="E311" s="97">
        <v>11</v>
      </c>
      <c r="F311" s="97">
        <f t="shared" si="0"/>
        <v>21</v>
      </c>
      <c r="G311" s="2"/>
      <c r="H311" s="2"/>
      <c r="I311" s="2"/>
      <c r="J311" s="2"/>
      <c r="K311" s="2"/>
      <c r="L311" s="2"/>
      <c r="M311" s="2"/>
      <c r="N311" s="2"/>
      <c r="O311" s="2"/>
    </row>
    <row r="312" spans="1:15" s="9" customFormat="1">
      <c r="A312" s="96" t="s">
        <v>819</v>
      </c>
      <c r="B312" s="96">
        <v>18</v>
      </c>
      <c r="C312" s="96"/>
      <c r="D312" s="96">
        <v>18</v>
      </c>
      <c r="E312" s="96">
        <v>20</v>
      </c>
      <c r="F312" s="96">
        <f t="shared" si="0"/>
        <v>38</v>
      </c>
      <c r="G312" s="2"/>
      <c r="H312" s="2"/>
      <c r="I312" s="2"/>
      <c r="J312" s="2"/>
      <c r="K312" s="2"/>
      <c r="L312" s="2"/>
      <c r="M312" s="2"/>
      <c r="N312" s="2"/>
      <c r="O312" s="2"/>
    </row>
    <row r="313" spans="1:15" s="9" customFormat="1">
      <c r="A313" s="98" t="s">
        <v>871</v>
      </c>
      <c r="B313" s="98">
        <v>26</v>
      </c>
      <c r="C313" s="98"/>
      <c r="D313" s="98">
        <v>26</v>
      </c>
      <c r="E313" s="98">
        <v>28</v>
      </c>
      <c r="F313" s="98">
        <f t="shared" si="0"/>
        <v>54</v>
      </c>
      <c r="G313" s="2"/>
      <c r="H313" s="2"/>
      <c r="I313" s="2"/>
      <c r="J313" s="2"/>
      <c r="K313" s="2"/>
      <c r="L313" s="2"/>
      <c r="M313" s="2"/>
      <c r="N313" s="2"/>
      <c r="O313" s="2"/>
    </row>
    <row r="314" spans="1:15" s="9" customFormat="1">
      <c r="A314" s="100" t="s">
        <v>956</v>
      </c>
      <c r="B314" s="100">
        <v>20</v>
      </c>
      <c r="C314" s="100"/>
      <c r="D314" s="100">
        <v>24</v>
      </c>
      <c r="E314" s="100">
        <v>19</v>
      </c>
      <c r="F314" s="100">
        <f t="shared" si="0"/>
        <v>43</v>
      </c>
      <c r="G314" s="2"/>
      <c r="H314" s="2"/>
      <c r="I314" s="2"/>
      <c r="J314" s="2"/>
      <c r="K314" s="2"/>
      <c r="L314" s="2"/>
      <c r="M314" s="2"/>
      <c r="N314" s="2"/>
      <c r="O314" s="2"/>
    </row>
    <row r="315" spans="1:15" s="9" customFormat="1" ht="15" customHeight="1">
      <c r="A315" s="62" t="s">
        <v>1004</v>
      </c>
      <c r="B315" s="62">
        <v>20</v>
      </c>
      <c r="C315" s="62"/>
      <c r="D315" s="62">
        <v>24</v>
      </c>
      <c r="E315" s="62">
        <v>19</v>
      </c>
      <c r="F315" s="62">
        <f t="shared" si="0"/>
        <v>43</v>
      </c>
      <c r="G315" s="2"/>
      <c r="H315" s="2"/>
      <c r="I315" s="2"/>
      <c r="J315" s="2"/>
      <c r="K315" s="2"/>
      <c r="L315" s="2"/>
      <c r="M315" s="2"/>
      <c r="N315" s="2"/>
      <c r="O315" s="2"/>
    </row>
    <row r="316" spans="1:15" s="9" customFormat="1">
      <c r="A316" s="105" t="s">
        <v>1032</v>
      </c>
      <c r="B316" s="105">
        <v>19</v>
      </c>
      <c r="C316" s="105"/>
      <c r="D316" s="105">
        <v>19</v>
      </c>
      <c r="E316" s="105">
        <v>21</v>
      </c>
      <c r="F316" s="105">
        <f t="shared" si="0"/>
        <v>40</v>
      </c>
      <c r="G316" s="2"/>
      <c r="H316" s="2"/>
      <c r="I316" s="2"/>
      <c r="J316" s="2"/>
      <c r="K316" s="2"/>
      <c r="L316" s="2"/>
      <c r="M316" s="2"/>
      <c r="N316" s="2"/>
      <c r="O316" s="2"/>
    </row>
    <row r="317" spans="1:15">
      <c r="A317" s="106" t="s">
        <v>1082</v>
      </c>
      <c r="B317" s="106">
        <v>18</v>
      </c>
      <c r="C317" s="106"/>
      <c r="D317" s="106">
        <v>18</v>
      </c>
      <c r="E317" s="106">
        <v>20</v>
      </c>
      <c r="F317" s="106">
        <f t="shared" si="0"/>
        <v>38</v>
      </c>
    </row>
    <row r="318" spans="1:15">
      <c r="A318" s="108" t="s">
        <v>1105</v>
      </c>
      <c r="B318" s="108">
        <v>6</v>
      </c>
      <c r="C318" s="108"/>
      <c r="D318" s="108">
        <v>6</v>
      </c>
      <c r="E318" s="108">
        <v>6</v>
      </c>
      <c r="F318" s="108">
        <f t="shared" si="0"/>
        <v>12</v>
      </c>
    </row>
    <row r="319" spans="1:15">
      <c r="A319" s="107" t="s">
        <v>1115</v>
      </c>
      <c r="B319" s="107">
        <v>16</v>
      </c>
      <c r="C319" s="107"/>
      <c r="D319" s="107">
        <v>16</v>
      </c>
      <c r="E319" s="107">
        <v>16</v>
      </c>
      <c r="F319" s="107">
        <f t="shared" si="0"/>
        <v>32</v>
      </c>
    </row>
    <row r="320" spans="1:15">
      <c r="A320" s="109" t="s">
        <v>1136</v>
      </c>
      <c r="B320" s="109">
        <v>27</v>
      </c>
      <c r="C320" s="109"/>
      <c r="D320" s="109">
        <v>27</v>
      </c>
      <c r="E320" s="109">
        <v>29</v>
      </c>
      <c r="F320" s="109">
        <f t="shared" si="0"/>
        <v>56</v>
      </c>
    </row>
    <row r="322" spans="2:6">
      <c r="B322" s="2">
        <f>SUM(B303:B321)</f>
        <v>279</v>
      </c>
      <c r="D322" s="2">
        <f>SUM(D303:D321)</f>
        <v>287</v>
      </c>
      <c r="E322" s="2">
        <f>SUM(E303:E321)</f>
        <v>292</v>
      </c>
      <c r="F322" s="2">
        <f>SUM(F303:F321)</f>
        <v>579</v>
      </c>
    </row>
  </sheetData>
  <sortState xmlns:xlrd2="http://schemas.microsoft.com/office/spreadsheetml/2017/richdata2" ref="A21:A28">
    <sortCondition ref="A21:A2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73463-A7DC-460B-834F-11C4C6EEDBB1}">
  <sheetPr>
    <pageSetUpPr fitToPage="1"/>
  </sheetPr>
  <dimension ref="A1:K580"/>
  <sheetViews>
    <sheetView workbookViewId="0"/>
  </sheetViews>
  <sheetFormatPr defaultRowHeight="18"/>
  <cols>
    <col min="1" max="1" width="13.85546875" style="331" customWidth="1"/>
    <col min="2" max="2" width="15" style="331" customWidth="1"/>
    <col min="3" max="3" width="32.5703125" style="331" customWidth="1"/>
    <col min="4" max="4" width="15.42578125" style="331" customWidth="1"/>
    <col min="5" max="5" width="47.140625" style="331" customWidth="1"/>
    <col min="6" max="6" width="7.42578125" style="331" customWidth="1"/>
    <col min="7" max="7" width="45.28515625" style="331" customWidth="1"/>
    <col min="8" max="8" width="7.28515625" style="331" customWidth="1"/>
    <col min="9" max="9" width="25.5703125" style="331" customWidth="1"/>
    <col min="10" max="11" width="29.42578125" style="331" customWidth="1"/>
    <col min="12" max="16384" width="9.140625" style="331"/>
  </cols>
  <sheetData>
    <row r="1" spans="1:11">
      <c r="A1" s="8" t="str">
        <f>'10U COED GOLD-16 TEAMS CUSTOM'!A9</f>
        <v>DATE</v>
      </c>
      <c r="B1" s="116" t="str">
        <f>'10U COED GOLD-16 TEAMS CUSTOM'!B9</f>
        <v>TIME</v>
      </c>
      <c r="C1" s="8" t="str">
        <f>'10U COED GOLD-16 TEAMS CUSTOM'!C9&amp;""</f>
        <v>LOCATION</v>
      </c>
      <c r="D1" s="8" t="str">
        <f>'10U COED GOLD-16 TEAMS CUSTOM'!D9&amp;""</f>
        <v>GAME ID</v>
      </c>
      <c r="E1" s="8" t="str">
        <f>'10U COED GOLD-16 TEAMS CUSTOM'!E9&amp;""</f>
        <v>WHITE TEAM</v>
      </c>
      <c r="F1" s="8" t="str">
        <f>'10U COED GOLD-16 TEAMS CUSTOM'!F9&amp;""</f>
        <v>S</v>
      </c>
      <c r="G1" s="8" t="str">
        <f>'10U COED GOLD-16 TEAMS CUSTOM'!G9&amp;""</f>
        <v>DARK TEAM</v>
      </c>
      <c r="H1" s="8" t="str">
        <f>'10U COED GOLD-16 TEAMS CUSTOM'!H9&amp;""</f>
        <v>S</v>
      </c>
      <c r="I1" s="8" t="str">
        <f>'10U COED GOLD-16 TEAMS CUSTOM'!I9&amp;""</f>
        <v>COMMENTS</v>
      </c>
      <c r="J1" s="8" t="str">
        <f>'10U COED GOLD-16 TEAMS CUSTOM'!J9&amp;""</f>
        <v>DIVISION</v>
      </c>
      <c r="K1" s="8" t="s">
        <v>1185</v>
      </c>
    </row>
    <row r="2" spans="1:11">
      <c r="A2" s="115">
        <f>'10U COED GOLD-16 TEAMS CUSTOM'!A10</f>
        <v>46053</v>
      </c>
      <c r="B2" s="114">
        <f>'10U COED GOLD-16 TEAMS CUSTOM'!B10</f>
        <v>0.33333333333333331</v>
      </c>
      <c r="C2" s="114" t="str">
        <f>'10U COED GOLD-16 TEAMS CUSTOM'!C10&amp;""</f>
        <v>EL TORO HS 2</v>
      </c>
      <c r="D2" s="110" t="str">
        <f>'10U COED GOLD-16 TEAMS CUSTOM'!D10&amp;""</f>
        <v>10Cau01</v>
      </c>
      <c r="E2" s="110" t="str">
        <f>'10U COED GOLD-16 TEAMS CUSTOM'!E10&amp;""</f>
        <v>D1-TROJAN</v>
      </c>
      <c r="F2" s="110" t="str">
        <f>'10U COED GOLD-16 TEAMS CUSTOM'!F10&amp;""</f>
        <v>13</v>
      </c>
      <c r="G2" s="110" t="str">
        <f>'10U COED GOLD-16 TEAMS CUSTOM'!G10&amp;""</f>
        <v>D3-YOLO YELLOW</v>
      </c>
      <c r="H2" s="110" t="str">
        <f>'10U COED GOLD-16 TEAMS CUSTOM'!H10&amp;""</f>
        <v>15</v>
      </c>
      <c r="I2" s="110" t="str">
        <f>'10U COED GOLD-16 TEAMS CUSTOM'!I10&amp;""</f>
        <v>D bracket D1,D3</v>
      </c>
      <c r="J2" s="110" t="str">
        <f>'10U COED GOLD-16 TEAMS CUSTOM'!J10&amp;""</f>
        <v>10U_COED_GOLD</v>
      </c>
      <c r="K2" s="110" t="str">
        <f>TEXT(DATE(2025, MONTH(A2), DAY(A2)) + TIME(HOUR(B2), MINUTE(B2), 0), "yyyymmddhhmm")</f>
        <v>202501310800</v>
      </c>
    </row>
    <row r="3" spans="1:11">
      <c r="A3" s="115">
        <f>'10U COED GOLD-16 TEAMS CUSTOM'!A11</f>
        <v>46053</v>
      </c>
      <c r="B3" s="114">
        <f>'10U COED GOLD-16 TEAMS CUSTOM'!B11</f>
        <v>0.36458333333333331</v>
      </c>
      <c r="C3" s="114" t="str">
        <f>'10U COED GOLD-16 TEAMS CUSTOM'!C11&amp;""</f>
        <v>EL TORO HS 2</v>
      </c>
      <c r="D3" s="110" t="str">
        <f>'10U COED GOLD-16 TEAMS CUSTOM'!D11&amp;""</f>
        <v>10Cau02</v>
      </c>
      <c r="E3" s="110" t="str">
        <f>'10U COED GOLD-16 TEAMS CUSTOM'!E11&amp;""</f>
        <v>A1-LA JOLLA UNITED</v>
      </c>
      <c r="F3" s="110" t="str">
        <f>'10U COED GOLD-16 TEAMS CUSTOM'!F11&amp;""</f>
        <v>18</v>
      </c>
      <c r="G3" s="110" t="str">
        <f>'10U COED GOLD-16 TEAMS CUSTOM'!G11&amp;""</f>
        <v>A3-LAMORINDA C</v>
      </c>
      <c r="H3" s="110" t="str">
        <f>'10U COED GOLD-16 TEAMS CUSTOM'!H11&amp;""</f>
        <v>8</v>
      </c>
      <c r="I3" s="110" t="str">
        <f>'10U COED GOLD-16 TEAMS CUSTOM'!I11&amp;""</f>
        <v>A bracket A1,A3</v>
      </c>
      <c r="J3" s="110" t="str">
        <f>'10U COED GOLD-16 TEAMS CUSTOM'!J11&amp;""</f>
        <v>10U_COED_GOLD</v>
      </c>
      <c r="K3" s="110" t="str">
        <f t="shared" ref="K3" si="0">TEXT(DATE(2025, MONTH(A3), DAY(A3)) + TIME(HOUR(B3), MINUTE(B3), 0), "yyyymmddhhmm")</f>
        <v>202501310845</v>
      </c>
    </row>
    <row r="4" spans="1:11">
      <c r="A4" s="115">
        <f>'10U COED GOLD-16 TEAMS CUSTOM'!A12</f>
        <v>46053</v>
      </c>
      <c r="B4" s="114">
        <f>'10U COED GOLD-16 TEAMS CUSTOM'!B12</f>
        <v>0.39583333333333298</v>
      </c>
      <c r="C4" s="114" t="str">
        <f>'10U COED GOLD-16 TEAMS CUSTOM'!C12&amp;""</f>
        <v>EL TORO HS 2</v>
      </c>
      <c r="D4" s="110" t="str">
        <f>'10U COED GOLD-16 TEAMS CUSTOM'!D12&amp;""</f>
        <v>10Cau03</v>
      </c>
      <c r="E4" s="110" t="str">
        <f>'10U COED GOLD-16 TEAMS CUSTOM'!E12&amp;""</f>
        <v>B1-DAVIS</v>
      </c>
      <c r="F4" s="110" t="str">
        <f>'10U COED GOLD-16 TEAMS CUSTOM'!F12&amp;""</f>
        <v>16</v>
      </c>
      <c r="G4" s="110" t="str">
        <f>'10U COED GOLD-16 TEAMS CUSTOM'!G12&amp;""</f>
        <v>B3-DEL MAR WHITE</v>
      </c>
      <c r="H4" s="110" t="str">
        <f>'10U COED GOLD-16 TEAMS CUSTOM'!H12&amp;""</f>
        <v>5</v>
      </c>
      <c r="I4" s="110" t="str">
        <f>'10U COED GOLD-16 TEAMS CUSTOM'!I12&amp;""</f>
        <v>B bracket B1,B3</v>
      </c>
      <c r="J4" s="110" t="str">
        <f>'10U COED GOLD-16 TEAMS CUSTOM'!J12&amp;""</f>
        <v>10U_COED_GOLD</v>
      </c>
      <c r="K4" s="110" t="str">
        <f>TEXT(DATE(2026, MONTH(A4), DAY(A4)) + TIME(HOUR(B4), MINUTE(B4), 0), "yyyymmddhhmm")</f>
        <v>202601310930</v>
      </c>
    </row>
    <row r="5" spans="1:11">
      <c r="A5" s="115">
        <f>'10U COED GOLD-16 TEAMS CUSTOM'!A13</f>
        <v>46053</v>
      </c>
      <c r="B5" s="114">
        <f>'10U COED GOLD-16 TEAMS CUSTOM'!B13</f>
        <v>0.42708333333333298</v>
      </c>
      <c r="C5" s="114" t="str">
        <f>'10U COED GOLD-16 TEAMS CUSTOM'!C13&amp;""</f>
        <v>EL TORO HS 2</v>
      </c>
      <c r="D5" s="110" t="str">
        <f>'10U COED GOLD-16 TEAMS CUSTOM'!D13&amp;""</f>
        <v>10Cau04</v>
      </c>
      <c r="E5" s="110" t="str">
        <f>'10U COED GOLD-16 TEAMS CUSTOM'!E13&amp;""</f>
        <v>C1-SOUTH COAST RED</v>
      </c>
      <c r="F5" s="110" t="str">
        <f>'10U COED GOLD-16 TEAMS CUSTOM'!F13&amp;""</f>
        <v>6</v>
      </c>
      <c r="G5" s="110" t="str">
        <f>'10U COED GOLD-16 TEAMS CUSTOM'!G13&amp;""</f>
        <v>C3-SAN CLEMENTE BLACK</v>
      </c>
      <c r="H5" s="110" t="str">
        <f>'10U COED GOLD-16 TEAMS CUSTOM'!H13&amp;""</f>
        <v>18</v>
      </c>
      <c r="I5" s="110" t="str">
        <f>'10U COED GOLD-16 TEAMS CUSTOM'!I13&amp;""</f>
        <v>C bracket C1,C3</v>
      </c>
      <c r="J5" s="110" t="str">
        <f>'10U COED GOLD-16 TEAMS CUSTOM'!J13&amp;""</f>
        <v>10U_COED_GOLD</v>
      </c>
      <c r="K5" s="110" t="str">
        <f t="shared" ref="K5:K68" si="1">TEXT(DATE(2026, MONTH(A5), DAY(A5)) + TIME(HOUR(B5), MINUTE(B5), 0), "yyyymmddhhmm")</f>
        <v>202601311015</v>
      </c>
    </row>
    <row r="6" spans="1:11">
      <c r="A6" s="115">
        <f>'10U COED GOLD-16 TEAMS CUSTOM'!A14</f>
        <v>46053</v>
      </c>
      <c r="B6" s="114">
        <f>'10U COED GOLD-16 TEAMS CUSTOM'!B14</f>
        <v>0.45833333333333298</v>
      </c>
      <c r="C6" s="114" t="str">
        <f>'10U COED GOLD-16 TEAMS CUSTOM'!C14&amp;""</f>
        <v>WOOLLETT FAR LEFT</v>
      </c>
      <c r="D6" s="113" t="str">
        <f>'10U COED GOLD-16 TEAMS CUSTOM'!D14&amp;""</f>
        <v>10Cau05</v>
      </c>
      <c r="E6" s="113" t="str">
        <f>'10U COED GOLD-16 TEAMS CUSTOM'!E14&amp;""</f>
        <v>G1-LAMORINDA BLUE (A) (girls)</v>
      </c>
      <c r="F6" s="113" t="str">
        <f>'10U COED GOLD-16 TEAMS CUSTOM'!F14&amp;""</f>
        <v>19</v>
      </c>
      <c r="G6" s="113" t="str">
        <f>'10U COED GOLD-16 TEAMS CUSTOM'!G14&amp;""</f>
        <v>G4-SAN CLEMENTE RED (girls)</v>
      </c>
      <c r="H6" s="110" t="str">
        <f>'10U COED GOLD-16 TEAMS CUSTOM'!H14&amp;""</f>
        <v>1</v>
      </c>
      <c r="I6" s="113" t="str">
        <f>'10U COED GOLD-16 TEAMS CUSTOM'!I14&amp;""</f>
        <v>girls 1st-4th</v>
      </c>
      <c r="J6" s="110" t="str">
        <f>'10U COED GOLD-16 TEAMS CUSTOM'!J14&amp;""</f>
        <v>10U_COED_GOLD</v>
      </c>
      <c r="K6" s="110" t="str">
        <f t="shared" si="1"/>
        <v>202601311100</v>
      </c>
    </row>
    <row r="7" spans="1:11">
      <c r="A7" s="115">
        <f>'10U COED GOLD-16 TEAMS CUSTOM'!A15</f>
        <v>46053</v>
      </c>
      <c r="B7" s="114">
        <f>'10U COED GOLD-16 TEAMS CUSTOM'!B15</f>
        <v>0.45833333333333298</v>
      </c>
      <c r="C7" s="114" t="str">
        <f>'10U COED GOLD-16 TEAMS CUSTOM'!C15&amp;""</f>
        <v>EL TORO HS 2</v>
      </c>
      <c r="D7" s="110" t="str">
        <f>'10U COED GOLD-16 TEAMS CUSTOM'!D15&amp;""</f>
        <v>10Cau07</v>
      </c>
      <c r="E7" s="110" t="str">
        <f>'10U COED GOLD-16 TEAMS CUSTOM'!E15&amp;""</f>
        <v>D2-PATRIOT WHITE</v>
      </c>
      <c r="F7" s="110" t="str">
        <f>'10U COED GOLD-16 TEAMS CUSTOM'!F15&amp;""</f>
        <v>5</v>
      </c>
      <c r="G7" s="110" t="str">
        <f>'10U COED GOLD-16 TEAMS CUSTOM'!G15&amp;""</f>
        <v>D3-YOLO YELLOW</v>
      </c>
      <c r="H7" s="110" t="str">
        <f>'10U COED GOLD-16 TEAMS CUSTOM'!H15&amp;""</f>
        <v>16</v>
      </c>
      <c r="I7" s="110" t="str">
        <f>'10U COED GOLD-16 TEAMS CUSTOM'!I15&amp;""</f>
        <v>D bracket D2,D3</v>
      </c>
      <c r="J7" s="110" t="str">
        <f>'10U COED GOLD-16 TEAMS CUSTOM'!J15&amp;""</f>
        <v>10U_COED_GOLD</v>
      </c>
      <c r="K7" s="110" t="str">
        <f t="shared" si="1"/>
        <v>202601311100</v>
      </c>
    </row>
    <row r="8" spans="1:11">
      <c r="A8" s="115">
        <f>'10U COED GOLD-16 TEAMS CUSTOM'!A16</f>
        <v>46053</v>
      </c>
      <c r="B8" s="114">
        <f>'10U COED GOLD-16 TEAMS CUSTOM'!B16</f>
        <v>0.48958333333333298</v>
      </c>
      <c r="C8" s="114" t="str">
        <f>'10U COED GOLD-16 TEAMS CUSTOM'!C16&amp;""</f>
        <v>WOOLLETT FAR LEFT</v>
      </c>
      <c r="D8" s="113" t="str">
        <f>'10U COED GOLD-16 TEAMS CUSTOM'!D16&amp;""</f>
        <v>10Cau06</v>
      </c>
      <c r="E8" s="113" t="str">
        <f>'10U COED GOLD-16 TEAMS CUSTOM'!E16&amp;""</f>
        <v>G2-DEL MAR BLUE (girls)</v>
      </c>
      <c r="F8" s="113" t="str">
        <f>'10U COED GOLD-16 TEAMS CUSTOM'!F16&amp;""</f>
        <v>12</v>
      </c>
      <c r="G8" s="113" t="str">
        <f>'10U COED GOLD-16 TEAMS CUSTOM'!G16&amp;""</f>
        <v>G3-680 RED (girls)</v>
      </c>
      <c r="H8" s="110" t="str">
        <f>'10U COED GOLD-16 TEAMS CUSTOM'!H16&amp;""</f>
        <v>5</v>
      </c>
      <c r="I8" s="113" t="str">
        <f>'10U COED GOLD-16 TEAMS CUSTOM'!I16&amp;""</f>
        <v>girls 1st-4th</v>
      </c>
      <c r="J8" s="110" t="str">
        <f>'10U COED GOLD-16 TEAMS CUSTOM'!J16&amp;""</f>
        <v>10U_COED_GOLD</v>
      </c>
      <c r="K8" s="110" t="str">
        <f t="shared" si="1"/>
        <v>202601311145</v>
      </c>
    </row>
    <row r="9" spans="1:11">
      <c r="A9" s="115">
        <f>'10U COED GOLD-16 TEAMS CUSTOM'!A17</f>
        <v>46053</v>
      </c>
      <c r="B9" s="114">
        <f>'10U COED GOLD-16 TEAMS CUSTOM'!B17</f>
        <v>0.48958333333333298</v>
      </c>
      <c r="C9" s="114" t="str">
        <f>'10U COED GOLD-16 TEAMS CUSTOM'!C17&amp;""</f>
        <v>EL TORO HS 2</v>
      </c>
      <c r="D9" s="110" t="str">
        <f>'10U COED GOLD-16 TEAMS CUSTOM'!D17&amp;""</f>
        <v>10Cau08</v>
      </c>
      <c r="E9" s="110" t="str">
        <f>'10U COED GOLD-16 TEAMS CUSTOM'!E17&amp;""</f>
        <v>A2-LOYOLA WPC</v>
      </c>
      <c r="F9" s="110" t="str">
        <f>'10U COED GOLD-16 TEAMS CUSTOM'!F17&amp;""</f>
        <v>17</v>
      </c>
      <c r="G9" s="110" t="str">
        <f>'10U COED GOLD-16 TEAMS CUSTOM'!G17&amp;""</f>
        <v>A3-LAMORINDA C</v>
      </c>
      <c r="H9" s="110" t="str">
        <f>'10U COED GOLD-16 TEAMS CUSTOM'!H17&amp;""</f>
        <v>1</v>
      </c>
      <c r="I9" s="110" t="str">
        <f>'10U COED GOLD-16 TEAMS CUSTOM'!I17&amp;""</f>
        <v>A bracket A2,A3</v>
      </c>
      <c r="J9" s="110" t="str">
        <f>'10U COED GOLD-16 TEAMS CUSTOM'!J17&amp;""</f>
        <v>10U_COED_GOLD</v>
      </c>
      <c r="K9" s="110" t="str">
        <f t="shared" si="1"/>
        <v>202601311145</v>
      </c>
    </row>
    <row r="10" spans="1:11">
      <c r="A10" s="115">
        <f>'10U COED GOLD-16 TEAMS CUSTOM'!A18</f>
        <v>46053</v>
      </c>
      <c r="B10" s="114">
        <f>'10U COED GOLD-16 TEAMS CUSTOM'!B18</f>
        <v>0.52083333333333304</v>
      </c>
      <c r="C10" s="114" t="str">
        <f>'10U COED GOLD-16 TEAMS CUSTOM'!C18&amp;""</f>
        <v>EL TORO HS 2</v>
      </c>
      <c r="D10" s="110" t="str">
        <f>'10U COED GOLD-16 TEAMS CUSTOM'!D18&amp;""</f>
        <v>10Cau09</v>
      </c>
      <c r="E10" s="110" t="str">
        <f>'10U COED GOLD-16 TEAMS CUSTOM'!E18&amp;""</f>
        <v>B2-ORANGE COUNTY WPC RED</v>
      </c>
      <c r="F10" s="110" t="str">
        <f>'10U COED GOLD-16 TEAMS CUSTOM'!F18&amp;""</f>
        <v>19</v>
      </c>
      <c r="G10" s="110" t="str">
        <f>'10U COED GOLD-16 TEAMS CUSTOM'!G18&amp;""</f>
        <v>B3-DEL MAR WHITE</v>
      </c>
      <c r="H10" s="110" t="str">
        <f>'10U COED GOLD-16 TEAMS CUSTOM'!H18&amp;""</f>
        <v>6</v>
      </c>
      <c r="I10" s="110" t="str">
        <f>'10U COED GOLD-16 TEAMS CUSTOM'!I18&amp;""</f>
        <v>B bracket B2,B3</v>
      </c>
      <c r="J10" s="110" t="str">
        <f>'10U COED GOLD-16 TEAMS CUSTOM'!J18&amp;""</f>
        <v>10U_COED_GOLD</v>
      </c>
      <c r="K10" s="110" t="str">
        <f t="shared" si="1"/>
        <v>202601311230</v>
      </c>
    </row>
    <row r="11" spans="1:11">
      <c r="A11" s="115">
        <f>'10U COED GOLD-16 TEAMS CUSTOM'!A19</f>
        <v>46053</v>
      </c>
      <c r="B11" s="114">
        <f>'10U COED GOLD-16 TEAMS CUSTOM'!B19</f>
        <v>0.55208333333333304</v>
      </c>
      <c r="C11" s="114" t="str">
        <f>'10U COED GOLD-16 TEAMS CUSTOM'!C19&amp;""</f>
        <v>EL TORO HS 2</v>
      </c>
      <c r="D11" s="110" t="str">
        <f>'10U COED GOLD-16 TEAMS CUSTOM'!D19&amp;""</f>
        <v>10Cau10</v>
      </c>
      <c r="E11" s="110" t="str">
        <f>'10U COED GOLD-16 TEAMS CUSTOM'!E19&amp;""</f>
        <v>C2-SOUTH BAY UNITED</v>
      </c>
      <c r="F11" s="110" t="str">
        <f>'10U COED GOLD-16 TEAMS CUSTOM'!F19&amp;""</f>
        <v>11</v>
      </c>
      <c r="G11" s="110" t="str">
        <f>'10U COED GOLD-16 TEAMS CUSTOM'!G19&amp;""</f>
        <v>C3-SAN CLEMENTE BLACK</v>
      </c>
      <c r="H11" s="110" t="str">
        <f>'10U COED GOLD-16 TEAMS CUSTOM'!H19&amp;""</f>
        <v>8</v>
      </c>
      <c r="I11" s="110" t="str">
        <f>'10U COED GOLD-16 TEAMS CUSTOM'!I19&amp;""</f>
        <v>C bracket C2,C3</v>
      </c>
      <c r="J11" s="110" t="str">
        <f>'10U COED GOLD-16 TEAMS CUSTOM'!J19&amp;""</f>
        <v>10U_COED_GOLD</v>
      </c>
      <c r="K11" s="110" t="str">
        <f t="shared" si="1"/>
        <v>202601311315</v>
      </c>
    </row>
    <row r="12" spans="1:11">
      <c r="A12" s="115">
        <f>'10U COED GOLD-16 TEAMS CUSTOM'!A20</f>
        <v>46053</v>
      </c>
      <c r="B12" s="114">
        <f>'10U COED GOLD-16 TEAMS CUSTOM'!B20</f>
        <v>0.58333333333333304</v>
      </c>
      <c r="C12" s="114" t="str">
        <f>'10U COED GOLD-16 TEAMS CUSTOM'!C20&amp;""</f>
        <v>BECKMAN HS 2</v>
      </c>
      <c r="D12" s="110" t="str">
        <f>'10U COED GOLD-16 TEAMS CUSTOM'!D20&amp;""</f>
        <v>10Cau13</v>
      </c>
      <c r="E12" s="110" t="str">
        <f>'10U COED GOLD-16 TEAMS CUSTOM'!E20&amp;""</f>
        <v>D1-TROJAN</v>
      </c>
      <c r="F12" s="110" t="str">
        <f>'10U COED GOLD-16 TEAMS CUSTOM'!F20&amp;""</f>
        <v>1</v>
      </c>
      <c r="G12" s="110" t="str">
        <f>'10U COED GOLD-16 TEAMS CUSTOM'!G20&amp;""</f>
        <v>D2-PATRIOT WHITE</v>
      </c>
      <c r="H12" s="110" t="str">
        <f>'10U COED GOLD-16 TEAMS CUSTOM'!H20&amp;""</f>
        <v>2</v>
      </c>
      <c r="I12" s="110" t="str">
        <f>'10U COED GOLD-16 TEAMS CUSTOM'!I20&amp;""</f>
        <v>D bracket D1,D2</v>
      </c>
      <c r="J12" s="110" t="str">
        <f>'10U COED GOLD-16 TEAMS CUSTOM'!J20&amp;""</f>
        <v>10U_COED_GOLD</v>
      </c>
      <c r="K12" s="110" t="str">
        <f t="shared" si="1"/>
        <v>202601311400</v>
      </c>
    </row>
    <row r="13" spans="1:11">
      <c r="A13" s="115">
        <f>'10U COED GOLD-16 TEAMS CUSTOM'!A21</f>
        <v>46053</v>
      </c>
      <c r="B13" s="114">
        <f>'10U COED GOLD-16 TEAMS CUSTOM'!B21</f>
        <v>0.61458333333333304</v>
      </c>
      <c r="C13" s="114" t="str">
        <f>'10U COED GOLD-16 TEAMS CUSTOM'!C21&amp;""</f>
        <v>BECKMAN HS 2</v>
      </c>
      <c r="D13" s="110" t="str">
        <f>'10U COED GOLD-16 TEAMS CUSTOM'!D21&amp;""</f>
        <v>10Cau14</v>
      </c>
      <c r="E13" s="110" t="str">
        <f>'10U COED GOLD-16 TEAMS CUSTOM'!E21&amp;""</f>
        <v>A1-LA JOLLA UNITED</v>
      </c>
      <c r="F13" s="110" t="str">
        <f>'10U COED GOLD-16 TEAMS CUSTOM'!F21&amp;""</f>
        <v>9</v>
      </c>
      <c r="G13" s="110" t="str">
        <f>'10U COED GOLD-16 TEAMS CUSTOM'!G21&amp;""</f>
        <v>A2-LOYOLA WPC</v>
      </c>
      <c r="H13" s="110" t="str">
        <f>'10U COED GOLD-16 TEAMS CUSTOM'!H21&amp;""</f>
        <v>7</v>
      </c>
      <c r="I13" s="110" t="str">
        <f>'10U COED GOLD-16 TEAMS CUSTOM'!I21&amp;""</f>
        <v>A bracket A1,A2</v>
      </c>
      <c r="J13" s="110" t="str">
        <f>'10U COED GOLD-16 TEAMS CUSTOM'!J21&amp;""</f>
        <v>10U_COED_GOLD</v>
      </c>
      <c r="K13" s="110" t="str">
        <f t="shared" si="1"/>
        <v>202601311445</v>
      </c>
    </row>
    <row r="14" spans="1:11">
      <c r="A14" s="115">
        <f>'10U COED GOLD-16 TEAMS CUSTOM'!A22</f>
        <v>46053</v>
      </c>
      <c r="B14" s="114">
        <f>'10U COED GOLD-16 TEAMS CUSTOM'!B22</f>
        <v>0.64583333333333304</v>
      </c>
      <c r="C14" s="114" t="str">
        <f>'10U COED GOLD-16 TEAMS CUSTOM'!C22&amp;""</f>
        <v>WOOLLETT FAR LEFT</v>
      </c>
      <c r="D14" s="113" t="str">
        <f>'10U COED GOLD-16 TEAMS CUSTOM'!D22&amp;""</f>
        <v>10Cau11</v>
      </c>
      <c r="E14" s="113" t="str">
        <f>'10U COED GOLD-16 TEAMS CUSTOM'!E22&amp;""</f>
        <v>G1-LAMORINDA BLUE (A) (girls)</v>
      </c>
      <c r="F14" s="113" t="str">
        <f>'10U COED GOLD-16 TEAMS CUSTOM'!F22&amp;""</f>
        <v>17</v>
      </c>
      <c r="G14" s="113" t="str">
        <f>'10U COED GOLD-16 TEAMS CUSTOM'!G22&amp;""</f>
        <v>G3-680 RED (girls)</v>
      </c>
      <c r="H14" s="110" t="str">
        <f>'10U COED GOLD-16 TEAMS CUSTOM'!H22&amp;""</f>
        <v>3</v>
      </c>
      <c r="I14" s="113" t="str">
        <f>'10U COED GOLD-16 TEAMS CUSTOM'!I22&amp;""</f>
        <v>girls 1st-4th</v>
      </c>
      <c r="J14" s="110" t="str">
        <f>'10U COED GOLD-16 TEAMS CUSTOM'!J22&amp;""</f>
        <v>10U_COED_GOLD</v>
      </c>
      <c r="K14" s="110" t="str">
        <f t="shared" si="1"/>
        <v>202601311530</v>
      </c>
    </row>
    <row r="15" spans="1:11">
      <c r="A15" s="115">
        <f>'10U COED GOLD-16 TEAMS CUSTOM'!A23</f>
        <v>46053</v>
      </c>
      <c r="B15" s="114">
        <f>'10U COED GOLD-16 TEAMS CUSTOM'!B23</f>
        <v>0.64583333333333304</v>
      </c>
      <c r="C15" s="114" t="str">
        <f>'10U COED GOLD-16 TEAMS CUSTOM'!C23&amp;""</f>
        <v>BECKMAN HS 2</v>
      </c>
      <c r="D15" s="110" t="str">
        <f>'10U COED GOLD-16 TEAMS CUSTOM'!D23&amp;""</f>
        <v>10Cau15</v>
      </c>
      <c r="E15" s="110" t="str">
        <f>'10U COED GOLD-16 TEAMS CUSTOM'!E23&amp;""</f>
        <v>B1-DAVIS</v>
      </c>
      <c r="F15" s="110" t="str">
        <f>'10U COED GOLD-16 TEAMS CUSTOM'!F23&amp;""</f>
        <v>14</v>
      </c>
      <c r="G15" s="110" t="str">
        <f>'10U COED GOLD-16 TEAMS CUSTOM'!G23&amp;""</f>
        <v>B2-ORANGE COUNTY WPC RED</v>
      </c>
      <c r="H15" s="110" t="str">
        <f>'10U COED GOLD-16 TEAMS CUSTOM'!H23&amp;""</f>
        <v>6</v>
      </c>
      <c r="I15" s="110" t="str">
        <f>'10U COED GOLD-16 TEAMS CUSTOM'!I23&amp;""</f>
        <v>B bracket B1,B2</v>
      </c>
      <c r="J15" s="110" t="str">
        <f>'10U COED GOLD-16 TEAMS CUSTOM'!J23&amp;""</f>
        <v>10U_COED_GOLD</v>
      </c>
      <c r="K15" s="110" t="str">
        <f t="shared" si="1"/>
        <v>202601311530</v>
      </c>
    </row>
    <row r="16" spans="1:11">
      <c r="A16" s="115">
        <f>'10U COED GOLD-16 TEAMS CUSTOM'!A24</f>
        <v>46053</v>
      </c>
      <c r="B16" s="114">
        <f>'10U COED GOLD-16 TEAMS CUSTOM'!B24</f>
        <v>0.67708333333333304</v>
      </c>
      <c r="C16" s="114" t="str">
        <f>'10U COED GOLD-16 TEAMS CUSTOM'!C24&amp;""</f>
        <v>WOOLLETT FAR LEFT</v>
      </c>
      <c r="D16" s="113" t="str">
        <f>'10U COED GOLD-16 TEAMS CUSTOM'!D24&amp;""</f>
        <v>10Cau12</v>
      </c>
      <c r="E16" s="113" t="str">
        <f>'10U COED GOLD-16 TEAMS CUSTOM'!E24&amp;""</f>
        <v>G2-DEL MAR BLUE (girls)</v>
      </c>
      <c r="F16" s="113" t="str">
        <f>'10U COED GOLD-16 TEAMS CUSTOM'!F24&amp;""</f>
        <v>17</v>
      </c>
      <c r="G16" s="113" t="str">
        <f>'10U COED GOLD-16 TEAMS CUSTOM'!G24&amp;""</f>
        <v>G4-SAN CLEMENTE RED (girls)</v>
      </c>
      <c r="H16" s="110" t="str">
        <f>'10U COED GOLD-16 TEAMS CUSTOM'!H24&amp;""</f>
        <v>4</v>
      </c>
      <c r="I16" s="113" t="str">
        <f>'10U COED GOLD-16 TEAMS CUSTOM'!I24&amp;""</f>
        <v>girls 1st-4th</v>
      </c>
      <c r="J16" s="110" t="str">
        <f>'10U COED GOLD-16 TEAMS CUSTOM'!J24&amp;""</f>
        <v>10U_COED_GOLD</v>
      </c>
      <c r="K16" s="110" t="str">
        <f t="shared" si="1"/>
        <v>202601311615</v>
      </c>
    </row>
    <row r="17" spans="1:11">
      <c r="A17" s="115">
        <f>'10U COED GOLD-16 TEAMS CUSTOM'!A25</f>
        <v>46053</v>
      </c>
      <c r="B17" s="114">
        <f>'10U COED GOLD-16 TEAMS CUSTOM'!B25</f>
        <v>0.67708333333333304</v>
      </c>
      <c r="C17" s="114" t="str">
        <f>'10U COED GOLD-16 TEAMS CUSTOM'!C25&amp;""</f>
        <v>BECKMAN HS 2</v>
      </c>
      <c r="D17" s="110" t="str">
        <f>'10U COED GOLD-16 TEAMS CUSTOM'!D25&amp;""</f>
        <v>10Cau16</v>
      </c>
      <c r="E17" s="110" t="str">
        <f>'10U COED GOLD-16 TEAMS CUSTOM'!E25&amp;""</f>
        <v>C1-SOUTH COAST RED</v>
      </c>
      <c r="F17" s="110" t="str">
        <f>'10U COED GOLD-16 TEAMS CUSTOM'!F25&amp;""</f>
        <v>10</v>
      </c>
      <c r="G17" s="110" t="str">
        <f>'10U COED GOLD-16 TEAMS CUSTOM'!G25&amp;""</f>
        <v>C2-SOUTH BAY UNITED</v>
      </c>
      <c r="H17" s="110" t="str">
        <f>'10U COED GOLD-16 TEAMS CUSTOM'!H25&amp;""</f>
        <v>14</v>
      </c>
      <c r="I17" s="110" t="str">
        <f>'10U COED GOLD-16 TEAMS CUSTOM'!I25&amp;""</f>
        <v>C bracket C1,C2</v>
      </c>
      <c r="J17" s="110" t="str">
        <f>'10U COED GOLD-16 TEAMS CUSTOM'!J25&amp;""</f>
        <v>10U_COED_GOLD</v>
      </c>
      <c r="K17" s="110" t="str">
        <f t="shared" si="1"/>
        <v>202601311615</v>
      </c>
    </row>
    <row r="18" spans="1:11">
      <c r="A18" s="115">
        <f>'10U COED GOLD-16 TEAMS CUSTOM'!A29</f>
        <v>46054</v>
      </c>
      <c r="B18" s="114">
        <f>'10U COED GOLD-16 TEAMS CUSTOM'!B29</f>
        <v>0.33333333333333331</v>
      </c>
      <c r="C18" s="114" t="str">
        <f>'10U COED GOLD-16 TEAMS CUSTOM'!C29&amp;""</f>
        <v>WOOLLETT FAR LEFT</v>
      </c>
      <c r="D18" s="113" t="str">
        <f>'10U COED GOLD-16 TEAMS CUSTOM'!D29&amp;""</f>
        <v>10Cau17</v>
      </c>
      <c r="E18" s="113" t="str">
        <f>'10U COED GOLD-16 TEAMS CUSTOM'!E29&amp;""</f>
        <v>G1-LAMORINDA BLUE (A) (girls)</v>
      </c>
      <c r="F18" s="113" t="str">
        <f>'10U COED GOLD-16 TEAMS CUSTOM'!F29&amp;""</f>
        <v>8</v>
      </c>
      <c r="G18" s="113" t="str">
        <f>'10U COED GOLD-16 TEAMS CUSTOM'!G29&amp;""</f>
        <v>G2-DEL MAR BLUE (girls)</v>
      </c>
      <c r="H18" s="110" t="str">
        <f>'10U COED GOLD-16 TEAMS CUSTOM'!H29&amp;""</f>
        <v>2</v>
      </c>
      <c r="I18" s="113" t="str">
        <f>'10U COED GOLD-16 TEAMS CUSTOM'!I29&amp;""</f>
        <v>girls 1st-4th</v>
      </c>
      <c r="J18" s="110" t="str">
        <f>'10U COED GOLD-16 TEAMS CUSTOM'!J29&amp;""</f>
        <v>10U_COED_GOLD</v>
      </c>
      <c r="K18" s="110" t="str">
        <f t="shared" si="1"/>
        <v>202602010800</v>
      </c>
    </row>
    <row r="19" spans="1:11">
      <c r="A19" s="115">
        <f>'10U COED GOLD-16 TEAMS CUSTOM'!A30</f>
        <v>46054</v>
      </c>
      <c r="B19" s="114">
        <f>'10U COED GOLD-16 TEAMS CUSTOM'!B30</f>
        <v>0.33333333333333331</v>
      </c>
      <c r="C19" s="114" t="str">
        <f>'10U COED GOLD-16 TEAMS CUSTOM'!C30&amp;""</f>
        <v>EL TORO HS 2</v>
      </c>
      <c r="D19" s="110" t="str">
        <f>'10U COED GOLD-16 TEAMS CUSTOM'!D30&amp;""</f>
        <v>10Cau19</v>
      </c>
      <c r="E19" s="110" t="str">
        <f>'10U COED GOLD-16 TEAMS CUSTOM'!E30&amp;""</f>
        <v>2ndA-LOYOLA WPC</v>
      </c>
      <c r="F19" s="110" t="str">
        <f>'10U COED GOLD-16 TEAMS CUSTOM'!F30&amp;""</f>
        <v>18</v>
      </c>
      <c r="G19" s="110" t="str">
        <f>'10U COED GOLD-16 TEAMS CUSTOM'!G30&amp;""</f>
        <v>2ndD-TROJAN</v>
      </c>
      <c r="H19" s="110" t="str">
        <f>'10U COED GOLD-16 TEAMS CUSTOM'!H30&amp;""</f>
        <v>7</v>
      </c>
      <c r="I19" s="110" t="str">
        <f>'10U COED GOLD-16 TEAMS CUSTOM'!I30&amp;""</f>
        <v>5-8 coed semi</v>
      </c>
      <c r="J19" s="110" t="str">
        <f>'10U COED GOLD-16 TEAMS CUSTOM'!J30&amp;""</f>
        <v>10U_COED_GOLD</v>
      </c>
      <c r="K19" s="110" t="str">
        <f t="shared" si="1"/>
        <v>202602010800</v>
      </c>
    </row>
    <row r="20" spans="1:11">
      <c r="A20" s="115">
        <f>'10U COED GOLD-16 TEAMS CUSTOM'!A31</f>
        <v>46054</v>
      </c>
      <c r="B20" s="114">
        <f>'10U COED GOLD-16 TEAMS CUSTOM'!B31</f>
        <v>0.36458333333333331</v>
      </c>
      <c r="C20" s="114" t="str">
        <f>'10U COED GOLD-16 TEAMS CUSTOM'!C31&amp;""</f>
        <v>WOOLLETT FAR LEFT</v>
      </c>
      <c r="D20" s="113" t="str">
        <f>'10U COED GOLD-16 TEAMS CUSTOM'!D31&amp;""</f>
        <v>10Cau18</v>
      </c>
      <c r="E20" s="113" t="str">
        <f>'10U COED GOLD-16 TEAMS CUSTOM'!E31&amp;""</f>
        <v>G3-680 RED (girls)</v>
      </c>
      <c r="F20" s="113" t="str">
        <f>'10U COED GOLD-16 TEAMS CUSTOM'!F31&amp;""</f>
        <v>11</v>
      </c>
      <c r="G20" s="113" t="str">
        <f>'10U COED GOLD-16 TEAMS CUSTOM'!G31&amp;""</f>
        <v>G4-SAN CLEMENTE RED (girls)</v>
      </c>
      <c r="H20" s="110" t="str">
        <f>'10U COED GOLD-16 TEAMS CUSTOM'!H31&amp;""</f>
        <v>8</v>
      </c>
      <c r="I20" s="113" t="str">
        <f>'10U COED GOLD-16 TEAMS CUSTOM'!I31&amp;""</f>
        <v>girls 1st-4th</v>
      </c>
      <c r="J20" s="110" t="str">
        <f>'10U COED GOLD-16 TEAMS CUSTOM'!J31&amp;""</f>
        <v>10U_COED_GOLD</v>
      </c>
      <c r="K20" s="110" t="str">
        <f t="shared" si="1"/>
        <v>202602010845</v>
      </c>
    </row>
    <row r="21" spans="1:11">
      <c r="A21" s="115">
        <f>'10U COED GOLD-16 TEAMS CUSTOM'!A32</f>
        <v>46054</v>
      </c>
      <c r="B21" s="114">
        <f>'10U COED GOLD-16 TEAMS CUSTOM'!B32</f>
        <v>0.36458333333333331</v>
      </c>
      <c r="C21" s="114" t="str">
        <f>'10U COED GOLD-16 TEAMS CUSTOM'!C32&amp;""</f>
        <v>EL TORO HS 2</v>
      </c>
      <c r="D21" s="110" t="str">
        <f>'10U COED GOLD-16 TEAMS CUSTOM'!D32&amp;""</f>
        <v>10Cau20</v>
      </c>
      <c r="E21" s="110" t="str">
        <f>'10U COED GOLD-16 TEAMS CUSTOM'!E32&amp;""</f>
        <v>2ndB-ORANGE COUNTY WPC RED</v>
      </c>
      <c r="F21" s="110" t="str">
        <f>'10U COED GOLD-16 TEAMS CUSTOM'!F32&amp;""</f>
        <v>13</v>
      </c>
      <c r="G21" s="110" t="str">
        <f>'10U COED GOLD-16 TEAMS CUSTOM'!G32&amp;""</f>
        <v>2ndC-SAN CLEMENTE BLACK</v>
      </c>
      <c r="H21" s="110" t="str">
        <f>'10U COED GOLD-16 TEAMS CUSTOM'!H32&amp;""</f>
        <v>19</v>
      </c>
      <c r="I21" s="110" t="str">
        <f>'10U COED GOLD-16 TEAMS CUSTOM'!I32&amp;""</f>
        <v>5-8 coed semi</v>
      </c>
      <c r="J21" s="110" t="str">
        <f>'10U COED GOLD-16 TEAMS CUSTOM'!J32&amp;""</f>
        <v>10U_COED_GOLD</v>
      </c>
      <c r="K21" s="110" t="str">
        <f t="shared" si="1"/>
        <v>202602010845</v>
      </c>
    </row>
    <row r="22" spans="1:11">
      <c r="A22" s="115">
        <f>'10U COED GOLD-16 TEAMS CUSTOM'!A33</f>
        <v>46054</v>
      </c>
      <c r="B22" s="114">
        <f>'10U COED GOLD-16 TEAMS CUSTOM'!B33</f>
        <v>0.39583333333333298</v>
      </c>
      <c r="C22" s="114" t="str">
        <f>'10U COED GOLD-16 TEAMS CUSTOM'!C33&amp;""</f>
        <v>EL TORO HS 2</v>
      </c>
      <c r="D22" s="110" t="str">
        <f>'10U COED GOLD-16 TEAMS CUSTOM'!D33&amp;""</f>
        <v>10Cau21</v>
      </c>
      <c r="E22" s="110" t="str">
        <f>'10U COED GOLD-16 TEAMS CUSTOM'!E33&amp;""</f>
        <v>1stA-LA JOLLA UNITED</v>
      </c>
      <c r="F22" s="110" t="str">
        <f>'10U COED GOLD-16 TEAMS CUSTOM'!F33&amp;""</f>
        <v>6.3</v>
      </c>
      <c r="G22" s="110" t="str">
        <f>'10U COED GOLD-16 TEAMS CUSTOM'!G33&amp;""</f>
        <v>1stD-YOLO YELLOW</v>
      </c>
      <c r="H22" s="110" t="str">
        <f>'10U COED GOLD-16 TEAMS CUSTOM'!H33&amp;""</f>
        <v>6</v>
      </c>
      <c r="I22" s="110" t="str">
        <f>'10U COED GOLD-16 TEAMS CUSTOM'!I33&amp;""</f>
        <v>1-4 coed semi</v>
      </c>
      <c r="J22" s="110" t="str">
        <f>'10U COED GOLD-16 TEAMS CUSTOM'!J33&amp;""</f>
        <v>10U_COED_GOLD</v>
      </c>
      <c r="K22" s="110" t="str">
        <f t="shared" si="1"/>
        <v>202602010930</v>
      </c>
    </row>
    <row r="23" spans="1:11">
      <c r="A23" s="115">
        <f>'10U COED GOLD-16 TEAMS CUSTOM'!A34</f>
        <v>46054</v>
      </c>
      <c r="B23" s="114">
        <f>'10U COED GOLD-16 TEAMS CUSTOM'!B34</f>
        <v>0.42708333333333298</v>
      </c>
      <c r="C23" s="114" t="str">
        <f>'10U COED GOLD-16 TEAMS CUSTOM'!C34&amp;""</f>
        <v>EL TORO HS 2</v>
      </c>
      <c r="D23" s="110" t="str">
        <f>'10U COED GOLD-16 TEAMS CUSTOM'!D34&amp;""</f>
        <v>10Cau22</v>
      </c>
      <c r="E23" s="110" t="str">
        <f>'10U COED GOLD-16 TEAMS CUSTOM'!E34&amp;""</f>
        <v>1stB-DAVIS</v>
      </c>
      <c r="F23" s="110" t="str">
        <f>'10U COED GOLD-16 TEAMS CUSTOM'!F34&amp;""</f>
        <v>17</v>
      </c>
      <c r="G23" s="110" t="str">
        <f>'10U COED GOLD-16 TEAMS CUSTOM'!G34&amp;""</f>
        <v>1stC-SOUTH BAY UNITED</v>
      </c>
      <c r="H23" s="110" t="str">
        <f>'10U COED GOLD-16 TEAMS CUSTOM'!H34&amp;""</f>
        <v>4</v>
      </c>
      <c r="I23" s="110" t="str">
        <f>'10U COED GOLD-16 TEAMS CUSTOM'!I34&amp;""</f>
        <v>1-4 coed semi</v>
      </c>
      <c r="J23" s="110" t="str">
        <f>'10U COED GOLD-16 TEAMS CUSTOM'!J34&amp;""</f>
        <v>10U_COED_GOLD</v>
      </c>
      <c r="K23" s="110" t="str">
        <f t="shared" si="1"/>
        <v>202602011015</v>
      </c>
    </row>
    <row r="24" spans="1:11">
      <c r="A24" s="115">
        <f>'10U COED GOLD-16 TEAMS CUSTOM'!A35</f>
        <v>46054</v>
      </c>
      <c r="B24" s="114">
        <f>'10U COED GOLD-16 TEAMS CUSTOM'!B35</f>
        <v>0.45833333333333298</v>
      </c>
      <c r="C24" s="114" t="str">
        <f>'10U COED GOLD-16 TEAMS CUSTOM'!C35&amp;""</f>
        <v>BECKMAN HS 2</v>
      </c>
      <c r="D24" s="113" t="str">
        <f>'10U COED GOLD-16 TEAMS CUSTOM'!D35&amp;""</f>
        <v>10Cau23</v>
      </c>
      <c r="E24" s="113" t="str">
        <f>'10U COED GOLD-16 TEAMS CUSTOM'!E35&amp;""</f>
        <v>G1-LAMORINDA BLUE (A) (girls)</v>
      </c>
      <c r="F24" s="110" t="str">
        <f>'10U COED GOLD-16 TEAMS CUSTOM'!F35&amp;""</f>
        <v>19</v>
      </c>
      <c r="G24" s="110" t="str">
        <f>'10U COED GOLD-16 TEAMS CUSTOM'!G35&amp;""</f>
        <v>3rdB-DEL MAR WHITE</v>
      </c>
      <c r="H24" s="110" t="str">
        <f>'10U COED GOLD-16 TEAMS CUSTOM'!H35&amp;""</f>
        <v>0</v>
      </c>
      <c r="I24" s="110" t="str">
        <f>'10U COED GOLD-16 TEAMS CUSTOM'!I35&amp;""</f>
        <v>girls-coed interact</v>
      </c>
      <c r="J24" s="110" t="str">
        <f>'10U COED GOLD-16 TEAMS CUSTOM'!J35&amp;""</f>
        <v>10U_COED_GOLD</v>
      </c>
      <c r="K24" s="110" t="str">
        <f t="shared" si="1"/>
        <v>202602011100</v>
      </c>
    </row>
    <row r="25" spans="1:11">
      <c r="A25" s="115">
        <f>'10U COED GOLD-16 TEAMS CUSTOM'!A36</f>
        <v>46054</v>
      </c>
      <c r="B25" s="114">
        <f>'10U COED GOLD-16 TEAMS CUSTOM'!B36</f>
        <v>0.45833333333333298</v>
      </c>
      <c r="C25" s="114" t="str">
        <f>'10U COED GOLD-16 TEAMS CUSTOM'!C36&amp;""</f>
        <v>EL TORO HS 2</v>
      </c>
      <c r="D25" s="113" t="str">
        <f>'10U COED GOLD-16 TEAMS CUSTOM'!D36&amp;""</f>
        <v>10Cau25</v>
      </c>
      <c r="E25" s="113" t="str">
        <f>'10U COED GOLD-16 TEAMS CUSTOM'!E36&amp;""</f>
        <v>G3-680 RED (girls)</v>
      </c>
      <c r="F25" s="110" t="str">
        <f>'10U COED GOLD-16 TEAMS CUSTOM'!F36&amp;""</f>
        <v>17</v>
      </c>
      <c r="G25" s="110" t="str">
        <f>'10U COED GOLD-16 TEAMS CUSTOM'!G36&amp;""</f>
        <v>3rdC-SOUTH COAST RED</v>
      </c>
      <c r="H25" s="110" t="str">
        <f>'10U COED GOLD-16 TEAMS CUSTOM'!H36&amp;""</f>
        <v>16</v>
      </c>
      <c r="I25" s="110" t="str">
        <f>'10U COED GOLD-16 TEAMS CUSTOM'!I36&amp;""</f>
        <v>girls-coed interact</v>
      </c>
      <c r="J25" s="110" t="str">
        <f>'10U COED GOLD-16 TEAMS CUSTOM'!J36&amp;""</f>
        <v>10U_COED_GOLD</v>
      </c>
      <c r="K25" s="110" t="str">
        <f t="shared" si="1"/>
        <v>202602011100</v>
      </c>
    </row>
    <row r="26" spans="1:11">
      <c r="A26" s="115">
        <f>'10U COED GOLD-16 TEAMS CUSTOM'!A37</f>
        <v>46054</v>
      </c>
      <c r="B26" s="114">
        <f>'10U COED GOLD-16 TEAMS CUSTOM'!B37</f>
        <v>0.48958333333333298</v>
      </c>
      <c r="C26" s="114" t="str">
        <f>'10U COED GOLD-16 TEAMS CUSTOM'!C37&amp;""</f>
        <v>BECKMAN HS 2</v>
      </c>
      <c r="D26" s="113" t="str">
        <f>'10U COED GOLD-16 TEAMS CUSTOM'!D37&amp;""</f>
        <v>10Cau24</v>
      </c>
      <c r="E26" s="113" t="str">
        <f>'10U COED GOLD-16 TEAMS CUSTOM'!E37&amp;""</f>
        <v>G2-DEL MAR BLUE (girls)</v>
      </c>
      <c r="F26" s="110" t="str">
        <f>'10U COED GOLD-16 TEAMS CUSTOM'!F37&amp;""</f>
        <v>15</v>
      </c>
      <c r="G26" s="110" t="str">
        <f>'10U COED GOLD-16 TEAMS CUSTOM'!G37&amp;""</f>
        <v>3rdD-PATRIOT WHITE</v>
      </c>
      <c r="H26" s="110" t="str">
        <f>'10U COED GOLD-16 TEAMS CUSTOM'!H37&amp;""</f>
        <v>2</v>
      </c>
      <c r="I26" s="110" t="str">
        <f>'10U COED GOLD-16 TEAMS CUSTOM'!I37&amp;""</f>
        <v>girls-coed interact</v>
      </c>
      <c r="J26" s="110" t="str">
        <f>'10U COED GOLD-16 TEAMS CUSTOM'!J37&amp;""</f>
        <v>10U_COED_GOLD</v>
      </c>
      <c r="K26" s="110" t="str">
        <f t="shared" si="1"/>
        <v>202602011145</v>
      </c>
    </row>
    <row r="27" spans="1:11">
      <c r="A27" s="115">
        <f>'10U COED GOLD-16 TEAMS CUSTOM'!A38</f>
        <v>46054</v>
      </c>
      <c r="B27" s="114">
        <f>'10U COED GOLD-16 TEAMS CUSTOM'!B38</f>
        <v>0.48958333333333298</v>
      </c>
      <c r="C27" s="114" t="str">
        <f>'10U COED GOLD-16 TEAMS CUSTOM'!C38&amp;""</f>
        <v>EL TORO HS 2</v>
      </c>
      <c r="D27" s="113" t="str">
        <f>'10U COED GOLD-16 TEAMS CUSTOM'!D38&amp;""</f>
        <v>10Cau26</v>
      </c>
      <c r="E27" s="113" t="str">
        <f>'10U COED GOLD-16 TEAMS CUSTOM'!E38&amp;""</f>
        <v>G4-SAN CLEMENTE RED (girls)</v>
      </c>
      <c r="F27" s="110" t="str">
        <f>'10U COED GOLD-16 TEAMS CUSTOM'!F38&amp;""</f>
        <v>12</v>
      </c>
      <c r="G27" s="110" t="str">
        <f>'10U COED GOLD-16 TEAMS CUSTOM'!G38&amp;""</f>
        <v>3rdA-LAMORINDA C</v>
      </c>
      <c r="H27" s="110" t="str">
        <f>'10U COED GOLD-16 TEAMS CUSTOM'!H38&amp;""</f>
        <v>7</v>
      </c>
      <c r="I27" s="110" t="str">
        <f>'10U COED GOLD-16 TEAMS CUSTOM'!I38&amp;""</f>
        <v>girls-coed interact</v>
      </c>
      <c r="J27" s="110" t="str">
        <f>'10U COED GOLD-16 TEAMS CUSTOM'!J38&amp;""</f>
        <v>10U_COED_GOLD</v>
      </c>
      <c r="K27" s="110" t="str">
        <f t="shared" si="1"/>
        <v>202602011145</v>
      </c>
    </row>
    <row r="28" spans="1:11">
      <c r="A28" s="115">
        <f>'10U COED GOLD-16 TEAMS CUSTOM'!A39</f>
        <v>46054</v>
      </c>
      <c r="B28" s="114">
        <f>'10U COED GOLD-16 TEAMS CUSTOM'!B39</f>
        <v>0.52083333333333304</v>
      </c>
      <c r="C28" s="114" t="str">
        <f>'10U COED GOLD-16 TEAMS CUSTOM'!C39&amp;""</f>
        <v>EL TORO HS 2</v>
      </c>
      <c r="D28" s="110" t="str">
        <f>'10U COED GOLD-16 TEAMS CUSTOM'!D39&amp;""</f>
        <v>10Cau27</v>
      </c>
      <c r="E28" s="110" t="str">
        <f>'10U COED GOLD-16 TEAMS CUSTOM'!E39&amp;""</f>
        <v>L#19-TROJAN</v>
      </c>
      <c r="F28" s="110" t="str">
        <f>'10U COED GOLD-16 TEAMS CUSTOM'!F39&amp;""</f>
        <v>18</v>
      </c>
      <c r="G28" s="110" t="str">
        <f>'10U COED GOLD-16 TEAMS CUSTOM'!G39&amp;""</f>
        <v>L#20-ORANGE COUNTY WPC RED</v>
      </c>
      <c r="H28" s="110" t="str">
        <f>'10U COED GOLD-16 TEAMS CUSTOM'!H39&amp;""</f>
        <v>12</v>
      </c>
      <c r="I28" s="110" t="str">
        <f>'10U COED GOLD-16 TEAMS CUSTOM'!I39&amp;""</f>
        <v>7th Coed</v>
      </c>
      <c r="J28" s="110" t="str">
        <f>'10U COED GOLD-16 TEAMS CUSTOM'!J39&amp;""</f>
        <v>10U_COED_GOLD</v>
      </c>
      <c r="K28" s="110" t="str">
        <f t="shared" si="1"/>
        <v>202602011230</v>
      </c>
    </row>
    <row r="29" spans="1:11">
      <c r="A29" s="115">
        <f>'10U COED GOLD-16 TEAMS CUSTOM'!A40</f>
        <v>46054</v>
      </c>
      <c r="B29" s="114">
        <f>'10U COED GOLD-16 TEAMS CUSTOM'!B40</f>
        <v>0.52083333333333304</v>
      </c>
      <c r="C29" s="114" t="str">
        <f>'10U COED GOLD-16 TEAMS CUSTOM'!C40&amp;""</f>
        <v>WOOLLETT FAR LEFT</v>
      </c>
      <c r="D29" s="110" t="str">
        <f>'10U COED GOLD-16 TEAMS CUSTOM'!D40&amp;""</f>
        <v>10Cau29</v>
      </c>
      <c r="E29" s="110" t="str">
        <f>'10U COED GOLD-16 TEAMS CUSTOM'!E40&amp;""</f>
        <v>L#21-YOLO YELLOW</v>
      </c>
      <c r="F29" s="110" t="str">
        <f>'10U COED GOLD-16 TEAMS CUSTOM'!F40&amp;""</f>
        <v>11.2</v>
      </c>
      <c r="G29" s="110" t="str">
        <f>'10U COED GOLD-16 TEAMS CUSTOM'!G40&amp;""</f>
        <v>L#22-SOUTH BAY UNITED</v>
      </c>
      <c r="H29" s="110" t="str">
        <f>'10U COED GOLD-16 TEAMS CUSTOM'!H40&amp;""</f>
        <v>11.1</v>
      </c>
      <c r="I29" s="110" t="str">
        <f>'10U COED GOLD-16 TEAMS CUSTOM'!I40&amp;""</f>
        <v>3rd Coed</v>
      </c>
      <c r="J29" s="110" t="str">
        <f>'10U COED GOLD-16 TEAMS CUSTOM'!J40&amp;""</f>
        <v>10U_COED_GOLD</v>
      </c>
      <c r="K29" s="110" t="str">
        <f t="shared" si="1"/>
        <v>202602011230</v>
      </c>
    </row>
    <row r="30" spans="1:11">
      <c r="A30" s="115">
        <f>'10U COED GOLD-16 TEAMS CUSTOM'!A41</f>
        <v>46054</v>
      </c>
      <c r="B30" s="114">
        <f>'10U COED GOLD-16 TEAMS CUSTOM'!B41</f>
        <v>0.55208333333333304</v>
      </c>
      <c r="C30" s="114" t="str">
        <f>'10U COED GOLD-16 TEAMS CUSTOM'!C41&amp;""</f>
        <v>EL TORO HS 2</v>
      </c>
      <c r="D30" s="110" t="str">
        <f>'10U COED GOLD-16 TEAMS CUSTOM'!D41&amp;""</f>
        <v>10Cau28</v>
      </c>
      <c r="E30" s="110" t="str">
        <f>'10U COED GOLD-16 TEAMS CUSTOM'!E41&amp;""</f>
        <v>W#19-LOYOLA WPC</v>
      </c>
      <c r="F30" s="110" t="str">
        <f>'10U COED GOLD-16 TEAMS CUSTOM'!F41&amp;""</f>
        <v>10</v>
      </c>
      <c r="G30" s="110" t="str">
        <f>'10U COED GOLD-16 TEAMS CUSTOM'!G41&amp;""</f>
        <v>W#20-SAN CLEMENTE BLACK</v>
      </c>
      <c r="H30" s="110" t="str">
        <f>'10U COED GOLD-16 TEAMS CUSTOM'!H41&amp;""</f>
        <v>6</v>
      </c>
      <c r="I30" s="110" t="str">
        <f>'10U COED GOLD-16 TEAMS CUSTOM'!I41&amp;""</f>
        <v>5th Coed</v>
      </c>
      <c r="J30" s="110" t="str">
        <f>'10U COED GOLD-16 TEAMS CUSTOM'!J41&amp;""</f>
        <v>10U_COED_GOLD</v>
      </c>
      <c r="K30" s="110" t="str">
        <f t="shared" si="1"/>
        <v>202602011315</v>
      </c>
    </row>
    <row r="31" spans="1:11">
      <c r="A31" s="115">
        <f>'10U COED GOLD-16 TEAMS CUSTOM'!A42</f>
        <v>46054</v>
      </c>
      <c r="B31" s="114">
        <f>'10U COED GOLD-16 TEAMS CUSTOM'!B42</f>
        <v>0.55208333333333304</v>
      </c>
      <c r="C31" s="114" t="str">
        <f>'10U COED GOLD-16 TEAMS CUSTOM'!C42&amp;""</f>
        <v>WOOLLETT FAR LEFT</v>
      </c>
      <c r="D31" s="110" t="str">
        <f>'10U COED GOLD-16 TEAMS CUSTOM'!D42&amp;""</f>
        <v>10Cau30</v>
      </c>
      <c r="E31" s="110" t="str">
        <f>'10U COED GOLD-16 TEAMS CUSTOM'!E42&amp;""</f>
        <v>W#21-LA JOLLA UNITED</v>
      </c>
      <c r="F31" s="110" t="str">
        <f>'10U COED GOLD-16 TEAMS CUSTOM'!F42&amp;""</f>
        <v>7</v>
      </c>
      <c r="G31" s="110" t="str">
        <f>'10U COED GOLD-16 TEAMS CUSTOM'!G42&amp;""</f>
        <v>W#22-DAVIS</v>
      </c>
      <c r="H31" s="110" t="str">
        <f>'10U COED GOLD-16 TEAMS CUSTOM'!H42&amp;""</f>
        <v>13</v>
      </c>
      <c r="I31" s="110" t="str">
        <f>'10U COED GOLD-16 TEAMS CUSTOM'!I42&amp;""</f>
        <v>1st Coed</v>
      </c>
      <c r="J31" s="110" t="str">
        <f>'10U COED GOLD-16 TEAMS CUSTOM'!J42&amp;""</f>
        <v>10U_COED_GOLD</v>
      </c>
      <c r="K31" s="110" t="str">
        <f t="shared" si="1"/>
        <v>202602011315</v>
      </c>
    </row>
    <row r="32" spans="1:11">
      <c r="A32" s="115">
        <f>'10U COED GOLD-16 TEAMS CUSTOM'!A43</f>
        <v>46054</v>
      </c>
      <c r="B32" s="114">
        <f>'10U COED GOLD-16 TEAMS CUSTOM'!B43</f>
        <v>0.58333333333333304</v>
      </c>
      <c r="C32" s="114" t="str">
        <f>'10U COED GOLD-16 TEAMS CUSTOM'!C43&amp;""</f>
        <v>EL TORO HS 2</v>
      </c>
      <c r="D32" s="110" t="str">
        <f>'10U COED GOLD-16 TEAMS CUSTOM'!D43&amp;""</f>
        <v>10Cau31</v>
      </c>
      <c r="E32" s="110" t="str">
        <f>'10U COED GOLD-16 TEAMS CUSTOM'!E43&amp;""</f>
        <v>3rdA-LAMORINDA C</v>
      </c>
      <c r="F32" s="110" t="str">
        <f>'10U COED GOLD-16 TEAMS CUSTOM'!F43&amp;""</f>
        <v>12.3</v>
      </c>
      <c r="G32" s="110" t="str">
        <f>'10U COED GOLD-16 TEAMS CUSTOM'!G43&amp;""</f>
        <v>3rdD-PATRIOT WHITE</v>
      </c>
      <c r="H32" s="110" t="str">
        <f>'10U COED GOLD-16 TEAMS CUSTOM'!H43&amp;""</f>
        <v>12.2</v>
      </c>
      <c r="I32" s="110" t="str">
        <f>'10U COED GOLD-16 TEAMS CUSTOM'!I43&amp;""</f>
        <v>coed 9-12</v>
      </c>
      <c r="J32" s="110" t="str">
        <f>'10U COED GOLD-16 TEAMS CUSTOM'!J43&amp;""</f>
        <v>10U_COED_GOLD</v>
      </c>
      <c r="K32" s="110" t="str">
        <f t="shared" si="1"/>
        <v>202602011400</v>
      </c>
    </row>
    <row r="33" spans="1:11">
      <c r="A33" s="115">
        <f>'10U COED GOLD-16 TEAMS CUSTOM'!A44</f>
        <v>46054</v>
      </c>
      <c r="B33" s="114">
        <f>'10U COED GOLD-16 TEAMS CUSTOM'!B44</f>
        <v>0.61458333333333304</v>
      </c>
      <c r="C33" s="114" t="str">
        <f>'10U COED GOLD-16 TEAMS CUSTOM'!C44&amp;""</f>
        <v>EL TORO HS 2</v>
      </c>
      <c r="D33" s="110" t="str">
        <f>'10U COED GOLD-16 TEAMS CUSTOM'!D44&amp;""</f>
        <v>10Cau32</v>
      </c>
      <c r="E33" s="110" t="str">
        <f>'10U COED GOLD-16 TEAMS CUSTOM'!E44&amp;""</f>
        <v>3rdB-DEL MAR WHITE</v>
      </c>
      <c r="F33" s="110" t="str">
        <f>'10U COED GOLD-16 TEAMS CUSTOM'!F44&amp;""</f>
        <v/>
      </c>
      <c r="G33" s="110" t="str">
        <f>'10U COED GOLD-16 TEAMS CUSTOM'!G44&amp;""</f>
        <v>3rdC-SOUTH COAST RED</v>
      </c>
      <c r="H33" s="110" t="str">
        <f>'10U COED GOLD-16 TEAMS CUSTOM'!H44&amp;""</f>
        <v>12</v>
      </c>
      <c r="I33" s="110" t="str">
        <f>'10U COED GOLD-16 TEAMS CUSTOM'!I44&amp;""</f>
        <v>coed 9-12</v>
      </c>
      <c r="J33" s="110" t="str">
        <f>'10U COED GOLD-16 TEAMS CUSTOM'!J44&amp;""</f>
        <v>10U_COED_GOLD</v>
      </c>
      <c r="K33" s="110" t="str">
        <f t="shared" si="1"/>
        <v>202602011445</v>
      </c>
    </row>
    <row r="34" spans="1:11">
      <c r="A34" s="125">
        <f>'10U COED PLATINUM-8 TEAMS'!A10</f>
        <v>46053</v>
      </c>
      <c r="B34" s="124">
        <f>'10U COED PLATINUM-8 TEAMS'!B10</f>
        <v>0.33333333333333331</v>
      </c>
      <c r="C34" s="111" t="str">
        <f>'10U COED PLATINUM-8 TEAMS'!C10&amp;""</f>
        <v>WOOLLETT FAR LEFT</v>
      </c>
      <c r="D34" s="111" t="str">
        <f>'10U COED PLATINUM-8 TEAMS'!D10&amp;""</f>
        <v>10Cpt01</v>
      </c>
      <c r="E34" s="111" t="str">
        <f>'10U COED PLATINUM-8 TEAMS'!E10&amp;""</f>
        <v>B1-ORANGE COUNTY WPC BLUE</v>
      </c>
      <c r="F34" s="128" t="str">
        <f>'10U COED PLATINUM-8 TEAMS'!F10&amp;""</f>
        <v>15</v>
      </c>
      <c r="G34" s="111" t="str">
        <f>'10U COED PLATINUM-8 TEAMS'!G10&amp;""</f>
        <v>B3-PATRIOT RED</v>
      </c>
      <c r="H34" s="111" t="str">
        <f>'10U COED PLATINUM-8 TEAMS'!H10&amp;""</f>
        <v>3</v>
      </c>
      <c r="I34" s="111" t="str">
        <f>'10U COED PLATINUM-8 TEAMS'!I10&amp;""</f>
        <v>bracket, B1/B3</v>
      </c>
      <c r="J34" s="111" t="str">
        <f>'10U COED PLATINUM-8 TEAMS'!J10&amp;""</f>
        <v>10U_COED_PLATINUM</v>
      </c>
      <c r="K34" s="111" t="str">
        <f t="shared" si="1"/>
        <v>202601310800</v>
      </c>
    </row>
    <row r="35" spans="1:11">
      <c r="A35" s="125">
        <f>'10U COED PLATINUM-8 TEAMS'!A11</f>
        <v>46053</v>
      </c>
      <c r="B35" s="124">
        <f>'10U COED PLATINUM-8 TEAMS'!B11</f>
        <v>0.36458333333333331</v>
      </c>
      <c r="C35" s="111" t="str">
        <f>'10U COED PLATINUM-8 TEAMS'!C11&amp;""</f>
        <v>WOOLLETT FAR LEFT</v>
      </c>
      <c r="D35" s="111" t="str">
        <f>'10U COED PLATINUM-8 TEAMS'!D11&amp;""</f>
        <v>10Cpt02</v>
      </c>
      <c r="E35" s="111" t="str">
        <f>'10U COED PLATINUM-8 TEAMS'!E11&amp;""</f>
        <v>B2-CHULA VISTA PREMIER</v>
      </c>
      <c r="F35" s="111" t="str">
        <f>'10U COED PLATINUM-8 TEAMS'!F11&amp;""</f>
        <v>17</v>
      </c>
      <c r="G35" s="111" t="str">
        <f>'10U COED PLATINUM-8 TEAMS'!G11&amp;""</f>
        <v>B4-LAMORINDA GOLD (B)</v>
      </c>
      <c r="H35" s="111" t="str">
        <f>'10U COED PLATINUM-8 TEAMS'!H11&amp;""</f>
        <v>2</v>
      </c>
      <c r="I35" s="111" t="str">
        <f>'10U COED PLATINUM-8 TEAMS'!I11&amp;""</f>
        <v>bracket, B2/B4</v>
      </c>
      <c r="J35" s="111" t="str">
        <f>'10U COED PLATINUM-8 TEAMS'!J11&amp;""</f>
        <v>10U_COED_PLATINUM</v>
      </c>
      <c r="K35" s="111" t="str">
        <f t="shared" si="1"/>
        <v>202601310845</v>
      </c>
    </row>
    <row r="36" spans="1:11">
      <c r="A36" s="125">
        <f>'10U COED PLATINUM-8 TEAMS'!A12</f>
        <v>46053</v>
      </c>
      <c r="B36" s="124">
        <f>'10U COED PLATINUM-8 TEAMS'!B12</f>
        <v>0.39583333333333298</v>
      </c>
      <c r="C36" s="111" t="str">
        <f>'10U COED PLATINUM-8 TEAMS'!C12&amp;""</f>
        <v>WOOLLETT FAR LEFT</v>
      </c>
      <c r="D36" s="111" t="str">
        <f>'10U COED PLATINUM-8 TEAMS'!D12&amp;""</f>
        <v>10Cpt03</v>
      </c>
      <c r="E36" s="111" t="str">
        <f>'10U COED PLATINUM-8 TEAMS'!E12&amp;""</f>
        <v>A1-CHANNEL ISLANDS UNITED</v>
      </c>
      <c r="F36" s="111" t="str">
        <f>'10U COED PLATINUM-8 TEAMS'!F12&amp;""</f>
        <v>10</v>
      </c>
      <c r="G36" s="111" t="str">
        <f>'10U COED PLATINUM-8 TEAMS'!G12&amp;""</f>
        <v>A3-YOLO BLACK</v>
      </c>
      <c r="H36" s="111" t="str">
        <f>'10U COED PLATINUM-8 TEAMS'!H12&amp;""</f>
        <v>9</v>
      </c>
      <c r="I36" s="111" t="str">
        <f>'10U COED PLATINUM-8 TEAMS'!I12&amp;""</f>
        <v>bracket, A1/A3</v>
      </c>
      <c r="J36" s="111" t="str">
        <f>'10U COED PLATINUM-8 TEAMS'!J12&amp;""</f>
        <v>10U_COED_PLATINUM</v>
      </c>
      <c r="K36" s="111" t="str">
        <f t="shared" si="1"/>
        <v>202601310930</v>
      </c>
    </row>
    <row r="37" spans="1:11">
      <c r="A37" s="125">
        <f>'10U COED PLATINUM-8 TEAMS'!A13</f>
        <v>46053</v>
      </c>
      <c r="B37" s="124">
        <f>'10U COED PLATINUM-8 TEAMS'!B13</f>
        <v>0.42708333333333298</v>
      </c>
      <c r="C37" s="111" t="str">
        <f>'10U COED PLATINUM-8 TEAMS'!C13&amp;""</f>
        <v>WOOLLETT FAR LEFT</v>
      </c>
      <c r="D37" s="111" t="str">
        <f>'10U COED PLATINUM-8 TEAMS'!D13&amp;""</f>
        <v>10Cpt04</v>
      </c>
      <c r="E37" s="111" t="str">
        <f>'10U COED PLATINUM-8 TEAMS'!E13&amp;""</f>
        <v>A2-FOOTHILL RED</v>
      </c>
      <c r="F37" s="111" t="str">
        <f>'10U COED PLATINUM-8 TEAMS'!F13&amp;""</f>
        <v>2</v>
      </c>
      <c r="G37" s="111" t="str">
        <f>'10U COED PLATINUM-8 TEAMS'!G13&amp;""</f>
        <v>A4-NORTH IRVINE BLACK</v>
      </c>
      <c r="H37" s="111" t="str">
        <f>'10U COED PLATINUM-8 TEAMS'!H13&amp;""</f>
        <v>15</v>
      </c>
      <c r="I37" s="111" t="str">
        <f>'10U COED PLATINUM-8 TEAMS'!I13&amp;""</f>
        <v>bracket, A2/A4</v>
      </c>
      <c r="J37" s="111" t="str">
        <f>'10U COED PLATINUM-8 TEAMS'!J13&amp;""</f>
        <v>10U_COED_PLATINUM</v>
      </c>
      <c r="K37" s="111" t="str">
        <f t="shared" si="1"/>
        <v>202601311015</v>
      </c>
    </row>
    <row r="38" spans="1:11">
      <c r="A38" s="125">
        <f>'10U COED PLATINUM-8 TEAMS'!A15</f>
        <v>46053</v>
      </c>
      <c r="B38" s="124">
        <f>'10U COED PLATINUM-8 TEAMS'!B15</f>
        <v>0.52083333333333304</v>
      </c>
      <c r="C38" s="111" t="str">
        <f>'10U COED PLATINUM-8 TEAMS'!C15&amp;""</f>
        <v>WOOLLETT FAR LEFT</v>
      </c>
      <c r="D38" s="111" t="str">
        <f>'10U COED PLATINUM-8 TEAMS'!D15&amp;""</f>
        <v>10Cpt05</v>
      </c>
      <c r="E38" s="111" t="str">
        <f>'10U COED PLATINUM-8 TEAMS'!E15&amp;""</f>
        <v>B1-ORANGE COUNTY WPC BLUE</v>
      </c>
      <c r="F38" s="111" t="str">
        <f>'10U COED PLATINUM-8 TEAMS'!F15&amp;""</f>
        <v>16</v>
      </c>
      <c r="G38" s="111" t="str">
        <f>'10U COED PLATINUM-8 TEAMS'!G15&amp;""</f>
        <v>B4-LAMORINDA GOLD (B)</v>
      </c>
      <c r="H38" s="111" t="str">
        <f>'10U COED PLATINUM-8 TEAMS'!H15&amp;""</f>
        <v>3</v>
      </c>
      <c r="I38" s="111" t="str">
        <f>'10U COED PLATINUM-8 TEAMS'!I15&amp;""</f>
        <v>bracket, B1/B4</v>
      </c>
      <c r="J38" s="111" t="str">
        <f>'10U COED PLATINUM-8 TEAMS'!J15&amp;""</f>
        <v>10U_COED_PLATINUM</v>
      </c>
      <c r="K38" s="111" t="str">
        <f t="shared" si="1"/>
        <v>202601311230</v>
      </c>
    </row>
    <row r="39" spans="1:11">
      <c r="A39" s="125">
        <f>'10U COED PLATINUM-8 TEAMS'!A16</f>
        <v>46053</v>
      </c>
      <c r="B39" s="124">
        <f>'10U COED PLATINUM-8 TEAMS'!B16</f>
        <v>0.55208333333333304</v>
      </c>
      <c r="C39" s="111" t="str">
        <f>'10U COED PLATINUM-8 TEAMS'!C16&amp;""</f>
        <v>WOOLLETT FAR LEFT</v>
      </c>
      <c r="D39" s="111" t="str">
        <f>'10U COED PLATINUM-8 TEAMS'!D16&amp;""</f>
        <v>10Cpt06</v>
      </c>
      <c r="E39" s="111" t="str">
        <f>'10U COED PLATINUM-8 TEAMS'!E16&amp;""</f>
        <v>B2-CHULA VISTA PREMIER</v>
      </c>
      <c r="F39" s="111" t="str">
        <f>'10U COED PLATINUM-8 TEAMS'!F16&amp;""</f>
        <v>18</v>
      </c>
      <c r="G39" s="111" t="str">
        <f>'10U COED PLATINUM-8 TEAMS'!G16&amp;""</f>
        <v>B3-PATRIOT RED</v>
      </c>
      <c r="H39" s="111" t="str">
        <f>'10U COED PLATINUM-8 TEAMS'!H16&amp;""</f>
        <v>8</v>
      </c>
      <c r="I39" s="111" t="str">
        <f>'10U COED PLATINUM-8 TEAMS'!I16&amp;""</f>
        <v>bracket, B2/B3</v>
      </c>
      <c r="J39" s="111" t="str">
        <f>'10U COED PLATINUM-8 TEAMS'!J16&amp;""</f>
        <v>10U_COED_PLATINUM</v>
      </c>
      <c r="K39" s="111" t="str">
        <f t="shared" si="1"/>
        <v>202601311315</v>
      </c>
    </row>
    <row r="40" spans="1:11">
      <c r="A40" s="125">
        <f>'10U COED PLATINUM-8 TEAMS'!A17</f>
        <v>46053</v>
      </c>
      <c r="B40" s="124">
        <f>'10U COED PLATINUM-8 TEAMS'!B17</f>
        <v>0.58333333333333304</v>
      </c>
      <c r="C40" s="111" t="str">
        <f>'10U COED PLATINUM-8 TEAMS'!C17&amp;""</f>
        <v>WOOLLETT FAR LEFT</v>
      </c>
      <c r="D40" s="111" t="str">
        <f>'10U COED PLATINUM-8 TEAMS'!D17&amp;""</f>
        <v>10Cpt07</v>
      </c>
      <c r="E40" s="111" t="str">
        <f>'10U COED PLATINUM-8 TEAMS'!E17&amp;""</f>
        <v>A1-CHANNEL ISLANDS UNITED</v>
      </c>
      <c r="F40" s="111" t="str">
        <f>'10U COED PLATINUM-8 TEAMS'!F17&amp;""</f>
        <v>11</v>
      </c>
      <c r="G40" s="111" t="str">
        <f>'10U COED PLATINUM-8 TEAMS'!G17&amp;""</f>
        <v>A4-NORTH IRVINE BLACK</v>
      </c>
      <c r="H40" s="111" t="str">
        <f>'10U COED PLATINUM-8 TEAMS'!H17&amp;""</f>
        <v>12</v>
      </c>
      <c r="I40" s="111" t="str">
        <f>'10U COED PLATINUM-8 TEAMS'!I17&amp;""</f>
        <v>bracket, A1/A4</v>
      </c>
      <c r="J40" s="111" t="str">
        <f>'10U COED PLATINUM-8 TEAMS'!J17&amp;""</f>
        <v>10U_COED_PLATINUM</v>
      </c>
      <c r="K40" s="111" t="str">
        <f t="shared" si="1"/>
        <v>202601311400</v>
      </c>
    </row>
    <row r="41" spans="1:11">
      <c r="A41" s="125">
        <f>'10U COED PLATINUM-8 TEAMS'!A18</f>
        <v>46053</v>
      </c>
      <c r="B41" s="124">
        <f>'10U COED PLATINUM-8 TEAMS'!B18</f>
        <v>0.61458333333333304</v>
      </c>
      <c r="C41" s="111" t="str">
        <f>'10U COED PLATINUM-8 TEAMS'!C18&amp;""</f>
        <v>WOOLLETT FAR LEFT</v>
      </c>
      <c r="D41" s="111" t="str">
        <f>'10U COED PLATINUM-8 TEAMS'!D18&amp;""</f>
        <v>10Cpt08</v>
      </c>
      <c r="E41" s="111" t="str">
        <f>'10U COED PLATINUM-8 TEAMS'!E18&amp;""</f>
        <v>A2-FOOTHILL RED</v>
      </c>
      <c r="F41" s="111" t="str">
        <f>'10U COED PLATINUM-8 TEAMS'!F18&amp;""</f>
        <v>5</v>
      </c>
      <c r="G41" s="111" t="str">
        <f>'10U COED PLATINUM-8 TEAMS'!G18&amp;""</f>
        <v>A3-YOLO BLACK</v>
      </c>
      <c r="H41" s="111" t="str">
        <f>'10U COED PLATINUM-8 TEAMS'!H18&amp;""</f>
        <v>11</v>
      </c>
      <c r="I41" s="111" t="str">
        <f>'10U COED PLATINUM-8 TEAMS'!I18&amp;""</f>
        <v>bracket, A2/A3</v>
      </c>
      <c r="J41" s="111" t="str">
        <f>'10U COED PLATINUM-8 TEAMS'!J18&amp;""</f>
        <v>10U_COED_PLATINUM</v>
      </c>
      <c r="K41" s="111" t="str">
        <f t="shared" si="1"/>
        <v>202601311445</v>
      </c>
    </row>
    <row r="42" spans="1:11">
      <c r="A42" s="125">
        <f>'10U COED PLATINUM-8 TEAMS'!A22</f>
        <v>46054</v>
      </c>
      <c r="B42" s="124">
        <f>'10U COED PLATINUM-8 TEAMS'!B22</f>
        <v>0.39583333333333298</v>
      </c>
      <c r="C42" s="111" t="str">
        <f>'10U COED PLATINUM-8 TEAMS'!C22&amp;""</f>
        <v>WOOLLETT FAR LEFT</v>
      </c>
      <c r="D42" s="111" t="str">
        <f>'10U COED PLATINUM-8 TEAMS'!D22&amp;""</f>
        <v>10Cpt09</v>
      </c>
      <c r="E42" s="111" t="str">
        <f>'10U COED PLATINUM-8 TEAMS'!E22&amp;""</f>
        <v>B3-PATRIOT RED</v>
      </c>
      <c r="F42" s="111" t="str">
        <f>'10U COED PLATINUM-8 TEAMS'!F22&amp;""</f>
        <v>21</v>
      </c>
      <c r="G42" s="111" t="str">
        <f>'10U COED PLATINUM-8 TEAMS'!G22&amp;""</f>
        <v>B4-LAMORINDA GOLD (B)</v>
      </c>
      <c r="H42" s="111" t="str">
        <f>'10U COED PLATINUM-8 TEAMS'!H22&amp;""</f>
        <v>6</v>
      </c>
      <c r="I42" s="111" t="str">
        <f>'10U COED PLATINUM-8 TEAMS'!I22&amp;""</f>
        <v>bracket, B3/B4</v>
      </c>
      <c r="J42" s="111" t="str">
        <f>'10U COED PLATINUM-8 TEAMS'!J22&amp;""</f>
        <v>10U_COED_PLATINUM</v>
      </c>
      <c r="K42" s="111" t="str">
        <f t="shared" si="1"/>
        <v>202602010930</v>
      </c>
    </row>
    <row r="43" spans="1:11">
      <c r="A43" s="125">
        <f>'10U COED PLATINUM-8 TEAMS'!A23</f>
        <v>46054</v>
      </c>
      <c r="B43" s="124">
        <f>'10U COED PLATINUM-8 TEAMS'!B23</f>
        <v>0.42708333333333298</v>
      </c>
      <c r="C43" s="111" t="str">
        <f>'10U COED PLATINUM-8 TEAMS'!C23&amp;""</f>
        <v>WOOLLETT FAR LEFT</v>
      </c>
      <c r="D43" s="111" t="str">
        <f>'10U COED PLATINUM-8 TEAMS'!D23&amp;""</f>
        <v>10Cpt10</v>
      </c>
      <c r="E43" s="111" t="str">
        <f>'10U COED PLATINUM-8 TEAMS'!E23&amp;""</f>
        <v>A3-YOLO BLACK</v>
      </c>
      <c r="F43" s="111" t="str">
        <f>'10U COED PLATINUM-8 TEAMS'!F23&amp;""</f>
        <v>7</v>
      </c>
      <c r="G43" s="111" t="str">
        <f>'10U COED PLATINUM-8 TEAMS'!G23&amp;""</f>
        <v>A4-NORTH IRVINE BLACK</v>
      </c>
      <c r="H43" s="111" t="str">
        <f>'10U COED PLATINUM-8 TEAMS'!H23&amp;""</f>
        <v>12</v>
      </c>
      <c r="I43" s="111" t="str">
        <f>'10U COED PLATINUM-8 TEAMS'!I23&amp;""</f>
        <v>bracket, A3/A4</v>
      </c>
      <c r="J43" s="111" t="str">
        <f>'10U COED PLATINUM-8 TEAMS'!J23&amp;""</f>
        <v>10U_COED_PLATINUM</v>
      </c>
      <c r="K43" s="111" t="str">
        <f t="shared" si="1"/>
        <v>202602011015</v>
      </c>
    </row>
    <row r="44" spans="1:11">
      <c r="A44" s="125">
        <f>'10U COED PLATINUM-8 TEAMS'!A24</f>
        <v>46054</v>
      </c>
      <c r="B44" s="124">
        <f>'10U COED PLATINUM-8 TEAMS'!B24</f>
        <v>0.45833333333333298</v>
      </c>
      <c r="C44" s="111" t="str">
        <f>'10U COED PLATINUM-8 TEAMS'!C24&amp;""</f>
        <v>WOOLLETT FAR LEFT</v>
      </c>
      <c r="D44" s="111" t="str">
        <f>'10U COED PLATINUM-8 TEAMS'!D24&amp;""</f>
        <v>10Cpt11</v>
      </c>
      <c r="E44" s="111" t="str">
        <f>'10U COED PLATINUM-8 TEAMS'!E24&amp;""</f>
        <v>B1-ORANGE COUNTY WPC BLUE</v>
      </c>
      <c r="F44" s="111" t="str">
        <f>'10U COED PLATINUM-8 TEAMS'!F24&amp;""</f>
        <v>18</v>
      </c>
      <c r="G44" s="111" t="str">
        <f>'10U COED PLATINUM-8 TEAMS'!G24&amp;""</f>
        <v>B2-CHULA VISTA PREMIER</v>
      </c>
      <c r="H44" s="111" t="str">
        <f>'10U COED PLATINUM-8 TEAMS'!H24&amp;""</f>
        <v>10</v>
      </c>
      <c r="I44" s="111" t="str">
        <f>'10U COED PLATINUM-8 TEAMS'!I24&amp;""</f>
        <v>bracket, B1/B2</v>
      </c>
      <c r="J44" s="111" t="str">
        <f>'10U COED PLATINUM-8 TEAMS'!J24&amp;""</f>
        <v>10U_COED_PLATINUM</v>
      </c>
      <c r="K44" s="111" t="str">
        <f t="shared" si="1"/>
        <v>202602011100</v>
      </c>
    </row>
    <row r="45" spans="1:11">
      <c r="A45" s="125">
        <f>'10U COED PLATINUM-8 TEAMS'!A25</f>
        <v>46054</v>
      </c>
      <c r="B45" s="124">
        <f>'10U COED PLATINUM-8 TEAMS'!B25</f>
        <v>0.48958333333333298</v>
      </c>
      <c r="C45" s="111" t="str">
        <f>'10U COED PLATINUM-8 TEAMS'!C25&amp;""</f>
        <v>WOOLLETT FAR LEFT</v>
      </c>
      <c r="D45" s="111" t="str">
        <f>'10U COED PLATINUM-8 TEAMS'!D25&amp;""</f>
        <v>10Cpt12</v>
      </c>
      <c r="E45" s="111" t="str">
        <f>'10U COED PLATINUM-8 TEAMS'!E25&amp;""</f>
        <v>A1-CHANNEL ISLANDS UNITED</v>
      </c>
      <c r="F45" s="111" t="str">
        <f>'10U COED PLATINUM-8 TEAMS'!F25&amp;""</f>
        <v>19</v>
      </c>
      <c r="G45" s="111" t="str">
        <f>'10U COED PLATINUM-8 TEAMS'!G25&amp;""</f>
        <v>A2-FOOTHILL RED</v>
      </c>
      <c r="H45" s="111" t="str">
        <f>'10U COED PLATINUM-8 TEAMS'!H25&amp;""</f>
        <v>6</v>
      </c>
      <c r="I45" s="111" t="str">
        <f>'10U COED PLATINUM-8 TEAMS'!I25&amp;""</f>
        <v>bracket, A1/A2</v>
      </c>
      <c r="J45" s="111" t="str">
        <f>'10U COED PLATINUM-8 TEAMS'!J25&amp;""</f>
        <v>10U_COED_PLATINUM</v>
      </c>
      <c r="K45" s="111" t="str">
        <f t="shared" si="1"/>
        <v>202602011145</v>
      </c>
    </row>
    <row r="46" spans="1:11">
      <c r="A46" s="125">
        <f>'10U COED PLATINUM-8 TEAMS'!A27</f>
        <v>46054</v>
      </c>
      <c r="B46" s="124">
        <f>'10U COED PLATINUM-8 TEAMS'!B27</f>
        <v>0.58333333333333304</v>
      </c>
      <c r="C46" s="111" t="str">
        <f>'10U COED PLATINUM-8 TEAMS'!C27&amp;""</f>
        <v>BECKMAN HS 2</v>
      </c>
      <c r="D46" s="111" t="str">
        <f>'10U COED PLATINUM-8 TEAMS'!D27&amp;""</f>
        <v>10Cpt13</v>
      </c>
      <c r="E46" s="111" t="str">
        <f>'10U COED PLATINUM-8 TEAMS'!E27&amp;""</f>
        <v>4thA-FOOTHILL RED</v>
      </c>
      <c r="F46" s="111" t="str">
        <f>'10U COED PLATINUM-8 TEAMS'!F27&amp;""</f>
        <v>15</v>
      </c>
      <c r="G46" s="111" t="str">
        <f>'10U COED PLATINUM-8 TEAMS'!G27&amp;""</f>
        <v>4thB-LAMORINDA GOLD (B)</v>
      </c>
      <c r="H46" s="111" t="str">
        <f>'10U COED PLATINUM-8 TEAMS'!H27&amp;""</f>
        <v>5</v>
      </c>
      <c r="I46" s="111" t="str">
        <f>'10U COED PLATINUM-8 TEAMS'!I27&amp;""</f>
        <v>7th</v>
      </c>
      <c r="J46" s="111" t="str">
        <f>'10U COED PLATINUM-8 TEAMS'!J27&amp;""</f>
        <v>10U_COED_PLATINUM</v>
      </c>
      <c r="K46" s="111" t="str">
        <f t="shared" si="1"/>
        <v>202602011400</v>
      </c>
    </row>
    <row r="47" spans="1:11">
      <c r="A47" s="125">
        <f>'10U COED PLATINUM-8 TEAMS'!A28</f>
        <v>46054</v>
      </c>
      <c r="B47" s="124">
        <f>'10U COED PLATINUM-8 TEAMS'!B28</f>
        <v>0.61458333333333304</v>
      </c>
      <c r="C47" s="111" t="str">
        <f>'10U COED PLATINUM-8 TEAMS'!C28&amp;""</f>
        <v>BECKMAN HS 2</v>
      </c>
      <c r="D47" s="111" t="str">
        <f>'10U COED PLATINUM-8 TEAMS'!D28&amp;""</f>
        <v>10Cpt14</v>
      </c>
      <c r="E47" s="111" t="str">
        <f>'10U COED PLATINUM-8 TEAMS'!E28&amp;""</f>
        <v>3rdA-YOLO BLACK</v>
      </c>
      <c r="F47" s="111" t="str">
        <f>'10U COED PLATINUM-8 TEAMS'!F28&amp;""</f>
        <v>17</v>
      </c>
      <c r="G47" s="111" t="str">
        <f>'10U COED PLATINUM-8 TEAMS'!G28&amp;""</f>
        <v>3rdB-PATRIOT RED</v>
      </c>
      <c r="H47" s="111" t="str">
        <f>'10U COED PLATINUM-8 TEAMS'!H28&amp;""</f>
        <v>4</v>
      </c>
      <c r="I47" s="111" t="str">
        <f>'10U COED PLATINUM-8 TEAMS'!I28&amp;""</f>
        <v>5th</v>
      </c>
      <c r="J47" s="111" t="str">
        <f>'10U COED PLATINUM-8 TEAMS'!J28&amp;""</f>
        <v>10U_COED_PLATINUM</v>
      </c>
      <c r="K47" s="111" t="str">
        <f t="shared" si="1"/>
        <v>202602011445</v>
      </c>
    </row>
    <row r="48" spans="1:11">
      <c r="A48" s="125">
        <f>'10U COED PLATINUM-8 TEAMS'!A29</f>
        <v>46054</v>
      </c>
      <c r="B48" s="124">
        <f>'10U COED PLATINUM-8 TEAMS'!B29</f>
        <v>0.64583333333333304</v>
      </c>
      <c r="C48" s="111" t="str">
        <f>'10U COED PLATINUM-8 TEAMS'!C29&amp;""</f>
        <v>WOOLLETT FAR LEFT</v>
      </c>
      <c r="D48" s="111" t="str">
        <f>'10U COED PLATINUM-8 TEAMS'!D29&amp;""</f>
        <v>10Cpt15</v>
      </c>
      <c r="E48" s="111" t="str">
        <f>'10U COED PLATINUM-8 TEAMS'!E29&amp;""</f>
        <v>2ndA-CHANNEL ISLANDS UNITED</v>
      </c>
      <c r="F48" s="111" t="str">
        <f>'10U COED PLATINUM-8 TEAMS'!F29&amp;""</f>
        <v>9</v>
      </c>
      <c r="G48" s="111" t="str">
        <f>'10U COED PLATINUM-8 TEAMS'!G29&amp;""</f>
        <v>2ndB-CHULA VISTA PREMIER</v>
      </c>
      <c r="H48" s="111" t="str">
        <f>'10U COED PLATINUM-8 TEAMS'!H29&amp;""</f>
        <v>8</v>
      </c>
      <c r="I48" s="111" t="str">
        <f>'10U COED PLATINUM-8 TEAMS'!I29&amp;""</f>
        <v>3rd</v>
      </c>
      <c r="J48" s="111" t="str">
        <f>'10U COED PLATINUM-8 TEAMS'!J29&amp;""</f>
        <v>10U_COED_PLATINUM</v>
      </c>
      <c r="K48" s="111" t="str">
        <f t="shared" si="1"/>
        <v>202602011530</v>
      </c>
    </row>
    <row r="49" spans="1:11">
      <c r="A49" s="125">
        <f>'10U COED PLATINUM-8 TEAMS'!A30</f>
        <v>46054</v>
      </c>
      <c r="B49" s="124">
        <f>'10U COED PLATINUM-8 TEAMS'!B30</f>
        <v>0.67708333333333304</v>
      </c>
      <c r="C49" s="111" t="str">
        <f>'10U COED PLATINUM-8 TEAMS'!C30&amp;""</f>
        <v>WOOLLETT FAR LEFT</v>
      </c>
      <c r="D49" s="111" t="str">
        <f>'10U COED PLATINUM-8 TEAMS'!D30&amp;""</f>
        <v>10Cpt16</v>
      </c>
      <c r="E49" s="123" t="str">
        <f>'10U COED PLATINUM-8 TEAMS'!E30&amp;""</f>
        <v>1stA-NORTH IRVINE BLACK</v>
      </c>
      <c r="F49" s="111" t="str">
        <f>'10U COED PLATINUM-8 TEAMS'!F30&amp;""</f>
        <v>8</v>
      </c>
      <c r="G49" s="111" t="str">
        <f>'10U COED PLATINUM-8 TEAMS'!G30&amp;""</f>
        <v>1stB-ORANGE COUNTY WPC BLUE</v>
      </c>
      <c r="H49" s="111" t="str">
        <f>'10U COED PLATINUM-8 TEAMS'!H30&amp;""</f>
        <v>4</v>
      </c>
      <c r="I49" s="111" t="str">
        <f>'10U COED PLATINUM-8 TEAMS'!I30&amp;""</f>
        <v>1st</v>
      </c>
      <c r="J49" s="111" t="str">
        <f>'10U COED PLATINUM-8 TEAMS'!J30&amp;""</f>
        <v>10U_COED_PLATINUM</v>
      </c>
      <c r="K49" s="111" t="str">
        <f t="shared" si="1"/>
        <v>202602011615</v>
      </c>
    </row>
    <row r="50" spans="1:11">
      <c r="A50" s="137">
        <f>'10U BOYS-8 TEAMS'!A10</f>
        <v>46053</v>
      </c>
      <c r="B50" s="136">
        <f>'10U BOYS-8 TEAMS'!B10</f>
        <v>0.33333333333333331</v>
      </c>
      <c r="C50" s="112" t="str">
        <f>'10U BOYS-8 TEAMS'!C10&amp;""</f>
        <v>BECKMAN HS 2</v>
      </c>
      <c r="D50" s="112" t="str">
        <f>'10U BOYS-8 TEAMS'!D10&amp;""</f>
        <v>10B01</v>
      </c>
      <c r="E50" s="112" t="str">
        <f>'10U BOYS-8 TEAMS'!E10&amp;""</f>
        <v>B1-CC UNITED BLACK</v>
      </c>
      <c r="F50" s="138" t="str">
        <f>'10U BOYS-8 TEAMS'!F10&amp;""</f>
        <v>9</v>
      </c>
      <c r="G50" s="112" t="str">
        <f>'10U BOYS-8 TEAMS'!G10&amp;""</f>
        <v>B3-STANFORD RED</v>
      </c>
      <c r="H50" s="112" t="str">
        <f>'10U BOYS-8 TEAMS'!H10&amp;""</f>
        <v>8</v>
      </c>
      <c r="I50" s="112" t="str">
        <f>'10U BOYS-8 TEAMS'!I10&amp;""</f>
        <v>bracket, B1/B3</v>
      </c>
      <c r="J50" s="112" t="str">
        <f>'10U BOYS-8 TEAMS'!J10&amp;""</f>
        <v>10U_BOYS</v>
      </c>
      <c r="K50" s="112" t="str">
        <f t="shared" si="1"/>
        <v>202601310800</v>
      </c>
    </row>
    <row r="51" spans="1:11">
      <c r="A51" s="137">
        <f>'10U BOYS-8 TEAMS'!A11</f>
        <v>46053</v>
      </c>
      <c r="B51" s="136">
        <f>'10U BOYS-8 TEAMS'!B11</f>
        <v>0.36458333333333331</v>
      </c>
      <c r="C51" s="112" t="str">
        <f>'10U BOYS-8 TEAMS'!C11&amp;""</f>
        <v>BECKMAN HS 2</v>
      </c>
      <c r="D51" s="112" t="str">
        <f>'10U BOYS-8 TEAMS'!D11&amp;""</f>
        <v>10B02</v>
      </c>
      <c r="E51" s="112" t="str">
        <f>'10U BOYS-8 TEAMS'!E11&amp;""</f>
        <v>B2-SAN CLEMENTE RED</v>
      </c>
      <c r="F51" s="112" t="str">
        <f>'10U BOYS-8 TEAMS'!F11&amp;""</f>
        <v>16</v>
      </c>
      <c r="G51" s="112" t="str">
        <f>'10U BOYS-8 TEAMS'!G11&amp;""</f>
        <v>B4-680 BLUE</v>
      </c>
      <c r="H51" s="112" t="str">
        <f>'10U BOYS-8 TEAMS'!H11&amp;""</f>
        <v>0</v>
      </c>
      <c r="I51" s="112" t="str">
        <f>'10U BOYS-8 TEAMS'!I11&amp;""</f>
        <v>bracket, B2/B4</v>
      </c>
      <c r="J51" s="112" t="str">
        <f>'10U BOYS-8 TEAMS'!J11&amp;""</f>
        <v>10U_BOYS</v>
      </c>
      <c r="K51" s="112" t="str">
        <f t="shared" si="1"/>
        <v>202601310845</v>
      </c>
    </row>
    <row r="52" spans="1:11">
      <c r="A52" s="137">
        <f>'10U BOYS-8 TEAMS'!A12</f>
        <v>46053</v>
      </c>
      <c r="B52" s="136">
        <f>'10U BOYS-8 TEAMS'!B12</f>
        <v>0.39583333333333298</v>
      </c>
      <c r="C52" s="112" t="str">
        <f>'10U BOYS-8 TEAMS'!C12&amp;""</f>
        <v>BECKMAN HS 2</v>
      </c>
      <c r="D52" s="112" t="str">
        <f>'10U BOYS-8 TEAMS'!D12&amp;""</f>
        <v>10B03</v>
      </c>
      <c r="E52" s="112" t="str">
        <f>'10U BOYS-8 TEAMS'!E12&amp;""</f>
        <v>A1-LAMORINDA BLUE (A)</v>
      </c>
      <c r="F52" s="112" t="str">
        <f>'10U BOYS-8 TEAMS'!F12&amp;""</f>
        <v>10</v>
      </c>
      <c r="G52" s="112" t="str">
        <f>'10U BOYS-8 TEAMS'!G12&amp;""</f>
        <v>A3-LA PREMIER</v>
      </c>
      <c r="H52" s="112" t="str">
        <f>'10U BOYS-8 TEAMS'!H12&amp;""</f>
        <v>1</v>
      </c>
      <c r="I52" s="112" t="str">
        <f>'10U BOYS-8 TEAMS'!I12&amp;""</f>
        <v>bracket, A1/A3</v>
      </c>
      <c r="J52" s="112" t="str">
        <f>'10U BOYS-8 TEAMS'!J12&amp;""</f>
        <v>10U_BOYS</v>
      </c>
      <c r="K52" s="112" t="str">
        <f t="shared" si="1"/>
        <v>202601310930</v>
      </c>
    </row>
    <row r="53" spans="1:11">
      <c r="A53" s="137">
        <f>'10U BOYS-8 TEAMS'!A13</f>
        <v>46053</v>
      </c>
      <c r="B53" s="136">
        <f>'10U BOYS-8 TEAMS'!B13</f>
        <v>0.42708333333333298</v>
      </c>
      <c r="C53" s="112" t="str">
        <f>'10U BOYS-8 TEAMS'!C13&amp;""</f>
        <v>BECKMAN HS 2</v>
      </c>
      <c r="D53" s="112" t="str">
        <f>'10U BOYS-8 TEAMS'!D13&amp;""</f>
        <v>10B04</v>
      </c>
      <c r="E53" s="112" t="str">
        <f>'10U BOYS-8 TEAMS'!E13&amp;""</f>
        <v>A2-680 RED</v>
      </c>
      <c r="F53" s="112" t="str">
        <f>'10U BOYS-8 TEAMS'!F13&amp;""</f>
        <v>14</v>
      </c>
      <c r="G53" s="112" t="str">
        <f>'10U BOYS-8 TEAMS'!G13&amp;""</f>
        <v>A4-CC UNITED BLUE</v>
      </c>
      <c r="H53" s="112" t="str">
        <f>'10U BOYS-8 TEAMS'!H13&amp;""</f>
        <v>0</v>
      </c>
      <c r="I53" s="112" t="str">
        <f>'10U BOYS-8 TEAMS'!I13&amp;""</f>
        <v>bracket, A2/A4</v>
      </c>
      <c r="J53" s="112" t="str">
        <f>'10U BOYS-8 TEAMS'!J13&amp;""</f>
        <v>10U_BOYS</v>
      </c>
      <c r="K53" s="112" t="str">
        <f t="shared" si="1"/>
        <v>202601311015</v>
      </c>
    </row>
    <row r="54" spans="1:11">
      <c r="A54" s="137">
        <f>'10U BOYS-8 TEAMS'!A14</f>
        <v>46053</v>
      </c>
      <c r="B54" s="136">
        <f>'10U BOYS-8 TEAMS'!B14</f>
        <v>0.45833333333333298</v>
      </c>
      <c r="C54" s="112" t="str">
        <f>'10U BOYS-8 TEAMS'!C14&amp;""</f>
        <v>BECKMAN HS 2</v>
      </c>
      <c r="D54" s="112" t="str">
        <f>'10U BOYS-8 TEAMS'!D14&amp;""</f>
        <v>10B05</v>
      </c>
      <c r="E54" s="112" t="str">
        <f>'10U BOYS-8 TEAMS'!E14&amp;""</f>
        <v>B1-CC UNITED BLACK</v>
      </c>
      <c r="F54" s="112" t="str">
        <f>'10U BOYS-8 TEAMS'!F14&amp;""</f>
        <v>21</v>
      </c>
      <c r="G54" s="112" t="str">
        <f>'10U BOYS-8 TEAMS'!G14&amp;""</f>
        <v>B4-680 BLUE</v>
      </c>
      <c r="H54" s="112" t="str">
        <f>'10U BOYS-8 TEAMS'!H14&amp;""</f>
        <v>0</v>
      </c>
      <c r="I54" s="112" t="str">
        <f>'10U BOYS-8 TEAMS'!I14&amp;""</f>
        <v>bracket, B1/B4</v>
      </c>
      <c r="J54" s="112" t="str">
        <f>'10U BOYS-8 TEAMS'!J14&amp;""</f>
        <v>10U_BOYS</v>
      </c>
      <c r="K54" s="112" t="str">
        <f t="shared" si="1"/>
        <v>202601311100</v>
      </c>
    </row>
    <row r="55" spans="1:11">
      <c r="A55" s="137">
        <f>'10U BOYS-8 TEAMS'!A15</f>
        <v>46053</v>
      </c>
      <c r="B55" s="136">
        <f>'10U BOYS-8 TEAMS'!B15</f>
        <v>0.48958333333333298</v>
      </c>
      <c r="C55" s="112" t="str">
        <f>'10U BOYS-8 TEAMS'!C15&amp;""</f>
        <v>BECKMAN HS 2</v>
      </c>
      <c r="D55" s="112" t="str">
        <f>'10U BOYS-8 TEAMS'!D15&amp;""</f>
        <v>10B06</v>
      </c>
      <c r="E55" s="112" t="str">
        <f>'10U BOYS-8 TEAMS'!E15&amp;""</f>
        <v>B2-SAN CLEMENTE RED</v>
      </c>
      <c r="F55" s="112" t="str">
        <f>'10U BOYS-8 TEAMS'!F15&amp;""</f>
        <v>14</v>
      </c>
      <c r="G55" s="112" t="str">
        <f>'10U BOYS-8 TEAMS'!G15&amp;""</f>
        <v>B3-STANFORD RED</v>
      </c>
      <c r="H55" s="112" t="str">
        <f>'10U BOYS-8 TEAMS'!H15&amp;""</f>
        <v>9</v>
      </c>
      <c r="I55" s="112" t="str">
        <f>'10U BOYS-8 TEAMS'!I15&amp;""</f>
        <v>bracket, B2/B3</v>
      </c>
      <c r="J55" s="112" t="str">
        <f>'10U BOYS-8 TEAMS'!J15&amp;""</f>
        <v>10U_BOYS</v>
      </c>
      <c r="K55" s="112" t="str">
        <f t="shared" si="1"/>
        <v>202601311145</v>
      </c>
    </row>
    <row r="56" spans="1:11">
      <c r="A56" s="137">
        <f>'10U BOYS-8 TEAMS'!A16</f>
        <v>46053</v>
      </c>
      <c r="B56" s="136">
        <f>'10U BOYS-8 TEAMS'!B16</f>
        <v>0.52083333333333304</v>
      </c>
      <c r="C56" s="112" t="str">
        <f>'10U BOYS-8 TEAMS'!C16&amp;""</f>
        <v>BECKMAN HS 2</v>
      </c>
      <c r="D56" s="112" t="str">
        <f>'10U BOYS-8 TEAMS'!D16&amp;""</f>
        <v>10B07</v>
      </c>
      <c r="E56" s="112" t="str">
        <f>'10U BOYS-8 TEAMS'!E16&amp;""</f>
        <v>A1-LAMORINDA BLUE (A)</v>
      </c>
      <c r="F56" s="112" t="str">
        <f>'10U BOYS-8 TEAMS'!F16&amp;""</f>
        <v>10</v>
      </c>
      <c r="G56" s="112" t="str">
        <f>'10U BOYS-8 TEAMS'!G16&amp;""</f>
        <v>A4-CC UNITED BLUE</v>
      </c>
      <c r="H56" s="112" t="str">
        <f>'10U BOYS-8 TEAMS'!H16&amp;""</f>
        <v>6</v>
      </c>
      <c r="I56" s="112" t="str">
        <f>'10U BOYS-8 TEAMS'!I16&amp;""</f>
        <v>bracket, A1/A4</v>
      </c>
      <c r="J56" s="112" t="str">
        <f>'10U BOYS-8 TEAMS'!J16&amp;""</f>
        <v>10U_BOYS</v>
      </c>
      <c r="K56" s="112" t="str">
        <f t="shared" si="1"/>
        <v>202601311230</v>
      </c>
    </row>
    <row r="57" spans="1:11">
      <c r="A57" s="137">
        <f>'10U BOYS-8 TEAMS'!A17</f>
        <v>46053</v>
      </c>
      <c r="B57" s="136">
        <f>'10U BOYS-8 TEAMS'!B17</f>
        <v>0.55208333333333304</v>
      </c>
      <c r="C57" s="112" t="str">
        <f>'10U BOYS-8 TEAMS'!C17&amp;""</f>
        <v>BECKMAN HS 2</v>
      </c>
      <c r="D57" s="112" t="str">
        <f>'10U BOYS-8 TEAMS'!D17&amp;""</f>
        <v>10B08</v>
      </c>
      <c r="E57" s="112" t="str">
        <f>'10U BOYS-8 TEAMS'!E17&amp;""</f>
        <v>A2-680 RED</v>
      </c>
      <c r="F57" s="112" t="str">
        <f>'10U BOYS-8 TEAMS'!F17&amp;""</f>
        <v>16</v>
      </c>
      <c r="G57" s="112" t="str">
        <f>'10U BOYS-8 TEAMS'!G17&amp;""</f>
        <v>A3-LA PREMIER</v>
      </c>
      <c r="H57" s="112" t="str">
        <f>'10U BOYS-8 TEAMS'!H17&amp;""</f>
        <v>4</v>
      </c>
      <c r="I57" s="112" t="str">
        <f>'10U BOYS-8 TEAMS'!I17&amp;""</f>
        <v>bracket, A2/A3</v>
      </c>
      <c r="J57" s="112" t="str">
        <f>'10U BOYS-8 TEAMS'!J17&amp;""</f>
        <v>10U_BOYS</v>
      </c>
      <c r="K57" s="112" t="str">
        <f t="shared" si="1"/>
        <v>202601311315</v>
      </c>
    </row>
    <row r="58" spans="1:11">
      <c r="A58" s="137">
        <f>'10U BOYS-8 TEAMS'!A21</f>
        <v>46054</v>
      </c>
      <c r="B58" s="136">
        <f>'10U BOYS-8 TEAMS'!B21</f>
        <v>0.33333333333333331</v>
      </c>
      <c r="C58" s="112" t="str">
        <f>'10U BOYS-8 TEAMS'!C21&amp;""</f>
        <v>BECKMAN HS 2</v>
      </c>
      <c r="D58" s="112" t="str">
        <f>'10U BOYS-8 TEAMS'!D21&amp;""</f>
        <v>10B09</v>
      </c>
      <c r="E58" s="112" t="str">
        <f>'10U BOYS-8 TEAMS'!E21&amp;""</f>
        <v>B3-STANFORD RED</v>
      </c>
      <c r="F58" s="112" t="str">
        <f>'10U BOYS-8 TEAMS'!F21&amp;""</f>
        <v>12</v>
      </c>
      <c r="G58" s="112" t="str">
        <f>'10U BOYS-8 TEAMS'!G21&amp;""</f>
        <v>B4-680 BLUE</v>
      </c>
      <c r="H58" s="112" t="str">
        <f>'10U BOYS-8 TEAMS'!H21&amp;""</f>
        <v>0</v>
      </c>
      <c r="I58" s="112" t="str">
        <f>'10U BOYS-8 TEAMS'!I21&amp;""</f>
        <v>bracket, B3/B4</v>
      </c>
      <c r="J58" s="112" t="str">
        <f>'10U BOYS-8 TEAMS'!J21&amp;""</f>
        <v>10U_BOYS</v>
      </c>
      <c r="K58" s="112" t="str">
        <f t="shared" si="1"/>
        <v>202602010800</v>
      </c>
    </row>
    <row r="59" spans="1:11">
      <c r="A59" s="137">
        <f>'10U BOYS-8 TEAMS'!A22</f>
        <v>46054</v>
      </c>
      <c r="B59" s="136">
        <f>'10U BOYS-8 TEAMS'!B22</f>
        <v>0.36458333333333331</v>
      </c>
      <c r="C59" s="112" t="str">
        <f>'10U BOYS-8 TEAMS'!C22&amp;""</f>
        <v>BECKMAN HS 2</v>
      </c>
      <c r="D59" s="112" t="str">
        <f>'10U BOYS-8 TEAMS'!D22&amp;""</f>
        <v>10B10</v>
      </c>
      <c r="E59" s="112" t="str">
        <f>'10U BOYS-8 TEAMS'!E22&amp;""</f>
        <v>A3-LA PREMIER</v>
      </c>
      <c r="F59" s="112" t="str">
        <f>'10U BOYS-8 TEAMS'!F22&amp;""</f>
        <v>2</v>
      </c>
      <c r="G59" s="112" t="str">
        <f>'10U BOYS-8 TEAMS'!G22&amp;""</f>
        <v>A4-CC UNITED BLUE</v>
      </c>
      <c r="H59" s="112" t="str">
        <f>'10U BOYS-8 TEAMS'!H22&amp;""</f>
        <v>9</v>
      </c>
      <c r="I59" s="112" t="str">
        <f>'10U BOYS-8 TEAMS'!I22&amp;""</f>
        <v>bracket, A3/A4</v>
      </c>
      <c r="J59" s="112" t="str">
        <f>'10U BOYS-8 TEAMS'!J22&amp;""</f>
        <v>10U_BOYS</v>
      </c>
      <c r="K59" s="112" t="str">
        <f t="shared" si="1"/>
        <v>202602010845</v>
      </c>
    </row>
    <row r="60" spans="1:11">
      <c r="A60" s="137">
        <f>'10U BOYS-8 TEAMS'!A23</f>
        <v>46054</v>
      </c>
      <c r="B60" s="136">
        <f>'10U BOYS-8 TEAMS'!B23</f>
        <v>0.39583333333333298</v>
      </c>
      <c r="C60" s="112" t="str">
        <f>'10U BOYS-8 TEAMS'!C23&amp;""</f>
        <v>BECKMAN HS 2</v>
      </c>
      <c r="D60" s="112" t="str">
        <f>'10U BOYS-8 TEAMS'!D23&amp;""</f>
        <v>10B11</v>
      </c>
      <c r="E60" s="112" t="str">
        <f>'10U BOYS-8 TEAMS'!E23&amp;""</f>
        <v>B1-CC UNITED BLACK</v>
      </c>
      <c r="F60" s="112" t="str">
        <f>'10U BOYS-8 TEAMS'!F23&amp;""</f>
        <v>8</v>
      </c>
      <c r="G60" s="112" t="str">
        <f>'10U BOYS-8 TEAMS'!G23&amp;""</f>
        <v>B2-SAN CLEMENTE RED</v>
      </c>
      <c r="H60" s="112" t="str">
        <f>'10U BOYS-8 TEAMS'!H23&amp;""</f>
        <v>7</v>
      </c>
      <c r="I60" s="112" t="str">
        <f>'10U BOYS-8 TEAMS'!I23&amp;""</f>
        <v>bracket, B1/B2</v>
      </c>
      <c r="J60" s="112" t="str">
        <f>'10U BOYS-8 TEAMS'!J23&amp;""</f>
        <v>10U_BOYS</v>
      </c>
      <c r="K60" s="112" t="str">
        <f t="shared" si="1"/>
        <v>202602010930</v>
      </c>
    </row>
    <row r="61" spans="1:11">
      <c r="A61" s="137">
        <f>'10U BOYS-8 TEAMS'!A24</f>
        <v>46054</v>
      </c>
      <c r="B61" s="136">
        <f>'10U BOYS-8 TEAMS'!B24</f>
        <v>0.42708333333333298</v>
      </c>
      <c r="C61" s="112" t="str">
        <f>'10U BOYS-8 TEAMS'!C24&amp;""</f>
        <v>BECKMAN HS 2</v>
      </c>
      <c r="D61" s="112" t="str">
        <f>'10U BOYS-8 TEAMS'!D24&amp;""</f>
        <v>10B12</v>
      </c>
      <c r="E61" s="112" t="str">
        <f>'10U BOYS-8 TEAMS'!E24&amp;""</f>
        <v>A1-LAMORINDA BLUE (A)</v>
      </c>
      <c r="F61" s="112" t="str">
        <f>'10U BOYS-8 TEAMS'!F24&amp;""</f>
        <v>6</v>
      </c>
      <c r="G61" s="112" t="str">
        <f>'10U BOYS-8 TEAMS'!G24&amp;""</f>
        <v>A2-680 RED</v>
      </c>
      <c r="H61" s="112" t="str">
        <f>'10U BOYS-8 TEAMS'!H24&amp;""</f>
        <v>16</v>
      </c>
      <c r="I61" s="112" t="str">
        <f>'10U BOYS-8 TEAMS'!I24&amp;""</f>
        <v>bracket, A1/A2</v>
      </c>
      <c r="J61" s="112" t="str">
        <f>'10U BOYS-8 TEAMS'!J24&amp;""</f>
        <v>10U_BOYS</v>
      </c>
      <c r="K61" s="112" t="str">
        <f t="shared" si="1"/>
        <v>202602011015</v>
      </c>
    </row>
    <row r="62" spans="1:11">
      <c r="A62" s="137">
        <f>'10U BOYS-8 TEAMS'!A26</f>
        <v>46054</v>
      </c>
      <c r="B62" s="136">
        <f>'10U BOYS-8 TEAMS'!B26</f>
        <v>0.52083333333333304</v>
      </c>
      <c r="C62" s="112" t="str">
        <f>'10U BOYS-8 TEAMS'!C26&amp;""</f>
        <v>BECKMAN HS 2</v>
      </c>
      <c r="D62" s="112" t="str">
        <f>'10U BOYS-8 TEAMS'!D26&amp;""</f>
        <v>10B13</v>
      </c>
      <c r="E62" s="112" t="str">
        <f>'10U BOYS-8 TEAMS'!E26&amp;""</f>
        <v>4thA-LA PREMIER</v>
      </c>
      <c r="F62" s="112" t="str">
        <f>'10U BOYS-8 TEAMS'!F26&amp;""</f>
        <v>11</v>
      </c>
      <c r="G62" s="112" t="str">
        <f>'10U BOYS-8 TEAMS'!G26&amp;""</f>
        <v>4thB-680 BLUE</v>
      </c>
      <c r="H62" s="112" t="str">
        <f>'10U BOYS-8 TEAMS'!H26&amp;""</f>
        <v>4</v>
      </c>
      <c r="I62" s="112" t="str">
        <f>'10U BOYS-8 TEAMS'!I26&amp;""</f>
        <v>7th</v>
      </c>
      <c r="J62" s="112" t="str">
        <f>'10U BOYS-8 TEAMS'!J26&amp;""</f>
        <v>10U_BOYS</v>
      </c>
      <c r="K62" s="112" t="str">
        <f t="shared" si="1"/>
        <v>202602011230</v>
      </c>
    </row>
    <row r="63" spans="1:11">
      <c r="A63" s="137">
        <f>'10U BOYS-8 TEAMS'!A27</f>
        <v>46054</v>
      </c>
      <c r="B63" s="136">
        <f>'10U BOYS-8 TEAMS'!B27</f>
        <v>0.55208333333333304</v>
      </c>
      <c r="C63" s="112" t="str">
        <f>'10U BOYS-8 TEAMS'!C27&amp;""</f>
        <v>BECKMAN HS 2</v>
      </c>
      <c r="D63" s="112" t="str">
        <f>'10U BOYS-8 TEAMS'!D27&amp;""</f>
        <v>10B14</v>
      </c>
      <c r="E63" s="112" t="str">
        <f>'10U BOYS-8 TEAMS'!E27&amp;""</f>
        <v>3rdA-CC UNITED BLUE</v>
      </c>
      <c r="F63" s="112" t="str">
        <f>'10U BOYS-8 TEAMS'!F27&amp;""</f>
        <v>1</v>
      </c>
      <c r="G63" s="112" t="str">
        <f>'10U BOYS-8 TEAMS'!G27&amp;""</f>
        <v>3rdB-STANFORD RED</v>
      </c>
      <c r="H63" s="112" t="str">
        <f>'10U BOYS-8 TEAMS'!H27&amp;""</f>
        <v>8</v>
      </c>
      <c r="I63" s="112" t="str">
        <f>'10U BOYS-8 TEAMS'!I27&amp;""</f>
        <v>5th</v>
      </c>
      <c r="J63" s="112" t="str">
        <f>'10U BOYS-8 TEAMS'!J27&amp;""</f>
        <v>10U_BOYS</v>
      </c>
      <c r="K63" s="112" t="str">
        <f t="shared" si="1"/>
        <v>202602011315</v>
      </c>
    </row>
    <row r="64" spans="1:11">
      <c r="A64" s="137">
        <f>'10U BOYS-8 TEAMS'!A28</f>
        <v>46054</v>
      </c>
      <c r="B64" s="136">
        <f>'10U BOYS-8 TEAMS'!B28</f>
        <v>0.58333333333333304</v>
      </c>
      <c r="C64" s="112" t="str">
        <f>'10U BOYS-8 TEAMS'!C28&amp;""</f>
        <v>WOOLLETT FAR LEFT</v>
      </c>
      <c r="D64" s="112" t="str">
        <f>'10U BOYS-8 TEAMS'!D28&amp;""</f>
        <v>10B15</v>
      </c>
      <c r="E64" s="112" t="str">
        <f>'10U BOYS-8 TEAMS'!E28&amp;""</f>
        <v>2ndA-LAMORINDA BLUE (A)</v>
      </c>
      <c r="F64" s="112" t="str">
        <f>'10U BOYS-8 TEAMS'!F28&amp;""</f>
        <v>6</v>
      </c>
      <c r="G64" s="112" t="str">
        <f>'10U BOYS-8 TEAMS'!G28&amp;""</f>
        <v>2ndB-SAN CLEMENTE RED</v>
      </c>
      <c r="H64" s="112" t="str">
        <f>'10U BOYS-8 TEAMS'!H28&amp;""</f>
        <v>14</v>
      </c>
      <c r="I64" s="112" t="str">
        <f>'10U BOYS-8 TEAMS'!I28&amp;""</f>
        <v>3rd</v>
      </c>
      <c r="J64" s="112" t="str">
        <f>'10U BOYS-8 TEAMS'!J28&amp;""</f>
        <v>10U_BOYS</v>
      </c>
      <c r="K64" s="112" t="str">
        <f t="shared" si="1"/>
        <v>202602011400</v>
      </c>
    </row>
    <row r="65" spans="1:11">
      <c r="A65" s="137">
        <f>'10U BOYS-8 TEAMS'!A29</f>
        <v>46054</v>
      </c>
      <c r="B65" s="136">
        <f>'10U BOYS-8 TEAMS'!B29</f>
        <v>0.61458333333333304</v>
      </c>
      <c r="C65" s="112" t="str">
        <f>'10U BOYS-8 TEAMS'!C29&amp;""</f>
        <v>WOOLLETT FAR LEFT</v>
      </c>
      <c r="D65" s="112" t="str">
        <f>'10U BOYS-8 TEAMS'!D29&amp;""</f>
        <v>10B16</v>
      </c>
      <c r="E65" s="135" t="str">
        <f>'10U BOYS-8 TEAMS'!E29&amp;""</f>
        <v>1stA-680 RED</v>
      </c>
      <c r="F65" s="112" t="str">
        <f>'10U BOYS-8 TEAMS'!F29&amp;""</f>
        <v>6</v>
      </c>
      <c r="G65" s="112" t="str">
        <f>'10U BOYS-8 TEAMS'!G29&amp;""</f>
        <v>1stB-CC UNITED BLACK</v>
      </c>
      <c r="H65" s="112" t="str">
        <f>'10U BOYS-8 TEAMS'!H29&amp;""</f>
        <v>3</v>
      </c>
      <c r="I65" s="112" t="str">
        <f>'10U BOYS-8 TEAMS'!I29&amp;""</f>
        <v>1st</v>
      </c>
      <c r="J65" s="112" t="str">
        <f>'10U BOYS-8 TEAMS'!J29&amp;""</f>
        <v>10U_BOYS</v>
      </c>
      <c r="K65" s="112" t="str">
        <f t="shared" si="1"/>
        <v>202602011445</v>
      </c>
    </row>
    <row r="66" spans="1:11">
      <c r="A66" s="32">
        <f>'12U GIRLS PLATINUM-12 TEAMS'!A9</f>
        <v>46053</v>
      </c>
      <c r="B66" s="157">
        <f>'12U GIRLS PLATINUM-12 TEAMS'!B9</f>
        <v>0.29166666666666669</v>
      </c>
      <c r="C66" s="32" t="str">
        <f>'12U GIRLS PLATINUM-12 TEAMS'!C9&amp;""</f>
        <v>WOOLLETT FAR RIGHT</v>
      </c>
      <c r="D66" s="140" t="str">
        <f>'12U GIRLS PLATINUM-12 TEAMS'!D9&amp;""</f>
        <v>12Gpt01</v>
      </c>
      <c r="E66" s="32" t="str">
        <f>'12U GIRLS PLATINUM-12 TEAMS'!E9&amp;""</f>
        <v>A1-BACK BAY NAVY</v>
      </c>
      <c r="F66" s="140" t="str">
        <f>'12U GIRLS PLATINUM-12 TEAMS'!F9&amp;""</f>
        <v>18</v>
      </c>
      <c r="G66" s="32" t="str">
        <f>'12U GIRLS PLATINUM-12 TEAMS'!G9&amp;""</f>
        <v>A3-LAMORINDA C</v>
      </c>
      <c r="H66" s="140" t="str">
        <f>'12U GIRLS PLATINUM-12 TEAMS'!H9&amp;""</f>
        <v>10</v>
      </c>
      <c r="I66" s="140" t="str">
        <f>'12U GIRLS PLATINUM-12 TEAMS'!I9&amp;""</f>
        <v>A bracket A1,A3</v>
      </c>
      <c r="J66" s="140" t="str">
        <f>'12U GIRLS PLATINUM-12 TEAMS'!J9&amp;""</f>
        <v>12U_GIRLS_PLATINUM</v>
      </c>
      <c r="K66" s="140" t="str">
        <f t="shared" si="1"/>
        <v>202601310700</v>
      </c>
    </row>
    <row r="67" spans="1:11">
      <c r="A67" s="32">
        <f>'12U GIRLS PLATINUM-12 TEAMS'!A10</f>
        <v>46053</v>
      </c>
      <c r="B67" s="157">
        <f>'12U GIRLS PLATINUM-12 TEAMS'!B10</f>
        <v>0.3263888888888889</v>
      </c>
      <c r="C67" s="32" t="str">
        <f>'12U GIRLS PLATINUM-12 TEAMS'!C10&amp;""</f>
        <v>WOOLLETT FAR RIGHT</v>
      </c>
      <c r="D67" s="140" t="str">
        <f>'12U GIRLS PLATINUM-12 TEAMS'!D10&amp;""</f>
        <v>12Gpt02</v>
      </c>
      <c r="E67" s="32" t="str">
        <f>'12U GIRLS PLATINUM-12 TEAMS'!E10&amp;""</f>
        <v>D1-SHAQ</v>
      </c>
      <c r="F67" s="140" t="str">
        <f>'12U GIRLS PLATINUM-12 TEAMS'!F10&amp;""</f>
        <v>12</v>
      </c>
      <c r="G67" s="32" t="str">
        <f>'12U GIRLS PLATINUM-12 TEAMS'!G10&amp;""</f>
        <v>D3-NORTH IRVINE</v>
      </c>
      <c r="H67" s="140" t="str">
        <f>'12U GIRLS PLATINUM-12 TEAMS'!H10&amp;""</f>
        <v>9</v>
      </c>
      <c r="I67" s="140" t="str">
        <f>'12U GIRLS PLATINUM-12 TEAMS'!I10&amp;""</f>
        <v>D bracket D1,D3</v>
      </c>
      <c r="J67" s="140" t="str">
        <f>'12U GIRLS PLATINUM-12 TEAMS'!J10&amp;""</f>
        <v>12U_GIRLS_PLATINUM</v>
      </c>
      <c r="K67" s="140" t="str">
        <f t="shared" si="1"/>
        <v>202601310750</v>
      </c>
    </row>
    <row r="68" spans="1:11">
      <c r="A68" s="32">
        <f>'12U GIRLS PLATINUM-12 TEAMS'!A12</f>
        <v>46053</v>
      </c>
      <c r="B68" s="157">
        <f>'12U GIRLS PLATINUM-12 TEAMS'!B12</f>
        <v>0.39583333333333398</v>
      </c>
      <c r="C68" s="32" t="str">
        <f>'12U GIRLS PLATINUM-12 TEAMS'!C12&amp;""</f>
        <v>WOOLLETT FAR RIGHT</v>
      </c>
      <c r="D68" s="140" t="str">
        <f>'12U GIRLS PLATINUM-12 TEAMS'!D12&amp;""</f>
        <v>12Gpt03</v>
      </c>
      <c r="E68" s="32" t="str">
        <f>'12U GIRLS PLATINUM-12 TEAMS'!E12&amp;""</f>
        <v>B1-680 RED</v>
      </c>
      <c r="F68" s="140" t="str">
        <f>'12U GIRLS PLATINUM-12 TEAMS'!F12&amp;""</f>
        <v>14</v>
      </c>
      <c r="G68" s="32" t="str">
        <f>'12U GIRLS PLATINUM-12 TEAMS'!G12&amp;""</f>
        <v>B2-SOUTH COAST RED</v>
      </c>
      <c r="H68" s="140" t="str">
        <f>'12U GIRLS PLATINUM-12 TEAMS'!H12&amp;""</f>
        <v>4</v>
      </c>
      <c r="I68" s="140" t="str">
        <f>'12U GIRLS PLATINUM-12 TEAMS'!I12&amp;""</f>
        <v>B bracket B1,B2</v>
      </c>
      <c r="J68" s="140" t="str">
        <f>'12U GIRLS PLATINUM-12 TEAMS'!J12&amp;""</f>
        <v>12U_GIRLS_PLATINUM</v>
      </c>
      <c r="K68" s="140" t="str">
        <f t="shared" si="1"/>
        <v>202601310930</v>
      </c>
    </row>
    <row r="69" spans="1:11">
      <c r="A69" s="32">
        <f>'12U GIRLS PLATINUM-12 TEAMS'!A13</f>
        <v>46053</v>
      </c>
      <c r="B69" s="157">
        <f>'12U GIRLS PLATINUM-12 TEAMS'!B13</f>
        <v>0.43055555555555602</v>
      </c>
      <c r="C69" s="32" t="str">
        <f>'12U GIRLS PLATINUM-12 TEAMS'!C13&amp;""</f>
        <v>WOOLLETT FAR RIGHT</v>
      </c>
      <c r="D69" s="140" t="str">
        <f>'12U GIRLS PLATINUM-12 TEAMS'!D13&amp;""</f>
        <v>12Gpt04</v>
      </c>
      <c r="E69" s="32" t="str">
        <f>'12U GIRLS PLATINUM-12 TEAMS'!E13&amp;""</f>
        <v>C2-DAVIS</v>
      </c>
      <c r="F69" s="140" t="str">
        <f>'12U GIRLS PLATINUM-12 TEAMS'!F13&amp;""</f>
        <v>1</v>
      </c>
      <c r="G69" s="32" t="str">
        <f>'12U GIRLS PLATINUM-12 TEAMS'!G13&amp;""</f>
        <v>C3-LAMORINDA B</v>
      </c>
      <c r="H69" s="140" t="str">
        <f>'12U GIRLS PLATINUM-12 TEAMS'!H13&amp;""</f>
        <v>16</v>
      </c>
      <c r="I69" s="140" t="str">
        <f>'12U GIRLS PLATINUM-12 TEAMS'!I13&amp;""</f>
        <v>C bracket C2,C3</v>
      </c>
      <c r="J69" s="140" t="str">
        <f>'12U GIRLS PLATINUM-12 TEAMS'!J13&amp;""</f>
        <v>12U_GIRLS_PLATINUM</v>
      </c>
      <c r="K69" s="140" t="str">
        <f t="shared" ref="K69:K132" si="2">TEXT(DATE(2026, MONTH(A69), DAY(A69)) + TIME(HOUR(B69), MINUTE(B69), 0), "yyyymmddhhmm")</f>
        <v>202601311020</v>
      </c>
    </row>
    <row r="70" spans="1:11">
      <c r="A70" s="32">
        <f>'12U GIRLS PLATINUM-12 TEAMS'!A15</f>
        <v>46053</v>
      </c>
      <c r="B70" s="157">
        <f>'12U GIRLS PLATINUM-12 TEAMS'!B15</f>
        <v>0.5</v>
      </c>
      <c r="C70" s="32" t="str">
        <f>'12U GIRLS PLATINUM-12 TEAMS'!C15&amp;""</f>
        <v>WOOLLETT FAR RIGHT</v>
      </c>
      <c r="D70" s="140" t="str">
        <f>'12U GIRLS PLATINUM-12 TEAMS'!D15&amp;""</f>
        <v>12Gpt05</v>
      </c>
      <c r="E70" s="32" t="str">
        <f>'12U GIRLS PLATINUM-12 TEAMS'!E15&amp;""</f>
        <v>A1-BACK BAY NAVY</v>
      </c>
      <c r="F70" s="140" t="str">
        <f>'12U GIRLS PLATINUM-12 TEAMS'!F15&amp;""</f>
        <v>19</v>
      </c>
      <c r="G70" s="32" t="str">
        <f>'12U GIRLS PLATINUM-12 TEAMS'!G15&amp;""</f>
        <v>A2-GOLD COAST</v>
      </c>
      <c r="H70" s="140" t="str">
        <f>'12U GIRLS PLATINUM-12 TEAMS'!H15&amp;""</f>
        <v>2</v>
      </c>
      <c r="I70" s="140" t="str">
        <f>'12U GIRLS PLATINUM-12 TEAMS'!I15&amp;""</f>
        <v>A bracket A1,A2</v>
      </c>
      <c r="J70" s="140" t="str">
        <f>'12U GIRLS PLATINUM-12 TEAMS'!J15&amp;""</f>
        <v>12U_GIRLS_PLATINUM</v>
      </c>
      <c r="K70" s="140" t="str">
        <f t="shared" si="2"/>
        <v>202601311200</v>
      </c>
    </row>
    <row r="71" spans="1:11">
      <c r="A71" s="32">
        <f>'12U GIRLS PLATINUM-12 TEAMS'!A16</f>
        <v>46053</v>
      </c>
      <c r="B71" s="157">
        <f>'12U GIRLS PLATINUM-12 TEAMS'!B16</f>
        <v>0.53472222222222199</v>
      </c>
      <c r="C71" s="32" t="str">
        <f>'12U GIRLS PLATINUM-12 TEAMS'!C16&amp;""</f>
        <v>WOOLLETT FAR RIGHT</v>
      </c>
      <c r="D71" s="140" t="str">
        <f>'12U GIRLS PLATINUM-12 TEAMS'!D16&amp;""</f>
        <v>12Gpt06</v>
      </c>
      <c r="E71" s="32" t="str">
        <f>'12U GIRLS PLATINUM-12 TEAMS'!E16&amp;""</f>
        <v>D1-SHAQ</v>
      </c>
      <c r="F71" s="140" t="str">
        <f>'12U GIRLS PLATINUM-12 TEAMS'!F16&amp;""</f>
        <v>11</v>
      </c>
      <c r="G71" s="32" t="str">
        <f>'12U GIRLS PLATINUM-12 TEAMS'!G16&amp;""</f>
        <v>D2-LA JOLLA UNITED</v>
      </c>
      <c r="H71" s="140" t="str">
        <f>'12U GIRLS PLATINUM-12 TEAMS'!H16&amp;""</f>
        <v>2</v>
      </c>
      <c r="I71" s="140" t="str">
        <f>'12U GIRLS PLATINUM-12 TEAMS'!I16&amp;""</f>
        <v>D bracket D1,D2</v>
      </c>
      <c r="J71" s="140" t="str">
        <f>'12U GIRLS PLATINUM-12 TEAMS'!J16&amp;""</f>
        <v>12U_GIRLS_PLATINUM</v>
      </c>
      <c r="K71" s="140" t="str">
        <f t="shared" si="2"/>
        <v>202601311250</v>
      </c>
    </row>
    <row r="72" spans="1:11">
      <c r="A72" s="32">
        <f>'12U GIRLS PLATINUM-12 TEAMS'!A18</f>
        <v>46053</v>
      </c>
      <c r="B72" s="157">
        <f>'12U GIRLS PLATINUM-12 TEAMS'!B18</f>
        <v>0.60416666666666696</v>
      </c>
      <c r="C72" s="32" t="str">
        <f>'12U GIRLS PLATINUM-12 TEAMS'!C18&amp;""</f>
        <v>WOOLLETT FAR RIGHT</v>
      </c>
      <c r="D72" s="140" t="str">
        <f>'12U GIRLS PLATINUM-12 TEAMS'!D18&amp;""</f>
        <v>12Gpt07</v>
      </c>
      <c r="E72" s="32" t="str">
        <f>'12U GIRLS PLATINUM-12 TEAMS'!E18&amp;""</f>
        <v>B1-680 RED</v>
      </c>
      <c r="F72" s="140" t="str">
        <f>'12U GIRLS PLATINUM-12 TEAMS'!F18&amp;""</f>
        <v>12</v>
      </c>
      <c r="G72" s="32" t="str">
        <f>'12U GIRLS PLATINUM-12 TEAMS'!G18&amp;""</f>
        <v>B3-ORANGE COUNTY WPC BLUE</v>
      </c>
      <c r="H72" s="140" t="str">
        <f>'12U GIRLS PLATINUM-12 TEAMS'!H18&amp;""</f>
        <v>8</v>
      </c>
      <c r="I72" s="140" t="str">
        <f>'12U GIRLS PLATINUM-12 TEAMS'!I18&amp;""</f>
        <v>B bracket B1,B3</v>
      </c>
      <c r="J72" s="140" t="str">
        <f>'12U GIRLS PLATINUM-12 TEAMS'!J18&amp;""</f>
        <v>12U_GIRLS_PLATINUM</v>
      </c>
      <c r="K72" s="140" t="str">
        <f t="shared" si="2"/>
        <v>202601311430</v>
      </c>
    </row>
    <row r="73" spans="1:11">
      <c r="A73" s="32">
        <f>'12U GIRLS PLATINUM-12 TEAMS'!A19</f>
        <v>46053</v>
      </c>
      <c r="B73" s="157">
        <f>'12U GIRLS PLATINUM-12 TEAMS'!B19</f>
        <v>0.63888888888888895</v>
      </c>
      <c r="C73" s="32" t="str">
        <f>'12U GIRLS PLATINUM-12 TEAMS'!C19&amp;""</f>
        <v>WOOLLETT FAR RIGHT</v>
      </c>
      <c r="D73" s="140" t="str">
        <f>'12U GIRLS PLATINUM-12 TEAMS'!D19&amp;""</f>
        <v>12Gpt09</v>
      </c>
      <c r="E73" s="32" t="str">
        <f>'12U GIRLS PLATINUM-12 TEAMS'!E19&amp;""</f>
        <v>A2-GOLD COAST</v>
      </c>
      <c r="F73" s="140" t="str">
        <f>'12U GIRLS PLATINUM-12 TEAMS'!F19&amp;""</f>
        <v>6</v>
      </c>
      <c r="G73" s="32" t="str">
        <f>'12U GIRLS PLATINUM-12 TEAMS'!G19&amp;""</f>
        <v>A3-LAMORINDA C</v>
      </c>
      <c r="H73" s="140" t="str">
        <f>'12U GIRLS PLATINUM-12 TEAMS'!H19&amp;""</f>
        <v>15</v>
      </c>
      <c r="I73" s="140" t="str">
        <f>'12U GIRLS PLATINUM-12 TEAMS'!I19&amp;""</f>
        <v>A bracket A2,A3</v>
      </c>
      <c r="J73" s="140" t="str">
        <f>'12U GIRLS PLATINUM-12 TEAMS'!J19&amp;""</f>
        <v>12U_GIRLS_PLATINUM</v>
      </c>
      <c r="K73" s="140" t="str">
        <f t="shared" si="2"/>
        <v>202601311520</v>
      </c>
    </row>
    <row r="74" spans="1:11">
      <c r="A74" s="32">
        <f>'12U GIRLS PLATINUM-12 TEAMS'!A20</f>
        <v>46053</v>
      </c>
      <c r="B74" s="157">
        <f>'12U GIRLS PLATINUM-12 TEAMS'!B20</f>
        <v>0.67361111111111105</v>
      </c>
      <c r="C74" s="32" t="str">
        <f>'12U GIRLS PLATINUM-12 TEAMS'!C20&amp;""</f>
        <v>WOOLLETT FAR RIGHT</v>
      </c>
      <c r="D74" s="140" t="str">
        <f>'12U GIRLS PLATINUM-12 TEAMS'!D20&amp;""</f>
        <v>12Gpt08</v>
      </c>
      <c r="E74" s="32" t="str">
        <f>'12U GIRLS PLATINUM-12 TEAMS'!E20&amp;""</f>
        <v>C1-NEWPORT BEACH</v>
      </c>
      <c r="F74" s="140" t="str">
        <f>'12U GIRLS PLATINUM-12 TEAMS'!F20&amp;""</f>
        <v>8</v>
      </c>
      <c r="G74" s="32" t="str">
        <f>'12U GIRLS PLATINUM-12 TEAMS'!G20&amp;""</f>
        <v>C3-LAMORINDA B</v>
      </c>
      <c r="H74" s="140" t="str">
        <f>'12U GIRLS PLATINUM-12 TEAMS'!H20&amp;""</f>
        <v>7</v>
      </c>
      <c r="I74" s="140" t="str">
        <f>'12U GIRLS PLATINUM-12 TEAMS'!I20&amp;""</f>
        <v>C bracket C1,C3</v>
      </c>
      <c r="J74" s="140" t="str">
        <f>'12U GIRLS PLATINUM-12 TEAMS'!J20&amp;""</f>
        <v>12U_GIRLS_PLATINUM</v>
      </c>
      <c r="K74" s="140" t="str">
        <f t="shared" si="2"/>
        <v>202601311610</v>
      </c>
    </row>
    <row r="75" spans="1:11">
      <c r="A75" s="32">
        <f>'12U GIRLS PLATINUM-12 TEAMS'!A21</f>
        <v>46053</v>
      </c>
      <c r="B75" s="157">
        <f>'12U GIRLS PLATINUM-12 TEAMS'!B21</f>
        <v>0.70833333333333404</v>
      </c>
      <c r="C75" s="32" t="str">
        <f>'12U GIRLS PLATINUM-12 TEAMS'!C21&amp;""</f>
        <v>WOOLLETT FAR RIGHT</v>
      </c>
      <c r="D75" s="140" t="str">
        <f>'12U GIRLS PLATINUM-12 TEAMS'!D21&amp;""</f>
        <v>12Gpt10</v>
      </c>
      <c r="E75" s="32" t="str">
        <f>'12U GIRLS PLATINUM-12 TEAMS'!E21&amp;""</f>
        <v>D2-LA JOLLA UNITED</v>
      </c>
      <c r="F75" s="140" t="str">
        <f>'12U GIRLS PLATINUM-12 TEAMS'!F21&amp;""</f>
        <v>7</v>
      </c>
      <c r="G75" s="32" t="str">
        <f>'12U GIRLS PLATINUM-12 TEAMS'!G21&amp;""</f>
        <v>D3-NORTH IRVINE</v>
      </c>
      <c r="H75" s="140" t="str">
        <f>'12U GIRLS PLATINUM-12 TEAMS'!H21&amp;""</f>
        <v>2</v>
      </c>
      <c r="I75" s="140" t="str">
        <f>'12U GIRLS PLATINUM-12 TEAMS'!I21&amp;""</f>
        <v>D bracket D2,D3</v>
      </c>
      <c r="J75" s="140" t="str">
        <f>'12U GIRLS PLATINUM-12 TEAMS'!J21&amp;""</f>
        <v>12U_GIRLS_PLATINUM</v>
      </c>
      <c r="K75" s="140" t="str">
        <f t="shared" si="2"/>
        <v>202601311700</v>
      </c>
    </row>
    <row r="76" spans="1:11">
      <c r="A76" s="32">
        <f>'12U GIRLS PLATINUM-12 TEAMS'!A22</f>
        <v>46053</v>
      </c>
      <c r="B76" s="157">
        <f>'12U GIRLS PLATINUM-12 TEAMS'!B22</f>
        <v>0.74305555555555602</v>
      </c>
      <c r="C76" s="32" t="str">
        <f>'12U GIRLS PLATINUM-12 TEAMS'!C22&amp;""</f>
        <v>WOOLLETT FAR RIGHT</v>
      </c>
      <c r="D76" s="140" t="str">
        <f>'12U GIRLS PLATINUM-12 TEAMS'!D22&amp;""</f>
        <v>12Gpt11</v>
      </c>
      <c r="E76" s="32" t="str">
        <f>'12U GIRLS PLATINUM-12 TEAMS'!E22&amp;""</f>
        <v>B2-SOUTH COAST RED</v>
      </c>
      <c r="F76" s="140" t="str">
        <f>'12U GIRLS PLATINUM-12 TEAMS'!F22&amp;""</f>
        <v>11</v>
      </c>
      <c r="G76" s="32" t="str">
        <f>'12U GIRLS PLATINUM-12 TEAMS'!G22&amp;""</f>
        <v>B3-ORANGE COUNTY WPC BLUE</v>
      </c>
      <c r="H76" s="140" t="str">
        <f>'12U GIRLS PLATINUM-12 TEAMS'!H22&amp;""</f>
        <v>13</v>
      </c>
      <c r="I76" s="140" t="str">
        <f>'12U GIRLS PLATINUM-12 TEAMS'!I22&amp;""</f>
        <v>B bracket B2,B3</v>
      </c>
      <c r="J76" s="140" t="str">
        <f>'12U GIRLS PLATINUM-12 TEAMS'!J22&amp;""</f>
        <v>12U_GIRLS_PLATINUM</v>
      </c>
      <c r="K76" s="140" t="str">
        <f t="shared" si="2"/>
        <v>202601311750</v>
      </c>
    </row>
    <row r="77" spans="1:11">
      <c r="A77" s="32">
        <f>'12U GIRLS PLATINUM-12 TEAMS'!A23</f>
        <v>46053</v>
      </c>
      <c r="B77" s="157">
        <f>'12U GIRLS PLATINUM-12 TEAMS'!B23</f>
        <v>0.77777777777777801</v>
      </c>
      <c r="C77" s="32" t="str">
        <f>'12U GIRLS PLATINUM-12 TEAMS'!C23&amp;""</f>
        <v>WOOLLETT FAR RIGHT</v>
      </c>
      <c r="D77" s="140" t="str">
        <f>'12U GIRLS PLATINUM-12 TEAMS'!D23&amp;""</f>
        <v>12Gpt12</v>
      </c>
      <c r="E77" s="32" t="str">
        <f>'12U GIRLS PLATINUM-12 TEAMS'!E23&amp;""</f>
        <v>C1-NEWPORT BEACH</v>
      </c>
      <c r="F77" s="140" t="str">
        <f>'12U GIRLS PLATINUM-12 TEAMS'!F23&amp;""</f>
        <v>10</v>
      </c>
      <c r="G77" s="32" t="str">
        <f>'12U GIRLS PLATINUM-12 TEAMS'!G23&amp;""</f>
        <v>C2-DAVIS</v>
      </c>
      <c r="H77" s="140" t="str">
        <f>'12U GIRLS PLATINUM-12 TEAMS'!H23&amp;""</f>
        <v>1</v>
      </c>
      <c r="I77" s="140" t="str">
        <f>'12U GIRLS PLATINUM-12 TEAMS'!I23&amp;""</f>
        <v>C bracket C1,C2</v>
      </c>
      <c r="J77" s="140" t="str">
        <f>'12U GIRLS PLATINUM-12 TEAMS'!J23&amp;""</f>
        <v>12U_GIRLS_PLATINUM</v>
      </c>
      <c r="K77" s="140" t="str">
        <f t="shared" si="2"/>
        <v>202601311840</v>
      </c>
    </row>
    <row r="78" spans="1:11">
      <c r="A78" s="32">
        <f>'12U GIRLS PLATINUM-12 TEAMS'!A27</f>
        <v>46054</v>
      </c>
      <c r="B78" s="157">
        <f>'12U GIRLS PLATINUM-12 TEAMS'!B27</f>
        <v>0.29166666666666669</v>
      </c>
      <c r="C78" s="32" t="str">
        <f>'12U GIRLS PLATINUM-12 TEAMS'!C27&amp;""</f>
        <v>WOOLLETT FAR RIGHT</v>
      </c>
      <c r="D78" s="140" t="str">
        <f>'12U GIRLS PLATINUM-12 TEAMS'!D27&amp;""</f>
        <v>12Gpt15</v>
      </c>
      <c r="E78" s="32" t="str">
        <f>'12U GIRLS PLATINUM-12 TEAMS'!E27&amp;""</f>
        <v>2ndA-LAMORINDA C</v>
      </c>
      <c r="F78" s="140" t="str">
        <f>'12U GIRLS PLATINUM-12 TEAMS'!F27&amp;""</f>
        <v>3</v>
      </c>
      <c r="G78" s="32" t="str">
        <f>'12U GIRLS PLATINUM-12 TEAMS'!G27&amp;""</f>
        <v xml:space="preserve">2ndD-LA JOLLA UNITED	</v>
      </c>
      <c r="H78" s="140" t="str">
        <f>'12U GIRLS PLATINUM-12 TEAMS'!H27&amp;""</f>
        <v>7</v>
      </c>
      <c r="I78" s="140" t="str">
        <f>'12U GIRLS PLATINUM-12 TEAMS'!I27&amp;""</f>
        <v>5-8 semi 2A/2D</v>
      </c>
      <c r="J78" s="140" t="str">
        <f>'12U GIRLS PLATINUM-12 TEAMS'!J27&amp;""</f>
        <v>12U_GIRLS_PLATINUM</v>
      </c>
      <c r="K78" s="140" t="str">
        <f t="shared" si="2"/>
        <v>202602010700</v>
      </c>
    </row>
    <row r="79" spans="1:11">
      <c r="A79" s="32">
        <f>'12U GIRLS PLATINUM-12 TEAMS'!A28</f>
        <v>46054</v>
      </c>
      <c r="B79" s="157">
        <f>'12U GIRLS PLATINUM-12 TEAMS'!B28</f>
        <v>0.3263888888888889</v>
      </c>
      <c r="C79" s="32" t="str">
        <f>'12U GIRLS PLATINUM-12 TEAMS'!C28&amp;""</f>
        <v>WOOLLETT FAR RIGHT</v>
      </c>
      <c r="D79" s="140" t="str">
        <f>'12U GIRLS PLATINUM-12 TEAMS'!D28&amp;""</f>
        <v>12Gpt21</v>
      </c>
      <c r="E79" s="32" t="str">
        <f>'12U GIRLS PLATINUM-12 TEAMS'!E28&amp;""</f>
        <v>3rdA-GOLD COAST</v>
      </c>
      <c r="F79" s="140" t="str">
        <f>'12U GIRLS PLATINUM-12 TEAMS'!F28&amp;""</f>
        <v>0</v>
      </c>
      <c r="G79" s="32" t="str">
        <f>'12U GIRLS PLATINUM-12 TEAMS'!G28&amp;""</f>
        <v>3rdD-NORTH IRVINE</v>
      </c>
      <c r="H79" s="140" t="str">
        <f>'12U GIRLS PLATINUM-12 TEAMS'!H28&amp;""</f>
        <v>16</v>
      </c>
      <c r="I79" s="140" t="str">
        <f>'12U GIRLS PLATINUM-12 TEAMS'!I28&amp;""</f>
        <v>9-12 semi 3A/3D</v>
      </c>
      <c r="J79" s="140" t="str">
        <f>'12U GIRLS PLATINUM-12 TEAMS'!J28&amp;""</f>
        <v>12U_GIRLS_PLATINUM</v>
      </c>
      <c r="K79" s="140" t="str">
        <f t="shared" si="2"/>
        <v>202602010750</v>
      </c>
    </row>
    <row r="80" spans="1:11">
      <c r="A80" s="32">
        <f>'12U GIRLS PLATINUM-12 TEAMS'!A29</f>
        <v>46054</v>
      </c>
      <c r="B80" s="157">
        <f>'12U GIRLS PLATINUM-12 TEAMS'!B29</f>
        <v>0.36111111111111099</v>
      </c>
      <c r="C80" s="32" t="str">
        <f>'12U GIRLS PLATINUM-12 TEAMS'!C29&amp;""</f>
        <v>WOOLLETT FAR RIGHT</v>
      </c>
      <c r="D80" s="140" t="str">
        <f>'12U GIRLS PLATINUM-12 TEAMS'!D29&amp;""</f>
        <v>12Gpt22</v>
      </c>
      <c r="E80" s="32" t="str">
        <f>'12U GIRLS PLATINUM-12 TEAMS'!E29&amp;""</f>
        <v>3rdB-SOUTH COAST RED</v>
      </c>
      <c r="F80" s="140" t="str">
        <f>'12U GIRLS PLATINUM-12 TEAMS'!F29&amp;""</f>
        <v>12</v>
      </c>
      <c r="G80" s="32" t="str">
        <f>'12U GIRLS PLATINUM-12 TEAMS'!G29&amp;""</f>
        <v>3rdC-DAVIS</v>
      </c>
      <c r="H80" s="140" t="str">
        <f>'12U GIRLS PLATINUM-12 TEAMS'!H29&amp;""</f>
        <v>2</v>
      </c>
      <c r="I80" s="140" t="str">
        <f>'12U GIRLS PLATINUM-12 TEAMS'!I29&amp;""</f>
        <v>9-12 semi 3B/3C</v>
      </c>
      <c r="J80" s="140" t="str">
        <f>'12U GIRLS PLATINUM-12 TEAMS'!J29&amp;""</f>
        <v>12U_GIRLS_PLATINUM</v>
      </c>
      <c r="K80" s="140" t="str">
        <f t="shared" si="2"/>
        <v>202602010840</v>
      </c>
    </row>
    <row r="81" spans="1:11">
      <c r="A81" s="32">
        <f>'12U GIRLS PLATINUM-12 TEAMS'!A30</f>
        <v>46054</v>
      </c>
      <c r="B81" s="157">
        <f>'12U GIRLS PLATINUM-12 TEAMS'!B30</f>
        <v>0.39583333333333398</v>
      </c>
      <c r="C81" s="32" t="str">
        <f>'12U GIRLS PLATINUM-12 TEAMS'!C30&amp;""</f>
        <v>WOOLLETT FAR RIGHT</v>
      </c>
      <c r="D81" s="140" t="str">
        <f>'12U GIRLS PLATINUM-12 TEAMS'!D30&amp;""</f>
        <v>12Gpt16</v>
      </c>
      <c r="E81" s="32" t="str">
        <f>'12U GIRLS PLATINUM-12 TEAMS'!E30&amp;""</f>
        <v xml:space="preserve">2ndB-ORANGE COUNTY WPC BLUE	</v>
      </c>
      <c r="F81" s="140" t="str">
        <f>'12U GIRLS PLATINUM-12 TEAMS'!F30&amp;""</f>
        <v>13</v>
      </c>
      <c r="G81" s="32" t="str">
        <f>'12U GIRLS PLATINUM-12 TEAMS'!G30&amp;""</f>
        <v>2ndC-LAMORINDA B</v>
      </c>
      <c r="H81" s="140" t="str">
        <f>'12U GIRLS PLATINUM-12 TEAMS'!H30&amp;""</f>
        <v>9</v>
      </c>
      <c r="I81" s="140" t="str">
        <f>'12U GIRLS PLATINUM-12 TEAMS'!I30&amp;""</f>
        <v>5-8 semi 2B/2C</v>
      </c>
      <c r="J81" s="140" t="str">
        <f>'12U GIRLS PLATINUM-12 TEAMS'!J30&amp;""</f>
        <v>12U_GIRLS_PLATINUM</v>
      </c>
      <c r="K81" s="140" t="str">
        <f t="shared" si="2"/>
        <v>202602010930</v>
      </c>
    </row>
    <row r="82" spans="1:11">
      <c r="A82" s="32">
        <f>'12U GIRLS PLATINUM-12 TEAMS'!A31</f>
        <v>46054</v>
      </c>
      <c r="B82" s="157">
        <f>'12U GIRLS PLATINUM-12 TEAMS'!B31</f>
        <v>0.43055555555555602</v>
      </c>
      <c r="C82" s="32" t="str">
        <f>'12U GIRLS PLATINUM-12 TEAMS'!C31&amp;""</f>
        <v>WOOLLETT FAR RIGHT</v>
      </c>
      <c r="D82" s="140" t="str">
        <f>'12U GIRLS PLATINUM-12 TEAMS'!D31&amp;""</f>
        <v>12Gpt13</v>
      </c>
      <c r="E82" s="32" t="str">
        <f>'12U GIRLS PLATINUM-12 TEAMS'!E31&amp;""</f>
        <v>1stA-BACK BAY NAVY</v>
      </c>
      <c r="F82" s="140" t="str">
        <f>'12U GIRLS PLATINUM-12 TEAMS'!F31&amp;""</f>
        <v>7</v>
      </c>
      <c r="G82" s="32" t="str">
        <f>'12U GIRLS PLATINUM-12 TEAMS'!G31&amp;""</f>
        <v>1stD-SHAQ</v>
      </c>
      <c r="H82" s="140" t="str">
        <f>'12U GIRLS PLATINUM-12 TEAMS'!H31&amp;""</f>
        <v>2</v>
      </c>
      <c r="I82" s="140" t="str">
        <f>'12U GIRLS PLATINUM-12 TEAMS'!I31&amp;""</f>
        <v>1-4 semi 1A/1D</v>
      </c>
      <c r="J82" s="140" t="str">
        <f>'12U GIRLS PLATINUM-12 TEAMS'!J31&amp;""</f>
        <v>12U_GIRLS_PLATINUM</v>
      </c>
      <c r="K82" s="140" t="str">
        <f t="shared" si="2"/>
        <v>202602011020</v>
      </c>
    </row>
    <row r="83" spans="1:11">
      <c r="A83" s="32">
        <f>'12U GIRLS PLATINUM-12 TEAMS'!A32</f>
        <v>46054</v>
      </c>
      <c r="B83" s="157">
        <f>'12U GIRLS PLATINUM-12 TEAMS'!B32</f>
        <v>0.46527777777777801</v>
      </c>
      <c r="C83" s="32" t="str">
        <f>'12U GIRLS PLATINUM-12 TEAMS'!C32&amp;""</f>
        <v>WOOLLETT FAR RIGHT</v>
      </c>
      <c r="D83" s="140" t="str">
        <f>'12U GIRLS PLATINUM-12 TEAMS'!D32&amp;""</f>
        <v>12Gpt14</v>
      </c>
      <c r="E83" s="32" t="str">
        <f>'12U GIRLS PLATINUM-12 TEAMS'!E32&amp;""</f>
        <v>1stB-680 RED</v>
      </c>
      <c r="F83" s="140" t="str">
        <f>'12U GIRLS PLATINUM-12 TEAMS'!F32&amp;""</f>
        <v>4</v>
      </c>
      <c r="G83" s="32" t="str">
        <f>'12U GIRLS PLATINUM-12 TEAMS'!G32&amp;""</f>
        <v>1stC-NEWPORT BEACH</v>
      </c>
      <c r="H83" s="140" t="str">
        <f>'12U GIRLS PLATINUM-12 TEAMS'!H32&amp;""</f>
        <v>2</v>
      </c>
      <c r="I83" s="140" t="str">
        <f>'12U GIRLS PLATINUM-12 TEAMS'!I32&amp;""</f>
        <v>1-4 semi 1B/1C</v>
      </c>
      <c r="J83" s="140" t="str">
        <f>'12U GIRLS PLATINUM-12 TEAMS'!J32&amp;""</f>
        <v>12U_GIRLS_PLATINUM</v>
      </c>
      <c r="K83" s="140" t="str">
        <f t="shared" si="2"/>
        <v>202602011110</v>
      </c>
    </row>
    <row r="84" spans="1:11">
      <c r="A84" s="32">
        <f>'12U GIRLS PLATINUM-12 TEAMS'!A33</f>
        <v>46054</v>
      </c>
      <c r="B84" s="157">
        <f>'12U GIRLS PLATINUM-12 TEAMS'!B33</f>
        <v>0.5</v>
      </c>
      <c r="C84" s="32" t="str">
        <f>'12U GIRLS PLATINUM-12 TEAMS'!C33&amp;""</f>
        <v>WOOLLETT FAR RIGHT</v>
      </c>
      <c r="D84" s="140" t="str">
        <f>'12U GIRLS PLATINUM-12 TEAMS'!D33&amp;""</f>
        <v>12Gpt23</v>
      </c>
      <c r="E84" s="32" t="str">
        <f>'12U GIRLS PLATINUM-12 TEAMS'!E33&amp;""</f>
        <v>W#21-NORTH IRVINE</v>
      </c>
      <c r="F84" s="140" t="str">
        <f>'12U GIRLS PLATINUM-12 TEAMS'!F33&amp;""</f>
        <v>6</v>
      </c>
      <c r="G84" s="32" t="str">
        <f>'12U GIRLS PLATINUM-12 TEAMS'!G33&amp;""</f>
        <v>W#22-SOUTH COAST RED</v>
      </c>
      <c r="H84" s="140" t="str">
        <f>'12U GIRLS PLATINUM-12 TEAMS'!H33&amp;""</f>
        <v>10</v>
      </c>
      <c r="I84" s="140" t="str">
        <f>'12U GIRLS PLATINUM-12 TEAMS'!I33&amp;""</f>
        <v>9th</v>
      </c>
      <c r="J84" s="140" t="str">
        <f>'12U GIRLS PLATINUM-12 TEAMS'!J33&amp;""</f>
        <v>12U_GIRLS_PLATINUM</v>
      </c>
      <c r="K84" s="140" t="str">
        <f t="shared" si="2"/>
        <v>202602011200</v>
      </c>
    </row>
    <row r="85" spans="1:11">
      <c r="A85" s="32">
        <f>'12U GIRLS PLATINUM-12 TEAMS'!A34</f>
        <v>46054</v>
      </c>
      <c r="B85" s="157">
        <f>'12U GIRLS PLATINUM-12 TEAMS'!B34</f>
        <v>0.53472222222222199</v>
      </c>
      <c r="C85" s="32" t="str">
        <f>'12U GIRLS PLATINUM-12 TEAMS'!C34&amp;""</f>
        <v>WOOLLETT FAR RIGHT</v>
      </c>
      <c r="D85" s="140" t="str">
        <f>'12U GIRLS PLATINUM-12 TEAMS'!D34&amp;""</f>
        <v>12Gpt19</v>
      </c>
      <c r="E85" s="32" t="str">
        <f>'12U GIRLS PLATINUM-12 TEAMS'!E34&amp;""</f>
        <v xml:space="preserve">W#15-LA JOLLA UNITED	</v>
      </c>
      <c r="F85" s="140" t="str">
        <f>'12U GIRLS PLATINUM-12 TEAMS'!F34&amp;""</f>
        <v>3</v>
      </c>
      <c r="G85" s="32" t="str">
        <f>'12U GIRLS PLATINUM-12 TEAMS'!G34&amp;""</f>
        <v xml:space="preserve">W#16-ORANGE COUNTY WPC BLUE	</v>
      </c>
      <c r="H85" s="140" t="str">
        <f>'12U GIRLS PLATINUM-12 TEAMS'!H34&amp;""</f>
        <v>13</v>
      </c>
      <c r="I85" s="140" t="str">
        <f>'12U GIRLS PLATINUM-12 TEAMS'!I34&amp;""</f>
        <v>5th</v>
      </c>
      <c r="J85" s="140" t="str">
        <f>'12U GIRLS PLATINUM-12 TEAMS'!J34&amp;""</f>
        <v>12U_GIRLS_PLATINUM</v>
      </c>
      <c r="K85" s="140" t="str">
        <f t="shared" si="2"/>
        <v>202602011250</v>
      </c>
    </row>
    <row r="86" spans="1:11">
      <c r="A86" s="32">
        <f>'12U GIRLS PLATINUM-12 TEAMS'!A35</f>
        <v>46054</v>
      </c>
      <c r="B86" s="157">
        <f>'12U GIRLS PLATINUM-12 TEAMS'!B35</f>
        <v>0.56944444444444497</v>
      </c>
      <c r="C86" s="32" t="str">
        <f>'12U GIRLS PLATINUM-12 TEAMS'!C35&amp;""</f>
        <v>WOOLLETT FAR RIGHT</v>
      </c>
      <c r="D86" s="140" t="str">
        <f>'12U GIRLS PLATINUM-12 TEAMS'!D35&amp;""</f>
        <v>12Gpt24</v>
      </c>
      <c r="E86" s="32" t="str">
        <f>'12U GIRLS PLATINUM-12 TEAMS'!E35&amp;""</f>
        <v>L#21-GOLD COAST</v>
      </c>
      <c r="F86" s="140" t="str">
        <f>'12U GIRLS PLATINUM-12 TEAMS'!F35&amp;""</f>
        <v>4</v>
      </c>
      <c r="G86" s="32" t="str">
        <f>'12U GIRLS PLATINUM-12 TEAMS'!G35&amp;""</f>
        <v>L#22-DAVIS</v>
      </c>
      <c r="H86" s="140" t="str">
        <f>'12U GIRLS PLATINUM-12 TEAMS'!H35&amp;""</f>
        <v>16</v>
      </c>
      <c r="I86" s="140" t="str">
        <f>'12U GIRLS PLATINUM-12 TEAMS'!I35&amp;""</f>
        <v>11th</v>
      </c>
      <c r="J86" s="140" t="str">
        <f>'12U GIRLS PLATINUM-12 TEAMS'!J35&amp;""</f>
        <v>12U_GIRLS_PLATINUM</v>
      </c>
      <c r="K86" s="140" t="str">
        <f t="shared" si="2"/>
        <v>202602011340</v>
      </c>
    </row>
    <row r="87" spans="1:11">
      <c r="A87" s="32">
        <f>'12U GIRLS PLATINUM-12 TEAMS'!A36</f>
        <v>46054</v>
      </c>
      <c r="B87" s="157">
        <f>'12U GIRLS PLATINUM-12 TEAMS'!B36</f>
        <v>0.60416666666666696</v>
      </c>
      <c r="C87" s="32" t="str">
        <f>'12U GIRLS PLATINUM-12 TEAMS'!C36&amp;""</f>
        <v>WOOLLETT FAR RIGHT</v>
      </c>
      <c r="D87" s="140" t="str">
        <f>'12U GIRLS PLATINUM-12 TEAMS'!D36&amp;""</f>
        <v>12Gpt20</v>
      </c>
      <c r="E87" s="32" t="str">
        <f>'12U GIRLS PLATINUM-12 TEAMS'!E36&amp;""</f>
        <v>L#15-LAMORINDA C</v>
      </c>
      <c r="F87" s="140" t="str">
        <f>'12U GIRLS PLATINUM-12 TEAMS'!F36&amp;""</f>
        <v>5</v>
      </c>
      <c r="G87" s="32" t="str">
        <f>'12U GIRLS PLATINUM-12 TEAMS'!G36&amp;""</f>
        <v>L#16-LAMORINDA B</v>
      </c>
      <c r="H87" s="140" t="str">
        <f>'12U GIRLS PLATINUM-12 TEAMS'!H36&amp;""</f>
        <v>18</v>
      </c>
      <c r="I87" s="140" t="str">
        <f>'12U GIRLS PLATINUM-12 TEAMS'!I36&amp;""</f>
        <v>7th</v>
      </c>
      <c r="J87" s="140" t="str">
        <f>'12U GIRLS PLATINUM-12 TEAMS'!J36&amp;""</f>
        <v>12U_GIRLS_PLATINUM</v>
      </c>
      <c r="K87" s="140" t="str">
        <f t="shared" si="2"/>
        <v>202602011430</v>
      </c>
    </row>
    <row r="88" spans="1:11">
      <c r="A88" s="32">
        <f>'12U GIRLS PLATINUM-12 TEAMS'!A37</f>
        <v>46054</v>
      </c>
      <c r="B88" s="157">
        <f>'12U GIRLS PLATINUM-12 TEAMS'!B37</f>
        <v>0.63888888888888895</v>
      </c>
      <c r="C88" s="32" t="str">
        <f>'12U GIRLS PLATINUM-12 TEAMS'!C37&amp;""</f>
        <v>WOOLLETT FAR RIGHT</v>
      </c>
      <c r="D88" s="140" t="str">
        <f>'12U GIRLS PLATINUM-12 TEAMS'!D37&amp;""</f>
        <v>12Gpt17</v>
      </c>
      <c r="E88" s="32" t="str">
        <f>'12U GIRLS PLATINUM-12 TEAMS'!E37&amp;""</f>
        <v>L#13-SHAQ</v>
      </c>
      <c r="F88" s="140" t="str">
        <f>'12U GIRLS PLATINUM-12 TEAMS'!F37&amp;""</f>
        <v>3</v>
      </c>
      <c r="G88" s="32" t="str">
        <f>'12U GIRLS PLATINUM-12 TEAMS'!G37&amp;""</f>
        <v>L#14-NEWPORT BEACH</v>
      </c>
      <c r="H88" s="140" t="str">
        <f>'12U GIRLS PLATINUM-12 TEAMS'!H37&amp;""</f>
        <v>2</v>
      </c>
      <c r="I88" s="140" t="str">
        <f>'12U GIRLS PLATINUM-12 TEAMS'!I37&amp;""</f>
        <v>3rd</v>
      </c>
      <c r="J88" s="140" t="str">
        <f>'12U GIRLS PLATINUM-12 TEAMS'!J37&amp;""</f>
        <v>12U_GIRLS_PLATINUM</v>
      </c>
      <c r="K88" s="140" t="str">
        <f t="shared" si="2"/>
        <v>202602011520</v>
      </c>
    </row>
    <row r="89" spans="1:11">
      <c r="A89" s="32">
        <f>'12U GIRLS PLATINUM-12 TEAMS'!A38</f>
        <v>46054</v>
      </c>
      <c r="B89" s="157">
        <f>'12U GIRLS PLATINUM-12 TEAMS'!B38</f>
        <v>0.67361111111111105</v>
      </c>
      <c r="C89" s="32" t="str">
        <f>'12U GIRLS PLATINUM-12 TEAMS'!C38&amp;""</f>
        <v>WOOLLETT FAR RIGHT</v>
      </c>
      <c r="D89" s="140" t="str">
        <f>'12U GIRLS PLATINUM-12 TEAMS'!D38&amp;""</f>
        <v>12Gpt18</v>
      </c>
      <c r="E89" s="32" t="str">
        <f>'12U GIRLS PLATINUM-12 TEAMS'!E38&amp;""</f>
        <v>W#13-BACK BAY NAVY</v>
      </c>
      <c r="F89" s="140" t="str">
        <f>'12U GIRLS PLATINUM-12 TEAMS'!F38&amp;""</f>
        <v>4</v>
      </c>
      <c r="G89" s="32" t="str">
        <f>'12U GIRLS PLATINUM-12 TEAMS'!G38&amp;""</f>
        <v>W#14-680 RED</v>
      </c>
      <c r="H89" s="140" t="str">
        <f>'12U GIRLS PLATINUM-12 TEAMS'!H38&amp;""</f>
        <v>13</v>
      </c>
      <c r="I89" s="140" t="str">
        <f>'12U GIRLS PLATINUM-12 TEAMS'!I38&amp;""</f>
        <v>1st</v>
      </c>
      <c r="J89" s="140" t="str">
        <f>'12U GIRLS PLATINUM-12 TEAMS'!J38&amp;""</f>
        <v>12U_GIRLS_PLATINUM</v>
      </c>
      <c r="K89" s="140" t="str">
        <f t="shared" si="2"/>
        <v>202602011610</v>
      </c>
    </row>
    <row r="90" spans="1:11">
      <c r="A90" s="322">
        <f>'12U BOYS GOLD-24 TEAMS'!A14</f>
        <v>46053</v>
      </c>
      <c r="B90" s="321">
        <f>'12U BOYS GOLD-24 TEAMS'!B14</f>
        <v>0.36111111111111099</v>
      </c>
      <c r="C90" s="321" t="str">
        <f>'12U BOYS GOLD-24 TEAMS'!C14&amp;""</f>
        <v>COSTA MESA HS 2</v>
      </c>
      <c r="D90" s="320" t="str">
        <f>'12U BOYS GOLD-24 TEAMS'!D14&amp;""</f>
        <v>12Bau01</v>
      </c>
      <c r="E90" s="322" t="str">
        <f>'12U BOYS GOLD-24 TEAMS'!E14&amp;""</f>
        <v>A1(1)-ORANGE COUNTY WPC BLUE</v>
      </c>
      <c r="F90" s="320" t="str">
        <f>'12U BOYS GOLD-24 TEAMS'!F14&amp;""</f>
        <v>11</v>
      </c>
      <c r="G90" s="322" t="str">
        <f>'12U BOYS GOLD-24 TEAMS'!G14&amp;""</f>
        <v>A2(16)-STANFORD BLACK</v>
      </c>
      <c r="H90" s="320" t="str">
        <f>'12U BOYS GOLD-24 TEAMS'!H14&amp;""</f>
        <v>5</v>
      </c>
      <c r="I90" s="320" t="str">
        <f>'12U BOYS GOLD-24 TEAMS'!I14&amp;""</f>
        <v>A bracket A1,A2</v>
      </c>
      <c r="J90" s="320" t="str">
        <f>'12U BOYS GOLD-24 TEAMS'!J14&amp;""</f>
        <v>12U_BOYS_GOLD</v>
      </c>
      <c r="K90" s="320" t="str">
        <f t="shared" si="2"/>
        <v>202601310840</v>
      </c>
    </row>
    <row r="91" spans="1:11">
      <c r="A91" s="314">
        <f>'12U BOYS GOLD-24 TEAMS'!A28</f>
        <v>46053</v>
      </c>
      <c r="B91" s="313">
        <f>'12U BOYS GOLD-24 TEAMS'!B28</f>
        <v>0.36111111111111099</v>
      </c>
      <c r="C91" s="313" t="str">
        <f>'12U BOYS GOLD-24 TEAMS'!C28&amp;""</f>
        <v>WOOLLETT FAR RIGHT</v>
      </c>
      <c r="D91" s="310" t="str">
        <f>'12U BOYS GOLD-24 TEAMS'!D28&amp;""</f>
        <v>12Bau04A</v>
      </c>
      <c r="E91" s="310" t="str">
        <f>'12U BOYS GOLD-24 TEAMS'!E28&amp;""</f>
        <v>G1(6)-SAN MATEO</v>
      </c>
      <c r="F91" s="310" t="str">
        <f>'12U BOYS GOLD-24 TEAMS'!F28&amp;""</f>
        <v>22</v>
      </c>
      <c r="G91" s="310" t="str">
        <f>'12U BOYS GOLD-24 TEAMS'!G28&amp;""</f>
        <v>G3(22)-NORTH IRVINE WHITE</v>
      </c>
      <c r="H91" s="310" t="str">
        <f>'12U BOYS GOLD-24 TEAMS'!H28&amp;""</f>
        <v>2</v>
      </c>
      <c r="I91" s="310" t="str">
        <f>'12U BOYS GOLD-24 TEAMS'!I28&amp;""</f>
        <v>G bracket G1,G3</v>
      </c>
      <c r="J91" s="310" t="str">
        <f>'12U BOYS GOLD-24 TEAMS'!J28&amp;""</f>
        <v>12U_BOYS_GOLD</v>
      </c>
      <c r="K91" s="310" t="str">
        <f t="shared" si="2"/>
        <v>202601310840</v>
      </c>
    </row>
    <row r="92" spans="1:11">
      <c r="A92" s="322">
        <f>'12U BOYS GOLD-24 TEAMS'!A15</f>
        <v>46053</v>
      </c>
      <c r="B92" s="321">
        <f>'12U BOYS GOLD-24 TEAMS'!B15</f>
        <v>0.39583333333333398</v>
      </c>
      <c r="C92" s="321" t="str">
        <f>'12U BOYS GOLD-24 TEAMS'!C15&amp;""</f>
        <v>COSTA MESA HS 2</v>
      </c>
      <c r="D92" s="320" t="str">
        <f>'12U BOYS GOLD-24 TEAMS'!D15&amp;""</f>
        <v>12Bau02</v>
      </c>
      <c r="E92" s="320" t="str">
        <f>'12U BOYS GOLD-24 TEAMS'!E15&amp;""</f>
        <v>C1(5)-BACK BAY</v>
      </c>
      <c r="F92" s="320" t="str">
        <f>'12U BOYS GOLD-24 TEAMS'!F15&amp;""</f>
        <v>6</v>
      </c>
      <c r="G92" s="320" t="str">
        <f>'12U BOYS GOLD-24 TEAMS'!G15&amp;""</f>
        <v>C3(21)-MISSION WPC B</v>
      </c>
      <c r="H92" s="320" t="str">
        <f>'12U BOYS GOLD-24 TEAMS'!H15&amp;""</f>
        <v>16</v>
      </c>
      <c r="I92" s="320" t="str">
        <f>'12U BOYS GOLD-24 TEAMS'!I15&amp;""</f>
        <v>C bracket C1,C3</v>
      </c>
      <c r="J92" s="320" t="str">
        <f>'12U BOYS GOLD-24 TEAMS'!J15&amp;""</f>
        <v>12U_BOYS_GOLD</v>
      </c>
      <c r="K92" s="320" t="str">
        <f t="shared" si="2"/>
        <v>202601310930</v>
      </c>
    </row>
    <row r="93" spans="1:11">
      <c r="A93" s="314">
        <f>'12U BOYS GOLD-24 TEAMS'!A30</f>
        <v>46053</v>
      </c>
      <c r="B93" s="313">
        <f>'12U BOYS GOLD-24 TEAMS'!B30</f>
        <v>0.46527777777777801</v>
      </c>
      <c r="C93" s="313" t="str">
        <f>'12U BOYS GOLD-24 TEAMS'!C30&amp;""</f>
        <v>COSTA MESA HS 2</v>
      </c>
      <c r="D93" s="310" t="str">
        <f>'12U BOYS GOLD-24 TEAMS'!D30&amp;""</f>
        <v>12Bau01A</v>
      </c>
      <c r="E93" s="314" t="str">
        <f>'12U BOYS GOLD-24 TEAMS'!E30&amp;""</f>
        <v>E1(2)-TROJAN</v>
      </c>
      <c r="F93" s="310" t="str">
        <f>'12U BOYS GOLD-24 TEAMS'!F30&amp;""</f>
        <v>15</v>
      </c>
      <c r="G93" s="314" t="str">
        <f>'12U BOYS GOLD-24 TEAMS'!G30&amp;""</f>
        <v>E3(18)-CC UNITED WHITE</v>
      </c>
      <c r="H93" s="310" t="str">
        <f>'12U BOYS GOLD-24 TEAMS'!H30&amp;""</f>
        <v>3</v>
      </c>
      <c r="I93" s="310" t="str">
        <f>'12U BOYS GOLD-24 TEAMS'!I30&amp;""</f>
        <v>E bracket E1,E3</v>
      </c>
      <c r="J93" s="310" t="str">
        <f>'12U BOYS GOLD-24 TEAMS'!J30&amp;""</f>
        <v>12U_BOYS_GOLD</v>
      </c>
      <c r="K93" s="310" t="str">
        <f t="shared" si="2"/>
        <v>202601311110</v>
      </c>
    </row>
    <row r="94" spans="1:11">
      <c r="A94" s="322">
        <f>'12U BOYS GOLD-24 TEAMS'!A17</f>
        <v>46053</v>
      </c>
      <c r="B94" s="321">
        <f>'12U BOYS GOLD-24 TEAMS'!B17</f>
        <v>0.46527777777777801</v>
      </c>
      <c r="C94" s="321" t="str">
        <f>'12U BOYS GOLD-24 TEAMS'!C17&amp;""</f>
        <v>TUSTIN HS 2</v>
      </c>
      <c r="D94" s="320" t="str">
        <f>'12U BOYS GOLD-24 TEAMS'!D17&amp;""</f>
        <v>12Bau03</v>
      </c>
      <c r="E94" s="320" t="str">
        <f>'12U BOYS GOLD-24 TEAMS'!E17&amp;""</f>
        <v>D1(8)-GOLD COAST</v>
      </c>
      <c r="F94" s="320" t="str">
        <f>'12U BOYS GOLD-24 TEAMS'!F17&amp;""</f>
        <v>12.3</v>
      </c>
      <c r="G94" s="320" t="str">
        <f>'12U BOYS GOLD-24 TEAMS'!G17&amp;""</f>
        <v>D3(24)-LAMORINDA B</v>
      </c>
      <c r="H94" s="320" t="str">
        <f>'12U BOYS GOLD-24 TEAMS'!H17&amp;""</f>
        <v>12.4</v>
      </c>
      <c r="I94" s="320" t="str">
        <f>'12U BOYS GOLD-24 TEAMS'!I17&amp;""</f>
        <v>D bracket D1,D3</v>
      </c>
      <c r="J94" s="320" t="str">
        <f>'12U BOYS GOLD-24 TEAMS'!J17&amp;""</f>
        <v>12U_BOYS_GOLD</v>
      </c>
      <c r="K94" s="320" t="str">
        <f t="shared" si="2"/>
        <v>202601311110</v>
      </c>
    </row>
    <row r="95" spans="1:11">
      <c r="A95" s="314">
        <f>'12U BOYS GOLD-24 TEAMS'!A31</f>
        <v>46053</v>
      </c>
      <c r="B95" s="313">
        <f>'12U BOYS GOLD-24 TEAMS'!B31</f>
        <v>0.46527777777777801</v>
      </c>
      <c r="C95" s="313" t="str">
        <f>'12U BOYS GOLD-24 TEAMS'!C31&amp;""</f>
        <v>WOOLLETT FAR RIGHT</v>
      </c>
      <c r="D95" s="310" t="str">
        <f>'12U BOYS GOLD-24 TEAMS'!D31&amp;""</f>
        <v>12Bau08A</v>
      </c>
      <c r="E95" s="312" t="str">
        <f>'12U BOYS GOLD-24 TEAMS'!E31&amp;""</f>
        <v>G1(6)-SAN MATEO</v>
      </c>
      <c r="F95" s="312" t="str">
        <f>'12U BOYS GOLD-24 TEAMS'!F31&amp;""</f>
        <v>8</v>
      </c>
      <c r="G95" s="312" t="str">
        <f>'12U BOYS GOLD-24 TEAMS'!G31&amp;""</f>
        <v>G2(11)-SOUTH COAST RED</v>
      </c>
      <c r="H95" s="310" t="str">
        <f>'12U BOYS GOLD-24 TEAMS'!H31&amp;""</f>
        <v>6</v>
      </c>
      <c r="I95" s="310" t="str">
        <f>'12U BOYS GOLD-24 TEAMS'!I31&amp;""</f>
        <v>G bracket G1,G2</v>
      </c>
      <c r="J95" s="310" t="str">
        <f>'12U BOYS GOLD-24 TEAMS'!J31&amp;""</f>
        <v>12U_BOYS_GOLD</v>
      </c>
      <c r="K95" s="310" t="str">
        <f t="shared" si="2"/>
        <v>202601311110</v>
      </c>
    </row>
    <row r="96" spans="1:11">
      <c r="A96" s="314">
        <f>'12U BOYS GOLD-24 TEAMS'!A32</f>
        <v>46053</v>
      </c>
      <c r="B96" s="313">
        <f>'12U BOYS GOLD-24 TEAMS'!B32</f>
        <v>0.5</v>
      </c>
      <c r="C96" s="313" t="str">
        <f>'12U BOYS GOLD-24 TEAMS'!C32&amp;""</f>
        <v>COSTA MESA HS 2</v>
      </c>
      <c r="D96" s="310" t="str">
        <f>'12U BOYS GOLD-24 TEAMS'!D32&amp;""</f>
        <v>12Bau02A</v>
      </c>
      <c r="E96" s="310" t="str">
        <f>'12U BOYS GOLD-24 TEAMS'!E32&amp;""</f>
        <v>H1(7)-FOOTHILL RED</v>
      </c>
      <c r="F96" s="310" t="str">
        <f>'12U BOYS GOLD-24 TEAMS'!F32&amp;""</f>
        <v>12</v>
      </c>
      <c r="G96" s="310" t="str">
        <f>'12U BOYS GOLD-24 TEAMS'!G32&amp;""</f>
        <v>H3(23)-STANFORD WHITE</v>
      </c>
      <c r="H96" s="310" t="str">
        <f>'12U BOYS GOLD-24 TEAMS'!H32&amp;""</f>
        <v>2</v>
      </c>
      <c r="I96" s="310" t="str">
        <f>'12U BOYS GOLD-24 TEAMS'!I32&amp;""</f>
        <v>H bracket H1,H3</v>
      </c>
      <c r="J96" s="310" t="str">
        <f>'12U BOYS GOLD-24 TEAMS'!J32&amp;""</f>
        <v>12U_BOYS_GOLD</v>
      </c>
      <c r="K96" s="310" t="str">
        <f t="shared" si="2"/>
        <v>202601311200</v>
      </c>
    </row>
    <row r="97" spans="1:11">
      <c r="A97" s="322">
        <f>'12U BOYS GOLD-24 TEAMS'!A18</f>
        <v>46053</v>
      </c>
      <c r="B97" s="321">
        <f>'12U BOYS GOLD-24 TEAMS'!B18</f>
        <v>0.5</v>
      </c>
      <c r="C97" s="321" t="str">
        <f>'12U BOYS GOLD-24 TEAMS'!C18&amp;""</f>
        <v>TUSTIN HS 2</v>
      </c>
      <c r="D97" s="320" t="str">
        <f>'12U BOYS GOLD-24 TEAMS'!D18&amp;""</f>
        <v>12Bau04</v>
      </c>
      <c r="E97" s="320" t="str">
        <f>'12U BOYS GOLD-24 TEAMS'!E18&amp;""</f>
        <v>B1(4)-MARIN</v>
      </c>
      <c r="F97" s="320" t="str">
        <f>'12U BOYS GOLD-24 TEAMS'!F18&amp;""</f>
        <v>12</v>
      </c>
      <c r="G97" s="320" t="str">
        <f>'12U BOYS GOLD-24 TEAMS'!G18&amp;""</f>
        <v>B3(20)-LAMORINDA C</v>
      </c>
      <c r="H97" s="320" t="str">
        <f>'12U BOYS GOLD-24 TEAMS'!H18&amp;""</f>
        <v>0</v>
      </c>
      <c r="I97" s="320" t="str">
        <f>'12U BOYS GOLD-24 TEAMS'!I18&amp;""</f>
        <v>B bracket B1,B3</v>
      </c>
      <c r="J97" s="320" t="str">
        <f>'12U BOYS GOLD-24 TEAMS'!J18&amp;""</f>
        <v>12U_BOYS_GOLD</v>
      </c>
      <c r="K97" s="320" t="str">
        <f t="shared" si="2"/>
        <v>202601311200</v>
      </c>
    </row>
    <row r="98" spans="1:11">
      <c r="A98" s="314">
        <f>'12U BOYS GOLD-24 TEAMS'!A33</f>
        <v>46053</v>
      </c>
      <c r="B98" s="313">
        <f>'12U BOYS GOLD-24 TEAMS'!B33</f>
        <v>0.53472222222222199</v>
      </c>
      <c r="C98" s="313" t="str">
        <f>'12U BOYS GOLD-24 TEAMS'!C33&amp;""</f>
        <v>COSTA MESA HS 2</v>
      </c>
      <c r="D98" s="310" t="str">
        <f>'12U BOYS GOLD-24 TEAMS'!D33&amp;""</f>
        <v>12Bau03A</v>
      </c>
      <c r="E98" s="310" t="str">
        <f>'12U BOYS GOLD-24 TEAMS'!E33&amp;""</f>
        <v>F1(3)-CMAC</v>
      </c>
      <c r="F98" s="310" t="str">
        <f>'12U BOYS GOLD-24 TEAMS'!F33&amp;""</f>
        <v>10</v>
      </c>
      <c r="G98" s="310" t="str">
        <f>'12U BOYS GOLD-24 TEAMS'!G33&amp;""</f>
        <v>F3(19)-PATRIOT 10 NAVY</v>
      </c>
      <c r="H98" s="310" t="str">
        <f>'12U BOYS GOLD-24 TEAMS'!H33&amp;""</f>
        <v>5</v>
      </c>
      <c r="I98" s="310" t="str">
        <f>'12U BOYS GOLD-24 TEAMS'!I33&amp;""</f>
        <v>F bracket F1,F3</v>
      </c>
      <c r="J98" s="310" t="str">
        <f>'12U BOYS GOLD-24 TEAMS'!J33&amp;""</f>
        <v>12U_BOYS_GOLD</v>
      </c>
      <c r="K98" s="310" t="str">
        <f t="shared" si="2"/>
        <v>202601311250</v>
      </c>
    </row>
    <row r="99" spans="1:11">
      <c r="A99" s="322">
        <f>'12U BOYS GOLD-24 TEAMS'!A19</f>
        <v>46053</v>
      </c>
      <c r="B99" s="321">
        <f>'12U BOYS GOLD-24 TEAMS'!B19</f>
        <v>0.53472222222222199</v>
      </c>
      <c r="C99" s="321" t="str">
        <f>'12U BOYS GOLD-24 TEAMS'!C19&amp;""</f>
        <v>TUSTIN HS 2</v>
      </c>
      <c r="D99" s="320" t="str">
        <f>'12U BOYS GOLD-24 TEAMS'!D19&amp;""</f>
        <v>12Bau05</v>
      </c>
      <c r="E99" s="322" t="str">
        <f>'12U BOYS GOLD-24 TEAMS'!E19&amp;""</f>
        <v>A1(1)-ORANGE COUNTY WPC BLUE</v>
      </c>
      <c r="F99" s="320" t="str">
        <f>'12U BOYS GOLD-24 TEAMS'!F19&amp;""</f>
        <v>18</v>
      </c>
      <c r="G99" s="330" t="str">
        <f>'12U BOYS GOLD-24 TEAMS'!G19&amp;""</f>
        <v>A3(17)-680 WHITE</v>
      </c>
      <c r="H99" s="320" t="str">
        <f>'12U BOYS GOLD-24 TEAMS'!H19&amp;""</f>
        <v>1</v>
      </c>
      <c r="I99" s="320" t="str">
        <f>'12U BOYS GOLD-24 TEAMS'!I19&amp;""</f>
        <v>A bracket A1,A3</v>
      </c>
      <c r="J99" s="320" t="str">
        <f>'12U BOYS GOLD-24 TEAMS'!J19&amp;""</f>
        <v>12U_BOYS_GOLD</v>
      </c>
      <c r="K99" s="320" t="str">
        <f t="shared" si="2"/>
        <v>202601311250</v>
      </c>
    </row>
    <row r="100" spans="1:11">
      <c r="A100" s="314">
        <f>'12U BOYS GOLD-24 TEAMS'!A34</f>
        <v>46053</v>
      </c>
      <c r="B100" s="313">
        <f>'12U BOYS GOLD-24 TEAMS'!B34</f>
        <v>0.56944444444444497</v>
      </c>
      <c r="C100" s="313" t="str">
        <f>'12U BOYS GOLD-24 TEAMS'!C34&amp;""</f>
        <v>COSTA MESA HS 2</v>
      </c>
      <c r="D100" s="310" t="str">
        <f>'12U BOYS GOLD-24 TEAMS'!D34&amp;""</f>
        <v>12Bau05A</v>
      </c>
      <c r="E100" s="314" t="str">
        <f>'12U BOYS GOLD-24 TEAMS'!E34&amp;""</f>
        <v>E2(15)-LA JOLLA UNITED GOLD</v>
      </c>
      <c r="F100" s="310" t="str">
        <f>'12U BOYS GOLD-24 TEAMS'!F34&amp;""</f>
        <v>8</v>
      </c>
      <c r="G100" s="314" t="str">
        <f>'12U BOYS GOLD-24 TEAMS'!G34&amp;""</f>
        <v>E3(18)-CC UNITED WHITE</v>
      </c>
      <c r="H100" s="310" t="str">
        <f>'12U BOYS GOLD-24 TEAMS'!H34&amp;""</f>
        <v>5</v>
      </c>
      <c r="I100" s="310" t="str">
        <f>'12U BOYS GOLD-24 TEAMS'!I34&amp;""</f>
        <v>E bracket E2,E3</v>
      </c>
      <c r="J100" s="310" t="str">
        <f>'12U BOYS GOLD-24 TEAMS'!J34&amp;""</f>
        <v>12U_BOYS_GOLD</v>
      </c>
      <c r="K100" s="310" t="str">
        <f t="shared" si="2"/>
        <v>202601311340</v>
      </c>
    </row>
    <row r="101" spans="1:11">
      <c r="A101" s="322">
        <f>'12U BOYS GOLD-24 TEAMS'!A20</f>
        <v>46053</v>
      </c>
      <c r="B101" s="321">
        <f>'12U BOYS GOLD-24 TEAMS'!B20</f>
        <v>0.56944444444444497</v>
      </c>
      <c r="C101" s="321" t="str">
        <f>'12U BOYS GOLD-24 TEAMS'!C20&amp;""</f>
        <v>TUSTIN HS 2</v>
      </c>
      <c r="D101" s="320" t="str">
        <f>'12U BOYS GOLD-24 TEAMS'!D20&amp;""</f>
        <v>12Bau06</v>
      </c>
      <c r="E101" s="320" t="str">
        <f>'12U BOYS GOLD-24 TEAMS'!E20&amp;""</f>
        <v>C2(12)-CC UNITED BLUE</v>
      </c>
      <c r="F101" s="320" t="str">
        <f>'12U BOYS GOLD-24 TEAMS'!F20&amp;""</f>
        <v>5</v>
      </c>
      <c r="G101" s="320" t="str">
        <f>'12U BOYS GOLD-24 TEAMS'!G20&amp;""</f>
        <v>C3(21)-MISSION WPC B</v>
      </c>
      <c r="H101" s="320" t="str">
        <f>'12U BOYS GOLD-24 TEAMS'!H20&amp;""</f>
        <v>8</v>
      </c>
      <c r="I101" s="320" t="str">
        <f>'12U BOYS GOLD-24 TEAMS'!I20&amp;""</f>
        <v>C bracket C2,C3</v>
      </c>
      <c r="J101" s="320" t="str">
        <f>'12U BOYS GOLD-24 TEAMS'!J20&amp;""</f>
        <v>12U_BOYS_GOLD</v>
      </c>
      <c r="K101" s="320" t="str">
        <f t="shared" si="2"/>
        <v>202601311340</v>
      </c>
    </row>
    <row r="102" spans="1:11">
      <c r="A102" s="314">
        <f>'12U BOYS GOLD-24 TEAMS'!A35</f>
        <v>46053</v>
      </c>
      <c r="B102" s="313">
        <f>'12U BOYS GOLD-24 TEAMS'!B35</f>
        <v>0.56944444444444497</v>
      </c>
      <c r="C102" s="313" t="str">
        <f>'12U BOYS GOLD-24 TEAMS'!C35&amp;""</f>
        <v>WOOLLETT FAR RIGHT</v>
      </c>
      <c r="D102" s="310" t="str">
        <f>'12U BOYS GOLD-24 TEAMS'!D35&amp;""</f>
        <v>12Bau12A</v>
      </c>
      <c r="E102" s="310" t="str">
        <f>'12U BOYS GOLD-24 TEAMS'!E35&amp;""</f>
        <v>G2(11)-SOUTH COAST RED</v>
      </c>
      <c r="F102" s="310" t="str">
        <f>'12U BOYS GOLD-24 TEAMS'!F35&amp;""</f>
        <v>15</v>
      </c>
      <c r="G102" s="310" t="str">
        <f>'12U BOYS GOLD-24 TEAMS'!G35&amp;""</f>
        <v>G3(22)-NORTH IRVINE WHITE</v>
      </c>
      <c r="H102" s="310" t="str">
        <f>'12U BOYS GOLD-24 TEAMS'!H35&amp;""</f>
        <v>0</v>
      </c>
      <c r="I102" s="310" t="str">
        <f>'12U BOYS GOLD-24 TEAMS'!I35&amp;""</f>
        <v>G bracket G2,G3</v>
      </c>
      <c r="J102" s="310" t="str">
        <f>'12U BOYS GOLD-24 TEAMS'!J35&amp;""</f>
        <v>12U_BOYS_GOLD</v>
      </c>
      <c r="K102" s="310" t="str">
        <f t="shared" si="2"/>
        <v>202601311340</v>
      </c>
    </row>
    <row r="103" spans="1:11">
      <c r="A103" s="314">
        <f>'12U BOYS GOLD-24 TEAMS'!A36</f>
        <v>46053</v>
      </c>
      <c r="B103" s="313">
        <f>'12U BOYS GOLD-24 TEAMS'!B36</f>
        <v>0.60416666666666696</v>
      </c>
      <c r="C103" s="313" t="str">
        <f>'12U BOYS GOLD-24 TEAMS'!C36&amp;""</f>
        <v>COSTA MESA HS 2</v>
      </c>
      <c r="D103" s="310" t="str">
        <f>'12U BOYS GOLD-24 TEAMS'!D36&amp;""</f>
        <v>12Bau06A</v>
      </c>
      <c r="E103" s="310" t="str">
        <f>'12U BOYS GOLD-24 TEAMS'!E36&amp;""</f>
        <v>H2(10)-AMERICAN RIVER BLUE</v>
      </c>
      <c r="F103" s="310" t="str">
        <f>'12U BOYS GOLD-24 TEAMS'!F36&amp;""</f>
        <v>9</v>
      </c>
      <c r="G103" s="310" t="str">
        <f>'12U BOYS GOLD-24 TEAMS'!G36&amp;""</f>
        <v>H3(23)-STANFORD WHITE</v>
      </c>
      <c r="H103" s="310" t="str">
        <f>'12U BOYS GOLD-24 TEAMS'!H36&amp;""</f>
        <v>15</v>
      </c>
      <c r="I103" s="310" t="str">
        <f>'12U BOYS GOLD-24 TEAMS'!I36&amp;""</f>
        <v>H bracket H2,H3</v>
      </c>
      <c r="J103" s="310" t="str">
        <f>'12U BOYS GOLD-24 TEAMS'!J36&amp;""</f>
        <v>12U_BOYS_GOLD</v>
      </c>
      <c r="K103" s="310" t="str">
        <f t="shared" si="2"/>
        <v>202601311430</v>
      </c>
    </row>
    <row r="104" spans="1:11">
      <c r="A104" s="322">
        <f>'12U BOYS GOLD-24 TEAMS'!A21</f>
        <v>46053</v>
      </c>
      <c r="B104" s="321">
        <f>'12U BOYS GOLD-24 TEAMS'!B21</f>
        <v>0.60416666666666696</v>
      </c>
      <c r="C104" s="321" t="str">
        <f>'12U BOYS GOLD-24 TEAMS'!C21&amp;""</f>
        <v>TUSTIN HS 2</v>
      </c>
      <c r="D104" s="320" t="str">
        <f>'12U BOYS GOLD-24 TEAMS'!D21&amp;""</f>
        <v>12Bau07</v>
      </c>
      <c r="E104" s="320" t="str">
        <f>'12U BOYS GOLD-24 TEAMS'!E21&amp;""</f>
        <v>D2(9)-NORTH IRVINE RED</v>
      </c>
      <c r="F104" s="320" t="str">
        <f>'12U BOYS GOLD-24 TEAMS'!F21&amp;""</f>
        <v>5</v>
      </c>
      <c r="G104" s="320" t="str">
        <f>'12U BOYS GOLD-24 TEAMS'!G21&amp;""</f>
        <v>D3(24)-LAMORINDA B</v>
      </c>
      <c r="H104" s="320" t="str">
        <f>'12U BOYS GOLD-24 TEAMS'!H21&amp;""</f>
        <v>9</v>
      </c>
      <c r="I104" s="320" t="str">
        <f>'12U BOYS GOLD-24 TEAMS'!I21&amp;""</f>
        <v>D bracket D2,D3</v>
      </c>
      <c r="J104" s="320" t="str">
        <f>'12U BOYS GOLD-24 TEAMS'!J21&amp;""</f>
        <v>12U_BOYS_GOLD</v>
      </c>
      <c r="K104" s="320" t="str">
        <f t="shared" si="2"/>
        <v>202601311430</v>
      </c>
    </row>
    <row r="105" spans="1:11">
      <c r="A105" s="314">
        <f>'12U BOYS GOLD-24 TEAMS'!A37</f>
        <v>46053</v>
      </c>
      <c r="B105" s="313">
        <f>'12U BOYS GOLD-24 TEAMS'!B37</f>
        <v>0.63888888888888895</v>
      </c>
      <c r="C105" s="313" t="str">
        <f>'12U BOYS GOLD-24 TEAMS'!C37&amp;""</f>
        <v>COSTA MESA HS 2</v>
      </c>
      <c r="D105" s="310" t="str">
        <f>'12U BOYS GOLD-24 TEAMS'!D37&amp;""</f>
        <v>12Bau07A</v>
      </c>
      <c r="E105" s="310" t="str">
        <f>'12U BOYS GOLD-24 TEAMS'!E37&amp;""</f>
        <v>F2(14)-680 BLUE</v>
      </c>
      <c r="F105" s="310" t="str">
        <f>'12U BOYS GOLD-24 TEAMS'!F37&amp;""</f>
        <v>10</v>
      </c>
      <c r="G105" s="310" t="str">
        <f>'12U BOYS GOLD-24 TEAMS'!G37&amp;""</f>
        <v>F3(19)-PATRIOT 10 NAVY</v>
      </c>
      <c r="H105" s="310" t="str">
        <f>'12U BOYS GOLD-24 TEAMS'!H37&amp;""</f>
        <v>1</v>
      </c>
      <c r="I105" s="310" t="str">
        <f>'12U BOYS GOLD-24 TEAMS'!I37&amp;""</f>
        <v>F bracket F2,F3</v>
      </c>
      <c r="J105" s="310" t="str">
        <f>'12U BOYS GOLD-24 TEAMS'!J37&amp;""</f>
        <v>12U_BOYS_GOLD</v>
      </c>
      <c r="K105" s="310" t="str">
        <f t="shared" si="2"/>
        <v>202601311520</v>
      </c>
    </row>
    <row r="106" spans="1:11">
      <c r="A106" s="322">
        <f>'12U BOYS GOLD-24 TEAMS'!A22</f>
        <v>46053</v>
      </c>
      <c r="B106" s="321">
        <f>'12U BOYS GOLD-24 TEAMS'!B22</f>
        <v>0.63888888888888895</v>
      </c>
      <c r="C106" s="321" t="str">
        <f>'12U BOYS GOLD-24 TEAMS'!C22&amp;""</f>
        <v>TUSTIN HS 2</v>
      </c>
      <c r="D106" s="320" t="str">
        <f>'12U BOYS GOLD-24 TEAMS'!D22&amp;""</f>
        <v>12Bau08</v>
      </c>
      <c r="E106" s="320" t="str">
        <f>'12U BOYS GOLD-24 TEAMS'!E22&amp;""</f>
        <v>B2(13)-SAN CLEMENTE BLACK</v>
      </c>
      <c r="F106" s="320" t="str">
        <f>'12U BOYS GOLD-24 TEAMS'!F22&amp;""</f>
        <v>18</v>
      </c>
      <c r="G106" s="320" t="str">
        <f>'12U BOYS GOLD-24 TEAMS'!G22&amp;""</f>
        <v>B3(20)-LAMORINDA C</v>
      </c>
      <c r="H106" s="320" t="str">
        <f>'12U BOYS GOLD-24 TEAMS'!H22&amp;""</f>
        <v>1</v>
      </c>
      <c r="I106" s="320" t="str">
        <f>'12U BOYS GOLD-24 TEAMS'!I22&amp;""</f>
        <v>B bracket B2,B3</v>
      </c>
      <c r="J106" s="320" t="str">
        <f>'12U BOYS GOLD-24 TEAMS'!J22&amp;""</f>
        <v>12U_BOYS_GOLD</v>
      </c>
      <c r="K106" s="320" t="str">
        <f t="shared" si="2"/>
        <v>202601311520</v>
      </c>
    </row>
    <row r="107" spans="1:11">
      <c r="A107" s="322">
        <f>'12U BOYS GOLD-24 TEAMS'!A23</f>
        <v>46053</v>
      </c>
      <c r="B107" s="321">
        <f>'12U BOYS GOLD-24 TEAMS'!B23</f>
        <v>0.67361111111111105</v>
      </c>
      <c r="C107" s="321" t="str">
        <f>'12U BOYS GOLD-24 TEAMS'!C23&amp;""</f>
        <v>TUSTIN HS 2</v>
      </c>
      <c r="D107" s="320" t="str">
        <f>'12U BOYS GOLD-24 TEAMS'!D23&amp;""</f>
        <v>12Bau09</v>
      </c>
      <c r="E107" s="322" t="str">
        <f>'12U BOYS GOLD-24 TEAMS'!E23&amp;""</f>
        <v>A2(16)-STANFORD BLACK</v>
      </c>
      <c r="F107" s="320" t="str">
        <f>'12U BOYS GOLD-24 TEAMS'!F23&amp;""</f>
        <v>16</v>
      </c>
      <c r="G107" s="322" t="str">
        <f>'12U BOYS GOLD-24 TEAMS'!G23&amp;""</f>
        <v>A3(17)-680 WHITE</v>
      </c>
      <c r="H107" s="320" t="str">
        <f>'12U BOYS GOLD-24 TEAMS'!H23&amp;""</f>
        <v>2</v>
      </c>
      <c r="I107" s="320" t="str">
        <f>'12U BOYS GOLD-24 TEAMS'!I23&amp;""</f>
        <v>A bracket A2,A3</v>
      </c>
      <c r="J107" s="320" t="str">
        <f>'12U BOYS GOLD-24 TEAMS'!J23&amp;""</f>
        <v>12U_BOYS_GOLD</v>
      </c>
      <c r="K107" s="320" t="str">
        <f t="shared" si="2"/>
        <v>202601311610</v>
      </c>
    </row>
    <row r="108" spans="1:11">
      <c r="A108" s="314">
        <f>'12U BOYS GOLD-24 TEAMS'!A38</f>
        <v>46053</v>
      </c>
      <c r="B108" s="313">
        <f>'12U BOYS GOLD-24 TEAMS'!B38</f>
        <v>0.67361111111111105</v>
      </c>
      <c r="C108" s="313" t="str">
        <f>'12U BOYS GOLD-24 TEAMS'!C38&amp;""</f>
        <v>COSTA MESA HS 2</v>
      </c>
      <c r="D108" s="310" t="str">
        <f>'12U BOYS GOLD-24 TEAMS'!D38&amp;""</f>
        <v>12Bau09A</v>
      </c>
      <c r="E108" s="314" t="str">
        <f>'12U BOYS GOLD-24 TEAMS'!E38&amp;""</f>
        <v>E1(2)-TROJAN</v>
      </c>
      <c r="F108" s="310" t="str">
        <f>'12U BOYS GOLD-24 TEAMS'!F38&amp;""</f>
        <v>12</v>
      </c>
      <c r="G108" s="314" t="str">
        <f>'12U BOYS GOLD-24 TEAMS'!G38&amp;""</f>
        <v>E2(15)-LA JOLLA UNITED GOLD</v>
      </c>
      <c r="H108" s="310" t="str">
        <f>'12U BOYS GOLD-24 TEAMS'!H38&amp;""</f>
        <v>1</v>
      </c>
      <c r="I108" s="310" t="str">
        <f>'12U BOYS GOLD-24 TEAMS'!I38&amp;""</f>
        <v>E bracket E1,E2</v>
      </c>
      <c r="J108" s="310" t="str">
        <f>'12U BOYS GOLD-24 TEAMS'!J38&amp;""</f>
        <v>12U_BOYS_GOLD</v>
      </c>
      <c r="K108" s="310" t="str">
        <f t="shared" si="2"/>
        <v>202601311610</v>
      </c>
    </row>
    <row r="109" spans="1:11">
      <c r="A109" s="322">
        <f>'12U BOYS GOLD-24 TEAMS'!A24</f>
        <v>46053</v>
      </c>
      <c r="B109" s="321">
        <f>'12U BOYS GOLD-24 TEAMS'!B24</f>
        <v>0.70833333333333404</v>
      </c>
      <c r="C109" s="321" t="str">
        <f>'12U BOYS GOLD-24 TEAMS'!C24&amp;""</f>
        <v>TUSTIN HS 2</v>
      </c>
      <c r="D109" s="320" t="str">
        <f>'12U BOYS GOLD-24 TEAMS'!D24&amp;""</f>
        <v>12Bau10</v>
      </c>
      <c r="E109" s="323" t="str">
        <f>'12U BOYS GOLD-24 TEAMS'!E24&amp;""</f>
        <v>C1(5)-BACK BAY</v>
      </c>
      <c r="F109" s="323" t="str">
        <f>'12U BOYS GOLD-24 TEAMS'!F24&amp;""</f>
        <v>17</v>
      </c>
      <c r="G109" s="323" t="str">
        <f>'12U BOYS GOLD-24 TEAMS'!G24&amp;""</f>
        <v>C2(12)-CC UNITED BLUE</v>
      </c>
      <c r="H109" s="320" t="str">
        <f>'12U BOYS GOLD-24 TEAMS'!H24&amp;""</f>
        <v>4</v>
      </c>
      <c r="I109" s="320" t="str">
        <f>'12U BOYS GOLD-24 TEAMS'!I24&amp;""</f>
        <v>C bracket C1,C2</v>
      </c>
      <c r="J109" s="320" t="str">
        <f>'12U BOYS GOLD-24 TEAMS'!J24&amp;""</f>
        <v>12U_BOYS_GOLD</v>
      </c>
      <c r="K109" s="320" t="str">
        <f t="shared" si="2"/>
        <v>202601311700</v>
      </c>
    </row>
    <row r="110" spans="1:11">
      <c r="A110" s="314">
        <f>'12U BOYS GOLD-24 TEAMS'!A39</f>
        <v>46053</v>
      </c>
      <c r="B110" s="313">
        <f>'12U BOYS GOLD-24 TEAMS'!B39</f>
        <v>0.70833333333333404</v>
      </c>
      <c r="C110" s="313" t="str">
        <f>'12U BOYS GOLD-24 TEAMS'!C39&amp;""</f>
        <v>COSTA MESA HS 2</v>
      </c>
      <c r="D110" s="310" t="str">
        <f>'12U BOYS GOLD-24 TEAMS'!D39&amp;""</f>
        <v>12Bau10A</v>
      </c>
      <c r="E110" s="312" t="str">
        <f>'12U BOYS GOLD-24 TEAMS'!E39&amp;""</f>
        <v>H1(7)-FOOTHILL RED</v>
      </c>
      <c r="F110" s="312" t="str">
        <f>'12U BOYS GOLD-24 TEAMS'!F39&amp;""</f>
        <v>17</v>
      </c>
      <c r="G110" s="312" t="str">
        <f>'12U BOYS GOLD-24 TEAMS'!G39&amp;""</f>
        <v>H2(10)-AMERICAN RIVER BLUE</v>
      </c>
      <c r="H110" s="310" t="str">
        <f>'12U BOYS GOLD-24 TEAMS'!H39&amp;""</f>
        <v>4</v>
      </c>
      <c r="I110" s="310" t="str">
        <f>'12U BOYS GOLD-24 TEAMS'!I39&amp;""</f>
        <v>H bracket H1,H2</v>
      </c>
      <c r="J110" s="310" t="str">
        <f>'12U BOYS GOLD-24 TEAMS'!J39&amp;""</f>
        <v>12U_BOYS_GOLD</v>
      </c>
      <c r="K110" s="310" t="str">
        <f t="shared" si="2"/>
        <v>202601311700</v>
      </c>
    </row>
    <row r="111" spans="1:11">
      <c r="A111" s="322">
        <f>'12U BOYS GOLD-24 TEAMS'!A25</f>
        <v>46053</v>
      </c>
      <c r="B111" s="321">
        <f>'12U BOYS GOLD-24 TEAMS'!B25</f>
        <v>0.74305555555555602</v>
      </c>
      <c r="C111" s="321" t="str">
        <f>'12U BOYS GOLD-24 TEAMS'!C25&amp;""</f>
        <v>TUSTIN HS 2</v>
      </c>
      <c r="D111" s="320" t="str">
        <f>'12U BOYS GOLD-24 TEAMS'!D25&amp;""</f>
        <v>12Bau11</v>
      </c>
      <c r="E111" s="323" t="str">
        <f>'12U BOYS GOLD-24 TEAMS'!E25&amp;""</f>
        <v>D1(8)-GOLD COAST</v>
      </c>
      <c r="F111" s="323" t="str">
        <f>'12U BOYS GOLD-24 TEAMS'!F25&amp;""</f>
        <v>8</v>
      </c>
      <c r="G111" s="323" t="str">
        <f>'12U BOYS GOLD-24 TEAMS'!G25&amp;""</f>
        <v>D2(9)-NORTH IRVINE RED</v>
      </c>
      <c r="H111" s="320" t="str">
        <f>'12U BOYS GOLD-24 TEAMS'!H25&amp;""</f>
        <v>6</v>
      </c>
      <c r="I111" s="320" t="str">
        <f>'12U BOYS GOLD-24 TEAMS'!I25&amp;""</f>
        <v>D bracket D1,D2</v>
      </c>
      <c r="J111" s="320" t="str">
        <f>'12U BOYS GOLD-24 TEAMS'!J25&amp;""</f>
        <v>12U_BOYS_GOLD</v>
      </c>
      <c r="K111" s="320" t="str">
        <f t="shared" si="2"/>
        <v>202601311750</v>
      </c>
    </row>
    <row r="112" spans="1:11">
      <c r="A112" s="314">
        <f>'12U BOYS GOLD-24 TEAMS'!A40</f>
        <v>46053</v>
      </c>
      <c r="B112" s="313">
        <f>'12U BOYS GOLD-24 TEAMS'!B40</f>
        <v>0.74305555555555602</v>
      </c>
      <c r="C112" s="313" t="str">
        <f>'12U BOYS GOLD-24 TEAMS'!C40&amp;""</f>
        <v>COSTA MESA HS 2</v>
      </c>
      <c r="D112" s="310" t="str">
        <f>'12U BOYS GOLD-24 TEAMS'!D40&amp;""</f>
        <v>12Bau11A</v>
      </c>
      <c r="E112" s="312" t="str">
        <f>'12U BOYS GOLD-24 TEAMS'!E40&amp;""</f>
        <v>F1(3)-CMAC</v>
      </c>
      <c r="F112" s="312" t="str">
        <f>'12U BOYS GOLD-24 TEAMS'!F40&amp;""</f>
        <v>5</v>
      </c>
      <c r="G112" s="312" t="str">
        <f>'12U BOYS GOLD-24 TEAMS'!G40&amp;""</f>
        <v>F2(14)-680 BLUE</v>
      </c>
      <c r="H112" s="310" t="str">
        <f>'12U BOYS GOLD-24 TEAMS'!H40&amp;""</f>
        <v>7</v>
      </c>
      <c r="I112" s="310" t="str">
        <f>'12U BOYS GOLD-24 TEAMS'!I40&amp;""</f>
        <v>F bracket F1,F2</v>
      </c>
      <c r="J112" s="310" t="str">
        <f>'12U BOYS GOLD-24 TEAMS'!J40&amp;""</f>
        <v>12U_BOYS_GOLD</v>
      </c>
      <c r="K112" s="310" t="str">
        <f t="shared" si="2"/>
        <v>202601311750</v>
      </c>
    </row>
    <row r="113" spans="1:11">
      <c r="A113" s="322">
        <f>'12U BOYS GOLD-24 TEAMS'!A26</f>
        <v>46053</v>
      </c>
      <c r="B113" s="321">
        <f>'12U BOYS GOLD-24 TEAMS'!B26</f>
        <v>0.77777777777777801</v>
      </c>
      <c r="C113" s="321" t="str">
        <f>'12U BOYS GOLD-24 TEAMS'!C26&amp;""</f>
        <v>TUSTIN HS 2</v>
      </c>
      <c r="D113" s="320" t="str">
        <f>'12U BOYS GOLD-24 TEAMS'!D26&amp;""</f>
        <v>12Bau12</v>
      </c>
      <c r="E113" s="323" t="str">
        <f>'12U BOYS GOLD-24 TEAMS'!E26&amp;""</f>
        <v>B1(4)-MARIN</v>
      </c>
      <c r="F113" s="323" t="str">
        <f>'12U BOYS GOLD-24 TEAMS'!F26&amp;""</f>
        <v>2</v>
      </c>
      <c r="G113" s="323" t="str">
        <f>'12U BOYS GOLD-24 TEAMS'!G26&amp;""</f>
        <v>B2(13)-SAN CLEMENTE BLACK</v>
      </c>
      <c r="H113" s="320" t="str">
        <f>'12U BOYS GOLD-24 TEAMS'!H26&amp;""</f>
        <v>15</v>
      </c>
      <c r="I113" s="320" t="str">
        <f>'12U BOYS GOLD-24 TEAMS'!I26&amp;""</f>
        <v>B bracket B1,B2</v>
      </c>
      <c r="J113" s="320" t="str">
        <f>'12U BOYS GOLD-24 TEAMS'!J26&amp;""</f>
        <v>12U_BOYS_GOLD</v>
      </c>
      <c r="K113" s="320" t="str">
        <f t="shared" si="2"/>
        <v>202601311840</v>
      </c>
    </row>
    <row r="114" spans="1:11">
      <c r="A114" s="322">
        <f>'12U BOYS GOLD-24 TEAMS'!A44</f>
        <v>46054</v>
      </c>
      <c r="B114" s="321">
        <f>'12U BOYS GOLD-24 TEAMS'!B44</f>
        <v>0.3263888888888889</v>
      </c>
      <c r="C114" s="321" t="str">
        <f>'12U BOYS GOLD-24 TEAMS'!C44&amp;""</f>
        <v>COSTA MESA HS 2</v>
      </c>
      <c r="D114" s="320" t="str">
        <f>'12U BOYS GOLD-24 TEAMS'!D44&amp;""</f>
        <v>12Bau17</v>
      </c>
      <c r="E114" s="320" t="str">
        <f>'12U BOYS GOLD-24 TEAMS'!E44&amp;""</f>
        <v>1stA-ORANGE COUNTY WPC BLUE</v>
      </c>
      <c r="F114" s="320" t="str">
        <f>'12U BOYS GOLD-24 TEAMS'!F44&amp;""</f>
        <v>13</v>
      </c>
      <c r="G114" s="320" t="str">
        <f>'12U BOYS GOLD-24 TEAMS'!G44&amp;""</f>
        <v>1stD-LAMORINDA B</v>
      </c>
      <c r="H114" s="323" t="str">
        <f>'12U BOYS GOLD-24 TEAMS'!H44&amp;""</f>
        <v>5</v>
      </c>
      <c r="I114" s="320" t="str">
        <f>'12U BOYS GOLD-24 TEAMS'!I44&amp;""</f>
        <v>1-8 cross 1A/1D</v>
      </c>
      <c r="J114" s="320" t="str">
        <f>'12U BOYS GOLD-24 TEAMS'!J44&amp;""</f>
        <v>12U_BOYS_GOLD</v>
      </c>
      <c r="K114" s="320" t="str">
        <f t="shared" si="2"/>
        <v>202602010750</v>
      </c>
    </row>
    <row r="115" spans="1:11">
      <c r="A115" s="314">
        <f>'12U BOYS GOLD-24 TEAMS'!A60</f>
        <v>46054</v>
      </c>
      <c r="B115" s="313">
        <f>'12U BOYS GOLD-24 TEAMS'!B60</f>
        <v>0.36111111111111099</v>
      </c>
      <c r="C115" s="313" t="str">
        <f>'12U BOYS GOLD-24 TEAMS'!C60&amp;""</f>
        <v>TUSTIN HS 2</v>
      </c>
      <c r="D115" s="310" t="str">
        <f>'12U BOYS GOLD-24 TEAMS'!D60&amp;""</f>
        <v>12Bau17A</v>
      </c>
      <c r="E115" s="310" t="str">
        <f>'12U BOYS GOLD-24 TEAMS'!E60&amp;""</f>
        <v>1stE-TROJAN</v>
      </c>
      <c r="F115" s="310" t="str">
        <f>'12U BOYS GOLD-24 TEAMS'!F60&amp;""</f>
        <v>7</v>
      </c>
      <c r="G115" s="310" t="str">
        <f>'12U BOYS GOLD-24 TEAMS'!G60&amp;""</f>
        <v>1stH-FOOTHILL RED</v>
      </c>
      <c r="H115" s="312" t="str">
        <f>'12U BOYS GOLD-24 TEAMS'!H60&amp;""</f>
        <v>9</v>
      </c>
      <c r="I115" s="310" t="str">
        <f>'12U BOYS GOLD-24 TEAMS'!I60&amp;""</f>
        <v>1-8 cross 1E/1H</v>
      </c>
      <c r="J115" s="310" t="str">
        <f>'12U BOYS GOLD-24 TEAMS'!J60&amp;""</f>
        <v>12U_BOYS_GOLD</v>
      </c>
      <c r="K115" s="310" t="str">
        <f t="shared" si="2"/>
        <v>202602010840</v>
      </c>
    </row>
    <row r="116" spans="1:11">
      <c r="A116" s="322">
        <f>'12U BOYS GOLD-24 TEAMS'!A45</f>
        <v>46054</v>
      </c>
      <c r="B116" s="321">
        <f>'12U BOYS GOLD-24 TEAMS'!B45</f>
        <v>0.36111111111111099</v>
      </c>
      <c r="C116" s="321" t="str">
        <f>'12U BOYS GOLD-24 TEAMS'!C45&amp;""</f>
        <v>COSTA MESA HS 2</v>
      </c>
      <c r="D116" s="320" t="str">
        <f>'12U BOYS GOLD-24 TEAMS'!D45&amp;""</f>
        <v>12Bau18</v>
      </c>
      <c r="E116" s="320" t="str">
        <f>'12U BOYS GOLD-24 TEAMS'!E45&amp;""</f>
        <v>1stB-SAN CLEMENTE BLACK</v>
      </c>
      <c r="F116" s="320" t="str">
        <f>'12U BOYS GOLD-24 TEAMS'!F45&amp;""</f>
        <v>7</v>
      </c>
      <c r="G116" s="320" t="str">
        <f>'12U BOYS GOLD-24 TEAMS'!G45&amp;""</f>
        <v>1stC-MISSION WPC B</v>
      </c>
      <c r="H116" s="320" t="str">
        <f>'12U BOYS GOLD-24 TEAMS'!H45&amp;""</f>
        <v>6</v>
      </c>
      <c r="I116" s="320" t="str">
        <f>'12U BOYS GOLD-24 TEAMS'!I45&amp;""</f>
        <v>1-8 cross 1B/1C</v>
      </c>
      <c r="J116" s="320" t="str">
        <f>'12U BOYS GOLD-24 TEAMS'!J45&amp;""</f>
        <v>12U_BOYS_GOLD</v>
      </c>
      <c r="K116" s="320" t="str">
        <f t="shared" si="2"/>
        <v>202602010840</v>
      </c>
    </row>
    <row r="117" spans="1:11">
      <c r="A117" s="322">
        <f>'12U BOYS GOLD-24 TEAMS'!A46</f>
        <v>46054</v>
      </c>
      <c r="B117" s="321">
        <f>'12U BOYS GOLD-24 TEAMS'!B46</f>
        <v>0.39583333333333398</v>
      </c>
      <c r="C117" s="321" t="str">
        <f>'12U BOYS GOLD-24 TEAMS'!C46&amp;""</f>
        <v>COSTA MESA HS 2</v>
      </c>
      <c r="D117" s="320" t="str">
        <f>'12U BOYS GOLD-24 TEAMS'!D46&amp;""</f>
        <v>12Bau13</v>
      </c>
      <c r="E117" s="323" t="str">
        <f>'12U BOYS GOLD-24 TEAMS'!E46&amp;""</f>
        <v>3rdA-680 WHITE</v>
      </c>
      <c r="F117" s="323" t="str">
        <f>'12U BOYS GOLD-24 TEAMS'!F46&amp;""</f>
        <v>2</v>
      </c>
      <c r="G117" s="323" t="str">
        <f>'12U BOYS GOLD-24 TEAMS'!G46&amp;""</f>
        <v>3rdD-NORTH IRVINE RED</v>
      </c>
      <c r="H117" s="320" t="str">
        <f>'12U BOYS GOLD-24 TEAMS'!H46&amp;""</f>
        <v>8</v>
      </c>
      <c r="I117" s="320" t="str">
        <f>'12U BOYS GOLD-24 TEAMS'!I46&amp;""</f>
        <v>17-24 cross 3A/3D</v>
      </c>
      <c r="J117" s="320" t="str">
        <f>'12U BOYS GOLD-24 TEAMS'!J46&amp;""</f>
        <v>12U_BOYS_GOLD</v>
      </c>
      <c r="K117" s="320" t="str">
        <f t="shared" si="2"/>
        <v>202602010930</v>
      </c>
    </row>
    <row r="118" spans="1:11">
      <c r="A118" s="314">
        <f>'12U BOYS GOLD-24 TEAMS'!A61</f>
        <v>46054</v>
      </c>
      <c r="B118" s="313">
        <f>'12U BOYS GOLD-24 TEAMS'!B61</f>
        <v>0.39583333333333398</v>
      </c>
      <c r="C118" s="313" t="str">
        <f>'12U BOYS GOLD-24 TEAMS'!C61&amp;""</f>
        <v>TUSTIN HS 2</v>
      </c>
      <c r="D118" s="310" t="str">
        <f>'12U BOYS GOLD-24 TEAMS'!D61&amp;""</f>
        <v>12Bau18A</v>
      </c>
      <c r="E118" s="310" t="str">
        <f>'12U BOYS GOLD-24 TEAMS'!E61&amp;""</f>
        <v>1stF-680 BLUE</v>
      </c>
      <c r="F118" s="310" t="str">
        <f>'12U BOYS GOLD-24 TEAMS'!F61&amp;""</f>
        <v>6</v>
      </c>
      <c r="G118" s="310" t="str">
        <f>'12U BOYS GOLD-24 TEAMS'!G61&amp;""</f>
        <v>1stG-SAN MATEO</v>
      </c>
      <c r="H118" s="310" t="str">
        <f>'12U BOYS GOLD-24 TEAMS'!H61&amp;""</f>
        <v>5</v>
      </c>
      <c r="I118" s="310" t="str">
        <f>'12U BOYS GOLD-24 TEAMS'!I61&amp;""</f>
        <v>1-8 cross 1F/1G</v>
      </c>
      <c r="J118" s="310" t="str">
        <f>'12U BOYS GOLD-24 TEAMS'!J61&amp;""</f>
        <v>12U_BOYS_GOLD</v>
      </c>
      <c r="K118" s="310" t="str">
        <f t="shared" si="2"/>
        <v>202602010930</v>
      </c>
    </row>
    <row r="119" spans="1:11">
      <c r="A119" s="314">
        <f>'12U BOYS GOLD-24 TEAMS'!A62</f>
        <v>46054</v>
      </c>
      <c r="B119" s="313">
        <f>'12U BOYS GOLD-24 TEAMS'!B62</f>
        <v>0.43055555555555602</v>
      </c>
      <c r="C119" s="313" t="str">
        <f>'12U BOYS GOLD-24 TEAMS'!C62&amp;""</f>
        <v>TUSTIN HS 2</v>
      </c>
      <c r="D119" s="310" t="str">
        <f>'12U BOYS GOLD-24 TEAMS'!D62&amp;""</f>
        <v>12Bau13A</v>
      </c>
      <c r="E119" s="312" t="str">
        <f>'12U BOYS GOLD-24 TEAMS'!E62&amp;""</f>
        <v>3rdE-CC UNITED WHITE</v>
      </c>
      <c r="F119" s="312" t="str">
        <f>'12U BOYS GOLD-24 TEAMS'!F62&amp;""</f>
        <v>3</v>
      </c>
      <c r="G119" s="310" t="str">
        <f>'12U BOYS GOLD-24 TEAMS'!G62&amp;""</f>
        <v>3rdH-AMERICAN RIVER BLUE</v>
      </c>
      <c r="H119" s="310" t="str">
        <f>'12U BOYS GOLD-24 TEAMS'!H62&amp;""</f>
        <v>5</v>
      </c>
      <c r="I119" s="310" t="str">
        <f>'12U BOYS GOLD-24 TEAMS'!I62&amp;""</f>
        <v>17-24 cross 3E/3H</v>
      </c>
      <c r="J119" s="310" t="str">
        <f>'12U BOYS GOLD-24 TEAMS'!J62&amp;""</f>
        <v>12U_BOYS_GOLD</v>
      </c>
      <c r="K119" s="310" t="str">
        <f t="shared" si="2"/>
        <v>202602011020</v>
      </c>
    </row>
    <row r="120" spans="1:11">
      <c r="A120" s="322">
        <f>'12U BOYS GOLD-24 TEAMS'!A47</f>
        <v>46054</v>
      </c>
      <c r="B120" s="321">
        <f>'12U BOYS GOLD-24 TEAMS'!B47</f>
        <v>0.43055555555555602</v>
      </c>
      <c r="C120" s="321" t="str">
        <f>'12U BOYS GOLD-24 TEAMS'!C47&amp;""</f>
        <v>COSTA MESA HS 2</v>
      </c>
      <c r="D120" s="320" t="str">
        <f>'12U BOYS GOLD-24 TEAMS'!D47&amp;""</f>
        <v>12Bau14</v>
      </c>
      <c r="E120" s="323" t="str">
        <f>'12U BOYS GOLD-24 TEAMS'!E47&amp;""</f>
        <v>3rdB-LAMORINDA C</v>
      </c>
      <c r="F120" s="323" t="str">
        <f>'12U BOYS GOLD-24 TEAMS'!F47&amp;""</f>
        <v>5</v>
      </c>
      <c r="G120" s="323" t="str">
        <f>'12U BOYS GOLD-24 TEAMS'!G47&amp;""</f>
        <v>3rdC-BACK BAY</v>
      </c>
      <c r="H120" s="320" t="str">
        <f>'12U BOYS GOLD-24 TEAMS'!H47&amp;""</f>
        <v>20</v>
      </c>
      <c r="I120" s="320" t="str">
        <f>'12U BOYS GOLD-24 TEAMS'!I47&amp;""</f>
        <v>17-24 cross 3B/3C</v>
      </c>
      <c r="J120" s="320" t="str">
        <f>'12U BOYS GOLD-24 TEAMS'!J47&amp;""</f>
        <v>12U_BOYS_GOLD</v>
      </c>
      <c r="K120" s="320" t="str">
        <f t="shared" si="2"/>
        <v>202602011020</v>
      </c>
    </row>
    <row r="121" spans="1:11">
      <c r="A121" s="314">
        <f>'12U BOYS GOLD-24 TEAMS'!A48</f>
        <v>46054</v>
      </c>
      <c r="B121" s="313">
        <f>'12U BOYS GOLD-24 TEAMS'!B48</f>
        <v>0.46527777777777801</v>
      </c>
      <c r="C121" s="313" t="str">
        <f>'12U BOYS GOLD-24 TEAMS'!C48&amp;""</f>
        <v>COSTA MESA HS 2</v>
      </c>
      <c r="D121" s="310" t="str">
        <f>'12U BOYS GOLD-24 TEAMS'!D48&amp;""</f>
        <v>12Bau14A</v>
      </c>
      <c r="E121" s="312" t="str">
        <f>'12U BOYS GOLD-24 TEAMS'!E48&amp;""</f>
        <v>3rdF-PATRIOT 10 NAVY</v>
      </c>
      <c r="F121" s="318" t="str">
        <f>'12U BOYS GOLD-24 TEAMS'!F48&amp;""</f>
        <v>13</v>
      </c>
      <c r="G121" s="310" t="str">
        <f>'12U BOYS GOLD-24 TEAMS'!G48&amp;""</f>
        <v>3rdG-NORTH IRVINE WHITE</v>
      </c>
      <c r="H121" s="310" t="str">
        <f>'12U BOYS GOLD-24 TEAMS'!H48&amp;""</f>
        <v>2</v>
      </c>
      <c r="I121" s="310" t="str">
        <f>'12U BOYS GOLD-24 TEAMS'!I48&amp;""</f>
        <v>17-24 cross 3F/3G</v>
      </c>
      <c r="J121" s="310" t="str">
        <f>'12U BOYS GOLD-24 TEAMS'!J48&amp;""</f>
        <v>12U_BOYS_GOLD</v>
      </c>
      <c r="K121" s="310" t="str">
        <f t="shared" si="2"/>
        <v>202602011110</v>
      </c>
    </row>
    <row r="122" spans="1:11">
      <c r="A122" s="322">
        <f>'12U BOYS GOLD-24 TEAMS'!A49</f>
        <v>46054</v>
      </c>
      <c r="B122" s="321">
        <f>'12U BOYS GOLD-24 TEAMS'!B49</f>
        <v>0.5</v>
      </c>
      <c r="C122" s="321" t="str">
        <f>'12U BOYS GOLD-24 TEAMS'!C49&amp;""</f>
        <v>COSTA MESA HS 2</v>
      </c>
      <c r="D122" s="324" t="str">
        <f>'12U BOYS GOLD-24 TEAMS'!D49&amp;""</f>
        <v>12Bau24</v>
      </c>
      <c r="E122" s="323" t="str">
        <f>'12U BOYS GOLD-24 TEAMS'!E49&amp;""</f>
        <v>W#17-ORANGE COUNTY WPC BLUE</v>
      </c>
      <c r="F122" s="323" t="str">
        <f>'12U BOYS GOLD-24 TEAMS'!F49&amp;""</f>
        <v>12</v>
      </c>
      <c r="G122" s="323" t="str">
        <f>'12U BOYS GOLD-24 TEAMS'!G49&amp;""</f>
        <v>W#18-SAN CLEMENTE BLACK</v>
      </c>
      <c r="H122" s="323" t="str">
        <f>'12U BOYS GOLD-24 TEAMS'!H49&amp;""</f>
        <v>2</v>
      </c>
      <c r="I122" s="323" t="str">
        <f>'12U BOYS GOLD-24 TEAMS'!I49&amp;""</f>
        <v>overall 1-4 semi</v>
      </c>
      <c r="J122" s="320" t="str">
        <f>'12U BOYS GOLD-24 TEAMS'!J49&amp;""</f>
        <v>12U_BOYS_GOLD</v>
      </c>
      <c r="K122" s="320" t="str">
        <f t="shared" si="2"/>
        <v>202602011200</v>
      </c>
    </row>
    <row r="123" spans="1:11">
      <c r="A123" s="314">
        <f>'12U BOYS GOLD-24 TEAMS'!A50</f>
        <v>46054</v>
      </c>
      <c r="B123" s="313">
        <f>'12U BOYS GOLD-24 TEAMS'!B50</f>
        <v>0.53472222222222199</v>
      </c>
      <c r="C123" s="313" t="str">
        <f>'12U BOYS GOLD-24 TEAMS'!C50&amp;""</f>
        <v>COSTA MESA HS 2</v>
      </c>
      <c r="D123" s="319" t="str">
        <f>'12U BOYS GOLD-24 TEAMS'!D50&amp;""</f>
        <v>12Bau24A</v>
      </c>
      <c r="E123" s="312" t="str">
        <f>'12U BOYS GOLD-24 TEAMS'!E50&amp;""</f>
        <v>W#17A-FOOTHILL RED</v>
      </c>
      <c r="F123" s="312" t="str">
        <f>'12U BOYS GOLD-24 TEAMS'!F50&amp;""</f>
        <v>9</v>
      </c>
      <c r="G123" s="310" t="str">
        <f>'12U BOYS GOLD-24 TEAMS'!G50&amp;""</f>
        <v>W#18A-680 BLUE</v>
      </c>
      <c r="H123" s="312" t="str">
        <f>'12U BOYS GOLD-24 TEAMS'!H50&amp;""</f>
        <v>4</v>
      </c>
      <c r="I123" s="312" t="str">
        <f>'12U BOYS GOLD-24 TEAMS'!I50&amp;""</f>
        <v>overall 1-4 semi</v>
      </c>
      <c r="J123" s="310" t="str">
        <f>'12U BOYS GOLD-24 TEAMS'!J50&amp;""</f>
        <v>12U_BOYS_GOLD</v>
      </c>
      <c r="K123" s="310" t="str">
        <f t="shared" si="2"/>
        <v>202602011250</v>
      </c>
    </row>
    <row r="124" spans="1:11">
      <c r="A124" s="322">
        <f>'12U BOYS GOLD-24 TEAMS'!A51</f>
        <v>46054</v>
      </c>
      <c r="B124" s="321">
        <f>'12U BOYS GOLD-24 TEAMS'!B51</f>
        <v>0.56944444444444497</v>
      </c>
      <c r="C124" s="321" t="str">
        <f>'12U BOYS GOLD-24 TEAMS'!C51&amp;""</f>
        <v>COSTA MESA HS 2</v>
      </c>
      <c r="D124" s="320" t="str">
        <f>'12U BOYS GOLD-24 TEAMS'!D51&amp;""</f>
        <v>12Bau15</v>
      </c>
      <c r="E124" s="323" t="str">
        <f>'12U BOYS GOLD-24 TEAMS'!E51&amp;""</f>
        <v>2ndA-STANFORD BLACK</v>
      </c>
      <c r="F124" s="323" t="str">
        <f>'12U BOYS GOLD-24 TEAMS'!F51&amp;""</f>
        <v>9</v>
      </c>
      <c r="G124" s="323" t="str">
        <f>'12U BOYS GOLD-24 TEAMS'!G51&amp;""</f>
        <v>2ndD-GOLD COAST</v>
      </c>
      <c r="H124" s="323" t="str">
        <f>'12U BOYS GOLD-24 TEAMS'!H51&amp;""</f>
        <v>4</v>
      </c>
      <c r="I124" s="323" t="str">
        <f>'12U BOYS GOLD-24 TEAMS'!I51&amp;""</f>
        <v>9-16 cross 2A/2D</v>
      </c>
      <c r="J124" s="320" t="str">
        <f>'12U BOYS GOLD-24 TEAMS'!J51&amp;""</f>
        <v>12U_BOYS_GOLD</v>
      </c>
      <c r="K124" s="320" t="str">
        <f t="shared" si="2"/>
        <v>202602011340</v>
      </c>
    </row>
    <row r="125" spans="1:11">
      <c r="A125" s="314">
        <f>'12U BOYS GOLD-24 TEAMS'!A64</f>
        <v>46054</v>
      </c>
      <c r="B125" s="313">
        <f>'12U BOYS GOLD-24 TEAMS'!B64</f>
        <v>0.60416666666666696</v>
      </c>
      <c r="C125" s="313" t="str">
        <f>'12U BOYS GOLD-24 TEAMS'!C64&amp;""</f>
        <v>TUSTIN HS 2</v>
      </c>
      <c r="D125" s="310" t="str">
        <f>'12U BOYS GOLD-24 TEAMS'!D64&amp;""</f>
        <v>12Bau15A</v>
      </c>
      <c r="E125" s="312" t="str">
        <f>'12U BOYS GOLD-24 TEAMS'!E64&amp;""</f>
        <v>2ndE-LA JOLLA UNITED GOLD</v>
      </c>
      <c r="F125" s="312" t="str">
        <f>'12U BOYS GOLD-24 TEAMS'!F64&amp;""</f>
        <v>10</v>
      </c>
      <c r="G125" s="312" t="str">
        <f>'12U BOYS GOLD-24 TEAMS'!G64&amp;""</f>
        <v>2ndH-STANFORD WHITE</v>
      </c>
      <c r="H125" s="312" t="str">
        <f>'12U BOYS GOLD-24 TEAMS'!H64&amp;""</f>
        <v>7</v>
      </c>
      <c r="I125" s="312" t="str">
        <f>'12U BOYS GOLD-24 TEAMS'!I64&amp;""</f>
        <v>9-16 cross 2E/2H</v>
      </c>
      <c r="J125" s="310" t="str">
        <f>'12U BOYS GOLD-24 TEAMS'!J64&amp;""</f>
        <v>12U_BOYS_GOLD</v>
      </c>
      <c r="K125" s="310" t="str">
        <f t="shared" si="2"/>
        <v>202602011430</v>
      </c>
    </row>
    <row r="126" spans="1:11">
      <c r="A126" s="322">
        <f>'12U BOYS GOLD-24 TEAMS'!A52</f>
        <v>46054</v>
      </c>
      <c r="B126" s="321">
        <f>'12U BOYS GOLD-24 TEAMS'!B52</f>
        <v>0.60416666666666696</v>
      </c>
      <c r="C126" s="321" t="str">
        <f>'12U BOYS GOLD-24 TEAMS'!C52&amp;""</f>
        <v>COSTA MESA HS 2</v>
      </c>
      <c r="D126" s="320" t="str">
        <f>'12U BOYS GOLD-24 TEAMS'!D52&amp;""</f>
        <v>12Bau16</v>
      </c>
      <c r="E126" s="320" t="str">
        <f>'12U BOYS GOLD-24 TEAMS'!E52&amp;""</f>
        <v>2ndB-MARIN</v>
      </c>
      <c r="F126" s="320" t="str">
        <f>'12U BOYS GOLD-24 TEAMS'!F52&amp;""</f>
        <v>4</v>
      </c>
      <c r="G126" s="320" t="str">
        <f>'12U BOYS GOLD-24 TEAMS'!G52&amp;""</f>
        <v>2ndC-CC UNITED BLUE</v>
      </c>
      <c r="H126" s="320" t="str">
        <f>'12U BOYS GOLD-24 TEAMS'!H52&amp;""</f>
        <v>15</v>
      </c>
      <c r="I126" s="320" t="str">
        <f>'12U BOYS GOLD-24 TEAMS'!I52&amp;""</f>
        <v>9-16 cross 2B,2C</v>
      </c>
      <c r="J126" s="320" t="str">
        <f>'12U BOYS GOLD-24 TEAMS'!J52&amp;""</f>
        <v>12U_BOYS_GOLD</v>
      </c>
      <c r="K126" s="320" t="str">
        <f t="shared" si="2"/>
        <v>202602011430</v>
      </c>
    </row>
    <row r="127" spans="1:11">
      <c r="A127" s="314">
        <f>'12U BOYS GOLD-24 TEAMS'!A65</f>
        <v>46054</v>
      </c>
      <c r="B127" s="313">
        <f>'12U BOYS GOLD-24 TEAMS'!B65</f>
        <v>0.63888888888888895</v>
      </c>
      <c r="C127" s="313" t="str">
        <f>'12U BOYS GOLD-24 TEAMS'!C65&amp;""</f>
        <v>TUSTIN HS 2</v>
      </c>
      <c r="D127" s="310" t="str">
        <f>'12U BOYS GOLD-24 TEAMS'!D65&amp;""</f>
        <v>12Bau16A</v>
      </c>
      <c r="E127" s="310" t="str">
        <f>'12U BOYS GOLD-24 TEAMS'!E65&amp;""</f>
        <v>2ndF-CMAC</v>
      </c>
      <c r="F127" s="310" t="str">
        <f>'12U BOYS GOLD-24 TEAMS'!F65&amp;""</f>
        <v>10.4</v>
      </c>
      <c r="G127" s="310" t="str">
        <f>'12U BOYS GOLD-24 TEAMS'!G65&amp;""</f>
        <v>2ndG-SOUTH COAST RED</v>
      </c>
      <c r="H127" s="310" t="str">
        <f>'12U BOYS GOLD-24 TEAMS'!H65&amp;""</f>
        <v>10.1</v>
      </c>
      <c r="I127" s="310" t="str">
        <f>'12U BOYS GOLD-24 TEAMS'!I65&amp;""</f>
        <v>9-16 cross 2F/2G</v>
      </c>
      <c r="J127" s="310" t="str">
        <f>'12U BOYS GOLD-24 TEAMS'!J65&amp;""</f>
        <v>12U_BOYS_GOLD</v>
      </c>
      <c r="K127" s="310" t="str">
        <f t="shared" si="2"/>
        <v>202602011520</v>
      </c>
    </row>
    <row r="128" spans="1:11">
      <c r="A128" s="314">
        <f>'12U BOYS GOLD-24 TEAMS'!A53</f>
        <v>46054</v>
      </c>
      <c r="B128" s="313">
        <f>'12U BOYS GOLD-24 TEAMS'!B53</f>
        <v>0.63888888888888895</v>
      </c>
      <c r="C128" s="313" t="str">
        <f>'12U BOYS GOLD-24 TEAMS'!C53&amp;""</f>
        <v>COSTA MESA HS 2</v>
      </c>
      <c r="D128" s="310" t="str">
        <f>'12U BOYS GOLD-24 TEAMS'!D53&amp;""</f>
        <v>12Bau20A</v>
      </c>
      <c r="E128" s="312" t="str">
        <f>'12U BOYS GOLD-24 TEAMS'!E53&amp;""</f>
        <v>W#13A-AMERICAN RIVER BLUE</v>
      </c>
      <c r="F128" s="312" t="str">
        <f>'12U BOYS GOLD-24 TEAMS'!F53&amp;""</f>
        <v>5</v>
      </c>
      <c r="G128" s="312" t="str">
        <f>'12U BOYS GOLD-24 TEAMS'!G53&amp;""</f>
        <v>W#14A-PATRIOT 10 NAVY</v>
      </c>
      <c r="H128" s="312" t="str">
        <f>'12U BOYS GOLD-24 TEAMS'!H53&amp;""</f>
        <v>13</v>
      </c>
      <c r="I128" s="310" t="str">
        <f>'12U BOYS GOLD-24 TEAMS'!I53&amp;""</f>
        <v>tie 17th</v>
      </c>
      <c r="J128" s="310" t="str">
        <f>'12U BOYS GOLD-24 TEAMS'!J53&amp;""</f>
        <v>12U_BOYS_GOLD</v>
      </c>
      <c r="K128" s="310" t="str">
        <f t="shared" si="2"/>
        <v>202602011520</v>
      </c>
    </row>
    <row r="129" spans="1:11">
      <c r="A129" s="322">
        <f>'12U BOYS GOLD-24 TEAMS'!A54</f>
        <v>46054</v>
      </c>
      <c r="B129" s="321">
        <f>'12U BOYS GOLD-24 TEAMS'!B54</f>
        <v>0.64583333333333304</v>
      </c>
      <c r="C129" s="321" t="str">
        <f>'12U BOYS GOLD-24 TEAMS'!C54&amp;""</f>
        <v>EL TORO HS 2</v>
      </c>
      <c r="D129" s="320" t="str">
        <f>'12U BOYS GOLD-24 TEAMS'!D54&amp;""</f>
        <v>12Bau20</v>
      </c>
      <c r="E129" s="323" t="str">
        <f>'12U BOYS GOLD-24 TEAMS'!E54&amp;""</f>
        <v>W#13-NORTH IRVINE RED</v>
      </c>
      <c r="F129" s="320" t="str">
        <f>'12U BOYS GOLD-24 TEAMS'!F54&amp;""</f>
        <v>7</v>
      </c>
      <c r="G129" s="320" t="str">
        <f>'12U BOYS GOLD-24 TEAMS'!G54&amp;""</f>
        <v>W#14-BACK BAY</v>
      </c>
      <c r="H129" s="323" t="str">
        <f>'12U BOYS GOLD-24 TEAMS'!H54&amp;""</f>
        <v>10</v>
      </c>
      <c r="I129" s="320" t="str">
        <f>'12U BOYS GOLD-24 TEAMS'!I54&amp;""</f>
        <v>tie 17th</v>
      </c>
      <c r="J129" s="320" t="str">
        <f>'12U BOYS GOLD-24 TEAMS'!J54&amp;""</f>
        <v>12U_BOYS_GOLD</v>
      </c>
      <c r="K129" s="320" t="str">
        <f t="shared" si="2"/>
        <v>202602011530</v>
      </c>
    </row>
    <row r="130" spans="1:11">
      <c r="A130" s="314">
        <f>'12U BOYS GOLD-24 TEAMS'!A66</f>
        <v>46054</v>
      </c>
      <c r="B130" s="313">
        <f>'12U BOYS GOLD-24 TEAMS'!B66</f>
        <v>0.67361111111111105</v>
      </c>
      <c r="C130" s="313" t="str">
        <f>'12U BOYS GOLD-24 TEAMS'!C66&amp;""</f>
        <v>TUSTIN HS 2</v>
      </c>
      <c r="D130" s="310" t="str">
        <f>'12U BOYS GOLD-24 TEAMS'!D66&amp;""</f>
        <v>12Bau19A</v>
      </c>
      <c r="E130" s="312" t="str">
        <f>'12U BOYS GOLD-24 TEAMS'!E66&amp;""</f>
        <v>L#13A-CC UNITED WHITE</v>
      </c>
      <c r="F130" s="312" t="str">
        <f>'12U BOYS GOLD-24 TEAMS'!F66&amp;""</f>
        <v>18</v>
      </c>
      <c r="G130" s="312" t="str">
        <f>'12U BOYS GOLD-24 TEAMS'!G66&amp;""</f>
        <v>L#14A-NORTH IRVINE WHITE</v>
      </c>
      <c r="H130" s="310" t="str">
        <f>'12U BOYS GOLD-24 TEAMS'!H66&amp;""</f>
        <v>0</v>
      </c>
      <c r="I130" s="310" t="str">
        <f>'12U BOYS GOLD-24 TEAMS'!I66&amp;""</f>
        <v>tie 21st</v>
      </c>
      <c r="J130" s="310" t="str">
        <f>'12U BOYS GOLD-24 TEAMS'!J66&amp;""</f>
        <v>12U_BOYS_GOLD</v>
      </c>
      <c r="K130" s="310" t="str">
        <f t="shared" si="2"/>
        <v>202602011610</v>
      </c>
    </row>
    <row r="131" spans="1:11">
      <c r="A131" s="322">
        <f>'12U BOYS GOLD-24 TEAMS'!A55</f>
        <v>46054</v>
      </c>
      <c r="B131" s="321">
        <f>'12U BOYS GOLD-24 TEAMS'!B55</f>
        <v>0.67361111111111105</v>
      </c>
      <c r="C131" s="321" t="str">
        <f>'12U BOYS GOLD-24 TEAMS'!C55&amp;""</f>
        <v>COSTA MESA HS 2</v>
      </c>
      <c r="D131" s="320" t="str">
        <f>'12U BOYS GOLD-24 TEAMS'!D55&amp;""</f>
        <v>12Bau23</v>
      </c>
      <c r="E131" s="323" t="str">
        <f>'12U BOYS GOLD-24 TEAMS'!E55&amp;""</f>
        <v>L#17-LAMORINDA B</v>
      </c>
      <c r="F131" s="323" t="str">
        <f>'12U BOYS GOLD-24 TEAMS'!F55&amp;""</f>
        <v>5</v>
      </c>
      <c r="G131" s="323" t="str">
        <f>'12U BOYS GOLD-24 TEAMS'!G55&amp;""</f>
        <v>L#18-MISSION WPC B</v>
      </c>
      <c r="H131" s="323" t="str">
        <f>'12U BOYS GOLD-24 TEAMS'!H55&amp;""</f>
        <v>16</v>
      </c>
      <c r="I131" s="323" t="str">
        <f>'12U BOYS GOLD-24 TEAMS'!I55&amp;""</f>
        <v>tie 5th</v>
      </c>
      <c r="J131" s="320" t="str">
        <f>'12U BOYS GOLD-24 TEAMS'!J55&amp;""</f>
        <v>12U_BOYS_GOLD</v>
      </c>
      <c r="K131" s="320" t="str">
        <f t="shared" si="2"/>
        <v>202602011610</v>
      </c>
    </row>
    <row r="132" spans="1:11">
      <c r="A132" s="317">
        <f>'12U BOYS GOLD-24 TEAMS'!A67</f>
        <v>46054</v>
      </c>
      <c r="B132" s="316">
        <f>'12U BOYS GOLD-24 TEAMS'!B67</f>
        <v>0.67361111111111105</v>
      </c>
      <c r="C132" s="316" t="str">
        <f>'12U BOYS GOLD-24 TEAMS'!C67&amp;""</f>
        <v>BECKMAN HS 1</v>
      </c>
      <c r="D132" s="315" t="str">
        <f>'12U BOYS GOLD-24 TEAMS'!D67&amp;""</f>
        <v>12Bau25</v>
      </c>
      <c r="E132" s="315" t="str">
        <f>'12U BOYS GOLD-24 TEAMS'!E67&amp;""</f>
        <v>L#24-SAN CLEMENTE BLACK</v>
      </c>
      <c r="F132" s="315" t="str">
        <f>'12U BOYS GOLD-24 TEAMS'!F67&amp;""</f>
        <v>8</v>
      </c>
      <c r="G132" s="315" t="str">
        <f>'12U BOYS GOLD-24 TEAMS'!G67&amp;""</f>
        <v>L#24A-680 BLUE</v>
      </c>
      <c r="H132" s="315" t="str">
        <f>'12U BOYS GOLD-24 TEAMS'!H67&amp;""</f>
        <v>6</v>
      </c>
      <c r="I132" s="315" t="str">
        <f>'12U BOYS GOLD-24 TEAMS'!I67&amp;""</f>
        <v>3rd</v>
      </c>
      <c r="J132" s="315" t="str">
        <f>'12U BOYS GOLD-24 TEAMS'!J67&amp;""</f>
        <v>12U_BOYS_GOLD</v>
      </c>
      <c r="K132" s="315" t="str">
        <f t="shared" si="2"/>
        <v>202602011610</v>
      </c>
    </row>
    <row r="133" spans="1:11">
      <c r="A133" s="322">
        <f>'12U BOYS GOLD-24 TEAMS'!A56</f>
        <v>46054</v>
      </c>
      <c r="B133" s="321">
        <f>'12U BOYS GOLD-24 TEAMS'!B56</f>
        <v>0.67361111111111105</v>
      </c>
      <c r="C133" s="321" t="str">
        <f>'12U BOYS GOLD-24 TEAMS'!C56&amp;""</f>
        <v>ESTANCIA HS 2</v>
      </c>
      <c r="D133" s="320" t="str">
        <f>'12U BOYS GOLD-24 TEAMS'!D56&amp;""</f>
        <v>12Bau21</v>
      </c>
      <c r="E133" s="323" t="str">
        <f>'12U BOYS GOLD-24 TEAMS'!E56&amp;""</f>
        <v>L#15-GOLD COAST</v>
      </c>
      <c r="F133" s="323" t="str">
        <f>'12U BOYS GOLD-24 TEAMS'!F56&amp;""</f>
        <v>13</v>
      </c>
      <c r="G133" s="323" t="str">
        <f>'12U BOYS GOLD-24 TEAMS'!G56&amp;""</f>
        <v>L#16-MARIN</v>
      </c>
      <c r="H133" s="323" t="str">
        <f>'12U BOYS GOLD-24 TEAMS'!H56&amp;""</f>
        <v>10</v>
      </c>
      <c r="I133" s="320" t="str">
        <f>'12U BOYS GOLD-24 TEAMS'!I56&amp;""</f>
        <v>tie 13th</v>
      </c>
      <c r="J133" s="320" t="str">
        <f>'12U BOYS GOLD-24 TEAMS'!J56&amp;""</f>
        <v>12U_BOYS_GOLD</v>
      </c>
      <c r="K133" s="320" t="str">
        <f>TEXT(DATE(2026, MONTH(A133), DAY(A133)) + TIME(HOUR(B133), MINUTE(B133), 0), "yyyymmddhhmm")</f>
        <v>202602011610</v>
      </c>
    </row>
    <row r="134" spans="1:11">
      <c r="A134" s="322">
        <f>'12U BOYS GOLD-24 TEAMS'!A57</f>
        <v>46054</v>
      </c>
      <c r="B134" s="326">
        <f>'12U BOYS GOLD-24 TEAMS'!B57</f>
        <v>0.68055555555555558</v>
      </c>
      <c r="C134" s="321" t="str">
        <f>'12U BOYS GOLD-24 TEAMS'!C57&amp;""</f>
        <v>EL TORO HS 2</v>
      </c>
      <c r="D134" s="320" t="str">
        <f>'12U BOYS GOLD-24 TEAMS'!D57&amp;""</f>
        <v>12Bau19</v>
      </c>
      <c r="E134" s="320" t="str">
        <f>'12U BOYS GOLD-24 TEAMS'!E57&amp;""</f>
        <v>L#13-680 WHITE</v>
      </c>
      <c r="F134" s="320" t="str">
        <f>'12U BOYS GOLD-24 TEAMS'!F57&amp;""</f>
        <v>13</v>
      </c>
      <c r="G134" s="320" t="str">
        <f>'12U BOYS GOLD-24 TEAMS'!G57&amp;""</f>
        <v>L#14-LAMORINDA C</v>
      </c>
      <c r="H134" s="320" t="str">
        <f>'12U BOYS GOLD-24 TEAMS'!H57&amp;""</f>
        <v>3</v>
      </c>
      <c r="I134" s="320" t="str">
        <f>'12U BOYS GOLD-24 TEAMS'!I57&amp;""</f>
        <v>tie 21st</v>
      </c>
      <c r="J134" s="320" t="str">
        <f>'12U BOYS GOLD-24 TEAMS'!J57&amp;""</f>
        <v>12U_BOYS_GOLD</v>
      </c>
      <c r="K134" s="320" t="str">
        <f t="shared" ref="K134:K175" si="3">TEXT(DATE(2026, MONTH(A134), DAY(A134)) + TIME(HOUR(B134), MINUTE(B134), 0), "yyyymmddhhmm")</f>
        <v>202602011620</v>
      </c>
    </row>
    <row r="135" spans="1:11">
      <c r="A135" s="322">
        <f>'12U BOYS GOLD-24 TEAMS'!A58</f>
        <v>46054</v>
      </c>
      <c r="B135" s="321">
        <f>'12U BOYS GOLD-24 TEAMS'!B58</f>
        <v>0.70833333333333404</v>
      </c>
      <c r="C135" s="321" t="str">
        <f>'12U BOYS GOLD-24 TEAMS'!C58&amp;""</f>
        <v>COSTA MESA HS 2</v>
      </c>
      <c r="D135" s="320" t="str">
        <f>'12U BOYS GOLD-24 TEAMS'!D58&amp;""</f>
        <v>12Bau22</v>
      </c>
      <c r="E135" s="323" t="str">
        <f>'12U BOYS GOLD-24 TEAMS'!E58&amp;""</f>
        <v>W#15-STANFORD BLACK</v>
      </c>
      <c r="F135" s="323" t="str">
        <f>'12U BOYS GOLD-24 TEAMS'!F58&amp;""</f>
        <v>6</v>
      </c>
      <c r="G135" s="323" t="str">
        <f>'12U BOYS GOLD-24 TEAMS'!G58&amp;""</f>
        <v>W#16-CC UNITED BLUE</v>
      </c>
      <c r="H135" s="323" t="str">
        <f>'12U BOYS GOLD-24 TEAMS'!H58&amp;""</f>
        <v>9</v>
      </c>
      <c r="I135" s="323" t="str">
        <f>'12U BOYS GOLD-24 TEAMS'!I58&amp;""</f>
        <v>tie 9th</v>
      </c>
      <c r="J135" s="320" t="str">
        <f>'12U BOYS GOLD-24 TEAMS'!J58&amp;""</f>
        <v>12U_BOYS_GOLD</v>
      </c>
      <c r="K135" s="320" t="str">
        <f t="shared" si="3"/>
        <v>202602011700</v>
      </c>
    </row>
    <row r="136" spans="1:11">
      <c r="A136" s="314">
        <f>'12U BOYS GOLD-24 TEAMS'!A69</f>
        <v>46054</v>
      </c>
      <c r="B136" s="313">
        <f>'12U BOYS GOLD-24 TEAMS'!B69</f>
        <v>0.70833333333333404</v>
      </c>
      <c r="C136" s="313" t="str">
        <f>'12U BOYS GOLD-24 TEAMS'!C69&amp;""</f>
        <v>TUSTIN HS 2</v>
      </c>
      <c r="D136" s="310" t="str">
        <f>'12U BOYS GOLD-24 TEAMS'!D69&amp;""</f>
        <v>12Bau23A</v>
      </c>
      <c r="E136" s="312" t="str">
        <f>'12U BOYS GOLD-24 TEAMS'!E69&amp;""</f>
        <v>L#17A-TROJAN</v>
      </c>
      <c r="F136" s="312" t="str">
        <f>'12U BOYS GOLD-24 TEAMS'!F69&amp;""</f>
        <v>5</v>
      </c>
      <c r="G136" s="312" t="str">
        <f>'12U BOYS GOLD-24 TEAMS'!G69&amp;""</f>
        <v>L#18A-SAN MATEO</v>
      </c>
      <c r="H136" s="312" t="str">
        <f>'12U BOYS GOLD-24 TEAMS'!H69&amp;""</f>
        <v>0</v>
      </c>
      <c r="I136" s="312" t="str">
        <f>'12U BOYS GOLD-24 TEAMS'!I69&amp;""</f>
        <v>tie 5th</v>
      </c>
      <c r="J136" s="310" t="str">
        <f>'12U BOYS GOLD-24 TEAMS'!J69&amp;""</f>
        <v>12U_BOYS_GOLD</v>
      </c>
      <c r="K136" s="310" t="str">
        <f t="shared" si="3"/>
        <v>202602011700</v>
      </c>
    </row>
    <row r="137" spans="1:11">
      <c r="A137" s="317">
        <f>'12U BOYS GOLD-24 TEAMS'!A68</f>
        <v>46054</v>
      </c>
      <c r="B137" s="316">
        <f>'12U BOYS GOLD-24 TEAMS'!B68</f>
        <v>0.70833333333333404</v>
      </c>
      <c r="C137" s="316" t="str">
        <f>'12U BOYS GOLD-24 TEAMS'!C68&amp;""</f>
        <v>BECKMAN HS 1</v>
      </c>
      <c r="D137" s="315" t="str">
        <f>'12U BOYS GOLD-24 TEAMS'!D68&amp;""</f>
        <v>12Bau26</v>
      </c>
      <c r="E137" s="315" t="str">
        <f>'12U BOYS GOLD-24 TEAMS'!E68&amp;""</f>
        <v>W#24-ORANGE COUNTY WPC BLUE</v>
      </c>
      <c r="F137" s="315" t="str">
        <f>'12U BOYS GOLD-24 TEAMS'!F68&amp;""</f>
        <v>19</v>
      </c>
      <c r="G137" s="315" t="str">
        <f>'12U BOYS GOLD-24 TEAMS'!G68&amp;""</f>
        <v>W#24A-FOOTHILL RED</v>
      </c>
      <c r="H137" s="315" t="str">
        <f>'12U BOYS GOLD-24 TEAMS'!H68&amp;""</f>
        <v>5</v>
      </c>
      <c r="I137" s="315" t="str">
        <f>'12U BOYS GOLD-24 TEAMS'!I68&amp;""</f>
        <v>1st</v>
      </c>
      <c r="J137" s="315" t="str">
        <f>'12U BOYS GOLD-24 TEAMS'!J68&amp;""</f>
        <v>12U_BOYS_GOLD</v>
      </c>
      <c r="K137" s="315" t="str">
        <f t="shared" si="3"/>
        <v>202602011700</v>
      </c>
    </row>
    <row r="138" spans="1:11">
      <c r="A138" s="314">
        <f>'12U BOYS GOLD-24 TEAMS'!A71</f>
        <v>46054</v>
      </c>
      <c r="B138" s="313">
        <f>'12U BOYS GOLD-24 TEAMS'!B71</f>
        <v>0.74305555555555602</v>
      </c>
      <c r="C138" s="313" t="str">
        <f>'12U BOYS GOLD-24 TEAMS'!C71&amp;""</f>
        <v>BECKMAN HS 1</v>
      </c>
      <c r="D138" s="310" t="str">
        <f>'12U BOYS GOLD-24 TEAMS'!D71&amp;""</f>
        <v>12Bau21A</v>
      </c>
      <c r="E138" s="312" t="str">
        <f>'12U BOYS GOLD-24 TEAMS'!E71&amp;""</f>
        <v>L#15A-STANFORD WHITE</v>
      </c>
      <c r="F138" s="312" t="str">
        <f>'12U BOYS GOLD-24 TEAMS'!F71&amp;""</f>
        <v>6.3</v>
      </c>
      <c r="G138" s="312" t="str">
        <f>'12U BOYS GOLD-24 TEAMS'!G71&amp;""</f>
        <v>L#16A-SOUTH COAST RED</v>
      </c>
      <c r="H138" s="312" t="str">
        <f>'12U BOYS GOLD-24 TEAMS'!H71&amp;""</f>
        <v>6.2</v>
      </c>
      <c r="I138" s="310" t="str">
        <f>'12U BOYS GOLD-24 TEAMS'!I71&amp;""</f>
        <v>tie 13th</v>
      </c>
      <c r="J138" s="310" t="str">
        <f>'12U BOYS GOLD-24 TEAMS'!J71&amp;""</f>
        <v>12U_BOYS_GOLD</v>
      </c>
      <c r="K138" s="310" t="str">
        <f t="shared" si="3"/>
        <v>202602011750</v>
      </c>
    </row>
    <row r="139" spans="1:11">
      <c r="A139" s="314">
        <f>'12U BOYS GOLD-24 TEAMS'!A70</f>
        <v>46054</v>
      </c>
      <c r="B139" s="313">
        <f>'12U BOYS GOLD-24 TEAMS'!B70</f>
        <v>0.70833333333333404</v>
      </c>
      <c r="C139" s="313" t="str">
        <f>'12U BOYS GOLD-24 TEAMS'!C70&amp;""</f>
        <v>TUSTIN HS 2</v>
      </c>
      <c r="D139" s="310" t="str">
        <f>'12U BOYS GOLD-24 TEAMS'!D70&amp;""</f>
        <v>12Bau22A</v>
      </c>
      <c r="E139" s="312" t="str">
        <f>'12U BOYS GOLD-24 TEAMS'!E70&amp;""</f>
        <v>W#15A-LA JOLLA UNITED GOLD</v>
      </c>
      <c r="F139" s="312" t="str">
        <f>'12U BOYS GOLD-24 TEAMS'!F70&amp;""</f>
        <v>6</v>
      </c>
      <c r="G139" s="312" t="str">
        <f>'12U BOYS GOLD-24 TEAMS'!G70&amp;""</f>
        <v>W#16A-CMAC</v>
      </c>
      <c r="H139" s="312" t="str">
        <f>'12U BOYS GOLD-24 TEAMS'!H70&amp;""</f>
        <v>13</v>
      </c>
      <c r="I139" s="312" t="str">
        <f>'12U BOYS GOLD-24 TEAMS'!I70&amp;""</f>
        <v>tie 9th</v>
      </c>
      <c r="J139" s="310" t="str">
        <f>'12U BOYS GOLD-24 TEAMS'!J70&amp;""</f>
        <v>12U_BOYS_GOLD</v>
      </c>
      <c r="K139" s="310" t="str">
        <f t="shared" si="3"/>
        <v>202602011700</v>
      </c>
    </row>
    <row r="140" spans="1:11">
      <c r="A140" s="190">
        <f>'12U BOYS PLATINUM-10 TEAMS'!A10</f>
        <v>46053</v>
      </c>
      <c r="B140" s="189">
        <f>'12U BOYS PLATINUM-10 TEAMS'!B10</f>
        <v>0.29166666666666669</v>
      </c>
      <c r="C140" s="197" t="str">
        <f>'12U BOYS PLATINUM-10 TEAMS'!C10&amp;""</f>
        <v>BECKMAN HS 1</v>
      </c>
      <c r="D140" s="139" t="str">
        <f>'12U BOYS PLATINUM-10 TEAMS'!D10&amp;""</f>
        <v>12Bpt01</v>
      </c>
      <c r="E140" s="139" t="str">
        <f>'12U BOYS PLATINUM-10 TEAMS'!E10&amp;""</f>
        <v>A1-MISSION WPC A</v>
      </c>
      <c r="F140" s="139" t="str">
        <f>'12U BOYS PLATINUM-10 TEAMS'!F10&amp;""</f>
        <v>14</v>
      </c>
      <c r="G140" s="139" t="str">
        <f>'12U BOYS PLATINUM-10 TEAMS'!G10&amp;""</f>
        <v>A3-680 RED</v>
      </c>
      <c r="H140" s="139" t="str">
        <f>'12U BOYS PLATINUM-10 TEAMS'!H10&amp;""</f>
        <v>0</v>
      </c>
      <c r="I140" s="139" t="str">
        <f>'12U BOYS PLATINUM-10 TEAMS'!I10&amp;""</f>
        <v>A bracket A1,A3</v>
      </c>
      <c r="J140" s="139" t="str">
        <f>'12U BOYS PLATINUM-10 TEAMS'!J10&amp;""</f>
        <v>12U_BOYS_PLATINUM</v>
      </c>
      <c r="K140" s="139" t="str">
        <f t="shared" si="3"/>
        <v>202601310700</v>
      </c>
    </row>
    <row r="141" spans="1:11">
      <c r="A141" s="190">
        <f>'12U BOYS PLATINUM-10 TEAMS'!A11</f>
        <v>46053</v>
      </c>
      <c r="B141" s="189">
        <f>'12U BOYS PLATINUM-10 TEAMS'!B11</f>
        <v>0.3263888888888889</v>
      </c>
      <c r="C141" s="197" t="str">
        <f>'12U BOYS PLATINUM-10 TEAMS'!C11&amp;""</f>
        <v>BECKMAN HS 1</v>
      </c>
      <c r="D141" s="139" t="str">
        <f>'12U BOYS PLATINUM-10 TEAMS'!D11&amp;""</f>
        <v>12Bpt02</v>
      </c>
      <c r="E141" s="139" t="str">
        <f>'12U BOYS PLATINUM-10 TEAMS'!E11&amp;""</f>
        <v>B1-CC UNITED BLACK</v>
      </c>
      <c r="F141" s="139" t="str">
        <f>'12U BOYS PLATINUM-10 TEAMS'!F11&amp;""</f>
        <v>7</v>
      </c>
      <c r="G141" s="139" t="str">
        <f>'12U BOYS PLATINUM-10 TEAMS'!G11&amp;""</f>
        <v>B2-NORTH IRVINE BLACK</v>
      </c>
      <c r="H141" s="139" t="str">
        <f>'12U BOYS PLATINUM-10 TEAMS'!H11&amp;""</f>
        <v>6</v>
      </c>
      <c r="I141" s="139" t="str">
        <f>'12U BOYS PLATINUM-10 TEAMS'!I11&amp;""</f>
        <v>B bracket B1,B2</v>
      </c>
      <c r="J141" s="139" t="str">
        <f>'12U BOYS PLATINUM-10 TEAMS'!J11&amp;""</f>
        <v>12U_BOYS_PLATINUM</v>
      </c>
      <c r="K141" s="139" t="str">
        <f t="shared" si="3"/>
        <v>202601310750</v>
      </c>
    </row>
    <row r="142" spans="1:11">
      <c r="A142" s="190">
        <f>'12U BOYS PLATINUM-10 TEAMS'!A12</f>
        <v>46053</v>
      </c>
      <c r="B142" s="189">
        <f>'12U BOYS PLATINUM-10 TEAMS'!B12</f>
        <v>0.36111111111111099</v>
      </c>
      <c r="C142" s="197" t="str">
        <f>'12U BOYS PLATINUM-10 TEAMS'!C12&amp;""</f>
        <v>BECKMAN HS 1</v>
      </c>
      <c r="D142" s="139" t="str">
        <f>'12U BOYS PLATINUM-10 TEAMS'!D12&amp;""</f>
        <v>12Bpt03</v>
      </c>
      <c r="E142" s="139" t="str">
        <f>'12U BOYS PLATINUM-10 TEAMS'!E12&amp;""</f>
        <v>C1-STANFORD RED</v>
      </c>
      <c r="F142" s="139" t="str">
        <f>'12U BOYS PLATINUM-10 TEAMS'!F12&amp;""</f>
        <v>16</v>
      </c>
      <c r="G142" s="139" t="str">
        <f>'12U BOYS PLATINUM-10 TEAMS'!G12&amp;""</f>
        <v>C4-DAVIS</v>
      </c>
      <c r="H142" s="139" t="str">
        <f>'12U BOYS PLATINUM-10 TEAMS'!H12&amp;""</f>
        <v>3</v>
      </c>
      <c r="I142" s="139" t="str">
        <f>'12U BOYS PLATINUM-10 TEAMS'!I12&amp;""</f>
        <v>C bracket C1,C4</v>
      </c>
      <c r="J142" s="139" t="str">
        <f>'12U BOYS PLATINUM-10 TEAMS'!J12&amp;""</f>
        <v>12U_BOYS_PLATINUM</v>
      </c>
      <c r="K142" s="139" t="str">
        <f t="shared" si="3"/>
        <v>202601310840</v>
      </c>
    </row>
    <row r="143" spans="1:11">
      <c r="A143" s="190">
        <f>'12U BOYS PLATINUM-10 TEAMS'!A13</f>
        <v>46053</v>
      </c>
      <c r="B143" s="189">
        <f>'12U BOYS PLATINUM-10 TEAMS'!B13</f>
        <v>0.39583333333333398</v>
      </c>
      <c r="C143" s="197" t="str">
        <f>'12U BOYS PLATINUM-10 TEAMS'!C13&amp;""</f>
        <v>BECKMAN HS 1</v>
      </c>
      <c r="D143" s="139" t="str">
        <f>'12U BOYS PLATINUM-10 TEAMS'!D13&amp;""</f>
        <v>12Bpt04</v>
      </c>
      <c r="E143" s="139" t="str">
        <f>'12U BOYS PLATINUM-10 TEAMS'!E13&amp;""</f>
        <v>C2-ORWP A</v>
      </c>
      <c r="F143" s="139" t="str">
        <f>'12U BOYS PLATINUM-10 TEAMS'!F13&amp;""</f>
        <v>8</v>
      </c>
      <c r="G143" s="139" t="str">
        <f>'12U BOYS PLATINUM-10 TEAMS'!G13&amp;""</f>
        <v>C3-SHAQ</v>
      </c>
      <c r="H143" s="139" t="str">
        <f>'12U BOYS PLATINUM-10 TEAMS'!H13&amp;""</f>
        <v>4</v>
      </c>
      <c r="I143" s="139" t="str">
        <f>'12U BOYS PLATINUM-10 TEAMS'!I13&amp;""</f>
        <v>C bracket C2,C3</v>
      </c>
      <c r="J143" s="139" t="str">
        <f>'12U BOYS PLATINUM-10 TEAMS'!J13&amp;""</f>
        <v>12U_BOYS_PLATINUM</v>
      </c>
      <c r="K143" s="139" t="str">
        <f t="shared" si="3"/>
        <v>202601310930</v>
      </c>
    </row>
    <row r="144" spans="1:11">
      <c r="A144" s="190">
        <f>'12U BOYS PLATINUM-10 TEAMS'!A15</f>
        <v>46053</v>
      </c>
      <c r="B144" s="189">
        <f>'12U BOYS PLATINUM-10 TEAMS'!B15</f>
        <v>0.5</v>
      </c>
      <c r="C144" s="197" t="str">
        <f>'12U BOYS PLATINUM-10 TEAMS'!C15&amp;""</f>
        <v>BECKMAN HS 1</v>
      </c>
      <c r="D144" s="139" t="str">
        <f>'12U BOYS PLATINUM-10 TEAMS'!D15&amp;""</f>
        <v>12Bpt05</v>
      </c>
      <c r="E144" s="139" t="str">
        <f>'12U BOYS PLATINUM-10 TEAMS'!E15&amp;""</f>
        <v>A2-LAMORINDA A</v>
      </c>
      <c r="F144" s="139" t="str">
        <f>'12U BOYS PLATINUM-10 TEAMS'!F15&amp;""</f>
        <v>7.2</v>
      </c>
      <c r="G144" s="139" t="str">
        <f>'12U BOYS PLATINUM-10 TEAMS'!G15&amp;""</f>
        <v>A3-680 RED</v>
      </c>
      <c r="H144" s="139" t="str">
        <f>'12U BOYS PLATINUM-10 TEAMS'!H15&amp;""</f>
        <v>7.4</v>
      </c>
      <c r="I144" s="139" t="str">
        <f>'12U BOYS PLATINUM-10 TEAMS'!I15&amp;""</f>
        <v>A bracket A2,A3</v>
      </c>
      <c r="J144" s="139" t="str">
        <f>'12U BOYS PLATINUM-10 TEAMS'!J15&amp;""</f>
        <v>12U_BOYS_PLATINUM</v>
      </c>
      <c r="K144" s="139" t="str">
        <f t="shared" si="3"/>
        <v>202601311200</v>
      </c>
    </row>
    <row r="145" spans="1:11">
      <c r="A145" s="190">
        <f>'12U BOYS PLATINUM-10 TEAMS'!A16</f>
        <v>46053</v>
      </c>
      <c r="B145" s="189">
        <f>'12U BOYS PLATINUM-10 TEAMS'!B16</f>
        <v>0.53472222222222199</v>
      </c>
      <c r="C145" s="197" t="str">
        <f>'12U BOYS PLATINUM-10 TEAMS'!C16&amp;""</f>
        <v>BECKMAN HS 1</v>
      </c>
      <c r="D145" s="139" t="str">
        <f>'12U BOYS PLATINUM-10 TEAMS'!D16&amp;""</f>
        <v>12Bpt06</v>
      </c>
      <c r="E145" s="139" t="str">
        <f>'12U BOYS PLATINUM-10 TEAMS'!E16&amp;""</f>
        <v>B2-NORTH IRVINE BLACK</v>
      </c>
      <c r="F145" s="139" t="str">
        <f>'12U BOYS PLATINUM-10 TEAMS'!F16&amp;""</f>
        <v>15</v>
      </c>
      <c r="G145" s="305" t="str">
        <f>'12U BOYS PLATINUM-10 TEAMS'!G16&amp;""</f>
        <v>B3-LA JOLLA UNITED NAVY</v>
      </c>
      <c r="H145" s="139" t="str">
        <f>'12U BOYS PLATINUM-10 TEAMS'!H16&amp;""</f>
        <v>4</v>
      </c>
      <c r="I145" s="139" t="str">
        <f>'12U BOYS PLATINUM-10 TEAMS'!I16&amp;""</f>
        <v>B bracket B2,B3</v>
      </c>
      <c r="J145" s="139" t="str">
        <f>'12U BOYS PLATINUM-10 TEAMS'!J16&amp;""</f>
        <v>12U_BOYS_PLATINUM</v>
      </c>
      <c r="K145" s="139" t="str">
        <f t="shared" si="3"/>
        <v>202601311250</v>
      </c>
    </row>
    <row r="146" spans="1:11">
      <c r="A146" s="190">
        <f>'12U BOYS PLATINUM-10 TEAMS'!A18</f>
        <v>46053</v>
      </c>
      <c r="B146" s="189">
        <f>'12U BOYS PLATINUM-10 TEAMS'!B18</f>
        <v>0.67361111111111105</v>
      </c>
      <c r="C146" s="197" t="str">
        <f>'12U BOYS PLATINUM-10 TEAMS'!C18&amp;""</f>
        <v>BECKMAN HS 1</v>
      </c>
      <c r="D146" s="139" t="str">
        <f>'12U BOYS PLATINUM-10 TEAMS'!D18&amp;""</f>
        <v>12Bpt07</v>
      </c>
      <c r="E146" s="139" t="str">
        <f>'12U BOYS PLATINUM-10 TEAMS'!E18&amp;""</f>
        <v>C1-STANFORD RED</v>
      </c>
      <c r="F146" s="139" t="str">
        <f>'12U BOYS PLATINUM-10 TEAMS'!F18&amp;""</f>
        <v>10</v>
      </c>
      <c r="G146" s="139" t="str">
        <f>'12U BOYS PLATINUM-10 TEAMS'!G18&amp;""</f>
        <v>C2-ORWP A</v>
      </c>
      <c r="H146" s="139" t="str">
        <f>'12U BOYS PLATINUM-10 TEAMS'!H18&amp;""</f>
        <v>8</v>
      </c>
      <c r="I146" s="139" t="str">
        <f>'12U BOYS PLATINUM-10 TEAMS'!I18&amp;""</f>
        <v>C bracket C1,C2</v>
      </c>
      <c r="J146" s="139" t="str">
        <f>'12U BOYS PLATINUM-10 TEAMS'!J18&amp;""</f>
        <v>12U_BOYS_PLATINUM</v>
      </c>
      <c r="K146" s="139" t="str">
        <f t="shared" si="3"/>
        <v>202601311610</v>
      </c>
    </row>
    <row r="147" spans="1:11">
      <c r="A147" s="190">
        <f>'12U BOYS PLATINUM-10 TEAMS'!A19</f>
        <v>46053</v>
      </c>
      <c r="B147" s="189">
        <f>'12U BOYS PLATINUM-10 TEAMS'!B19</f>
        <v>0.70833333333333404</v>
      </c>
      <c r="C147" s="197" t="str">
        <f>'12U BOYS PLATINUM-10 TEAMS'!C19&amp;""</f>
        <v>BECKMAN HS 1</v>
      </c>
      <c r="D147" s="139" t="str">
        <f>'12U BOYS PLATINUM-10 TEAMS'!D19&amp;""</f>
        <v>12Bpt08</v>
      </c>
      <c r="E147" s="139" t="str">
        <f>'12U BOYS PLATINUM-10 TEAMS'!E19&amp;""</f>
        <v>C3-SHAQ</v>
      </c>
      <c r="F147" s="139" t="str">
        <f>'12U BOYS PLATINUM-10 TEAMS'!F19&amp;""</f>
        <v>9</v>
      </c>
      <c r="G147" s="139" t="str">
        <f>'12U BOYS PLATINUM-10 TEAMS'!G19&amp;""</f>
        <v>C4-DAVIS</v>
      </c>
      <c r="H147" s="139" t="str">
        <f>'12U BOYS PLATINUM-10 TEAMS'!H19&amp;""</f>
        <v>5</v>
      </c>
      <c r="I147" s="139" t="str">
        <f>'12U BOYS PLATINUM-10 TEAMS'!I19&amp;""</f>
        <v>C bracket C3,C4</v>
      </c>
      <c r="J147" s="139" t="str">
        <f>'12U BOYS PLATINUM-10 TEAMS'!J19&amp;""</f>
        <v>12U_BOYS_PLATINUM</v>
      </c>
      <c r="K147" s="139" t="str">
        <f t="shared" si="3"/>
        <v>202601311700</v>
      </c>
    </row>
    <row r="148" spans="1:11">
      <c r="A148" s="190">
        <f>'12U BOYS PLATINUM-10 TEAMS'!A20</f>
        <v>46053</v>
      </c>
      <c r="B148" s="189">
        <f>'12U BOYS PLATINUM-10 TEAMS'!B20</f>
        <v>0.74305555555555602</v>
      </c>
      <c r="C148" s="197" t="str">
        <f>'12U BOYS PLATINUM-10 TEAMS'!C20&amp;""</f>
        <v>BECKMAN HS 1</v>
      </c>
      <c r="D148" s="139" t="str">
        <f>'12U BOYS PLATINUM-10 TEAMS'!D20&amp;""</f>
        <v>12Bpt09</v>
      </c>
      <c r="E148" s="139" t="str">
        <f>'12U BOYS PLATINUM-10 TEAMS'!E20&amp;""</f>
        <v>A1-MISSION WPC A</v>
      </c>
      <c r="F148" s="139" t="str">
        <f>'12U BOYS PLATINUM-10 TEAMS'!F20&amp;""</f>
        <v>18</v>
      </c>
      <c r="G148" s="139" t="str">
        <f>'12U BOYS PLATINUM-10 TEAMS'!G20&amp;""</f>
        <v>A2-LAMORINDA A</v>
      </c>
      <c r="H148" s="139" t="str">
        <f>'12U BOYS PLATINUM-10 TEAMS'!H20&amp;""</f>
        <v>6</v>
      </c>
      <c r="I148" s="139" t="str">
        <f>'12U BOYS PLATINUM-10 TEAMS'!I20&amp;""</f>
        <v>A bracket A1,A2</v>
      </c>
      <c r="J148" s="139" t="str">
        <f>'12U BOYS PLATINUM-10 TEAMS'!J20&amp;""</f>
        <v>12U_BOYS_PLATINUM</v>
      </c>
      <c r="K148" s="139" t="str">
        <f t="shared" si="3"/>
        <v>202601311750</v>
      </c>
    </row>
    <row r="149" spans="1:11">
      <c r="A149" s="190">
        <f>'12U BOYS PLATINUM-10 TEAMS'!A21</f>
        <v>46053</v>
      </c>
      <c r="B149" s="189">
        <f>'12U BOYS PLATINUM-10 TEAMS'!B21</f>
        <v>0.77777777777777801</v>
      </c>
      <c r="C149" s="197" t="str">
        <f>'12U BOYS PLATINUM-10 TEAMS'!C21&amp;""</f>
        <v>BECKMAN HS 1</v>
      </c>
      <c r="D149" s="139" t="str">
        <f>'12U BOYS PLATINUM-10 TEAMS'!D21&amp;""</f>
        <v>12Bpt10</v>
      </c>
      <c r="E149" s="139" t="str">
        <f>'12U BOYS PLATINUM-10 TEAMS'!E21&amp;""</f>
        <v>B1-CC UNITED BLACK</v>
      </c>
      <c r="F149" s="139" t="str">
        <f>'12U BOYS PLATINUM-10 TEAMS'!F21&amp;""</f>
        <v>14</v>
      </c>
      <c r="G149" s="305" t="str">
        <f>'12U BOYS PLATINUM-10 TEAMS'!G21&amp;""</f>
        <v>B3-LA JOLLA UNITED NAVY</v>
      </c>
      <c r="H149" s="139" t="str">
        <f>'12U BOYS PLATINUM-10 TEAMS'!H21&amp;""</f>
        <v>7</v>
      </c>
      <c r="I149" s="139" t="str">
        <f>'12U BOYS PLATINUM-10 TEAMS'!I21&amp;""</f>
        <v>B bracket B1,B3</v>
      </c>
      <c r="J149" s="139" t="str">
        <f>'12U BOYS PLATINUM-10 TEAMS'!J21&amp;""</f>
        <v>12U_BOYS_PLATINUM</v>
      </c>
      <c r="K149" s="139" t="str">
        <f t="shared" si="3"/>
        <v>202601311840</v>
      </c>
    </row>
    <row r="150" spans="1:11">
      <c r="A150" s="190">
        <f>'12U BOYS PLATINUM-10 TEAMS'!A25</f>
        <v>46054</v>
      </c>
      <c r="B150" s="189">
        <f>'12U BOYS PLATINUM-10 TEAMS'!B25</f>
        <v>0.29166666666666669</v>
      </c>
      <c r="C150" s="189" t="str">
        <f>'12U BOYS PLATINUM-10 TEAMS'!C25&amp;""</f>
        <v>BECKMAN HS 1</v>
      </c>
      <c r="D150" s="139" t="str">
        <f>'12U BOYS PLATINUM-10 TEAMS'!D25&amp;""</f>
        <v>12Bpt11</v>
      </c>
      <c r="E150" s="139" t="str">
        <f>'12U BOYS PLATINUM-10 TEAMS'!E25&amp;""</f>
        <v>C2-ORWP A</v>
      </c>
      <c r="F150" s="139" t="str">
        <f>'12U BOYS PLATINUM-10 TEAMS'!F25&amp;""</f>
        <v>6</v>
      </c>
      <c r="G150" s="139" t="str">
        <f>'12U BOYS PLATINUM-10 TEAMS'!G25&amp;""</f>
        <v>C4-DAVIS</v>
      </c>
      <c r="H150" s="139" t="str">
        <f>'12U BOYS PLATINUM-10 TEAMS'!H25&amp;""</f>
        <v>5</v>
      </c>
      <c r="I150" s="139" t="str">
        <f>'12U BOYS PLATINUM-10 TEAMS'!I25&amp;""</f>
        <v>C bracket C2,C4</v>
      </c>
      <c r="J150" s="139" t="str">
        <f>'12U BOYS PLATINUM-10 TEAMS'!J25&amp;""</f>
        <v>12U_BOYS_PLATINUM</v>
      </c>
      <c r="K150" s="139" t="str">
        <f t="shared" si="3"/>
        <v>202602010700</v>
      </c>
    </row>
    <row r="151" spans="1:11">
      <c r="A151" s="190">
        <f>'12U BOYS PLATINUM-10 TEAMS'!A26</f>
        <v>46054</v>
      </c>
      <c r="B151" s="189">
        <f>'12U BOYS PLATINUM-10 TEAMS'!B26</f>
        <v>0.3263888888888889</v>
      </c>
      <c r="C151" s="189" t="str">
        <f>'12U BOYS PLATINUM-10 TEAMS'!C26&amp;""</f>
        <v>BECKMAN HS 1</v>
      </c>
      <c r="D151" s="139" t="str">
        <f>'12U BOYS PLATINUM-10 TEAMS'!D26&amp;""</f>
        <v>12Bpt12</v>
      </c>
      <c r="E151" s="139" t="str">
        <f>'12U BOYS PLATINUM-10 TEAMS'!E26&amp;""</f>
        <v>C1-STANFORD RED</v>
      </c>
      <c r="F151" s="139" t="str">
        <f>'12U BOYS PLATINUM-10 TEAMS'!F26&amp;""</f>
        <v>12</v>
      </c>
      <c r="G151" s="139" t="str">
        <f>'12U BOYS PLATINUM-10 TEAMS'!G26&amp;""</f>
        <v>C3-SHAQ</v>
      </c>
      <c r="H151" s="139" t="str">
        <f>'12U BOYS PLATINUM-10 TEAMS'!H26&amp;""</f>
        <v>8</v>
      </c>
      <c r="I151" s="139" t="str">
        <f>'12U BOYS PLATINUM-10 TEAMS'!I26&amp;""</f>
        <v>C bracket C1,C3</v>
      </c>
      <c r="J151" s="139" t="str">
        <f>'12U BOYS PLATINUM-10 TEAMS'!J26&amp;""</f>
        <v>12U_BOYS_PLATINUM</v>
      </c>
      <c r="K151" s="139" t="str">
        <f t="shared" si="3"/>
        <v>202602010750</v>
      </c>
    </row>
    <row r="152" spans="1:11">
      <c r="A152" s="190">
        <f>'12U BOYS PLATINUM-10 TEAMS'!A27</f>
        <v>46054</v>
      </c>
      <c r="B152" s="189">
        <f>'12U BOYS PLATINUM-10 TEAMS'!B27</f>
        <v>0.36111111111111099</v>
      </c>
      <c r="C152" s="189" t="str">
        <f>'12U BOYS PLATINUM-10 TEAMS'!C27&amp;""</f>
        <v>BECKMAN HS 1</v>
      </c>
      <c r="D152" s="139" t="str">
        <f>'12U BOYS PLATINUM-10 TEAMS'!D27&amp;""</f>
        <v>12Bpt13</v>
      </c>
      <c r="E152" s="139" t="str">
        <f>'12U BOYS PLATINUM-10 TEAMS'!E27&amp;""</f>
        <v>2ndA-680 RED</v>
      </c>
      <c r="F152" s="139" t="str">
        <f>'12U BOYS PLATINUM-10 TEAMS'!F27&amp;""</f>
        <v>6.3</v>
      </c>
      <c r="G152" s="139" t="str">
        <f>'12U BOYS PLATINUM-10 TEAMS'!G27&amp;""</f>
        <v>3rdB-LA JOLLA UNITED NAVY</v>
      </c>
      <c r="H152" s="139" t="str">
        <f>'12U BOYS PLATINUM-10 TEAMS'!H27&amp;""</f>
        <v>6</v>
      </c>
      <c r="I152" s="139" t="str">
        <f>'12U BOYS PLATINUM-10 TEAMS'!I27&amp;""</f>
        <v>5th-10th 2A/3B</v>
      </c>
      <c r="J152" s="139" t="str">
        <f>'12U BOYS PLATINUM-10 TEAMS'!J27&amp;""</f>
        <v>12U_BOYS_PLATINUM</v>
      </c>
      <c r="K152" s="139" t="str">
        <f t="shared" si="3"/>
        <v>202602010840</v>
      </c>
    </row>
    <row r="153" spans="1:11">
      <c r="A153" s="190">
        <f>'12U BOYS PLATINUM-10 TEAMS'!A28</f>
        <v>46054</v>
      </c>
      <c r="B153" s="189">
        <f>'12U BOYS PLATINUM-10 TEAMS'!B28</f>
        <v>0.39583333333333398</v>
      </c>
      <c r="C153" s="189" t="str">
        <f>'12U BOYS PLATINUM-10 TEAMS'!C28&amp;""</f>
        <v>BECKMAN HS 1</v>
      </c>
      <c r="D153" s="139" t="str">
        <f>'12U BOYS PLATINUM-10 TEAMS'!D28&amp;""</f>
        <v>12Bpt14</v>
      </c>
      <c r="E153" s="139" t="str">
        <f>'12U BOYS PLATINUM-10 TEAMS'!E28&amp;""</f>
        <v>3rdA-LAMORINDA A</v>
      </c>
      <c r="F153" s="139" t="str">
        <f>'12U BOYS PLATINUM-10 TEAMS'!F28&amp;""</f>
        <v>5</v>
      </c>
      <c r="G153" s="139" t="str">
        <f>'12U BOYS PLATINUM-10 TEAMS'!G28&amp;""</f>
        <v>2ndB-NORTH IRVINE BLACK</v>
      </c>
      <c r="H153" s="139" t="str">
        <f>'12U BOYS PLATINUM-10 TEAMS'!H28&amp;""</f>
        <v>20</v>
      </c>
      <c r="I153" s="139" t="str">
        <f>'12U BOYS PLATINUM-10 TEAMS'!I28&amp;""</f>
        <v>5th-10th 3A/2B</v>
      </c>
      <c r="J153" s="139" t="str">
        <f>'12U BOYS PLATINUM-10 TEAMS'!J28&amp;""</f>
        <v>12U_BOYS_PLATINUM</v>
      </c>
      <c r="K153" s="139" t="str">
        <f t="shared" si="3"/>
        <v>202602010930</v>
      </c>
    </row>
    <row r="154" spans="1:11">
      <c r="A154" s="190">
        <f>'12U BOYS PLATINUM-10 TEAMS'!A29</f>
        <v>46054</v>
      </c>
      <c r="B154" s="189">
        <f>'12U BOYS PLATINUM-10 TEAMS'!B29</f>
        <v>0.43055555555555602</v>
      </c>
      <c r="C154" s="189" t="str">
        <f>'12U BOYS PLATINUM-10 TEAMS'!C29&amp;""</f>
        <v>BECKMAN HS 1</v>
      </c>
      <c r="D154" s="139" t="str">
        <f>'12U BOYS PLATINUM-10 TEAMS'!D29&amp;""</f>
        <v>12Bpt15</v>
      </c>
      <c r="E154" s="139" t="str">
        <f>'12U BOYS PLATINUM-10 TEAMS'!E29&amp;""</f>
        <v>1stA-MISSION WPC A</v>
      </c>
      <c r="F154" s="139" t="str">
        <f>'12U BOYS PLATINUM-10 TEAMS'!F29&amp;""</f>
        <v>12</v>
      </c>
      <c r="G154" s="139" t="str">
        <f>'12U BOYS PLATINUM-10 TEAMS'!G29&amp;""</f>
        <v>2ndC-ORWP A</v>
      </c>
      <c r="H154" s="139" t="str">
        <f>'12U BOYS PLATINUM-10 TEAMS'!H29&amp;""</f>
        <v>3</v>
      </c>
      <c r="I154" s="139" t="str">
        <f>'12U BOYS PLATINUM-10 TEAMS'!I29&amp;""</f>
        <v>1-4 semi 1A/2C</v>
      </c>
      <c r="J154" s="139" t="str">
        <f>'12U BOYS PLATINUM-10 TEAMS'!J29&amp;""</f>
        <v>12U_BOYS_PLATINUM</v>
      </c>
      <c r="K154" s="139" t="str">
        <f t="shared" si="3"/>
        <v>202602011020</v>
      </c>
    </row>
    <row r="155" spans="1:11">
      <c r="A155" s="190">
        <f>'12U BOYS PLATINUM-10 TEAMS'!A30</f>
        <v>46054</v>
      </c>
      <c r="B155" s="189">
        <f>'12U BOYS PLATINUM-10 TEAMS'!B30</f>
        <v>0.46527777777777801</v>
      </c>
      <c r="C155" s="189" t="str">
        <f>'12U BOYS PLATINUM-10 TEAMS'!C30&amp;""</f>
        <v>BECKMAN HS 1</v>
      </c>
      <c r="D155" s="139" t="str">
        <f>'12U BOYS PLATINUM-10 TEAMS'!D30&amp;""</f>
        <v>12Bpt16</v>
      </c>
      <c r="E155" s="139" t="str">
        <f>'12U BOYS PLATINUM-10 TEAMS'!E30&amp;""</f>
        <v>1stB-CC UNITED BLACK</v>
      </c>
      <c r="F155" s="139" t="str">
        <f>'12U BOYS PLATINUM-10 TEAMS'!F30&amp;""</f>
        <v>9</v>
      </c>
      <c r="G155" s="139" t="str">
        <f>'12U BOYS PLATINUM-10 TEAMS'!G30&amp;""</f>
        <v>1stC-STANFORD RED</v>
      </c>
      <c r="H155" s="139" t="str">
        <f>'12U BOYS PLATINUM-10 TEAMS'!H30&amp;""</f>
        <v>12</v>
      </c>
      <c r="I155" s="139" t="str">
        <f>'12U BOYS PLATINUM-10 TEAMS'!I30&amp;""</f>
        <v>1-4 semi 1B/1C</v>
      </c>
      <c r="J155" s="139" t="str">
        <f>'12U BOYS PLATINUM-10 TEAMS'!J30&amp;""</f>
        <v>12U_BOYS_PLATINUM</v>
      </c>
      <c r="K155" s="139" t="str">
        <f t="shared" si="3"/>
        <v>202602011110</v>
      </c>
    </row>
    <row r="156" spans="1:11">
      <c r="A156" s="190">
        <f>'12U BOYS PLATINUM-10 TEAMS'!A31</f>
        <v>46054</v>
      </c>
      <c r="B156" s="189">
        <f>'12U BOYS PLATINUM-10 TEAMS'!B31</f>
        <v>0.5</v>
      </c>
      <c r="C156" s="189" t="str">
        <f>'12U BOYS PLATINUM-10 TEAMS'!C31&amp;""</f>
        <v>BECKMAN HS 1</v>
      </c>
      <c r="D156" s="139" t="str">
        <f>'12U BOYS PLATINUM-10 TEAMS'!D31&amp;""</f>
        <v>12Bpt18</v>
      </c>
      <c r="E156" s="139" t="str">
        <f>'12U BOYS PLATINUM-10 TEAMS'!E31&amp;""</f>
        <v>L#13-LA JOLLA UNITED NAVY</v>
      </c>
      <c r="F156" s="139" t="str">
        <f>'12U BOYS PLATINUM-10 TEAMS'!F31&amp;""</f>
        <v>7</v>
      </c>
      <c r="G156" s="139" t="str">
        <f>'12U BOYS PLATINUM-10 TEAMS'!G31&amp;""</f>
        <v>3rdC-SHAQ</v>
      </c>
      <c r="H156" s="139" t="str">
        <f>'12U BOYS PLATINUM-10 TEAMS'!H31&amp;""</f>
        <v>11</v>
      </c>
      <c r="I156" s="139" t="str">
        <f>'12U BOYS PLATINUM-10 TEAMS'!I31&amp;""</f>
        <v>7th-10th</v>
      </c>
      <c r="J156" s="139" t="str">
        <f>'12U BOYS PLATINUM-10 TEAMS'!J31&amp;""</f>
        <v>12U_BOYS_PLATINUM</v>
      </c>
      <c r="K156" s="139" t="str">
        <f t="shared" si="3"/>
        <v>202602011200</v>
      </c>
    </row>
    <row r="157" spans="1:11">
      <c r="A157" s="190">
        <f>'12U BOYS PLATINUM-10 TEAMS'!A32</f>
        <v>46054</v>
      </c>
      <c r="B157" s="189">
        <f>'12U BOYS PLATINUM-10 TEAMS'!B32</f>
        <v>0.53472222222222199</v>
      </c>
      <c r="C157" s="189" t="str">
        <f>'12U BOYS PLATINUM-10 TEAMS'!C32&amp;""</f>
        <v>BECKMAN HS 1</v>
      </c>
      <c r="D157" s="139" t="str">
        <f>'12U BOYS PLATINUM-10 TEAMS'!D32&amp;""</f>
        <v>12Bpt20</v>
      </c>
      <c r="E157" s="139" t="str">
        <f>'12U BOYS PLATINUM-10 TEAMS'!E32&amp;""</f>
        <v>L#15-ORWP A</v>
      </c>
      <c r="F157" s="139" t="str">
        <f>'12U BOYS PLATINUM-10 TEAMS'!F32&amp;""</f>
        <v>4</v>
      </c>
      <c r="G157" s="139" t="str">
        <f>'12U BOYS PLATINUM-10 TEAMS'!G32&amp;""</f>
        <v>L#16-CC UNITED BLACK</v>
      </c>
      <c r="H157" s="139" t="str">
        <f>'12U BOYS PLATINUM-10 TEAMS'!H32&amp;""</f>
        <v>16</v>
      </c>
      <c r="I157" s="139" t="str">
        <f>'12U BOYS PLATINUM-10 TEAMS'!I32&amp;""</f>
        <v>3rd</v>
      </c>
      <c r="J157" s="139" t="str">
        <f>'12U BOYS PLATINUM-10 TEAMS'!J32&amp;""</f>
        <v>12U_BOYS_PLATINUM</v>
      </c>
      <c r="K157" s="139" t="str">
        <f t="shared" si="3"/>
        <v>202602011250</v>
      </c>
    </row>
    <row r="158" spans="1:11">
      <c r="A158" s="190">
        <f>'12U BOYS PLATINUM-10 TEAMS'!A33</f>
        <v>46054</v>
      </c>
      <c r="B158" s="189">
        <f>'12U BOYS PLATINUM-10 TEAMS'!B33</f>
        <v>0.56944444444444497</v>
      </c>
      <c r="C158" s="189" t="str">
        <f>'12U BOYS PLATINUM-10 TEAMS'!C33&amp;""</f>
        <v>BECKMAN HS 1</v>
      </c>
      <c r="D158" s="139" t="str">
        <f>'12U BOYS PLATINUM-10 TEAMS'!D33&amp;""</f>
        <v>12Bpt21</v>
      </c>
      <c r="E158" s="139" t="str">
        <f>'12U BOYS PLATINUM-10 TEAMS'!E33&amp;""</f>
        <v>W#15-MISSION WPC A</v>
      </c>
      <c r="F158" s="139" t="str">
        <f>'12U BOYS PLATINUM-10 TEAMS'!F33&amp;""</f>
        <v>18</v>
      </c>
      <c r="G158" s="139" t="str">
        <f>'12U BOYS PLATINUM-10 TEAMS'!G33&amp;""</f>
        <v>W#16-STANFORD RED</v>
      </c>
      <c r="H158" s="139" t="str">
        <f>'12U BOYS PLATINUM-10 TEAMS'!H33&amp;""</f>
        <v>4</v>
      </c>
      <c r="I158" s="139" t="str">
        <f>'12U BOYS PLATINUM-10 TEAMS'!I33&amp;""</f>
        <v>1st</v>
      </c>
      <c r="J158" s="139" t="str">
        <f>'12U BOYS PLATINUM-10 TEAMS'!J33&amp;""</f>
        <v>12U_BOYS_PLATINUM</v>
      </c>
      <c r="K158" s="139" t="str">
        <f t="shared" si="3"/>
        <v>202602011340</v>
      </c>
    </row>
    <row r="159" spans="1:11">
      <c r="A159" s="190">
        <f>'12U BOYS PLATINUM-10 TEAMS'!A34</f>
        <v>46054</v>
      </c>
      <c r="B159" s="189">
        <f>'12U BOYS PLATINUM-10 TEAMS'!B34</f>
        <v>0.60416666666666696</v>
      </c>
      <c r="C159" s="189" t="str">
        <f>'12U BOYS PLATINUM-10 TEAMS'!C34&amp;""</f>
        <v>BECKMAN HS 1</v>
      </c>
      <c r="D159" s="139" t="str">
        <f>'12U BOYS PLATINUM-10 TEAMS'!D34&amp;""</f>
        <v>12Bpt17</v>
      </c>
      <c r="E159" s="139" t="str">
        <f>'12U BOYS PLATINUM-10 TEAMS'!E34&amp;""</f>
        <v>W#13-680 RED</v>
      </c>
      <c r="F159" s="139" t="str">
        <f>'12U BOYS PLATINUM-10 TEAMS'!F34&amp;""</f>
        <v>5</v>
      </c>
      <c r="G159" s="139" t="str">
        <f>'12U BOYS PLATINUM-10 TEAMS'!G34&amp;""</f>
        <v>W#14-NORTH IRVINE BLACK</v>
      </c>
      <c r="H159" s="139" t="str">
        <f>'12U BOYS PLATINUM-10 TEAMS'!H34&amp;""</f>
        <v>6</v>
      </c>
      <c r="I159" s="139" t="str">
        <f>'12U BOYS PLATINUM-10 TEAMS'!I34&amp;""</f>
        <v>5th</v>
      </c>
      <c r="J159" s="139" t="str">
        <f>'12U BOYS PLATINUM-10 TEAMS'!J34&amp;""</f>
        <v>12U_BOYS_PLATINUM</v>
      </c>
      <c r="K159" s="139" t="str">
        <f t="shared" si="3"/>
        <v>202602011430</v>
      </c>
    </row>
    <row r="160" spans="1:11">
      <c r="A160" s="190">
        <f>'12U BOYS PLATINUM-10 TEAMS'!A35</f>
        <v>46054</v>
      </c>
      <c r="B160" s="189">
        <f>'12U BOYS PLATINUM-10 TEAMS'!B35</f>
        <v>0.63888888888888895</v>
      </c>
      <c r="C160" s="189" t="str">
        <f>'12U BOYS PLATINUM-10 TEAMS'!C35&amp;""</f>
        <v>BECKMAN HS 1</v>
      </c>
      <c r="D160" s="139" t="str">
        <f>'12U BOYS PLATINUM-10 TEAMS'!D35&amp;""</f>
        <v>12Bpt19</v>
      </c>
      <c r="E160" s="139" t="str">
        <f>'12U BOYS PLATINUM-10 TEAMS'!E35&amp;""</f>
        <v>L#14-LAMORINDA A</v>
      </c>
      <c r="F160" s="139" t="str">
        <f>'12U BOYS PLATINUM-10 TEAMS'!F35&amp;""</f>
        <v>17</v>
      </c>
      <c r="G160" s="139" t="str">
        <f>'12U BOYS PLATINUM-10 TEAMS'!G35&amp;""</f>
        <v>4thC-DAVIS</v>
      </c>
      <c r="H160" s="139" t="str">
        <f>'12U BOYS PLATINUM-10 TEAMS'!H35&amp;""</f>
        <v>7</v>
      </c>
      <c r="I160" s="139" t="str">
        <f>'12U BOYS PLATINUM-10 TEAMS'!I35&amp;""</f>
        <v>7th-10th</v>
      </c>
      <c r="J160" s="139" t="str">
        <f>'12U BOYS PLATINUM-10 TEAMS'!J35&amp;""</f>
        <v>12U_BOYS_PLATINUM</v>
      </c>
      <c r="K160" s="139" t="str">
        <f t="shared" si="3"/>
        <v>202602011520</v>
      </c>
    </row>
    <row r="161" spans="1:11">
      <c r="A161" s="214">
        <f>'12U COED-7 TEAMS'!A10</f>
        <v>46053</v>
      </c>
      <c r="B161" s="213">
        <f>'12U COED-7 TEAMS'!B10</f>
        <v>0.3263888888888889</v>
      </c>
      <c r="C161" s="141" t="str">
        <f>'12U COED-7 TEAMS'!C10&amp;""</f>
        <v>COSTA MESA HS 2</v>
      </c>
      <c r="D161" s="141" t="str">
        <f>'12U COED-7 TEAMS'!D10&amp;""</f>
        <v>12C01</v>
      </c>
      <c r="E161" s="141" t="str">
        <f>'12U COED-7 TEAMS'!E10&amp;""</f>
        <v>A1-CMAC</v>
      </c>
      <c r="F161" s="141" t="str">
        <f>'12U COED-7 TEAMS'!F10&amp;""</f>
        <v>8</v>
      </c>
      <c r="G161" s="141" t="str">
        <f>'12U COED-7 TEAMS'!G10&amp;""</f>
        <v>A3-PALOS VERDES</v>
      </c>
      <c r="H161" s="141" t="str">
        <f>'12U COED-7 TEAMS'!H10&amp;""</f>
        <v>14</v>
      </c>
      <c r="I161" s="141" t="str">
        <f>'12U COED-7 TEAMS'!I10&amp;""</f>
        <v>A bracket A1,A3</v>
      </c>
      <c r="J161" s="141" t="str">
        <f>'12U COED-7 TEAMS'!J10&amp;""</f>
        <v>12U_COED</v>
      </c>
      <c r="K161" s="141" t="str">
        <f t="shared" si="3"/>
        <v>202601310750</v>
      </c>
    </row>
    <row r="162" spans="1:11">
      <c r="A162" s="214">
        <f>'12U COED-7 TEAMS'!A12</f>
        <v>46053</v>
      </c>
      <c r="B162" s="213">
        <f>'12U COED-7 TEAMS'!B12</f>
        <v>0.43055555555555602</v>
      </c>
      <c r="C162" s="141" t="str">
        <f>'12U COED-7 TEAMS'!C12&amp;""</f>
        <v>BECKMAN HS 1</v>
      </c>
      <c r="D162" s="141" t="str">
        <f>'12U COED-7 TEAMS'!D12&amp;""</f>
        <v>12C02</v>
      </c>
      <c r="E162" s="141" t="str">
        <f>'12U COED-7 TEAMS'!E12&amp;""</f>
        <v>B1-POWAY VALLEY</v>
      </c>
      <c r="F162" s="141" t="str">
        <f>'12U COED-7 TEAMS'!F12&amp;""</f>
        <v>2</v>
      </c>
      <c r="G162" s="141" t="str">
        <f>'12U COED-7 TEAMS'!G12&amp;""</f>
        <v>B4-LA CITY UNITED</v>
      </c>
      <c r="H162" s="141" t="str">
        <f>'12U COED-7 TEAMS'!H12&amp;""</f>
        <v>8</v>
      </c>
      <c r="I162" s="141" t="str">
        <f>'12U COED-7 TEAMS'!I12&amp;""</f>
        <v>B bracket B1,B4</v>
      </c>
      <c r="J162" s="141" t="str">
        <f>'12U COED-7 TEAMS'!J12&amp;""</f>
        <v>12U_COED</v>
      </c>
      <c r="K162" s="141" t="str">
        <f t="shared" si="3"/>
        <v>202601311020</v>
      </c>
    </row>
    <row r="163" spans="1:11">
      <c r="A163" s="214">
        <f>'12U COED-7 TEAMS'!A13</f>
        <v>46053</v>
      </c>
      <c r="B163" s="213">
        <f>'12U COED-7 TEAMS'!B13</f>
        <v>0.43055555555555602</v>
      </c>
      <c r="C163" s="141" t="str">
        <f>'12U COED-7 TEAMS'!C13&amp;""</f>
        <v>COSTA MESA HS 2</v>
      </c>
      <c r="D163" s="141" t="str">
        <f>'12U COED-7 TEAMS'!D13&amp;""</f>
        <v>12C04</v>
      </c>
      <c r="E163" s="141" t="str">
        <f>'12U COED-7 TEAMS'!E13&amp;""</f>
        <v>A1-CMAC</v>
      </c>
      <c r="F163" s="141" t="str">
        <f>'12U COED-7 TEAMS'!F13&amp;""</f>
        <v>12</v>
      </c>
      <c r="G163" s="141" t="str">
        <f>'12U COED-7 TEAMS'!G13&amp;""</f>
        <v>A2-SET</v>
      </c>
      <c r="H163" s="141" t="str">
        <f>'12U COED-7 TEAMS'!H13&amp;""</f>
        <v>20</v>
      </c>
      <c r="I163" s="141" t="str">
        <f>'12U COED-7 TEAMS'!I13&amp;""</f>
        <v>A bracket A1,A2</v>
      </c>
      <c r="J163" s="141" t="str">
        <f>'12U COED-7 TEAMS'!J13&amp;""</f>
        <v>12U_COED</v>
      </c>
      <c r="K163" s="141" t="str">
        <f t="shared" si="3"/>
        <v>202601311020</v>
      </c>
    </row>
    <row r="164" spans="1:11">
      <c r="A164" s="214">
        <f>'12U COED-7 TEAMS'!A14</f>
        <v>46053</v>
      </c>
      <c r="B164" s="213">
        <f>'12U COED-7 TEAMS'!B14</f>
        <v>0.46527777777777801</v>
      </c>
      <c r="C164" s="141" t="str">
        <f>'12U COED-7 TEAMS'!C14&amp;""</f>
        <v>BECKMAN HS 1</v>
      </c>
      <c r="D164" s="141" t="str">
        <f>'12U COED-7 TEAMS'!D14&amp;""</f>
        <v>12C03</v>
      </c>
      <c r="E164" s="141" t="str">
        <f>'12U COED-7 TEAMS'!E14&amp;""</f>
        <v>B2-LOYOLA WPC</v>
      </c>
      <c r="F164" s="141" t="str">
        <f>'12U COED-7 TEAMS'!F14&amp;""</f>
        <v>0</v>
      </c>
      <c r="G164" s="141" t="str">
        <f>'12U COED-7 TEAMS'!G14&amp;""</f>
        <v>B3-YOLO BLACK</v>
      </c>
      <c r="H164" s="141" t="str">
        <f>'12U COED-7 TEAMS'!H14&amp;""</f>
        <v>21</v>
      </c>
      <c r="I164" s="141" t="str">
        <f>'12U COED-7 TEAMS'!I14&amp;""</f>
        <v>B bracket B2,B3</v>
      </c>
      <c r="J164" s="141" t="str">
        <f>'12U COED-7 TEAMS'!J14&amp;""</f>
        <v>12U_COED</v>
      </c>
      <c r="K164" s="141" t="str">
        <f t="shared" si="3"/>
        <v>202601311110</v>
      </c>
    </row>
    <row r="165" spans="1:11">
      <c r="A165" s="214">
        <f>'12U COED-7 TEAMS'!A16</f>
        <v>46053</v>
      </c>
      <c r="B165" s="213">
        <f>'12U COED-7 TEAMS'!B16</f>
        <v>0.56944444444444497</v>
      </c>
      <c r="C165" s="141" t="str">
        <f>'12U COED-7 TEAMS'!C16&amp;""</f>
        <v>BECKMAN HS 1</v>
      </c>
      <c r="D165" s="141" t="str">
        <f>'12U COED-7 TEAMS'!D16&amp;""</f>
        <v>12C05</v>
      </c>
      <c r="E165" s="141" t="str">
        <f>'12U COED-7 TEAMS'!E16&amp;""</f>
        <v>B1-POWAY VALLEY</v>
      </c>
      <c r="F165" s="141" t="str">
        <f>'12U COED-7 TEAMS'!F16&amp;""</f>
        <v>0</v>
      </c>
      <c r="G165" s="141" t="str">
        <f>'12U COED-7 TEAMS'!G16&amp;""</f>
        <v>B3-YOLO BLACK</v>
      </c>
      <c r="H165" s="141" t="str">
        <f>'12U COED-7 TEAMS'!H16&amp;""</f>
        <v>13</v>
      </c>
      <c r="I165" s="141" t="str">
        <f>'12U COED-7 TEAMS'!I16&amp;""</f>
        <v>B bracket B1,B3</v>
      </c>
      <c r="J165" s="141" t="str">
        <f>'12U COED-7 TEAMS'!J16&amp;""</f>
        <v>12U_COED</v>
      </c>
      <c r="K165" s="141" t="str">
        <f t="shared" si="3"/>
        <v>202601311340</v>
      </c>
    </row>
    <row r="166" spans="1:11">
      <c r="A166" s="214">
        <f>'12U COED-7 TEAMS'!A17</f>
        <v>46053</v>
      </c>
      <c r="B166" s="213">
        <f>'12U COED-7 TEAMS'!B17</f>
        <v>0.60416666666666696</v>
      </c>
      <c r="C166" s="141" t="str">
        <f>'12U COED-7 TEAMS'!C17&amp;""</f>
        <v>BECKMAN HS 1</v>
      </c>
      <c r="D166" s="141" t="str">
        <f>'12U COED-7 TEAMS'!D17&amp;""</f>
        <v>12C06</v>
      </c>
      <c r="E166" s="141" t="str">
        <f>'12U COED-7 TEAMS'!E17&amp;""</f>
        <v>B2-LOYOLA WPC</v>
      </c>
      <c r="F166" s="141" t="str">
        <f>'12U COED-7 TEAMS'!F17&amp;""</f>
        <v>2</v>
      </c>
      <c r="G166" s="141" t="str">
        <f>'12U COED-7 TEAMS'!G17&amp;""</f>
        <v>B4-LA CITY UNITED</v>
      </c>
      <c r="H166" s="141" t="str">
        <f>'12U COED-7 TEAMS'!H17&amp;""</f>
        <v>8</v>
      </c>
      <c r="I166" s="141" t="str">
        <f>'12U COED-7 TEAMS'!I17&amp;""</f>
        <v>B bracket B2,B4</v>
      </c>
      <c r="J166" s="141" t="str">
        <f>'12U COED-7 TEAMS'!J17&amp;""</f>
        <v>12U_COED</v>
      </c>
      <c r="K166" s="141" t="str">
        <f t="shared" si="3"/>
        <v>202601311430</v>
      </c>
    </row>
    <row r="167" spans="1:11">
      <c r="A167" s="214">
        <f>'12U COED-7 TEAMS'!A18</f>
        <v>46053</v>
      </c>
      <c r="B167" s="213">
        <f>'12U COED-7 TEAMS'!B18</f>
        <v>0.63888888888888895</v>
      </c>
      <c r="C167" s="141" t="str">
        <f>'12U COED-7 TEAMS'!C18&amp;""</f>
        <v>BECKMAN HS 1</v>
      </c>
      <c r="D167" s="141" t="str">
        <f>'12U COED-7 TEAMS'!D18&amp;""</f>
        <v>12C07</v>
      </c>
      <c r="E167" s="141" t="str">
        <f>'12U COED-7 TEAMS'!E18&amp;""</f>
        <v>A2-SET</v>
      </c>
      <c r="F167" s="141" t="str">
        <f>'12U COED-7 TEAMS'!F18&amp;""</f>
        <v>13</v>
      </c>
      <c r="G167" s="141" t="str">
        <f>'12U COED-7 TEAMS'!G18&amp;""</f>
        <v>A3-PALOS VERDES</v>
      </c>
      <c r="H167" s="141" t="str">
        <f>'12U COED-7 TEAMS'!H18&amp;""</f>
        <v>2</v>
      </c>
      <c r="I167" s="141" t="str">
        <f>'12U COED-7 TEAMS'!I18&amp;""</f>
        <v>A bracket A2,A3</v>
      </c>
      <c r="J167" s="141" t="str">
        <f>'12U COED-7 TEAMS'!J18&amp;""</f>
        <v>12U_COED</v>
      </c>
      <c r="K167" s="141" t="str">
        <f t="shared" si="3"/>
        <v>202601311520</v>
      </c>
    </row>
    <row r="168" spans="1:11">
      <c r="A168" s="214">
        <f>'12U COED-7 TEAMS'!A22</f>
        <v>46054</v>
      </c>
      <c r="B168" s="213">
        <f>'12U COED-7 TEAMS'!B22</f>
        <v>0.29166666666666669</v>
      </c>
      <c r="C168" s="141" t="str">
        <f>'12U COED-7 TEAMS'!C22&amp;""</f>
        <v>TUSTIN HS 2</v>
      </c>
      <c r="D168" s="141" t="str">
        <f>'12U COED-7 TEAMS'!D22&amp;""</f>
        <v>12C08</v>
      </c>
      <c r="E168" s="141" t="str">
        <f>'12U COED-7 TEAMS'!E22&amp;""</f>
        <v>B3-YOLO BLACK</v>
      </c>
      <c r="F168" s="141" t="str">
        <f>'12U COED-7 TEAMS'!F22&amp;""</f>
        <v>16</v>
      </c>
      <c r="G168" s="141" t="str">
        <f>'12U COED-7 TEAMS'!G22&amp;""</f>
        <v>B4-LA CITY UNITED</v>
      </c>
      <c r="H168" s="141" t="str">
        <f>'12U COED-7 TEAMS'!H22&amp;""</f>
        <v>4</v>
      </c>
      <c r="I168" s="141" t="str">
        <f>'12U COED-7 TEAMS'!I22&amp;""</f>
        <v>B bracket B3,B4</v>
      </c>
      <c r="J168" s="141" t="str">
        <f>'12U COED-7 TEAMS'!J22&amp;""</f>
        <v>12U_COED</v>
      </c>
      <c r="K168" s="141" t="str">
        <f t="shared" si="3"/>
        <v>202602010700</v>
      </c>
    </row>
    <row r="169" spans="1:11">
      <c r="A169" s="214">
        <f>'12U COED-7 TEAMS'!A23</f>
        <v>46054</v>
      </c>
      <c r="B169" s="213">
        <f>'12U COED-7 TEAMS'!B23</f>
        <v>0.3263888888888889</v>
      </c>
      <c r="C169" s="141" t="str">
        <f>'12U COED-7 TEAMS'!C23&amp;""</f>
        <v>TUSTIN HS 2</v>
      </c>
      <c r="D169" s="141" t="str">
        <f>'12U COED-7 TEAMS'!D23&amp;""</f>
        <v>12C09</v>
      </c>
      <c r="E169" s="141" t="str">
        <f>'12U COED-7 TEAMS'!E23&amp;""</f>
        <v>B1-POWAY VALLEY</v>
      </c>
      <c r="F169" s="141" t="str">
        <f>'12U COED-7 TEAMS'!F23&amp;""</f>
        <v>12</v>
      </c>
      <c r="G169" s="141" t="str">
        <f>'12U COED-7 TEAMS'!G23&amp;""</f>
        <v>B2-LOYOLA WPC</v>
      </c>
      <c r="H169" s="141" t="str">
        <f>'12U COED-7 TEAMS'!H23&amp;""</f>
        <v>3</v>
      </c>
      <c r="I169" s="141" t="str">
        <f>'12U COED-7 TEAMS'!I23&amp;""</f>
        <v>B bracket B1,B2</v>
      </c>
      <c r="J169" s="141" t="str">
        <f>'12U COED-7 TEAMS'!J23&amp;""</f>
        <v>12U_COED</v>
      </c>
      <c r="K169" s="141" t="str">
        <f t="shared" si="3"/>
        <v>202602010750</v>
      </c>
    </row>
    <row r="170" spans="1:11">
      <c r="A170" s="214">
        <f>'12U COED-7 TEAMS'!A25</f>
        <v>46054</v>
      </c>
      <c r="B170" s="213">
        <f>'12U COED-7 TEAMS'!B25</f>
        <v>0.46527777777777801</v>
      </c>
      <c r="C170" s="141" t="str">
        <f>'12U COED-7 TEAMS'!C25&amp;""</f>
        <v>TUSTIN HS 2</v>
      </c>
      <c r="D170" s="141" t="str">
        <f>'12U COED-7 TEAMS'!D25&amp;""</f>
        <v>12C10</v>
      </c>
      <c r="E170" s="141" t="str">
        <f>'12U COED-7 TEAMS'!E25&amp;""</f>
        <v>3rdA-CMAC</v>
      </c>
      <c r="F170" s="141" t="str">
        <f>'12U COED-7 TEAMS'!F25&amp;""</f>
        <v>16</v>
      </c>
      <c r="G170" s="141" t="str">
        <f>'12U COED-7 TEAMS'!G25&amp;""</f>
        <v>4thB-LOYOLA WPC</v>
      </c>
      <c r="H170" s="141" t="str">
        <f>'12U COED-7 TEAMS'!H25&amp;""</f>
        <v>1</v>
      </c>
      <c r="I170" s="141" t="str">
        <f>'12U COED-7 TEAMS'!I25&amp;""</f>
        <v>5th-7th</v>
      </c>
      <c r="J170" s="141" t="str">
        <f>'12U COED-7 TEAMS'!J25&amp;""</f>
        <v>12U_COED</v>
      </c>
      <c r="K170" s="141" t="str">
        <f t="shared" si="3"/>
        <v>202602011110</v>
      </c>
    </row>
    <row r="171" spans="1:11">
      <c r="A171" s="214">
        <f>'12U COED-7 TEAMS'!A26</f>
        <v>46054</v>
      </c>
      <c r="B171" s="213">
        <f>'12U COED-7 TEAMS'!B26</f>
        <v>0.5</v>
      </c>
      <c r="C171" s="141" t="str">
        <f>'12U COED-7 TEAMS'!C26&amp;""</f>
        <v>TUSTIN HS 2</v>
      </c>
      <c r="D171" s="141" t="str">
        <f>'12U COED-7 TEAMS'!D26&amp;""</f>
        <v>12C11</v>
      </c>
      <c r="E171" s="141" t="str">
        <f>'12U COED-7 TEAMS'!E26&amp;""</f>
        <v>1stA-SET</v>
      </c>
      <c r="F171" s="141" t="str">
        <f>'12U COED-7 TEAMS'!F26&amp;""</f>
        <v>8</v>
      </c>
      <c r="G171" s="141" t="str">
        <f>'12U COED-7 TEAMS'!G26&amp;""</f>
        <v>2ndB-LA CITY UNITED</v>
      </c>
      <c r="H171" s="141" t="str">
        <f>'12U COED-7 TEAMS'!H26&amp;""</f>
        <v>6</v>
      </c>
      <c r="I171" s="141" t="str">
        <f>'12U COED-7 TEAMS'!I26&amp;""</f>
        <v>1-4 semi</v>
      </c>
      <c r="J171" s="141" t="str">
        <f>'12U COED-7 TEAMS'!J26&amp;""</f>
        <v>12U_COED</v>
      </c>
      <c r="K171" s="141" t="str">
        <f t="shared" si="3"/>
        <v>202602011200</v>
      </c>
    </row>
    <row r="172" spans="1:11">
      <c r="A172" s="214">
        <f>'12U COED-7 TEAMS'!A27</f>
        <v>46054</v>
      </c>
      <c r="B172" s="213">
        <f>'12U COED-7 TEAMS'!B27</f>
        <v>0.53472222222222199</v>
      </c>
      <c r="C172" s="141" t="str">
        <f>'12U COED-7 TEAMS'!C27&amp;""</f>
        <v>TUSTIN HS 2</v>
      </c>
      <c r="D172" s="141" t="str">
        <f>'12U COED-7 TEAMS'!D27&amp;""</f>
        <v>12C12</v>
      </c>
      <c r="E172" s="141" t="str">
        <f>'12U COED-7 TEAMS'!E27&amp;""</f>
        <v>1stB-YOLO BLACK</v>
      </c>
      <c r="F172" s="141" t="str">
        <f>'12U COED-7 TEAMS'!F27&amp;""</f>
        <v>20</v>
      </c>
      <c r="G172" s="141" t="str">
        <f>'12U COED-7 TEAMS'!G27&amp;""</f>
        <v>2ndA-PALOS VERDES</v>
      </c>
      <c r="H172" s="141" t="str">
        <f>'12U COED-7 TEAMS'!H27&amp;""</f>
        <v>1</v>
      </c>
      <c r="I172" s="141" t="str">
        <f>'12U COED-7 TEAMS'!I27&amp;""</f>
        <v>1-4 semi</v>
      </c>
      <c r="J172" s="141" t="str">
        <f>'12U COED-7 TEAMS'!J27&amp;""</f>
        <v>12U_COED</v>
      </c>
      <c r="K172" s="141" t="str">
        <f t="shared" si="3"/>
        <v>202602011250</v>
      </c>
    </row>
    <row r="173" spans="1:11">
      <c r="A173" s="214">
        <f>'12U COED-7 TEAMS'!A28</f>
        <v>46054</v>
      </c>
      <c r="B173" s="213">
        <f>'12U COED-7 TEAMS'!B28</f>
        <v>0.56944444444444497</v>
      </c>
      <c r="C173" s="141" t="str">
        <f>'12U COED-7 TEAMS'!C28&amp;""</f>
        <v>TUSTIN HS 2</v>
      </c>
      <c r="D173" s="141" t="str">
        <f>'12U COED-7 TEAMS'!D28&amp;""</f>
        <v>12C13</v>
      </c>
      <c r="E173" s="141" t="str">
        <f>'12U COED-7 TEAMS'!E28&amp;""</f>
        <v>3rdA-CMAC</v>
      </c>
      <c r="F173" s="141" t="str">
        <f>'12U COED-7 TEAMS'!F28&amp;""</f>
        <v>2</v>
      </c>
      <c r="G173" s="141" t="str">
        <f>'12U COED-7 TEAMS'!G28&amp;""</f>
        <v>3rdB-POWAY VALLEY</v>
      </c>
      <c r="H173" s="141" t="str">
        <f>'12U COED-7 TEAMS'!H28&amp;""</f>
        <v>9</v>
      </c>
      <c r="I173" s="141" t="str">
        <f>'12U COED-7 TEAMS'!I28&amp;""</f>
        <v>5th-7th</v>
      </c>
      <c r="J173" s="141" t="str">
        <f>'12U COED-7 TEAMS'!J28&amp;""</f>
        <v>12U_COED</v>
      </c>
      <c r="K173" s="141" t="str">
        <f t="shared" si="3"/>
        <v>202602011340</v>
      </c>
    </row>
    <row r="174" spans="1:11">
      <c r="A174" s="214">
        <f>'12U COED-7 TEAMS'!A31</f>
        <v>46054</v>
      </c>
      <c r="B174" s="213">
        <f>'12U COED-7 TEAMS'!B31</f>
        <v>0.74305555555555602</v>
      </c>
      <c r="C174" s="141" t="str">
        <f>'12U COED-7 TEAMS'!C31&amp;""</f>
        <v>WOOLLETT FAR RIGHT</v>
      </c>
      <c r="D174" s="141" t="str">
        <f>'12U COED-7 TEAMS'!D31&amp;""</f>
        <v>12C14</v>
      </c>
      <c r="E174" s="141" t="str">
        <f>'12U COED-7 TEAMS'!E31&amp;""</f>
        <v>L#11-LA CITY UNITED</v>
      </c>
      <c r="F174" s="141" t="str">
        <f>'12U COED-7 TEAMS'!F31&amp;""</f>
        <v>15</v>
      </c>
      <c r="G174" s="141" t="str">
        <f>'12U COED-7 TEAMS'!G31&amp;""</f>
        <v>L#12-PALOS VERDES</v>
      </c>
      <c r="H174" s="141" t="str">
        <f>'12U COED-7 TEAMS'!H31&amp;""</f>
        <v>8</v>
      </c>
      <c r="I174" s="141" t="str">
        <f>'12U COED-7 TEAMS'!I31&amp;""</f>
        <v>3rd</v>
      </c>
      <c r="J174" s="141" t="str">
        <f>'12U COED-7 TEAMS'!J31&amp;""</f>
        <v>12U_COED</v>
      </c>
      <c r="K174" s="141" t="str">
        <f t="shared" si="3"/>
        <v>202602011750</v>
      </c>
    </row>
    <row r="175" spans="1:11">
      <c r="A175" s="214">
        <f>'12U COED-7 TEAMS'!A30</f>
        <v>46054</v>
      </c>
      <c r="B175" s="213">
        <f>'12U COED-7 TEAMS'!B30</f>
        <v>0.70833333333333404</v>
      </c>
      <c r="C175" s="141" t="str">
        <f>'12U COED-7 TEAMS'!C30&amp;""</f>
        <v>WOOLLETT FAR RIGHT</v>
      </c>
      <c r="D175" s="141" t="str">
        <f>'12U COED-7 TEAMS'!D30&amp;""</f>
        <v>12C15</v>
      </c>
      <c r="E175" s="141" t="str">
        <f>'12U COED-7 TEAMS'!E30&amp;""</f>
        <v>W#11-SET</v>
      </c>
      <c r="F175" s="141" t="str">
        <f>'12U COED-7 TEAMS'!F30&amp;""</f>
        <v>7</v>
      </c>
      <c r="G175" s="141" t="str">
        <f>'12U COED-7 TEAMS'!G30&amp;""</f>
        <v>W#12-YOLO BLACK</v>
      </c>
      <c r="H175" s="141" t="str">
        <f>'12U COED-7 TEAMS'!H30&amp;""</f>
        <v>21</v>
      </c>
      <c r="I175" s="141" t="str">
        <f>'12U COED-7 TEAMS'!I30&amp;""</f>
        <v>1st</v>
      </c>
      <c r="J175" s="141" t="str">
        <f>'12U COED-7 TEAMS'!J30&amp;""</f>
        <v>12U_COED</v>
      </c>
      <c r="K175" s="141" t="str">
        <f t="shared" si="3"/>
        <v>202602011700</v>
      </c>
    </row>
    <row r="176" spans="1:11">
      <c r="A176" s="218">
        <f>'14U GIRLS GOLD-14 TEAMS'!A11</f>
        <v>46053</v>
      </c>
      <c r="B176" s="217">
        <f>'14U GIRLS GOLD-14 TEAMS'!B11</f>
        <v>0.29166666666666669</v>
      </c>
      <c r="C176" s="217" t="str">
        <f>'14U GIRLS GOLD-14 TEAMS'!C11&amp;""</f>
        <v>LAGUNA HILLS HS</v>
      </c>
      <c r="D176" s="145" t="str">
        <f>'14U GIRLS GOLD-14 TEAMS'!D11&amp;""</f>
        <v>14Gau03</v>
      </c>
      <c r="E176" s="145" t="str">
        <f>'14U GIRLS GOLD-14 TEAMS'!E11&amp;""</f>
        <v>D1-NORTHWEST</v>
      </c>
      <c r="F176" s="145" t="str">
        <f>'14U GIRLS GOLD-14 TEAMS'!F11&amp;""</f>
        <v>10</v>
      </c>
      <c r="G176" s="145" t="str">
        <f>'14U GIRLS GOLD-14 TEAMS'!G11&amp;""</f>
        <v>D4-NORTH IRVINE</v>
      </c>
      <c r="H176" s="145" t="str">
        <f>'14U GIRLS GOLD-14 TEAMS'!H11&amp;""</f>
        <v>11</v>
      </c>
      <c r="I176" s="145" t="str">
        <f>'14U GIRLS GOLD-14 TEAMS'!I11&amp;""</f>
        <v>W/L D1/D4</v>
      </c>
      <c r="J176" s="145" t="str">
        <f>'14U GIRLS GOLD-14 TEAMS'!J11&amp;""</f>
        <v>14U_GIRLS_GOLD</v>
      </c>
      <c r="K176" s="145" t="str">
        <f t="shared" ref="K176:K203" si="4">TEXT(DATE(2026, MONTH(A176), DAY(A176)) + TIME(HOUR(B176), MINUTE(B176), 0), "yyyymmddhhmm")</f>
        <v>202601310700</v>
      </c>
    </row>
    <row r="177" spans="1:11">
      <c r="A177" s="218">
        <f>'14U GIRLS GOLD-14 TEAMS'!A10</f>
        <v>46053</v>
      </c>
      <c r="B177" s="217">
        <f>'14U GIRLS GOLD-14 TEAMS'!B10</f>
        <v>0.29166666666666669</v>
      </c>
      <c r="C177" s="217" t="str">
        <f>'14U GIRLS GOLD-14 TEAMS'!C10&amp;""</f>
        <v>SAN CLEMENTE HS</v>
      </c>
      <c r="D177" s="145" t="str">
        <f>'14U GIRLS GOLD-14 TEAMS'!D10&amp;""</f>
        <v>14Gau12</v>
      </c>
      <c r="E177" s="145" t="str">
        <f>'14U GIRLS GOLD-14 TEAMS'!E10&amp;""</f>
        <v>A1-LA JOLLA UNITED</v>
      </c>
      <c r="F177" s="145" t="str">
        <f>'14U GIRLS GOLD-14 TEAMS'!F10&amp;""</f>
        <v>18</v>
      </c>
      <c r="G177" s="145" t="str">
        <f>'14U GIRLS GOLD-14 TEAMS'!G10&amp;""</f>
        <v>A2-SANTA CRUZ BLUE</v>
      </c>
      <c r="H177" s="145" t="str">
        <f>'14U GIRLS GOLD-14 TEAMS'!H10&amp;""</f>
        <v>4</v>
      </c>
      <c r="I177" s="145" t="str">
        <f>'14U GIRLS GOLD-14 TEAMS'!I10&amp;""</f>
        <v>A bracket A1,A2</v>
      </c>
      <c r="J177" s="145" t="str">
        <f>'14U GIRLS GOLD-14 TEAMS'!J10&amp;""</f>
        <v>14U_GIRLS_GOLD</v>
      </c>
      <c r="K177" s="145" t="str">
        <f t="shared" si="4"/>
        <v>202601310700</v>
      </c>
    </row>
    <row r="178" spans="1:11">
      <c r="A178" s="218">
        <f>'14U GIRLS GOLD-14 TEAMS'!A12</f>
        <v>46053</v>
      </c>
      <c r="B178" s="217">
        <f>'14U GIRLS GOLD-14 TEAMS'!B12</f>
        <v>0.3263888888888889</v>
      </c>
      <c r="C178" s="217" t="str">
        <f>'14U GIRLS GOLD-14 TEAMS'!C12&amp;""</f>
        <v>LAGUNA HILLS HS</v>
      </c>
      <c r="D178" s="145" t="str">
        <f>'14U GIRLS GOLD-14 TEAMS'!D12&amp;""</f>
        <v>14Gau04</v>
      </c>
      <c r="E178" s="145" t="str">
        <f>'14U GIRLS GOLD-14 TEAMS'!E12&amp;""</f>
        <v>D2-SD ECA</v>
      </c>
      <c r="F178" s="145" t="str">
        <f>'14U GIRLS GOLD-14 TEAMS'!F12&amp;""</f>
        <v>8</v>
      </c>
      <c r="G178" s="145" t="str">
        <f>'14U GIRLS GOLD-14 TEAMS'!G12&amp;""</f>
        <v>D3-LAMORINDA C</v>
      </c>
      <c r="H178" s="145" t="str">
        <f>'14U GIRLS GOLD-14 TEAMS'!H12&amp;""</f>
        <v>6</v>
      </c>
      <c r="I178" s="145" t="str">
        <f>'14U GIRLS GOLD-14 TEAMS'!I12&amp;""</f>
        <v>W/L D2/D3</v>
      </c>
      <c r="J178" s="145" t="str">
        <f>'14U GIRLS GOLD-14 TEAMS'!J12&amp;""</f>
        <v>14U_GIRLS_GOLD</v>
      </c>
      <c r="K178" s="145" t="str">
        <f t="shared" si="4"/>
        <v>202601310750</v>
      </c>
    </row>
    <row r="179" spans="1:11">
      <c r="A179" s="218">
        <f>'14U GIRLS GOLD-14 TEAMS'!A13</f>
        <v>46053</v>
      </c>
      <c r="B179" s="217">
        <f>'14U GIRLS GOLD-14 TEAMS'!B13</f>
        <v>0.36111111111111099</v>
      </c>
      <c r="C179" s="217" t="str">
        <f>'14U GIRLS GOLD-14 TEAMS'!C13&amp;""</f>
        <v>LAGUNA HILLS HS</v>
      </c>
      <c r="D179" s="145" t="str">
        <f>'14U GIRLS GOLD-14 TEAMS'!D13&amp;""</f>
        <v>14Gau09</v>
      </c>
      <c r="E179" s="145" t="str">
        <f>'14U GIRLS GOLD-14 TEAMS'!E13&amp;""</f>
        <v>B2-ROGUE 619</v>
      </c>
      <c r="F179" s="145" t="str">
        <f>'14U GIRLS GOLD-14 TEAMS'!F13&amp;""</f>
        <v>10</v>
      </c>
      <c r="G179" s="145" t="str">
        <f>'14U GIRLS GOLD-14 TEAMS'!G13&amp;""</f>
        <v>B3-BACK BAY</v>
      </c>
      <c r="H179" s="145" t="str">
        <f>'14U GIRLS GOLD-14 TEAMS'!H13&amp;""</f>
        <v>4</v>
      </c>
      <c r="I179" s="145" t="str">
        <f>'14U GIRLS GOLD-14 TEAMS'!I13&amp;""</f>
        <v>B bracket B2,B3</v>
      </c>
      <c r="J179" s="145" t="str">
        <f>'14U GIRLS GOLD-14 TEAMS'!J13&amp;""</f>
        <v>14U_GIRLS_GOLD</v>
      </c>
      <c r="K179" s="145" t="str">
        <f t="shared" si="4"/>
        <v>202601310840</v>
      </c>
    </row>
    <row r="180" spans="1:11">
      <c r="A180" s="218">
        <f>'14U GIRLS GOLD-14 TEAMS'!A14</f>
        <v>46053</v>
      </c>
      <c r="B180" s="217">
        <f>'14U GIRLS GOLD-14 TEAMS'!B14</f>
        <v>0.39583333333333398</v>
      </c>
      <c r="C180" s="217" t="str">
        <f>'14U GIRLS GOLD-14 TEAMS'!C14&amp;""</f>
        <v>LAGUNA HILLS HS</v>
      </c>
      <c r="D180" s="145" t="str">
        <f>'14U GIRLS GOLD-14 TEAMS'!D14&amp;""</f>
        <v>14Gau01</v>
      </c>
      <c r="E180" s="145" t="str">
        <f>'14U GIRLS GOLD-14 TEAMS'!E14&amp;""</f>
        <v>C2-GOLD COAST</v>
      </c>
      <c r="F180" s="145" t="str">
        <f>'14U GIRLS GOLD-14 TEAMS'!F14&amp;""</f>
        <v>8</v>
      </c>
      <c r="G180" s="145" t="str">
        <f>'14U GIRLS GOLD-14 TEAMS'!G14&amp;""</f>
        <v>C3-PALOS VERDES</v>
      </c>
      <c r="H180" s="145" t="str">
        <f>'14U GIRLS GOLD-14 TEAMS'!H14&amp;""</f>
        <v>4</v>
      </c>
      <c r="I180" s="145" t="str">
        <f>'14U GIRLS GOLD-14 TEAMS'!I14&amp;""</f>
        <v>W/L C2/C3</v>
      </c>
      <c r="J180" s="145" t="str">
        <f>'14U GIRLS GOLD-14 TEAMS'!J14&amp;""</f>
        <v>14U_GIRLS_GOLD</v>
      </c>
      <c r="K180" s="145" t="str">
        <f t="shared" si="4"/>
        <v>202601310930</v>
      </c>
    </row>
    <row r="181" spans="1:11">
      <c r="A181" s="218">
        <f>'14U GIRLS GOLD-14 TEAMS'!A15</f>
        <v>46053</v>
      </c>
      <c r="B181" s="217">
        <f>'14U GIRLS GOLD-14 TEAMS'!B15</f>
        <v>0.43055555555555602</v>
      </c>
      <c r="C181" s="217" t="str">
        <f>'14U GIRLS GOLD-14 TEAMS'!C15&amp;""</f>
        <v>LAGUNA HILLS HS</v>
      </c>
      <c r="D181" s="145" t="str">
        <f>'14U GIRLS GOLD-14 TEAMS'!D15&amp;""</f>
        <v>14Gau02</v>
      </c>
      <c r="E181" s="145" t="str">
        <f>'14U GIRLS GOLD-14 TEAMS'!E15&amp;""</f>
        <v>C1-SHAQ</v>
      </c>
      <c r="F181" s="145" t="str">
        <f>'14U GIRLS GOLD-14 TEAMS'!F15&amp;""</f>
        <v>9</v>
      </c>
      <c r="G181" s="145" t="str">
        <f>'14U GIRLS GOLD-14 TEAMS'!G15&amp;""</f>
        <v>C4-CDM NAVY</v>
      </c>
      <c r="H181" s="145" t="str">
        <f>'14U GIRLS GOLD-14 TEAMS'!H15&amp;""</f>
        <v>5</v>
      </c>
      <c r="I181" s="145" t="str">
        <f>'14U GIRLS GOLD-14 TEAMS'!I15&amp;""</f>
        <v>W/L C1/C4</v>
      </c>
      <c r="J181" s="145" t="str">
        <f>'14U GIRLS GOLD-14 TEAMS'!J15&amp;""</f>
        <v>14U_GIRLS_GOLD</v>
      </c>
      <c r="K181" s="145" t="str">
        <f t="shared" si="4"/>
        <v>202601311020</v>
      </c>
    </row>
    <row r="182" spans="1:11">
      <c r="A182" s="218">
        <f>'14U GIRLS GOLD-14 TEAMS'!A16</f>
        <v>46053</v>
      </c>
      <c r="B182" s="217">
        <f>'14U GIRLS GOLD-14 TEAMS'!B16</f>
        <v>0.43055555555555602</v>
      </c>
      <c r="C182" s="217" t="str">
        <f>'14U GIRLS GOLD-14 TEAMS'!C16&amp;""</f>
        <v>SAN CLEMENTE HS</v>
      </c>
      <c r="D182" s="145" t="str">
        <f>'14U GIRLS GOLD-14 TEAMS'!D16&amp;""</f>
        <v>14Gau10</v>
      </c>
      <c r="E182" s="145" t="str">
        <f>'14U GIRLS GOLD-14 TEAMS'!E16&amp;""</f>
        <v>A2-SANTA CRUZ BLUE</v>
      </c>
      <c r="F182" s="145" t="str">
        <f>'14U GIRLS GOLD-14 TEAMS'!F16&amp;""</f>
        <v>2</v>
      </c>
      <c r="G182" s="145" t="str">
        <f>'14U GIRLS GOLD-14 TEAMS'!G16&amp;""</f>
        <v>A3-PASADENA AC</v>
      </c>
      <c r="H182" s="145" t="str">
        <f>'14U GIRLS GOLD-14 TEAMS'!H16&amp;""</f>
        <v>16</v>
      </c>
      <c r="I182" s="145" t="str">
        <f>'14U GIRLS GOLD-14 TEAMS'!I16&amp;""</f>
        <v>A bracket A2,A3</v>
      </c>
      <c r="J182" s="145" t="str">
        <f>'14U GIRLS GOLD-14 TEAMS'!J16&amp;""</f>
        <v>14U_GIRLS_GOLD</v>
      </c>
      <c r="K182" s="145" t="str">
        <f t="shared" si="4"/>
        <v>202601311020</v>
      </c>
    </row>
    <row r="183" spans="1:11">
      <c r="A183" s="218">
        <f>'14U GIRLS GOLD-14 TEAMS'!A17</f>
        <v>46053</v>
      </c>
      <c r="B183" s="217">
        <f>'14U GIRLS GOLD-14 TEAMS'!B17</f>
        <v>0.46527777777777801</v>
      </c>
      <c r="C183" s="217" t="str">
        <f>'14U GIRLS GOLD-14 TEAMS'!C17&amp;""</f>
        <v>LAGUNA HILLS HS</v>
      </c>
      <c r="D183" s="145" t="str">
        <f>'14U GIRLS GOLD-14 TEAMS'!D17&amp;""</f>
        <v>14Gau11</v>
      </c>
      <c r="E183" s="145" t="str">
        <f>'14U GIRLS GOLD-14 TEAMS'!E17&amp;""</f>
        <v>B1-HONOLULU</v>
      </c>
      <c r="F183" s="145" t="str">
        <f>'14U GIRLS GOLD-14 TEAMS'!F17&amp;""</f>
        <v>2</v>
      </c>
      <c r="G183" s="145" t="str">
        <f>'14U GIRLS GOLD-14 TEAMS'!G17&amp;""</f>
        <v>B2-ROGUE 619</v>
      </c>
      <c r="H183" s="145" t="str">
        <f>'14U GIRLS GOLD-14 TEAMS'!H17&amp;""</f>
        <v>12</v>
      </c>
      <c r="I183" s="145" t="str">
        <f>'14U GIRLS GOLD-14 TEAMS'!I17&amp;""</f>
        <v>B bracket B1,B2</v>
      </c>
      <c r="J183" s="145" t="str">
        <f>'14U GIRLS GOLD-14 TEAMS'!J17&amp;""</f>
        <v>14U_GIRLS_GOLD</v>
      </c>
      <c r="K183" s="145" t="str">
        <f t="shared" si="4"/>
        <v>202601311110</v>
      </c>
    </row>
    <row r="184" spans="1:11">
      <c r="A184" s="218">
        <f>'14U GIRLS GOLD-14 TEAMS'!A18</f>
        <v>46053</v>
      </c>
      <c r="B184" s="217">
        <f>'14U GIRLS GOLD-14 TEAMS'!B18</f>
        <v>0.5</v>
      </c>
      <c r="C184" s="217" t="str">
        <f>'14U GIRLS GOLD-14 TEAMS'!C18&amp;""</f>
        <v>LAGUNA HILLS HS</v>
      </c>
      <c r="D184" s="145" t="str">
        <f>'14U GIRLS GOLD-14 TEAMS'!D18&amp;""</f>
        <v>14Gau08</v>
      </c>
      <c r="E184" s="145" t="str">
        <f>'14U GIRLS GOLD-14 TEAMS'!E18&amp;""</f>
        <v>L#3-NORTHWEST</v>
      </c>
      <c r="F184" s="145" t="str">
        <f>'14U GIRLS GOLD-14 TEAMS'!F18&amp;""</f>
        <v>9</v>
      </c>
      <c r="G184" s="145" t="str">
        <f>'14U GIRLS GOLD-14 TEAMS'!G18&amp;""</f>
        <v>L#4-LAMORINDA C</v>
      </c>
      <c r="H184" s="145" t="str">
        <f>'14U GIRLS GOLD-14 TEAMS'!H18&amp;""</f>
        <v>8</v>
      </c>
      <c r="I184" s="145" t="str">
        <f>'14U GIRLS GOLD-14 TEAMS'!I18&amp;""</f>
        <v>3rd/4thD</v>
      </c>
      <c r="J184" s="145" t="str">
        <f>'14U GIRLS GOLD-14 TEAMS'!J18&amp;""</f>
        <v>14U_GIRLS_GOLD</v>
      </c>
      <c r="K184" s="145" t="str">
        <f t="shared" si="4"/>
        <v>202601311200</v>
      </c>
    </row>
    <row r="185" spans="1:11">
      <c r="A185" s="218">
        <f>'14U GIRLS GOLD-14 TEAMS'!A19</f>
        <v>46053</v>
      </c>
      <c r="B185" s="217">
        <f>'14U GIRLS GOLD-14 TEAMS'!B19</f>
        <v>0.53472222222222199</v>
      </c>
      <c r="C185" s="217" t="str">
        <f>'14U GIRLS GOLD-14 TEAMS'!C19&amp;""</f>
        <v>LAGUNA HILLS HS</v>
      </c>
      <c r="D185" s="145" t="str">
        <f>'14U GIRLS GOLD-14 TEAMS'!D19&amp;""</f>
        <v>14Gau07</v>
      </c>
      <c r="E185" s="145" t="str">
        <f>'14U GIRLS GOLD-14 TEAMS'!E19&amp;""</f>
        <v>W#3-NORTH IRVINE</v>
      </c>
      <c r="F185" s="145" t="str">
        <f>'14U GIRLS GOLD-14 TEAMS'!F19&amp;""</f>
        <v>13</v>
      </c>
      <c r="G185" s="145" t="str">
        <f>'14U GIRLS GOLD-14 TEAMS'!G19&amp;""</f>
        <v>W#4-SD ECA</v>
      </c>
      <c r="H185" s="145" t="str">
        <f>'14U GIRLS GOLD-14 TEAMS'!H19&amp;""</f>
        <v>11</v>
      </c>
      <c r="I185" s="145" t="str">
        <f>'14U GIRLS GOLD-14 TEAMS'!I19&amp;""</f>
        <v>1st/2ndD</v>
      </c>
      <c r="J185" s="145" t="str">
        <f>'14U GIRLS GOLD-14 TEAMS'!J19&amp;""</f>
        <v>14U_GIRLS_GOLD</v>
      </c>
      <c r="K185" s="145" t="str">
        <f t="shared" si="4"/>
        <v>202601311250</v>
      </c>
    </row>
    <row r="186" spans="1:11">
      <c r="A186" s="218">
        <f>'14U GIRLS GOLD-14 TEAMS'!A21</f>
        <v>46053</v>
      </c>
      <c r="B186" s="217">
        <f>'14U GIRLS GOLD-14 TEAMS'!B21</f>
        <v>0.56944444444444497</v>
      </c>
      <c r="C186" s="217" t="str">
        <f>'14U GIRLS GOLD-14 TEAMS'!C21&amp;""</f>
        <v>LAGUNA HILLS HS</v>
      </c>
      <c r="D186" s="145" t="str">
        <f>'14U GIRLS GOLD-14 TEAMS'!D21&amp;""</f>
        <v>14Gau13</v>
      </c>
      <c r="E186" s="145" t="str">
        <f>'14U GIRLS GOLD-14 TEAMS'!E21&amp;""</f>
        <v>B1-HONOLULU</v>
      </c>
      <c r="F186" s="145" t="str">
        <f>'14U GIRLS GOLD-14 TEAMS'!F21&amp;""</f>
        <v>5</v>
      </c>
      <c r="G186" s="145" t="str">
        <f>'14U GIRLS GOLD-14 TEAMS'!G21&amp;""</f>
        <v>B3-BACK BAY</v>
      </c>
      <c r="H186" s="145" t="str">
        <f>'14U GIRLS GOLD-14 TEAMS'!H21&amp;""</f>
        <v>8</v>
      </c>
      <c r="I186" s="145" t="str">
        <f>'14U GIRLS GOLD-14 TEAMS'!I21&amp;""</f>
        <v>B bracket B1,B3</v>
      </c>
      <c r="J186" s="145" t="str">
        <f>'14U GIRLS GOLD-14 TEAMS'!J21&amp;""</f>
        <v>14U_GIRLS_GOLD</v>
      </c>
      <c r="K186" s="145" t="str">
        <f t="shared" si="4"/>
        <v>202601311340</v>
      </c>
    </row>
    <row r="187" spans="1:11">
      <c r="A187" s="218">
        <f>'14U GIRLS GOLD-14 TEAMS'!A20</f>
        <v>46053</v>
      </c>
      <c r="B187" s="217">
        <f>'14U GIRLS GOLD-14 TEAMS'!B20</f>
        <v>0.56944444444444497</v>
      </c>
      <c r="C187" s="217" t="str">
        <f>'14U GIRLS GOLD-14 TEAMS'!C20&amp;""</f>
        <v>SAN CLEMENTE HS</v>
      </c>
      <c r="D187" s="145" t="str">
        <f>'14U GIRLS GOLD-14 TEAMS'!D20&amp;""</f>
        <v>14Gau14</v>
      </c>
      <c r="E187" s="145" t="str">
        <f>'14U GIRLS GOLD-14 TEAMS'!E20&amp;""</f>
        <v>A1-LA JOLLA UNITED</v>
      </c>
      <c r="F187" s="145" t="str">
        <f>'14U GIRLS GOLD-14 TEAMS'!F20&amp;""</f>
        <v>11</v>
      </c>
      <c r="G187" s="145" t="str">
        <f>'14U GIRLS GOLD-14 TEAMS'!G20&amp;""</f>
        <v>A3-PASADENA AC</v>
      </c>
      <c r="H187" s="145" t="str">
        <f>'14U GIRLS GOLD-14 TEAMS'!H20&amp;""</f>
        <v>14</v>
      </c>
      <c r="I187" s="145" t="str">
        <f>'14U GIRLS GOLD-14 TEAMS'!I20&amp;""</f>
        <v>A bracket A1,A3</v>
      </c>
      <c r="J187" s="145" t="str">
        <f>'14U GIRLS GOLD-14 TEAMS'!J20&amp;""</f>
        <v>14U_GIRLS_GOLD</v>
      </c>
      <c r="K187" s="145" t="str">
        <f t="shared" si="4"/>
        <v>202601311340</v>
      </c>
    </row>
    <row r="188" spans="1:11">
      <c r="A188" s="218">
        <f>'14U GIRLS GOLD-14 TEAMS'!A22</f>
        <v>46053</v>
      </c>
      <c r="B188" s="217">
        <f>'14U GIRLS GOLD-14 TEAMS'!B22</f>
        <v>0.60416666666666696</v>
      </c>
      <c r="C188" s="217" t="str">
        <f>'14U GIRLS GOLD-14 TEAMS'!C22&amp;""</f>
        <v>LAGUNA HILLS HS</v>
      </c>
      <c r="D188" s="145" t="str">
        <f>'14U GIRLS GOLD-14 TEAMS'!D22&amp;""</f>
        <v>14Gau05</v>
      </c>
      <c r="E188" s="145" t="str">
        <f>'14U GIRLS GOLD-14 TEAMS'!E22&amp;""</f>
        <v>W#1-GOLD COAST</v>
      </c>
      <c r="F188" s="145" t="str">
        <f>'14U GIRLS GOLD-14 TEAMS'!F22&amp;""</f>
        <v>8</v>
      </c>
      <c r="G188" s="145" t="str">
        <f>'14U GIRLS GOLD-14 TEAMS'!G22&amp;""</f>
        <v>W#2-SHAQ</v>
      </c>
      <c r="H188" s="145" t="str">
        <f>'14U GIRLS GOLD-14 TEAMS'!H22&amp;""</f>
        <v>4</v>
      </c>
      <c r="I188" s="145" t="str">
        <f>'14U GIRLS GOLD-14 TEAMS'!I22&amp;""</f>
        <v>1st/2ndC</v>
      </c>
      <c r="J188" s="145" t="str">
        <f>'14U GIRLS GOLD-14 TEAMS'!J22&amp;""</f>
        <v>14U_GIRLS_GOLD</v>
      </c>
      <c r="K188" s="145" t="str">
        <f t="shared" si="4"/>
        <v>202601311430</v>
      </c>
    </row>
    <row r="189" spans="1:11">
      <c r="A189" s="218">
        <f>'14U GIRLS GOLD-14 TEAMS'!A23</f>
        <v>46053</v>
      </c>
      <c r="B189" s="217">
        <f>'14U GIRLS GOLD-14 TEAMS'!B23</f>
        <v>0.63888888888888895</v>
      </c>
      <c r="C189" s="217" t="str">
        <f>'14U GIRLS GOLD-14 TEAMS'!C23&amp;""</f>
        <v>LAGUNA HILLS HS</v>
      </c>
      <c r="D189" s="145" t="str">
        <f>'14U GIRLS GOLD-14 TEAMS'!D23&amp;""</f>
        <v>14Gau06</v>
      </c>
      <c r="E189" s="145" t="str">
        <f>'14U GIRLS GOLD-14 TEAMS'!E23&amp;""</f>
        <v>L#1-PALOS VERDES</v>
      </c>
      <c r="F189" s="145" t="str">
        <f>'14U GIRLS GOLD-14 TEAMS'!F23&amp;""</f>
        <v>12</v>
      </c>
      <c r="G189" s="145" t="str">
        <f>'14U GIRLS GOLD-14 TEAMS'!G23&amp;""</f>
        <v>L#2-CDM NAVY</v>
      </c>
      <c r="H189" s="145" t="str">
        <f>'14U GIRLS GOLD-14 TEAMS'!H23&amp;""</f>
        <v>2</v>
      </c>
      <c r="I189" s="145" t="str">
        <f>'14U GIRLS GOLD-14 TEAMS'!I23&amp;""</f>
        <v>3rd/4thC</v>
      </c>
      <c r="J189" s="145" t="str">
        <f>'14U GIRLS GOLD-14 TEAMS'!J23&amp;""</f>
        <v>14U_GIRLS_GOLD</v>
      </c>
      <c r="K189" s="145" t="str">
        <f t="shared" si="4"/>
        <v>202601311520</v>
      </c>
    </row>
    <row r="190" spans="1:11">
      <c r="A190" s="218">
        <f>'14U GIRLS GOLD-14 TEAMS'!A28</f>
        <v>46054</v>
      </c>
      <c r="B190" s="217">
        <f>'14U GIRLS GOLD-14 TEAMS'!B28</f>
        <v>0.29166666666666669</v>
      </c>
      <c r="C190" s="217" t="str">
        <f>'14U GIRLS GOLD-14 TEAMS'!C28&amp;""</f>
        <v>ESPERANZA HS</v>
      </c>
      <c r="D190" s="145" t="str">
        <f>'14U GIRLS GOLD-14 TEAMS'!D28&amp;""</f>
        <v>14Gau18</v>
      </c>
      <c r="E190" s="145" t="str">
        <f>'14U GIRLS GOLD-14 TEAMS'!E28&amp;""</f>
        <v>3rdB-HONOLULU</v>
      </c>
      <c r="F190" s="145" t="str">
        <f>'14U GIRLS GOLD-14 TEAMS'!F28&amp;""</f>
        <v>8</v>
      </c>
      <c r="G190" s="145" t="str">
        <f>'14U GIRLS GOLD-14 TEAMS'!G28&amp;""</f>
        <v>4thD-LAMORINDA C</v>
      </c>
      <c r="H190" s="145" t="str">
        <f>'14U GIRLS GOLD-14 TEAMS'!H28&amp;""</f>
        <v>5</v>
      </c>
      <c r="I190" s="145" t="str">
        <f>'14U GIRLS GOLD-14 TEAMS'!I28&amp;""</f>
        <v>9th-14th 3B,4D</v>
      </c>
      <c r="J190" s="145" t="str">
        <f>'14U GIRLS GOLD-14 TEAMS'!J28&amp;""</f>
        <v>14U_GIRLS_GOLD</v>
      </c>
      <c r="K190" s="145" t="str">
        <f t="shared" si="4"/>
        <v>202602010700</v>
      </c>
    </row>
    <row r="191" spans="1:11">
      <c r="A191" s="218">
        <f>'14U GIRLS GOLD-14 TEAMS'!A27</f>
        <v>46054</v>
      </c>
      <c r="B191" s="217">
        <f>'14U GIRLS GOLD-14 TEAMS'!B27</f>
        <v>0.29166666666666669</v>
      </c>
      <c r="C191" s="217" t="str">
        <f>'14U GIRLS GOLD-14 TEAMS'!C27&amp;""</f>
        <v>SAN CLEMENTE HS</v>
      </c>
      <c r="D191" s="145" t="str">
        <f>'14U GIRLS GOLD-14 TEAMS'!D27&amp;""</f>
        <v>14Gau24</v>
      </c>
      <c r="E191" s="145" t="str">
        <f>'14U GIRLS GOLD-14 TEAMS'!E27&amp;""</f>
        <v>2ndB-BACK BAY</v>
      </c>
      <c r="F191" s="145" t="str">
        <f>'14U GIRLS GOLD-14 TEAMS'!F27&amp;""</f>
        <v>3</v>
      </c>
      <c r="G191" s="145" t="str">
        <f>'14U GIRLS GOLD-14 TEAMS'!G27&amp;""</f>
        <v>2ndC-SHAQ</v>
      </c>
      <c r="H191" s="145" t="str">
        <f>'14U GIRLS GOLD-14 TEAMS'!H27&amp;""</f>
        <v>11</v>
      </c>
      <c r="I191" s="145" t="str">
        <f>'14U GIRLS GOLD-14 TEAMS'!I27&amp;""</f>
        <v>5-8 semi</v>
      </c>
      <c r="J191" s="145" t="str">
        <f>'14U GIRLS GOLD-14 TEAMS'!J27&amp;""</f>
        <v>14U_GIRLS_GOLD</v>
      </c>
      <c r="K191" s="145" t="str">
        <f t="shared" si="4"/>
        <v>202602010700</v>
      </c>
    </row>
    <row r="192" spans="1:11">
      <c r="A192" s="218">
        <f>'14U GIRLS GOLD-14 TEAMS'!A30</f>
        <v>46054</v>
      </c>
      <c r="B192" s="217">
        <f>'14U GIRLS GOLD-14 TEAMS'!B30</f>
        <v>0.3263888888888889</v>
      </c>
      <c r="C192" s="217" t="str">
        <f>'14U GIRLS GOLD-14 TEAMS'!C30&amp;""</f>
        <v>ESPERANZA HS</v>
      </c>
      <c r="D192" s="145" t="str">
        <f>'14U GIRLS GOLD-14 TEAMS'!D30&amp;""</f>
        <v>14Gau16</v>
      </c>
      <c r="E192" s="145" t="str">
        <f>'14U GIRLS GOLD-14 TEAMS'!E30&amp;""</f>
        <v>3rdA-SANTA CRUZ BLUE</v>
      </c>
      <c r="F192" s="145" t="str">
        <f>'14U GIRLS GOLD-14 TEAMS'!F30&amp;""</f>
        <v>7</v>
      </c>
      <c r="G192" s="145" t="str">
        <f>'14U GIRLS GOLD-14 TEAMS'!G30&amp;""</f>
        <v>3rdD-NORTHWEST</v>
      </c>
      <c r="H192" s="145" t="str">
        <f>'14U GIRLS GOLD-14 TEAMS'!H30&amp;""</f>
        <v>14</v>
      </c>
      <c r="I192" s="145" t="str">
        <f>'14U GIRLS GOLD-14 TEAMS'!I30&amp;""</f>
        <v>9th-14th 3A,3D</v>
      </c>
      <c r="J192" s="145" t="str">
        <f>'14U GIRLS GOLD-14 TEAMS'!J30&amp;""</f>
        <v>14U_GIRLS_GOLD</v>
      </c>
      <c r="K192" s="145" t="str">
        <f t="shared" si="4"/>
        <v>202602010750</v>
      </c>
    </row>
    <row r="193" spans="1:11">
      <c r="A193" s="218">
        <f>'14U GIRLS GOLD-14 TEAMS'!A29</f>
        <v>46054</v>
      </c>
      <c r="B193" s="217">
        <f>'14U GIRLS GOLD-14 TEAMS'!B29</f>
        <v>0.3263888888888889</v>
      </c>
      <c r="C193" s="217" t="str">
        <f>'14U GIRLS GOLD-14 TEAMS'!C29&amp;""</f>
        <v>SAN CLEMENTE HS</v>
      </c>
      <c r="D193" s="145" t="str">
        <f>'14U GIRLS GOLD-14 TEAMS'!D29&amp;""</f>
        <v>14Gau23</v>
      </c>
      <c r="E193" s="145" t="str">
        <f>'14U GIRLS GOLD-14 TEAMS'!E29&amp;""</f>
        <v>2ndA-LA JOLLA UNITED</v>
      </c>
      <c r="F193" s="145" t="str">
        <f>'14U GIRLS GOLD-14 TEAMS'!F29&amp;""</f>
        <v>13</v>
      </c>
      <c r="G193" s="145" t="str">
        <f>'14U GIRLS GOLD-14 TEAMS'!G29&amp;""</f>
        <v>2ndD-SD ECA</v>
      </c>
      <c r="H193" s="145" t="str">
        <f>'14U GIRLS GOLD-14 TEAMS'!H29&amp;""</f>
        <v>6</v>
      </c>
      <c r="I193" s="145" t="str">
        <f>'14U GIRLS GOLD-14 TEAMS'!I29&amp;""</f>
        <v>5-8 semi</v>
      </c>
      <c r="J193" s="145" t="str">
        <f>'14U GIRLS GOLD-14 TEAMS'!J29&amp;""</f>
        <v>14U_GIRLS_GOLD</v>
      </c>
      <c r="K193" s="145" t="str">
        <f t="shared" si="4"/>
        <v>202602010750</v>
      </c>
    </row>
    <row r="194" spans="1:11">
      <c r="A194" s="218">
        <f>'14U GIRLS GOLD-14 TEAMS'!A31</f>
        <v>46054</v>
      </c>
      <c r="B194" s="217">
        <f>'14U GIRLS GOLD-14 TEAMS'!B31</f>
        <v>0.36111111111111099</v>
      </c>
      <c r="C194" s="217" t="str">
        <f>'14U GIRLS GOLD-14 TEAMS'!C31&amp;""</f>
        <v>SAN CLEMENTE HS</v>
      </c>
      <c r="D194" s="145" t="str">
        <f>'14U GIRLS GOLD-14 TEAMS'!D31&amp;""</f>
        <v>14Gau15</v>
      </c>
      <c r="E194" s="145" t="str">
        <f>'14U GIRLS GOLD-14 TEAMS'!E31&amp;""</f>
        <v>1stA-PASADENA AC</v>
      </c>
      <c r="F194" s="145" t="str">
        <f>'14U GIRLS GOLD-14 TEAMS'!F31&amp;""</f>
        <v>12</v>
      </c>
      <c r="G194" s="282" t="str">
        <f>'14U GIRLS GOLD-14 TEAMS'!G31&amp;""</f>
        <v>1stD-NORTH IRVINE</v>
      </c>
      <c r="H194" s="145" t="str">
        <f>'14U GIRLS GOLD-14 TEAMS'!H31&amp;""</f>
        <v>6</v>
      </c>
      <c r="I194" s="145" t="str">
        <f>'14U GIRLS GOLD-14 TEAMS'!I31&amp;""</f>
        <v>1-4 semi</v>
      </c>
      <c r="J194" s="145" t="str">
        <f>'14U GIRLS GOLD-14 TEAMS'!J31&amp;""</f>
        <v>14U_GIRLS_GOLD</v>
      </c>
      <c r="K194" s="145" t="str">
        <f t="shared" si="4"/>
        <v>202602010840</v>
      </c>
    </row>
    <row r="195" spans="1:11">
      <c r="A195" s="218">
        <f>'14U GIRLS GOLD-14 TEAMS'!A32</f>
        <v>46054</v>
      </c>
      <c r="B195" s="217">
        <f>'14U GIRLS GOLD-14 TEAMS'!B32</f>
        <v>0.39583333333333398</v>
      </c>
      <c r="C195" s="217" t="str">
        <f>'14U GIRLS GOLD-14 TEAMS'!C32&amp;""</f>
        <v>SAN CLEMENTE HS</v>
      </c>
      <c r="D195" s="145" t="str">
        <f>'14U GIRLS GOLD-14 TEAMS'!D32&amp;""</f>
        <v>14Gau17</v>
      </c>
      <c r="E195" s="145" t="str">
        <f>'14U GIRLS GOLD-14 TEAMS'!E32&amp;""</f>
        <v>1stB-ROGUE 619</v>
      </c>
      <c r="F195" s="145" t="str">
        <f>'14U GIRLS GOLD-14 TEAMS'!F32&amp;""</f>
        <v>8</v>
      </c>
      <c r="G195" s="145" t="str">
        <f>'14U GIRLS GOLD-14 TEAMS'!G32&amp;""</f>
        <v>1stC-GOLD COAST</v>
      </c>
      <c r="H195" s="145" t="str">
        <f>'14U GIRLS GOLD-14 TEAMS'!H32&amp;""</f>
        <v>9</v>
      </c>
      <c r="I195" s="145" t="str">
        <f>'14U GIRLS GOLD-14 TEAMS'!I32&amp;""</f>
        <v>1-4 semi</v>
      </c>
      <c r="J195" s="145" t="str">
        <f>'14U GIRLS GOLD-14 TEAMS'!J32&amp;""</f>
        <v>14U_GIRLS_GOLD</v>
      </c>
      <c r="K195" s="145" t="str">
        <f t="shared" si="4"/>
        <v>202602010930</v>
      </c>
    </row>
    <row r="196" spans="1:11">
      <c r="A196" s="218">
        <f>'14U GIRLS GOLD-14 TEAMS'!A33</f>
        <v>46054</v>
      </c>
      <c r="B196" s="217">
        <f>'14U GIRLS GOLD-14 TEAMS'!B33</f>
        <v>0.43055555555555602</v>
      </c>
      <c r="C196" s="217" t="str">
        <f>'14U GIRLS GOLD-14 TEAMS'!C33&amp;""</f>
        <v>SAN CLEMENTE HS</v>
      </c>
      <c r="D196" s="145" t="str">
        <f>'14U GIRLS GOLD-14 TEAMS'!D33&amp;""</f>
        <v>14Gau26</v>
      </c>
      <c r="E196" s="145" t="str">
        <f>'14U GIRLS GOLD-14 TEAMS'!E33&amp;""</f>
        <v>4thC-CDM NAVY</v>
      </c>
      <c r="F196" s="145" t="str">
        <f>'14U GIRLS GOLD-14 TEAMS'!F33&amp;""</f>
        <v>9</v>
      </c>
      <c r="G196" s="145" t="str">
        <f>'14U GIRLS GOLD-14 TEAMS'!G33&amp;""</f>
        <v>4thD-LAMORINDA C</v>
      </c>
      <c r="H196" s="145" t="str">
        <f>'14U GIRLS GOLD-14 TEAMS'!H33&amp;""</f>
        <v>8</v>
      </c>
      <c r="I196" s="145" t="str">
        <f>'14U GIRLS GOLD-14 TEAMS'!I33&amp;""</f>
        <v>9th-14th 4C,4D</v>
      </c>
      <c r="J196" s="145" t="str">
        <f>'14U GIRLS GOLD-14 TEAMS'!J33&amp;""</f>
        <v>14U_GIRLS_GOLD</v>
      </c>
      <c r="K196" s="145" t="str">
        <f t="shared" si="4"/>
        <v>202602011020</v>
      </c>
    </row>
    <row r="197" spans="1:11">
      <c r="A197" s="218">
        <f>'14U GIRLS GOLD-14 TEAMS'!A34</f>
        <v>46054</v>
      </c>
      <c r="B197" s="217">
        <f>'14U GIRLS GOLD-14 TEAMS'!B34</f>
        <v>0.46527777777777801</v>
      </c>
      <c r="C197" s="217" t="str">
        <f>'14U GIRLS GOLD-14 TEAMS'!C34&amp;""</f>
        <v>SAN CLEMENTE HS</v>
      </c>
      <c r="D197" s="145" t="str">
        <f>'14U GIRLS GOLD-14 TEAMS'!D34&amp;""</f>
        <v>14Gau20</v>
      </c>
      <c r="E197" s="145" t="str">
        <f>'14U GIRLS GOLD-14 TEAMS'!E34&amp;""</f>
        <v>3rdC-PALOS VERDES</v>
      </c>
      <c r="F197" s="145" t="str">
        <f>'14U GIRLS GOLD-14 TEAMS'!F34&amp;""</f>
        <v>10</v>
      </c>
      <c r="G197" s="145" t="str">
        <f>'14U GIRLS GOLD-14 TEAMS'!G34&amp;""</f>
        <v>3rdD-NORTHWEST</v>
      </c>
      <c r="H197" s="145" t="str">
        <f>'14U GIRLS GOLD-14 TEAMS'!H34&amp;""</f>
        <v>3</v>
      </c>
      <c r="I197" s="145" t="str">
        <f>'14U GIRLS GOLD-14 TEAMS'!I34&amp;""</f>
        <v>9th-14th 3C,3D</v>
      </c>
      <c r="J197" s="145" t="str">
        <f>'14U GIRLS GOLD-14 TEAMS'!J34&amp;""</f>
        <v>14U_GIRLS_GOLD</v>
      </c>
      <c r="K197" s="145" t="str">
        <f t="shared" si="4"/>
        <v>202602011110</v>
      </c>
    </row>
    <row r="198" spans="1:11">
      <c r="A198" s="218">
        <f>'14U GIRLS GOLD-14 TEAMS'!A35</f>
        <v>46054</v>
      </c>
      <c r="B198" s="217">
        <f>'14U GIRLS GOLD-14 TEAMS'!B35</f>
        <v>0.5</v>
      </c>
      <c r="C198" s="217" t="str">
        <f>'14U GIRLS GOLD-14 TEAMS'!C35&amp;""</f>
        <v>SAN CLEMENTE HS</v>
      </c>
      <c r="D198" s="145" t="str">
        <f>'14U GIRLS GOLD-14 TEAMS'!D35&amp;""</f>
        <v>14Gau19</v>
      </c>
      <c r="E198" s="145" t="str">
        <f>'14U GIRLS GOLD-14 TEAMS'!E35&amp;""</f>
        <v>4thC-CDM NAVY</v>
      </c>
      <c r="F198" s="145" t="str">
        <f>'14U GIRLS GOLD-14 TEAMS'!F35&amp;""</f>
        <v>6</v>
      </c>
      <c r="G198" s="145" t="str">
        <f>'14U GIRLS GOLD-14 TEAMS'!G35&amp;""</f>
        <v>3rdB-HONOLULU</v>
      </c>
      <c r="H198" s="145" t="str">
        <f>'14U GIRLS GOLD-14 TEAMS'!H35&amp;""</f>
        <v>13</v>
      </c>
      <c r="I198" s="145" t="str">
        <f>'14U GIRLS GOLD-14 TEAMS'!I35&amp;""</f>
        <v>9th-14th 4C,3B</v>
      </c>
      <c r="J198" s="145" t="str">
        <f>'14U GIRLS GOLD-14 TEAMS'!J35&amp;""</f>
        <v>14U_GIRLS_GOLD</v>
      </c>
      <c r="K198" s="145" t="str">
        <f t="shared" si="4"/>
        <v>202602011200</v>
      </c>
    </row>
    <row r="199" spans="1:11">
      <c r="A199" s="218">
        <f>'14U GIRLS GOLD-14 TEAMS'!A36</f>
        <v>46054</v>
      </c>
      <c r="B199" s="217">
        <f>'14U GIRLS GOLD-14 TEAMS'!B36</f>
        <v>0.53472222222222199</v>
      </c>
      <c r="C199" s="217" t="str">
        <f>'14U GIRLS GOLD-14 TEAMS'!C36&amp;""</f>
        <v>SAN CLEMENTE HS</v>
      </c>
      <c r="D199" s="145" t="str">
        <f>'14U GIRLS GOLD-14 TEAMS'!D36&amp;""</f>
        <v>14Gau27</v>
      </c>
      <c r="E199" s="145" t="str">
        <f>'14U GIRLS GOLD-14 TEAMS'!E36&amp;""</f>
        <v>W#23-LA JOLLA UNITED</v>
      </c>
      <c r="F199" s="145" t="str">
        <f>'14U GIRLS GOLD-14 TEAMS'!F36&amp;""</f>
        <v>10.3</v>
      </c>
      <c r="G199" s="145" t="str">
        <f>'14U GIRLS GOLD-14 TEAMS'!G36&amp;""</f>
        <v>W#24-SHAQ</v>
      </c>
      <c r="H199" s="145" t="str">
        <f>'14U GIRLS GOLD-14 TEAMS'!H36&amp;""</f>
        <v>10.2</v>
      </c>
      <c r="I199" s="145" t="str">
        <f>'14U GIRLS GOLD-14 TEAMS'!I36&amp;""</f>
        <v>5th</v>
      </c>
      <c r="J199" s="145" t="str">
        <f>'14U GIRLS GOLD-14 TEAMS'!J36&amp;""</f>
        <v>14U_GIRLS_GOLD</v>
      </c>
      <c r="K199" s="145" t="str">
        <f t="shared" si="4"/>
        <v>202602011250</v>
      </c>
    </row>
    <row r="200" spans="1:11">
      <c r="A200" s="218">
        <f>'14U GIRLS GOLD-14 TEAMS'!A37</f>
        <v>46054</v>
      </c>
      <c r="B200" s="217">
        <f>'14U GIRLS GOLD-14 TEAMS'!B37</f>
        <v>0.56944444444444497</v>
      </c>
      <c r="C200" s="217" t="str">
        <f>'14U GIRLS GOLD-14 TEAMS'!C37&amp;""</f>
        <v>SAN CLEMENTE HS</v>
      </c>
      <c r="D200" s="145" t="str">
        <f>'14U GIRLS GOLD-14 TEAMS'!D37&amp;""</f>
        <v>14Gau28</v>
      </c>
      <c r="E200" s="145" t="str">
        <f>'14U GIRLS GOLD-14 TEAMS'!E37&amp;""</f>
        <v>L#23-SD ECA</v>
      </c>
      <c r="F200" s="145" t="str">
        <f>'14U GIRLS GOLD-14 TEAMS'!F37&amp;""</f>
        <v>8</v>
      </c>
      <c r="G200" s="145" t="str">
        <f>'14U GIRLS GOLD-14 TEAMS'!G37&amp;""</f>
        <v>L#24-BACK BAY</v>
      </c>
      <c r="H200" s="145" t="str">
        <f>'14U GIRLS GOLD-14 TEAMS'!H37&amp;""</f>
        <v>10</v>
      </c>
      <c r="I200" s="145" t="str">
        <f>'14U GIRLS GOLD-14 TEAMS'!I37&amp;""</f>
        <v>7th</v>
      </c>
      <c r="J200" s="145" t="str">
        <f>'14U GIRLS GOLD-14 TEAMS'!J37&amp;""</f>
        <v>14U_GIRLS_GOLD</v>
      </c>
      <c r="K200" s="145" t="str">
        <f t="shared" si="4"/>
        <v>202602011340</v>
      </c>
    </row>
    <row r="201" spans="1:11">
      <c r="A201" s="218">
        <f>'14U GIRLS GOLD-14 TEAMS'!A38</f>
        <v>46054</v>
      </c>
      <c r="B201" s="217">
        <f>'14U GIRLS GOLD-14 TEAMS'!B38</f>
        <v>0.60416666666666696</v>
      </c>
      <c r="C201" s="217" t="str">
        <f>'14U GIRLS GOLD-14 TEAMS'!C38&amp;""</f>
        <v>SAN CLEMENTE HS</v>
      </c>
      <c r="D201" s="145" t="str">
        <f>'14U GIRLS GOLD-14 TEAMS'!D38&amp;""</f>
        <v>14Gau25</v>
      </c>
      <c r="E201" s="145" t="str">
        <f>'14U GIRLS GOLD-14 TEAMS'!E38&amp;""</f>
        <v>3rdA-SANTA CRUZ BLUE</v>
      </c>
      <c r="F201" s="145" t="str">
        <f>'14U GIRLS GOLD-14 TEAMS'!F38&amp;""</f>
        <v>3</v>
      </c>
      <c r="G201" s="145" t="str">
        <f>'14U GIRLS GOLD-14 TEAMS'!G38&amp;""</f>
        <v>3rdC-PALOS VERDES</v>
      </c>
      <c r="H201" s="145" t="str">
        <f>'14U GIRLS GOLD-14 TEAMS'!H38&amp;""</f>
        <v>13</v>
      </c>
      <c r="I201" s="145" t="str">
        <f>'14U GIRLS GOLD-14 TEAMS'!I38&amp;""</f>
        <v>9th-14th 3A,3C</v>
      </c>
      <c r="J201" s="145" t="str">
        <f>'14U GIRLS GOLD-14 TEAMS'!J38&amp;""</f>
        <v>14U_GIRLS_GOLD</v>
      </c>
      <c r="K201" s="145" t="str">
        <f t="shared" si="4"/>
        <v>202602011430</v>
      </c>
    </row>
    <row r="202" spans="1:11">
      <c r="A202" s="218">
        <f>'14U GIRLS GOLD-14 TEAMS'!A39</f>
        <v>46054</v>
      </c>
      <c r="B202" s="217">
        <f>'14U GIRLS GOLD-14 TEAMS'!B39</f>
        <v>0.63888888888888895</v>
      </c>
      <c r="C202" s="217" t="str">
        <f>'14U GIRLS GOLD-14 TEAMS'!C39&amp;""</f>
        <v>SAN CLEMENTE HS</v>
      </c>
      <c r="D202" s="145" t="str">
        <f>'14U GIRLS GOLD-14 TEAMS'!D39&amp;""</f>
        <v>14Gau21</v>
      </c>
      <c r="E202" s="145" t="str">
        <f>'14U GIRLS GOLD-14 TEAMS'!E39&amp;""</f>
        <v>L#15-NORTH IRVINE</v>
      </c>
      <c r="F202" s="145" t="str">
        <f>'14U GIRLS GOLD-14 TEAMS'!F39&amp;""</f>
        <v>9</v>
      </c>
      <c r="G202" s="145" t="str">
        <f>'14U GIRLS GOLD-14 TEAMS'!G39&amp;""</f>
        <v>L#17-ROGUE 619</v>
      </c>
      <c r="H202" s="145" t="str">
        <f>'14U GIRLS GOLD-14 TEAMS'!H39&amp;""</f>
        <v>18</v>
      </c>
      <c r="I202" s="145" t="str">
        <f>'14U GIRLS GOLD-14 TEAMS'!I39&amp;""</f>
        <v>3rd</v>
      </c>
      <c r="J202" s="145" t="str">
        <f>'14U GIRLS GOLD-14 TEAMS'!J39&amp;""</f>
        <v>14U_GIRLS_GOLD</v>
      </c>
      <c r="K202" s="145" t="str">
        <f t="shared" si="4"/>
        <v>202602011520</v>
      </c>
    </row>
    <row r="203" spans="1:11">
      <c r="A203" s="218">
        <f>'14U GIRLS GOLD-14 TEAMS'!A40</f>
        <v>46054</v>
      </c>
      <c r="B203" s="217">
        <f>'14U GIRLS GOLD-14 TEAMS'!B40</f>
        <v>0.67361111111111105</v>
      </c>
      <c r="C203" s="217" t="str">
        <f>'14U GIRLS GOLD-14 TEAMS'!C40&amp;""</f>
        <v>SAN CLEMENTE HS</v>
      </c>
      <c r="D203" s="145" t="str">
        <f>'14U GIRLS GOLD-14 TEAMS'!D40&amp;""</f>
        <v>14Gau22</v>
      </c>
      <c r="E203" s="145" t="str">
        <f>'14U GIRLS GOLD-14 TEAMS'!E40&amp;""</f>
        <v>W#15-PASADENA AC</v>
      </c>
      <c r="F203" s="145" t="str">
        <f>'14U GIRLS GOLD-14 TEAMS'!F40&amp;""</f>
        <v>9</v>
      </c>
      <c r="G203" s="145" t="str">
        <f>'14U GIRLS GOLD-14 TEAMS'!G40&amp;""</f>
        <v>W#17-GOLD COAST</v>
      </c>
      <c r="H203" s="145" t="str">
        <f>'14U GIRLS GOLD-14 TEAMS'!H40&amp;""</f>
        <v>16</v>
      </c>
      <c r="I203" s="145" t="str">
        <f>'14U GIRLS GOLD-14 TEAMS'!I40&amp;""</f>
        <v>1st</v>
      </c>
      <c r="J203" s="145" t="str">
        <f>'14U GIRLS GOLD-14 TEAMS'!J40&amp;""</f>
        <v>14U_GIRLS_GOLD</v>
      </c>
      <c r="K203" s="145" t="str">
        <f t="shared" si="4"/>
        <v>202602011610</v>
      </c>
    </row>
    <row r="204" spans="1:11">
      <c r="A204" s="220">
        <f>'14U GIRLS PLATINUM-10 TEAMS'!A10</f>
        <v>46053</v>
      </c>
      <c r="B204" s="219">
        <f>'14U GIRLS PLATINUM-10 TEAMS'!B10</f>
        <v>0.29166666666666669</v>
      </c>
      <c r="C204" s="219" t="str">
        <f>'14U GIRLS PLATINUM-10 TEAMS'!C10&amp;""</f>
        <v>ALISO NIGUEL HS</v>
      </c>
      <c r="D204" s="97" t="str">
        <f>'14U GIRLS PLATINUM-10 TEAMS'!D10&amp;""</f>
        <v>14Gpt01</v>
      </c>
      <c r="E204" s="97" t="str">
        <f>'14U GIRLS PLATINUM-10 TEAMS'!E10&amp;""</f>
        <v>A1-CDM PINK</v>
      </c>
      <c r="F204" s="97" t="str">
        <f>'14U GIRLS PLATINUM-10 TEAMS'!F10&amp;""</f>
        <v>10</v>
      </c>
      <c r="G204" s="97" t="str">
        <f>'14U GIRLS PLATINUM-10 TEAMS'!G10&amp;""</f>
        <v>A3-STANFORD</v>
      </c>
      <c r="H204" s="97" t="str">
        <f>'14U GIRLS PLATINUM-10 TEAMS'!H10&amp;""</f>
        <v>1</v>
      </c>
      <c r="I204" s="97" t="str">
        <f>'14U GIRLS PLATINUM-10 TEAMS'!I10&amp;""</f>
        <v>A bracket A1,A3</v>
      </c>
      <c r="J204" s="97" t="str">
        <f>'14U GIRLS PLATINUM-10 TEAMS'!J10&amp;""</f>
        <v>14U_GIRLS_PLATINUM</v>
      </c>
      <c r="K204" s="97" t="str">
        <f t="shared" ref="K204:K224" si="5">TEXT(DATE(2026, MONTH(A204), DAY(A204)) + TIME(HOUR(B204), MINUTE(B204), 0), "yyyymmddhhmm")</f>
        <v>202601310700</v>
      </c>
    </row>
    <row r="205" spans="1:11">
      <c r="A205" s="220">
        <f>'14U GIRLS PLATINUM-10 TEAMS'!A11</f>
        <v>46053</v>
      </c>
      <c r="B205" s="219">
        <f>'14U GIRLS PLATINUM-10 TEAMS'!B11</f>
        <v>0.3263888888888889</v>
      </c>
      <c r="C205" s="219" t="str">
        <f>'14U GIRLS PLATINUM-10 TEAMS'!C11&amp;""</f>
        <v>ALISO NIGUEL HS</v>
      </c>
      <c r="D205" s="97" t="str">
        <f>'14U GIRLS PLATINUM-10 TEAMS'!D11&amp;""</f>
        <v>14Gpt02</v>
      </c>
      <c r="E205" s="97" t="str">
        <f>'14U GIRLS PLATINUM-10 TEAMS'!E11&amp;""</f>
        <v>B1-CC UNITED BLACK</v>
      </c>
      <c r="F205" s="97" t="str">
        <f>'14U GIRLS PLATINUM-10 TEAMS'!F11&amp;""</f>
        <v>7</v>
      </c>
      <c r="G205" s="97" t="str">
        <f>'14U GIRLS PLATINUM-10 TEAMS'!G11&amp;""</f>
        <v>B3-PATRIOT RED</v>
      </c>
      <c r="H205" s="97" t="str">
        <f>'14U GIRLS PLATINUM-10 TEAMS'!H11&amp;""</f>
        <v>10</v>
      </c>
      <c r="I205" s="97" t="str">
        <f>'14U GIRLS PLATINUM-10 TEAMS'!I11&amp;""</f>
        <v>B bracket B1,B3</v>
      </c>
      <c r="J205" s="97" t="str">
        <f>'14U GIRLS PLATINUM-10 TEAMS'!J11&amp;""</f>
        <v>14U_GIRLS_PLATINUM</v>
      </c>
      <c r="K205" s="97" t="str">
        <f t="shared" si="5"/>
        <v>202601310750</v>
      </c>
    </row>
    <row r="206" spans="1:11">
      <c r="A206" s="220">
        <f>'14U GIRLS PLATINUM-10 TEAMS'!A12</f>
        <v>46053</v>
      </c>
      <c r="B206" s="219">
        <f>'14U GIRLS PLATINUM-10 TEAMS'!B12</f>
        <v>0.36111111111111099</v>
      </c>
      <c r="C206" s="219" t="str">
        <f>'14U GIRLS PLATINUM-10 TEAMS'!C12&amp;""</f>
        <v>ALISO NIGUEL HS</v>
      </c>
      <c r="D206" s="97" t="str">
        <f>'14U GIRLS PLATINUM-10 TEAMS'!D12&amp;""</f>
        <v>14Gpt03</v>
      </c>
      <c r="E206" s="97" t="str">
        <f>'14U GIRLS PLATINUM-10 TEAMS'!E12&amp;""</f>
        <v>C1-SANTA CRUZ BLACK</v>
      </c>
      <c r="F206" s="97" t="str">
        <f>'14U GIRLS PLATINUM-10 TEAMS'!F12&amp;""</f>
        <v>11</v>
      </c>
      <c r="G206" s="97" t="str">
        <f>'14U GIRLS PLATINUM-10 TEAMS'!G12&amp;""</f>
        <v>C4-LAMORINDA B</v>
      </c>
      <c r="H206" s="97" t="str">
        <f>'14U GIRLS PLATINUM-10 TEAMS'!H12&amp;""</f>
        <v>3</v>
      </c>
      <c r="I206" s="97" t="str">
        <f>'14U GIRLS PLATINUM-10 TEAMS'!I12&amp;""</f>
        <v>C bracket C1,C4</v>
      </c>
      <c r="J206" s="97" t="str">
        <f>'14U GIRLS PLATINUM-10 TEAMS'!J12&amp;""</f>
        <v>14U_GIRLS_PLATINUM</v>
      </c>
      <c r="K206" s="97" t="str">
        <f t="shared" si="5"/>
        <v>202601310840</v>
      </c>
    </row>
    <row r="207" spans="1:11">
      <c r="A207" s="220">
        <f>'14U GIRLS PLATINUM-10 TEAMS'!A13</f>
        <v>46053</v>
      </c>
      <c r="B207" s="219">
        <f>'14U GIRLS PLATINUM-10 TEAMS'!B13</f>
        <v>0.39583333333333398</v>
      </c>
      <c r="C207" s="219" t="str">
        <f>'14U GIRLS PLATINUM-10 TEAMS'!C13&amp;""</f>
        <v>ALISO NIGUEL HS</v>
      </c>
      <c r="D207" s="97" t="str">
        <f>'14U GIRLS PLATINUM-10 TEAMS'!D13&amp;""</f>
        <v>14Gpt04</v>
      </c>
      <c r="E207" s="97" t="str">
        <f>'14U GIRLS PLATINUM-10 TEAMS'!E13&amp;""</f>
        <v>A2-DAVIS</v>
      </c>
      <c r="F207" s="97" t="str">
        <f>'14U GIRLS PLATINUM-10 TEAMS'!F13&amp;""</f>
        <v>5.2</v>
      </c>
      <c r="G207" s="97" t="str">
        <f>'14U GIRLS PLATINUM-10 TEAMS'!G13&amp;""</f>
        <v>A3-STANFORD</v>
      </c>
      <c r="H207" s="97" t="str">
        <f>'14U GIRLS PLATINUM-10 TEAMS'!H13&amp;""</f>
        <v>5.4</v>
      </c>
      <c r="I207" s="97" t="str">
        <f>'14U GIRLS PLATINUM-10 TEAMS'!I13&amp;""</f>
        <v>A bracket A2,A3</v>
      </c>
      <c r="J207" s="97" t="str">
        <f>'14U GIRLS PLATINUM-10 TEAMS'!J13&amp;""</f>
        <v>14U_GIRLS_PLATINUM</v>
      </c>
      <c r="K207" s="97" t="str">
        <f t="shared" si="5"/>
        <v>202601310930</v>
      </c>
    </row>
    <row r="208" spans="1:11">
      <c r="A208" s="220">
        <f>'14U GIRLS PLATINUM-10 TEAMS'!A14</f>
        <v>46053</v>
      </c>
      <c r="B208" s="219">
        <f>'14U GIRLS PLATINUM-10 TEAMS'!B14</f>
        <v>0.43055555555555602</v>
      </c>
      <c r="C208" s="219" t="str">
        <f>'14U GIRLS PLATINUM-10 TEAMS'!C14&amp;""</f>
        <v>ALISO NIGUEL HS</v>
      </c>
      <c r="D208" s="97" t="str">
        <f>'14U GIRLS PLATINUM-10 TEAMS'!D14&amp;""</f>
        <v>14Gpt05</v>
      </c>
      <c r="E208" s="97" t="str">
        <f>'14U GIRLS PLATINUM-10 TEAMS'!E14&amp;""</f>
        <v>B2-NEWPORT BEACH</v>
      </c>
      <c r="F208" s="97" t="str">
        <f>'14U GIRLS PLATINUM-10 TEAMS'!F14&amp;""</f>
        <v>3</v>
      </c>
      <c r="G208" s="97" t="str">
        <f>'14U GIRLS PLATINUM-10 TEAMS'!G14&amp;""</f>
        <v>B3-PATRIOT RED</v>
      </c>
      <c r="H208" s="97" t="str">
        <f>'14U GIRLS PLATINUM-10 TEAMS'!H14&amp;""</f>
        <v>9</v>
      </c>
      <c r="I208" s="97" t="str">
        <f>'14U GIRLS PLATINUM-10 TEAMS'!I14&amp;""</f>
        <v>B bracket B2,B3</v>
      </c>
      <c r="J208" s="97" t="str">
        <f>'14U GIRLS PLATINUM-10 TEAMS'!J14&amp;""</f>
        <v>14U_GIRLS_PLATINUM</v>
      </c>
      <c r="K208" s="97" t="str">
        <f t="shared" si="5"/>
        <v>202601311020</v>
      </c>
    </row>
    <row r="209" spans="1:11">
      <c r="A209" s="220">
        <f>'14U GIRLS PLATINUM-10 TEAMS'!A15</f>
        <v>46053</v>
      </c>
      <c r="B209" s="219">
        <f>'14U GIRLS PLATINUM-10 TEAMS'!B15</f>
        <v>0.46527777777777801</v>
      </c>
      <c r="C209" s="219" t="str">
        <f>'14U GIRLS PLATINUM-10 TEAMS'!C15&amp;""</f>
        <v>ALISO NIGUEL HS</v>
      </c>
      <c r="D209" s="97" t="str">
        <f>'14U GIRLS PLATINUM-10 TEAMS'!D15&amp;""</f>
        <v>14Gpt06</v>
      </c>
      <c r="E209" s="97" t="str">
        <f>'14U GIRLS PLATINUM-10 TEAMS'!E15&amp;""</f>
        <v>C3-FOOTHILL RED</v>
      </c>
      <c r="F209" s="97" t="str">
        <f>'14U GIRLS PLATINUM-10 TEAMS'!F15&amp;""</f>
        <v>5.2</v>
      </c>
      <c r="G209" s="97" t="str">
        <f>'14U GIRLS PLATINUM-10 TEAMS'!G15&amp;""</f>
        <v>C4-LAMORINDA B</v>
      </c>
      <c r="H209" s="97" t="str">
        <f>'14U GIRLS PLATINUM-10 TEAMS'!H15&amp;""</f>
        <v>5.3</v>
      </c>
      <c r="I209" s="97" t="str">
        <f>'14U GIRLS PLATINUM-10 TEAMS'!I15&amp;""</f>
        <v>C bracket C3,C4</v>
      </c>
      <c r="J209" s="97" t="str">
        <f>'14U GIRLS PLATINUM-10 TEAMS'!J15&amp;""</f>
        <v>14U_GIRLS_PLATINUM</v>
      </c>
      <c r="K209" s="97" t="str">
        <f t="shared" si="5"/>
        <v>202601311110</v>
      </c>
    </row>
    <row r="210" spans="1:11">
      <c r="A210" s="220">
        <f>'14U GIRLS PLATINUM-10 TEAMS'!A16</f>
        <v>46053</v>
      </c>
      <c r="B210" s="219">
        <f>'14U GIRLS PLATINUM-10 TEAMS'!B16</f>
        <v>0.5</v>
      </c>
      <c r="C210" s="219" t="str">
        <f>'14U GIRLS PLATINUM-10 TEAMS'!C16&amp;""</f>
        <v>ALISO NIGUEL HS</v>
      </c>
      <c r="D210" s="97" t="str">
        <f>'14U GIRLS PLATINUM-10 TEAMS'!D16&amp;""</f>
        <v>14Gpt07</v>
      </c>
      <c r="E210" s="97" t="str">
        <f>'14U GIRLS PLATINUM-10 TEAMS'!E16&amp;""</f>
        <v>C1-SANTA CRUZ BLACK</v>
      </c>
      <c r="F210" s="97" t="str">
        <f>'14U GIRLS PLATINUM-10 TEAMS'!F16&amp;""</f>
        <v>7</v>
      </c>
      <c r="G210" s="283" t="str">
        <f>'14U GIRLS PLATINUM-10 TEAMS'!G16&amp;""</f>
        <v>C2-SOUTH COAST RED (A)</v>
      </c>
      <c r="H210" s="97" t="str">
        <f>'14U GIRLS PLATINUM-10 TEAMS'!H16&amp;""</f>
        <v>5</v>
      </c>
      <c r="I210" s="97" t="str">
        <f>'14U GIRLS PLATINUM-10 TEAMS'!I16&amp;""</f>
        <v>C bracket C1,C2</v>
      </c>
      <c r="J210" s="97" t="str">
        <f>'14U GIRLS PLATINUM-10 TEAMS'!J16&amp;""</f>
        <v>14U_GIRLS_PLATINUM</v>
      </c>
      <c r="K210" s="97" t="str">
        <f t="shared" si="5"/>
        <v>202601311200</v>
      </c>
    </row>
    <row r="211" spans="1:11">
      <c r="A211" s="220">
        <f>'14U GIRLS PLATINUM-10 TEAMS'!A17</f>
        <v>46053</v>
      </c>
      <c r="B211" s="219">
        <f>'14U GIRLS PLATINUM-10 TEAMS'!B17</f>
        <v>0.53472222222222199</v>
      </c>
      <c r="C211" s="219" t="str">
        <f>'14U GIRLS PLATINUM-10 TEAMS'!C17&amp;""</f>
        <v>ALISO NIGUEL HS</v>
      </c>
      <c r="D211" s="97" t="str">
        <f>'14U GIRLS PLATINUM-10 TEAMS'!D17&amp;""</f>
        <v>14Gpt08</v>
      </c>
      <c r="E211" s="97" t="str">
        <f>'14U GIRLS PLATINUM-10 TEAMS'!E17&amp;""</f>
        <v>A1-CDM PINK</v>
      </c>
      <c r="F211" s="97" t="str">
        <f>'14U GIRLS PLATINUM-10 TEAMS'!F17&amp;""</f>
        <v>3.5</v>
      </c>
      <c r="G211" s="97" t="str">
        <f>'14U GIRLS PLATINUM-10 TEAMS'!G17&amp;""</f>
        <v>A2-DAVIS</v>
      </c>
      <c r="H211" s="97" t="str">
        <f>'14U GIRLS PLATINUM-10 TEAMS'!H17&amp;""</f>
        <v>3.4</v>
      </c>
      <c r="I211" s="97" t="str">
        <f>'14U GIRLS PLATINUM-10 TEAMS'!I17&amp;""</f>
        <v>A bracket A1,A2</v>
      </c>
      <c r="J211" s="97" t="str">
        <f>'14U GIRLS PLATINUM-10 TEAMS'!J17&amp;""</f>
        <v>14U_GIRLS_PLATINUM</v>
      </c>
      <c r="K211" s="97" t="str">
        <f t="shared" si="5"/>
        <v>202601311250</v>
      </c>
    </row>
    <row r="212" spans="1:11">
      <c r="A212" s="220">
        <f>'14U GIRLS PLATINUM-10 TEAMS'!A18</f>
        <v>46053</v>
      </c>
      <c r="B212" s="219">
        <f>'14U GIRLS PLATINUM-10 TEAMS'!B18</f>
        <v>0.56944444444444497</v>
      </c>
      <c r="C212" s="219" t="str">
        <f>'14U GIRLS PLATINUM-10 TEAMS'!C18&amp;""</f>
        <v>ALISO NIGUEL HS</v>
      </c>
      <c r="D212" s="97" t="str">
        <f>'14U GIRLS PLATINUM-10 TEAMS'!D18&amp;""</f>
        <v>14Gpt09</v>
      </c>
      <c r="E212" s="97" t="str">
        <f>'14U GIRLS PLATINUM-10 TEAMS'!E18&amp;""</f>
        <v>B1-CC UNITED BLACK</v>
      </c>
      <c r="F212" s="97" t="str">
        <f>'14U GIRLS PLATINUM-10 TEAMS'!F18&amp;""</f>
        <v>4</v>
      </c>
      <c r="G212" s="97" t="str">
        <f>'14U GIRLS PLATINUM-10 TEAMS'!G18&amp;""</f>
        <v>B2-NEWPORT BEACH</v>
      </c>
      <c r="H212" s="97" t="str">
        <f>'14U GIRLS PLATINUM-10 TEAMS'!H18&amp;""</f>
        <v>1</v>
      </c>
      <c r="I212" s="97" t="str">
        <f>'14U GIRLS PLATINUM-10 TEAMS'!I18&amp;""</f>
        <v>B bracket B1,B2</v>
      </c>
      <c r="J212" s="97" t="str">
        <f>'14U GIRLS PLATINUM-10 TEAMS'!J18&amp;""</f>
        <v>14U_GIRLS_PLATINUM</v>
      </c>
      <c r="K212" s="97" t="str">
        <f t="shared" si="5"/>
        <v>202601311340</v>
      </c>
    </row>
    <row r="213" spans="1:11">
      <c r="A213" s="220">
        <f>'14U GIRLS PLATINUM-10 TEAMS'!A19</f>
        <v>46053</v>
      </c>
      <c r="B213" s="219">
        <f>'14U GIRLS PLATINUM-10 TEAMS'!B19</f>
        <v>0.60416666666666696</v>
      </c>
      <c r="C213" s="219" t="str">
        <f>'14U GIRLS PLATINUM-10 TEAMS'!C19&amp;""</f>
        <v>ALISO NIGUEL HS</v>
      </c>
      <c r="D213" s="97" t="str">
        <f>'14U GIRLS PLATINUM-10 TEAMS'!D19&amp;""</f>
        <v>14Gpt10</v>
      </c>
      <c r="E213" s="284" t="str">
        <f>'14U GIRLS PLATINUM-10 TEAMS'!E19&amp;""</f>
        <v>C2-SOUTH COAST RED (A)</v>
      </c>
      <c r="F213" s="97" t="str">
        <f>'14U GIRLS PLATINUM-10 TEAMS'!F19&amp;""</f>
        <v>11</v>
      </c>
      <c r="G213" s="97" t="str">
        <f>'14U GIRLS PLATINUM-10 TEAMS'!G19&amp;""</f>
        <v>C3-FOOTHILL RED</v>
      </c>
      <c r="H213" s="97" t="str">
        <f>'14U GIRLS PLATINUM-10 TEAMS'!H19&amp;""</f>
        <v>5</v>
      </c>
      <c r="I213" s="97" t="str">
        <f>'14U GIRLS PLATINUM-10 TEAMS'!I19&amp;""</f>
        <v>C bracket C2,C3</v>
      </c>
      <c r="J213" s="97" t="str">
        <f>'14U GIRLS PLATINUM-10 TEAMS'!J19&amp;""</f>
        <v>14U_GIRLS_PLATINUM</v>
      </c>
      <c r="K213" s="97" t="str">
        <f t="shared" si="5"/>
        <v>202601311430</v>
      </c>
    </row>
    <row r="214" spans="1:11">
      <c r="A214" s="220">
        <f>'14U GIRLS PLATINUM-10 TEAMS'!A23</f>
        <v>46054</v>
      </c>
      <c r="B214" s="219">
        <f>'14U GIRLS PLATINUM-10 TEAMS'!B23</f>
        <v>0.29166666666666669</v>
      </c>
      <c r="C214" s="219" t="str">
        <f>'14U GIRLS PLATINUM-10 TEAMS'!C23&amp;""</f>
        <v>ALISO NIGUEL HS</v>
      </c>
      <c r="D214" s="97" t="str">
        <f>'14U GIRLS PLATINUM-10 TEAMS'!D23&amp;""</f>
        <v>14Gpt11</v>
      </c>
      <c r="E214" s="97" t="str">
        <f>'14U GIRLS PLATINUM-10 TEAMS'!E23&amp;""</f>
        <v>C2-SOUTH COAST RED (A)</v>
      </c>
      <c r="F214" s="97" t="str">
        <f>'14U GIRLS PLATINUM-10 TEAMS'!F23&amp;""</f>
        <v>5</v>
      </c>
      <c r="G214" s="97" t="str">
        <f>'14U GIRLS PLATINUM-10 TEAMS'!G23&amp;""</f>
        <v>C4-LAMORINDA B</v>
      </c>
      <c r="H214" s="97" t="str">
        <f>'14U GIRLS PLATINUM-10 TEAMS'!H23&amp;""</f>
        <v>4</v>
      </c>
      <c r="I214" s="97" t="str">
        <f>'14U GIRLS PLATINUM-10 TEAMS'!I23&amp;""</f>
        <v>C bracket C2,C4</v>
      </c>
      <c r="J214" s="97" t="str">
        <f>'14U GIRLS PLATINUM-10 TEAMS'!J23&amp;""</f>
        <v>14U_GIRLS_PLATINUM</v>
      </c>
      <c r="K214" s="97" t="str">
        <f t="shared" si="5"/>
        <v>202602010700</v>
      </c>
    </row>
    <row r="215" spans="1:11">
      <c r="A215" s="220">
        <f>'14U GIRLS PLATINUM-10 TEAMS'!A24</f>
        <v>46054</v>
      </c>
      <c r="B215" s="219">
        <f>'14U GIRLS PLATINUM-10 TEAMS'!B24</f>
        <v>0.3263888888888889</v>
      </c>
      <c r="C215" s="219" t="str">
        <f>'14U GIRLS PLATINUM-10 TEAMS'!C24&amp;""</f>
        <v>ALISO NIGUEL HS</v>
      </c>
      <c r="D215" s="97" t="str">
        <f>'14U GIRLS PLATINUM-10 TEAMS'!D24&amp;""</f>
        <v>14Gpt12</v>
      </c>
      <c r="E215" s="97" t="str">
        <f>'14U GIRLS PLATINUM-10 TEAMS'!E24&amp;""</f>
        <v>C1-SANTA CRUZ BLACK</v>
      </c>
      <c r="F215" s="97" t="str">
        <f>'14U GIRLS PLATINUM-10 TEAMS'!F24&amp;""</f>
        <v>13</v>
      </c>
      <c r="G215" s="97" t="str">
        <f>'14U GIRLS PLATINUM-10 TEAMS'!G24&amp;""</f>
        <v>C3-FOOTHILL RED</v>
      </c>
      <c r="H215" s="97" t="str">
        <f>'14U GIRLS PLATINUM-10 TEAMS'!H24&amp;""</f>
        <v>3</v>
      </c>
      <c r="I215" s="97" t="str">
        <f>'14U GIRLS PLATINUM-10 TEAMS'!I24&amp;""</f>
        <v>C bracket C1,C3</v>
      </c>
      <c r="J215" s="97" t="str">
        <f>'14U GIRLS PLATINUM-10 TEAMS'!J24&amp;""</f>
        <v>14U_GIRLS_PLATINUM</v>
      </c>
      <c r="K215" s="97" t="str">
        <f t="shared" si="5"/>
        <v>202602010750</v>
      </c>
    </row>
    <row r="216" spans="1:11">
      <c r="A216" s="220">
        <f>'14U GIRLS PLATINUM-10 TEAMS'!A25</f>
        <v>46054</v>
      </c>
      <c r="B216" s="219">
        <f>'14U GIRLS PLATINUM-10 TEAMS'!B25</f>
        <v>0.36111111111111099</v>
      </c>
      <c r="C216" s="219" t="str">
        <f>'14U GIRLS PLATINUM-10 TEAMS'!C25&amp;""</f>
        <v>ALISO NIGUEL HS</v>
      </c>
      <c r="D216" s="97" t="str">
        <f>'14U GIRLS PLATINUM-10 TEAMS'!D25&amp;""</f>
        <v>14Gpt13</v>
      </c>
      <c r="E216" s="97" t="str">
        <f>'14U GIRLS PLATINUM-10 TEAMS'!E25&amp;""</f>
        <v>2ndA-STANFORD</v>
      </c>
      <c r="F216" s="97" t="str">
        <f>'14U GIRLS PLATINUM-10 TEAMS'!F25&amp;""</f>
        <v>10</v>
      </c>
      <c r="G216" s="97" t="str">
        <f>'14U GIRLS PLATINUM-10 TEAMS'!G25&amp;""</f>
        <v>3rdB-NEWPORT BEACH</v>
      </c>
      <c r="H216" s="97" t="str">
        <f>'14U GIRLS PLATINUM-10 TEAMS'!H25&amp;""</f>
        <v>7</v>
      </c>
      <c r="I216" s="97" t="str">
        <f>'14U GIRLS PLATINUM-10 TEAMS'!I25&amp;""</f>
        <v>5th-10th 2A/3B</v>
      </c>
      <c r="J216" s="97" t="str">
        <f>'14U GIRLS PLATINUM-10 TEAMS'!J25&amp;""</f>
        <v>14U_GIRLS_PLATINUM</v>
      </c>
      <c r="K216" s="97" t="str">
        <f t="shared" si="5"/>
        <v>202602010840</v>
      </c>
    </row>
    <row r="217" spans="1:11">
      <c r="A217" s="220">
        <f>'14U GIRLS PLATINUM-10 TEAMS'!A26</f>
        <v>46054</v>
      </c>
      <c r="B217" s="219">
        <f>'14U GIRLS PLATINUM-10 TEAMS'!B26</f>
        <v>0.39583333333333398</v>
      </c>
      <c r="C217" s="219" t="str">
        <f>'14U GIRLS PLATINUM-10 TEAMS'!C26&amp;""</f>
        <v>ALISO NIGUEL HS</v>
      </c>
      <c r="D217" s="97" t="str">
        <f>'14U GIRLS PLATINUM-10 TEAMS'!D26&amp;""</f>
        <v>14Gpt14</v>
      </c>
      <c r="E217" s="97" t="str">
        <f>'14U GIRLS PLATINUM-10 TEAMS'!E26&amp;""</f>
        <v>3rdA-DAVIS</v>
      </c>
      <c r="F217" s="97" t="str">
        <f>'14U GIRLS PLATINUM-10 TEAMS'!F26&amp;""</f>
        <v>5</v>
      </c>
      <c r="G217" s="97" t="str">
        <f>'14U GIRLS PLATINUM-10 TEAMS'!G26&amp;""</f>
        <v>2ndB-CC UNITED BLACK</v>
      </c>
      <c r="H217" s="97" t="str">
        <f>'14U GIRLS PLATINUM-10 TEAMS'!H26&amp;""</f>
        <v>2</v>
      </c>
      <c r="I217" s="97" t="str">
        <f>'14U GIRLS PLATINUM-10 TEAMS'!I26&amp;""</f>
        <v>5th-10th 3A/2B</v>
      </c>
      <c r="J217" s="97" t="str">
        <f>'14U GIRLS PLATINUM-10 TEAMS'!J26&amp;""</f>
        <v>14U_GIRLS_PLATINUM</v>
      </c>
      <c r="K217" s="97" t="str">
        <f t="shared" si="5"/>
        <v>202602010930</v>
      </c>
    </row>
    <row r="218" spans="1:11">
      <c r="A218" s="220">
        <f>'14U GIRLS PLATINUM-10 TEAMS'!A27</f>
        <v>46054</v>
      </c>
      <c r="B218" s="219">
        <f>'14U GIRLS PLATINUM-10 TEAMS'!B27</f>
        <v>0.43055555555555602</v>
      </c>
      <c r="C218" s="219" t="str">
        <f>'14U GIRLS PLATINUM-10 TEAMS'!C27&amp;""</f>
        <v>ALISO NIGUEL HS</v>
      </c>
      <c r="D218" s="97" t="str">
        <f>'14U GIRLS PLATINUM-10 TEAMS'!D27&amp;""</f>
        <v>14Gpt15</v>
      </c>
      <c r="E218" s="97" t="str">
        <f>'14U GIRLS PLATINUM-10 TEAMS'!E27&amp;""</f>
        <v>1stA-CDM PINK</v>
      </c>
      <c r="F218" s="97" t="str">
        <f>'14U GIRLS PLATINUM-10 TEAMS'!F27&amp;""</f>
        <v>4.4</v>
      </c>
      <c r="G218" s="97" t="str">
        <f>'14U GIRLS PLATINUM-10 TEAMS'!G27&amp;""</f>
        <v xml:space="preserve">2ndC-SOUTH COAST RED (A)	</v>
      </c>
      <c r="H218" s="97" t="str">
        <f>'14U GIRLS PLATINUM-10 TEAMS'!H27&amp;""</f>
        <v>4.2</v>
      </c>
      <c r="I218" s="97" t="str">
        <f>'14U GIRLS PLATINUM-10 TEAMS'!I27&amp;""</f>
        <v>1-4 semi 1A/2C</v>
      </c>
      <c r="J218" s="97" t="str">
        <f>'14U GIRLS PLATINUM-10 TEAMS'!J27&amp;""</f>
        <v>14U_GIRLS_PLATINUM</v>
      </c>
      <c r="K218" s="97" t="str">
        <f t="shared" si="5"/>
        <v>202602011020</v>
      </c>
    </row>
    <row r="219" spans="1:11">
      <c r="A219" s="220">
        <f>'14U GIRLS PLATINUM-10 TEAMS'!A28</f>
        <v>46054</v>
      </c>
      <c r="B219" s="219">
        <f>'14U GIRLS PLATINUM-10 TEAMS'!B28</f>
        <v>0.46527777777777801</v>
      </c>
      <c r="C219" s="219" t="str">
        <f>'14U GIRLS PLATINUM-10 TEAMS'!C28&amp;""</f>
        <v>ALISO NIGUEL HS</v>
      </c>
      <c r="D219" s="97" t="str">
        <f>'14U GIRLS PLATINUM-10 TEAMS'!D28&amp;""</f>
        <v>14Gpt16</v>
      </c>
      <c r="E219" s="97" t="str">
        <f>'14U GIRLS PLATINUM-10 TEAMS'!E28&amp;""</f>
        <v>1stB-PATRIOT RED</v>
      </c>
      <c r="F219" s="97" t="str">
        <f>'14U GIRLS PLATINUM-10 TEAMS'!F28&amp;""</f>
        <v>9</v>
      </c>
      <c r="G219" s="97" t="str">
        <f>'14U GIRLS PLATINUM-10 TEAMS'!G28&amp;""</f>
        <v>1stC-SANTA CRUZ BLACK</v>
      </c>
      <c r="H219" s="97" t="str">
        <f>'14U GIRLS PLATINUM-10 TEAMS'!H28&amp;""</f>
        <v>12</v>
      </c>
      <c r="I219" s="97" t="str">
        <f>'14U GIRLS PLATINUM-10 TEAMS'!I28&amp;""</f>
        <v>1-4 semi 1B/1C</v>
      </c>
      <c r="J219" s="97" t="str">
        <f>'14U GIRLS PLATINUM-10 TEAMS'!J28&amp;""</f>
        <v>14U_GIRLS_PLATINUM</v>
      </c>
      <c r="K219" s="97" t="str">
        <f t="shared" si="5"/>
        <v>202602011110</v>
      </c>
    </row>
    <row r="220" spans="1:11">
      <c r="A220" s="220">
        <f>'14U GIRLS PLATINUM-10 TEAMS'!A30</f>
        <v>46054</v>
      </c>
      <c r="B220" s="219">
        <f>'14U GIRLS PLATINUM-10 TEAMS'!B30</f>
        <v>0.53472222222222199</v>
      </c>
      <c r="C220" s="219" t="str">
        <f>'14U GIRLS PLATINUM-10 TEAMS'!C30&amp;""</f>
        <v>ALISO NIGUEL HS</v>
      </c>
      <c r="D220" s="97" t="str">
        <f>'14U GIRLS PLATINUM-10 TEAMS'!D30&amp;""</f>
        <v>14Gpt18</v>
      </c>
      <c r="E220" s="97" t="str">
        <f>'14U GIRLS PLATINUM-10 TEAMS'!E30&amp;""</f>
        <v>L#13-NEWPORT BEACH</v>
      </c>
      <c r="F220" s="97" t="str">
        <f>'14U GIRLS PLATINUM-10 TEAMS'!F30&amp;""</f>
        <v>4</v>
      </c>
      <c r="G220" s="97" t="str">
        <f>'14U GIRLS PLATINUM-10 TEAMS'!G30&amp;""</f>
        <v>3rdC-LAMORINDA B</v>
      </c>
      <c r="H220" s="97" t="str">
        <f>'14U GIRLS PLATINUM-10 TEAMS'!H30&amp;""</f>
        <v>9</v>
      </c>
      <c r="I220" s="97" t="str">
        <f>'14U GIRLS PLATINUM-10 TEAMS'!I30&amp;""</f>
        <v>7th-10th</v>
      </c>
      <c r="J220" s="97" t="str">
        <f>'14U GIRLS PLATINUM-10 TEAMS'!J30&amp;""</f>
        <v>14U_GIRLS_PLATINUM</v>
      </c>
      <c r="K220" s="97" t="str">
        <f t="shared" si="5"/>
        <v>202602011250</v>
      </c>
    </row>
    <row r="221" spans="1:11">
      <c r="A221" s="220">
        <f>'14U GIRLS PLATINUM-10 TEAMS'!A31</f>
        <v>46054</v>
      </c>
      <c r="B221" s="219">
        <f>'14U GIRLS PLATINUM-10 TEAMS'!B31</f>
        <v>0.56944444444444497</v>
      </c>
      <c r="C221" s="219" t="str">
        <f>'14U GIRLS PLATINUM-10 TEAMS'!C31&amp;""</f>
        <v>ALISO NIGUEL HS</v>
      </c>
      <c r="D221" s="97" t="str">
        <f>'14U GIRLS PLATINUM-10 TEAMS'!D31&amp;""</f>
        <v>14Gpt20</v>
      </c>
      <c r="E221" s="97" t="str">
        <f>'14U GIRLS PLATINUM-10 TEAMS'!E31&amp;""</f>
        <v xml:space="preserve">L#15-SOUTH COAST RED (A)	</v>
      </c>
      <c r="F221" s="97" t="str">
        <f>'14U GIRLS PLATINUM-10 TEAMS'!F31&amp;""</f>
        <v>6.2</v>
      </c>
      <c r="G221" s="97" t="str">
        <f>'14U GIRLS PLATINUM-10 TEAMS'!G31&amp;""</f>
        <v>L#16-PATRIOT RED</v>
      </c>
      <c r="H221" s="97" t="str">
        <f>'14U GIRLS PLATINUM-10 TEAMS'!H31&amp;""</f>
        <v>6.1</v>
      </c>
      <c r="I221" s="97" t="str">
        <f>'14U GIRLS PLATINUM-10 TEAMS'!I31&amp;""</f>
        <v>3rd</v>
      </c>
      <c r="J221" s="97" t="str">
        <f>'14U GIRLS PLATINUM-10 TEAMS'!J31&amp;""</f>
        <v>14U_GIRLS_PLATINUM</v>
      </c>
      <c r="K221" s="97" t="str">
        <f t="shared" si="5"/>
        <v>202602011340</v>
      </c>
    </row>
    <row r="222" spans="1:11">
      <c r="A222" s="220">
        <f>'14U GIRLS PLATINUM-10 TEAMS'!A32</f>
        <v>46054</v>
      </c>
      <c r="B222" s="219">
        <f>'14U GIRLS PLATINUM-10 TEAMS'!B32</f>
        <v>0.60416666666666696</v>
      </c>
      <c r="C222" s="219" t="str">
        <f>'14U GIRLS PLATINUM-10 TEAMS'!C32&amp;""</f>
        <v>ALISO NIGUEL HS</v>
      </c>
      <c r="D222" s="97" t="str">
        <f>'14U GIRLS PLATINUM-10 TEAMS'!D32&amp;""</f>
        <v>14Gpt21</v>
      </c>
      <c r="E222" s="97" t="str">
        <f>'14U GIRLS PLATINUM-10 TEAMS'!E32&amp;""</f>
        <v>W#15-CDM PINK</v>
      </c>
      <c r="F222" s="97" t="str">
        <f>'14U GIRLS PLATINUM-10 TEAMS'!F32&amp;""</f>
        <v>5</v>
      </c>
      <c r="G222" s="97" t="str">
        <f>'14U GIRLS PLATINUM-10 TEAMS'!G32&amp;""</f>
        <v>W#16-SANTA CRUZ BLACK</v>
      </c>
      <c r="H222" s="97" t="str">
        <f>'14U GIRLS PLATINUM-10 TEAMS'!H32&amp;""</f>
        <v>6</v>
      </c>
      <c r="I222" s="97" t="str">
        <f>'14U GIRLS PLATINUM-10 TEAMS'!I32&amp;""</f>
        <v>1st</v>
      </c>
      <c r="J222" s="97" t="str">
        <f>'14U GIRLS PLATINUM-10 TEAMS'!J32&amp;""</f>
        <v>14U_GIRLS_PLATINUM</v>
      </c>
      <c r="K222" s="97" t="str">
        <f t="shared" si="5"/>
        <v>202602011430</v>
      </c>
    </row>
    <row r="223" spans="1:11">
      <c r="A223" s="220">
        <f>'14U GIRLS PLATINUM-10 TEAMS'!A33</f>
        <v>46054</v>
      </c>
      <c r="B223" s="219">
        <f>'14U GIRLS PLATINUM-10 TEAMS'!B33</f>
        <v>0.63888888888888895</v>
      </c>
      <c r="C223" s="219" t="str">
        <f>'14U GIRLS PLATINUM-10 TEAMS'!C33&amp;""</f>
        <v>ALISO NIGUEL HS</v>
      </c>
      <c r="D223" s="97" t="str">
        <f>'14U GIRLS PLATINUM-10 TEAMS'!D33&amp;""</f>
        <v>14Gpt17</v>
      </c>
      <c r="E223" s="97" t="str">
        <f>'14U GIRLS PLATINUM-10 TEAMS'!E33&amp;""</f>
        <v>W#13-STANFORD</v>
      </c>
      <c r="F223" s="97" t="str">
        <f>'14U GIRLS PLATINUM-10 TEAMS'!F33&amp;""</f>
        <v>2</v>
      </c>
      <c r="G223" s="97" t="str">
        <f>'14U GIRLS PLATINUM-10 TEAMS'!G33&amp;""</f>
        <v>W#14-DAVIS</v>
      </c>
      <c r="H223" s="97" t="str">
        <f>'14U GIRLS PLATINUM-10 TEAMS'!H33&amp;""</f>
        <v>7</v>
      </c>
      <c r="I223" s="97" t="str">
        <f>'14U GIRLS PLATINUM-10 TEAMS'!I33&amp;""</f>
        <v>5th</v>
      </c>
      <c r="J223" s="97" t="str">
        <f>'14U GIRLS PLATINUM-10 TEAMS'!J33&amp;""</f>
        <v>14U_GIRLS_PLATINUM</v>
      </c>
      <c r="K223" s="97" t="str">
        <f t="shared" si="5"/>
        <v>202602011520</v>
      </c>
    </row>
    <row r="224" spans="1:11">
      <c r="A224" s="220">
        <f>'14U GIRLS PLATINUM-10 TEAMS'!A34</f>
        <v>46054</v>
      </c>
      <c r="B224" s="219">
        <f>'14U GIRLS PLATINUM-10 TEAMS'!B34</f>
        <v>0.67361111111111105</v>
      </c>
      <c r="C224" s="219" t="str">
        <f>'14U GIRLS PLATINUM-10 TEAMS'!C34&amp;""</f>
        <v>ALISO NIGUEL HS</v>
      </c>
      <c r="D224" s="97" t="str">
        <f>'14U GIRLS PLATINUM-10 TEAMS'!D34&amp;""</f>
        <v>14Gpt19</v>
      </c>
      <c r="E224" s="97" t="str">
        <f>'14U GIRLS PLATINUM-10 TEAMS'!E34&amp;""</f>
        <v>L#14-CC UNITED BLACK</v>
      </c>
      <c r="F224" s="97" t="str">
        <f>'14U GIRLS PLATINUM-10 TEAMS'!F34&amp;""</f>
        <v>8</v>
      </c>
      <c r="G224" s="97" t="str">
        <f>'14U GIRLS PLATINUM-10 TEAMS'!G34&amp;""</f>
        <v>4thC-FOOTHILL RED</v>
      </c>
      <c r="H224" s="97" t="str">
        <f>'14U GIRLS PLATINUM-10 TEAMS'!H34&amp;""</f>
        <v>6</v>
      </c>
      <c r="I224" s="97" t="str">
        <f>'14U GIRLS PLATINUM-10 TEAMS'!I34&amp;""</f>
        <v>7th-10th</v>
      </c>
      <c r="J224" s="97" t="str">
        <f>'14U GIRLS PLATINUM-10 TEAMS'!J34&amp;""</f>
        <v>14U_GIRLS_PLATINUM</v>
      </c>
      <c r="K224" s="97" t="str">
        <f t="shared" si="5"/>
        <v>202602011610</v>
      </c>
    </row>
    <row r="225" spans="1:11">
      <c r="A225" s="225">
        <f>'14U BOYS SILVER-18 TEAMS'!A20</f>
        <v>46053</v>
      </c>
      <c r="B225" s="224">
        <f>'14U BOYS SILVER-18 TEAMS'!B20</f>
        <v>0.3263888888888889</v>
      </c>
      <c r="C225" s="224" t="str">
        <f>'14U BOYS SILVER-18 TEAMS'!C20&amp;""</f>
        <v>SAN CLEMENTE HS</v>
      </c>
      <c r="D225" s="146" t="str">
        <f>'14U BOYS SILVER-18 TEAMS'!D20&amp;""</f>
        <v>14Bag01</v>
      </c>
      <c r="E225" s="223" t="str">
        <f>'14U BOYS SILVER-18 TEAMS'!E20&amp;""</f>
        <v>A1-POWAY VALLEY BLACK</v>
      </c>
      <c r="F225" s="222" t="str">
        <f>'14U BOYS SILVER-18 TEAMS'!F20&amp;""</f>
        <v>11</v>
      </c>
      <c r="G225" s="223" t="str">
        <f>'14U BOYS SILVER-18 TEAMS'!G20&amp;""</f>
        <v>A3-SAN CLEMENTE BLACK</v>
      </c>
      <c r="H225" s="222" t="str">
        <f>'14U BOYS SILVER-18 TEAMS'!H20&amp;""</f>
        <v>8</v>
      </c>
      <c r="I225" s="221" t="str">
        <f>'14U BOYS SILVER-18 TEAMS'!I20&amp;""</f>
        <v>A bracket A1,A3</v>
      </c>
      <c r="J225" s="146" t="str">
        <f>'14U BOYS SILVER-18 TEAMS'!J20&amp;""</f>
        <v>14U_BOYS_SILVER</v>
      </c>
      <c r="K225" s="146" t="str">
        <f t="shared" ref="K225:K256" si="6">TEXT(DATE(2026, MONTH(A225), DAY(A225)) + TIME(HOUR(B225), MINUTE(B225), 0), "yyyymmddhhmm")</f>
        <v>202601310750</v>
      </c>
    </row>
    <row r="226" spans="1:11">
      <c r="A226" s="225">
        <f>'14U BOYS SILVER-18 TEAMS'!A32</f>
        <v>46053</v>
      </c>
      <c r="B226" s="224">
        <f>'14U BOYS SILVER-18 TEAMS'!B32</f>
        <v>0.36111111111111099</v>
      </c>
      <c r="C226" s="224" t="str">
        <f>'14U BOYS SILVER-18 TEAMS'!C32&amp;""</f>
        <v>ESPERANZA HS</v>
      </c>
      <c r="D226" s="146" t="str">
        <f>'14U BOYS SILVER-18 TEAMS'!D32&amp;""</f>
        <v>14Bag02</v>
      </c>
      <c r="E226" s="223" t="str">
        <f>'14U BOYS SILVER-18 TEAMS'!E32&amp;""</f>
        <v>D1-SAND CANYON</v>
      </c>
      <c r="F226" s="222" t="str">
        <f>'14U BOYS SILVER-18 TEAMS'!F32&amp;""</f>
        <v>12</v>
      </c>
      <c r="G226" s="223" t="str">
        <f>'14U BOYS SILVER-18 TEAMS'!G32&amp;""</f>
        <v>D3-PALOS VERDES B</v>
      </c>
      <c r="H226" s="222" t="str">
        <f>'14U BOYS SILVER-18 TEAMS'!H32&amp;""</f>
        <v>3</v>
      </c>
      <c r="I226" s="221" t="str">
        <f>'14U BOYS SILVER-18 TEAMS'!I32&amp;""</f>
        <v>D bracket D1,D3</v>
      </c>
      <c r="J226" s="146" t="str">
        <f>'14U BOYS SILVER-18 TEAMS'!J32&amp;""</f>
        <v>14U_BOYS_SILVER</v>
      </c>
      <c r="K226" s="146" t="str">
        <f t="shared" si="6"/>
        <v>202601310840</v>
      </c>
    </row>
    <row r="227" spans="1:11">
      <c r="A227" s="225">
        <f>'14U BOYS SILVER-18 TEAMS'!A21</f>
        <v>46053</v>
      </c>
      <c r="B227" s="224">
        <f>'14U BOYS SILVER-18 TEAMS'!B21</f>
        <v>0.36111111111111099</v>
      </c>
      <c r="C227" s="224" t="str">
        <f>'14U BOYS SILVER-18 TEAMS'!C21&amp;""</f>
        <v>SAN CLEMENTE HS</v>
      </c>
      <c r="D227" s="146" t="str">
        <f>'14U BOYS SILVER-18 TEAMS'!D21&amp;""</f>
        <v>14Bag03</v>
      </c>
      <c r="E227" s="223" t="str">
        <f>'14U BOYS SILVER-18 TEAMS'!E21&amp;""</f>
        <v>B1-SAN FRANCISCO</v>
      </c>
      <c r="F227" s="222" t="str">
        <f>'14U BOYS SILVER-18 TEAMS'!F21&amp;""</f>
        <v>14</v>
      </c>
      <c r="G227" s="223" t="str">
        <f>'14U BOYS SILVER-18 TEAMS'!G21&amp;""</f>
        <v>B3-SOUTH COAST BLUE (C)</v>
      </c>
      <c r="H227" s="222" t="str">
        <f>'14U BOYS SILVER-18 TEAMS'!H21&amp;""</f>
        <v>3</v>
      </c>
      <c r="I227" s="221" t="str">
        <f>'14U BOYS SILVER-18 TEAMS'!I21&amp;""</f>
        <v>B bracket B1,B3</v>
      </c>
      <c r="J227" s="146" t="str">
        <f>'14U BOYS SILVER-18 TEAMS'!J21&amp;""</f>
        <v>14U_BOYS_SILVER</v>
      </c>
      <c r="K227" s="146" t="str">
        <f t="shared" si="6"/>
        <v>202601310840</v>
      </c>
    </row>
    <row r="228" spans="1:11">
      <c r="A228" s="225">
        <f>'14U BOYS SILVER-18 TEAMS'!A33</f>
        <v>46053</v>
      </c>
      <c r="B228" s="224">
        <f>'14U BOYS SILVER-18 TEAMS'!B33</f>
        <v>0.39583333333333398</v>
      </c>
      <c r="C228" s="224" t="str">
        <f>'14U BOYS SILVER-18 TEAMS'!C33&amp;""</f>
        <v>ESPERANZA HS</v>
      </c>
      <c r="D228" s="146" t="str">
        <f>'14U BOYS SILVER-18 TEAMS'!D33&amp;""</f>
        <v>14Bag04</v>
      </c>
      <c r="E228" s="224" t="str">
        <f>'14U BOYS SILVER-18 TEAMS'!E33&amp;""</f>
        <v>E1-GOLD COAST</v>
      </c>
      <c r="F228" s="221" t="str">
        <f>'14U BOYS SILVER-18 TEAMS'!F33&amp;""</f>
        <v>14</v>
      </c>
      <c r="G228" s="224" t="str">
        <f>'14U BOYS SILVER-18 TEAMS'!G33&amp;""</f>
        <v>E3-CC UNITED WHITE</v>
      </c>
      <c r="H228" s="222" t="str">
        <f>'14U BOYS SILVER-18 TEAMS'!H33&amp;""</f>
        <v>1</v>
      </c>
      <c r="I228" s="221" t="str">
        <f>'14U BOYS SILVER-18 TEAMS'!I33&amp;""</f>
        <v>E bracket E1,E3</v>
      </c>
      <c r="J228" s="146" t="str">
        <f>'14U BOYS SILVER-18 TEAMS'!J33&amp;""</f>
        <v>14U_BOYS_SILVER</v>
      </c>
      <c r="K228" s="146" t="str">
        <f t="shared" si="6"/>
        <v>202601310930</v>
      </c>
    </row>
    <row r="229" spans="1:11">
      <c r="A229" s="225">
        <f>'14U BOYS SILVER-18 TEAMS'!A22</f>
        <v>46053</v>
      </c>
      <c r="B229" s="224">
        <f>'14U BOYS SILVER-18 TEAMS'!B22</f>
        <v>0.39583333333333398</v>
      </c>
      <c r="C229" s="224" t="str">
        <f>'14U BOYS SILVER-18 TEAMS'!C22&amp;""</f>
        <v>SAN CLEMENTE HS</v>
      </c>
      <c r="D229" s="146" t="str">
        <f>'14U BOYS SILVER-18 TEAMS'!D22&amp;""</f>
        <v>14Bag05</v>
      </c>
      <c r="E229" s="224" t="str">
        <f>'14U BOYS SILVER-18 TEAMS'!E22&amp;""</f>
        <v>C1-PASADENA AC</v>
      </c>
      <c r="F229" s="221" t="str">
        <f>'14U BOYS SILVER-18 TEAMS'!F22&amp;""</f>
        <v>8</v>
      </c>
      <c r="G229" s="224" t="str">
        <f>'14U BOYS SILVER-18 TEAMS'!G22&amp;""</f>
        <v>C3-ORANGE COUNTY WPC RED</v>
      </c>
      <c r="H229" s="222" t="str">
        <f>'14U BOYS SILVER-18 TEAMS'!H22&amp;""</f>
        <v>5</v>
      </c>
      <c r="I229" s="221" t="str">
        <f>'14U BOYS SILVER-18 TEAMS'!I22&amp;""</f>
        <v>C bracket C1,C3</v>
      </c>
      <c r="J229" s="146" t="str">
        <f>'14U BOYS SILVER-18 TEAMS'!J22&amp;""</f>
        <v>14U_BOYS_SILVER</v>
      </c>
      <c r="K229" s="146" t="str">
        <f t="shared" si="6"/>
        <v>202601310930</v>
      </c>
    </row>
    <row r="230" spans="1:11">
      <c r="A230" s="225">
        <f>'14U BOYS SILVER-18 TEAMS'!A34</f>
        <v>46053</v>
      </c>
      <c r="B230" s="224">
        <f>'14U BOYS SILVER-18 TEAMS'!B34</f>
        <v>0.43055555555555602</v>
      </c>
      <c r="C230" s="224" t="str">
        <f>'14U BOYS SILVER-18 TEAMS'!C34&amp;""</f>
        <v>ESPERANZA HS</v>
      </c>
      <c r="D230" s="146" t="str">
        <f>'14U BOYS SILVER-18 TEAMS'!D34&amp;""</f>
        <v>14Bag06</v>
      </c>
      <c r="E230" s="223" t="str">
        <f>'14U BOYS SILVER-18 TEAMS'!E34&amp;""</f>
        <v>F1-SET</v>
      </c>
      <c r="F230" s="222" t="str">
        <f>'14U BOYS SILVER-18 TEAMS'!F34&amp;""</f>
        <v>6</v>
      </c>
      <c r="G230" s="223" t="str">
        <f>'14U BOYS SILVER-18 TEAMS'!G34&amp;""</f>
        <v>F3-680 WHITE</v>
      </c>
      <c r="H230" s="222" t="str">
        <f>'14U BOYS SILVER-18 TEAMS'!H34&amp;""</f>
        <v>11</v>
      </c>
      <c r="I230" s="221" t="str">
        <f>'14U BOYS SILVER-18 TEAMS'!I34&amp;""</f>
        <v>F bracket F1,F3</v>
      </c>
      <c r="J230" s="146" t="str">
        <f>'14U BOYS SILVER-18 TEAMS'!J34&amp;""</f>
        <v>14U_BOYS_SILVER</v>
      </c>
      <c r="K230" s="146" t="str">
        <f t="shared" si="6"/>
        <v>202601311020</v>
      </c>
    </row>
    <row r="231" spans="1:11">
      <c r="A231" s="225">
        <f>'14U BOYS SILVER-18 TEAMS'!A24</f>
        <v>46053</v>
      </c>
      <c r="B231" s="227">
        <f>'14U BOYS SILVER-18 TEAMS'!B24</f>
        <v>0.46527777777777801</v>
      </c>
      <c r="C231" s="224" t="str">
        <f>'14U BOYS SILVER-18 TEAMS'!C24&amp;""</f>
        <v>SAN CLEMENTE HS</v>
      </c>
      <c r="D231" s="146" t="str">
        <f>'14U BOYS SILVER-18 TEAMS'!D24&amp;""</f>
        <v>14Bag07</v>
      </c>
      <c r="E231" s="223" t="str">
        <f>'14U BOYS SILVER-18 TEAMS'!E24&amp;""</f>
        <v>A2-LOYOLA WPC</v>
      </c>
      <c r="F231" s="222" t="str">
        <f>'14U BOYS SILVER-18 TEAMS'!F24&amp;""</f>
        <v>11</v>
      </c>
      <c r="G231" s="223" t="str">
        <f>'14U BOYS SILVER-18 TEAMS'!G24&amp;""</f>
        <v>A3-SAN CLEMENTE BLACK</v>
      </c>
      <c r="H231" s="222" t="str">
        <f>'14U BOYS SILVER-18 TEAMS'!H24&amp;""</f>
        <v>4</v>
      </c>
      <c r="I231" s="221" t="str">
        <f>'14U BOYS SILVER-18 TEAMS'!I24&amp;""</f>
        <v>A bracket A2,A3</v>
      </c>
      <c r="J231" s="146" t="str">
        <f>'14U BOYS SILVER-18 TEAMS'!J24&amp;""</f>
        <v>14U_BOYS_SILVER</v>
      </c>
      <c r="K231" s="146" t="str">
        <f t="shared" si="6"/>
        <v>202601311110</v>
      </c>
    </row>
    <row r="232" spans="1:11">
      <c r="A232" s="225">
        <f>'14U BOYS SILVER-18 TEAMS'!A35</f>
        <v>46053</v>
      </c>
      <c r="B232" s="224">
        <f>'14U BOYS SILVER-18 TEAMS'!B35</f>
        <v>0.46527777777777801</v>
      </c>
      <c r="C232" s="224" t="str">
        <f>'14U BOYS SILVER-18 TEAMS'!C35&amp;""</f>
        <v>ESPERANZA HS</v>
      </c>
      <c r="D232" s="146" t="str">
        <f>'14U BOYS SILVER-18 TEAMS'!D35&amp;""</f>
        <v>14Bag08</v>
      </c>
      <c r="E232" s="223" t="str">
        <f>'14U BOYS SILVER-18 TEAMS'!E35&amp;""</f>
        <v>D2-AMERICAN RIVER GOLD</v>
      </c>
      <c r="F232" s="222" t="str">
        <f>'14U BOYS SILVER-18 TEAMS'!F35&amp;""</f>
        <v>2</v>
      </c>
      <c r="G232" s="223" t="str">
        <f>'14U BOYS SILVER-18 TEAMS'!G35&amp;""</f>
        <v>D3-PALOS VERDES B</v>
      </c>
      <c r="H232" s="222" t="str">
        <f>'14U BOYS SILVER-18 TEAMS'!H35&amp;""</f>
        <v>8</v>
      </c>
      <c r="I232" s="221" t="str">
        <f>'14U BOYS SILVER-18 TEAMS'!I35&amp;""</f>
        <v>D bracket D2,D3</v>
      </c>
      <c r="J232" s="146" t="str">
        <f>'14U BOYS SILVER-18 TEAMS'!J35&amp;""</f>
        <v>14U_BOYS_SILVER</v>
      </c>
      <c r="K232" s="146" t="str">
        <f t="shared" si="6"/>
        <v>202601311110</v>
      </c>
    </row>
    <row r="233" spans="1:11">
      <c r="A233" s="225">
        <f>'14U BOYS SILVER-18 TEAMS'!A25</f>
        <v>46053</v>
      </c>
      <c r="B233" s="227">
        <f>'14U BOYS SILVER-18 TEAMS'!B25</f>
        <v>0.5</v>
      </c>
      <c r="C233" s="224" t="str">
        <f>'14U BOYS SILVER-18 TEAMS'!C25&amp;""</f>
        <v>SAN CLEMENTE HS</v>
      </c>
      <c r="D233" s="146" t="str">
        <f>'14U BOYS SILVER-18 TEAMS'!D25&amp;""</f>
        <v>14Bag09</v>
      </c>
      <c r="E233" s="223" t="str">
        <f>'14U BOYS SILVER-18 TEAMS'!E25&amp;""</f>
        <v>B2-TROJAN GOLD</v>
      </c>
      <c r="F233" s="222" t="str">
        <f>'14U BOYS SILVER-18 TEAMS'!F25&amp;""</f>
        <v>5</v>
      </c>
      <c r="G233" s="223" t="str">
        <f>'14U BOYS SILVER-18 TEAMS'!G25&amp;""</f>
        <v>B3-SOUTH COAST BLUE (C)</v>
      </c>
      <c r="H233" s="222" t="str">
        <f>'14U BOYS SILVER-18 TEAMS'!H25&amp;""</f>
        <v>7</v>
      </c>
      <c r="I233" s="221" t="str">
        <f>'14U BOYS SILVER-18 TEAMS'!I25&amp;""</f>
        <v>B bracket B2,B3</v>
      </c>
      <c r="J233" s="146" t="str">
        <f>'14U BOYS SILVER-18 TEAMS'!J25&amp;""</f>
        <v>14U_BOYS_SILVER</v>
      </c>
      <c r="K233" s="146" t="str">
        <f t="shared" si="6"/>
        <v>202601311200</v>
      </c>
    </row>
    <row r="234" spans="1:11">
      <c r="A234" s="225">
        <f>'14U BOYS SILVER-18 TEAMS'!A36</f>
        <v>46053</v>
      </c>
      <c r="B234" s="224">
        <f>'14U BOYS SILVER-18 TEAMS'!B36</f>
        <v>0.5</v>
      </c>
      <c r="C234" s="224" t="str">
        <f>'14U BOYS SILVER-18 TEAMS'!C36&amp;""</f>
        <v>ESPERANZA HS</v>
      </c>
      <c r="D234" s="146" t="str">
        <f>'14U BOYS SILVER-18 TEAMS'!D36&amp;""</f>
        <v>14Bag10</v>
      </c>
      <c r="E234" s="223" t="str">
        <f>'14U BOYS SILVER-18 TEAMS'!E36&amp;""</f>
        <v>E2-HONOLULU GREEN</v>
      </c>
      <c r="F234" s="222" t="str">
        <f>'14U BOYS SILVER-18 TEAMS'!F36&amp;""</f>
        <v>10</v>
      </c>
      <c r="G234" s="223" t="str">
        <f>'14U BOYS SILVER-18 TEAMS'!G36&amp;""</f>
        <v>E3-CC UNITED WHITE</v>
      </c>
      <c r="H234" s="222" t="str">
        <f>'14U BOYS SILVER-18 TEAMS'!H36&amp;""</f>
        <v>6</v>
      </c>
      <c r="I234" s="221" t="str">
        <f>'14U BOYS SILVER-18 TEAMS'!I36&amp;""</f>
        <v>E bracket E2,E3</v>
      </c>
      <c r="J234" s="146" t="str">
        <f>'14U BOYS SILVER-18 TEAMS'!J36&amp;""</f>
        <v>14U_BOYS_SILVER</v>
      </c>
      <c r="K234" s="146" t="str">
        <f t="shared" si="6"/>
        <v>202601311200</v>
      </c>
    </row>
    <row r="235" spans="1:11">
      <c r="A235" s="225">
        <f>'14U BOYS SILVER-18 TEAMS'!A26</f>
        <v>46053</v>
      </c>
      <c r="B235" s="227">
        <f>'14U BOYS SILVER-18 TEAMS'!B26</f>
        <v>0.53472222222222199</v>
      </c>
      <c r="C235" s="224" t="str">
        <f>'14U BOYS SILVER-18 TEAMS'!C26&amp;""</f>
        <v>SAN CLEMENTE HS</v>
      </c>
      <c r="D235" s="146" t="str">
        <f>'14U BOYS SILVER-18 TEAMS'!D26&amp;""</f>
        <v>14Bag11</v>
      </c>
      <c r="E235" s="224" t="str">
        <f>'14U BOYS SILVER-18 TEAMS'!E26&amp;""</f>
        <v>C2-TRITON GOLD</v>
      </c>
      <c r="F235" s="221" t="str">
        <f>'14U BOYS SILVER-18 TEAMS'!F26&amp;""</f>
        <v>1</v>
      </c>
      <c r="G235" s="224" t="str">
        <f>'14U BOYS SILVER-18 TEAMS'!G26&amp;""</f>
        <v>C3-ORANGE COUNTY WPC RED</v>
      </c>
      <c r="H235" s="222" t="str">
        <f>'14U BOYS SILVER-18 TEAMS'!H26&amp;""</f>
        <v>9</v>
      </c>
      <c r="I235" s="221" t="str">
        <f>'14U BOYS SILVER-18 TEAMS'!I26&amp;""</f>
        <v>C bracket C2,C3</v>
      </c>
      <c r="J235" s="146" t="str">
        <f>'14U BOYS SILVER-18 TEAMS'!J26&amp;""</f>
        <v>14U_BOYS_SILVER</v>
      </c>
      <c r="K235" s="146" t="str">
        <f t="shared" si="6"/>
        <v>202601311250</v>
      </c>
    </row>
    <row r="236" spans="1:11">
      <c r="A236" s="225">
        <f>'14U BOYS SILVER-18 TEAMS'!A37</f>
        <v>46053</v>
      </c>
      <c r="B236" s="224">
        <f>'14U BOYS SILVER-18 TEAMS'!B37</f>
        <v>0.53472222222222199</v>
      </c>
      <c r="C236" s="224" t="str">
        <f>'14U BOYS SILVER-18 TEAMS'!C37&amp;""</f>
        <v>ESPERANZA HS</v>
      </c>
      <c r="D236" s="146" t="str">
        <f>'14U BOYS SILVER-18 TEAMS'!D37&amp;""</f>
        <v>14Bag12</v>
      </c>
      <c r="E236" s="223" t="str">
        <f>'14U BOYS SILVER-18 TEAMS'!E37&amp;""</f>
        <v>F2-NADO</v>
      </c>
      <c r="F236" s="222" t="str">
        <f>'14U BOYS SILVER-18 TEAMS'!F37&amp;""</f>
        <v>11.3</v>
      </c>
      <c r="G236" s="223" t="str">
        <f>'14U BOYS SILVER-18 TEAMS'!G37&amp;""</f>
        <v>F3-680 WHITE</v>
      </c>
      <c r="H236" s="222" t="str">
        <f>'14U BOYS SILVER-18 TEAMS'!H37&amp;""</f>
        <v>11.4</v>
      </c>
      <c r="I236" s="221" t="str">
        <f>'14U BOYS SILVER-18 TEAMS'!I37&amp;""</f>
        <v>F bracket F2,F3</v>
      </c>
      <c r="J236" s="146" t="str">
        <f>'14U BOYS SILVER-18 TEAMS'!J37&amp;""</f>
        <v>14U_BOYS_SILVER</v>
      </c>
      <c r="K236" s="146" t="str">
        <f t="shared" si="6"/>
        <v>202601311250</v>
      </c>
    </row>
    <row r="237" spans="1:11">
      <c r="A237" s="225">
        <f>'14U BOYS SILVER-18 TEAMS'!A38</f>
        <v>46053</v>
      </c>
      <c r="B237" s="224">
        <f>'14U BOYS SILVER-18 TEAMS'!B38</f>
        <v>0.56944444444444497</v>
      </c>
      <c r="C237" s="224" t="str">
        <f>'14U BOYS SILVER-18 TEAMS'!C38&amp;""</f>
        <v>ESPERANZA HS</v>
      </c>
      <c r="D237" s="146" t="str">
        <f>'14U BOYS SILVER-18 TEAMS'!D38&amp;""</f>
        <v>14Bag14</v>
      </c>
      <c r="E237" s="223" t="str">
        <f>'14U BOYS SILVER-18 TEAMS'!E38&amp;""</f>
        <v>D1-SAND CANYON</v>
      </c>
      <c r="F237" s="222" t="str">
        <f>'14U BOYS SILVER-18 TEAMS'!F38&amp;""</f>
        <v>17</v>
      </c>
      <c r="G237" s="223" t="str">
        <f>'14U BOYS SILVER-18 TEAMS'!G38&amp;""</f>
        <v>D2-AMERICAN RIVER GOLD</v>
      </c>
      <c r="H237" s="222" t="str">
        <f>'14U BOYS SILVER-18 TEAMS'!H38&amp;""</f>
        <v>6</v>
      </c>
      <c r="I237" s="221" t="str">
        <f>'14U BOYS SILVER-18 TEAMS'!I38&amp;""</f>
        <v>D bracket D1,D2</v>
      </c>
      <c r="J237" s="146" t="str">
        <f>'14U BOYS SILVER-18 TEAMS'!J38&amp;""</f>
        <v>14U_BOYS_SILVER</v>
      </c>
      <c r="K237" s="146" t="str">
        <f t="shared" si="6"/>
        <v>202601311340</v>
      </c>
    </row>
    <row r="238" spans="1:11">
      <c r="A238" s="225">
        <f>'14U BOYS SILVER-18 TEAMS'!A28</f>
        <v>46053</v>
      </c>
      <c r="B238" s="224">
        <f>'14U BOYS SILVER-18 TEAMS'!B28</f>
        <v>0.60416666666666696</v>
      </c>
      <c r="C238" s="224" t="str">
        <f>'14U BOYS SILVER-18 TEAMS'!C28&amp;""</f>
        <v>SAN CLEMENTE HS</v>
      </c>
      <c r="D238" s="146" t="str">
        <f>'14U BOYS SILVER-18 TEAMS'!D28&amp;""</f>
        <v>14Bag13</v>
      </c>
      <c r="E238" s="223" t="str">
        <f>'14U BOYS SILVER-18 TEAMS'!E28&amp;""</f>
        <v>A1-POWAY VALLEY BLACK</v>
      </c>
      <c r="F238" s="222" t="str">
        <f>'14U BOYS SILVER-18 TEAMS'!F28&amp;""</f>
        <v>14</v>
      </c>
      <c r="G238" s="223" t="str">
        <f>'14U BOYS SILVER-18 TEAMS'!G28&amp;""</f>
        <v>A2-LOYOLA WPC</v>
      </c>
      <c r="H238" s="222" t="str">
        <f>'14U BOYS SILVER-18 TEAMS'!H28&amp;""</f>
        <v>4</v>
      </c>
      <c r="I238" s="221" t="str">
        <f>'14U BOYS SILVER-18 TEAMS'!I28&amp;""</f>
        <v>A bracket A1,A2</v>
      </c>
      <c r="J238" s="146" t="str">
        <f>'14U BOYS SILVER-18 TEAMS'!J28&amp;""</f>
        <v>14U_BOYS_SILVER</v>
      </c>
      <c r="K238" s="146" t="str">
        <f t="shared" si="6"/>
        <v>202601311430</v>
      </c>
    </row>
    <row r="239" spans="1:11">
      <c r="A239" s="225">
        <f>'14U BOYS SILVER-18 TEAMS'!A39</f>
        <v>46053</v>
      </c>
      <c r="B239" s="224">
        <f>'14U BOYS SILVER-18 TEAMS'!B39</f>
        <v>0.60416666666666696</v>
      </c>
      <c r="C239" s="224" t="str">
        <f>'14U BOYS SILVER-18 TEAMS'!C39&amp;""</f>
        <v>ESPERANZA HS</v>
      </c>
      <c r="D239" s="146" t="str">
        <f>'14U BOYS SILVER-18 TEAMS'!D39&amp;""</f>
        <v>14Bag16</v>
      </c>
      <c r="E239" s="224" t="str">
        <f>'14U BOYS SILVER-18 TEAMS'!E39&amp;""</f>
        <v>E1-GOLD COAST</v>
      </c>
      <c r="F239" s="221" t="str">
        <f>'14U BOYS SILVER-18 TEAMS'!F39&amp;""</f>
        <v>14</v>
      </c>
      <c r="G239" s="224" t="str">
        <f>'14U BOYS SILVER-18 TEAMS'!G39&amp;""</f>
        <v>E2-HONOLULU GREEN</v>
      </c>
      <c r="H239" s="222" t="str">
        <f>'14U BOYS SILVER-18 TEAMS'!H39&amp;""</f>
        <v>2</v>
      </c>
      <c r="I239" s="221" t="str">
        <f>'14U BOYS SILVER-18 TEAMS'!I39&amp;""</f>
        <v>E bracket E1,E2</v>
      </c>
      <c r="J239" s="146" t="str">
        <f>'14U BOYS SILVER-18 TEAMS'!J39&amp;""</f>
        <v>14U_BOYS_SILVER</v>
      </c>
      <c r="K239" s="146" t="str">
        <f t="shared" si="6"/>
        <v>202601311430</v>
      </c>
    </row>
    <row r="240" spans="1:11">
      <c r="A240" s="225">
        <f>'14U BOYS SILVER-18 TEAMS'!A29</f>
        <v>46053</v>
      </c>
      <c r="B240" s="224">
        <f>'14U BOYS SILVER-18 TEAMS'!B29</f>
        <v>0.63888888888888895</v>
      </c>
      <c r="C240" s="224" t="str">
        <f>'14U BOYS SILVER-18 TEAMS'!C29&amp;""</f>
        <v>SAN CLEMENTE HS</v>
      </c>
      <c r="D240" s="146" t="str">
        <f>'14U BOYS SILVER-18 TEAMS'!D29&amp;""</f>
        <v>14Bag15</v>
      </c>
      <c r="E240" s="224" t="str">
        <f>'14U BOYS SILVER-18 TEAMS'!E29&amp;""</f>
        <v>B1-SAN FRANCISCO</v>
      </c>
      <c r="F240" s="221" t="str">
        <f>'14U BOYS SILVER-18 TEAMS'!F29&amp;""</f>
        <v>18</v>
      </c>
      <c r="G240" s="224" t="str">
        <f>'14U BOYS SILVER-18 TEAMS'!G29&amp;""</f>
        <v>B2-TROJAN GOLD</v>
      </c>
      <c r="H240" s="222" t="str">
        <f>'14U BOYS SILVER-18 TEAMS'!H29&amp;""</f>
        <v>5</v>
      </c>
      <c r="I240" s="221" t="str">
        <f>'14U BOYS SILVER-18 TEAMS'!I29&amp;""</f>
        <v>B bracket B1,B2</v>
      </c>
      <c r="J240" s="146" t="str">
        <f>'14U BOYS SILVER-18 TEAMS'!J29&amp;""</f>
        <v>14U_BOYS_SILVER</v>
      </c>
      <c r="K240" s="146" t="str">
        <f t="shared" si="6"/>
        <v>202601311520</v>
      </c>
    </row>
    <row r="241" spans="1:11">
      <c r="A241" s="225">
        <f>'14U BOYS SILVER-18 TEAMS'!A40</f>
        <v>46053</v>
      </c>
      <c r="B241" s="224">
        <f>'14U BOYS SILVER-18 TEAMS'!B40</f>
        <v>0.63888888888888895</v>
      </c>
      <c r="C241" s="224" t="str">
        <f>'14U BOYS SILVER-18 TEAMS'!C40&amp;""</f>
        <v>ESPERANZA HS</v>
      </c>
      <c r="D241" s="146" t="str">
        <f>'14U BOYS SILVER-18 TEAMS'!D40&amp;""</f>
        <v>14Bag18</v>
      </c>
      <c r="E241" s="223" t="str">
        <f>'14U BOYS SILVER-18 TEAMS'!E40&amp;""</f>
        <v>F1-SET</v>
      </c>
      <c r="F241" s="222" t="str">
        <f>'14U BOYS SILVER-18 TEAMS'!F40&amp;""</f>
        <v>6</v>
      </c>
      <c r="G241" s="223" t="str">
        <f>'14U BOYS SILVER-18 TEAMS'!G40&amp;""</f>
        <v>F2-NADO</v>
      </c>
      <c r="H241" s="222" t="str">
        <f>'14U BOYS SILVER-18 TEAMS'!H40&amp;""</f>
        <v>14</v>
      </c>
      <c r="I241" s="221" t="str">
        <f>'14U BOYS SILVER-18 TEAMS'!I40&amp;""</f>
        <v>F bracket F1,F2</v>
      </c>
      <c r="J241" s="146" t="str">
        <f>'14U BOYS SILVER-18 TEAMS'!J40&amp;""</f>
        <v>14U_BOYS_SILVER</v>
      </c>
      <c r="K241" s="146" t="str">
        <f t="shared" si="6"/>
        <v>202601311520</v>
      </c>
    </row>
    <row r="242" spans="1:11">
      <c r="A242" s="225">
        <f>'14U BOYS SILVER-18 TEAMS'!A30</f>
        <v>46053</v>
      </c>
      <c r="B242" s="224">
        <f>'14U BOYS SILVER-18 TEAMS'!B30</f>
        <v>0.67361111111111105</v>
      </c>
      <c r="C242" s="224" t="str">
        <f>'14U BOYS SILVER-18 TEAMS'!C30&amp;""</f>
        <v>SAN CLEMENTE HS</v>
      </c>
      <c r="D242" s="146" t="str">
        <f>'14U BOYS SILVER-18 TEAMS'!D30&amp;""</f>
        <v>14Bag17</v>
      </c>
      <c r="E242" s="223" t="str">
        <f>'14U BOYS SILVER-18 TEAMS'!E30&amp;""</f>
        <v>C1-PASADENA AC</v>
      </c>
      <c r="F242" s="222" t="str">
        <f>'14U BOYS SILVER-18 TEAMS'!F30&amp;""</f>
        <v>16</v>
      </c>
      <c r="G242" s="223" t="str">
        <f>'14U BOYS SILVER-18 TEAMS'!G30&amp;""</f>
        <v>C2-TRITON GOLD</v>
      </c>
      <c r="H242" s="222" t="str">
        <f>'14U BOYS SILVER-18 TEAMS'!H30&amp;""</f>
        <v>3</v>
      </c>
      <c r="I242" s="221" t="str">
        <f>'14U BOYS SILVER-18 TEAMS'!I30&amp;""</f>
        <v>C bracket C1,C2</v>
      </c>
      <c r="J242" s="146" t="str">
        <f>'14U BOYS SILVER-18 TEAMS'!J30&amp;""</f>
        <v>14U_BOYS_SILVER</v>
      </c>
      <c r="K242" s="146" t="str">
        <f t="shared" si="6"/>
        <v>202601311610</v>
      </c>
    </row>
    <row r="243" spans="1:11">
      <c r="A243" s="225">
        <f>'14U BOYS SILVER-18 TEAMS'!A56</f>
        <v>46054</v>
      </c>
      <c r="B243" s="224">
        <f>'14U BOYS SILVER-18 TEAMS'!B56</f>
        <v>0.29166666666666669</v>
      </c>
      <c r="C243" s="224" t="str">
        <f>'14U BOYS SILVER-18 TEAMS'!C56&amp;""</f>
        <v>TUSTIN HS 1</v>
      </c>
      <c r="D243" s="146" t="str">
        <f>'14U BOYS SILVER-18 TEAMS'!D56&amp;""</f>
        <v>14Bag26</v>
      </c>
      <c r="E243" s="224" t="str">
        <f>'14U BOYS SILVER-18 TEAMS'!E56&amp;""</f>
        <v>K1(2ndC)-ORANGE COUNTY WPC RED</v>
      </c>
      <c r="F243" s="221" t="str">
        <f>'14U BOYS SILVER-18 TEAMS'!F56&amp;""</f>
        <v>3</v>
      </c>
      <c r="G243" s="224" t="str">
        <f>'14U BOYS SILVER-18 TEAMS'!G56&amp;""</f>
        <v>K3(2ndA)-LOYOLA WPC</v>
      </c>
      <c r="H243" s="222" t="str">
        <f>'14U BOYS SILVER-18 TEAMS'!H56&amp;""</f>
        <v>7</v>
      </c>
      <c r="I243" s="221" t="str">
        <f>'14U BOYS SILVER-18 TEAMS'!I56&amp;""</f>
        <v>7th-12th</v>
      </c>
      <c r="J243" s="146" t="str">
        <f>'14U BOYS SILVER-18 TEAMS'!J56&amp;""</f>
        <v>14U_BOYS_SILVER</v>
      </c>
      <c r="K243" s="146" t="str">
        <f t="shared" si="6"/>
        <v>202602010700</v>
      </c>
    </row>
    <row r="244" spans="1:11">
      <c r="A244" s="225">
        <f>'14U BOYS SILVER-18 TEAMS'!A57</f>
        <v>46054</v>
      </c>
      <c r="B244" s="224">
        <f>'14U BOYS SILVER-18 TEAMS'!B57</f>
        <v>0.29166666666666669</v>
      </c>
      <c r="C244" s="224" t="str">
        <f>'14U BOYS SILVER-18 TEAMS'!C57&amp;""</f>
        <v>EL TORO HS 1</v>
      </c>
      <c r="D244" s="146" t="str">
        <f>'14U BOYS SILVER-18 TEAMS'!D57&amp;""</f>
        <v>14Bag28</v>
      </c>
      <c r="E244" s="224" t="str">
        <f>'14U BOYS SILVER-18 TEAMS'!E57&amp;""</f>
        <v>M1(3rdA)-SAN CLEMENTE BLACK</v>
      </c>
      <c r="F244" s="221" t="str">
        <f>'14U BOYS SILVER-18 TEAMS'!F57&amp;""</f>
        <v>14</v>
      </c>
      <c r="G244" s="224" t="str">
        <f>'14U BOYS SILVER-18 TEAMS'!G57&amp;""</f>
        <v xml:space="preserve">M3(3rdC)-TRITON GOLD	</v>
      </c>
      <c r="H244" s="222" t="str">
        <f>'14U BOYS SILVER-18 TEAMS'!H57&amp;""</f>
        <v>6</v>
      </c>
      <c r="I244" s="221" t="str">
        <f>'14U BOYS SILVER-18 TEAMS'!I57&amp;""</f>
        <v>13th-18th</v>
      </c>
      <c r="J244" s="146" t="str">
        <f>'14U BOYS SILVER-18 TEAMS'!J57&amp;""</f>
        <v>14U_BOYS_SILVER</v>
      </c>
      <c r="K244" s="146" t="str">
        <f t="shared" si="6"/>
        <v>202602010700</v>
      </c>
    </row>
    <row r="245" spans="1:11">
      <c r="A245" s="225">
        <f>'14U BOYS SILVER-18 TEAMS'!A58</f>
        <v>46054</v>
      </c>
      <c r="B245" s="224">
        <f>'14U BOYS SILVER-18 TEAMS'!B58</f>
        <v>0.29166666666666669</v>
      </c>
      <c r="C245" s="224" t="str">
        <f>'14U BOYS SILVER-18 TEAMS'!C58&amp;""</f>
        <v>LAGUNA HILLS HS</v>
      </c>
      <c r="D245" s="146" t="str">
        <f>'14U BOYS SILVER-18 TEAMS'!D58&amp;""</f>
        <v>14Bag30</v>
      </c>
      <c r="E245" s="224" t="str">
        <f>'14U BOYS SILVER-18 TEAMS'!E58&amp;""</f>
        <v>N1(3rdD)-AMERICAN RIVER GOLD</v>
      </c>
      <c r="F245" s="221" t="str">
        <f>'14U BOYS SILVER-18 TEAMS'!F58&amp;""</f>
        <v>5.1</v>
      </c>
      <c r="G245" s="224" t="str">
        <f>'14U BOYS SILVER-18 TEAMS'!G58&amp;""</f>
        <v>N3(3rdF)-SET</v>
      </c>
      <c r="H245" s="222" t="str">
        <f>'14U BOYS SILVER-18 TEAMS'!H58&amp;""</f>
        <v>5.3</v>
      </c>
      <c r="I245" s="221" t="str">
        <f>'14U BOYS SILVER-18 TEAMS'!I58&amp;""</f>
        <v>13th-18th</v>
      </c>
      <c r="J245" s="146" t="str">
        <f>'14U BOYS SILVER-18 TEAMS'!J58&amp;""</f>
        <v>14U_BOYS_SILVER</v>
      </c>
      <c r="K245" s="146" t="str">
        <f t="shared" si="6"/>
        <v>202602010700</v>
      </c>
    </row>
    <row r="246" spans="1:11">
      <c r="A246" s="225">
        <f>'14U BOYS SILVER-18 TEAMS'!A44</f>
        <v>46054</v>
      </c>
      <c r="B246" s="224">
        <f>'14U BOYS SILVER-18 TEAMS'!B44</f>
        <v>0.3263888888888889</v>
      </c>
      <c r="C246" s="224" t="str">
        <f>'14U BOYS SILVER-18 TEAMS'!C44&amp;""</f>
        <v>COSTA MESA HS 1</v>
      </c>
      <c r="D246" s="146" t="str">
        <f>'14U BOYS SILVER-18 TEAMS'!D44&amp;""</f>
        <v>14Bag19</v>
      </c>
      <c r="E246" s="223" t="str">
        <f>'14U BOYS SILVER-18 TEAMS'!E44&amp;""</f>
        <v>G1(1stA)-POWAY VALLEY BLACK</v>
      </c>
      <c r="F246" s="222" t="str">
        <f>'14U BOYS SILVER-18 TEAMS'!F44&amp;""</f>
        <v>8</v>
      </c>
      <c r="G246" s="223" t="str">
        <f>'14U BOYS SILVER-18 TEAMS'!G44&amp;""</f>
        <v>G2(1stB)-SAN FRANCISCO</v>
      </c>
      <c r="H246" s="222" t="str">
        <f>'14U BOYS SILVER-18 TEAMS'!H44&amp;""</f>
        <v>5</v>
      </c>
      <c r="I246" s="221" t="str">
        <f>'14U BOYS SILVER-18 TEAMS'!I44&amp;""</f>
        <v>1st-6th</v>
      </c>
      <c r="J246" s="146" t="str">
        <f>'14U BOYS SILVER-18 TEAMS'!J44&amp;""</f>
        <v>14U_BOYS_SILVER</v>
      </c>
      <c r="K246" s="146" t="str">
        <f t="shared" si="6"/>
        <v>202602010750</v>
      </c>
    </row>
    <row r="247" spans="1:11">
      <c r="A247" s="225">
        <f>'14U BOYS SILVER-18 TEAMS'!A45</f>
        <v>46054</v>
      </c>
      <c r="B247" s="224">
        <f>'14U BOYS SILVER-18 TEAMS'!B45</f>
        <v>0.36111111111111099</v>
      </c>
      <c r="C247" s="224" t="str">
        <f>'14U BOYS SILVER-18 TEAMS'!C45&amp;""</f>
        <v>COSTA MESA HS 1</v>
      </c>
      <c r="D247" s="146" t="str">
        <f>'14U BOYS SILVER-18 TEAMS'!D45&amp;""</f>
        <v>14Bag21</v>
      </c>
      <c r="E247" s="224" t="str">
        <f>'14U BOYS SILVER-18 TEAMS'!E45&amp;""</f>
        <v>H1(1stD)-SAND CANYON</v>
      </c>
      <c r="F247" s="221" t="str">
        <f>'14U BOYS SILVER-18 TEAMS'!F45&amp;""</f>
        <v>11</v>
      </c>
      <c r="G247" s="224" t="str">
        <f>'14U BOYS SILVER-18 TEAMS'!G45&amp;""</f>
        <v>H2(1stE)-GOLD COAST</v>
      </c>
      <c r="H247" s="222" t="str">
        <f>'14U BOYS SILVER-18 TEAMS'!H45&amp;""</f>
        <v>14</v>
      </c>
      <c r="I247" s="221" t="str">
        <f>'14U BOYS SILVER-18 TEAMS'!I45&amp;""</f>
        <v>1st-6th</v>
      </c>
      <c r="J247" s="146" t="str">
        <f>'14U BOYS SILVER-18 TEAMS'!J45&amp;""</f>
        <v>14U_BOYS_SILVER</v>
      </c>
      <c r="K247" s="146" t="str">
        <f t="shared" si="6"/>
        <v>202602010840</v>
      </c>
    </row>
    <row r="248" spans="1:11">
      <c r="A248" s="225">
        <f>'14U BOYS SILVER-18 TEAMS'!A46</f>
        <v>46054</v>
      </c>
      <c r="B248" s="224">
        <f>'14U BOYS SILVER-18 TEAMS'!B46</f>
        <v>0.39583333333333398</v>
      </c>
      <c r="C248" s="224" t="str">
        <f>'14U BOYS SILVER-18 TEAMS'!C46&amp;""</f>
        <v>COSTA MESA HS 1</v>
      </c>
      <c r="D248" s="146" t="str">
        <f>'14U BOYS SILVER-18 TEAMS'!D46&amp;""</f>
        <v>14Bag23</v>
      </c>
      <c r="E248" s="223" t="str">
        <f>'14U BOYS SILVER-18 TEAMS'!E46&amp;""</f>
        <v>J1(2ndF)-NADO</v>
      </c>
      <c r="F248" s="222" t="str">
        <f>'14U BOYS SILVER-18 TEAMS'!F46&amp;""</f>
        <v>16</v>
      </c>
      <c r="G248" s="223" t="str">
        <f>'14U BOYS SILVER-18 TEAMS'!G46&amp;""</f>
        <v>J2(2ndE)-HONOLULU GREEN</v>
      </c>
      <c r="H248" s="222" t="str">
        <f>'14U BOYS SILVER-18 TEAMS'!H46&amp;""</f>
        <v>11</v>
      </c>
      <c r="I248" s="221" t="str">
        <f>'14U BOYS SILVER-18 TEAMS'!I46&amp;""</f>
        <v>7th-12th</v>
      </c>
      <c r="J248" s="146" t="str">
        <f>'14U BOYS SILVER-18 TEAMS'!J46&amp;""</f>
        <v>14U_BOYS_SILVER</v>
      </c>
      <c r="K248" s="146" t="str">
        <f t="shared" si="6"/>
        <v>202602010930</v>
      </c>
    </row>
    <row r="249" spans="1:11">
      <c r="A249" s="225">
        <f>'14U BOYS SILVER-18 TEAMS'!A60</f>
        <v>46054</v>
      </c>
      <c r="B249" s="224">
        <f>'14U BOYS SILVER-18 TEAMS'!B60</f>
        <v>0.39583333333333398</v>
      </c>
      <c r="C249" s="224" t="str">
        <f>'14U BOYS SILVER-18 TEAMS'!C60&amp;""</f>
        <v>TUSTIN HS 1</v>
      </c>
      <c r="D249" s="146" t="str">
        <f>'14U BOYS SILVER-18 TEAMS'!D60&amp;""</f>
        <v>14Bag32</v>
      </c>
      <c r="E249" s="224" t="str">
        <f>'14U BOYS SILVER-18 TEAMS'!E60&amp;""</f>
        <v>K2(2ndB)-SOUTH COAST BLUE (C)</v>
      </c>
      <c r="F249" s="221" t="str">
        <f>'14U BOYS SILVER-18 TEAMS'!F60&amp;""</f>
        <v>2</v>
      </c>
      <c r="G249" s="224" t="str">
        <f>'14U BOYS SILVER-18 TEAMS'!G60&amp;""</f>
        <v>K3(2ndA)-LOYOLA WPC</v>
      </c>
      <c r="H249" s="222" t="str">
        <f>'14U BOYS SILVER-18 TEAMS'!H60&amp;""</f>
        <v>8</v>
      </c>
      <c r="I249" s="221" t="str">
        <f>'14U BOYS SILVER-18 TEAMS'!I60&amp;""</f>
        <v>7th-12th</v>
      </c>
      <c r="J249" s="146" t="str">
        <f>'14U BOYS SILVER-18 TEAMS'!J60&amp;""</f>
        <v>14U_BOYS_SILVER</v>
      </c>
      <c r="K249" s="146" t="str">
        <f t="shared" si="6"/>
        <v>202602010930</v>
      </c>
    </row>
    <row r="250" spans="1:11">
      <c r="A250" s="225">
        <f>'14U BOYS SILVER-18 TEAMS'!A61</f>
        <v>46054</v>
      </c>
      <c r="B250" s="224">
        <f>'14U BOYS SILVER-18 TEAMS'!B61</f>
        <v>0.39583333333333398</v>
      </c>
      <c r="C250" s="224" t="str">
        <f>'14U BOYS SILVER-18 TEAMS'!C61&amp;""</f>
        <v>EL TORO HS 1</v>
      </c>
      <c r="D250" s="146" t="str">
        <f>'14U BOYS SILVER-18 TEAMS'!D61&amp;""</f>
        <v>14Bag34</v>
      </c>
      <c r="E250" s="224" t="str">
        <f>'14U BOYS SILVER-18 TEAMS'!E61&amp;""</f>
        <v>M2(3rdB)-TROJAN GOLD</v>
      </c>
      <c r="F250" s="221" t="str">
        <f>'14U BOYS SILVER-18 TEAMS'!F61&amp;""</f>
        <v>11</v>
      </c>
      <c r="G250" s="224" t="str">
        <f>'14U BOYS SILVER-18 TEAMS'!G61&amp;""</f>
        <v xml:space="preserve">M3(3rdC)-TRITON GOLD	</v>
      </c>
      <c r="H250" s="222" t="str">
        <f>'14U BOYS SILVER-18 TEAMS'!H61&amp;""</f>
        <v>10</v>
      </c>
      <c r="I250" s="221" t="str">
        <f>'14U BOYS SILVER-18 TEAMS'!I61&amp;""</f>
        <v>13th-18th</v>
      </c>
      <c r="J250" s="146" t="str">
        <f>'14U BOYS SILVER-18 TEAMS'!J61&amp;""</f>
        <v>14U_BOYS_SILVER</v>
      </c>
      <c r="K250" s="146" t="str">
        <f t="shared" si="6"/>
        <v>202602010930</v>
      </c>
    </row>
    <row r="251" spans="1:11">
      <c r="A251" s="225">
        <f>'14U BOYS SILVER-18 TEAMS'!A62</f>
        <v>46054</v>
      </c>
      <c r="B251" s="224">
        <f>'14U BOYS SILVER-18 TEAMS'!B62</f>
        <v>0.39583333333333398</v>
      </c>
      <c r="C251" s="224" t="str">
        <f>'14U BOYS SILVER-18 TEAMS'!C62&amp;""</f>
        <v>LAGUNA HILLS HS</v>
      </c>
      <c r="D251" s="146" t="str">
        <f>'14U BOYS SILVER-18 TEAMS'!D62&amp;""</f>
        <v>14Bag36</v>
      </c>
      <c r="E251" s="224" t="str">
        <f>'14U BOYS SILVER-18 TEAMS'!E62&amp;""</f>
        <v>N2(3rdE)-CC UNITED WHITE</v>
      </c>
      <c r="F251" s="221" t="str">
        <f>'14U BOYS SILVER-18 TEAMS'!F62&amp;""</f>
        <v>7</v>
      </c>
      <c r="G251" s="224" t="str">
        <f>'14U BOYS SILVER-18 TEAMS'!G62&amp;""</f>
        <v>N3(3rdF)-SET</v>
      </c>
      <c r="H251" s="222" t="str">
        <f>'14U BOYS SILVER-18 TEAMS'!H62&amp;""</f>
        <v>6</v>
      </c>
      <c r="I251" s="221" t="str">
        <f>'14U BOYS SILVER-18 TEAMS'!I62&amp;""</f>
        <v>13th-18th</v>
      </c>
      <c r="J251" s="146" t="str">
        <f>'14U BOYS SILVER-18 TEAMS'!J62&amp;""</f>
        <v>14U_BOYS_SILVER</v>
      </c>
      <c r="K251" s="146" t="str">
        <f t="shared" si="6"/>
        <v>202602010930</v>
      </c>
    </row>
    <row r="252" spans="1:11">
      <c r="A252" s="225">
        <f>'14U BOYS SILVER-18 TEAMS'!A47</f>
        <v>46054</v>
      </c>
      <c r="B252" s="224">
        <f>'14U BOYS SILVER-18 TEAMS'!B47</f>
        <v>0.43055555555555602</v>
      </c>
      <c r="C252" s="224" t="str">
        <f>'14U BOYS SILVER-18 TEAMS'!C47&amp;""</f>
        <v>COSTA MESA HS 1</v>
      </c>
      <c r="D252" s="146" t="str">
        <f>'14U BOYS SILVER-18 TEAMS'!D47&amp;""</f>
        <v>14Bag25</v>
      </c>
      <c r="E252" s="223" t="str">
        <f>'14U BOYS SILVER-18 TEAMS'!E47&amp;""</f>
        <v>G1(1stA)-POWAY VALLEY BLACK</v>
      </c>
      <c r="F252" s="222" t="str">
        <f>'14U BOYS SILVER-18 TEAMS'!F47&amp;""</f>
        <v>8</v>
      </c>
      <c r="G252" s="223" t="str">
        <f>'14U BOYS SILVER-18 TEAMS'!G47&amp;""</f>
        <v>G3(1stC)-PASADENA AC</v>
      </c>
      <c r="H252" s="222" t="str">
        <f>'14U BOYS SILVER-18 TEAMS'!H47&amp;""</f>
        <v>5</v>
      </c>
      <c r="I252" s="221" t="str">
        <f>'14U BOYS SILVER-18 TEAMS'!I47&amp;""</f>
        <v>1st-6th</v>
      </c>
      <c r="J252" s="146" t="str">
        <f>'14U BOYS SILVER-18 TEAMS'!J47&amp;""</f>
        <v>14U_BOYS_SILVER</v>
      </c>
      <c r="K252" s="146" t="str">
        <f t="shared" si="6"/>
        <v>202602011020</v>
      </c>
    </row>
    <row r="253" spans="1:11">
      <c r="A253" s="225">
        <f>'14U BOYS SILVER-18 TEAMS'!A48</f>
        <v>46054</v>
      </c>
      <c r="B253" s="224">
        <f>'14U BOYS SILVER-18 TEAMS'!B48</f>
        <v>0.46527777777777801</v>
      </c>
      <c r="C253" s="224" t="str">
        <f>'14U BOYS SILVER-18 TEAMS'!C48&amp;""</f>
        <v>COSTA MESA HS 1</v>
      </c>
      <c r="D253" s="146" t="str">
        <f>'14U BOYS SILVER-18 TEAMS'!D48&amp;""</f>
        <v>14Bag27</v>
      </c>
      <c r="E253" s="224" t="str">
        <f>'14U BOYS SILVER-18 TEAMS'!E48&amp;""</f>
        <v>H1(1stD)-SAND CANYON</v>
      </c>
      <c r="F253" s="221" t="str">
        <f>'14U BOYS SILVER-18 TEAMS'!F48&amp;""</f>
        <v>12</v>
      </c>
      <c r="G253" s="224" t="str">
        <f>'14U BOYS SILVER-18 TEAMS'!G48&amp;""</f>
        <v>H3(1stF)-680 WHITE</v>
      </c>
      <c r="H253" s="222" t="str">
        <f>'14U BOYS SILVER-18 TEAMS'!H48&amp;""</f>
        <v>7</v>
      </c>
      <c r="I253" s="221" t="str">
        <f>'14U BOYS SILVER-18 TEAMS'!I48&amp;""</f>
        <v>1st-6th</v>
      </c>
      <c r="J253" s="146" t="str">
        <f>'14U BOYS SILVER-18 TEAMS'!J48&amp;""</f>
        <v>14U_BOYS_SILVER</v>
      </c>
      <c r="K253" s="146" t="str">
        <f t="shared" si="6"/>
        <v>202602011110</v>
      </c>
    </row>
    <row r="254" spans="1:11">
      <c r="A254" s="225">
        <f>'14U BOYS SILVER-18 TEAMS'!A64</f>
        <v>46054</v>
      </c>
      <c r="B254" s="224">
        <f>'14U BOYS SILVER-18 TEAMS'!B64</f>
        <v>0.5</v>
      </c>
      <c r="C254" s="224" t="str">
        <f>'14U BOYS SILVER-18 TEAMS'!C64&amp;""</f>
        <v>TUSTIN HS 1</v>
      </c>
      <c r="D254" s="146" t="str">
        <f>'14U BOYS SILVER-18 TEAMS'!D64&amp;""</f>
        <v>14Bag20</v>
      </c>
      <c r="E254" s="224" t="str">
        <f>'14U BOYS SILVER-18 TEAMS'!E64&amp;""</f>
        <v>K1(2ndC)-ORANGE COUNTY WPC RED</v>
      </c>
      <c r="F254" s="221" t="str">
        <f>'14U BOYS SILVER-18 TEAMS'!F64&amp;""</f>
        <v>9</v>
      </c>
      <c r="G254" s="224" t="str">
        <f>'14U BOYS SILVER-18 TEAMS'!G64&amp;""</f>
        <v>K2(2ndB)-SOUTH COAST BLUE (C)</v>
      </c>
      <c r="H254" s="222" t="str">
        <f>'14U BOYS SILVER-18 TEAMS'!H64&amp;""</f>
        <v>3</v>
      </c>
      <c r="I254" s="221" t="str">
        <f>'14U BOYS SILVER-18 TEAMS'!I64&amp;""</f>
        <v>7th-12th</v>
      </c>
      <c r="J254" s="146" t="str">
        <f>'14U BOYS SILVER-18 TEAMS'!J64&amp;""</f>
        <v>14U_BOYS_SILVER</v>
      </c>
      <c r="K254" s="146" t="str">
        <f t="shared" si="6"/>
        <v>202602011200</v>
      </c>
    </row>
    <row r="255" spans="1:11">
      <c r="A255" s="225">
        <f>'14U BOYS SILVER-18 TEAMS'!A65</f>
        <v>46054</v>
      </c>
      <c r="B255" s="224">
        <f>'14U BOYS SILVER-18 TEAMS'!B65</f>
        <v>0.5</v>
      </c>
      <c r="C255" s="224" t="str">
        <f>'14U BOYS SILVER-18 TEAMS'!C65&amp;""</f>
        <v>EL TORO HS 1</v>
      </c>
      <c r="D255" s="146" t="str">
        <f>'14U BOYS SILVER-18 TEAMS'!D65&amp;""</f>
        <v>14Bag22</v>
      </c>
      <c r="E255" s="224" t="str">
        <f>'14U BOYS SILVER-18 TEAMS'!E65&amp;""</f>
        <v>M1(3rdA)-SAN CLEMENTE BLACK</v>
      </c>
      <c r="F255" s="221" t="str">
        <f>'14U BOYS SILVER-18 TEAMS'!F65&amp;""</f>
        <v>13</v>
      </c>
      <c r="G255" s="224" t="str">
        <f>'14U BOYS SILVER-18 TEAMS'!G65&amp;""</f>
        <v>M2(3rdB)-TROJAN GOLD</v>
      </c>
      <c r="H255" s="222" t="str">
        <f>'14U BOYS SILVER-18 TEAMS'!H65&amp;""</f>
        <v>4</v>
      </c>
      <c r="I255" s="221" t="str">
        <f>'14U BOYS SILVER-18 TEAMS'!I65&amp;""</f>
        <v>13th-18th</v>
      </c>
      <c r="J255" s="146" t="str">
        <f>'14U BOYS SILVER-18 TEAMS'!J65&amp;""</f>
        <v>14U_BOYS_SILVER</v>
      </c>
      <c r="K255" s="146" t="str">
        <f t="shared" si="6"/>
        <v>202602011200</v>
      </c>
    </row>
    <row r="256" spans="1:11">
      <c r="A256" s="225">
        <f>'14U BOYS SILVER-18 TEAMS'!A66</f>
        <v>46054</v>
      </c>
      <c r="B256" s="224">
        <f>'14U BOYS SILVER-18 TEAMS'!B66</f>
        <v>0.5</v>
      </c>
      <c r="C256" s="224" t="str">
        <f>'14U BOYS SILVER-18 TEAMS'!C66&amp;""</f>
        <v>ALISO NIGUEL HS</v>
      </c>
      <c r="D256" s="146" t="str">
        <f>'14U BOYS SILVER-18 TEAMS'!D66&amp;""</f>
        <v>14Bag24</v>
      </c>
      <c r="E256" s="223" t="str">
        <f>'14U BOYS SILVER-18 TEAMS'!E66&amp;""</f>
        <v>N1(3rdD)-AMERICAN RIVER GOLD</v>
      </c>
      <c r="F256" s="222" t="str">
        <f>'14U BOYS SILVER-18 TEAMS'!F66&amp;""</f>
        <v>4</v>
      </c>
      <c r="G256" s="223" t="str">
        <f>'14U BOYS SILVER-18 TEAMS'!G66&amp;""</f>
        <v>N2(3rdE)-CC UNITED WHITE</v>
      </c>
      <c r="H256" s="222" t="str">
        <f>'14U BOYS SILVER-18 TEAMS'!H66&amp;""</f>
        <v>2</v>
      </c>
      <c r="I256" s="221" t="str">
        <f>'14U BOYS SILVER-18 TEAMS'!I66&amp;""</f>
        <v>13th-18th</v>
      </c>
      <c r="J256" s="146" t="str">
        <f>'14U BOYS SILVER-18 TEAMS'!J66&amp;""</f>
        <v>14U_BOYS_SILVER</v>
      </c>
      <c r="K256" s="146" t="str">
        <f t="shared" si="6"/>
        <v>202602011200</v>
      </c>
    </row>
    <row r="257" spans="1:11">
      <c r="A257" s="225">
        <f>'14U BOYS SILVER-18 TEAMS'!A49</f>
        <v>46054</v>
      </c>
      <c r="B257" s="224">
        <f>'14U BOYS SILVER-18 TEAMS'!B49</f>
        <v>0.5</v>
      </c>
      <c r="C257" s="224" t="str">
        <f>'14U BOYS SILVER-18 TEAMS'!C49&amp;""</f>
        <v>COSTA MESA HS 1</v>
      </c>
      <c r="D257" s="146" t="str">
        <f>'14U BOYS SILVER-18 TEAMS'!D49&amp;""</f>
        <v>14Bag35</v>
      </c>
      <c r="E257" s="224" t="str">
        <f>'14U BOYS SILVER-18 TEAMS'!E49&amp;""</f>
        <v>J2(2ndE)-HONOLULU GREEN</v>
      </c>
      <c r="F257" s="221" t="str">
        <f>'14U BOYS SILVER-18 TEAMS'!F49&amp;""</f>
        <v>8</v>
      </c>
      <c r="G257" s="224" t="str">
        <f>'14U BOYS SILVER-18 TEAMS'!G49&amp;""</f>
        <v>J3(2ndD)-PALOS VERDES B</v>
      </c>
      <c r="H257" s="222" t="str">
        <f>'14U BOYS SILVER-18 TEAMS'!H49&amp;""</f>
        <v>11</v>
      </c>
      <c r="I257" s="221" t="str">
        <f>'14U BOYS SILVER-18 TEAMS'!I49&amp;""</f>
        <v>7th-12th</v>
      </c>
      <c r="J257" s="146" t="str">
        <f>'14U BOYS SILVER-18 TEAMS'!J49&amp;""</f>
        <v>14U_BOYS_SILVER</v>
      </c>
      <c r="K257" s="146" t="str">
        <f t="shared" ref="K257:K288" si="7">TEXT(DATE(2026, MONTH(A257), DAY(A257)) + TIME(HOUR(B257), MINUTE(B257), 0), "yyyymmddhhmm")</f>
        <v>202602011200</v>
      </c>
    </row>
    <row r="258" spans="1:11">
      <c r="A258" s="225">
        <f>'14U BOYS SILVER-18 TEAMS'!A50</f>
        <v>46054</v>
      </c>
      <c r="B258" s="224">
        <f>'14U BOYS SILVER-18 TEAMS'!B50</f>
        <v>0.53472222222222199</v>
      </c>
      <c r="C258" s="224" t="str">
        <f>'14U BOYS SILVER-18 TEAMS'!C50&amp;""</f>
        <v>COSTA MESA HS 1</v>
      </c>
      <c r="D258" s="146" t="str">
        <f>'14U BOYS SILVER-18 TEAMS'!D50&amp;""</f>
        <v>14Bag31</v>
      </c>
      <c r="E258" s="224" t="str">
        <f>'14U BOYS SILVER-18 TEAMS'!E50&amp;""</f>
        <v>G2(1stB)-SAN FRANCISCO</v>
      </c>
      <c r="F258" s="221" t="str">
        <f>'14U BOYS SILVER-18 TEAMS'!F50&amp;""</f>
        <v>6</v>
      </c>
      <c r="G258" s="224" t="str">
        <f>'14U BOYS SILVER-18 TEAMS'!G50&amp;""</f>
        <v>G3(1stC)-PASADENA AC</v>
      </c>
      <c r="H258" s="222" t="str">
        <f>'14U BOYS SILVER-18 TEAMS'!H50&amp;""</f>
        <v>11</v>
      </c>
      <c r="I258" s="221" t="str">
        <f>'14U BOYS SILVER-18 TEAMS'!I50&amp;""</f>
        <v>1st-6th</v>
      </c>
      <c r="J258" s="146" t="str">
        <f>'14U BOYS SILVER-18 TEAMS'!J50&amp;""</f>
        <v>14U_BOYS_SILVER</v>
      </c>
      <c r="K258" s="146" t="str">
        <f t="shared" si="7"/>
        <v>202602011250</v>
      </c>
    </row>
    <row r="259" spans="1:11">
      <c r="A259" s="225">
        <f>'14U BOYS SILVER-18 TEAMS'!A51</f>
        <v>46054</v>
      </c>
      <c r="B259" s="224">
        <f>'14U BOYS SILVER-18 TEAMS'!B51</f>
        <v>0.56944444444444497</v>
      </c>
      <c r="C259" s="224" t="str">
        <f>'14U BOYS SILVER-18 TEAMS'!C51&amp;""</f>
        <v>COSTA MESA HS 1</v>
      </c>
      <c r="D259" s="146" t="str">
        <f>'14U BOYS SILVER-18 TEAMS'!D51&amp;""</f>
        <v>14Bag33</v>
      </c>
      <c r="E259" s="224" t="str">
        <f>'14U BOYS SILVER-18 TEAMS'!E51&amp;""</f>
        <v>H2(1stE)-GOLD COAST</v>
      </c>
      <c r="F259" s="221" t="str">
        <f>'14U BOYS SILVER-18 TEAMS'!F51&amp;""</f>
        <v>14</v>
      </c>
      <c r="G259" s="224" t="str">
        <f>'14U BOYS SILVER-18 TEAMS'!G51&amp;""</f>
        <v>H3(1stF)-680 WHITE</v>
      </c>
      <c r="H259" s="222" t="str">
        <f>'14U BOYS SILVER-18 TEAMS'!H51&amp;""</f>
        <v>10</v>
      </c>
      <c r="I259" s="221" t="str">
        <f>'14U BOYS SILVER-18 TEAMS'!I51&amp;""</f>
        <v>1st-6th</v>
      </c>
      <c r="J259" s="146" t="str">
        <f>'14U BOYS SILVER-18 TEAMS'!J51&amp;""</f>
        <v>14U_BOYS_SILVER</v>
      </c>
      <c r="K259" s="146" t="str">
        <f t="shared" si="7"/>
        <v>202602011340</v>
      </c>
    </row>
    <row r="260" spans="1:11">
      <c r="A260" s="225">
        <f>'14U BOYS SILVER-18 TEAMS'!A52</f>
        <v>46054</v>
      </c>
      <c r="B260" s="224">
        <f>'14U BOYS SILVER-18 TEAMS'!B52</f>
        <v>0.60416666666666696</v>
      </c>
      <c r="C260" s="224" t="str">
        <f>'14U BOYS SILVER-18 TEAMS'!C52&amp;""</f>
        <v>COSTA MESA HS 1</v>
      </c>
      <c r="D260" s="146" t="str">
        <f>'14U BOYS SILVER-18 TEAMS'!D52&amp;""</f>
        <v>14Bag29</v>
      </c>
      <c r="E260" s="223" t="str">
        <f>'14U BOYS SILVER-18 TEAMS'!E52&amp;""</f>
        <v>J1(2ndF)-NADO</v>
      </c>
      <c r="F260" s="222" t="str">
        <f>'14U BOYS SILVER-18 TEAMS'!F52&amp;""</f>
        <v>11</v>
      </c>
      <c r="G260" s="223" t="str">
        <f>'14U BOYS SILVER-18 TEAMS'!G52&amp;""</f>
        <v>J3(2ndD)-PALOS VERDES B</v>
      </c>
      <c r="H260" s="222" t="str">
        <f>'14U BOYS SILVER-18 TEAMS'!H52&amp;""</f>
        <v>10</v>
      </c>
      <c r="I260" s="221" t="str">
        <f>'14U BOYS SILVER-18 TEAMS'!I52&amp;""</f>
        <v>7th-12th</v>
      </c>
      <c r="J260" s="146" t="str">
        <f>'14U BOYS SILVER-18 TEAMS'!J52&amp;""</f>
        <v>14U_BOYS_SILVER</v>
      </c>
      <c r="K260" s="146" t="str">
        <f t="shared" si="7"/>
        <v>202602011430</v>
      </c>
    </row>
    <row r="261" spans="1:11">
      <c r="A261" s="225">
        <f>'14U BOYS SILVER-18 TEAMS'!A53</f>
        <v>46054</v>
      </c>
      <c r="B261" s="224">
        <f>'14U BOYS SILVER-18 TEAMS'!B53</f>
        <v>0.63888888888888895</v>
      </c>
      <c r="C261" s="224" t="str">
        <f>'14U BOYS SILVER-18 TEAMS'!C53&amp;""</f>
        <v>COSTA MESA HS 1</v>
      </c>
      <c r="D261" s="146" t="str">
        <f>'14U BOYS SILVER-18 TEAMS'!D53&amp;""</f>
        <v>14Bag37</v>
      </c>
      <c r="E261" s="224" t="str">
        <f>'14U BOYS SILVER-18 TEAMS'!E53&amp;""</f>
        <v>2ndG-PASADENA AC</v>
      </c>
      <c r="F261" s="221" t="str">
        <f>'14U BOYS SILVER-18 TEAMS'!F53&amp;""</f>
        <v>15</v>
      </c>
      <c r="G261" s="224" t="str">
        <f>'14U BOYS SILVER-18 TEAMS'!G53&amp;""</f>
        <v>2ndH-SAND CANYON</v>
      </c>
      <c r="H261" s="222" t="str">
        <f>'14U BOYS SILVER-18 TEAMS'!H53&amp;""</f>
        <v>14</v>
      </c>
      <c r="I261" s="221" t="str">
        <f>'14U BOYS SILVER-18 TEAMS'!I53&amp;""</f>
        <v>overall 3rd</v>
      </c>
      <c r="J261" s="146" t="str">
        <f>'14U BOYS SILVER-18 TEAMS'!J53&amp;""</f>
        <v>14U_BOYS_SILVER</v>
      </c>
      <c r="K261" s="146" t="str">
        <f t="shared" si="7"/>
        <v>202602011520</v>
      </c>
    </row>
    <row r="262" spans="1:11">
      <c r="A262" s="225">
        <f>'14U BOYS SILVER-18 TEAMS'!A54</f>
        <v>46054</v>
      </c>
      <c r="B262" s="224">
        <f>'14U BOYS SILVER-18 TEAMS'!B54</f>
        <v>0.67361111111111105</v>
      </c>
      <c r="C262" s="224" t="str">
        <f>'14U BOYS SILVER-18 TEAMS'!C54&amp;""</f>
        <v>COSTA MESA HS 1</v>
      </c>
      <c r="D262" s="146" t="str">
        <f>'14U BOYS SILVER-18 TEAMS'!D54&amp;""</f>
        <v>14Bag38</v>
      </c>
      <c r="E262" s="224" t="str">
        <f>'14U BOYS SILVER-18 TEAMS'!E54&amp;""</f>
        <v>1stG-POWAY VALLEY BLACK</v>
      </c>
      <c r="F262" s="221" t="str">
        <f>'14U BOYS SILVER-18 TEAMS'!F54&amp;""</f>
        <v>11</v>
      </c>
      <c r="G262" s="224" t="str">
        <f>'14U BOYS SILVER-18 TEAMS'!G54&amp;""</f>
        <v>1stH-GOLD COAST</v>
      </c>
      <c r="H262" s="222" t="str">
        <f>'14U BOYS SILVER-18 TEAMS'!H54&amp;""</f>
        <v>6</v>
      </c>
      <c r="I262" s="221" t="str">
        <f>'14U BOYS SILVER-18 TEAMS'!I54&amp;""</f>
        <v>overall 1st</v>
      </c>
      <c r="J262" s="146" t="str">
        <f>'14U BOYS SILVER-18 TEAMS'!J54&amp;""</f>
        <v>14U_BOYS_SILVER</v>
      </c>
      <c r="K262" s="146" t="str">
        <f t="shared" si="7"/>
        <v>202602011610</v>
      </c>
    </row>
    <row r="263" spans="1:11">
      <c r="A263" s="232">
        <f>'14U BOYS GOLD-26 TEAMS'!A40</f>
        <v>46053</v>
      </c>
      <c r="B263" s="231">
        <f>'14U BOYS GOLD-26 TEAMS'!B40</f>
        <v>0.29166666666666669</v>
      </c>
      <c r="C263" s="98" t="str">
        <f>'14U BOYS GOLD-26 TEAMS'!C40&amp;""</f>
        <v>ESPERANZA HS</v>
      </c>
      <c r="D263" s="98" t="str">
        <f>'14U BOYS GOLD-26 TEAMS'!D40&amp;""</f>
        <v>14Bau15</v>
      </c>
      <c r="E263" s="229" t="str">
        <f>'14U BOYS GOLD-26 TEAMS'!E40&amp;""</f>
        <v>7-HIELAND</v>
      </c>
      <c r="F263" s="229" t="str">
        <f>'14U BOYS GOLD-26 TEAMS'!F40&amp;""</f>
        <v>11.6</v>
      </c>
      <c r="G263" s="229" t="str">
        <f>'14U BOYS GOLD-26 TEAMS'!G40&amp;""</f>
        <v>26-SOUTH COAST WHITE (B)</v>
      </c>
      <c r="H263" s="229" t="str">
        <f>'14U BOYS GOLD-26 TEAMS'!H40&amp;""</f>
        <v>11.5</v>
      </c>
      <c r="I263" s="98" t="str">
        <f>'14U BOYS GOLD-26 TEAMS'!I40&amp;""</f>
        <v>W/L H1/H4</v>
      </c>
      <c r="J263" s="229" t="str">
        <f>'14U BOYS GOLD-26 TEAMS'!J40&amp;""</f>
        <v>14U_BOYS_GOLD</v>
      </c>
      <c r="K263" s="229" t="str">
        <f t="shared" si="7"/>
        <v>202601310700</v>
      </c>
    </row>
    <row r="264" spans="1:11">
      <c r="A264" s="232">
        <f>'14U BOYS GOLD-26 TEAMS'!A26</f>
        <v>46053</v>
      </c>
      <c r="B264" s="231">
        <f>'14U BOYS GOLD-26 TEAMS'!B26</f>
        <v>0.3263888888888889</v>
      </c>
      <c r="C264" s="98" t="str">
        <f>'14U BOYS GOLD-26 TEAMS'!C26&amp;""</f>
        <v>COSTA MESA HS 1</v>
      </c>
      <c r="D264" s="98" t="str">
        <f>'14U BOYS GOLD-26 TEAMS'!D26&amp;""</f>
        <v>14Bau01</v>
      </c>
      <c r="E264" s="229" t="str">
        <f>'14U BOYS GOLD-26 TEAMS'!E26&amp;""</f>
        <v>A1(1)-HONOLULU BLUE</v>
      </c>
      <c r="F264" s="229" t="str">
        <f>'14U BOYS GOLD-26 TEAMS'!F26&amp;""</f>
        <v>2</v>
      </c>
      <c r="G264" s="229" t="str">
        <f>'14U BOYS GOLD-26 TEAMS'!G26&amp;""</f>
        <v>A2(16)-SHORE AQUATICS</v>
      </c>
      <c r="H264" s="229" t="str">
        <f>'14U BOYS GOLD-26 TEAMS'!H26&amp;""</f>
        <v>14</v>
      </c>
      <c r="I264" s="98" t="str">
        <f>'14U BOYS GOLD-26 TEAMS'!I26&amp;""</f>
        <v>A bracket A1,A2</v>
      </c>
      <c r="J264" s="229" t="str">
        <f>'14U BOYS GOLD-26 TEAMS'!J26&amp;""</f>
        <v>14U_BOYS_GOLD</v>
      </c>
      <c r="K264" s="229" t="str">
        <f t="shared" si="7"/>
        <v>202601310750</v>
      </c>
    </row>
    <row r="265" spans="1:11">
      <c r="A265" s="232">
        <f>'14U BOYS GOLD-26 TEAMS'!A42</f>
        <v>46053</v>
      </c>
      <c r="B265" s="231">
        <f>'14U BOYS GOLD-26 TEAMS'!B42</f>
        <v>0.3263888888888889</v>
      </c>
      <c r="C265" s="98" t="str">
        <f>'14U BOYS GOLD-26 TEAMS'!C42&amp;""</f>
        <v>ESTANCIA HS 2</v>
      </c>
      <c r="D265" s="98" t="str">
        <f>'14U BOYS GOLD-26 TEAMS'!D42&amp;""</f>
        <v>14Bau14</v>
      </c>
      <c r="E265" s="229" t="str">
        <f>'14U BOYS GOLD-26 TEAMS'!E42&amp;""</f>
        <v>G1(6)-SD ECA</v>
      </c>
      <c r="F265" s="229" t="str">
        <f>'14U BOYS GOLD-26 TEAMS'!F42&amp;""</f>
        <v>8</v>
      </c>
      <c r="G265" s="229" t="str">
        <f>'14U BOYS GOLD-26 TEAMS'!G42&amp;""</f>
        <v>G3(22)-VANGUARD SILVER</v>
      </c>
      <c r="H265" s="229" t="str">
        <f>'14U BOYS GOLD-26 TEAMS'!H42&amp;""</f>
        <v>13</v>
      </c>
      <c r="I265" s="98" t="str">
        <f>'14U BOYS GOLD-26 TEAMS'!I42&amp;""</f>
        <v>G bracket G1,G3</v>
      </c>
      <c r="J265" s="229" t="str">
        <f>'14U BOYS GOLD-26 TEAMS'!J42&amp;""</f>
        <v>14U_BOYS_GOLD</v>
      </c>
      <c r="K265" s="229" t="str">
        <f t="shared" si="7"/>
        <v>202601310750</v>
      </c>
    </row>
    <row r="266" spans="1:11">
      <c r="A266" s="232">
        <f>'14U BOYS GOLD-26 TEAMS'!A41</f>
        <v>46053</v>
      </c>
      <c r="B266" s="231">
        <f>'14U BOYS GOLD-26 TEAMS'!B41</f>
        <v>0.3263888888888889</v>
      </c>
      <c r="C266" s="98" t="str">
        <f>'14U BOYS GOLD-26 TEAMS'!C41&amp;""</f>
        <v>ESPERANZA HS</v>
      </c>
      <c r="D266" s="98" t="str">
        <f>'14U BOYS GOLD-26 TEAMS'!D41&amp;""</f>
        <v>14Bau16</v>
      </c>
      <c r="E266" s="229" t="str">
        <f>'14U BOYS GOLD-26 TEAMS'!E41&amp;""</f>
        <v>10-SHAQ WHITE</v>
      </c>
      <c r="F266" s="229" t="str">
        <f>'14U BOYS GOLD-26 TEAMS'!F41&amp;""</f>
        <v>8.3</v>
      </c>
      <c r="G266" s="229" t="str">
        <f>'14U BOYS GOLD-26 TEAMS'!G41&amp;""</f>
        <v>23-PATRIOT RED</v>
      </c>
      <c r="H266" s="229" t="str">
        <f>'14U BOYS GOLD-26 TEAMS'!H41&amp;""</f>
        <v>8.2</v>
      </c>
      <c r="I266" s="98" t="str">
        <f>'14U BOYS GOLD-26 TEAMS'!I41&amp;""</f>
        <v>W/L H2/H3</v>
      </c>
      <c r="J266" s="229" t="str">
        <f>'14U BOYS GOLD-26 TEAMS'!J41&amp;""</f>
        <v>14U_BOYS_GOLD</v>
      </c>
      <c r="K266" s="229" t="str">
        <f t="shared" si="7"/>
        <v>202601310750</v>
      </c>
    </row>
    <row r="267" spans="1:11">
      <c r="A267" s="232">
        <f>'14U BOYS GOLD-26 TEAMS'!A27</f>
        <v>46053</v>
      </c>
      <c r="B267" s="231">
        <f>'14U BOYS GOLD-26 TEAMS'!B27</f>
        <v>0.36111111111111099</v>
      </c>
      <c r="C267" s="98" t="str">
        <f>'14U BOYS GOLD-26 TEAMS'!C27&amp;""</f>
        <v>COSTA MESA HS 1</v>
      </c>
      <c r="D267" s="98" t="str">
        <f>'14U BOYS GOLD-26 TEAMS'!D27&amp;""</f>
        <v>14Bau08</v>
      </c>
      <c r="E267" s="229" t="str">
        <f>'14U BOYS GOLD-26 TEAMS'!E27&amp;""</f>
        <v>B1(4)-DAVIS</v>
      </c>
      <c r="F267" s="229" t="str">
        <f>'14U BOYS GOLD-26 TEAMS'!F27&amp;""</f>
        <v>18</v>
      </c>
      <c r="G267" s="229" t="str">
        <f>'14U BOYS GOLD-26 TEAMS'!G27&amp;""</f>
        <v>B3(20)-LA JOLLA UNITED GOLD</v>
      </c>
      <c r="H267" s="229" t="str">
        <f>'14U BOYS GOLD-26 TEAMS'!H27&amp;""</f>
        <v>7</v>
      </c>
      <c r="I267" s="98" t="str">
        <f>'14U BOYS GOLD-26 TEAMS'!I27&amp;""</f>
        <v>B bracket B1,B3</v>
      </c>
      <c r="J267" s="229" t="str">
        <f>'14U BOYS GOLD-26 TEAMS'!J27&amp;""</f>
        <v>14U_BOYS_GOLD</v>
      </c>
      <c r="K267" s="229" t="str">
        <f t="shared" si="7"/>
        <v>202601310840</v>
      </c>
    </row>
    <row r="268" spans="1:11">
      <c r="A268" s="232">
        <f>'14U BOYS GOLD-26 TEAMS'!A43</f>
        <v>46053</v>
      </c>
      <c r="B268" s="231">
        <f>'14U BOYS GOLD-26 TEAMS'!B43</f>
        <v>0.36111111111111099</v>
      </c>
      <c r="C268" s="98" t="str">
        <f>'14U BOYS GOLD-26 TEAMS'!C43&amp;""</f>
        <v>ESTANCIA HS 2</v>
      </c>
      <c r="D268" s="98" t="str">
        <f>'14U BOYS GOLD-26 TEAMS'!D43&amp;""</f>
        <v>14Bau21</v>
      </c>
      <c r="E268" s="229" t="str">
        <f>'14U BOYS GOLD-26 TEAMS'!E43&amp;""</f>
        <v>E1(2)-FOOTHILL RED</v>
      </c>
      <c r="F268" s="229" t="str">
        <f>'14U BOYS GOLD-26 TEAMS'!F43&amp;""</f>
        <v>10.6</v>
      </c>
      <c r="G268" s="229" t="str">
        <f>'14U BOYS GOLD-26 TEAMS'!G43&amp;""</f>
        <v>E3(18)-CC UNITED BLUE</v>
      </c>
      <c r="H268" s="229" t="str">
        <f>'14U BOYS GOLD-26 TEAMS'!H43&amp;""</f>
        <v>10.7</v>
      </c>
      <c r="I268" s="98" t="str">
        <f>'14U BOYS GOLD-26 TEAMS'!I43&amp;""</f>
        <v>E bracket E1,E3</v>
      </c>
      <c r="J268" s="229" t="str">
        <f>'14U BOYS GOLD-26 TEAMS'!J43&amp;""</f>
        <v>14U_BOYS_GOLD</v>
      </c>
      <c r="K268" s="229" t="str">
        <f t="shared" si="7"/>
        <v>202601310840</v>
      </c>
    </row>
    <row r="269" spans="1:11">
      <c r="A269" s="232">
        <f>'14U BOYS GOLD-26 TEAMS'!A28</f>
        <v>46053</v>
      </c>
      <c r="B269" s="231">
        <f>'14U BOYS GOLD-26 TEAMS'!B28</f>
        <v>0.39583333333333398</v>
      </c>
      <c r="C269" s="98" t="str">
        <f>'14U BOYS GOLD-26 TEAMS'!C28&amp;""</f>
        <v>COSTA MESA HS 1</v>
      </c>
      <c r="D269" s="98" t="str">
        <f>'14U BOYS GOLD-26 TEAMS'!D28&amp;""</f>
        <v>14Bau09</v>
      </c>
      <c r="E269" s="98" t="str">
        <f>'14U BOYS GOLD-26 TEAMS'!E28&amp;""</f>
        <v>C1(5)-LAWPC</v>
      </c>
      <c r="F269" s="98" t="str">
        <f>'14U BOYS GOLD-26 TEAMS'!F28&amp;""</f>
        <v>14</v>
      </c>
      <c r="G269" s="98" t="str">
        <f>'14U BOYS GOLD-26 TEAMS'!G28&amp;""</f>
        <v>C3(21)-STANFORD 13</v>
      </c>
      <c r="H269" s="98" t="str">
        <f>'14U BOYS GOLD-26 TEAMS'!H28&amp;""</f>
        <v>6</v>
      </c>
      <c r="I269" s="98" t="str">
        <f>'14U BOYS GOLD-26 TEAMS'!I28&amp;""</f>
        <v>C bracket C1,C3</v>
      </c>
      <c r="J269" s="229" t="str">
        <f>'14U BOYS GOLD-26 TEAMS'!J28&amp;""</f>
        <v>14U_BOYS_GOLD</v>
      </c>
      <c r="K269" s="229" t="str">
        <f t="shared" si="7"/>
        <v>202601310930</v>
      </c>
    </row>
    <row r="270" spans="1:11">
      <c r="A270" s="232">
        <f>'14U BOYS GOLD-26 TEAMS'!A44</f>
        <v>46053</v>
      </c>
      <c r="B270" s="231">
        <f>'14U BOYS GOLD-26 TEAMS'!B44</f>
        <v>0.39583333333333398</v>
      </c>
      <c r="C270" s="98" t="str">
        <f>'14U BOYS GOLD-26 TEAMS'!C44&amp;""</f>
        <v>ESTANCIA HS 2</v>
      </c>
      <c r="D270" s="98" t="str">
        <f>'14U BOYS GOLD-26 TEAMS'!D44&amp;""</f>
        <v>14Bau22</v>
      </c>
      <c r="E270" s="98" t="str">
        <f>'14U BOYS GOLD-26 TEAMS'!E44&amp;""</f>
        <v>F2(14)-BOA</v>
      </c>
      <c r="F270" s="98" t="str">
        <f>'14U BOYS GOLD-26 TEAMS'!F44&amp;""</f>
        <v>6</v>
      </c>
      <c r="G270" s="98" t="str">
        <f>'14U BOYS GOLD-26 TEAMS'!G44&amp;""</f>
        <v>F3(19)-680 BLUE</v>
      </c>
      <c r="H270" s="98" t="str">
        <f>'14U BOYS GOLD-26 TEAMS'!H44&amp;""</f>
        <v>17</v>
      </c>
      <c r="I270" s="98" t="str">
        <f>'14U BOYS GOLD-26 TEAMS'!I44&amp;""</f>
        <v>F bracket F2,F3</v>
      </c>
      <c r="J270" s="229" t="str">
        <f>'14U BOYS GOLD-26 TEAMS'!J44&amp;""</f>
        <v>14U_BOYS_GOLD</v>
      </c>
      <c r="K270" s="229" t="str">
        <f t="shared" si="7"/>
        <v>202601310930</v>
      </c>
    </row>
    <row r="271" spans="1:11">
      <c r="A271" s="232">
        <f>'14U BOYS GOLD-26 TEAMS'!A29</f>
        <v>46053</v>
      </c>
      <c r="B271" s="231">
        <f>'14U BOYS GOLD-26 TEAMS'!B29</f>
        <v>0.43055555555555602</v>
      </c>
      <c r="C271" s="98" t="str">
        <f>'14U BOYS GOLD-26 TEAMS'!C29&amp;""</f>
        <v>COSTA MESA HS 1</v>
      </c>
      <c r="D271" s="98" t="str">
        <f>'14U BOYS GOLD-26 TEAMS'!D29&amp;""</f>
        <v>14Bau02</v>
      </c>
      <c r="E271" s="229" t="str">
        <f>'14U BOYS GOLD-26 TEAMS'!E29&amp;""</f>
        <v>8-SAN CLEMENTE RED</v>
      </c>
      <c r="F271" s="229" t="str">
        <f>'14U BOYS GOLD-26 TEAMS'!F29&amp;""</f>
        <v>13</v>
      </c>
      <c r="G271" s="229" t="str">
        <f>'14U BOYS GOLD-26 TEAMS'!G29&amp;""</f>
        <v>25-AMERICAN RIVER BLUE</v>
      </c>
      <c r="H271" s="229" t="str">
        <f>'14U BOYS GOLD-26 TEAMS'!H29&amp;""</f>
        <v>4</v>
      </c>
      <c r="I271" s="98" t="str">
        <f>'14U BOYS GOLD-26 TEAMS'!I29&amp;""</f>
        <v>W/L D1/D4</v>
      </c>
      <c r="J271" s="229" t="str">
        <f>'14U BOYS GOLD-26 TEAMS'!J29&amp;""</f>
        <v>14U_BOYS_GOLD</v>
      </c>
      <c r="K271" s="229" t="str">
        <f t="shared" si="7"/>
        <v>202601311020</v>
      </c>
    </row>
    <row r="272" spans="1:11">
      <c r="A272" s="232">
        <f>'14U BOYS GOLD-26 TEAMS'!A45</f>
        <v>46053</v>
      </c>
      <c r="B272" s="231">
        <f>'14U BOYS GOLD-26 TEAMS'!B45</f>
        <v>0.43055555555555602</v>
      </c>
      <c r="C272" s="98" t="str">
        <f>'14U BOYS GOLD-26 TEAMS'!C45&amp;""</f>
        <v>ESTANCIA HS 2</v>
      </c>
      <c r="D272" s="98" t="str">
        <f>'14U BOYS GOLD-26 TEAMS'!D45&amp;""</f>
        <v>14Bau18</v>
      </c>
      <c r="E272" s="229" t="str">
        <f>'14U BOYS GOLD-26 TEAMS'!E45&amp;""</f>
        <v>L#15-SOUTH COAST WHITE (B)</v>
      </c>
      <c r="F272" s="229" t="str">
        <f>'14U BOYS GOLD-26 TEAMS'!F45&amp;""</f>
        <v>7</v>
      </c>
      <c r="G272" s="229" t="str">
        <f>'14U BOYS GOLD-26 TEAMS'!G45&amp;""</f>
        <v>L#16-PATRIOT RED</v>
      </c>
      <c r="H272" s="229" t="str">
        <f>'14U BOYS GOLD-26 TEAMS'!H45&amp;""</f>
        <v>8</v>
      </c>
      <c r="I272" s="98" t="str">
        <f>'14U BOYS GOLD-26 TEAMS'!I45&amp;""</f>
        <v>3rd/4th H</v>
      </c>
      <c r="J272" s="229" t="str">
        <f>'14U BOYS GOLD-26 TEAMS'!J45&amp;""</f>
        <v>14U_BOYS_GOLD</v>
      </c>
      <c r="K272" s="229" t="str">
        <f t="shared" si="7"/>
        <v>202601311020</v>
      </c>
    </row>
    <row r="273" spans="1:11">
      <c r="A273" s="232">
        <f>'14U BOYS GOLD-26 TEAMS'!A30</f>
        <v>46053</v>
      </c>
      <c r="B273" s="231">
        <f>'14U BOYS GOLD-26 TEAMS'!B30</f>
        <v>0.46527777777777801</v>
      </c>
      <c r="C273" s="98" t="str">
        <f>'14U BOYS GOLD-26 TEAMS'!C30&amp;""</f>
        <v>COSTA MESA HS 1</v>
      </c>
      <c r="D273" s="98" t="str">
        <f>'14U BOYS GOLD-26 TEAMS'!D30&amp;""</f>
        <v>14Bau03</v>
      </c>
      <c r="E273" s="229" t="str">
        <f>'14U BOYS GOLD-26 TEAMS'!E30&amp;""</f>
        <v>9-STANFORD BLACK</v>
      </c>
      <c r="F273" s="229" t="str">
        <f>'14U BOYS GOLD-26 TEAMS'!F30&amp;""</f>
        <v>6</v>
      </c>
      <c r="G273" s="229" t="str">
        <f>'14U BOYS GOLD-26 TEAMS'!G30&amp;""</f>
        <v>24-PRIDE RED</v>
      </c>
      <c r="H273" s="229" t="str">
        <f>'14U BOYS GOLD-26 TEAMS'!H30&amp;""</f>
        <v>12</v>
      </c>
      <c r="I273" s="98" t="str">
        <f>'14U BOYS GOLD-26 TEAMS'!I30&amp;""</f>
        <v>W/L D2/D3</v>
      </c>
      <c r="J273" s="229" t="str">
        <f>'14U BOYS GOLD-26 TEAMS'!J30&amp;""</f>
        <v>14U_BOYS_GOLD</v>
      </c>
      <c r="K273" s="229" t="str">
        <f t="shared" si="7"/>
        <v>202601311110</v>
      </c>
    </row>
    <row r="274" spans="1:11">
      <c r="A274" s="232">
        <f>'14U BOYS GOLD-26 TEAMS'!A46</f>
        <v>46053</v>
      </c>
      <c r="B274" s="231">
        <f>'14U BOYS GOLD-26 TEAMS'!B46</f>
        <v>0.46527777777777801</v>
      </c>
      <c r="C274" s="98" t="str">
        <f>'14U BOYS GOLD-26 TEAMS'!C46&amp;""</f>
        <v>ESTANCIA HS 2</v>
      </c>
      <c r="D274" s="98" t="str">
        <f>'14U BOYS GOLD-26 TEAMS'!D46&amp;""</f>
        <v>14Bau19</v>
      </c>
      <c r="E274" s="229" t="str">
        <f>'14U BOYS GOLD-26 TEAMS'!E46&amp;""</f>
        <v>W#15-HIELAND</v>
      </c>
      <c r="F274" s="229" t="str">
        <f>'14U BOYS GOLD-26 TEAMS'!F46&amp;""</f>
        <v>16</v>
      </c>
      <c r="G274" s="229" t="str">
        <f>'14U BOYS GOLD-26 TEAMS'!G46&amp;""</f>
        <v>W#16-SHAQ WHITE</v>
      </c>
      <c r="H274" s="229" t="str">
        <f>'14U BOYS GOLD-26 TEAMS'!H46&amp;""</f>
        <v>10</v>
      </c>
      <c r="I274" s="98" t="str">
        <f>'14U BOYS GOLD-26 TEAMS'!I46&amp;""</f>
        <v>1st/2nd H</v>
      </c>
      <c r="J274" s="229" t="str">
        <f>'14U BOYS GOLD-26 TEAMS'!J46&amp;""</f>
        <v>14U_BOYS_GOLD</v>
      </c>
      <c r="K274" s="229" t="str">
        <f t="shared" si="7"/>
        <v>202601311110</v>
      </c>
    </row>
    <row r="275" spans="1:11">
      <c r="A275" s="232">
        <f>'14U BOYS GOLD-26 TEAMS'!A31</f>
        <v>46053</v>
      </c>
      <c r="B275" s="231">
        <f>'14U BOYS GOLD-26 TEAMS'!B31</f>
        <v>0.5</v>
      </c>
      <c r="C275" s="98" t="str">
        <f>'14U BOYS GOLD-26 TEAMS'!C31&amp;""</f>
        <v>COSTA MESA HS 1</v>
      </c>
      <c r="D275" s="98" t="str">
        <f>'14U BOYS GOLD-26 TEAMS'!D31&amp;""</f>
        <v>14Bau04</v>
      </c>
      <c r="E275" s="229" t="str">
        <f>'14U BOYS GOLD-26 TEAMS'!E31&amp;""</f>
        <v>A2(16)-SHORE AQUATICS</v>
      </c>
      <c r="F275" s="229" t="str">
        <f>'14U BOYS GOLD-26 TEAMS'!F31&amp;""</f>
        <v>17</v>
      </c>
      <c r="G275" s="229" t="str">
        <f>'14U BOYS GOLD-26 TEAMS'!G31&amp;""</f>
        <v>A3(17)-NORTH IRVINE RED</v>
      </c>
      <c r="H275" s="229" t="str">
        <f>'14U BOYS GOLD-26 TEAMS'!H31&amp;""</f>
        <v>1</v>
      </c>
      <c r="I275" s="98" t="str">
        <f>'14U BOYS GOLD-26 TEAMS'!I31&amp;""</f>
        <v>A bracket A2,A3</v>
      </c>
      <c r="J275" s="229" t="str">
        <f>'14U BOYS GOLD-26 TEAMS'!J31&amp;""</f>
        <v>14U_BOYS_GOLD</v>
      </c>
      <c r="K275" s="229" t="str">
        <f t="shared" si="7"/>
        <v>202601311200</v>
      </c>
    </row>
    <row r="276" spans="1:11">
      <c r="A276" s="232">
        <f>'14U BOYS GOLD-26 TEAMS'!A47</f>
        <v>46053</v>
      </c>
      <c r="B276" s="231">
        <f>'14U BOYS GOLD-26 TEAMS'!B47</f>
        <v>0.5</v>
      </c>
      <c r="C276" s="98" t="str">
        <f>'14U BOYS GOLD-26 TEAMS'!C47&amp;""</f>
        <v>ESTANCIA HS 2</v>
      </c>
      <c r="D276" s="98" t="str">
        <f>'14U BOYS GOLD-26 TEAMS'!D47&amp;""</f>
        <v>14Bau17</v>
      </c>
      <c r="E276" s="229" t="str">
        <f>'14U BOYS GOLD-26 TEAMS'!E47&amp;""</f>
        <v>G1(6)-SD ECA</v>
      </c>
      <c r="F276" s="229" t="str">
        <f>'14U BOYS GOLD-26 TEAMS'!F47&amp;""</f>
        <v>10</v>
      </c>
      <c r="G276" s="229" t="str">
        <f>'14U BOYS GOLD-26 TEAMS'!G47&amp;""</f>
        <v>G2(11)-LAMORINDA B</v>
      </c>
      <c r="H276" s="229" t="str">
        <f>'14U BOYS GOLD-26 TEAMS'!H47&amp;""</f>
        <v>12</v>
      </c>
      <c r="I276" s="98" t="str">
        <f>'14U BOYS GOLD-26 TEAMS'!I47&amp;""</f>
        <v>G bracket G1,G2</v>
      </c>
      <c r="J276" s="229" t="str">
        <f>'14U BOYS GOLD-26 TEAMS'!J47&amp;""</f>
        <v>14U_BOYS_GOLD</v>
      </c>
      <c r="K276" s="229" t="str">
        <f t="shared" si="7"/>
        <v>202601311200</v>
      </c>
    </row>
    <row r="277" spans="1:11">
      <c r="A277" s="232">
        <f>'14U BOYS GOLD-26 TEAMS'!A32</f>
        <v>46053</v>
      </c>
      <c r="B277" s="231">
        <f>'14U BOYS GOLD-26 TEAMS'!B32</f>
        <v>0.53472222222222199</v>
      </c>
      <c r="C277" s="98" t="str">
        <f>'14U BOYS GOLD-26 TEAMS'!C32&amp;""</f>
        <v>COSTA MESA HS 1</v>
      </c>
      <c r="D277" s="98" t="str">
        <f>'14U BOYS GOLD-26 TEAMS'!D32&amp;""</f>
        <v>14Bau10</v>
      </c>
      <c r="E277" s="98" t="str">
        <f>'14U BOYS GOLD-26 TEAMS'!E32&amp;""</f>
        <v>B2(13)-BACK BAY</v>
      </c>
      <c r="F277" s="98" t="str">
        <f>'14U BOYS GOLD-26 TEAMS'!F32&amp;""</f>
        <v>18</v>
      </c>
      <c r="G277" s="98" t="str">
        <f>'14U BOYS GOLD-26 TEAMS'!G32&amp;""</f>
        <v>B3(20)-LA JOLLA UNITED GOLD</v>
      </c>
      <c r="H277" s="98" t="str">
        <f>'14U BOYS GOLD-26 TEAMS'!H32&amp;""</f>
        <v>8</v>
      </c>
      <c r="I277" s="98" t="str">
        <f>'14U BOYS GOLD-26 TEAMS'!I32&amp;""</f>
        <v>B bracket B2,B3</v>
      </c>
      <c r="J277" s="229" t="str">
        <f>'14U BOYS GOLD-26 TEAMS'!J32&amp;""</f>
        <v>14U_BOYS_GOLD</v>
      </c>
      <c r="K277" s="229" t="str">
        <f t="shared" si="7"/>
        <v>202601311250</v>
      </c>
    </row>
    <row r="278" spans="1:11">
      <c r="A278" s="232">
        <f>'14U BOYS GOLD-26 TEAMS'!A48</f>
        <v>46053</v>
      </c>
      <c r="B278" s="231">
        <f>'14U BOYS GOLD-26 TEAMS'!B48</f>
        <v>0.53472222222222199</v>
      </c>
      <c r="C278" s="98" t="str">
        <f>'14U BOYS GOLD-26 TEAMS'!C48&amp;""</f>
        <v>ESTANCIA HS 2</v>
      </c>
      <c r="D278" s="98" t="str">
        <f>'14U BOYS GOLD-26 TEAMS'!D48&amp;""</f>
        <v>14Bau23</v>
      </c>
      <c r="E278" s="98" t="str">
        <f>'14U BOYS GOLD-26 TEAMS'!E48&amp;""</f>
        <v>E2(15)-MISSION WPC B</v>
      </c>
      <c r="F278" s="98" t="str">
        <f>'14U BOYS GOLD-26 TEAMS'!F48&amp;""</f>
        <v>12</v>
      </c>
      <c r="G278" s="98" t="str">
        <f>'14U BOYS GOLD-26 TEAMS'!G48&amp;""</f>
        <v>E3(18)-CC UNITED BLUE</v>
      </c>
      <c r="H278" s="98" t="str">
        <f>'14U BOYS GOLD-26 TEAMS'!H48&amp;""</f>
        <v>6</v>
      </c>
      <c r="I278" s="98" t="str">
        <f>'14U BOYS GOLD-26 TEAMS'!I48&amp;""</f>
        <v>E bracket E2,E3</v>
      </c>
      <c r="J278" s="229" t="str">
        <f>'14U BOYS GOLD-26 TEAMS'!J48&amp;""</f>
        <v>14U_BOYS_GOLD</v>
      </c>
      <c r="K278" s="229" t="str">
        <f t="shared" si="7"/>
        <v>202601311250</v>
      </c>
    </row>
    <row r="279" spans="1:11">
      <c r="A279" s="232">
        <f>'14U BOYS GOLD-26 TEAMS'!A33</f>
        <v>46053</v>
      </c>
      <c r="B279" s="231">
        <f>'14U BOYS GOLD-26 TEAMS'!B33</f>
        <v>0.56944444444444497</v>
      </c>
      <c r="C279" s="98" t="str">
        <f>'14U BOYS GOLD-26 TEAMS'!C33&amp;""</f>
        <v>COSTA MESA HS 1</v>
      </c>
      <c r="D279" s="98" t="str">
        <f>'14U BOYS GOLD-26 TEAMS'!D33&amp;""</f>
        <v>14Bau11</v>
      </c>
      <c r="E279" s="229" t="str">
        <f>'14U BOYS GOLD-26 TEAMS'!E33&amp;""</f>
        <v>C1(5)-LAWPC</v>
      </c>
      <c r="F279" s="229" t="str">
        <f>'14U BOYS GOLD-26 TEAMS'!F33&amp;""</f>
        <v>10</v>
      </c>
      <c r="G279" s="229" t="str">
        <f>'14U BOYS GOLD-26 TEAMS'!G33&amp;""</f>
        <v>C2(12)-NORTHWEST</v>
      </c>
      <c r="H279" s="229" t="str">
        <f>'14U BOYS GOLD-26 TEAMS'!H33&amp;""</f>
        <v>11</v>
      </c>
      <c r="I279" s="98" t="str">
        <f>'14U BOYS GOLD-26 TEAMS'!I33&amp;""</f>
        <v>C bracket C1,C2</v>
      </c>
      <c r="J279" s="229" t="str">
        <f>'14U BOYS GOLD-26 TEAMS'!J33&amp;""</f>
        <v>14U_BOYS_GOLD</v>
      </c>
      <c r="K279" s="229" t="str">
        <f t="shared" si="7"/>
        <v>202601311340</v>
      </c>
    </row>
    <row r="280" spans="1:11">
      <c r="A280" s="232">
        <f>'14U BOYS GOLD-26 TEAMS'!A49</f>
        <v>46053</v>
      </c>
      <c r="B280" s="231">
        <f>'14U BOYS GOLD-26 TEAMS'!B49</f>
        <v>0.56944444444444497</v>
      </c>
      <c r="C280" s="98" t="str">
        <f>'14U BOYS GOLD-26 TEAMS'!C49&amp;""</f>
        <v>ESTANCIA HS 2</v>
      </c>
      <c r="D280" s="98" t="str">
        <f>'14U BOYS GOLD-26 TEAMS'!D49&amp;""</f>
        <v>14Bau24</v>
      </c>
      <c r="E280" s="229" t="str">
        <f>'14U BOYS GOLD-26 TEAMS'!E49&amp;""</f>
        <v>F1(3)-CT PREMIER</v>
      </c>
      <c r="F280" s="229" t="str">
        <f>'14U BOYS GOLD-26 TEAMS'!F49&amp;""</f>
        <v>19</v>
      </c>
      <c r="G280" s="229" t="str">
        <f>'14U BOYS GOLD-26 TEAMS'!G49&amp;""</f>
        <v>F2(14)-BOA</v>
      </c>
      <c r="H280" s="229" t="str">
        <f>'14U BOYS GOLD-26 TEAMS'!H49&amp;""</f>
        <v>8</v>
      </c>
      <c r="I280" s="98" t="str">
        <f>'14U BOYS GOLD-26 TEAMS'!I49&amp;""</f>
        <v>F bracket F1,F2</v>
      </c>
      <c r="J280" s="229" t="str">
        <f>'14U BOYS GOLD-26 TEAMS'!J49&amp;""</f>
        <v>14U_BOYS_GOLD</v>
      </c>
      <c r="K280" s="229" t="str">
        <f t="shared" si="7"/>
        <v>202601311340</v>
      </c>
    </row>
    <row r="281" spans="1:11">
      <c r="A281" s="232">
        <f>'14U BOYS GOLD-26 TEAMS'!A34</f>
        <v>46053</v>
      </c>
      <c r="B281" s="231">
        <f>'14U BOYS GOLD-26 TEAMS'!B34</f>
        <v>0.60416666666666696</v>
      </c>
      <c r="C281" s="98" t="str">
        <f>'14U BOYS GOLD-26 TEAMS'!C34&amp;""</f>
        <v>COSTA MESA HS 1</v>
      </c>
      <c r="D281" s="98" t="str">
        <f>'14U BOYS GOLD-26 TEAMS'!D34&amp;""</f>
        <v>14Bau05</v>
      </c>
      <c r="E281" s="98" t="str">
        <f>'14U BOYS GOLD-26 TEAMS'!E34&amp;""</f>
        <v>L#2-AMERICAN RIVER BLUE</v>
      </c>
      <c r="F281" s="98" t="str">
        <f>'14U BOYS GOLD-26 TEAMS'!F34&amp;""</f>
        <v>10</v>
      </c>
      <c r="G281" s="98" t="str">
        <f>'14U BOYS GOLD-26 TEAMS'!G34&amp;""</f>
        <v>L#3-STANFORD BLACK</v>
      </c>
      <c r="H281" s="229" t="str">
        <f>'14U BOYS GOLD-26 TEAMS'!H34&amp;""</f>
        <v>4</v>
      </c>
      <c r="I281" s="98" t="str">
        <f>'14U BOYS GOLD-26 TEAMS'!I34&amp;""</f>
        <v>3rd/4th D</v>
      </c>
      <c r="J281" s="229" t="str">
        <f>'14U BOYS GOLD-26 TEAMS'!J34&amp;""</f>
        <v>14U_BOYS_GOLD</v>
      </c>
      <c r="K281" s="229" t="str">
        <f t="shared" si="7"/>
        <v>202601311430</v>
      </c>
    </row>
    <row r="282" spans="1:11">
      <c r="A282" s="232">
        <f>'14U BOYS GOLD-26 TEAMS'!A50</f>
        <v>46053</v>
      </c>
      <c r="B282" s="231">
        <f>'14U BOYS GOLD-26 TEAMS'!B50</f>
        <v>0.60416666666666696</v>
      </c>
      <c r="C282" s="98" t="str">
        <f>'14U BOYS GOLD-26 TEAMS'!C50&amp;""</f>
        <v>ESTANCIA HS 2</v>
      </c>
      <c r="D282" s="98" t="str">
        <f>'14U BOYS GOLD-26 TEAMS'!D50&amp;""</f>
        <v>14Bau20</v>
      </c>
      <c r="E282" s="229" t="str">
        <f>'14U BOYS GOLD-26 TEAMS'!E50&amp;""</f>
        <v>G2(11)-LAMORINDA B</v>
      </c>
      <c r="F282" s="229" t="str">
        <f>'14U BOYS GOLD-26 TEAMS'!F50&amp;""</f>
        <v>9</v>
      </c>
      <c r="G282" s="229" t="str">
        <f>'14U BOYS GOLD-26 TEAMS'!G50&amp;""</f>
        <v>G3(22)-VANGUARD SILVER</v>
      </c>
      <c r="H282" s="229" t="str">
        <f>'14U BOYS GOLD-26 TEAMS'!H50&amp;""</f>
        <v>10</v>
      </c>
      <c r="I282" s="98" t="str">
        <f>'14U BOYS GOLD-26 TEAMS'!I50&amp;""</f>
        <v>G bracket G2,G3</v>
      </c>
      <c r="J282" s="229" t="str">
        <f>'14U BOYS GOLD-26 TEAMS'!J50&amp;""</f>
        <v>14U_BOYS_GOLD</v>
      </c>
      <c r="K282" s="229" t="str">
        <f t="shared" si="7"/>
        <v>202601311430</v>
      </c>
    </row>
    <row r="283" spans="1:11">
      <c r="A283" s="232">
        <f>'14U BOYS GOLD-26 TEAMS'!A35</f>
        <v>46053</v>
      </c>
      <c r="B283" s="231">
        <f>'14U BOYS GOLD-26 TEAMS'!B35</f>
        <v>0.63888888888888895</v>
      </c>
      <c r="C283" s="98" t="str">
        <f>'14U BOYS GOLD-26 TEAMS'!C35&amp;""</f>
        <v>COSTA MESA HS 1</v>
      </c>
      <c r="D283" s="98" t="str">
        <f>'14U BOYS GOLD-26 TEAMS'!D35&amp;""</f>
        <v>14Bau06</v>
      </c>
      <c r="E283" s="98" t="str">
        <f>'14U BOYS GOLD-26 TEAMS'!E35&amp;""</f>
        <v>W#2-SAN CLEMENTE RED</v>
      </c>
      <c r="F283" s="98" t="str">
        <f>'14U BOYS GOLD-26 TEAMS'!F35&amp;""</f>
        <v>13</v>
      </c>
      <c r="G283" s="98" t="str">
        <f>'14U BOYS GOLD-26 TEAMS'!G35&amp;""</f>
        <v>W#3-PRIDE RED</v>
      </c>
      <c r="H283" s="229" t="str">
        <f>'14U BOYS GOLD-26 TEAMS'!H35&amp;""</f>
        <v>7</v>
      </c>
      <c r="I283" s="98" t="str">
        <f>'14U BOYS GOLD-26 TEAMS'!I35&amp;""</f>
        <v>1st/2nd D</v>
      </c>
      <c r="J283" s="229" t="str">
        <f>'14U BOYS GOLD-26 TEAMS'!J35&amp;""</f>
        <v>14U_BOYS_GOLD</v>
      </c>
      <c r="K283" s="229" t="str">
        <f t="shared" si="7"/>
        <v>202601311520</v>
      </c>
    </row>
    <row r="284" spans="1:11">
      <c r="A284" s="232">
        <f>'14U BOYS GOLD-26 TEAMS'!A51</f>
        <v>46053</v>
      </c>
      <c r="B284" s="231">
        <f>'14U BOYS GOLD-26 TEAMS'!B51</f>
        <v>0.63888888888888895</v>
      </c>
      <c r="C284" s="98" t="str">
        <f>'14U BOYS GOLD-26 TEAMS'!C51&amp;""</f>
        <v>ESTANCIA HS 2</v>
      </c>
      <c r="D284" s="98" t="str">
        <f>'14U BOYS GOLD-26 TEAMS'!D51&amp;""</f>
        <v>14Bau25</v>
      </c>
      <c r="E284" s="98" t="str">
        <f>'14U BOYS GOLD-26 TEAMS'!E51&amp;""</f>
        <v>E1(2)-FOOTHILL RED</v>
      </c>
      <c r="F284" s="98" t="str">
        <f>'14U BOYS GOLD-26 TEAMS'!F51&amp;""</f>
        <v>9</v>
      </c>
      <c r="G284" s="98" t="str">
        <f>'14U BOYS GOLD-26 TEAMS'!G51&amp;""</f>
        <v>E2(15)-MISSION WPC B</v>
      </c>
      <c r="H284" s="98" t="str">
        <f>'14U BOYS GOLD-26 TEAMS'!H51&amp;""</f>
        <v>16</v>
      </c>
      <c r="I284" s="98" t="str">
        <f>'14U BOYS GOLD-26 TEAMS'!I51&amp;""</f>
        <v>E bracket E1,E2</v>
      </c>
      <c r="J284" s="229" t="str">
        <f>'14U BOYS GOLD-26 TEAMS'!J51&amp;""</f>
        <v>14U_BOYS_GOLD</v>
      </c>
      <c r="K284" s="229" t="str">
        <f t="shared" si="7"/>
        <v>202601311520</v>
      </c>
    </row>
    <row r="285" spans="1:11">
      <c r="A285" s="232">
        <f>'14U BOYS GOLD-26 TEAMS'!A36</f>
        <v>46053</v>
      </c>
      <c r="B285" s="231">
        <f>'14U BOYS GOLD-26 TEAMS'!B36</f>
        <v>0.67361111111111105</v>
      </c>
      <c r="C285" s="98" t="str">
        <f>'14U BOYS GOLD-26 TEAMS'!C36&amp;""</f>
        <v>COSTA MESA HS 1</v>
      </c>
      <c r="D285" s="98" t="str">
        <f>'14U BOYS GOLD-26 TEAMS'!D36&amp;""</f>
        <v>14Bau07</v>
      </c>
      <c r="E285" s="229" t="str">
        <f>'14U BOYS GOLD-26 TEAMS'!E36&amp;""</f>
        <v>A1(1)-HONOLULU BLUE</v>
      </c>
      <c r="F285" s="229" t="str">
        <f>'14U BOYS GOLD-26 TEAMS'!F36&amp;""</f>
        <v>10.3</v>
      </c>
      <c r="G285" s="229" t="str">
        <f>'14U BOYS GOLD-26 TEAMS'!G36&amp;""</f>
        <v>A3(17)-NORTH IRVINE RED</v>
      </c>
      <c r="H285" s="229" t="str">
        <f>'14U BOYS GOLD-26 TEAMS'!H36&amp;""</f>
        <v>10.4</v>
      </c>
      <c r="I285" s="98" t="str">
        <f>'14U BOYS GOLD-26 TEAMS'!I36&amp;""</f>
        <v>A bracket A1,A3</v>
      </c>
      <c r="J285" s="229" t="str">
        <f>'14U BOYS GOLD-26 TEAMS'!J36&amp;""</f>
        <v>14U_BOYS_GOLD</v>
      </c>
      <c r="K285" s="229" t="str">
        <f t="shared" si="7"/>
        <v>202601311610</v>
      </c>
    </row>
    <row r="286" spans="1:11">
      <c r="A286" s="232">
        <f>'14U BOYS GOLD-26 TEAMS'!A52</f>
        <v>46053</v>
      </c>
      <c r="B286" s="231">
        <f>'14U BOYS GOLD-26 TEAMS'!B52</f>
        <v>0.67361111111111105</v>
      </c>
      <c r="C286" s="98" t="str">
        <f>'14U BOYS GOLD-26 TEAMS'!C52&amp;""</f>
        <v>ESTANCIA HS 2</v>
      </c>
      <c r="D286" s="98" t="str">
        <f>'14U BOYS GOLD-26 TEAMS'!D52&amp;""</f>
        <v>14Bau26</v>
      </c>
      <c r="E286" s="229" t="str">
        <f>'14U BOYS GOLD-26 TEAMS'!E52&amp;""</f>
        <v>F1(3)-CT PREMIER</v>
      </c>
      <c r="F286" s="229" t="str">
        <f>'14U BOYS GOLD-26 TEAMS'!F52&amp;""</f>
        <v>9</v>
      </c>
      <c r="G286" s="229" t="str">
        <f>'14U BOYS GOLD-26 TEAMS'!G52&amp;""</f>
        <v>F3(19)-680 BLUE</v>
      </c>
      <c r="H286" s="229" t="str">
        <f>'14U BOYS GOLD-26 TEAMS'!H52&amp;""</f>
        <v>11</v>
      </c>
      <c r="I286" s="98" t="str">
        <f>'14U BOYS GOLD-26 TEAMS'!I52&amp;""</f>
        <v>F bracket F1,F3</v>
      </c>
      <c r="J286" s="229" t="str">
        <f>'14U BOYS GOLD-26 TEAMS'!J52&amp;""</f>
        <v>14U_BOYS_GOLD</v>
      </c>
      <c r="K286" s="229" t="str">
        <f t="shared" si="7"/>
        <v>202601311610</v>
      </c>
    </row>
    <row r="287" spans="1:11">
      <c r="A287" s="232">
        <f>'14U BOYS GOLD-26 TEAMS'!A37</f>
        <v>46053</v>
      </c>
      <c r="B287" s="231">
        <f>'14U BOYS GOLD-26 TEAMS'!B37</f>
        <v>0.70833333333333404</v>
      </c>
      <c r="C287" s="98" t="str">
        <f>'14U BOYS GOLD-26 TEAMS'!C37&amp;""</f>
        <v>COSTA MESA HS 1</v>
      </c>
      <c r="D287" s="98" t="str">
        <f>'14U BOYS GOLD-26 TEAMS'!D37&amp;""</f>
        <v>14Bau12</v>
      </c>
      <c r="E287" s="98" t="str">
        <f>'14U BOYS GOLD-26 TEAMS'!E37&amp;""</f>
        <v>B1(4)-DAVIS</v>
      </c>
      <c r="F287" s="98" t="str">
        <f>'14U BOYS GOLD-26 TEAMS'!F37&amp;""</f>
        <v>4</v>
      </c>
      <c r="G287" s="98" t="str">
        <f>'14U BOYS GOLD-26 TEAMS'!G37&amp;""</f>
        <v>B2(13)-BACK BAY</v>
      </c>
      <c r="H287" s="98" t="str">
        <f>'14U BOYS GOLD-26 TEAMS'!H37&amp;""</f>
        <v>11</v>
      </c>
      <c r="I287" s="98" t="str">
        <f>'14U BOYS GOLD-26 TEAMS'!I37&amp;""</f>
        <v>B bracket B1,B2</v>
      </c>
      <c r="J287" s="229" t="str">
        <f>'14U BOYS GOLD-26 TEAMS'!J37&amp;""</f>
        <v>14U_BOYS_GOLD</v>
      </c>
      <c r="K287" s="229" t="str">
        <f t="shared" si="7"/>
        <v>202601311700</v>
      </c>
    </row>
    <row r="288" spans="1:11">
      <c r="A288" s="232">
        <f>'14U BOYS GOLD-26 TEAMS'!A38</f>
        <v>46053</v>
      </c>
      <c r="B288" s="231">
        <f>'14U BOYS GOLD-26 TEAMS'!B38</f>
        <v>0.74305555555555602</v>
      </c>
      <c r="C288" s="98" t="str">
        <f>'14U BOYS GOLD-26 TEAMS'!C38&amp;""</f>
        <v>COSTA MESA HS 1</v>
      </c>
      <c r="D288" s="98" t="str">
        <f>'14U BOYS GOLD-26 TEAMS'!D38&amp;""</f>
        <v>14Bau13</v>
      </c>
      <c r="E288" s="229" t="str">
        <f>'14U BOYS GOLD-26 TEAMS'!E38&amp;""</f>
        <v>C2(12)-NORTHWEST</v>
      </c>
      <c r="F288" s="229" t="str">
        <f>'14U BOYS GOLD-26 TEAMS'!F38&amp;""</f>
        <v>9</v>
      </c>
      <c r="G288" s="229" t="str">
        <f>'14U BOYS GOLD-26 TEAMS'!G38&amp;""</f>
        <v>C3(21)-STANFORD 13</v>
      </c>
      <c r="H288" s="229" t="str">
        <f>'14U BOYS GOLD-26 TEAMS'!H38&amp;""</f>
        <v>7</v>
      </c>
      <c r="I288" s="98" t="str">
        <f>'14U BOYS GOLD-26 TEAMS'!I38&amp;""</f>
        <v>C bracket C2,C3</v>
      </c>
      <c r="J288" s="229" t="str">
        <f>'14U BOYS GOLD-26 TEAMS'!J38&amp;""</f>
        <v>14U_BOYS_GOLD</v>
      </c>
      <c r="K288" s="229" t="str">
        <f t="shared" si="7"/>
        <v>202601311750</v>
      </c>
    </row>
    <row r="289" spans="1:11">
      <c r="A289" s="232">
        <f>'14U BOYS GOLD-26 TEAMS'!A56</f>
        <v>46054</v>
      </c>
      <c r="B289" s="231">
        <f>'14U BOYS GOLD-26 TEAMS'!B56</f>
        <v>0.3263888888888889</v>
      </c>
      <c r="C289" s="98" t="str">
        <f>'14U BOYS GOLD-26 TEAMS'!C56&amp;""</f>
        <v>ESTANCIA HS 2</v>
      </c>
      <c r="D289" s="98" t="str">
        <f>'14U BOYS GOLD-26 TEAMS'!D56&amp;""</f>
        <v>14Bau27</v>
      </c>
      <c r="E289" s="229" t="str">
        <f>'14U BOYS GOLD-26 TEAMS'!E56&amp;""</f>
        <v>J1(1stA)-SHORE AQUATICS</v>
      </c>
      <c r="F289" s="229" t="str">
        <f>'14U BOYS GOLD-26 TEAMS'!F56&amp;""</f>
        <v>10</v>
      </c>
      <c r="G289" s="229" t="str">
        <f>'14U BOYS GOLD-26 TEAMS'!G56&amp;""</f>
        <v>J4(1stD)-SAN CLEMENTE RED</v>
      </c>
      <c r="H289" s="229" t="str">
        <f>'14U BOYS GOLD-26 TEAMS'!H56&amp;""</f>
        <v>9</v>
      </c>
      <c r="I289" s="98" t="str">
        <f>'14U BOYS GOLD-26 TEAMS'!I56&amp;""</f>
        <v>1st-8th</v>
      </c>
      <c r="J289" s="229" t="str">
        <f>'14U BOYS GOLD-26 TEAMS'!J56&amp;""</f>
        <v>14U_BOYS_GOLD</v>
      </c>
      <c r="K289" s="229" t="str">
        <f t="shared" ref="K289:K316" si="8">TEXT(DATE(2026, MONTH(A289), DAY(A289)) + TIME(HOUR(B289), MINUTE(B289), 0), "yyyymmddhhmm")</f>
        <v>202602010750</v>
      </c>
    </row>
    <row r="290" spans="1:11">
      <c r="A290" s="232">
        <f>'14U BOYS GOLD-26 TEAMS'!A67</f>
        <v>46054</v>
      </c>
      <c r="B290" s="231">
        <f>'14U BOYS GOLD-26 TEAMS'!B67</f>
        <v>0.3263888888888889</v>
      </c>
      <c r="C290" s="98" t="str">
        <f>'14U BOYS GOLD-26 TEAMS'!C67&amp;""</f>
        <v>LAGUNA HILLS HS</v>
      </c>
      <c r="D290" s="98" t="str">
        <f>'14U BOYS GOLD-26 TEAMS'!D67&amp;""</f>
        <v>14Bau41</v>
      </c>
      <c r="E290" s="98" t="str">
        <f>'14U BOYS GOLD-26 TEAMS'!E67&amp;""</f>
        <v>N1(3rdA)-HONOLULU BLUE</v>
      </c>
      <c r="F290" s="98" t="str">
        <f>'14U BOYS GOLD-26 TEAMS'!F67&amp;""</f>
        <v>7</v>
      </c>
      <c r="G290" s="98" t="str">
        <f>'14U BOYS GOLD-26 TEAMS'!G67&amp;""</f>
        <v>N3(3rdH)-PATRIOT RED</v>
      </c>
      <c r="H290" s="98" t="str">
        <f>'14U BOYS GOLD-26 TEAMS'!H67&amp;""</f>
        <v>14</v>
      </c>
      <c r="I290" s="98" t="str">
        <f>'14U BOYS GOLD-26 TEAMS'!I67&amp;""</f>
        <v>N bracket</v>
      </c>
      <c r="J290" s="229" t="str">
        <f>'14U BOYS GOLD-26 TEAMS'!J67&amp;""</f>
        <v>14U_BOYS_GOLD</v>
      </c>
      <c r="K290" s="229" t="str">
        <f t="shared" si="8"/>
        <v>202602010750</v>
      </c>
    </row>
    <row r="291" spans="1:11">
      <c r="A291" s="232">
        <f>'14U BOYS GOLD-26 TEAMS'!A57</f>
        <v>46054</v>
      </c>
      <c r="B291" s="231">
        <f>'14U BOYS GOLD-26 TEAMS'!B57</f>
        <v>0.36111111111111099</v>
      </c>
      <c r="C291" s="98" t="str">
        <f>'14U BOYS GOLD-26 TEAMS'!C57&amp;""</f>
        <v>ESTANCIA HS 2</v>
      </c>
      <c r="D291" s="98" t="str">
        <f>'14U BOYS GOLD-26 TEAMS'!D57&amp;""</f>
        <v>14Bau28</v>
      </c>
      <c r="E291" s="229" t="str">
        <f>'14U BOYS GOLD-26 TEAMS'!E57&amp;""</f>
        <v>J2(1stB)-BACK BAY</v>
      </c>
      <c r="F291" s="229" t="str">
        <f>'14U BOYS GOLD-26 TEAMS'!F57&amp;""</f>
        <v>8</v>
      </c>
      <c r="G291" s="229" t="str">
        <f>'14U BOYS GOLD-26 TEAMS'!G57&amp;""</f>
        <v>J3(1stC)-NORTHWEST</v>
      </c>
      <c r="H291" s="229" t="str">
        <f>'14U BOYS GOLD-26 TEAMS'!H57&amp;""</f>
        <v>10</v>
      </c>
      <c r="I291" s="98" t="str">
        <f>'14U BOYS GOLD-26 TEAMS'!I57&amp;""</f>
        <v>1st-8th</v>
      </c>
      <c r="J291" s="229" t="str">
        <f>'14U BOYS GOLD-26 TEAMS'!J57&amp;""</f>
        <v>14U_BOYS_GOLD</v>
      </c>
      <c r="K291" s="229" t="str">
        <f t="shared" si="8"/>
        <v>202602010840</v>
      </c>
    </row>
    <row r="292" spans="1:11">
      <c r="A292" s="232">
        <f>'14U BOYS GOLD-26 TEAMS'!A79</f>
        <v>46054</v>
      </c>
      <c r="B292" s="231">
        <f>'14U BOYS GOLD-26 TEAMS'!B79</f>
        <v>0.36111111111111099</v>
      </c>
      <c r="C292" s="98" t="str">
        <f>'14U BOYS GOLD-26 TEAMS'!C79&amp;""</f>
        <v>ESPERANZA HS</v>
      </c>
      <c r="D292" s="98" t="str">
        <f>'14U BOYS GOLD-26 TEAMS'!D79&amp;""</f>
        <v>14Bau31</v>
      </c>
      <c r="E292" s="98" t="str">
        <f>'14U BOYS GOLD-26 TEAMS'!E79&amp;""</f>
        <v>L1(2ndA)-NORTH IRVINE RED</v>
      </c>
      <c r="F292" s="98" t="str">
        <f>'14U BOYS GOLD-26 TEAMS'!F79&amp;""</f>
        <v>7</v>
      </c>
      <c r="G292" s="98" t="str">
        <f>'14U BOYS GOLD-26 TEAMS'!G79&amp;""</f>
        <v>L4(2ndD)-PRIDE RED</v>
      </c>
      <c r="H292" s="98" t="str">
        <f>'14U BOYS GOLD-26 TEAMS'!H79&amp;""</f>
        <v>5</v>
      </c>
      <c r="I292" s="98" t="str">
        <f>'14U BOYS GOLD-26 TEAMS'!I79&amp;""</f>
        <v>9th16th</v>
      </c>
      <c r="J292" s="229" t="str">
        <f>'14U BOYS GOLD-26 TEAMS'!J79&amp;""</f>
        <v>14U_BOYS_GOLD</v>
      </c>
      <c r="K292" s="229" t="str">
        <f t="shared" si="8"/>
        <v>202602010840</v>
      </c>
    </row>
    <row r="293" spans="1:11">
      <c r="A293" s="232">
        <f>'14U BOYS GOLD-26 TEAMS'!A68</f>
        <v>46054</v>
      </c>
      <c r="B293" s="231">
        <f>'14U BOYS GOLD-26 TEAMS'!B68</f>
        <v>0.36111111111111099</v>
      </c>
      <c r="C293" s="98" t="str">
        <f>'14U BOYS GOLD-26 TEAMS'!C68&amp;""</f>
        <v>LAGUNA HILLS HS</v>
      </c>
      <c r="D293" s="98" t="str">
        <f>'14U BOYS GOLD-26 TEAMS'!D68&amp;""</f>
        <v>14Bau42</v>
      </c>
      <c r="E293" s="229" t="str">
        <f>'14U BOYS GOLD-26 TEAMS'!E68&amp;""</f>
        <v>O1(3rdE)-FOOTHILL RED</v>
      </c>
      <c r="F293" s="229" t="str">
        <f>'14U BOYS GOLD-26 TEAMS'!F68&amp;""</f>
        <v>8</v>
      </c>
      <c r="G293" s="230" t="str">
        <f>'14U BOYS GOLD-26 TEAMS'!G68&amp;""</f>
        <v>O3(3rdD)-AMERICAN RIVER BLUE</v>
      </c>
      <c r="H293" s="229" t="str">
        <f>'14U BOYS GOLD-26 TEAMS'!H68&amp;""</f>
        <v>4</v>
      </c>
      <c r="I293" s="98" t="str">
        <f>'14U BOYS GOLD-26 TEAMS'!I68&amp;""</f>
        <v>O bracket</v>
      </c>
      <c r="J293" s="229" t="str">
        <f>'14U BOYS GOLD-26 TEAMS'!J68&amp;""</f>
        <v>14U_BOYS_GOLD</v>
      </c>
      <c r="K293" s="229" t="str">
        <f t="shared" si="8"/>
        <v>202602010840</v>
      </c>
    </row>
    <row r="294" spans="1:11">
      <c r="A294" s="232">
        <f>'14U BOYS GOLD-26 TEAMS'!A58</f>
        <v>46054</v>
      </c>
      <c r="B294" s="231">
        <f>'14U BOYS GOLD-26 TEAMS'!B58</f>
        <v>0.39583333333333398</v>
      </c>
      <c r="C294" s="98" t="str">
        <f>'14U BOYS GOLD-26 TEAMS'!C58&amp;""</f>
        <v>ESTANCIA HS 2</v>
      </c>
      <c r="D294" s="98" t="str">
        <f>'14U BOYS GOLD-26 TEAMS'!D58&amp;""</f>
        <v>14Bau29</v>
      </c>
      <c r="E294" s="98" t="str">
        <f>'14U BOYS GOLD-26 TEAMS'!E58&amp;""</f>
        <v>K1(1stE)-MISSION WPC B</v>
      </c>
      <c r="F294" s="98" t="str">
        <f>'14U BOYS GOLD-26 TEAMS'!F58&amp;""</f>
        <v>16</v>
      </c>
      <c r="G294" s="98" t="str">
        <f>'14U BOYS GOLD-26 TEAMS'!G58&amp;""</f>
        <v>K4(1stH)-HIELAND</v>
      </c>
      <c r="H294" s="98" t="str">
        <f>'14U BOYS GOLD-26 TEAMS'!H58&amp;""</f>
        <v>9</v>
      </c>
      <c r="I294" s="98" t="str">
        <f>'14U BOYS GOLD-26 TEAMS'!I58&amp;""</f>
        <v>1st-8th</v>
      </c>
      <c r="J294" s="229" t="str">
        <f>'14U BOYS GOLD-26 TEAMS'!J58&amp;""</f>
        <v>14U_BOYS_GOLD</v>
      </c>
      <c r="K294" s="229" t="str">
        <f t="shared" si="8"/>
        <v>202602010930</v>
      </c>
    </row>
    <row r="295" spans="1:11">
      <c r="A295" s="232">
        <f>'14U BOYS GOLD-26 TEAMS'!A80</f>
        <v>46054</v>
      </c>
      <c r="B295" s="231">
        <f>'14U BOYS GOLD-26 TEAMS'!B80</f>
        <v>0.39583333333333398</v>
      </c>
      <c r="C295" s="98" t="str">
        <f>'14U BOYS GOLD-26 TEAMS'!C80&amp;""</f>
        <v>ESPERANZA HS</v>
      </c>
      <c r="D295" s="98" t="str">
        <f>'14U BOYS GOLD-26 TEAMS'!D80&amp;""</f>
        <v>14Bau32</v>
      </c>
      <c r="E295" s="229" t="str">
        <f>'14U BOYS GOLD-26 TEAMS'!E80&amp;""</f>
        <v>L2(2ndB)-DAVIS</v>
      </c>
      <c r="F295" s="229" t="str">
        <f>'14U BOYS GOLD-26 TEAMS'!F80&amp;""</f>
        <v>5</v>
      </c>
      <c r="G295" s="230" t="str">
        <f>'14U BOYS GOLD-26 TEAMS'!G80&amp;""</f>
        <v>L3(2ndC)-LAWPC</v>
      </c>
      <c r="H295" s="229" t="str">
        <f>'14U BOYS GOLD-26 TEAMS'!H80&amp;""</f>
        <v>7</v>
      </c>
      <c r="I295" s="98" t="str">
        <f>'14U BOYS GOLD-26 TEAMS'!I80&amp;""</f>
        <v>9th16th</v>
      </c>
      <c r="J295" s="229" t="str">
        <f>'14U BOYS GOLD-26 TEAMS'!J80&amp;""</f>
        <v>14U_BOYS_GOLD</v>
      </c>
      <c r="K295" s="229" t="str">
        <f t="shared" si="8"/>
        <v>202602010930</v>
      </c>
    </row>
    <row r="296" spans="1:11">
      <c r="A296" s="232">
        <f>'14U BOYS GOLD-26 TEAMS'!A59</f>
        <v>46054</v>
      </c>
      <c r="B296" s="231">
        <f>'14U BOYS GOLD-26 TEAMS'!B59</f>
        <v>0.43055555555555602</v>
      </c>
      <c r="C296" s="98" t="str">
        <f>'14U BOYS GOLD-26 TEAMS'!C59&amp;""</f>
        <v>ESTANCIA HS 2</v>
      </c>
      <c r="D296" s="98" t="str">
        <f>'14U BOYS GOLD-26 TEAMS'!D59&amp;""</f>
        <v>14Bau30</v>
      </c>
      <c r="E296" s="229" t="str">
        <f>'14U BOYS GOLD-26 TEAMS'!E59&amp;""</f>
        <v>K2(1stF)-680 BLUE</v>
      </c>
      <c r="F296" s="229" t="str">
        <f>'14U BOYS GOLD-26 TEAMS'!F59&amp;""</f>
        <v>12</v>
      </c>
      <c r="G296" s="230" t="str">
        <f>'14U BOYS GOLD-26 TEAMS'!G59&amp;""</f>
        <v>K3(1stG)-VANGUARD SILVER</v>
      </c>
      <c r="H296" s="229" t="str">
        <f>'14U BOYS GOLD-26 TEAMS'!H59&amp;""</f>
        <v>15</v>
      </c>
      <c r="I296" s="98" t="str">
        <f>'14U BOYS GOLD-26 TEAMS'!I59&amp;""</f>
        <v>1st-8th</v>
      </c>
      <c r="J296" s="229" t="str">
        <f>'14U BOYS GOLD-26 TEAMS'!J59&amp;""</f>
        <v>14U_BOYS_GOLD</v>
      </c>
      <c r="K296" s="229" t="str">
        <f t="shared" si="8"/>
        <v>202602011020</v>
      </c>
    </row>
    <row r="297" spans="1:11">
      <c r="A297" s="232">
        <f>'14U BOYS GOLD-26 TEAMS'!A81</f>
        <v>46054</v>
      </c>
      <c r="B297" s="231">
        <f>'14U BOYS GOLD-26 TEAMS'!B81</f>
        <v>0.43055555555555602</v>
      </c>
      <c r="C297" s="98" t="str">
        <f>'14U BOYS GOLD-26 TEAMS'!C81&amp;""</f>
        <v>ESPERANZA HS</v>
      </c>
      <c r="D297" s="98" t="str">
        <f>'14U BOYS GOLD-26 TEAMS'!D81&amp;""</f>
        <v>14Bau33</v>
      </c>
      <c r="E297" s="98" t="str">
        <f>'14U BOYS GOLD-26 TEAMS'!E81&amp;""</f>
        <v>M1(2ndE)-CC UNITED BLUE</v>
      </c>
      <c r="F297" s="98" t="str">
        <f>'14U BOYS GOLD-26 TEAMS'!F81&amp;""</f>
        <v>9</v>
      </c>
      <c r="G297" s="98" t="str">
        <f>'14U BOYS GOLD-26 TEAMS'!G81&amp;""</f>
        <v>M4(2ndH)-SHAQ WHITE</v>
      </c>
      <c r="H297" s="98" t="str">
        <f>'14U BOYS GOLD-26 TEAMS'!H81&amp;""</f>
        <v>4</v>
      </c>
      <c r="I297" s="98" t="str">
        <f>'14U BOYS GOLD-26 TEAMS'!I81&amp;""</f>
        <v>9th16th</v>
      </c>
      <c r="J297" s="229" t="str">
        <f>'14U BOYS GOLD-26 TEAMS'!J81&amp;""</f>
        <v>14U_BOYS_GOLD</v>
      </c>
      <c r="K297" s="229" t="str">
        <f t="shared" si="8"/>
        <v>202602011020</v>
      </c>
    </row>
    <row r="298" spans="1:11">
      <c r="A298" s="232">
        <f>'14U BOYS GOLD-26 TEAMS'!A70</f>
        <v>46054</v>
      </c>
      <c r="B298" s="231">
        <f>'14U BOYS GOLD-26 TEAMS'!B70</f>
        <v>0.43055555555555602</v>
      </c>
      <c r="C298" s="98" t="str">
        <f>'14U BOYS GOLD-26 TEAMS'!C70&amp;""</f>
        <v>LAGUNA HILLS HS</v>
      </c>
      <c r="D298" s="98" t="str">
        <f>'14U BOYS GOLD-26 TEAMS'!D70&amp;""</f>
        <v>14Bau43</v>
      </c>
      <c r="E298" s="98" t="str">
        <f>'14U BOYS GOLD-26 TEAMS'!E70&amp;""</f>
        <v>P1(3rdF)-BOA</v>
      </c>
      <c r="F298" s="98" t="str">
        <f>'14U BOYS GOLD-26 TEAMS'!F70&amp;""</f>
        <v>6</v>
      </c>
      <c r="G298" s="98" t="str">
        <f>'14U BOYS GOLD-26 TEAMS'!G70&amp;""</f>
        <v>P4(4thH)-SOUTH COAST WHITE (B)</v>
      </c>
      <c r="H298" s="98" t="str">
        <f>'14U BOYS GOLD-26 TEAMS'!H70&amp;""</f>
        <v>11</v>
      </c>
      <c r="I298" s="98" t="str">
        <f>'14U BOYS GOLD-26 TEAMS'!I70&amp;""</f>
        <v>W/L P</v>
      </c>
      <c r="J298" s="229" t="str">
        <f>'14U BOYS GOLD-26 TEAMS'!J70&amp;""</f>
        <v>14U_BOYS_GOLD</v>
      </c>
      <c r="K298" s="229" t="str">
        <f t="shared" si="8"/>
        <v>202602011020</v>
      </c>
    </row>
    <row r="299" spans="1:11">
      <c r="A299" s="232">
        <f>'14U BOYS GOLD-26 TEAMS'!A82</f>
        <v>46054</v>
      </c>
      <c r="B299" s="231">
        <f>'14U BOYS GOLD-26 TEAMS'!B82</f>
        <v>0.46527777777777801</v>
      </c>
      <c r="C299" s="98" t="str">
        <f>'14U BOYS GOLD-26 TEAMS'!C82&amp;""</f>
        <v>ESPERANZA HS</v>
      </c>
      <c r="D299" s="98" t="str">
        <f>'14U BOYS GOLD-26 TEAMS'!D82&amp;""</f>
        <v>14Bau34</v>
      </c>
      <c r="E299" s="229" t="str">
        <f>'14U BOYS GOLD-26 TEAMS'!E82&amp;""</f>
        <v>M2(2ndF)-CT PREMIER</v>
      </c>
      <c r="F299" s="229" t="str">
        <f>'14U BOYS GOLD-26 TEAMS'!F82&amp;""</f>
        <v>12</v>
      </c>
      <c r="G299" s="230" t="str">
        <f>'14U BOYS GOLD-26 TEAMS'!G82&amp;""</f>
        <v xml:space="preserve">M3(2ndG)-LAMORINDA B	</v>
      </c>
      <c r="H299" s="229" t="str">
        <f>'14U BOYS GOLD-26 TEAMS'!H82&amp;""</f>
        <v>14</v>
      </c>
      <c r="I299" s="98" t="str">
        <f>'14U BOYS GOLD-26 TEAMS'!I82&amp;""</f>
        <v>9th16th</v>
      </c>
      <c r="J299" s="229" t="str">
        <f>'14U BOYS GOLD-26 TEAMS'!J82&amp;""</f>
        <v>14U_BOYS_GOLD</v>
      </c>
      <c r="K299" s="229" t="str">
        <f t="shared" si="8"/>
        <v>202602011110</v>
      </c>
    </row>
    <row r="300" spans="1:11">
      <c r="A300" s="232">
        <f>'14U BOYS GOLD-26 TEAMS'!A60</f>
        <v>46054</v>
      </c>
      <c r="B300" s="231">
        <f>'14U BOYS GOLD-26 TEAMS'!B60</f>
        <v>0.46527777777777801</v>
      </c>
      <c r="C300" s="98" t="str">
        <f>'14U BOYS GOLD-26 TEAMS'!C60&amp;""</f>
        <v>ESTANCIA HS 2</v>
      </c>
      <c r="D300" s="98" t="str">
        <f>'14U BOYS GOLD-26 TEAMS'!D60&amp;""</f>
        <v>14Bau37</v>
      </c>
      <c r="E300" s="229" t="str">
        <f>'14U BOYS GOLD-26 TEAMS'!E60&amp;""</f>
        <v>W#27-SHORE AQUATICS</v>
      </c>
      <c r="F300" s="229" t="str">
        <f>'14U BOYS GOLD-26 TEAMS'!F60&amp;""</f>
        <v>14</v>
      </c>
      <c r="G300" s="229" t="str">
        <f>'14U BOYS GOLD-26 TEAMS'!G60&amp;""</f>
        <v>W#28-NORTHWEST</v>
      </c>
      <c r="H300" s="229" t="str">
        <f>'14U BOYS GOLD-26 TEAMS'!H60&amp;""</f>
        <v>3</v>
      </c>
      <c r="I300" s="98" t="str">
        <f>'14U BOYS GOLD-26 TEAMS'!I60&amp;""</f>
        <v>1st/2ndJ</v>
      </c>
      <c r="J300" s="229" t="str">
        <f>'14U BOYS GOLD-26 TEAMS'!J60&amp;""</f>
        <v>14U_BOYS_GOLD</v>
      </c>
      <c r="K300" s="229" t="str">
        <f t="shared" si="8"/>
        <v>202602011110</v>
      </c>
    </row>
    <row r="301" spans="1:11">
      <c r="A301" s="232">
        <f>'14U BOYS GOLD-26 TEAMS'!A71</f>
        <v>46054</v>
      </c>
      <c r="B301" s="231">
        <f>'14U BOYS GOLD-26 TEAMS'!B71</f>
        <v>0.46527777777777801</v>
      </c>
      <c r="C301" s="98" t="str">
        <f>'14U BOYS GOLD-26 TEAMS'!C71&amp;""</f>
        <v>LAGUNA HILLS HS</v>
      </c>
      <c r="D301" s="98" t="str">
        <f>'14U BOYS GOLD-26 TEAMS'!D71&amp;""</f>
        <v>14Bau44</v>
      </c>
      <c r="E301" s="229" t="str">
        <f>'14U BOYS GOLD-26 TEAMS'!E71&amp;""</f>
        <v>P2(3rdB)-LA JOLLA UNITED GOLD</v>
      </c>
      <c r="F301" s="229" t="str">
        <f>'14U BOYS GOLD-26 TEAMS'!F71&amp;""</f>
        <v>14</v>
      </c>
      <c r="G301" s="230" t="str">
        <f>'14U BOYS GOLD-26 TEAMS'!G71&amp;""</f>
        <v>P3(4thD)-STANFORD BLACK</v>
      </c>
      <c r="H301" s="229" t="str">
        <f>'14U BOYS GOLD-26 TEAMS'!H71&amp;""</f>
        <v>3</v>
      </c>
      <c r="I301" s="98" t="str">
        <f>'14U BOYS GOLD-26 TEAMS'!I71&amp;""</f>
        <v>W/L P</v>
      </c>
      <c r="J301" s="229" t="str">
        <f>'14U BOYS GOLD-26 TEAMS'!J71&amp;""</f>
        <v>14U_BOYS_GOLD</v>
      </c>
      <c r="K301" s="229" t="str">
        <f t="shared" si="8"/>
        <v>202602011110</v>
      </c>
    </row>
    <row r="302" spans="1:11">
      <c r="A302" s="232">
        <f>'14U BOYS GOLD-26 TEAMS'!A61</f>
        <v>46054</v>
      </c>
      <c r="B302" s="231">
        <f>'14U BOYS GOLD-26 TEAMS'!B61</f>
        <v>0.5</v>
      </c>
      <c r="C302" s="98" t="str">
        <f>'14U BOYS GOLD-26 TEAMS'!C61&amp;""</f>
        <v>ESTANCIA HS 2</v>
      </c>
      <c r="D302" s="98" t="str">
        <f>'14U BOYS GOLD-26 TEAMS'!D61&amp;""</f>
        <v>14Bau38</v>
      </c>
      <c r="E302" s="229" t="str">
        <f>'14U BOYS GOLD-26 TEAMS'!E61&amp;""</f>
        <v>W#29-MISSION WPC B</v>
      </c>
      <c r="F302" s="229" t="str">
        <f>'14U BOYS GOLD-26 TEAMS'!F61&amp;""</f>
        <v>10</v>
      </c>
      <c r="G302" s="229" t="str">
        <f>'14U BOYS GOLD-26 TEAMS'!G61&amp;""</f>
        <v>W#30-VANGUARD SILVER</v>
      </c>
      <c r="H302" s="229" t="str">
        <f>'14U BOYS GOLD-26 TEAMS'!H61&amp;""</f>
        <v>3</v>
      </c>
      <c r="I302" s="98" t="str">
        <f>'14U BOYS GOLD-26 TEAMS'!I61&amp;""</f>
        <v>1st/2ndK</v>
      </c>
      <c r="J302" s="229" t="str">
        <f>'14U BOYS GOLD-26 TEAMS'!J61&amp;""</f>
        <v>14U_BOYS_GOLD</v>
      </c>
      <c r="K302" s="229" t="str">
        <f t="shared" si="8"/>
        <v>202602011200</v>
      </c>
    </row>
    <row r="303" spans="1:11">
      <c r="A303" s="232">
        <f>'14U BOYS GOLD-26 TEAMS'!A72</f>
        <v>46054</v>
      </c>
      <c r="B303" s="231">
        <f>'14U BOYS GOLD-26 TEAMS'!B72</f>
        <v>0.5</v>
      </c>
      <c r="C303" s="98" t="str">
        <f>'14U BOYS GOLD-26 TEAMS'!C72&amp;""</f>
        <v>LAGUNA HILLS HS</v>
      </c>
      <c r="D303" s="98" t="str">
        <f>'14U BOYS GOLD-26 TEAMS'!D72&amp;""</f>
        <v>14Bau49</v>
      </c>
      <c r="E303" s="98" t="str">
        <f>'14U BOYS GOLD-26 TEAMS'!E72&amp;""</f>
        <v>N1(3rdA)-HONOLULU BLUE</v>
      </c>
      <c r="F303" s="98" t="str">
        <f>'14U BOYS GOLD-26 TEAMS'!F72&amp;""</f>
        <v>6</v>
      </c>
      <c r="G303" s="98" t="str">
        <f>'14U BOYS GOLD-26 TEAMS'!G72&amp;""</f>
        <v>N2(3rdG)-SD ECA</v>
      </c>
      <c r="H303" s="98" t="str">
        <f>'14U BOYS GOLD-26 TEAMS'!H72&amp;""</f>
        <v>9</v>
      </c>
      <c r="I303" s="98" t="str">
        <f>'14U BOYS GOLD-26 TEAMS'!I72&amp;""</f>
        <v>N bracket</v>
      </c>
      <c r="J303" s="229" t="str">
        <f>'14U BOYS GOLD-26 TEAMS'!J72&amp;""</f>
        <v>14U_BOYS_GOLD</v>
      </c>
      <c r="K303" s="229" t="str">
        <f t="shared" si="8"/>
        <v>202602011200</v>
      </c>
    </row>
    <row r="304" spans="1:11">
      <c r="A304" s="232">
        <f>'14U BOYS GOLD-26 TEAMS'!A62</f>
        <v>46054</v>
      </c>
      <c r="B304" s="231">
        <f>'14U BOYS GOLD-26 TEAMS'!B62</f>
        <v>0.53472222222222199</v>
      </c>
      <c r="C304" s="98" t="str">
        <f>'14U BOYS GOLD-26 TEAMS'!C62&amp;""</f>
        <v>ESTANCIA HS 2</v>
      </c>
      <c r="D304" s="98" t="str">
        <f>'14U BOYS GOLD-26 TEAMS'!D62&amp;""</f>
        <v>14Bau39</v>
      </c>
      <c r="E304" s="230" t="str">
        <f>'14U BOYS GOLD-26 TEAMS'!E62&amp;""</f>
        <v>L#27-SAN CLEMENTE RED</v>
      </c>
      <c r="F304" s="229" t="str">
        <f>'14U BOYS GOLD-26 TEAMS'!F62&amp;""</f>
        <v>13</v>
      </c>
      <c r="G304" s="229" t="str">
        <f>'14U BOYS GOLD-26 TEAMS'!G62&amp;""</f>
        <v>L#28-BACK BAY</v>
      </c>
      <c r="H304" s="229" t="str">
        <f>'14U BOYS GOLD-26 TEAMS'!H62&amp;""</f>
        <v>11</v>
      </c>
      <c r="I304" s="98" t="str">
        <f>'14U BOYS GOLD-26 TEAMS'!I62&amp;""</f>
        <v>3rd/4thJ</v>
      </c>
      <c r="J304" s="229" t="str">
        <f>'14U BOYS GOLD-26 TEAMS'!J62&amp;""</f>
        <v>14U_BOYS_GOLD</v>
      </c>
      <c r="K304" s="229" t="str">
        <f t="shared" si="8"/>
        <v>202602011250</v>
      </c>
    </row>
    <row r="305" spans="1:11">
      <c r="A305" s="232">
        <f>'14U BOYS GOLD-26 TEAMS'!A73</f>
        <v>46054</v>
      </c>
      <c r="B305" s="231">
        <f>'14U BOYS GOLD-26 TEAMS'!B73</f>
        <v>0.53472222222222199</v>
      </c>
      <c r="C305" s="98" t="str">
        <f>'14U BOYS GOLD-26 TEAMS'!C73&amp;""</f>
        <v>LAGUNA HILLS HS</v>
      </c>
      <c r="D305" s="98" t="str">
        <f>'14U BOYS GOLD-26 TEAMS'!D73&amp;""</f>
        <v>14Bau46</v>
      </c>
      <c r="E305" s="229" t="str">
        <f>'14U BOYS GOLD-26 TEAMS'!E73&amp;""</f>
        <v>O1(3rdE)-FOOTHILL RED</v>
      </c>
      <c r="F305" s="229" t="str">
        <f>'14U BOYS GOLD-26 TEAMS'!F73&amp;""</f>
        <v>10</v>
      </c>
      <c r="G305" s="230" t="str">
        <f>'14U BOYS GOLD-26 TEAMS'!G73&amp;""</f>
        <v>O2(3rdC)-STANFORD 13</v>
      </c>
      <c r="H305" s="229" t="str">
        <f>'14U BOYS GOLD-26 TEAMS'!H73&amp;""</f>
        <v>3</v>
      </c>
      <c r="I305" s="98" t="str">
        <f>'14U BOYS GOLD-26 TEAMS'!I73&amp;""</f>
        <v>O bracket</v>
      </c>
      <c r="J305" s="229" t="str">
        <f>'14U BOYS GOLD-26 TEAMS'!J73&amp;""</f>
        <v>14U_BOYS_GOLD</v>
      </c>
      <c r="K305" s="229" t="str">
        <f t="shared" si="8"/>
        <v>202602011250</v>
      </c>
    </row>
    <row r="306" spans="1:11">
      <c r="A306" s="232">
        <f>'14U BOYS GOLD-26 TEAMS'!A63</f>
        <v>46054</v>
      </c>
      <c r="B306" s="231">
        <f>'14U BOYS GOLD-26 TEAMS'!B63</f>
        <v>0.56944444444444497</v>
      </c>
      <c r="C306" s="98" t="str">
        <f>'14U BOYS GOLD-26 TEAMS'!C63&amp;""</f>
        <v>ESTANCIA HS 2</v>
      </c>
      <c r="D306" s="98" t="str">
        <f>'14U BOYS GOLD-26 TEAMS'!D63&amp;""</f>
        <v>14Bau40</v>
      </c>
      <c r="E306" s="229" t="str">
        <f>'14U BOYS GOLD-26 TEAMS'!E63&amp;""</f>
        <v>L#29-HIELAND</v>
      </c>
      <c r="F306" s="229" t="str">
        <f>'14U BOYS GOLD-26 TEAMS'!F63&amp;""</f>
        <v>4</v>
      </c>
      <c r="G306" s="229" t="str">
        <f>'14U BOYS GOLD-26 TEAMS'!G63&amp;""</f>
        <v>L#30-680 BLUE</v>
      </c>
      <c r="H306" s="229" t="str">
        <f>'14U BOYS GOLD-26 TEAMS'!H63&amp;""</f>
        <v>11</v>
      </c>
      <c r="I306" s="98" t="str">
        <f>'14U BOYS GOLD-26 TEAMS'!I63&amp;""</f>
        <v>3rd/4thK</v>
      </c>
      <c r="J306" s="229" t="str">
        <f>'14U BOYS GOLD-26 TEAMS'!J63&amp;""</f>
        <v>14U_BOYS_GOLD</v>
      </c>
      <c r="K306" s="229" t="str">
        <f t="shared" si="8"/>
        <v>202602011340</v>
      </c>
    </row>
    <row r="307" spans="1:11">
      <c r="A307" s="232">
        <f>'14U BOYS GOLD-26 TEAMS'!A74</f>
        <v>46054</v>
      </c>
      <c r="B307" s="231">
        <f>'14U BOYS GOLD-26 TEAMS'!B74</f>
        <v>0.56944444444444497</v>
      </c>
      <c r="C307" s="98" t="str">
        <f>'14U BOYS GOLD-26 TEAMS'!C74&amp;""</f>
        <v>LAGUNA HILLS HS</v>
      </c>
      <c r="D307" s="98" t="str">
        <f>'14U BOYS GOLD-26 TEAMS'!D74&amp;""</f>
        <v>14Bau47</v>
      </c>
      <c r="E307" s="98" t="str">
        <f>'14U BOYS GOLD-26 TEAMS'!E74&amp;""</f>
        <v>W#43-SOUTH COAST WHITE (B)</v>
      </c>
      <c r="F307" s="98" t="str">
        <f>'14U BOYS GOLD-26 TEAMS'!F74&amp;""</f>
        <v>5.2</v>
      </c>
      <c r="G307" s="98" t="str">
        <f>'14U BOYS GOLD-26 TEAMS'!G74&amp;""</f>
        <v>W#44-LA JOLLA UNITED GOLD</v>
      </c>
      <c r="H307" s="98" t="str">
        <f>'14U BOYS GOLD-26 TEAMS'!H74&amp;""</f>
        <v>5</v>
      </c>
      <c r="I307" s="98" t="str">
        <f>'14U BOYS GOLD-26 TEAMS'!I74&amp;""</f>
        <v>1st/2ndP</v>
      </c>
      <c r="J307" s="229" t="str">
        <f>'14U BOYS GOLD-26 TEAMS'!J74&amp;""</f>
        <v>14U_BOYS_GOLD</v>
      </c>
      <c r="K307" s="229" t="str">
        <f t="shared" si="8"/>
        <v>202602011340</v>
      </c>
    </row>
    <row r="308" spans="1:11">
      <c r="A308" s="232">
        <f>'14U BOYS GOLD-26 TEAMS'!A84</f>
        <v>46054</v>
      </c>
      <c r="B308" s="231">
        <f>'14U BOYS GOLD-26 TEAMS'!B84</f>
        <v>0.58333333333333337</v>
      </c>
      <c r="C308" s="98" t="str">
        <f>'14U BOYS GOLD-26 TEAMS'!C84&amp;""</f>
        <v>ESPERANZA HS</v>
      </c>
      <c r="D308" s="98" t="str">
        <f>'14U BOYS GOLD-26 TEAMS'!D84&amp;""</f>
        <v>14Bau51</v>
      </c>
      <c r="E308" s="98" t="str">
        <f>'14U BOYS GOLD-26 TEAMS'!E84&amp;""</f>
        <v>W#31-NORTH IRVINE RED</v>
      </c>
      <c r="F308" s="98" t="str">
        <f>'14U BOYS GOLD-26 TEAMS'!F84&amp;""</f>
        <v>5</v>
      </c>
      <c r="G308" s="98" t="str">
        <f>'14U BOYS GOLD-26 TEAMS'!G84&amp;""</f>
        <v>W#32-LAWPC</v>
      </c>
      <c r="H308" s="98" t="str">
        <f>'14U BOYS GOLD-26 TEAMS'!H84&amp;""</f>
        <v>11</v>
      </c>
      <c r="I308" s="98" t="str">
        <f>'14U BOYS GOLD-26 TEAMS'!I84&amp;""</f>
        <v>1st/2ndL</v>
      </c>
      <c r="J308" s="229" t="str">
        <f>'14U BOYS GOLD-26 TEAMS'!J84&amp;""</f>
        <v>14U_BOYS_GOLD</v>
      </c>
      <c r="K308" s="229" t="str">
        <f t="shared" si="8"/>
        <v>202602011400</v>
      </c>
    </row>
    <row r="309" spans="1:11">
      <c r="A309" s="232">
        <f>'14U BOYS GOLD-26 TEAMS'!A64</f>
        <v>46054</v>
      </c>
      <c r="B309" s="231">
        <f>'14U BOYS GOLD-26 TEAMS'!B64</f>
        <v>0.60416666666666696</v>
      </c>
      <c r="C309" s="98" t="str">
        <f>'14U BOYS GOLD-26 TEAMS'!C64&amp;""</f>
        <v>ESTANCIA HS 2</v>
      </c>
      <c r="D309" s="98" t="str">
        <f>'14U BOYS GOLD-26 TEAMS'!D64&amp;""</f>
        <v>14Bau35</v>
      </c>
      <c r="E309" s="98" t="str">
        <f>'14U BOYS GOLD-26 TEAMS'!E64&amp;""</f>
        <v>Q1(2ndJ)-NORTHWEST</v>
      </c>
      <c r="F309" s="98" t="str">
        <f>'14U BOYS GOLD-26 TEAMS'!F64&amp;""</f>
        <v>13</v>
      </c>
      <c r="G309" s="98" t="str">
        <f>'14U BOYS GOLD-26 TEAMS'!G64&amp;""</f>
        <v>Q2(2ndK)-VANGUARD SILVER</v>
      </c>
      <c r="H309" s="98" t="str">
        <f>'14U BOYS GOLD-26 TEAMS'!H64&amp;""</f>
        <v>14</v>
      </c>
      <c r="I309" s="98" t="str">
        <f>'14U BOYS GOLD-26 TEAMS'!I64&amp;""</f>
        <v>overall 3rd</v>
      </c>
      <c r="J309" s="229" t="str">
        <f>'14U BOYS GOLD-26 TEAMS'!J64&amp;""</f>
        <v>14U_BOYS_GOLD</v>
      </c>
      <c r="K309" s="229" t="str">
        <f t="shared" si="8"/>
        <v>202602011430</v>
      </c>
    </row>
    <row r="310" spans="1:11">
      <c r="A310" s="232">
        <f>'14U BOYS GOLD-26 TEAMS'!A75</f>
        <v>46054</v>
      </c>
      <c r="B310" s="231">
        <f>'14U BOYS GOLD-26 TEAMS'!B75</f>
        <v>0.60416666666666696</v>
      </c>
      <c r="C310" s="98" t="str">
        <f>'14U BOYS GOLD-26 TEAMS'!C75&amp;""</f>
        <v>LAGUNA HILLS HS</v>
      </c>
      <c r="D310" s="98" t="str">
        <f>'14U BOYS GOLD-26 TEAMS'!D75&amp;""</f>
        <v>14Bau48</v>
      </c>
      <c r="E310" s="229" t="str">
        <f>'14U BOYS GOLD-26 TEAMS'!E75&amp;""</f>
        <v>L#43-BOA</v>
      </c>
      <c r="F310" s="229" t="str">
        <f>'14U BOYS GOLD-26 TEAMS'!F75&amp;""</f>
        <v>11</v>
      </c>
      <c r="G310" s="230" t="str">
        <f>'14U BOYS GOLD-26 TEAMS'!G75&amp;""</f>
        <v>L#44-STANFORD BLACK</v>
      </c>
      <c r="H310" s="229" t="str">
        <f>'14U BOYS GOLD-26 TEAMS'!H75&amp;""</f>
        <v>12</v>
      </c>
      <c r="I310" s="98" t="str">
        <f>'14U BOYS GOLD-26 TEAMS'!I75&amp;""</f>
        <v>3rd/4thP</v>
      </c>
      <c r="J310" s="229" t="str">
        <f>'14U BOYS GOLD-26 TEAMS'!J75&amp;""</f>
        <v>14U_BOYS_GOLD</v>
      </c>
      <c r="K310" s="229" t="str">
        <f t="shared" si="8"/>
        <v>202602011430</v>
      </c>
    </row>
    <row r="311" spans="1:11">
      <c r="A311" s="232">
        <f>'14U BOYS GOLD-26 TEAMS'!A85</f>
        <v>46054</v>
      </c>
      <c r="B311" s="231">
        <f>'14U BOYS GOLD-26 TEAMS'!B85</f>
        <v>0.61805555555555558</v>
      </c>
      <c r="C311" s="98" t="str">
        <f>'14U BOYS GOLD-26 TEAMS'!C85&amp;""</f>
        <v>ESPERANZA HS</v>
      </c>
      <c r="D311" s="98" t="str">
        <f>'14U BOYS GOLD-26 TEAMS'!D85&amp;""</f>
        <v>14Bau52</v>
      </c>
      <c r="E311" s="229" t="str">
        <f>'14U BOYS GOLD-26 TEAMS'!E85&amp;""</f>
        <v>L#31-PRIDE RED</v>
      </c>
      <c r="F311" s="229" t="str">
        <f>'14U BOYS GOLD-26 TEAMS'!F85&amp;""</f>
        <v>8</v>
      </c>
      <c r="G311" s="230" t="str">
        <f>'14U BOYS GOLD-26 TEAMS'!G85&amp;""</f>
        <v>L#32-DAVIS</v>
      </c>
      <c r="H311" s="229" t="str">
        <f>'14U BOYS GOLD-26 TEAMS'!H85&amp;""</f>
        <v>13</v>
      </c>
      <c r="I311" s="98" t="str">
        <f>'14U BOYS GOLD-26 TEAMS'!I85&amp;""</f>
        <v>3rd/4thL</v>
      </c>
      <c r="J311" s="229" t="str">
        <f>'14U BOYS GOLD-26 TEAMS'!J85&amp;""</f>
        <v>14U_BOYS_GOLD</v>
      </c>
      <c r="K311" s="229" t="str">
        <f t="shared" si="8"/>
        <v>202602011450</v>
      </c>
    </row>
    <row r="312" spans="1:11">
      <c r="A312" s="232">
        <f>'14U BOYS GOLD-26 TEAMS'!A65</f>
        <v>46054</v>
      </c>
      <c r="B312" s="231">
        <f>'14U BOYS GOLD-26 TEAMS'!B65</f>
        <v>0.63888888888888895</v>
      </c>
      <c r="C312" s="98" t="str">
        <f>'14U BOYS GOLD-26 TEAMS'!C65&amp;""</f>
        <v>ESTANCIA HS 2</v>
      </c>
      <c r="D312" s="98" t="str">
        <f>'14U BOYS GOLD-26 TEAMS'!D65&amp;""</f>
        <v>14Bau36</v>
      </c>
      <c r="E312" s="229" t="str">
        <f>'14U BOYS GOLD-26 TEAMS'!E65&amp;""</f>
        <v>R1(1stJ)-SHORE AQUATICS</v>
      </c>
      <c r="F312" s="229" t="str">
        <f>'14U BOYS GOLD-26 TEAMS'!F65&amp;""</f>
        <v>6</v>
      </c>
      <c r="G312" s="230" t="str">
        <f>'14U BOYS GOLD-26 TEAMS'!G65&amp;""</f>
        <v>R2(1stK)-MISSION WPC B</v>
      </c>
      <c r="H312" s="229" t="str">
        <f>'14U BOYS GOLD-26 TEAMS'!H65&amp;""</f>
        <v>7</v>
      </c>
      <c r="I312" s="98" t="str">
        <f>'14U BOYS GOLD-26 TEAMS'!I65&amp;""</f>
        <v>overall 1st</v>
      </c>
      <c r="J312" s="229" t="str">
        <f>'14U BOYS GOLD-26 TEAMS'!J65&amp;""</f>
        <v>14U_BOYS_GOLD</v>
      </c>
      <c r="K312" s="229" t="str">
        <f t="shared" si="8"/>
        <v>202602011520</v>
      </c>
    </row>
    <row r="313" spans="1:11">
      <c r="A313" s="232">
        <f>'14U BOYS GOLD-26 TEAMS'!A76</f>
        <v>46054</v>
      </c>
      <c r="B313" s="231">
        <f>'14U BOYS GOLD-26 TEAMS'!B76</f>
        <v>0.63888888888888895</v>
      </c>
      <c r="C313" s="98" t="str">
        <f>'14U BOYS GOLD-26 TEAMS'!C76&amp;""</f>
        <v>LAGUNA HILLS HS</v>
      </c>
      <c r="D313" s="98" t="str">
        <f>'14U BOYS GOLD-26 TEAMS'!D76&amp;""</f>
        <v>14Bau45</v>
      </c>
      <c r="E313" s="98" t="str">
        <f>'14U BOYS GOLD-26 TEAMS'!E76&amp;""</f>
        <v>N2(3rdG)-SD ECA</v>
      </c>
      <c r="F313" s="98" t="str">
        <f>'14U BOYS GOLD-26 TEAMS'!F76&amp;""</f>
        <v>8</v>
      </c>
      <c r="G313" s="98" t="str">
        <f>'14U BOYS GOLD-26 TEAMS'!G76&amp;""</f>
        <v>N3(3rdH)-PATRIOT RED</v>
      </c>
      <c r="H313" s="98" t="str">
        <f>'14U BOYS GOLD-26 TEAMS'!H76&amp;""</f>
        <v>9</v>
      </c>
      <c r="I313" s="98" t="str">
        <f>'14U BOYS GOLD-26 TEAMS'!I76&amp;""</f>
        <v>N bracket</v>
      </c>
      <c r="J313" s="229" t="str">
        <f>'14U BOYS GOLD-26 TEAMS'!J76&amp;""</f>
        <v>14U_BOYS_GOLD</v>
      </c>
      <c r="K313" s="229" t="str">
        <f t="shared" si="8"/>
        <v>202602011520</v>
      </c>
    </row>
    <row r="314" spans="1:11">
      <c r="A314" s="232">
        <f>'14U BOYS GOLD-26 TEAMS'!A86</f>
        <v>46054</v>
      </c>
      <c r="B314" s="231">
        <f>'14U BOYS GOLD-26 TEAMS'!B86</f>
        <v>0.65277777777777779</v>
      </c>
      <c r="C314" s="98" t="str">
        <f>'14U BOYS GOLD-26 TEAMS'!C86&amp;""</f>
        <v>ESPERANZA HS</v>
      </c>
      <c r="D314" s="98" t="str">
        <f>'14U BOYS GOLD-26 TEAMS'!D86&amp;""</f>
        <v>14Bau53</v>
      </c>
      <c r="E314" s="98" t="str">
        <f>'14U BOYS GOLD-26 TEAMS'!E86&amp;""</f>
        <v>W#33-CC UNITED BLUE</v>
      </c>
      <c r="F314" s="98" t="str">
        <f>'14U BOYS GOLD-26 TEAMS'!F86&amp;""</f>
        <v>13</v>
      </c>
      <c r="G314" s="98" t="str">
        <f>'14U BOYS GOLD-26 TEAMS'!G86&amp;""</f>
        <v xml:space="preserve">W#34-LAMORINDA B	</v>
      </c>
      <c r="H314" s="98" t="str">
        <f>'14U BOYS GOLD-26 TEAMS'!H86&amp;""</f>
        <v>14</v>
      </c>
      <c r="I314" s="98" t="str">
        <f>'14U BOYS GOLD-26 TEAMS'!I86&amp;""</f>
        <v>1st/2ndM</v>
      </c>
      <c r="J314" s="229" t="str">
        <f>'14U BOYS GOLD-26 TEAMS'!J86&amp;""</f>
        <v>14U_BOYS_GOLD</v>
      </c>
      <c r="K314" s="229" t="str">
        <f t="shared" si="8"/>
        <v>202602011540</v>
      </c>
    </row>
    <row r="315" spans="1:11">
      <c r="A315" s="232">
        <f>'14U BOYS GOLD-26 TEAMS'!A77</f>
        <v>46054</v>
      </c>
      <c r="B315" s="231">
        <f>'14U BOYS GOLD-26 TEAMS'!B77</f>
        <v>0.67361111111111105</v>
      </c>
      <c r="C315" s="98" t="str">
        <f>'14U BOYS GOLD-26 TEAMS'!C77&amp;""</f>
        <v>LAGUNA HILLS HS</v>
      </c>
      <c r="D315" s="98" t="str">
        <f>'14U BOYS GOLD-26 TEAMS'!D77&amp;""</f>
        <v>14Bau50</v>
      </c>
      <c r="E315" s="229" t="str">
        <f>'14U BOYS GOLD-26 TEAMS'!E77&amp;""</f>
        <v>O2(3rdC)-STANFORD 13</v>
      </c>
      <c r="F315" s="229" t="str">
        <f>'14U BOYS GOLD-26 TEAMS'!F77&amp;""</f>
        <v>7</v>
      </c>
      <c r="G315" s="230" t="str">
        <f>'14U BOYS GOLD-26 TEAMS'!G77&amp;""</f>
        <v>O3(3rdD)-AMERICAN RIVER BLUE</v>
      </c>
      <c r="H315" s="229" t="str">
        <f>'14U BOYS GOLD-26 TEAMS'!H77&amp;""</f>
        <v>9</v>
      </c>
      <c r="I315" s="98" t="str">
        <f>'14U BOYS GOLD-26 TEAMS'!I77&amp;""</f>
        <v>O bracket</v>
      </c>
      <c r="J315" s="229" t="str">
        <f>'14U BOYS GOLD-26 TEAMS'!J77&amp;""</f>
        <v>14U_BOYS_GOLD</v>
      </c>
      <c r="K315" s="229" t="str">
        <f t="shared" si="8"/>
        <v>202602011610</v>
      </c>
    </row>
    <row r="316" spans="1:11">
      <c r="A316" s="232">
        <f>'14U BOYS GOLD-26 TEAMS'!A87</f>
        <v>46054</v>
      </c>
      <c r="B316" s="231">
        <f>'14U BOYS GOLD-26 TEAMS'!B87</f>
        <v>0.6875</v>
      </c>
      <c r="C316" s="98" t="str">
        <f>'14U BOYS GOLD-26 TEAMS'!C87&amp;""</f>
        <v>ESPERANZA HS</v>
      </c>
      <c r="D316" s="98" t="str">
        <f>'14U BOYS GOLD-26 TEAMS'!D87&amp;""</f>
        <v>14Bau54</v>
      </c>
      <c r="E316" s="229" t="str">
        <f>'14U BOYS GOLD-26 TEAMS'!E87&amp;""</f>
        <v>L#33-SHAQ WHITE</v>
      </c>
      <c r="F316" s="229" t="str">
        <f>'14U BOYS GOLD-26 TEAMS'!F87&amp;""</f>
        <v>13.4</v>
      </c>
      <c r="G316" s="230" t="str">
        <f>'14U BOYS GOLD-26 TEAMS'!G87&amp;""</f>
        <v>L#34-CT PREMIER</v>
      </c>
      <c r="H316" s="229" t="str">
        <f>'14U BOYS GOLD-26 TEAMS'!H87&amp;""</f>
        <v>13.2</v>
      </c>
      <c r="I316" s="98" t="str">
        <f>'14U BOYS GOLD-26 TEAMS'!I87&amp;""</f>
        <v>3rd/4thM</v>
      </c>
      <c r="J316" s="229" t="str">
        <f>'14U BOYS GOLD-26 TEAMS'!J87&amp;""</f>
        <v>14U_BOYS_GOLD</v>
      </c>
      <c r="K316" s="229" t="str">
        <f t="shared" si="8"/>
        <v>202602011630</v>
      </c>
    </row>
    <row r="317" spans="1:11">
      <c r="A317" s="99">
        <f>'14U BOYS PLATINUM-20 TEAMS'!A20</f>
        <v>46053</v>
      </c>
      <c r="B317" s="235">
        <f>'14U BOYS PLATINUM-20 TEAMS'!B20</f>
        <v>0.29166666666666669</v>
      </c>
      <c r="C317" s="235" t="str">
        <f>'14U BOYS PLATINUM-20 TEAMS'!C20&amp;""</f>
        <v>EL TORO HS 1</v>
      </c>
      <c r="D317" s="144" t="str">
        <f>'14U BOYS PLATINUM-20 TEAMS'!D20&amp;""</f>
        <v>14Bpt12</v>
      </c>
      <c r="E317" s="144" t="str">
        <f>'14U BOYS PLATINUM-20 TEAMS'!E20&amp;""</f>
        <v>D1-LA JOLLA UNITED NAVY</v>
      </c>
      <c r="F317" s="144" t="str">
        <f>'14U BOYS PLATINUM-20 TEAMS'!F20&amp;""</f>
        <v>16</v>
      </c>
      <c r="G317" s="144" t="str">
        <f>'14U BOYS PLATINUM-20 TEAMS'!G20&amp;""</f>
        <v>D3-STANFORD RED</v>
      </c>
      <c r="H317" s="144" t="str">
        <f>'14U BOYS PLATINUM-20 TEAMS'!H20&amp;""</f>
        <v>7</v>
      </c>
      <c r="I317" s="144" t="str">
        <f>'14U BOYS PLATINUM-20 TEAMS'!I20&amp;""</f>
        <v>D bracket</v>
      </c>
      <c r="J317" s="144" t="str">
        <f>'14U BOYS PLATINUM-20 TEAMS'!J20&amp;""</f>
        <v>14U_BOYS_PLATINUM</v>
      </c>
      <c r="K317" s="144" t="str">
        <f t="shared" ref="K317:K324" si="9">TEXT(DATE(2026, MONTH(A317), DAY(A317)) + TIME(HOUR(B317), MINUTE(B317), 0), "yyyymmddhhmm")</f>
        <v>202601310700</v>
      </c>
    </row>
    <row r="318" spans="1:11">
      <c r="A318" s="99">
        <f>'14U BOYS PLATINUM-20 TEAMS'!A21</f>
        <v>46053</v>
      </c>
      <c r="B318" s="235">
        <f>'14U BOYS PLATINUM-20 TEAMS'!B21</f>
        <v>0.3263888888888889</v>
      </c>
      <c r="C318" s="235" t="str">
        <f>'14U BOYS PLATINUM-20 TEAMS'!C21&amp;""</f>
        <v>EL TORO HS 1</v>
      </c>
      <c r="D318" s="144" t="str">
        <f>'14U BOYS PLATINUM-20 TEAMS'!D21&amp;""</f>
        <v>14Bpt13</v>
      </c>
      <c r="E318" s="144" t="str">
        <f>'14U BOYS PLATINUM-20 TEAMS'!E21&amp;""</f>
        <v>B1-NORCAL</v>
      </c>
      <c r="F318" s="144" t="str">
        <f>'14U BOYS PLATINUM-20 TEAMS'!F21&amp;""</f>
        <v>11</v>
      </c>
      <c r="G318" s="144" t="str">
        <f>'14U BOYS PLATINUM-20 TEAMS'!G21&amp;""</f>
        <v>B3-NORTH IRVINE BLACK</v>
      </c>
      <c r="H318" s="144" t="str">
        <f>'14U BOYS PLATINUM-20 TEAMS'!H21&amp;""</f>
        <v>3</v>
      </c>
      <c r="I318" s="144" t="str">
        <f>'14U BOYS PLATINUM-20 TEAMS'!I21&amp;""</f>
        <v>B bracket</v>
      </c>
      <c r="J318" s="144" t="str">
        <f>'14U BOYS PLATINUM-20 TEAMS'!J21&amp;""</f>
        <v>14U_BOYS_PLATINUM</v>
      </c>
      <c r="K318" s="144" t="str">
        <f t="shared" si="9"/>
        <v>202601310750</v>
      </c>
    </row>
    <row r="319" spans="1:11">
      <c r="A319" s="99">
        <f>'14U BOYS PLATINUM-20 TEAMS'!A22</f>
        <v>46053</v>
      </c>
      <c r="B319" s="235">
        <f>'14U BOYS PLATINUM-20 TEAMS'!B22</f>
        <v>0.36111111111111099</v>
      </c>
      <c r="C319" s="235" t="str">
        <f>'14U BOYS PLATINUM-20 TEAMS'!C22&amp;""</f>
        <v>EL TORO HS 1</v>
      </c>
      <c r="D319" s="144" t="str">
        <f>'14U BOYS PLATINUM-20 TEAMS'!D22&amp;""</f>
        <v>14Bpt09</v>
      </c>
      <c r="E319" s="99" t="str">
        <f>'14U BOYS PLATINUM-20 TEAMS'!E22&amp;""</f>
        <v>A2-680 RED</v>
      </c>
      <c r="F319" s="144" t="str">
        <f>'14U BOYS PLATINUM-20 TEAMS'!F22&amp;""</f>
        <v>10.2</v>
      </c>
      <c r="G319" s="99" t="str">
        <f>'14U BOYS PLATINUM-20 TEAMS'!G22&amp;""</f>
        <v>A3-TROJAN CARDINAL</v>
      </c>
      <c r="H319" s="144" t="str">
        <f>'14U BOYS PLATINUM-20 TEAMS'!H22&amp;""</f>
        <v>10.3</v>
      </c>
      <c r="I319" s="144" t="str">
        <f>'14U BOYS PLATINUM-20 TEAMS'!I22&amp;""</f>
        <v>A bracket</v>
      </c>
      <c r="J319" s="144" t="str">
        <f>'14U BOYS PLATINUM-20 TEAMS'!J22&amp;""</f>
        <v>14U_BOYS_PLATINUM</v>
      </c>
      <c r="K319" s="144" t="str">
        <f t="shared" si="9"/>
        <v>202601310840</v>
      </c>
    </row>
    <row r="320" spans="1:11">
      <c r="A320" s="99">
        <f>'14U BOYS PLATINUM-20 TEAMS'!A23</f>
        <v>46053</v>
      </c>
      <c r="B320" s="235">
        <f>'14U BOYS PLATINUM-20 TEAMS'!B23</f>
        <v>0.39583333333333398</v>
      </c>
      <c r="C320" s="235" t="str">
        <f>'14U BOYS PLATINUM-20 TEAMS'!C23&amp;""</f>
        <v>EL TORO HS 1</v>
      </c>
      <c r="D320" s="144" t="str">
        <f>'14U BOYS PLATINUM-20 TEAMS'!D23&amp;""</f>
        <v>14Bpt07</v>
      </c>
      <c r="E320" s="144" t="str">
        <f>'14U BOYS PLATINUM-20 TEAMS'!E23&amp;""</f>
        <v>6-PATRIOT NAVY</v>
      </c>
      <c r="F320" s="144" t="str">
        <f>'14U BOYS PLATINUM-20 TEAMS'!F23&amp;""</f>
        <v>17</v>
      </c>
      <c r="G320" s="144" t="str">
        <f>'14U BOYS PLATINUM-20 TEAMS'!G23&amp;""</f>
        <v>19-ROUTE 66 AQUATICS</v>
      </c>
      <c r="H320" s="144" t="str">
        <f>'14U BOYS PLATINUM-20 TEAMS'!H23&amp;""</f>
        <v>8</v>
      </c>
      <c r="I320" s="144" t="str">
        <f>'14U BOYS PLATINUM-20 TEAMS'!I23&amp;""</f>
        <v>W/L F</v>
      </c>
      <c r="J320" s="144" t="str">
        <f>'14U BOYS PLATINUM-20 TEAMS'!J23&amp;""</f>
        <v>14U_BOYS_PLATINUM</v>
      </c>
      <c r="K320" s="144" t="str">
        <f t="shared" si="9"/>
        <v>202601310930</v>
      </c>
    </row>
    <row r="321" spans="1:11">
      <c r="A321" s="99">
        <f>'14U BOYS PLATINUM-20 TEAMS'!A24</f>
        <v>46053</v>
      </c>
      <c r="B321" s="235">
        <f>'14U BOYS PLATINUM-20 TEAMS'!B24</f>
        <v>0.43055555555555602</v>
      </c>
      <c r="C321" s="235" t="str">
        <f>'14U BOYS PLATINUM-20 TEAMS'!C24&amp;""</f>
        <v>EL TORO HS 1</v>
      </c>
      <c r="D321" s="144" t="str">
        <f>'14U BOYS PLATINUM-20 TEAMS'!D24&amp;""</f>
        <v>14Bpt08</v>
      </c>
      <c r="E321" s="144" t="str">
        <f>'14U BOYS PLATINUM-20 TEAMS'!E24&amp;""</f>
        <v>7-LA PREMIER</v>
      </c>
      <c r="F321" s="144" t="str">
        <f>'14U BOYS PLATINUM-20 TEAMS'!F24&amp;""</f>
        <v>14</v>
      </c>
      <c r="G321" s="144" t="str">
        <f>'14U BOYS PLATINUM-20 TEAMS'!G24&amp;""</f>
        <v>18-SHAQ BLUE</v>
      </c>
      <c r="H321" s="144" t="str">
        <f>'14U BOYS PLATINUM-20 TEAMS'!H24&amp;""</f>
        <v>7</v>
      </c>
      <c r="I321" s="144" t="str">
        <f>'14U BOYS PLATINUM-20 TEAMS'!I24&amp;""</f>
        <v>W/L F</v>
      </c>
      <c r="J321" s="144" t="str">
        <f>'14U BOYS PLATINUM-20 TEAMS'!J24&amp;""</f>
        <v>14U_BOYS_PLATINUM</v>
      </c>
      <c r="K321" s="144" t="str">
        <f t="shared" si="9"/>
        <v>202601311020</v>
      </c>
    </row>
    <row r="322" spans="1:11">
      <c r="A322" s="99">
        <f>'14U BOYS PLATINUM-20 TEAMS'!A25</f>
        <v>46053</v>
      </c>
      <c r="B322" s="235">
        <f>'14U BOYS PLATINUM-20 TEAMS'!B25</f>
        <v>0.46527777777777801</v>
      </c>
      <c r="C322" s="235" t="str">
        <f>'14U BOYS PLATINUM-20 TEAMS'!C25&amp;""</f>
        <v>EL TORO HS 1</v>
      </c>
      <c r="D322" s="144" t="str">
        <f>'14U BOYS PLATINUM-20 TEAMS'!D25&amp;""</f>
        <v>14Bpt03</v>
      </c>
      <c r="E322" s="236" t="str">
        <f>'14U BOYS PLATINUM-20 TEAMS'!E25&amp;""</f>
        <v>A1-MISSION WPC A</v>
      </c>
      <c r="F322" s="144" t="str">
        <f>'14U BOYS PLATINUM-20 TEAMS'!F25&amp;""</f>
        <v>12</v>
      </c>
      <c r="G322" s="99" t="str">
        <f>'14U BOYS PLATINUM-20 TEAMS'!G25&amp;""</f>
        <v>A2-680 RED</v>
      </c>
      <c r="H322" s="144" t="str">
        <f>'14U BOYS PLATINUM-20 TEAMS'!H25&amp;""</f>
        <v>4</v>
      </c>
      <c r="I322" s="144" t="str">
        <f>'14U BOYS PLATINUM-20 TEAMS'!I25&amp;""</f>
        <v>A bracket</v>
      </c>
      <c r="J322" s="144" t="str">
        <f>'14U BOYS PLATINUM-20 TEAMS'!J25&amp;""</f>
        <v>14U_BOYS_PLATINUM</v>
      </c>
      <c r="K322" s="144" t="str">
        <f t="shared" si="9"/>
        <v>202601311110</v>
      </c>
    </row>
    <row r="323" spans="1:11">
      <c r="A323" s="99">
        <f>'14U BOYS PLATINUM-20 TEAMS'!A35</f>
        <v>46053</v>
      </c>
      <c r="B323" s="235">
        <f>'14U BOYS PLATINUM-20 TEAMS'!B35</f>
        <v>0.46527777777777801</v>
      </c>
      <c r="C323" s="235" t="str">
        <f>'14U BOYS PLATINUM-20 TEAMS'!C35&amp;""</f>
        <v>TUSTIN HS 1</v>
      </c>
      <c r="D323" s="144" t="str">
        <f>'14U BOYS PLATINUM-20 TEAMS'!D35&amp;""</f>
        <v>14Bpt14</v>
      </c>
      <c r="E323" s="144" t="str">
        <f>'14U BOYS PLATINUM-20 TEAMS'!E35&amp;""</f>
        <v>C1-VANGUARD BLUE</v>
      </c>
      <c r="F323" s="144" t="str">
        <f>'14U BOYS PLATINUM-20 TEAMS'!F35&amp;""</f>
        <v>9</v>
      </c>
      <c r="G323" s="144" t="str">
        <f>'14U BOYS PLATINUM-20 TEAMS'!G35&amp;""</f>
        <v>C3-SOUTH COAST RED (A)</v>
      </c>
      <c r="H323" s="144" t="str">
        <f>'14U BOYS PLATINUM-20 TEAMS'!H35&amp;""</f>
        <v>7</v>
      </c>
      <c r="I323" s="144" t="str">
        <f>'14U BOYS PLATINUM-20 TEAMS'!I35&amp;""</f>
        <v>C bracket</v>
      </c>
      <c r="J323" s="144" t="str">
        <f>'14U BOYS PLATINUM-20 TEAMS'!J35&amp;""</f>
        <v>14U_BOYS_PLATINUM</v>
      </c>
      <c r="K323" s="144" t="str">
        <f t="shared" si="9"/>
        <v>202601311110</v>
      </c>
    </row>
    <row r="324" spans="1:11">
      <c r="A324" s="99">
        <f>'14U BOYS PLATINUM-20 TEAMS'!A26</f>
        <v>46053</v>
      </c>
      <c r="B324" s="235">
        <f>'14U BOYS PLATINUM-20 TEAMS'!B26</f>
        <v>0.5</v>
      </c>
      <c r="C324" s="235" t="str">
        <f>'14U BOYS PLATINUM-20 TEAMS'!C26&amp;""</f>
        <v>EL TORO HS 1</v>
      </c>
      <c r="D324" s="144" t="str">
        <f>'14U BOYS PLATINUM-20 TEAMS'!D26&amp;""</f>
        <v>14Bpt01</v>
      </c>
      <c r="E324" s="99" t="str">
        <f>'14U BOYS PLATINUM-20 TEAMS'!E26&amp;""</f>
        <v>3-CHANNEL ISLANDS UNITED GOLD</v>
      </c>
      <c r="F324" s="144" t="str">
        <f>'14U BOYS PLATINUM-20 TEAMS'!F26&amp;""</f>
        <v>16</v>
      </c>
      <c r="G324" s="99" t="str">
        <f>'14U BOYS PLATINUM-20 TEAMS'!G26&amp;""</f>
        <v>20-DEVIL'S GATE</v>
      </c>
      <c r="H324" s="144" t="str">
        <f>'14U BOYS PLATINUM-20 TEAMS'!H26&amp;""</f>
        <v>7</v>
      </c>
      <c r="I324" s="144" t="str">
        <f>'14U BOYS PLATINUM-20 TEAMS'!I26&amp;""</f>
        <v>W/L E</v>
      </c>
      <c r="J324" s="144" t="str">
        <f>'14U BOYS PLATINUM-20 TEAMS'!J26&amp;""</f>
        <v>14U_BOYS_PLATINUM</v>
      </c>
      <c r="K324" s="144" t="str">
        <f t="shared" si="9"/>
        <v>202601311200</v>
      </c>
    </row>
    <row r="325" spans="1:11">
      <c r="A325" s="99">
        <f>'14U BOYS PLATINUM-20 TEAMS'!A36</f>
        <v>46053</v>
      </c>
      <c r="B325" s="235">
        <f>'14U BOYS PLATINUM-20 TEAMS'!B36</f>
        <v>0.5</v>
      </c>
      <c r="C325" s="235" t="str">
        <f>'14U BOYS PLATINUM-20 TEAMS'!C36&amp;""</f>
        <v>TUSTIN HS 1</v>
      </c>
      <c r="D325" s="144" t="str">
        <f>'14U BOYS PLATINUM-20 TEAMS'!D36&amp;""</f>
        <v>14Bpt15</v>
      </c>
      <c r="E325" s="144" t="str">
        <f>'14U BOYS PLATINUM-20 TEAMS'!E36&amp;""</f>
        <v>D2-PRIDE BLACK</v>
      </c>
      <c r="F325" s="144" t="str">
        <f>'14U BOYS PLATINUM-20 TEAMS'!F36&amp;""</f>
        <v>9</v>
      </c>
      <c r="G325" s="144" t="str">
        <f>'14U BOYS PLATINUM-20 TEAMS'!G36&amp;""</f>
        <v>D3-STANFORD RED</v>
      </c>
      <c r="H325" s="144" t="str">
        <f>'14U BOYS PLATINUM-20 TEAMS'!H36&amp;""</f>
        <v>8</v>
      </c>
      <c r="I325" s="144" t="str">
        <f>'14U BOYS PLATINUM-20 TEAMS'!I36&amp;""</f>
        <v>D bracket</v>
      </c>
      <c r="J325" s="144" t="str">
        <f>'14U BOYS PLATINUM-20 TEAMS'!J36&amp;""</f>
        <v>14U_BOYS_PLATINUM</v>
      </c>
      <c r="K325" s="144" t="str">
        <f t="shared" ref="K325:K388" si="10">TEXT(DATE(2026, MONTH(A325), DAY(A325)) + TIME(HOUR(B325), MINUTE(B325), 0), "yyyymmddhhmm")</f>
        <v>202601311200</v>
      </c>
    </row>
    <row r="326" spans="1:11">
      <c r="A326" s="99">
        <f>'14U BOYS PLATINUM-20 TEAMS'!A27</f>
        <v>46053</v>
      </c>
      <c r="B326" s="235">
        <f>'14U BOYS PLATINUM-20 TEAMS'!B27</f>
        <v>0.53472222222222199</v>
      </c>
      <c r="C326" s="235" t="str">
        <f>'14U BOYS PLATINUM-20 TEAMS'!C27&amp;""</f>
        <v>EL TORO HS 1</v>
      </c>
      <c r="D326" s="144" t="str">
        <f>'14U BOYS PLATINUM-20 TEAMS'!D27&amp;""</f>
        <v>14Bpt02</v>
      </c>
      <c r="E326" s="144" t="str">
        <f>'14U BOYS PLATINUM-20 TEAMS'!E27&amp;""</f>
        <v>10-CC UNITED BLACK</v>
      </c>
      <c r="F326" s="144" t="str">
        <f>'14U BOYS PLATINUM-20 TEAMS'!F27&amp;""</f>
        <v>7</v>
      </c>
      <c r="G326" s="144" t="str">
        <f>'14U BOYS PLATINUM-20 TEAMS'!G27&amp;""</f>
        <v>15-ORANGE COUNTY WPC BLUE</v>
      </c>
      <c r="H326" s="144" t="str">
        <f>'14U BOYS PLATINUM-20 TEAMS'!H27&amp;""</f>
        <v>9</v>
      </c>
      <c r="I326" s="144" t="str">
        <f>'14U BOYS PLATINUM-20 TEAMS'!I27&amp;""</f>
        <v>W/L E</v>
      </c>
      <c r="J326" s="144" t="str">
        <f>'14U BOYS PLATINUM-20 TEAMS'!J27&amp;""</f>
        <v>14U_BOYS_PLATINUM</v>
      </c>
      <c r="K326" s="144" t="str">
        <f t="shared" si="10"/>
        <v>202601311250</v>
      </c>
    </row>
    <row r="327" spans="1:11">
      <c r="A327" s="99">
        <f>'14U BOYS PLATINUM-20 TEAMS'!A37</f>
        <v>46053</v>
      </c>
      <c r="B327" s="235">
        <f>'14U BOYS PLATINUM-20 TEAMS'!B37</f>
        <v>0.53472222222222199</v>
      </c>
      <c r="C327" s="235" t="str">
        <f>'14U BOYS PLATINUM-20 TEAMS'!C37&amp;""</f>
        <v>TUSTIN HS 1</v>
      </c>
      <c r="D327" s="144" t="str">
        <f>'14U BOYS PLATINUM-20 TEAMS'!D37&amp;""</f>
        <v>14Bpt16</v>
      </c>
      <c r="E327" s="144" t="str">
        <f>'14U BOYS PLATINUM-20 TEAMS'!E37&amp;""</f>
        <v>B2-PALOS VERDES A</v>
      </c>
      <c r="F327" s="144" t="str">
        <f>'14U BOYS PLATINUM-20 TEAMS'!F37&amp;""</f>
        <v>9</v>
      </c>
      <c r="G327" s="144" t="str">
        <f>'14U BOYS PLATINUM-20 TEAMS'!G37&amp;""</f>
        <v>B3-NORTH IRVINE BLACK</v>
      </c>
      <c r="H327" s="144" t="str">
        <f>'14U BOYS PLATINUM-20 TEAMS'!H37&amp;""</f>
        <v>4</v>
      </c>
      <c r="I327" s="144" t="str">
        <f>'14U BOYS PLATINUM-20 TEAMS'!I37&amp;""</f>
        <v>B bracket</v>
      </c>
      <c r="J327" s="144" t="str">
        <f>'14U BOYS PLATINUM-20 TEAMS'!J37&amp;""</f>
        <v>14U_BOYS_PLATINUM</v>
      </c>
      <c r="K327" s="144" t="str">
        <f t="shared" si="10"/>
        <v>202601311250</v>
      </c>
    </row>
    <row r="328" spans="1:11">
      <c r="A328" s="99">
        <f>'14U BOYS PLATINUM-20 TEAMS'!A28</f>
        <v>46053</v>
      </c>
      <c r="B328" s="235">
        <f>'14U BOYS PLATINUM-20 TEAMS'!B28</f>
        <v>0.56944444444444497</v>
      </c>
      <c r="C328" s="235" t="str">
        <f>'14U BOYS PLATINUM-20 TEAMS'!C28&amp;""</f>
        <v>EL TORO HS 1</v>
      </c>
      <c r="D328" s="144" t="str">
        <f>'14U BOYS PLATINUM-20 TEAMS'!D28&amp;""</f>
        <v>14Bpt10</v>
      </c>
      <c r="E328" s="144" t="str">
        <f>'14U BOYS PLATINUM-20 TEAMS'!E28&amp;""</f>
        <v>W#7-PATRIOT NAVY</v>
      </c>
      <c r="F328" s="144" t="str">
        <f>'14U BOYS PLATINUM-20 TEAMS'!F28&amp;""</f>
        <v>8</v>
      </c>
      <c r="G328" s="144" t="str">
        <f>'14U BOYS PLATINUM-20 TEAMS'!G28&amp;""</f>
        <v>W#8-LA PREMIER</v>
      </c>
      <c r="H328" s="144" t="str">
        <f>'14U BOYS PLATINUM-20 TEAMS'!H28&amp;""</f>
        <v>7</v>
      </c>
      <c r="I328" s="144" t="str">
        <f>'14U BOYS PLATINUM-20 TEAMS'!I28&amp;""</f>
        <v>1st/2ndF</v>
      </c>
      <c r="J328" s="144" t="str">
        <f>'14U BOYS PLATINUM-20 TEAMS'!J28&amp;""</f>
        <v>14U_BOYS_PLATINUM</v>
      </c>
      <c r="K328" s="144" t="str">
        <f t="shared" si="10"/>
        <v>202601311340</v>
      </c>
    </row>
    <row r="329" spans="1:11">
      <c r="A329" s="99">
        <f>'14U BOYS PLATINUM-20 TEAMS'!A38</f>
        <v>46053</v>
      </c>
      <c r="B329" s="235">
        <f>'14U BOYS PLATINUM-20 TEAMS'!B38</f>
        <v>0.56944444444444497</v>
      </c>
      <c r="C329" s="235" t="str">
        <f>'14U BOYS PLATINUM-20 TEAMS'!C38&amp;""</f>
        <v>TUSTIN HS 1</v>
      </c>
      <c r="D329" s="144" t="str">
        <f>'14U BOYS PLATINUM-20 TEAMS'!D38&amp;""</f>
        <v>14Bpt17</v>
      </c>
      <c r="E329" s="144" t="str">
        <f>'14U BOYS PLATINUM-20 TEAMS'!E38&amp;""</f>
        <v>C2-LAMORINDA A</v>
      </c>
      <c r="F329" s="144" t="str">
        <f>'14U BOYS PLATINUM-20 TEAMS'!F38&amp;""</f>
        <v>8.2</v>
      </c>
      <c r="G329" s="144" t="str">
        <f>'14U BOYS PLATINUM-20 TEAMS'!G38&amp;""</f>
        <v>C3-SOUTH COAST RED (A)</v>
      </c>
      <c r="H329" s="144" t="str">
        <f>'14U BOYS PLATINUM-20 TEAMS'!H38&amp;""</f>
        <v>8.4</v>
      </c>
      <c r="I329" s="144" t="str">
        <f>'14U BOYS PLATINUM-20 TEAMS'!I38&amp;""</f>
        <v>C bracket</v>
      </c>
      <c r="J329" s="144" t="str">
        <f>'14U BOYS PLATINUM-20 TEAMS'!J38&amp;""</f>
        <v>14U_BOYS_PLATINUM</v>
      </c>
      <c r="K329" s="144" t="str">
        <f t="shared" si="10"/>
        <v>202601311340</v>
      </c>
    </row>
    <row r="330" spans="1:11">
      <c r="A330" s="99">
        <f>'14U BOYS PLATINUM-20 TEAMS'!A29</f>
        <v>46053</v>
      </c>
      <c r="B330" s="235">
        <f>'14U BOYS PLATINUM-20 TEAMS'!B29</f>
        <v>0.60416666666666696</v>
      </c>
      <c r="C330" s="235" t="str">
        <f>'14U BOYS PLATINUM-20 TEAMS'!C29&amp;""</f>
        <v>EL TORO HS 1</v>
      </c>
      <c r="D330" s="144" t="str">
        <f>'14U BOYS PLATINUM-20 TEAMS'!D29&amp;""</f>
        <v>14Bpt11</v>
      </c>
      <c r="E330" s="144" t="str">
        <f>'14U BOYS PLATINUM-20 TEAMS'!E29&amp;""</f>
        <v>L#7-ROUTE 66 AQUATICS</v>
      </c>
      <c r="F330" s="144" t="str">
        <f>'14U BOYS PLATINUM-20 TEAMS'!F29&amp;""</f>
        <v>8</v>
      </c>
      <c r="G330" s="144" t="str">
        <f>'14U BOYS PLATINUM-20 TEAMS'!G29&amp;""</f>
        <v>L#8-SHAQ BLUE</v>
      </c>
      <c r="H330" s="144" t="str">
        <f>'14U BOYS PLATINUM-20 TEAMS'!H29&amp;""</f>
        <v>11</v>
      </c>
      <c r="I330" s="144" t="str">
        <f>'14U BOYS PLATINUM-20 TEAMS'!I29&amp;""</f>
        <v>3rd/4thF</v>
      </c>
      <c r="J330" s="144" t="str">
        <f>'14U BOYS PLATINUM-20 TEAMS'!J29&amp;""</f>
        <v>14U_BOYS_PLATINUM</v>
      </c>
      <c r="K330" s="144" t="str">
        <f t="shared" si="10"/>
        <v>202601311430</v>
      </c>
    </row>
    <row r="331" spans="1:11">
      <c r="A331" s="99">
        <f>'14U BOYS PLATINUM-20 TEAMS'!A39</f>
        <v>46053</v>
      </c>
      <c r="B331" s="235">
        <f>'14U BOYS PLATINUM-20 TEAMS'!B39</f>
        <v>0.60416666666666696</v>
      </c>
      <c r="C331" s="235" t="str">
        <f>'14U BOYS PLATINUM-20 TEAMS'!C39&amp;""</f>
        <v>TUSTIN HS 1</v>
      </c>
      <c r="D331" s="144" t="str">
        <f>'14U BOYS PLATINUM-20 TEAMS'!D39&amp;""</f>
        <v>14Bpt18</v>
      </c>
      <c r="E331" s="144" t="str">
        <f>'14U BOYS PLATINUM-20 TEAMS'!E39&amp;""</f>
        <v>D1-LA JOLLA UNITED NAVY</v>
      </c>
      <c r="F331" s="144" t="str">
        <f>'14U BOYS PLATINUM-20 TEAMS'!F39&amp;""</f>
        <v>10</v>
      </c>
      <c r="G331" s="144" t="str">
        <f>'14U BOYS PLATINUM-20 TEAMS'!G39&amp;""</f>
        <v>D2-PRIDE BLACK</v>
      </c>
      <c r="H331" s="144" t="str">
        <f>'14U BOYS PLATINUM-20 TEAMS'!H39&amp;""</f>
        <v>3</v>
      </c>
      <c r="I331" s="144" t="str">
        <f>'14U BOYS PLATINUM-20 TEAMS'!I39&amp;""</f>
        <v>D bracket</v>
      </c>
      <c r="J331" s="144" t="str">
        <f>'14U BOYS PLATINUM-20 TEAMS'!J39&amp;""</f>
        <v>14U_BOYS_PLATINUM</v>
      </c>
      <c r="K331" s="144" t="str">
        <f t="shared" si="10"/>
        <v>202601311430</v>
      </c>
    </row>
    <row r="332" spans="1:11">
      <c r="A332" s="99">
        <f>'14U BOYS PLATINUM-20 TEAMS'!A30</f>
        <v>46053</v>
      </c>
      <c r="B332" s="235">
        <f>'14U BOYS PLATINUM-20 TEAMS'!B30</f>
        <v>0.63888888888888895</v>
      </c>
      <c r="C332" s="235" t="str">
        <f>'14U BOYS PLATINUM-20 TEAMS'!C30&amp;""</f>
        <v>EL TORO HS 1</v>
      </c>
      <c r="D332" s="144" t="str">
        <f>'14U BOYS PLATINUM-20 TEAMS'!D30&amp;""</f>
        <v>14Bpt04</v>
      </c>
      <c r="E332" s="144" t="str">
        <f>'14U BOYS PLATINUM-20 TEAMS'!E30&amp;""</f>
        <v>L#1-DEVIL'S GATE</v>
      </c>
      <c r="F332" s="144" t="str">
        <f>'14U BOYS PLATINUM-20 TEAMS'!F30&amp;""</f>
        <v>8</v>
      </c>
      <c r="G332" s="144" t="str">
        <f>'14U BOYS PLATINUM-20 TEAMS'!G30&amp;""</f>
        <v>L#2-CC UNITED BLACK</v>
      </c>
      <c r="H332" s="144" t="str">
        <f>'14U BOYS PLATINUM-20 TEAMS'!H30&amp;""</f>
        <v>7</v>
      </c>
      <c r="I332" s="144" t="str">
        <f>'14U BOYS PLATINUM-20 TEAMS'!I30&amp;""</f>
        <v>3rd/4thE</v>
      </c>
      <c r="J332" s="144" t="str">
        <f>'14U BOYS PLATINUM-20 TEAMS'!J30&amp;""</f>
        <v>14U_BOYS_PLATINUM</v>
      </c>
      <c r="K332" s="144" t="str">
        <f t="shared" si="10"/>
        <v>202601311520</v>
      </c>
    </row>
    <row r="333" spans="1:11">
      <c r="A333" s="99">
        <f>'14U BOYS PLATINUM-20 TEAMS'!A40</f>
        <v>46053</v>
      </c>
      <c r="B333" s="235">
        <f>'14U BOYS PLATINUM-20 TEAMS'!B40</f>
        <v>0.63888888888888895</v>
      </c>
      <c r="C333" s="235" t="str">
        <f>'14U BOYS PLATINUM-20 TEAMS'!C40&amp;""</f>
        <v>TUSTIN HS 1</v>
      </c>
      <c r="D333" s="144" t="str">
        <f>'14U BOYS PLATINUM-20 TEAMS'!D40&amp;""</f>
        <v>14Bpt19</v>
      </c>
      <c r="E333" s="144" t="str">
        <f>'14U BOYS PLATINUM-20 TEAMS'!E40&amp;""</f>
        <v>B1-NORCAL</v>
      </c>
      <c r="F333" s="144" t="str">
        <f>'14U BOYS PLATINUM-20 TEAMS'!F40&amp;""</f>
        <v>8.1</v>
      </c>
      <c r="G333" s="144" t="str">
        <f>'14U BOYS PLATINUM-20 TEAMS'!G40&amp;""</f>
        <v>B2-PALOS VERDES A</v>
      </c>
      <c r="H333" s="144" t="str">
        <f>'14U BOYS PLATINUM-20 TEAMS'!H40&amp;""</f>
        <v>8.4</v>
      </c>
      <c r="I333" s="144" t="str">
        <f>'14U BOYS PLATINUM-20 TEAMS'!I40&amp;""</f>
        <v>B bracket</v>
      </c>
      <c r="J333" s="144" t="str">
        <f>'14U BOYS PLATINUM-20 TEAMS'!J40&amp;""</f>
        <v>14U_BOYS_PLATINUM</v>
      </c>
      <c r="K333" s="144" t="str">
        <f t="shared" si="10"/>
        <v>202601311520</v>
      </c>
    </row>
    <row r="334" spans="1:11">
      <c r="A334" s="99">
        <f>'14U BOYS PLATINUM-20 TEAMS'!A31</f>
        <v>46053</v>
      </c>
      <c r="B334" s="235">
        <f>'14U BOYS PLATINUM-20 TEAMS'!B31</f>
        <v>0.67361111111111105</v>
      </c>
      <c r="C334" s="235" t="str">
        <f>'14U BOYS PLATINUM-20 TEAMS'!C31&amp;""</f>
        <v>EL TORO HS 1</v>
      </c>
      <c r="D334" s="144" t="str">
        <f>'14U BOYS PLATINUM-20 TEAMS'!D31&amp;""</f>
        <v>14Bpt06</v>
      </c>
      <c r="E334" s="236" t="str">
        <f>'14U BOYS PLATINUM-20 TEAMS'!E31&amp;""</f>
        <v>A1-MISSION WPC A</v>
      </c>
      <c r="F334" s="144" t="str">
        <f>'14U BOYS PLATINUM-20 TEAMS'!F31&amp;""</f>
        <v>19</v>
      </c>
      <c r="G334" s="99" t="str">
        <f>'14U BOYS PLATINUM-20 TEAMS'!G31&amp;""</f>
        <v>A3-TROJAN CARDINAL</v>
      </c>
      <c r="H334" s="144" t="str">
        <f>'14U BOYS PLATINUM-20 TEAMS'!H31&amp;""</f>
        <v>2</v>
      </c>
      <c r="I334" s="144" t="str">
        <f>'14U BOYS PLATINUM-20 TEAMS'!I31&amp;""</f>
        <v>A bracket</v>
      </c>
      <c r="J334" s="144" t="str">
        <f>'14U BOYS PLATINUM-20 TEAMS'!J31&amp;""</f>
        <v>14U_BOYS_PLATINUM</v>
      </c>
      <c r="K334" s="144" t="str">
        <f t="shared" si="10"/>
        <v>202601311610</v>
      </c>
    </row>
    <row r="335" spans="1:11">
      <c r="A335" s="99">
        <f>'14U BOYS PLATINUM-20 TEAMS'!A41</f>
        <v>46053</v>
      </c>
      <c r="B335" s="235">
        <f>'14U BOYS PLATINUM-20 TEAMS'!B41</f>
        <v>0.67361111111111105</v>
      </c>
      <c r="C335" s="235" t="str">
        <f>'14U BOYS PLATINUM-20 TEAMS'!C41&amp;""</f>
        <v>TUSTIN HS 1</v>
      </c>
      <c r="D335" s="144" t="str">
        <f>'14U BOYS PLATINUM-20 TEAMS'!D41&amp;""</f>
        <v>14Bpt20</v>
      </c>
      <c r="E335" s="144" t="str">
        <f>'14U BOYS PLATINUM-20 TEAMS'!E41&amp;""</f>
        <v>C1-VANGUARD BLUE</v>
      </c>
      <c r="F335" s="144" t="str">
        <f>'14U BOYS PLATINUM-20 TEAMS'!F41&amp;""</f>
        <v>11.4</v>
      </c>
      <c r="G335" s="144" t="str">
        <f>'14U BOYS PLATINUM-20 TEAMS'!G41&amp;""</f>
        <v>C2-LAMORINDA A</v>
      </c>
      <c r="H335" s="144" t="str">
        <f>'14U BOYS PLATINUM-20 TEAMS'!H41&amp;""</f>
        <v>11.3</v>
      </c>
      <c r="I335" s="144" t="str">
        <f>'14U BOYS PLATINUM-20 TEAMS'!I41&amp;""</f>
        <v>C bracket</v>
      </c>
      <c r="J335" s="144" t="str">
        <f>'14U BOYS PLATINUM-20 TEAMS'!J41&amp;""</f>
        <v>14U_BOYS_PLATINUM</v>
      </c>
      <c r="K335" s="144" t="str">
        <f t="shared" si="10"/>
        <v>202601311610</v>
      </c>
    </row>
    <row r="336" spans="1:11">
      <c r="A336" s="99">
        <f>'14U BOYS PLATINUM-20 TEAMS'!A42</f>
        <v>46053</v>
      </c>
      <c r="B336" s="235">
        <f>'14U BOYS PLATINUM-20 TEAMS'!B42</f>
        <v>0.70833333333333404</v>
      </c>
      <c r="C336" s="235" t="str">
        <f>'14U BOYS PLATINUM-20 TEAMS'!C42&amp;""</f>
        <v>TUSTIN HS 1</v>
      </c>
      <c r="D336" s="237" t="str">
        <f>'14U BOYS PLATINUM-20 TEAMS'!D42&amp;""</f>
        <v>14Bpt05</v>
      </c>
      <c r="E336" s="144" t="str">
        <f>'14U BOYS PLATINUM-20 TEAMS'!E42&amp;""</f>
        <v>W#1-CHANNEL ISLANDS UNITED GOLD</v>
      </c>
      <c r="F336" s="144" t="str">
        <f>'14U BOYS PLATINUM-20 TEAMS'!F42&amp;""</f>
        <v>14</v>
      </c>
      <c r="G336" s="144" t="str">
        <f>'14U BOYS PLATINUM-20 TEAMS'!G42&amp;""</f>
        <v>W#2-ORANGE COUNTY WPC BLUE</v>
      </c>
      <c r="H336" s="144" t="str">
        <f>'14U BOYS PLATINUM-20 TEAMS'!H42&amp;""</f>
        <v>6</v>
      </c>
      <c r="I336" s="144" t="str">
        <f>'14U BOYS PLATINUM-20 TEAMS'!I42&amp;""</f>
        <v>1st/2ndE</v>
      </c>
      <c r="J336" s="144" t="str">
        <f>'14U BOYS PLATINUM-20 TEAMS'!J42&amp;""</f>
        <v>14U_BOYS_PLATINUM</v>
      </c>
      <c r="K336" s="144" t="str">
        <f t="shared" si="10"/>
        <v>202601311700</v>
      </c>
    </row>
    <row r="337" spans="1:11">
      <c r="A337" s="99">
        <f>'14U BOYS PLATINUM-20 TEAMS'!A32</f>
        <v>46053</v>
      </c>
      <c r="B337" s="235">
        <f>'14U BOYS PLATINUM-20 TEAMS'!B32</f>
        <v>0.70833333333333404</v>
      </c>
      <c r="C337" s="235" t="str">
        <f>'14U BOYS PLATINUM-20 TEAMS'!C32&amp;""</f>
        <v>EL TORO HS 1</v>
      </c>
      <c r="D337" s="144" t="str">
        <f>'14U BOYS PLATINUM-20 TEAMS'!D32&amp;""</f>
        <v>14Bpt21</v>
      </c>
      <c r="E337" s="286" t="str">
        <f>'14U BOYS PLATINUM-20 TEAMS'!E32&amp;""</f>
        <v>J1(1stD)-LA JOLLA UNITED NAVY</v>
      </c>
      <c r="F337" s="144" t="str">
        <f>'14U BOYS PLATINUM-20 TEAMS'!F32&amp;""</f>
        <v>14</v>
      </c>
      <c r="G337" s="144" t="str">
        <f>'14U BOYS PLATINUM-20 TEAMS'!G32&amp;""</f>
        <v>J3(1stF)-PATRIOT NAVY</v>
      </c>
      <c r="H337" s="144" t="str">
        <f>'14U BOYS PLATINUM-20 TEAMS'!H32&amp;""</f>
        <v>9</v>
      </c>
      <c r="I337" s="144" t="str">
        <f>'14U BOYS PLATINUM-20 TEAMS'!I32&amp;""</f>
        <v>J bracket</v>
      </c>
      <c r="J337" s="144" t="str">
        <f>'14U BOYS PLATINUM-20 TEAMS'!J32&amp;""</f>
        <v>14U_BOYS_PLATINUM</v>
      </c>
      <c r="K337" s="144" t="str">
        <f t="shared" si="10"/>
        <v>202601311700</v>
      </c>
    </row>
    <row r="338" spans="1:11">
      <c r="A338" s="99">
        <f>'14U BOYS PLATINUM-20 TEAMS'!A43</f>
        <v>46053</v>
      </c>
      <c r="B338" s="235">
        <f>'14U BOYS PLATINUM-20 TEAMS'!B43</f>
        <v>0.74305555555555602</v>
      </c>
      <c r="C338" s="235" t="str">
        <f>'14U BOYS PLATINUM-20 TEAMS'!C43&amp;""</f>
        <v>TUSTIN HS 1</v>
      </c>
      <c r="D338" s="144" t="str">
        <f>'14U BOYS PLATINUM-20 TEAMS'!D43&amp;""</f>
        <v>14Bpt22</v>
      </c>
      <c r="E338" s="144" t="str">
        <f>'14U BOYS PLATINUM-20 TEAMS'!E43&amp;""</f>
        <v>H2(2ndB)-NORCAL</v>
      </c>
      <c r="F338" s="144" t="str">
        <f>'14U BOYS PLATINUM-20 TEAMS'!F43&amp;""</f>
        <v>13</v>
      </c>
      <c r="G338" s="144" t="str">
        <f>'14U BOYS PLATINUM-20 TEAMS'!G43&amp;""</f>
        <v>H3(2ndC)-SOUTH COAST RED (A)</v>
      </c>
      <c r="H338" s="144" t="str">
        <f>'14U BOYS PLATINUM-20 TEAMS'!H43&amp;""</f>
        <v>7</v>
      </c>
      <c r="I338" s="144" t="str">
        <f>'14U BOYS PLATINUM-20 TEAMS'!I43&amp;""</f>
        <v>H bracket</v>
      </c>
      <c r="J338" s="144" t="str">
        <f>'14U BOYS PLATINUM-20 TEAMS'!J43&amp;""</f>
        <v>14U_BOYS_PLATINUM</v>
      </c>
      <c r="K338" s="144" t="str">
        <f t="shared" si="10"/>
        <v>202601311750</v>
      </c>
    </row>
    <row r="339" spans="1:11">
      <c r="A339" s="99">
        <f>'14U BOYS PLATINUM-20 TEAMS'!A33</f>
        <v>46053</v>
      </c>
      <c r="B339" s="235">
        <f>'14U BOYS PLATINUM-20 TEAMS'!B33</f>
        <v>0.74305555555555602</v>
      </c>
      <c r="C339" s="235" t="str">
        <f>'14U BOYS PLATINUM-20 TEAMS'!C33&amp;""</f>
        <v>EL TORO HS 1</v>
      </c>
      <c r="D339" s="144" t="str">
        <f>'14U BOYS PLATINUM-20 TEAMS'!D33&amp;""</f>
        <v>14Bpt23</v>
      </c>
      <c r="E339" s="144" t="str">
        <f>'14U BOYS PLATINUM-20 TEAMS'!E33&amp;""</f>
        <v>K1(2ndD)-PRIDE BLACK</v>
      </c>
      <c r="F339" s="144" t="str">
        <f>'14U BOYS PLATINUM-20 TEAMS'!F33&amp;""</f>
        <v>10</v>
      </c>
      <c r="G339" s="144" t="str">
        <f>'14U BOYS PLATINUM-20 TEAMS'!G33&amp;""</f>
        <v>K3(2ndF)-LA PREMIER</v>
      </c>
      <c r="H339" s="144" t="str">
        <f>'14U BOYS PLATINUM-20 TEAMS'!H33&amp;""</f>
        <v>9</v>
      </c>
      <c r="I339" s="144" t="str">
        <f>'14U BOYS PLATINUM-20 TEAMS'!I33&amp;""</f>
        <v>K bracket</v>
      </c>
      <c r="J339" s="144" t="str">
        <f>'14U BOYS PLATINUM-20 TEAMS'!J33&amp;""</f>
        <v>14U_BOYS_PLATINUM</v>
      </c>
      <c r="K339" s="144" t="str">
        <f t="shared" si="10"/>
        <v>202601311750</v>
      </c>
    </row>
    <row r="340" spans="1:11">
      <c r="A340" s="99">
        <f>'14U BOYS PLATINUM-20 TEAMS'!A44</f>
        <v>46053</v>
      </c>
      <c r="B340" s="235">
        <f>'14U BOYS PLATINUM-20 TEAMS'!B44</f>
        <v>0.77777777777777801</v>
      </c>
      <c r="C340" s="235" t="str">
        <f>'14U BOYS PLATINUM-20 TEAMS'!C44&amp;""</f>
        <v>TUSTIN HS 1</v>
      </c>
      <c r="D340" s="144" t="str">
        <f>'14U BOYS PLATINUM-20 TEAMS'!D44&amp;""</f>
        <v>14Bpt34</v>
      </c>
      <c r="E340" s="144" t="str">
        <f>'14U BOYS PLATINUM-20 TEAMS'!E44&amp;""</f>
        <v>G2(1stB)-PALOS VERDES A</v>
      </c>
      <c r="F340" s="144" t="str">
        <f>'14U BOYS PLATINUM-20 TEAMS'!F44&amp;""</f>
        <v>9.3</v>
      </c>
      <c r="G340" s="144" t="str">
        <f>'14U BOYS PLATINUM-20 TEAMS'!G44&amp;""</f>
        <v>G3(1stC)-VANGUARD BLUE</v>
      </c>
      <c r="H340" s="144" t="str">
        <f>'14U BOYS PLATINUM-20 TEAMS'!H44&amp;""</f>
        <v>9.4</v>
      </c>
      <c r="I340" s="144" t="str">
        <f>'14U BOYS PLATINUM-20 TEAMS'!I44&amp;""</f>
        <v>G bracket</v>
      </c>
      <c r="J340" s="144" t="str">
        <f>'14U BOYS PLATINUM-20 TEAMS'!J44&amp;""</f>
        <v>14U_BOYS_PLATINUM</v>
      </c>
      <c r="K340" s="144" t="str">
        <f t="shared" si="10"/>
        <v>202601311840</v>
      </c>
    </row>
    <row r="341" spans="1:11">
      <c r="A341" s="99">
        <f>'14U BOYS PLATINUM-20 TEAMS'!A48</f>
        <v>46054</v>
      </c>
      <c r="B341" s="235">
        <f>'14U BOYS PLATINUM-20 TEAMS'!B48</f>
        <v>0.3263888888888889</v>
      </c>
      <c r="C341" s="235" t="str">
        <f>'14U BOYS PLATINUM-20 TEAMS'!C48&amp;""</f>
        <v>EL TORO HS 1</v>
      </c>
      <c r="D341" s="144" t="str">
        <f>'14U BOYS PLATINUM-20 TEAMS'!D48&amp;""</f>
        <v>14Bpt24</v>
      </c>
      <c r="E341" s="144" t="str">
        <f>'14U BOYS PLATINUM-20 TEAMS'!E48&amp;""</f>
        <v>H1(2ndA)-TROJAN CARDINAL</v>
      </c>
      <c r="F341" s="144" t="str">
        <f>'14U BOYS PLATINUM-20 TEAMS'!F48&amp;""</f>
        <v>7</v>
      </c>
      <c r="G341" s="144" t="str">
        <f>'14U BOYS PLATINUM-20 TEAMS'!G48&amp;""</f>
        <v>H3(2ndC)-SOUTH COAST RED (A)</v>
      </c>
      <c r="H341" s="144" t="str">
        <f>'14U BOYS PLATINUM-20 TEAMS'!H48&amp;""</f>
        <v>8</v>
      </c>
      <c r="I341" s="144" t="str">
        <f>'14U BOYS PLATINUM-20 TEAMS'!I48&amp;""</f>
        <v>H bracket</v>
      </c>
      <c r="J341" s="144" t="str">
        <f>'14U BOYS PLATINUM-20 TEAMS'!J48&amp;""</f>
        <v>14U_BOYS_PLATINUM</v>
      </c>
      <c r="K341" s="144" t="str">
        <f t="shared" si="10"/>
        <v>202602010750</v>
      </c>
    </row>
    <row r="342" spans="1:11">
      <c r="A342" s="99">
        <f>'14U BOYS PLATINUM-20 TEAMS'!A61</f>
        <v>46054</v>
      </c>
      <c r="B342" s="235">
        <f>'14U BOYS PLATINUM-20 TEAMS'!B61</f>
        <v>0.3263888888888889</v>
      </c>
      <c r="C342" s="235" t="str">
        <f>'14U BOYS PLATINUM-20 TEAMS'!C61&amp;""</f>
        <v>TUSTIN HS 1</v>
      </c>
      <c r="D342" s="144" t="str">
        <f>'14U BOYS PLATINUM-20 TEAMS'!D61&amp;""</f>
        <v>14Bpt33</v>
      </c>
      <c r="E342" s="144" t="str">
        <f>'14U BOYS PLATINUM-20 TEAMS'!E61&amp;""</f>
        <v>L1(3rdD)-STANFORD RED</v>
      </c>
      <c r="F342" s="144" t="str">
        <f>'14U BOYS PLATINUM-20 TEAMS'!F61&amp;""</f>
        <v>10</v>
      </c>
      <c r="G342" s="144" t="str">
        <f>'14U BOYS PLATINUM-20 TEAMS'!G61&amp;""</f>
        <v>L4(4thF)-ROUTE 66 AQUATICS</v>
      </c>
      <c r="H342" s="144" t="str">
        <f>'14U BOYS PLATINUM-20 TEAMS'!H61&amp;""</f>
        <v>6</v>
      </c>
      <c r="I342" s="144" t="str">
        <f>'14U BOYS PLATINUM-20 TEAMS'!I61&amp;""</f>
        <v>W/L L</v>
      </c>
      <c r="J342" s="144" t="str">
        <f>'14U BOYS PLATINUM-20 TEAMS'!J61&amp;""</f>
        <v>14U_BOYS_PLATINUM</v>
      </c>
      <c r="K342" s="144" t="str">
        <f t="shared" si="10"/>
        <v>202602010750</v>
      </c>
    </row>
    <row r="343" spans="1:11">
      <c r="A343" s="99">
        <f>'14U BOYS PLATINUM-20 TEAMS'!A49</f>
        <v>46054</v>
      </c>
      <c r="B343" s="235">
        <f>'14U BOYS PLATINUM-20 TEAMS'!B49</f>
        <v>0.36111111111111099</v>
      </c>
      <c r="C343" s="235" t="str">
        <f>'14U BOYS PLATINUM-20 TEAMS'!C49&amp;""</f>
        <v>EL TORO HS 1</v>
      </c>
      <c r="D343" s="144" t="str">
        <f>'14U BOYS PLATINUM-20 TEAMS'!D49&amp;""</f>
        <v>14Bpt25</v>
      </c>
      <c r="E343" s="144" t="str">
        <f>'14U BOYS PLATINUM-20 TEAMS'!E49&amp;""</f>
        <v>G1(1stA)-MISSION WPC A</v>
      </c>
      <c r="F343" s="144" t="str">
        <f>'14U BOYS PLATINUM-20 TEAMS'!F49&amp;""</f>
        <v>14</v>
      </c>
      <c r="G343" s="144" t="str">
        <f>'14U BOYS PLATINUM-20 TEAMS'!G49&amp;""</f>
        <v>G3(1stC)-VANGUARD BLUE</v>
      </c>
      <c r="H343" s="144" t="str">
        <f>'14U BOYS PLATINUM-20 TEAMS'!H49&amp;""</f>
        <v>11</v>
      </c>
      <c r="I343" s="144" t="str">
        <f>'14U BOYS PLATINUM-20 TEAMS'!I49&amp;""</f>
        <v>G bracket</v>
      </c>
      <c r="J343" s="144" t="str">
        <f>'14U BOYS PLATINUM-20 TEAMS'!J49&amp;""</f>
        <v>14U_BOYS_PLATINUM</v>
      </c>
      <c r="K343" s="144" t="str">
        <f t="shared" si="10"/>
        <v>202602010840</v>
      </c>
    </row>
    <row r="344" spans="1:11">
      <c r="A344" s="99">
        <f>'14U BOYS PLATINUM-20 TEAMS'!A62</f>
        <v>46054</v>
      </c>
      <c r="B344" s="235">
        <f>'14U BOYS PLATINUM-20 TEAMS'!B62</f>
        <v>0.36111111111111099</v>
      </c>
      <c r="C344" s="235" t="str">
        <f>'14U BOYS PLATINUM-20 TEAMS'!C62&amp;""</f>
        <v>TUSTIN HS 1</v>
      </c>
      <c r="D344" s="144" t="str">
        <f>'14U BOYS PLATINUM-20 TEAMS'!D62&amp;""</f>
        <v>14Bpt35</v>
      </c>
      <c r="E344" s="144" t="str">
        <f>'14U BOYS PLATINUM-20 TEAMS'!E62&amp;""</f>
        <v>L2(3rdE)-DEVIL'S GATE</v>
      </c>
      <c r="F344" s="144" t="str">
        <f>'14U BOYS PLATINUM-20 TEAMS'!F62&amp;""</f>
        <v>13</v>
      </c>
      <c r="G344" s="144" t="str">
        <f>'14U BOYS PLATINUM-20 TEAMS'!G62&amp;""</f>
        <v>L3(3rdC)-LAMORINDA A</v>
      </c>
      <c r="H344" s="144" t="str">
        <f>'14U BOYS PLATINUM-20 TEAMS'!H62&amp;""</f>
        <v>8</v>
      </c>
      <c r="I344" s="144" t="str">
        <f>'14U BOYS PLATINUM-20 TEAMS'!I62&amp;""</f>
        <v>W/L L</v>
      </c>
      <c r="J344" s="144" t="str">
        <f>'14U BOYS PLATINUM-20 TEAMS'!J62&amp;""</f>
        <v>14U_BOYS_PLATINUM</v>
      </c>
      <c r="K344" s="144" t="str">
        <f t="shared" si="10"/>
        <v>202602010840</v>
      </c>
    </row>
    <row r="345" spans="1:11">
      <c r="A345" s="99">
        <f>'14U BOYS PLATINUM-20 TEAMS'!A51</f>
        <v>46054</v>
      </c>
      <c r="B345" s="235">
        <f>'14U BOYS PLATINUM-20 TEAMS'!B51</f>
        <v>0.43055555555555602</v>
      </c>
      <c r="C345" s="235" t="str">
        <f>'14U BOYS PLATINUM-20 TEAMS'!C51&amp;""</f>
        <v>EL TORO HS 1</v>
      </c>
      <c r="D345" s="144" t="str">
        <f>'14U BOYS PLATINUM-20 TEAMS'!D51&amp;""</f>
        <v>14Bpt26</v>
      </c>
      <c r="E345" s="144" t="str">
        <f>'14U BOYS PLATINUM-20 TEAMS'!E51&amp;""</f>
        <v>J2(1stE)-CHANNEL ISLANDS UNITED GOLD</v>
      </c>
      <c r="F345" s="144" t="str">
        <f>'14U BOYS PLATINUM-20 TEAMS'!F51&amp;""</f>
        <v>10.2</v>
      </c>
      <c r="G345" s="144" t="str">
        <f>'14U BOYS PLATINUM-20 TEAMS'!G51&amp;""</f>
        <v>J3(1stF)-PATRIOT NAVY</v>
      </c>
      <c r="H345" s="144" t="str">
        <f>'14U BOYS PLATINUM-20 TEAMS'!H51&amp;""</f>
        <v>10.4</v>
      </c>
      <c r="I345" s="144" t="str">
        <f>'14U BOYS PLATINUM-20 TEAMS'!I51&amp;""</f>
        <v>J bracket</v>
      </c>
      <c r="J345" s="144" t="str">
        <f>'14U BOYS PLATINUM-20 TEAMS'!J51&amp;""</f>
        <v>14U_BOYS_PLATINUM</v>
      </c>
      <c r="K345" s="144" t="str">
        <f t="shared" si="10"/>
        <v>202602011020</v>
      </c>
    </row>
    <row r="346" spans="1:11">
      <c r="A346" s="99">
        <f>'14U BOYS PLATINUM-20 TEAMS'!A64</f>
        <v>46054</v>
      </c>
      <c r="B346" s="235">
        <f>'14U BOYS PLATINUM-20 TEAMS'!B64</f>
        <v>0.43055555555555602</v>
      </c>
      <c r="C346" s="235" t="str">
        <f>'14U BOYS PLATINUM-20 TEAMS'!C64&amp;""</f>
        <v>TUSTIN HS 1</v>
      </c>
      <c r="D346" s="144" t="str">
        <f>'14U BOYS PLATINUM-20 TEAMS'!D64&amp;""</f>
        <v>14Bpt36</v>
      </c>
      <c r="E346" s="144" t="str">
        <f>'14U BOYS PLATINUM-20 TEAMS'!E64&amp;""</f>
        <v>I1(3rdA)-680 RED</v>
      </c>
      <c r="F346" s="144" t="str">
        <f>'14U BOYS PLATINUM-20 TEAMS'!F64&amp;""</f>
        <v>10</v>
      </c>
      <c r="G346" s="144" t="str">
        <f>'14U BOYS PLATINUM-20 TEAMS'!G64&amp;""</f>
        <v>I4(4thE)-CC UNITED BLACK</v>
      </c>
      <c r="H346" s="144" t="str">
        <f>'14U BOYS PLATINUM-20 TEAMS'!H64&amp;""</f>
        <v>7</v>
      </c>
      <c r="I346" s="144" t="str">
        <f>'14U BOYS PLATINUM-20 TEAMS'!I64&amp;""</f>
        <v>W/L I</v>
      </c>
      <c r="J346" s="144" t="str">
        <f>'14U BOYS PLATINUM-20 TEAMS'!J64&amp;""</f>
        <v>14U_BOYS_PLATINUM</v>
      </c>
      <c r="K346" s="144" t="str">
        <f t="shared" si="10"/>
        <v>202602011020</v>
      </c>
    </row>
    <row r="347" spans="1:11">
      <c r="A347" s="99">
        <f>'14U BOYS PLATINUM-20 TEAMS'!A52</f>
        <v>46054</v>
      </c>
      <c r="B347" s="235">
        <f>'14U BOYS PLATINUM-20 TEAMS'!B52</f>
        <v>0.46527777777777801</v>
      </c>
      <c r="C347" s="235" t="str">
        <f>'14U BOYS PLATINUM-20 TEAMS'!C52&amp;""</f>
        <v>EL TORO HS 1</v>
      </c>
      <c r="D347" s="144" t="str">
        <f>'14U BOYS PLATINUM-20 TEAMS'!D52&amp;""</f>
        <v>14Bpt27</v>
      </c>
      <c r="E347" s="144" t="str">
        <f>'14U BOYS PLATINUM-20 TEAMS'!E52&amp;""</f>
        <v>K2(2ndE)-ORANGE COUNTY WPC BLUE</v>
      </c>
      <c r="F347" s="144" t="str">
        <f>'14U BOYS PLATINUM-20 TEAMS'!F52&amp;""</f>
        <v>10</v>
      </c>
      <c r="G347" s="144" t="str">
        <f>'14U BOYS PLATINUM-20 TEAMS'!G52&amp;""</f>
        <v>K3(2ndF)-LA PREMIER</v>
      </c>
      <c r="H347" s="144" t="str">
        <f>'14U BOYS PLATINUM-20 TEAMS'!H52&amp;""</f>
        <v>12</v>
      </c>
      <c r="I347" s="144" t="str">
        <f>'14U BOYS PLATINUM-20 TEAMS'!I52&amp;""</f>
        <v>K bracket</v>
      </c>
      <c r="J347" s="144" t="str">
        <f>'14U BOYS PLATINUM-20 TEAMS'!J52&amp;""</f>
        <v>14U_BOYS_PLATINUM</v>
      </c>
      <c r="K347" s="144" t="str">
        <f t="shared" si="10"/>
        <v>202602011110</v>
      </c>
    </row>
    <row r="348" spans="1:11">
      <c r="A348" s="99">
        <f>'14U BOYS PLATINUM-20 TEAMS'!A65</f>
        <v>46054</v>
      </c>
      <c r="B348" s="235">
        <f>'14U BOYS PLATINUM-20 TEAMS'!B65</f>
        <v>0.46527777777777801</v>
      </c>
      <c r="C348" s="235" t="str">
        <f>'14U BOYS PLATINUM-20 TEAMS'!C65&amp;""</f>
        <v>TUSTIN HS 1</v>
      </c>
      <c r="D348" s="144" t="str">
        <f>'14U BOYS PLATINUM-20 TEAMS'!D65&amp;""</f>
        <v>14Bpt37</v>
      </c>
      <c r="E348" s="144" t="str">
        <f>'14U BOYS PLATINUM-20 TEAMS'!E65&amp;""</f>
        <v>I2(3rdB)-NORTH IRVINE BLACK</v>
      </c>
      <c r="F348" s="144" t="str">
        <f>'14U BOYS PLATINUM-20 TEAMS'!F65&amp;""</f>
        <v>9</v>
      </c>
      <c r="G348" s="144" t="str">
        <f>'14U BOYS PLATINUM-20 TEAMS'!G65&amp;""</f>
        <v>I3(3rdF)-SHAQ BLUE</v>
      </c>
      <c r="H348" s="144" t="str">
        <f>'14U BOYS PLATINUM-20 TEAMS'!H65&amp;""</f>
        <v>6</v>
      </c>
      <c r="I348" s="144" t="str">
        <f>'14U BOYS PLATINUM-20 TEAMS'!I65&amp;""</f>
        <v>W/L I</v>
      </c>
      <c r="J348" s="144" t="str">
        <f>'14U BOYS PLATINUM-20 TEAMS'!J65&amp;""</f>
        <v>14U_BOYS_PLATINUM</v>
      </c>
      <c r="K348" s="144" t="str">
        <f t="shared" si="10"/>
        <v>202602011110</v>
      </c>
    </row>
    <row r="349" spans="1:11">
      <c r="A349" s="99">
        <f>'14U BOYS PLATINUM-20 TEAMS'!A54</f>
        <v>46054</v>
      </c>
      <c r="B349" s="235">
        <f>'14U BOYS PLATINUM-20 TEAMS'!B54</f>
        <v>0.53472222222222199</v>
      </c>
      <c r="C349" s="235" t="str">
        <f>'14U BOYS PLATINUM-20 TEAMS'!C54&amp;""</f>
        <v>EL TORO HS 1</v>
      </c>
      <c r="D349" s="144" t="str">
        <f>'14U BOYS PLATINUM-20 TEAMS'!D54&amp;""</f>
        <v>14Bpt28</v>
      </c>
      <c r="E349" s="144" t="str">
        <f>'14U BOYS PLATINUM-20 TEAMS'!E54&amp;""</f>
        <v>G1(1stA)-MISSION WPC A</v>
      </c>
      <c r="F349" s="144" t="str">
        <f>'14U BOYS PLATINUM-20 TEAMS'!F54&amp;""</f>
        <v>8</v>
      </c>
      <c r="G349" s="144" t="str">
        <f>'14U BOYS PLATINUM-20 TEAMS'!G54&amp;""</f>
        <v>G2(1stB)-PALOS VERDES A</v>
      </c>
      <c r="H349" s="144" t="str">
        <f>'14U BOYS PLATINUM-20 TEAMS'!H54&amp;""</f>
        <v>7</v>
      </c>
      <c r="I349" s="144" t="str">
        <f>'14U BOYS PLATINUM-20 TEAMS'!I54&amp;""</f>
        <v>G bracket</v>
      </c>
      <c r="J349" s="144" t="str">
        <f>'14U BOYS PLATINUM-20 TEAMS'!J54&amp;""</f>
        <v>14U_BOYS_PLATINUM</v>
      </c>
      <c r="K349" s="144" t="str">
        <f t="shared" si="10"/>
        <v>202602011250</v>
      </c>
    </row>
    <row r="350" spans="1:11">
      <c r="A350" s="99">
        <f>'14U BOYS PLATINUM-20 TEAMS'!A67</f>
        <v>46054</v>
      </c>
      <c r="B350" s="235">
        <f>'14U BOYS PLATINUM-20 TEAMS'!B67</f>
        <v>0.53472222222222199</v>
      </c>
      <c r="C350" s="235" t="str">
        <f>'14U BOYS PLATINUM-20 TEAMS'!C67&amp;""</f>
        <v>TUSTIN HS 1</v>
      </c>
      <c r="D350" s="144" t="str">
        <f>'14U BOYS PLATINUM-20 TEAMS'!D67&amp;""</f>
        <v>14Bpt40</v>
      </c>
      <c r="E350" s="144" t="str">
        <f>'14U BOYS PLATINUM-20 TEAMS'!E67&amp;""</f>
        <v>H1(2ndA)-TROJAN CARDINAL</v>
      </c>
      <c r="F350" s="144" t="str">
        <f>'14U BOYS PLATINUM-20 TEAMS'!F67&amp;""</f>
        <v>7</v>
      </c>
      <c r="G350" s="144" t="str">
        <f>'14U BOYS PLATINUM-20 TEAMS'!G67&amp;""</f>
        <v>H2(2ndB)-NORCAL</v>
      </c>
      <c r="H350" s="144" t="str">
        <f>'14U BOYS PLATINUM-20 TEAMS'!H67&amp;""</f>
        <v>12</v>
      </c>
      <c r="I350" s="144" t="str">
        <f>'14U BOYS PLATINUM-20 TEAMS'!I67&amp;""</f>
        <v>H bracket</v>
      </c>
      <c r="J350" s="144" t="str">
        <f>'14U BOYS PLATINUM-20 TEAMS'!J67&amp;""</f>
        <v>14U_BOYS_PLATINUM</v>
      </c>
      <c r="K350" s="144" t="str">
        <f t="shared" si="10"/>
        <v>202602011250</v>
      </c>
    </row>
    <row r="351" spans="1:11">
      <c r="A351" s="99">
        <f>'14U BOYS PLATINUM-20 TEAMS'!A55</f>
        <v>46054</v>
      </c>
      <c r="B351" s="235">
        <f>'14U BOYS PLATINUM-20 TEAMS'!B55</f>
        <v>0.56944444444444497</v>
      </c>
      <c r="C351" s="235" t="str">
        <f>'14U BOYS PLATINUM-20 TEAMS'!C55&amp;""</f>
        <v>EL TORO HS 1</v>
      </c>
      <c r="D351" s="144" t="str">
        <f>'14U BOYS PLATINUM-20 TEAMS'!D55&amp;""</f>
        <v>14Bpt30</v>
      </c>
      <c r="E351" s="144" t="str">
        <f>'14U BOYS PLATINUM-20 TEAMS'!E55&amp;""</f>
        <v>K1(2ndD)-PRIDE BLACK</v>
      </c>
      <c r="F351" s="144" t="str">
        <f>'14U BOYS PLATINUM-20 TEAMS'!F55&amp;""</f>
        <v>6</v>
      </c>
      <c r="G351" s="144" t="str">
        <f>'14U BOYS PLATINUM-20 TEAMS'!G55&amp;""</f>
        <v>K2(2ndE)-ORANGE COUNTY WPC BLUE</v>
      </c>
      <c r="H351" s="144" t="str">
        <f>'14U BOYS PLATINUM-20 TEAMS'!H55&amp;""</f>
        <v>9</v>
      </c>
      <c r="I351" s="144" t="str">
        <f>'14U BOYS PLATINUM-20 TEAMS'!I55&amp;""</f>
        <v>K bracket</v>
      </c>
      <c r="J351" s="144" t="str">
        <f>'14U BOYS PLATINUM-20 TEAMS'!J55&amp;""</f>
        <v>14U_BOYS_PLATINUM</v>
      </c>
      <c r="K351" s="144" t="str">
        <f t="shared" si="10"/>
        <v>202602011340</v>
      </c>
    </row>
    <row r="352" spans="1:11">
      <c r="A352" s="99">
        <f>'14U BOYS PLATINUM-20 TEAMS'!A68</f>
        <v>46054</v>
      </c>
      <c r="B352" s="235">
        <f>'14U BOYS PLATINUM-20 TEAMS'!B68</f>
        <v>0.56944444444444497</v>
      </c>
      <c r="C352" s="235" t="str">
        <f>'14U BOYS PLATINUM-20 TEAMS'!C68&amp;""</f>
        <v>TUSTIN HS 1</v>
      </c>
      <c r="D352" s="144" t="str">
        <f>'14U BOYS PLATINUM-20 TEAMS'!D68&amp;""</f>
        <v>14Bpt41</v>
      </c>
      <c r="E352" s="144" t="str">
        <f>'14U BOYS PLATINUM-20 TEAMS'!E68&amp;""</f>
        <v>W#33-STANFORD RED</v>
      </c>
      <c r="F352" s="144" t="str">
        <f>'14U BOYS PLATINUM-20 TEAMS'!F68&amp;""</f>
        <v>12</v>
      </c>
      <c r="G352" s="144" t="str">
        <f>'14U BOYS PLATINUM-20 TEAMS'!G68&amp;""</f>
        <v>W#35-DEVIL'S GATE</v>
      </c>
      <c r="H352" s="144" t="str">
        <f>'14U BOYS PLATINUM-20 TEAMS'!H68&amp;""</f>
        <v>7</v>
      </c>
      <c r="I352" s="144" t="str">
        <f>'14U BOYS PLATINUM-20 TEAMS'!I68&amp;""</f>
        <v>1st/2ndL</v>
      </c>
      <c r="J352" s="144" t="str">
        <f>'14U BOYS PLATINUM-20 TEAMS'!J68&amp;""</f>
        <v>14U_BOYS_PLATINUM</v>
      </c>
      <c r="K352" s="144" t="str">
        <f t="shared" si="10"/>
        <v>202602011340</v>
      </c>
    </row>
    <row r="353" spans="1:11">
      <c r="A353" s="99">
        <f>'14U BOYS PLATINUM-20 TEAMS'!A56</f>
        <v>46054</v>
      </c>
      <c r="B353" s="235">
        <f>'14U BOYS PLATINUM-20 TEAMS'!B56</f>
        <v>0.60416666666666696</v>
      </c>
      <c r="C353" s="235" t="str">
        <f>'14U BOYS PLATINUM-20 TEAMS'!C56&amp;""</f>
        <v>EL TORO HS 1</v>
      </c>
      <c r="D353" s="144" t="str">
        <f>'14U BOYS PLATINUM-20 TEAMS'!D56&amp;""</f>
        <v>14Bpt29</v>
      </c>
      <c r="E353" s="286" t="str">
        <f>'14U BOYS PLATINUM-20 TEAMS'!E56&amp;""</f>
        <v>J1(1stD)-LA JOLLA UNITED NAVY</v>
      </c>
      <c r="F353" s="144" t="str">
        <f>'14U BOYS PLATINUM-20 TEAMS'!F56&amp;""</f>
        <v>9</v>
      </c>
      <c r="G353" s="144" t="str">
        <f>'14U BOYS PLATINUM-20 TEAMS'!G56&amp;""</f>
        <v>J2(1stE)-CHANNEL ISLANDS UNITED GOLD</v>
      </c>
      <c r="H353" s="144" t="str">
        <f>'14U BOYS PLATINUM-20 TEAMS'!H56&amp;""</f>
        <v>6</v>
      </c>
      <c r="I353" s="285" t="str">
        <f>'14U BOYS PLATINUM-20 TEAMS'!I56&amp;""</f>
        <v>J bracket</v>
      </c>
      <c r="J353" s="144" t="str">
        <f>'14U BOYS PLATINUM-20 TEAMS'!J56&amp;""</f>
        <v>14U_BOYS_PLATINUM</v>
      </c>
      <c r="K353" s="144" t="str">
        <f t="shared" si="10"/>
        <v>202602011430</v>
      </c>
    </row>
    <row r="354" spans="1:11">
      <c r="A354" s="99">
        <f>'14U BOYS PLATINUM-20 TEAMS'!A69</f>
        <v>46054</v>
      </c>
      <c r="B354" s="235">
        <f>'14U BOYS PLATINUM-20 TEAMS'!B69</f>
        <v>0.60416666666666696</v>
      </c>
      <c r="C354" s="235" t="str">
        <f>'14U BOYS PLATINUM-20 TEAMS'!C69&amp;""</f>
        <v>TUSTIN HS 1</v>
      </c>
      <c r="D354" s="144" t="str">
        <f>'14U BOYS PLATINUM-20 TEAMS'!D69&amp;""</f>
        <v>14Bpt38</v>
      </c>
      <c r="E354" s="144" t="str">
        <f>'14U BOYS PLATINUM-20 TEAMS'!E69&amp;""</f>
        <v>W#36-680 RED</v>
      </c>
      <c r="F354" s="144" t="str">
        <f>'14U BOYS PLATINUM-20 TEAMS'!F69&amp;""</f>
        <v>7</v>
      </c>
      <c r="G354" s="144" t="str">
        <f>'14U BOYS PLATINUM-20 TEAMS'!G69&amp;""</f>
        <v>W#37-NORTH IRVINE BLACK</v>
      </c>
      <c r="H354" s="144" t="str">
        <f>'14U BOYS PLATINUM-20 TEAMS'!H69&amp;""</f>
        <v>10</v>
      </c>
      <c r="I354" s="144" t="str">
        <f>'14U BOYS PLATINUM-20 TEAMS'!I69&amp;""</f>
        <v>1st/2ndI</v>
      </c>
      <c r="J354" s="144" t="str">
        <f>'14U BOYS PLATINUM-20 TEAMS'!J69&amp;""</f>
        <v>14U_BOYS_PLATINUM</v>
      </c>
      <c r="K354" s="144" t="str">
        <f t="shared" si="10"/>
        <v>202602011430</v>
      </c>
    </row>
    <row r="355" spans="1:11">
      <c r="A355" s="99">
        <f>'14U BOYS PLATINUM-20 TEAMS'!A70</f>
        <v>46054</v>
      </c>
      <c r="B355" s="235">
        <f>'14U BOYS PLATINUM-20 TEAMS'!B70</f>
        <v>0.63888888888888895</v>
      </c>
      <c r="C355" s="235" t="str">
        <f>'14U BOYS PLATINUM-20 TEAMS'!C70&amp;""</f>
        <v>TUSTIN HS 1</v>
      </c>
      <c r="D355" s="144" t="str">
        <f>'14U BOYS PLATINUM-20 TEAMS'!D70&amp;""</f>
        <v>14Bpt39</v>
      </c>
      <c r="E355" s="144" t="str">
        <f>'14U BOYS PLATINUM-20 TEAMS'!E70&amp;""</f>
        <v>L#33-ROUTE 66 AQUATICS</v>
      </c>
      <c r="F355" s="144" t="str">
        <f>'14U BOYS PLATINUM-20 TEAMS'!F70&amp;""</f>
        <v>10</v>
      </c>
      <c r="G355" s="144" t="str">
        <f>'14U BOYS PLATINUM-20 TEAMS'!G70&amp;""</f>
        <v>L#35-LAMORINDA A</v>
      </c>
      <c r="H355" s="144" t="str">
        <f>'14U BOYS PLATINUM-20 TEAMS'!H70&amp;""</f>
        <v>14</v>
      </c>
      <c r="I355" s="144" t="str">
        <f>'14U BOYS PLATINUM-20 TEAMS'!I70&amp;""</f>
        <v>3rd/4thL</v>
      </c>
      <c r="J355" s="144" t="str">
        <f>'14U BOYS PLATINUM-20 TEAMS'!J70&amp;""</f>
        <v>14U_BOYS_PLATINUM</v>
      </c>
      <c r="K355" s="144" t="str">
        <f t="shared" si="10"/>
        <v>202602011520</v>
      </c>
    </row>
    <row r="356" spans="1:11">
      <c r="A356" s="99">
        <f>'14U BOYS PLATINUM-20 TEAMS'!A57</f>
        <v>46054</v>
      </c>
      <c r="B356" s="235">
        <f>'14U BOYS PLATINUM-20 TEAMS'!B57</f>
        <v>0.63888888888888895</v>
      </c>
      <c r="C356" s="235" t="str">
        <f>'14U BOYS PLATINUM-20 TEAMS'!C57&amp;""</f>
        <v>EL TORO HS 1</v>
      </c>
      <c r="D356" s="144" t="str">
        <f>'14U BOYS PLATINUM-20 TEAMS'!D57&amp;""</f>
        <v>14Bpt43</v>
      </c>
      <c r="E356" s="144" t="str">
        <f>'14U BOYS PLATINUM-20 TEAMS'!E57&amp;""</f>
        <v>3rdG-PALOS VERDES A</v>
      </c>
      <c r="F356" s="144" t="str">
        <f>'14U BOYS PLATINUM-20 TEAMS'!F57&amp;""</f>
        <v>8</v>
      </c>
      <c r="G356" s="285" t="str">
        <f>'14U BOYS PLATINUM-20 TEAMS'!G57&amp;""</f>
        <v xml:space="preserve">3rdJ-CHANNEL ISLANDS UNITED GOLD	</v>
      </c>
      <c r="H356" s="144" t="str">
        <f>'14U BOYS PLATINUM-20 TEAMS'!H57&amp;""</f>
        <v>7</v>
      </c>
      <c r="I356" s="144" t="str">
        <f>'14U BOYS PLATINUM-20 TEAMS'!I57&amp;""</f>
        <v>5th</v>
      </c>
      <c r="J356" s="144" t="str">
        <f>'14U BOYS PLATINUM-20 TEAMS'!J57&amp;""</f>
        <v>14U_BOYS_PLATINUM</v>
      </c>
      <c r="K356" s="144" t="str">
        <f t="shared" si="10"/>
        <v>202602011520</v>
      </c>
    </row>
    <row r="357" spans="1:11">
      <c r="A357" s="99">
        <f>'14U BOYS PLATINUM-20 TEAMS'!A58</f>
        <v>46054</v>
      </c>
      <c r="B357" s="235">
        <f>'14U BOYS PLATINUM-20 TEAMS'!B58</f>
        <v>0.67361111111111105</v>
      </c>
      <c r="C357" s="235" t="str">
        <f>'14U BOYS PLATINUM-20 TEAMS'!C58&amp;""</f>
        <v>EL TORO HS 1</v>
      </c>
      <c r="D357" s="144" t="str">
        <f>'14U BOYS PLATINUM-20 TEAMS'!D58&amp;""</f>
        <v>14Bpt31</v>
      </c>
      <c r="E357" s="144" t="str">
        <f>'14U BOYS PLATINUM-20 TEAMS'!E58&amp;""</f>
        <v>2ndG-VANGUARD BLUE</v>
      </c>
      <c r="F357" s="144" t="str">
        <f>'14U BOYS PLATINUM-20 TEAMS'!F58&amp;""</f>
        <v>8</v>
      </c>
      <c r="G357" s="144" t="str">
        <f>'14U BOYS PLATINUM-20 TEAMS'!G58&amp;""</f>
        <v>2ndJ-PATRIOT NAVY</v>
      </c>
      <c r="H357" s="144" t="str">
        <f>'14U BOYS PLATINUM-20 TEAMS'!H58&amp;""</f>
        <v>13</v>
      </c>
      <c r="I357" s="144" t="str">
        <f>'14U BOYS PLATINUM-20 TEAMS'!I58&amp;""</f>
        <v>3rd</v>
      </c>
      <c r="J357" s="144" t="str">
        <f>'14U BOYS PLATINUM-20 TEAMS'!J58&amp;""</f>
        <v>14U_BOYS_PLATINUM</v>
      </c>
      <c r="K357" s="144" t="str">
        <f t="shared" si="10"/>
        <v>202602011610</v>
      </c>
    </row>
    <row r="358" spans="1:11">
      <c r="A358" s="99">
        <f>'14U BOYS PLATINUM-20 TEAMS'!A71</f>
        <v>46054</v>
      </c>
      <c r="B358" s="235">
        <f>'14U BOYS PLATINUM-20 TEAMS'!B71</f>
        <v>0.67361111111111105</v>
      </c>
      <c r="C358" s="235" t="str">
        <f>'14U BOYS PLATINUM-20 TEAMS'!C71&amp;""</f>
        <v>TUSTIN HS 1</v>
      </c>
      <c r="D358" s="144" t="str">
        <f>'14U BOYS PLATINUM-20 TEAMS'!D71&amp;""</f>
        <v>14Bpt42</v>
      </c>
      <c r="E358" s="144" t="str">
        <f>'14U BOYS PLATINUM-20 TEAMS'!E71&amp;""</f>
        <v>L#36-CC UNITED BLACK</v>
      </c>
      <c r="F358" s="144" t="str">
        <f>'14U BOYS PLATINUM-20 TEAMS'!F71&amp;""</f>
        <v>14</v>
      </c>
      <c r="G358" s="144" t="str">
        <f>'14U BOYS PLATINUM-20 TEAMS'!G71&amp;""</f>
        <v>L#37-SHAQ BLUE</v>
      </c>
      <c r="H358" s="144" t="str">
        <f>'14U BOYS PLATINUM-20 TEAMS'!H71&amp;""</f>
        <v>9</v>
      </c>
      <c r="I358" s="144" t="str">
        <f>'14U BOYS PLATINUM-20 TEAMS'!I71&amp;""</f>
        <v>3rd/4thI</v>
      </c>
      <c r="J358" s="144" t="str">
        <f>'14U BOYS PLATINUM-20 TEAMS'!J71&amp;""</f>
        <v>14U_BOYS_PLATINUM</v>
      </c>
      <c r="K358" s="144" t="str">
        <f t="shared" si="10"/>
        <v>202602011610</v>
      </c>
    </row>
    <row r="359" spans="1:11">
      <c r="A359" s="99">
        <f>'14U BOYS PLATINUM-20 TEAMS'!A59</f>
        <v>46054</v>
      </c>
      <c r="B359" s="235">
        <f>'14U BOYS PLATINUM-20 TEAMS'!B59</f>
        <v>0.70833333333333404</v>
      </c>
      <c r="C359" s="235" t="str">
        <f>'14U BOYS PLATINUM-20 TEAMS'!C59&amp;""</f>
        <v>EL TORO HS 1</v>
      </c>
      <c r="D359" s="144" t="str">
        <f>'14U BOYS PLATINUM-20 TEAMS'!D59&amp;""</f>
        <v>14Bpt32</v>
      </c>
      <c r="E359" s="144" t="str">
        <f>'14U BOYS PLATINUM-20 TEAMS'!E59&amp;""</f>
        <v>1stG-MISSION WPC A</v>
      </c>
      <c r="F359" s="144" t="str">
        <f>'14U BOYS PLATINUM-20 TEAMS'!F59&amp;""</f>
        <v>8</v>
      </c>
      <c r="G359" s="144" t="str">
        <f>'14U BOYS PLATINUM-20 TEAMS'!G59&amp;""</f>
        <v>1stJ-LA JOLLA UNITED NAVY</v>
      </c>
      <c r="H359" s="144" t="str">
        <f>'14U BOYS PLATINUM-20 TEAMS'!H59&amp;""</f>
        <v>12</v>
      </c>
      <c r="I359" s="144" t="str">
        <f>'14U BOYS PLATINUM-20 TEAMS'!I59&amp;""</f>
        <v>1st</v>
      </c>
      <c r="J359" s="144" t="str">
        <f>'14U BOYS PLATINUM-20 TEAMS'!J59&amp;""</f>
        <v>14U_BOYS_PLATINUM</v>
      </c>
      <c r="K359" s="144" t="str">
        <f t="shared" si="10"/>
        <v>202602011700</v>
      </c>
    </row>
    <row r="360" spans="1:11">
      <c r="A360" s="239">
        <f>'16U BOYS SILVER-20 TEAMS'!A20</f>
        <v>46053</v>
      </c>
      <c r="B360" s="238">
        <f>'16U BOYS SILVER-20 TEAMS'!B20</f>
        <v>0.29166666666666669</v>
      </c>
      <c r="C360" s="238" t="str">
        <f>'16U BOYS SILVER-20 TEAMS'!C20&amp;""</f>
        <v>SONORA HS</v>
      </c>
      <c r="D360" s="154" t="str">
        <f>'16U BOYS SILVER-20 TEAMS'!D20&amp;""</f>
        <v>16Bag03</v>
      </c>
      <c r="E360" s="239" t="str">
        <f>'16U BOYS SILVER-20 TEAMS'!E20&amp;""</f>
        <v>A1-MID PEN</v>
      </c>
      <c r="F360" s="154" t="str">
        <f>'16U BOYS SILVER-20 TEAMS'!F20&amp;""</f>
        <v>22</v>
      </c>
      <c r="G360" s="239" t="str">
        <f>'16U BOYS SILVER-20 TEAMS'!G20&amp;""</f>
        <v>A2-BOA WHITE</v>
      </c>
      <c r="H360" s="154" t="str">
        <f>'16U BOYS SILVER-20 TEAMS'!H20&amp;""</f>
        <v>7</v>
      </c>
      <c r="I360" s="154" t="str">
        <f>'16U BOYS SILVER-20 TEAMS'!I20&amp;""</f>
        <v>A bracket</v>
      </c>
      <c r="J360" s="154" t="str">
        <f>'16U BOYS SILVER-20 TEAMS'!J20&amp;""</f>
        <v>16U_BOYS_SILVER</v>
      </c>
      <c r="K360" s="154" t="str">
        <f t="shared" si="10"/>
        <v>202601310700</v>
      </c>
    </row>
    <row r="361" spans="1:11">
      <c r="A361" s="239">
        <f>'16U BOYS SILVER-20 TEAMS'!A35</f>
        <v>46053</v>
      </c>
      <c r="B361" s="238">
        <f>'16U BOYS SILVER-20 TEAMS'!B35</f>
        <v>0.29166666666666669</v>
      </c>
      <c r="C361" s="238" t="str">
        <f>'16U BOYS SILVER-20 TEAMS'!C35&amp;""</f>
        <v>YORBA LINDA HS</v>
      </c>
      <c r="D361" s="154" t="str">
        <f>'16U BOYS SILVER-20 TEAMS'!D35&amp;""</f>
        <v>16Bag12</v>
      </c>
      <c r="E361" s="154" t="str">
        <f>'16U BOYS SILVER-20 TEAMS'!E35&amp;""</f>
        <v>D2-LOYOLA WPC</v>
      </c>
      <c r="F361" s="154" t="str">
        <f>'16U BOYS SILVER-20 TEAMS'!F35&amp;""</f>
        <v>8.4</v>
      </c>
      <c r="G361" s="154" t="str">
        <f>'16U BOYS SILVER-20 TEAMS'!G35&amp;""</f>
        <v>D3-CC UNITED WHITE</v>
      </c>
      <c r="H361" s="154" t="str">
        <f>'16U BOYS SILVER-20 TEAMS'!H35&amp;""</f>
        <v>8.5</v>
      </c>
      <c r="I361" s="154" t="str">
        <f>'16U BOYS SILVER-20 TEAMS'!I35&amp;""</f>
        <v>D bracket</v>
      </c>
      <c r="J361" s="154" t="str">
        <f>'16U BOYS SILVER-20 TEAMS'!J35&amp;""</f>
        <v>16U_BOYS_SILVER</v>
      </c>
      <c r="K361" s="154" t="str">
        <f t="shared" si="10"/>
        <v>202601310700</v>
      </c>
    </row>
    <row r="362" spans="1:11">
      <c r="A362" s="239">
        <f>'16U BOYS SILVER-20 TEAMS'!A21</f>
        <v>46053</v>
      </c>
      <c r="B362" s="238">
        <f>'16U BOYS SILVER-20 TEAMS'!B21</f>
        <v>0.33333333333333298</v>
      </c>
      <c r="C362" s="238" t="str">
        <f>'16U BOYS SILVER-20 TEAMS'!C21&amp;""</f>
        <v>ESTANCIA HS 1</v>
      </c>
      <c r="D362" s="154" t="str">
        <f>'16U BOYS SILVER-20 TEAMS'!D21&amp;""</f>
        <v>16Bag07</v>
      </c>
      <c r="E362" s="239" t="str">
        <f>'16U BOYS SILVER-20 TEAMS'!E21&amp;""</f>
        <v>6-HIELAND</v>
      </c>
      <c r="F362" s="154" t="str">
        <f>'16U BOYS SILVER-20 TEAMS'!F21&amp;""</f>
        <v>9</v>
      </c>
      <c r="G362" s="154" t="str">
        <f>'16U BOYS SILVER-20 TEAMS'!G21&amp;""</f>
        <v>19-SAN JOSE EXPRESS GOLD</v>
      </c>
      <c r="H362" s="154" t="str">
        <f>'16U BOYS SILVER-20 TEAMS'!H21&amp;""</f>
        <v>8</v>
      </c>
      <c r="I362" s="154" t="str">
        <f>'16U BOYS SILVER-20 TEAMS'!I21&amp;""</f>
        <v>W/L F</v>
      </c>
      <c r="J362" s="154" t="str">
        <f>'16U BOYS SILVER-20 TEAMS'!J21&amp;""</f>
        <v>16U_BOYS_SILVER</v>
      </c>
      <c r="K362" s="154" t="str">
        <f t="shared" si="10"/>
        <v>202601310800</v>
      </c>
    </row>
    <row r="363" spans="1:11">
      <c r="A363" s="239">
        <f>'16U BOYS SILVER-20 TEAMS'!A36</f>
        <v>46053</v>
      </c>
      <c r="B363" s="238">
        <f>'16U BOYS SILVER-20 TEAMS'!B36</f>
        <v>0.33333333333333298</v>
      </c>
      <c r="C363" s="238" t="str">
        <f>'16U BOYS SILVER-20 TEAMS'!C36&amp;""</f>
        <v>YORBA LINDA HS</v>
      </c>
      <c r="D363" s="154" t="str">
        <f>'16U BOYS SILVER-20 TEAMS'!D36&amp;""</f>
        <v>16Bag13</v>
      </c>
      <c r="E363" s="154" t="str">
        <f>'16U BOYS SILVER-20 TEAMS'!E36&amp;""</f>
        <v>B1-SANTA CRUZ</v>
      </c>
      <c r="F363" s="154" t="str">
        <f>'16U BOYS SILVER-20 TEAMS'!F36&amp;""</f>
        <v>7</v>
      </c>
      <c r="G363" s="154" t="str">
        <f>'16U BOYS SILVER-20 TEAMS'!G36&amp;""</f>
        <v>B3-LA JOLLA UNITED SILVER</v>
      </c>
      <c r="H363" s="154" t="str">
        <f>'16U BOYS SILVER-20 TEAMS'!H36&amp;""</f>
        <v>1</v>
      </c>
      <c r="I363" s="154" t="str">
        <f>'16U BOYS SILVER-20 TEAMS'!I36&amp;""</f>
        <v>B bracket</v>
      </c>
      <c r="J363" s="154" t="str">
        <f>'16U BOYS SILVER-20 TEAMS'!J36&amp;""</f>
        <v>16U_BOYS_SILVER</v>
      </c>
      <c r="K363" s="154" t="str">
        <f t="shared" si="10"/>
        <v>202601310800</v>
      </c>
    </row>
    <row r="364" spans="1:11">
      <c r="A364" s="239">
        <f>'16U BOYS SILVER-20 TEAMS'!A22</f>
        <v>46053</v>
      </c>
      <c r="B364" s="238">
        <f>'16U BOYS SILVER-20 TEAMS'!B22</f>
        <v>0.375</v>
      </c>
      <c r="C364" s="238" t="str">
        <f>'16U BOYS SILVER-20 TEAMS'!C22&amp;""</f>
        <v>ESTANCIA HS 1</v>
      </c>
      <c r="D364" s="154" t="str">
        <f>'16U BOYS SILVER-20 TEAMS'!D22&amp;""</f>
        <v>16Bag08</v>
      </c>
      <c r="E364" s="239" t="str">
        <f>'16U BOYS SILVER-20 TEAMS'!E22&amp;""</f>
        <v>7-WCAC UNITED</v>
      </c>
      <c r="F364" s="154" t="str">
        <f>'16U BOYS SILVER-20 TEAMS'!F22&amp;""</f>
        <v>10</v>
      </c>
      <c r="G364" s="154" t="str">
        <f>'16U BOYS SILVER-20 TEAMS'!G22&amp;""</f>
        <v>18-SAN CLEMENTE BLACK</v>
      </c>
      <c r="H364" s="154" t="str">
        <f>'16U BOYS SILVER-20 TEAMS'!H22&amp;""</f>
        <v>7</v>
      </c>
      <c r="I364" s="154" t="str">
        <f>'16U BOYS SILVER-20 TEAMS'!I22&amp;""</f>
        <v>W/L F</v>
      </c>
      <c r="J364" s="154" t="str">
        <f>'16U BOYS SILVER-20 TEAMS'!J22&amp;""</f>
        <v>16U_BOYS_SILVER</v>
      </c>
      <c r="K364" s="154" t="str">
        <f t="shared" si="10"/>
        <v>202601310900</v>
      </c>
    </row>
    <row r="365" spans="1:11">
      <c r="A365" s="239">
        <f>'16U BOYS SILVER-20 TEAMS'!A37</f>
        <v>46053</v>
      </c>
      <c r="B365" s="238">
        <f>'16U BOYS SILVER-20 TEAMS'!B37</f>
        <v>0.375</v>
      </c>
      <c r="C365" s="238" t="str">
        <f>'16U BOYS SILVER-20 TEAMS'!C37&amp;""</f>
        <v>YORBA LINDA HS</v>
      </c>
      <c r="D365" s="154" t="str">
        <f>'16U BOYS SILVER-20 TEAMS'!D37&amp;""</f>
        <v>16Bag14</v>
      </c>
      <c r="E365" s="154" t="str">
        <f>'16U BOYS SILVER-20 TEAMS'!E37&amp;""</f>
        <v>C1-SET</v>
      </c>
      <c r="F365" s="154" t="str">
        <f>'16U BOYS SILVER-20 TEAMS'!F37&amp;""</f>
        <v>11</v>
      </c>
      <c r="G365" s="154" t="str">
        <f>'16U BOYS SILVER-20 TEAMS'!G37&amp;""</f>
        <v>C3-LAMORINDA B</v>
      </c>
      <c r="H365" s="154" t="str">
        <f>'16U BOYS SILVER-20 TEAMS'!H37&amp;""</f>
        <v>12</v>
      </c>
      <c r="I365" s="154" t="str">
        <f>'16U BOYS SILVER-20 TEAMS'!I37&amp;""</f>
        <v>C bracket</v>
      </c>
      <c r="J365" s="154" t="str">
        <f>'16U BOYS SILVER-20 TEAMS'!J37&amp;""</f>
        <v>16U_BOYS_SILVER</v>
      </c>
      <c r="K365" s="154" t="str">
        <f t="shared" si="10"/>
        <v>202601310900</v>
      </c>
    </row>
    <row r="366" spans="1:11">
      <c r="A366" s="239">
        <f>'16U BOYS SILVER-20 TEAMS'!A24</f>
        <v>46053</v>
      </c>
      <c r="B366" s="238">
        <f>'16U BOYS SILVER-20 TEAMS'!B24</f>
        <v>0.41666666666666702</v>
      </c>
      <c r="C366" s="238" t="str">
        <f>'16U BOYS SILVER-20 TEAMS'!C24&amp;""</f>
        <v>ESTANCIA HS 1</v>
      </c>
      <c r="D366" s="154" t="str">
        <f>'16U BOYS SILVER-20 TEAMS'!D24&amp;""</f>
        <v>16Bag01</v>
      </c>
      <c r="E366" s="239" t="str">
        <f>'16U BOYS SILVER-20 TEAMS'!E24&amp;""</f>
        <v>3-SHORE AQUATICS</v>
      </c>
      <c r="F366" s="154" t="str">
        <f>'16U BOYS SILVER-20 TEAMS'!F24&amp;""</f>
        <v>3</v>
      </c>
      <c r="G366" s="239" t="str">
        <f>'16U BOYS SILVER-20 TEAMS'!G24&amp;""</f>
        <v>20-LA JOLLA UNITED WHITE</v>
      </c>
      <c r="H366" s="154" t="str">
        <f>'16U BOYS SILVER-20 TEAMS'!H24&amp;""</f>
        <v>22</v>
      </c>
      <c r="I366" s="154" t="str">
        <f>'16U BOYS SILVER-20 TEAMS'!I24&amp;""</f>
        <v>W/L E</v>
      </c>
      <c r="J366" s="154" t="str">
        <f>'16U BOYS SILVER-20 TEAMS'!J24&amp;""</f>
        <v>16U_BOYS_SILVER</v>
      </c>
      <c r="K366" s="154" t="str">
        <f t="shared" si="10"/>
        <v>202601311000</v>
      </c>
    </row>
    <row r="367" spans="1:11">
      <c r="A367" s="239">
        <f>'16U BOYS SILVER-20 TEAMS'!A23</f>
        <v>46053</v>
      </c>
      <c r="B367" s="238">
        <f>'16U BOYS SILVER-20 TEAMS'!B23</f>
        <v>0.41666666666666702</v>
      </c>
      <c r="C367" s="238" t="str">
        <f>'16U BOYS SILVER-20 TEAMS'!C23&amp;""</f>
        <v>SONORA HS</v>
      </c>
      <c r="D367" s="154" t="str">
        <f>'16U BOYS SILVER-20 TEAMS'!D23&amp;""</f>
        <v>16Bag06</v>
      </c>
      <c r="E367" s="239" t="str">
        <f>'16U BOYS SILVER-20 TEAMS'!E23&amp;""</f>
        <v>A1-MID PEN</v>
      </c>
      <c r="F367" s="154" t="str">
        <f>'16U BOYS SILVER-20 TEAMS'!F23&amp;""</f>
        <v>12</v>
      </c>
      <c r="G367" s="239" t="str">
        <f>'16U BOYS SILVER-20 TEAMS'!G23&amp;""</f>
        <v>A3-TRITON GOLD</v>
      </c>
      <c r="H367" s="154" t="str">
        <f>'16U BOYS SILVER-20 TEAMS'!H23&amp;""</f>
        <v>3</v>
      </c>
      <c r="I367" s="154" t="str">
        <f>'16U BOYS SILVER-20 TEAMS'!I23&amp;""</f>
        <v>A bracket</v>
      </c>
      <c r="J367" s="154" t="str">
        <f>'16U BOYS SILVER-20 TEAMS'!J23&amp;""</f>
        <v>16U_BOYS_SILVER</v>
      </c>
      <c r="K367" s="154" t="str">
        <f t="shared" si="10"/>
        <v>202601311000</v>
      </c>
    </row>
    <row r="368" spans="1:11">
      <c r="A368" s="239">
        <f>'16U BOYS SILVER-20 TEAMS'!A38</f>
        <v>46053</v>
      </c>
      <c r="B368" s="238">
        <f>'16U BOYS SILVER-20 TEAMS'!B38</f>
        <v>0.41666666666666702</v>
      </c>
      <c r="C368" s="238" t="str">
        <f>'16U BOYS SILVER-20 TEAMS'!C38&amp;""</f>
        <v>YORBA LINDA HS</v>
      </c>
      <c r="D368" s="154" t="str">
        <f>'16U BOYS SILVER-20 TEAMS'!D38&amp;""</f>
        <v>16Bag15</v>
      </c>
      <c r="E368" s="154" t="str">
        <f>'16U BOYS SILVER-20 TEAMS'!E38&amp;""</f>
        <v>D1-SD ECA</v>
      </c>
      <c r="F368" s="154" t="str">
        <f>'16U BOYS SILVER-20 TEAMS'!F38&amp;""</f>
        <v>8</v>
      </c>
      <c r="G368" s="154" t="str">
        <f>'16U BOYS SILVER-20 TEAMS'!G38&amp;""</f>
        <v>D3-CC UNITED WHITE</v>
      </c>
      <c r="H368" s="154" t="str">
        <f>'16U BOYS SILVER-20 TEAMS'!H38&amp;""</f>
        <v>9</v>
      </c>
      <c r="I368" s="154" t="str">
        <f>'16U BOYS SILVER-20 TEAMS'!I38&amp;""</f>
        <v>D bracket</v>
      </c>
      <c r="J368" s="154" t="str">
        <f>'16U BOYS SILVER-20 TEAMS'!J38&amp;""</f>
        <v>16U_BOYS_SILVER</v>
      </c>
      <c r="K368" s="154" t="str">
        <f t="shared" si="10"/>
        <v>202601311000</v>
      </c>
    </row>
    <row r="369" spans="1:11">
      <c r="A369" s="239">
        <f>'16U BOYS SILVER-20 TEAMS'!A25</f>
        <v>46053</v>
      </c>
      <c r="B369" s="238">
        <f>'16U BOYS SILVER-20 TEAMS'!B25</f>
        <v>0.45833333333333298</v>
      </c>
      <c r="C369" s="238" t="str">
        <f>'16U BOYS SILVER-20 TEAMS'!C25&amp;""</f>
        <v>ESTANCIA HS 1</v>
      </c>
      <c r="D369" s="154" t="str">
        <f>'16U BOYS SILVER-20 TEAMS'!D25&amp;""</f>
        <v>16Bag02</v>
      </c>
      <c r="E369" s="154" t="str">
        <f>'16U BOYS SILVER-20 TEAMS'!E25&amp;""</f>
        <v>10-STANFORD WHITE</v>
      </c>
      <c r="F369" s="154" t="str">
        <f>'16U BOYS SILVER-20 TEAMS'!F25&amp;""</f>
        <v>13</v>
      </c>
      <c r="G369" s="154" t="str">
        <f>'16U BOYS SILVER-20 TEAMS'!G25&amp;""</f>
        <v>15-LV LEGENDS</v>
      </c>
      <c r="H369" s="154" t="str">
        <f>'16U BOYS SILVER-20 TEAMS'!H25&amp;""</f>
        <v>4</v>
      </c>
      <c r="I369" s="154" t="str">
        <f>'16U BOYS SILVER-20 TEAMS'!I25&amp;""</f>
        <v>W/L E</v>
      </c>
      <c r="J369" s="154" t="str">
        <f>'16U BOYS SILVER-20 TEAMS'!J25&amp;""</f>
        <v>16U_BOYS_SILVER</v>
      </c>
      <c r="K369" s="154" t="str">
        <f t="shared" si="10"/>
        <v>202601311100</v>
      </c>
    </row>
    <row r="370" spans="1:11">
      <c r="A370" s="239">
        <f>'16U BOYS SILVER-20 TEAMS'!A40</f>
        <v>46053</v>
      </c>
      <c r="B370" s="238">
        <f>'16U BOYS SILVER-20 TEAMS'!B40</f>
        <v>0.5</v>
      </c>
      <c r="C370" s="238" t="str">
        <f>'16U BOYS SILVER-20 TEAMS'!C40&amp;""</f>
        <v>ESTANCIA HS 1</v>
      </c>
      <c r="D370" s="154" t="str">
        <f>'16U BOYS SILVER-20 TEAMS'!D40&amp;""</f>
        <v>16Bag16</v>
      </c>
      <c r="E370" s="154" t="str">
        <f>'16U BOYS SILVER-20 TEAMS'!E40&amp;""</f>
        <v>B2-NORTH IRVINE</v>
      </c>
      <c r="F370" s="154" t="str">
        <f>'16U BOYS SILVER-20 TEAMS'!F40&amp;""</f>
        <v>3</v>
      </c>
      <c r="G370" s="154" t="str">
        <f>'16U BOYS SILVER-20 TEAMS'!G40&amp;""</f>
        <v>B3-LA JOLLA UNITED SILVER</v>
      </c>
      <c r="H370" s="154" t="str">
        <f>'16U BOYS SILVER-20 TEAMS'!H40&amp;""</f>
        <v>10</v>
      </c>
      <c r="I370" s="154" t="str">
        <f>'16U BOYS SILVER-20 TEAMS'!I40&amp;""</f>
        <v>B bracket</v>
      </c>
      <c r="J370" s="154" t="str">
        <f>'16U BOYS SILVER-20 TEAMS'!J40&amp;""</f>
        <v>16U_BOYS_SILVER</v>
      </c>
      <c r="K370" s="154" t="str">
        <f t="shared" si="10"/>
        <v>202601311200</v>
      </c>
    </row>
    <row r="371" spans="1:11">
      <c r="A371" s="239">
        <f>'16U BOYS SILVER-20 TEAMS'!A27</f>
        <v>46053</v>
      </c>
      <c r="B371" s="238">
        <f>'16U BOYS SILVER-20 TEAMS'!B27</f>
        <v>0.54166666666666696</v>
      </c>
      <c r="C371" s="238" t="str">
        <f>'16U BOYS SILVER-20 TEAMS'!C27&amp;""</f>
        <v>SONORA HS</v>
      </c>
      <c r="D371" s="154" t="str">
        <f>'16U BOYS SILVER-20 TEAMS'!D27&amp;""</f>
        <v>16Bag09</v>
      </c>
      <c r="E371" s="239" t="str">
        <f>'16U BOYS SILVER-20 TEAMS'!E27&amp;""</f>
        <v>A2-BOA WHITE</v>
      </c>
      <c r="F371" s="154" t="str">
        <f>'16U BOYS SILVER-20 TEAMS'!F27&amp;""</f>
        <v>3</v>
      </c>
      <c r="G371" s="239" t="str">
        <f>'16U BOYS SILVER-20 TEAMS'!G27&amp;""</f>
        <v>A3-TRITON GOLD</v>
      </c>
      <c r="H371" s="154" t="str">
        <f>'16U BOYS SILVER-20 TEAMS'!H27&amp;""</f>
        <v>11</v>
      </c>
      <c r="I371" s="154" t="str">
        <f>'16U BOYS SILVER-20 TEAMS'!I27&amp;""</f>
        <v>A bracket</v>
      </c>
      <c r="J371" s="154" t="str">
        <f>'16U BOYS SILVER-20 TEAMS'!J27&amp;""</f>
        <v>16U_BOYS_SILVER</v>
      </c>
      <c r="K371" s="154" t="str">
        <f t="shared" si="10"/>
        <v>202601311300</v>
      </c>
    </row>
    <row r="372" spans="1:11">
      <c r="A372" s="239">
        <f>'16U BOYS SILVER-20 TEAMS'!A28</f>
        <v>46053</v>
      </c>
      <c r="B372" s="238">
        <f>'16U BOYS SILVER-20 TEAMS'!B28</f>
        <v>0.54166666666666696</v>
      </c>
      <c r="C372" s="238" t="str">
        <f>'16U BOYS SILVER-20 TEAMS'!C28&amp;""</f>
        <v>ESTANCIA HS 1</v>
      </c>
      <c r="D372" s="154" t="str">
        <f>'16U BOYS SILVER-20 TEAMS'!D28&amp;""</f>
        <v>16Bag10</v>
      </c>
      <c r="E372" s="154" t="str">
        <f>'16U BOYS SILVER-20 TEAMS'!E28&amp;""</f>
        <v>W#7-HIELAND</v>
      </c>
      <c r="F372" s="154" t="str">
        <f>'16U BOYS SILVER-20 TEAMS'!F28&amp;""</f>
        <v>13</v>
      </c>
      <c r="G372" s="154" t="str">
        <f>'16U BOYS SILVER-20 TEAMS'!G28&amp;""</f>
        <v>W#8-WCAC UNITED</v>
      </c>
      <c r="H372" s="154" t="str">
        <f>'16U BOYS SILVER-20 TEAMS'!H28&amp;""</f>
        <v>4</v>
      </c>
      <c r="I372" s="154" t="str">
        <f>'16U BOYS SILVER-20 TEAMS'!I28&amp;""</f>
        <v>1st/2ndF</v>
      </c>
      <c r="J372" s="154" t="str">
        <f>'16U BOYS SILVER-20 TEAMS'!J28&amp;""</f>
        <v>16U_BOYS_SILVER</v>
      </c>
      <c r="K372" s="154" t="str">
        <f t="shared" si="10"/>
        <v>202601311300</v>
      </c>
    </row>
    <row r="373" spans="1:11">
      <c r="A373" s="239">
        <f>'16U BOYS SILVER-20 TEAMS'!A41</f>
        <v>46053</v>
      </c>
      <c r="B373" s="238">
        <f>'16U BOYS SILVER-20 TEAMS'!B41</f>
        <v>0.54166666666666696</v>
      </c>
      <c r="C373" s="238" t="str">
        <f>'16U BOYS SILVER-20 TEAMS'!C41&amp;""</f>
        <v>FULLERTON COLLEGE</v>
      </c>
      <c r="D373" s="154" t="str">
        <f>'16U BOYS SILVER-20 TEAMS'!D41&amp;""</f>
        <v>16Bag17</v>
      </c>
      <c r="E373" s="154" t="str">
        <f>'16U BOYS SILVER-20 TEAMS'!E41&amp;""</f>
        <v>C2-DAVIS WHITE</v>
      </c>
      <c r="F373" s="154" t="str">
        <f>'16U BOYS SILVER-20 TEAMS'!F41&amp;""</f>
        <v>7</v>
      </c>
      <c r="G373" s="154" t="str">
        <f>'16U BOYS SILVER-20 TEAMS'!G41&amp;""</f>
        <v>C3-LAMORINDA B</v>
      </c>
      <c r="H373" s="154" t="str">
        <f>'16U BOYS SILVER-20 TEAMS'!H41&amp;""</f>
        <v>11</v>
      </c>
      <c r="I373" s="154" t="str">
        <f>'16U BOYS SILVER-20 TEAMS'!I41&amp;""</f>
        <v>C bracket</v>
      </c>
      <c r="J373" s="154" t="str">
        <f>'16U BOYS SILVER-20 TEAMS'!J41&amp;""</f>
        <v>16U_BOYS_SILVER</v>
      </c>
      <c r="K373" s="154" t="str">
        <f t="shared" si="10"/>
        <v>202601311300</v>
      </c>
    </row>
    <row r="374" spans="1:11">
      <c r="A374" s="239">
        <f>'16U BOYS SILVER-20 TEAMS'!A29</f>
        <v>46053</v>
      </c>
      <c r="B374" s="238">
        <f>'16U BOYS SILVER-20 TEAMS'!B29</f>
        <v>0.58333333333333304</v>
      </c>
      <c r="C374" s="238" t="str">
        <f>'16U BOYS SILVER-20 TEAMS'!C29&amp;""</f>
        <v>ESTANCIA HS 1</v>
      </c>
      <c r="D374" s="154" t="str">
        <f>'16U BOYS SILVER-20 TEAMS'!D29&amp;""</f>
        <v>16Bag11</v>
      </c>
      <c r="E374" s="154" t="str">
        <f>'16U BOYS SILVER-20 TEAMS'!E29&amp;""</f>
        <v>L#7-SAN JOSE EXPRESS GOLD</v>
      </c>
      <c r="F374" s="154" t="str">
        <f>'16U BOYS SILVER-20 TEAMS'!F29&amp;""</f>
        <v>12</v>
      </c>
      <c r="G374" s="154" t="str">
        <f>'16U BOYS SILVER-20 TEAMS'!G29&amp;""</f>
        <v>L#8-SAN CLEMENTE BLACK</v>
      </c>
      <c r="H374" s="154" t="str">
        <f>'16U BOYS SILVER-20 TEAMS'!H29&amp;""</f>
        <v>7</v>
      </c>
      <c r="I374" s="154" t="str">
        <f>'16U BOYS SILVER-20 TEAMS'!I29&amp;""</f>
        <v>3rd/4thF</v>
      </c>
      <c r="J374" s="154" t="str">
        <f>'16U BOYS SILVER-20 TEAMS'!J29&amp;""</f>
        <v>16U_BOYS_SILVER</v>
      </c>
      <c r="K374" s="154" t="str">
        <f t="shared" si="10"/>
        <v>202601311400</v>
      </c>
    </row>
    <row r="375" spans="1:11">
      <c r="A375" s="239">
        <f>'16U BOYS SILVER-20 TEAMS'!A42</f>
        <v>46053</v>
      </c>
      <c r="B375" s="238">
        <f>'16U BOYS SILVER-20 TEAMS'!B42</f>
        <v>0.58333333333333304</v>
      </c>
      <c r="C375" s="238" t="str">
        <f>'16U BOYS SILVER-20 TEAMS'!C42&amp;""</f>
        <v>FULLERTON COLLEGE</v>
      </c>
      <c r="D375" s="154" t="str">
        <f>'16U BOYS SILVER-20 TEAMS'!D42&amp;""</f>
        <v>16Bag18</v>
      </c>
      <c r="E375" s="154" t="str">
        <f>'16U BOYS SILVER-20 TEAMS'!E42&amp;""</f>
        <v>D1-SD ECA</v>
      </c>
      <c r="F375" s="154" t="str">
        <f>'16U BOYS SILVER-20 TEAMS'!F42&amp;""</f>
        <v>10</v>
      </c>
      <c r="G375" s="154" t="str">
        <f>'16U BOYS SILVER-20 TEAMS'!G42&amp;""</f>
        <v>D2-LOYOLA WPC</v>
      </c>
      <c r="H375" s="154" t="str">
        <f>'16U BOYS SILVER-20 TEAMS'!H42&amp;""</f>
        <v>6</v>
      </c>
      <c r="I375" s="154" t="str">
        <f>'16U BOYS SILVER-20 TEAMS'!I42&amp;""</f>
        <v>D bracket</v>
      </c>
      <c r="J375" s="154" t="str">
        <f>'16U BOYS SILVER-20 TEAMS'!J42&amp;""</f>
        <v>16U_BOYS_SILVER</v>
      </c>
      <c r="K375" s="154" t="str">
        <f t="shared" si="10"/>
        <v>202601311400</v>
      </c>
    </row>
    <row r="376" spans="1:11">
      <c r="A376" s="239">
        <f>'16U BOYS SILVER-20 TEAMS'!A30</f>
        <v>46053</v>
      </c>
      <c r="B376" s="238">
        <f>'16U BOYS SILVER-20 TEAMS'!B30</f>
        <v>0.625</v>
      </c>
      <c r="C376" s="238" t="str">
        <f>'16U BOYS SILVER-20 TEAMS'!C30&amp;""</f>
        <v>ESTANCIA HS 1</v>
      </c>
      <c r="D376" s="154" t="str">
        <f>'16U BOYS SILVER-20 TEAMS'!D30&amp;""</f>
        <v>16Bag04</v>
      </c>
      <c r="E376" s="154" t="str">
        <f>'16U BOYS SILVER-20 TEAMS'!E30&amp;""</f>
        <v>L#1-SHORE AQUATICS</v>
      </c>
      <c r="F376" s="154" t="str">
        <f>'16U BOYS SILVER-20 TEAMS'!F30&amp;""</f>
        <v>10</v>
      </c>
      <c r="G376" s="154" t="str">
        <f>'16U BOYS SILVER-20 TEAMS'!G30&amp;""</f>
        <v>L#2-LV LEGENDS</v>
      </c>
      <c r="H376" s="154" t="str">
        <f>'16U BOYS SILVER-20 TEAMS'!H30&amp;""</f>
        <v>12</v>
      </c>
      <c r="I376" s="154" t="str">
        <f>'16U BOYS SILVER-20 TEAMS'!I30&amp;""</f>
        <v>3rd/4thE</v>
      </c>
      <c r="J376" s="154" t="str">
        <f>'16U BOYS SILVER-20 TEAMS'!J30&amp;""</f>
        <v>16U_BOYS_SILVER</v>
      </c>
      <c r="K376" s="154" t="str">
        <f t="shared" si="10"/>
        <v>202601311500</v>
      </c>
    </row>
    <row r="377" spans="1:11">
      <c r="A377" s="239">
        <f>'16U BOYS SILVER-20 TEAMS'!A43</f>
        <v>46053</v>
      </c>
      <c r="B377" s="238">
        <f>'16U BOYS SILVER-20 TEAMS'!B43</f>
        <v>0.625</v>
      </c>
      <c r="C377" s="238" t="str">
        <f>'16U BOYS SILVER-20 TEAMS'!C43&amp;""</f>
        <v>FULLERTON COLLEGE</v>
      </c>
      <c r="D377" s="154" t="str">
        <f>'16U BOYS SILVER-20 TEAMS'!D43&amp;""</f>
        <v>16Bag19</v>
      </c>
      <c r="E377" s="154" t="str">
        <f>'16U BOYS SILVER-20 TEAMS'!E43&amp;""</f>
        <v>B1-SANTA CRUZ</v>
      </c>
      <c r="F377" s="154" t="str">
        <f>'16U BOYS SILVER-20 TEAMS'!F43&amp;""</f>
        <v>10</v>
      </c>
      <c r="G377" s="154" t="str">
        <f>'16U BOYS SILVER-20 TEAMS'!G43&amp;""</f>
        <v>B2-NORTH IRVINE</v>
      </c>
      <c r="H377" s="154" t="str">
        <f>'16U BOYS SILVER-20 TEAMS'!H43&amp;""</f>
        <v>4</v>
      </c>
      <c r="I377" s="154" t="str">
        <f>'16U BOYS SILVER-20 TEAMS'!I43&amp;""</f>
        <v>B bracket</v>
      </c>
      <c r="J377" s="154" t="str">
        <f>'16U BOYS SILVER-20 TEAMS'!J43&amp;""</f>
        <v>16U_BOYS_SILVER</v>
      </c>
      <c r="K377" s="154" t="str">
        <f t="shared" si="10"/>
        <v>202601311500</v>
      </c>
    </row>
    <row r="378" spans="1:11">
      <c r="A378" s="239">
        <f>'16U BOYS SILVER-20 TEAMS'!A31</f>
        <v>46053</v>
      </c>
      <c r="B378" s="238">
        <f>'16U BOYS SILVER-20 TEAMS'!B31</f>
        <v>0.66666666666666696</v>
      </c>
      <c r="C378" s="238" t="str">
        <f>'16U BOYS SILVER-20 TEAMS'!C31&amp;""</f>
        <v>ESTANCIA HS 1</v>
      </c>
      <c r="D378" s="154" t="str">
        <f>'16U BOYS SILVER-20 TEAMS'!D31&amp;""</f>
        <v>16Bag05</v>
      </c>
      <c r="E378" s="154" t="str">
        <f>'16U BOYS SILVER-20 TEAMS'!E31&amp;""</f>
        <v>W#1-LA JOLLA UNITED WHITE</v>
      </c>
      <c r="F378" s="154" t="str">
        <f>'16U BOYS SILVER-20 TEAMS'!F31&amp;""</f>
        <v>12</v>
      </c>
      <c r="G378" s="154" t="str">
        <f>'16U BOYS SILVER-20 TEAMS'!G31&amp;""</f>
        <v>W#2-STANFORD WHITE</v>
      </c>
      <c r="H378" s="154" t="str">
        <f>'16U BOYS SILVER-20 TEAMS'!H31&amp;""</f>
        <v>11</v>
      </c>
      <c r="I378" s="154" t="str">
        <f>'16U BOYS SILVER-20 TEAMS'!I31&amp;""</f>
        <v>1st/2ndE</v>
      </c>
      <c r="J378" s="154" t="str">
        <f>'16U BOYS SILVER-20 TEAMS'!J31&amp;""</f>
        <v>16U_BOYS_SILVER</v>
      </c>
      <c r="K378" s="154" t="str">
        <f t="shared" si="10"/>
        <v>202601311600</v>
      </c>
    </row>
    <row r="379" spans="1:11">
      <c r="A379" s="239">
        <f>'16U BOYS SILVER-20 TEAMS'!A44</f>
        <v>46053</v>
      </c>
      <c r="B379" s="238">
        <f>'16U BOYS SILVER-20 TEAMS'!B44</f>
        <v>0.66666666666666696</v>
      </c>
      <c r="C379" s="238" t="str">
        <f>'16U BOYS SILVER-20 TEAMS'!C44&amp;""</f>
        <v>FULLERTON COLLEGE</v>
      </c>
      <c r="D379" s="154" t="str">
        <f>'16U BOYS SILVER-20 TEAMS'!D44&amp;""</f>
        <v>16Bag20</v>
      </c>
      <c r="E379" s="154" t="str">
        <f>'16U BOYS SILVER-20 TEAMS'!E44&amp;""</f>
        <v>C1-SET</v>
      </c>
      <c r="F379" s="154" t="str">
        <f>'16U BOYS SILVER-20 TEAMS'!F44&amp;""</f>
        <v>7</v>
      </c>
      <c r="G379" s="154" t="str">
        <f>'16U BOYS SILVER-20 TEAMS'!G44&amp;""</f>
        <v>C2-DAVIS WHITE</v>
      </c>
      <c r="H379" s="154" t="str">
        <f>'16U BOYS SILVER-20 TEAMS'!H44&amp;""</f>
        <v>9</v>
      </c>
      <c r="I379" s="154" t="str">
        <f>'16U BOYS SILVER-20 TEAMS'!I44&amp;""</f>
        <v>C bracket</v>
      </c>
      <c r="J379" s="154" t="str">
        <f>'16U BOYS SILVER-20 TEAMS'!J44&amp;""</f>
        <v>16U_BOYS_SILVER</v>
      </c>
      <c r="K379" s="154" t="str">
        <f t="shared" si="10"/>
        <v>202601311600</v>
      </c>
    </row>
    <row r="380" spans="1:11">
      <c r="A380" s="239">
        <f>'16U BOYS SILVER-20 TEAMS'!A32</f>
        <v>46053</v>
      </c>
      <c r="B380" s="238">
        <f>'16U BOYS SILVER-20 TEAMS'!B32</f>
        <v>0.70833333333333304</v>
      </c>
      <c r="C380" s="238" t="str">
        <f>'16U BOYS SILVER-20 TEAMS'!C32&amp;""</f>
        <v>ESTANCIA HS 1</v>
      </c>
      <c r="D380" s="154" t="str">
        <f>'16U BOYS SILVER-20 TEAMS'!D32&amp;""</f>
        <v>16Bag21</v>
      </c>
      <c r="E380" s="154" t="str">
        <f>'16U BOYS SILVER-20 TEAMS'!E32&amp;""</f>
        <v>J1(1stD)-CC UNITED WHITE</v>
      </c>
      <c r="F380" s="154" t="str">
        <f>'16U BOYS SILVER-20 TEAMS'!F32&amp;""</f>
        <v>8</v>
      </c>
      <c r="G380" s="154" t="str">
        <f>'16U BOYS SILVER-20 TEAMS'!G32&amp;""</f>
        <v>J3(1stF)-HIELAND</v>
      </c>
      <c r="H380" s="154" t="str">
        <f>'16U BOYS SILVER-20 TEAMS'!H32&amp;""</f>
        <v>7</v>
      </c>
      <c r="I380" s="154" t="str">
        <f>'16U BOYS SILVER-20 TEAMS'!I32&amp;""</f>
        <v>J bracket</v>
      </c>
      <c r="J380" s="154" t="str">
        <f>'16U BOYS SILVER-20 TEAMS'!J32&amp;""</f>
        <v>16U_BOYS_SILVER</v>
      </c>
      <c r="K380" s="154" t="str">
        <f t="shared" si="10"/>
        <v>202601311700</v>
      </c>
    </row>
    <row r="381" spans="1:11">
      <c r="A381" s="239">
        <f>'16U BOYS SILVER-20 TEAMS'!A45</f>
        <v>46053</v>
      </c>
      <c r="B381" s="238">
        <f>'16U BOYS SILVER-20 TEAMS'!B45</f>
        <v>0.70833333333333304</v>
      </c>
      <c r="C381" s="238" t="str">
        <f>'16U BOYS SILVER-20 TEAMS'!C45&amp;""</f>
        <v>FULLERTON COLLEGE</v>
      </c>
      <c r="D381" s="240" t="str">
        <f>'16U BOYS SILVER-20 TEAMS'!D45&amp;""</f>
        <v>16Bag23</v>
      </c>
      <c r="E381" s="154" t="str">
        <f>'16U BOYS SILVER-20 TEAMS'!E45&amp;""</f>
        <v>K1(2ndD)-SD ECA</v>
      </c>
      <c r="F381" s="154" t="str">
        <f>'16U BOYS SILVER-20 TEAMS'!F45&amp;""</f>
        <v>11</v>
      </c>
      <c r="G381" s="154" t="str">
        <f>'16U BOYS SILVER-20 TEAMS'!G45&amp;""</f>
        <v>K3(2ndF)-WCAC UNITED</v>
      </c>
      <c r="H381" s="154" t="str">
        <f>'16U BOYS SILVER-20 TEAMS'!H45&amp;""</f>
        <v>4</v>
      </c>
      <c r="I381" s="154" t="str">
        <f>'16U BOYS SILVER-20 TEAMS'!I45&amp;""</f>
        <v>K bracket</v>
      </c>
      <c r="J381" s="154" t="str">
        <f>'16U BOYS SILVER-20 TEAMS'!J45&amp;""</f>
        <v>16U_BOYS_SILVER</v>
      </c>
      <c r="K381" s="154" t="str">
        <f t="shared" si="10"/>
        <v>202601311700</v>
      </c>
    </row>
    <row r="382" spans="1:11">
      <c r="A382" s="239">
        <f>'16U BOYS SILVER-20 TEAMS'!A46</f>
        <v>46053</v>
      </c>
      <c r="B382" s="238">
        <f>'16U BOYS SILVER-20 TEAMS'!B46</f>
        <v>0.75</v>
      </c>
      <c r="C382" s="238" t="str">
        <f>'16U BOYS SILVER-20 TEAMS'!C46&amp;""</f>
        <v>FULLERTON COLLEGE</v>
      </c>
      <c r="D382" s="154" t="str">
        <f>'16U BOYS SILVER-20 TEAMS'!D46&amp;""</f>
        <v>16Bag22</v>
      </c>
      <c r="E382" s="240" t="str">
        <f>'16U BOYS SILVER-20 TEAMS'!E46&amp;""</f>
        <v>H2(2ndB)-LA JOLLA UNITED SILVER</v>
      </c>
      <c r="F382" s="154" t="str">
        <f>'16U BOYS SILVER-20 TEAMS'!F46&amp;""</f>
        <v>5</v>
      </c>
      <c r="G382" s="154" t="str">
        <f>'16U BOYS SILVER-20 TEAMS'!G46&amp;""</f>
        <v>H3(2ndC)-DAVIS WHITE</v>
      </c>
      <c r="H382" s="154" t="str">
        <f>'16U BOYS SILVER-20 TEAMS'!H46&amp;""</f>
        <v>9</v>
      </c>
      <c r="I382" s="154" t="str">
        <f>'16U BOYS SILVER-20 TEAMS'!I46&amp;""</f>
        <v>H bracket</v>
      </c>
      <c r="J382" s="154" t="str">
        <f>'16U BOYS SILVER-20 TEAMS'!J46&amp;""</f>
        <v>16U_BOYS_SILVER</v>
      </c>
      <c r="K382" s="154" t="str">
        <f t="shared" si="10"/>
        <v>202601311800</v>
      </c>
    </row>
    <row r="383" spans="1:11">
      <c r="A383" s="239">
        <f>'16U BOYS SILVER-20 TEAMS'!A47</f>
        <v>46053</v>
      </c>
      <c r="B383" s="238">
        <f>'16U BOYS SILVER-20 TEAMS'!B47</f>
        <v>0.79166666666666696</v>
      </c>
      <c r="C383" s="238" t="str">
        <f>'16U BOYS SILVER-20 TEAMS'!C47&amp;""</f>
        <v>FULLERTON COLLEGE</v>
      </c>
      <c r="D383" s="154" t="str">
        <f>'16U BOYS SILVER-20 TEAMS'!D47&amp;""</f>
        <v>16Bag34</v>
      </c>
      <c r="E383" s="154" t="str">
        <f>'16U BOYS SILVER-20 TEAMS'!E47&amp;""</f>
        <v>G2(1stB)-SANTA CRUZ</v>
      </c>
      <c r="F383" s="154" t="str">
        <f>'16U BOYS SILVER-20 TEAMS'!F47&amp;""</f>
        <v>7</v>
      </c>
      <c r="G383" s="154" t="str">
        <f>'16U BOYS SILVER-20 TEAMS'!G47&amp;""</f>
        <v>G3(1stC)-LAMORINDA B</v>
      </c>
      <c r="H383" s="154" t="str">
        <f>'16U BOYS SILVER-20 TEAMS'!H47&amp;""</f>
        <v>16</v>
      </c>
      <c r="I383" s="154" t="str">
        <f>'16U BOYS SILVER-20 TEAMS'!I47&amp;""</f>
        <v>G bracket</v>
      </c>
      <c r="J383" s="154" t="str">
        <f>'16U BOYS SILVER-20 TEAMS'!J47&amp;""</f>
        <v>16U_BOYS_SILVER</v>
      </c>
      <c r="K383" s="154" t="str">
        <f t="shared" si="10"/>
        <v>202601311900</v>
      </c>
    </row>
    <row r="384" spans="1:11">
      <c r="A384" s="239">
        <f>'16U BOYS SILVER-20 TEAMS'!A51</f>
        <v>46054</v>
      </c>
      <c r="B384" s="238">
        <f>'16U BOYS SILVER-20 TEAMS'!B51</f>
        <v>0.29166666666666669</v>
      </c>
      <c r="C384" s="238" t="str">
        <f>'16U BOYS SILVER-20 TEAMS'!C51&amp;""</f>
        <v>SONORA HS</v>
      </c>
      <c r="D384" s="154" t="str">
        <f>'16U BOYS SILVER-20 TEAMS'!D51&amp;""</f>
        <v>16Bag24</v>
      </c>
      <c r="E384" s="154" t="str">
        <f>'16U BOYS SILVER-20 TEAMS'!E51&amp;""</f>
        <v>H1(2ndA)-TRITON GOLD</v>
      </c>
      <c r="F384" s="154" t="str">
        <f>'16U BOYS SILVER-20 TEAMS'!F51&amp;""</f>
        <v>10</v>
      </c>
      <c r="G384" s="154" t="str">
        <f>'16U BOYS SILVER-20 TEAMS'!G51&amp;""</f>
        <v>H3(2ndC)-DAVIS WHITE</v>
      </c>
      <c r="H384" s="154" t="str">
        <f>'16U BOYS SILVER-20 TEAMS'!H51&amp;""</f>
        <v>15</v>
      </c>
      <c r="I384" s="154" t="str">
        <f>'16U BOYS SILVER-20 TEAMS'!I51&amp;""</f>
        <v>H bracket</v>
      </c>
      <c r="J384" s="154" t="str">
        <f>'16U BOYS SILVER-20 TEAMS'!J51&amp;""</f>
        <v>16U_BOYS_SILVER</v>
      </c>
      <c r="K384" s="154" t="str">
        <f t="shared" si="10"/>
        <v>202602010700</v>
      </c>
    </row>
    <row r="385" spans="1:11">
      <c r="A385" s="239">
        <f>'16U BOYS SILVER-20 TEAMS'!A65</f>
        <v>46054</v>
      </c>
      <c r="B385" s="238">
        <f>'16U BOYS SILVER-20 TEAMS'!B65</f>
        <v>0.29166666666666669</v>
      </c>
      <c r="C385" s="238" t="str">
        <f>'16U BOYS SILVER-20 TEAMS'!C65&amp;""</f>
        <v>EDISON HS</v>
      </c>
      <c r="D385" s="154" t="str">
        <f>'16U BOYS SILVER-20 TEAMS'!D65&amp;""</f>
        <v>16Bag33</v>
      </c>
      <c r="E385" s="154" t="str">
        <f>'16U BOYS SILVER-20 TEAMS'!E65&amp;""</f>
        <v>L1(3rdD)-LOYOLA WPC</v>
      </c>
      <c r="F385" s="154" t="str">
        <f>'16U BOYS SILVER-20 TEAMS'!F65&amp;""</f>
        <v>11</v>
      </c>
      <c r="G385" s="154" t="str">
        <f>'16U BOYS SILVER-20 TEAMS'!G65&amp;""</f>
        <v>L4(4thF)-SAN CLEMENTE BLACK</v>
      </c>
      <c r="H385" s="154" t="str">
        <f>'16U BOYS SILVER-20 TEAMS'!H65&amp;""</f>
        <v>8</v>
      </c>
      <c r="I385" s="154" t="str">
        <f>'16U BOYS SILVER-20 TEAMS'!I65&amp;""</f>
        <v>W/L L</v>
      </c>
      <c r="J385" s="154" t="str">
        <f>'16U BOYS SILVER-20 TEAMS'!J65&amp;""</f>
        <v>16U_BOYS_SILVER</v>
      </c>
      <c r="K385" s="154" t="str">
        <f t="shared" si="10"/>
        <v>202602010700</v>
      </c>
    </row>
    <row r="386" spans="1:11">
      <c r="A386" s="239">
        <f>'16U BOYS SILVER-20 TEAMS'!A63</f>
        <v>46054</v>
      </c>
      <c r="B386" s="238">
        <f>'16U BOYS SILVER-20 TEAMS'!B63</f>
        <v>0.29166666666666669</v>
      </c>
      <c r="C386" s="238" t="str">
        <f>'16U BOYS SILVER-20 TEAMS'!C63&amp;""</f>
        <v>YORBA LINDA HS</v>
      </c>
      <c r="D386" s="154" t="str">
        <f>'16U BOYS SILVER-20 TEAMS'!D63&amp;""</f>
        <v>16Bag36</v>
      </c>
      <c r="E386" s="154" t="str">
        <f>'16U BOYS SILVER-20 TEAMS'!E63&amp;""</f>
        <v>I1(3rdA)-BOA WHITE</v>
      </c>
      <c r="F386" s="154" t="str">
        <f>'16U BOYS SILVER-20 TEAMS'!F63&amp;""</f>
        <v>5</v>
      </c>
      <c r="G386" s="154" t="str">
        <f>'16U BOYS SILVER-20 TEAMS'!G63&amp;""</f>
        <v>I4(4thE)-SHORE AQUATICS</v>
      </c>
      <c r="H386" s="154" t="str">
        <f>'16U BOYS SILVER-20 TEAMS'!H63&amp;""</f>
        <v>8</v>
      </c>
      <c r="I386" s="154" t="str">
        <f>'16U BOYS SILVER-20 TEAMS'!I63&amp;""</f>
        <v>W/L I</v>
      </c>
      <c r="J386" s="154" t="str">
        <f>'16U BOYS SILVER-20 TEAMS'!J63&amp;""</f>
        <v>16U_BOYS_SILVER</v>
      </c>
      <c r="K386" s="154" t="str">
        <f t="shared" si="10"/>
        <v>202602010700</v>
      </c>
    </row>
    <row r="387" spans="1:11">
      <c r="A387" s="239">
        <f>'16U BOYS SILVER-20 TEAMS'!A64</f>
        <v>46054</v>
      </c>
      <c r="B387" s="238">
        <f>'16U BOYS SILVER-20 TEAMS'!B64</f>
        <v>0.29166666666666669</v>
      </c>
      <c r="C387" s="238" t="str">
        <f>'16U BOYS SILVER-20 TEAMS'!C64&amp;""</f>
        <v>WESTMINSTER HS</v>
      </c>
      <c r="D387" s="154" t="str">
        <f>'16U BOYS SILVER-20 TEAMS'!D64&amp;""</f>
        <v>16Bag37</v>
      </c>
      <c r="E387" s="154" t="str">
        <f>'16U BOYS SILVER-20 TEAMS'!E64&amp;""</f>
        <v>I2(3rdB)-NORTH IRVINE</v>
      </c>
      <c r="F387" s="154" t="str">
        <f>'16U BOYS SILVER-20 TEAMS'!F64&amp;""</f>
        <v>6</v>
      </c>
      <c r="G387" s="154" t="str">
        <f>'16U BOYS SILVER-20 TEAMS'!G64&amp;""</f>
        <v>I3(3rdF)-SAN JOSE EXPRESS GOLD</v>
      </c>
      <c r="H387" s="154" t="str">
        <f>'16U BOYS SILVER-20 TEAMS'!H64&amp;""</f>
        <v>11</v>
      </c>
      <c r="I387" s="154" t="str">
        <f>'16U BOYS SILVER-20 TEAMS'!I64&amp;""</f>
        <v>W/L I</v>
      </c>
      <c r="J387" s="154" t="str">
        <f>'16U BOYS SILVER-20 TEAMS'!J64&amp;""</f>
        <v>16U_BOYS_SILVER</v>
      </c>
      <c r="K387" s="154" t="str">
        <f t="shared" si="10"/>
        <v>202602010700</v>
      </c>
    </row>
    <row r="388" spans="1:11">
      <c r="A388" s="239">
        <f>'16U BOYS SILVER-20 TEAMS'!A52</f>
        <v>46054</v>
      </c>
      <c r="B388" s="238">
        <f>'16U BOYS SILVER-20 TEAMS'!B52</f>
        <v>0.33333333333333298</v>
      </c>
      <c r="C388" s="238" t="str">
        <f>'16U BOYS SILVER-20 TEAMS'!C52&amp;""</f>
        <v>SONORA HS</v>
      </c>
      <c r="D388" s="154" t="str">
        <f>'16U BOYS SILVER-20 TEAMS'!D52&amp;""</f>
        <v>16Bag25</v>
      </c>
      <c r="E388" s="154" t="str">
        <f>'16U BOYS SILVER-20 TEAMS'!E52&amp;""</f>
        <v>G1(1stA)-MID PEN</v>
      </c>
      <c r="F388" s="154" t="str">
        <f>'16U BOYS SILVER-20 TEAMS'!F52&amp;""</f>
        <v>8</v>
      </c>
      <c r="G388" s="240" t="str">
        <f>'16U BOYS SILVER-20 TEAMS'!G52&amp;""</f>
        <v>G3(1stC)-LAMORINDA B</v>
      </c>
      <c r="H388" s="154" t="str">
        <f>'16U BOYS SILVER-20 TEAMS'!H52&amp;""</f>
        <v>13</v>
      </c>
      <c r="I388" s="154" t="str">
        <f>'16U BOYS SILVER-20 TEAMS'!I52&amp;""</f>
        <v>G bracket</v>
      </c>
      <c r="J388" s="154" t="str">
        <f>'16U BOYS SILVER-20 TEAMS'!J52&amp;""</f>
        <v>16U_BOYS_SILVER</v>
      </c>
      <c r="K388" s="154" t="str">
        <f t="shared" si="10"/>
        <v>202602010800</v>
      </c>
    </row>
    <row r="389" spans="1:11">
      <c r="A389" s="239">
        <f>'16U BOYS SILVER-20 TEAMS'!A66</f>
        <v>46054</v>
      </c>
      <c r="B389" s="238">
        <f>'16U BOYS SILVER-20 TEAMS'!B66</f>
        <v>0.33333333333333298</v>
      </c>
      <c r="C389" s="238" t="str">
        <f>'16U BOYS SILVER-20 TEAMS'!C66&amp;""</f>
        <v>EDISON HS</v>
      </c>
      <c r="D389" s="154" t="str">
        <f>'16U BOYS SILVER-20 TEAMS'!D66&amp;""</f>
        <v>16Bag35</v>
      </c>
      <c r="E389" s="154" t="str">
        <f>'16U BOYS SILVER-20 TEAMS'!E66&amp;""</f>
        <v>L2(3rdE)-LV LEGENDS</v>
      </c>
      <c r="F389" s="154" t="str">
        <f>'16U BOYS SILVER-20 TEAMS'!F66&amp;""</f>
        <v>5</v>
      </c>
      <c r="G389" s="154" t="str">
        <f>'16U BOYS SILVER-20 TEAMS'!G66&amp;""</f>
        <v>L3(3rdC)-SET</v>
      </c>
      <c r="H389" s="154" t="str">
        <f>'16U BOYS SILVER-20 TEAMS'!H66&amp;""</f>
        <v>11</v>
      </c>
      <c r="I389" s="154" t="str">
        <f>'16U BOYS SILVER-20 TEAMS'!I66&amp;""</f>
        <v>W/L L</v>
      </c>
      <c r="J389" s="154" t="str">
        <f>'16U BOYS SILVER-20 TEAMS'!J66&amp;""</f>
        <v>16U_BOYS_SILVER</v>
      </c>
      <c r="K389" s="154" t="str">
        <f t="shared" ref="K389:K452" si="11">TEXT(DATE(2026, MONTH(A389), DAY(A389)) + TIME(HOUR(B389), MINUTE(B389), 0), "yyyymmddhhmm")</f>
        <v>202602010800</v>
      </c>
    </row>
    <row r="390" spans="1:11">
      <c r="A390" s="239">
        <f>'16U BOYS SILVER-20 TEAMS'!A53</f>
        <v>46054</v>
      </c>
      <c r="B390" s="238">
        <f>'16U BOYS SILVER-20 TEAMS'!B53</f>
        <v>0.375</v>
      </c>
      <c r="C390" s="238" t="str">
        <f>'16U BOYS SILVER-20 TEAMS'!C53&amp;""</f>
        <v>SONORA HS</v>
      </c>
      <c r="D390" s="154" t="str">
        <f>'16U BOYS SILVER-20 TEAMS'!D53&amp;""</f>
        <v>16Bag26</v>
      </c>
      <c r="E390" s="154" t="str">
        <f>'16U BOYS SILVER-20 TEAMS'!E53&amp;""</f>
        <v>J2(1stE)-LA JOLLA UNITED WHITE</v>
      </c>
      <c r="F390" s="154" t="str">
        <f>'16U BOYS SILVER-20 TEAMS'!F53&amp;""</f>
        <v>12</v>
      </c>
      <c r="G390" s="154" t="str">
        <f>'16U BOYS SILVER-20 TEAMS'!G53&amp;""</f>
        <v>J3(1stF)-HIELAND</v>
      </c>
      <c r="H390" s="154" t="str">
        <f>'16U BOYS SILVER-20 TEAMS'!H53&amp;""</f>
        <v>7</v>
      </c>
      <c r="I390" s="154" t="str">
        <f>'16U BOYS SILVER-20 TEAMS'!I53&amp;""</f>
        <v>J bracket</v>
      </c>
      <c r="J390" s="154" t="str">
        <f>'16U BOYS SILVER-20 TEAMS'!J53&amp;""</f>
        <v>16U_BOYS_SILVER</v>
      </c>
      <c r="K390" s="154" t="str">
        <f t="shared" si="11"/>
        <v>202602010900</v>
      </c>
    </row>
    <row r="391" spans="1:11">
      <c r="A391" s="239">
        <f>'16U BOYS SILVER-20 TEAMS'!A54</f>
        <v>46054</v>
      </c>
      <c r="B391" s="238">
        <f>'16U BOYS SILVER-20 TEAMS'!B54</f>
        <v>0.41666666666666702</v>
      </c>
      <c r="C391" s="238" t="str">
        <f>'16U BOYS SILVER-20 TEAMS'!C54&amp;""</f>
        <v>SONORA HS</v>
      </c>
      <c r="D391" s="154" t="str">
        <f>'16U BOYS SILVER-20 TEAMS'!D54&amp;""</f>
        <v>16Bag27</v>
      </c>
      <c r="E391" s="154" t="str">
        <f>'16U BOYS SILVER-20 TEAMS'!E54&amp;""</f>
        <v>K2(2ndE)-STANFORD WHITE</v>
      </c>
      <c r="F391" s="154" t="str">
        <f>'16U BOYS SILVER-20 TEAMS'!F54&amp;""</f>
        <v>16</v>
      </c>
      <c r="G391" s="154" t="str">
        <f>'16U BOYS SILVER-20 TEAMS'!G54&amp;""</f>
        <v>K3(2ndF)-WCAC UNITED</v>
      </c>
      <c r="H391" s="154" t="str">
        <f>'16U BOYS SILVER-20 TEAMS'!H54&amp;""</f>
        <v>4</v>
      </c>
      <c r="I391" s="154" t="str">
        <f>'16U BOYS SILVER-20 TEAMS'!I54&amp;""</f>
        <v>K bracket</v>
      </c>
      <c r="J391" s="154" t="str">
        <f>'16U BOYS SILVER-20 TEAMS'!J54&amp;""</f>
        <v>16U_BOYS_SILVER</v>
      </c>
      <c r="K391" s="154" t="str">
        <f t="shared" si="11"/>
        <v>202602011000</v>
      </c>
    </row>
    <row r="392" spans="1:11">
      <c r="A392" s="239">
        <f>'16U BOYS SILVER-20 TEAMS'!A55</f>
        <v>46054</v>
      </c>
      <c r="B392" s="238">
        <f>'16U BOYS SILVER-20 TEAMS'!B55</f>
        <v>0.45833333333333298</v>
      </c>
      <c r="C392" s="238" t="str">
        <f>'16U BOYS SILVER-20 TEAMS'!C55&amp;""</f>
        <v>SONORA HS</v>
      </c>
      <c r="D392" s="154" t="str">
        <f>'16U BOYS SILVER-20 TEAMS'!D55&amp;""</f>
        <v>16Bag28</v>
      </c>
      <c r="E392" s="154" t="str">
        <f>'16U BOYS SILVER-20 TEAMS'!E55&amp;""</f>
        <v>G1(1stA)-MID PEN</v>
      </c>
      <c r="F392" s="154" t="str">
        <f>'16U BOYS SILVER-20 TEAMS'!F55&amp;""</f>
        <v>6</v>
      </c>
      <c r="G392" s="154" t="str">
        <f>'16U BOYS SILVER-20 TEAMS'!G55&amp;""</f>
        <v>G2(1stB)-SANTA CRUZ</v>
      </c>
      <c r="H392" s="154" t="str">
        <f>'16U BOYS SILVER-20 TEAMS'!H55&amp;""</f>
        <v>11</v>
      </c>
      <c r="I392" s="154" t="str">
        <f>'16U BOYS SILVER-20 TEAMS'!I55&amp;""</f>
        <v>G bracket</v>
      </c>
      <c r="J392" s="154" t="str">
        <f>'16U BOYS SILVER-20 TEAMS'!J55&amp;""</f>
        <v>16U_BOYS_SILVER</v>
      </c>
      <c r="K392" s="154" t="str">
        <f t="shared" si="11"/>
        <v>202602011100</v>
      </c>
    </row>
    <row r="393" spans="1:11">
      <c r="A393" s="239">
        <f>'16U BOYS SILVER-20 TEAMS'!A68</f>
        <v>46054</v>
      </c>
      <c r="B393" s="238">
        <f>'16U BOYS SILVER-20 TEAMS'!B68</f>
        <v>0.45833333333333298</v>
      </c>
      <c r="C393" s="238" t="str">
        <f>'16U BOYS SILVER-20 TEAMS'!C68&amp;""</f>
        <v>WESTMINSTER HS</v>
      </c>
      <c r="D393" s="154" t="str">
        <f>'16U BOYS SILVER-20 TEAMS'!D68&amp;""</f>
        <v>16Bag38</v>
      </c>
      <c r="E393" s="154" t="str">
        <f>'16U BOYS SILVER-20 TEAMS'!E68&amp;""</f>
        <v>W#36-SHORE AQUATICS</v>
      </c>
      <c r="F393" s="154" t="str">
        <f>'16U BOYS SILVER-20 TEAMS'!F68&amp;""</f>
        <v>8</v>
      </c>
      <c r="G393" s="154" t="str">
        <f>'16U BOYS SILVER-20 TEAMS'!G68&amp;""</f>
        <v>W#37-SAN JOSE EXPRESS GOLD</v>
      </c>
      <c r="H393" s="154" t="str">
        <f>'16U BOYS SILVER-20 TEAMS'!H68&amp;""</f>
        <v>11</v>
      </c>
      <c r="I393" s="154" t="str">
        <f>'16U BOYS SILVER-20 TEAMS'!I68&amp;""</f>
        <v>1st/2ndI</v>
      </c>
      <c r="J393" s="154" t="str">
        <f>'16U BOYS SILVER-20 TEAMS'!J68&amp;""</f>
        <v>16U_BOYS_SILVER</v>
      </c>
      <c r="K393" s="154" t="str">
        <f t="shared" si="11"/>
        <v>202602011100</v>
      </c>
    </row>
    <row r="394" spans="1:11">
      <c r="A394" s="239">
        <f>'16U BOYS SILVER-20 TEAMS'!A69</f>
        <v>46054</v>
      </c>
      <c r="B394" s="238">
        <f>'16U BOYS SILVER-20 TEAMS'!B69</f>
        <v>0.45833333333333298</v>
      </c>
      <c r="C394" s="238" t="str">
        <f>'16U BOYS SILVER-20 TEAMS'!C69&amp;""</f>
        <v>EDISON HS</v>
      </c>
      <c r="D394" s="154" t="str">
        <f>'16U BOYS SILVER-20 TEAMS'!D69&amp;""</f>
        <v>16Bag41</v>
      </c>
      <c r="E394" s="154" t="str">
        <f>'16U BOYS SILVER-20 TEAMS'!E69&amp;""</f>
        <v>W#33-LOYOLA WPC</v>
      </c>
      <c r="F394" s="154" t="str">
        <f>'16U BOYS SILVER-20 TEAMS'!F69&amp;""</f>
        <v>8</v>
      </c>
      <c r="G394" s="154" t="str">
        <f>'16U BOYS SILVER-20 TEAMS'!G69&amp;""</f>
        <v>W#35-SET</v>
      </c>
      <c r="H394" s="154" t="str">
        <f>'16U BOYS SILVER-20 TEAMS'!H69&amp;""</f>
        <v>7</v>
      </c>
      <c r="I394" s="154" t="str">
        <f>'16U BOYS SILVER-20 TEAMS'!I69&amp;""</f>
        <v>1st/2ndL</v>
      </c>
      <c r="J394" s="154" t="str">
        <f>'16U BOYS SILVER-20 TEAMS'!J69&amp;""</f>
        <v>16U_BOYS_SILVER</v>
      </c>
      <c r="K394" s="154" t="str">
        <f t="shared" si="11"/>
        <v>202602011100</v>
      </c>
    </row>
    <row r="395" spans="1:11">
      <c r="A395" s="239">
        <f>'16U BOYS SILVER-20 TEAMS'!A56</f>
        <v>46054</v>
      </c>
      <c r="B395" s="238">
        <f>'16U BOYS SILVER-20 TEAMS'!B56</f>
        <v>0.5</v>
      </c>
      <c r="C395" s="238" t="str">
        <f>'16U BOYS SILVER-20 TEAMS'!C56&amp;""</f>
        <v>SONORA HS</v>
      </c>
      <c r="D395" s="154" t="str">
        <f>'16U BOYS SILVER-20 TEAMS'!D56&amp;""</f>
        <v>16Bag29</v>
      </c>
      <c r="E395" s="154" t="str">
        <f>'16U BOYS SILVER-20 TEAMS'!E56&amp;""</f>
        <v>J1(1stD)-CC UNITED WHITE</v>
      </c>
      <c r="F395" s="154" t="str">
        <f>'16U BOYS SILVER-20 TEAMS'!F56&amp;""</f>
        <v>6</v>
      </c>
      <c r="G395" s="154" t="str">
        <f>'16U BOYS SILVER-20 TEAMS'!G56&amp;""</f>
        <v>J2(1stE)-LA JOLLA UNITED WHITE</v>
      </c>
      <c r="H395" s="154" t="str">
        <f>'16U BOYS SILVER-20 TEAMS'!H56&amp;""</f>
        <v>14</v>
      </c>
      <c r="I395" s="154" t="str">
        <f>'16U BOYS SILVER-20 TEAMS'!I56&amp;""</f>
        <v>J bracket</v>
      </c>
      <c r="J395" s="154" t="str">
        <f>'16U BOYS SILVER-20 TEAMS'!J56&amp;""</f>
        <v>16U_BOYS_SILVER</v>
      </c>
      <c r="K395" s="154" t="str">
        <f t="shared" si="11"/>
        <v>202602011200</v>
      </c>
    </row>
    <row r="396" spans="1:11">
      <c r="A396" s="239">
        <f>'16U BOYS SILVER-20 TEAMS'!A70</f>
        <v>46054</v>
      </c>
      <c r="B396" s="238">
        <f>'16U BOYS SILVER-20 TEAMS'!B70</f>
        <v>0.5</v>
      </c>
      <c r="C396" s="238" t="str">
        <f>'16U BOYS SILVER-20 TEAMS'!C70&amp;""</f>
        <v>EDISON HS</v>
      </c>
      <c r="D396" s="154" t="str">
        <f>'16U BOYS SILVER-20 TEAMS'!D70&amp;""</f>
        <v>16Bag39</v>
      </c>
      <c r="E396" s="154" t="str">
        <f>'16U BOYS SILVER-20 TEAMS'!E70&amp;""</f>
        <v>L#33-SAN CLEMENTE BLACK</v>
      </c>
      <c r="F396" s="154" t="str">
        <f>'16U BOYS SILVER-20 TEAMS'!F70&amp;""</f>
        <v>4</v>
      </c>
      <c r="G396" s="154" t="str">
        <f>'16U BOYS SILVER-20 TEAMS'!G70&amp;""</f>
        <v>L#35-LV LEGENDS</v>
      </c>
      <c r="H396" s="154" t="str">
        <f>'16U BOYS SILVER-20 TEAMS'!H70&amp;""</f>
        <v>7</v>
      </c>
      <c r="I396" s="154" t="str">
        <f>'16U BOYS SILVER-20 TEAMS'!I70&amp;""</f>
        <v>3rd/4thL</v>
      </c>
      <c r="J396" s="154" t="str">
        <f>'16U BOYS SILVER-20 TEAMS'!J70&amp;""</f>
        <v>16U_BOYS_SILVER</v>
      </c>
      <c r="K396" s="154" t="str">
        <f t="shared" si="11"/>
        <v>202602011200</v>
      </c>
    </row>
    <row r="397" spans="1:11">
      <c r="A397" s="239">
        <f>'16U BOYS SILVER-20 TEAMS'!A71</f>
        <v>46054</v>
      </c>
      <c r="B397" s="238">
        <f>'16U BOYS SILVER-20 TEAMS'!B71</f>
        <v>0.5</v>
      </c>
      <c r="C397" s="238" t="str">
        <f>'16U BOYS SILVER-20 TEAMS'!C71&amp;""</f>
        <v>WESTMINSTER HS</v>
      </c>
      <c r="D397" s="154" t="str">
        <f>'16U BOYS SILVER-20 TEAMS'!D71&amp;""</f>
        <v>16Bag42</v>
      </c>
      <c r="E397" s="154" t="str">
        <f>'16U BOYS SILVER-20 TEAMS'!E71&amp;""</f>
        <v>L#36-BOA WHITE</v>
      </c>
      <c r="F397" s="154" t="str">
        <f>'16U BOYS SILVER-20 TEAMS'!F71&amp;""</f>
        <v>3</v>
      </c>
      <c r="G397" s="154" t="str">
        <f>'16U BOYS SILVER-20 TEAMS'!G71&amp;""</f>
        <v>L#37-NORTH IRVINE</v>
      </c>
      <c r="H397" s="154" t="str">
        <f>'16U BOYS SILVER-20 TEAMS'!H71&amp;""</f>
        <v>21</v>
      </c>
      <c r="I397" s="154" t="str">
        <f>'16U BOYS SILVER-20 TEAMS'!I71&amp;""</f>
        <v>3rd/4thI</v>
      </c>
      <c r="J397" s="154" t="str">
        <f>'16U BOYS SILVER-20 TEAMS'!J71&amp;""</f>
        <v>16U_BOYS_SILVER</v>
      </c>
      <c r="K397" s="154" t="str">
        <f t="shared" si="11"/>
        <v>202602011200</v>
      </c>
    </row>
    <row r="398" spans="1:11">
      <c r="A398" s="239">
        <f>'16U BOYS SILVER-20 TEAMS'!A57</f>
        <v>46054</v>
      </c>
      <c r="B398" s="238">
        <f>'16U BOYS SILVER-20 TEAMS'!B57</f>
        <v>0.54166666666666696</v>
      </c>
      <c r="C398" s="238" t="str">
        <f>'16U BOYS SILVER-20 TEAMS'!C57&amp;""</f>
        <v>SONORA HS</v>
      </c>
      <c r="D398" s="154" t="str">
        <f>'16U BOYS SILVER-20 TEAMS'!D57&amp;""</f>
        <v>16Bag30</v>
      </c>
      <c r="E398" s="154" t="str">
        <f>'16U BOYS SILVER-20 TEAMS'!E57&amp;""</f>
        <v>K1(2ndD)-SD ECA</v>
      </c>
      <c r="F398" s="154" t="str">
        <f>'16U BOYS SILVER-20 TEAMS'!F57&amp;""</f>
        <v>3</v>
      </c>
      <c r="G398" s="154" t="str">
        <f>'16U BOYS SILVER-20 TEAMS'!G57&amp;""</f>
        <v>K2(2ndE)-STANFORD WHITE</v>
      </c>
      <c r="H398" s="154" t="str">
        <f>'16U BOYS SILVER-20 TEAMS'!H57&amp;""</f>
        <v>15</v>
      </c>
      <c r="I398" s="154" t="str">
        <f>'16U BOYS SILVER-20 TEAMS'!I57&amp;""</f>
        <v>K bracket</v>
      </c>
      <c r="J398" s="154" t="str">
        <f>'16U BOYS SILVER-20 TEAMS'!J57&amp;""</f>
        <v>16U_BOYS_SILVER</v>
      </c>
      <c r="K398" s="154" t="str">
        <f t="shared" si="11"/>
        <v>202602011300</v>
      </c>
    </row>
    <row r="399" spans="1:11">
      <c r="A399" s="239">
        <f>'16U BOYS SILVER-20 TEAMS'!A58</f>
        <v>46054</v>
      </c>
      <c r="B399" s="238">
        <f>'16U BOYS SILVER-20 TEAMS'!B58</f>
        <v>0.58333333333333304</v>
      </c>
      <c r="C399" s="238" t="str">
        <f>'16U BOYS SILVER-20 TEAMS'!C58&amp;""</f>
        <v>SONORA HS</v>
      </c>
      <c r="D399" s="154" t="str">
        <f>'16U BOYS SILVER-20 TEAMS'!D58&amp;""</f>
        <v>16Bag40</v>
      </c>
      <c r="E399" s="154" t="str">
        <f>'16U BOYS SILVER-20 TEAMS'!E58&amp;""</f>
        <v>H1(2ndA)-TRITON GOLD</v>
      </c>
      <c r="F399" s="154" t="str">
        <f>'16U BOYS SILVER-20 TEAMS'!F58&amp;""</f>
        <v>8.3</v>
      </c>
      <c r="G399" s="240" t="str">
        <f>'16U BOYS SILVER-20 TEAMS'!G58&amp;""</f>
        <v>H2(2ndB)-LA JOLLA UNITED SILVER</v>
      </c>
      <c r="H399" s="154" t="str">
        <f>'16U BOYS SILVER-20 TEAMS'!H58&amp;""</f>
        <v>8.4</v>
      </c>
      <c r="I399" s="154" t="str">
        <f>'16U BOYS SILVER-20 TEAMS'!I58&amp;""</f>
        <v>H bracket</v>
      </c>
      <c r="J399" s="154" t="str">
        <f>'16U BOYS SILVER-20 TEAMS'!J58&amp;""</f>
        <v>16U_BOYS_SILVER</v>
      </c>
      <c r="K399" s="154" t="str">
        <f t="shared" si="11"/>
        <v>202602011400</v>
      </c>
    </row>
    <row r="400" spans="1:11">
      <c r="A400" s="239">
        <f>'16U BOYS SILVER-20 TEAMS'!A59</f>
        <v>46054</v>
      </c>
      <c r="B400" s="238">
        <f>'16U BOYS SILVER-20 TEAMS'!B59</f>
        <v>0.625</v>
      </c>
      <c r="C400" s="238" t="str">
        <f>'16U BOYS SILVER-20 TEAMS'!C59&amp;""</f>
        <v>SONORA HS</v>
      </c>
      <c r="D400" s="154" t="str">
        <f>'16U BOYS SILVER-20 TEAMS'!D59&amp;""</f>
        <v>16Bag43</v>
      </c>
      <c r="E400" s="154" t="str">
        <f>'16U BOYS SILVER-20 TEAMS'!E59&amp;""</f>
        <v>3rdG-MID PEN</v>
      </c>
      <c r="F400" s="154" t="str">
        <f>'16U BOYS SILVER-20 TEAMS'!F59&amp;""</f>
        <v>8</v>
      </c>
      <c r="G400" s="154" t="str">
        <f>'16U BOYS SILVER-20 TEAMS'!G59&amp;""</f>
        <v>3rdJ-HIELAND</v>
      </c>
      <c r="H400" s="154" t="str">
        <f>'16U BOYS SILVER-20 TEAMS'!H59&amp;""</f>
        <v>9</v>
      </c>
      <c r="I400" s="154" t="str">
        <f>'16U BOYS SILVER-20 TEAMS'!I59&amp;""</f>
        <v>5th</v>
      </c>
      <c r="J400" s="154" t="str">
        <f>'16U BOYS SILVER-20 TEAMS'!J59&amp;""</f>
        <v>16U_BOYS_SILVER</v>
      </c>
      <c r="K400" s="154" t="str">
        <f t="shared" si="11"/>
        <v>202602011500</v>
      </c>
    </row>
    <row r="401" spans="1:11">
      <c r="A401" s="239">
        <f>'16U BOYS SILVER-20 TEAMS'!A60</f>
        <v>46054</v>
      </c>
      <c r="B401" s="238">
        <f>'16U BOYS SILVER-20 TEAMS'!B60</f>
        <v>0.66666666666666696</v>
      </c>
      <c r="C401" s="238" t="str">
        <f>'16U BOYS SILVER-20 TEAMS'!C60&amp;""</f>
        <v>SONORA HS</v>
      </c>
      <c r="D401" s="154" t="str">
        <f>'16U BOYS SILVER-20 TEAMS'!D60&amp;""</f>
        <v>16Bag31</v>
      </c>
      <c r="E401" s="154" t="str">
        <f>'16U BOYS SILVER-20 TEAMS'!E60&amp;""</f>
        <v>2ndG-SANTA CRUZ</v>
      </c>
      <c r="F401" s="154" t="str">
        <f>'16U BOYS SILVER-20 TEAMS'!F60&amp;""</f>
        <v>5</v>
      </c>
      <c r="G401" s="154" t="str">
        <f>'16U BOYS SILVER-20 TEAMS'!G60&amp;""</f>
        <v>2ndJ-CC UNITED WHITE</v>
      </c>
      <c r="H401" s="154" t="str">
        <f>'16U BOYS SILVER-20 TEAMS'!H60&amp;""</f>
        <v>4</v>
      </c>
      <c r="I401" s="154" t="str">
        <f>'16U BOYS SILVER-20 TEAMS'!I60&amp;""</f>
        <v>3rd</v>
      </c>
      <c r="J401" s="154" t="str">
        <f>'16U BOYS SILVER-20 TEAMS'!J60&amp;""</f>
        <v>16U_BOYS_SILVER</v>
      </c>
      <c r="K401" s="154" t="str">
        <f t="shared" si="11"/>
        <v>202602011600</v>
      </c>
    </row>
    <row r="402" spans="1:11">
      <c r="A402" s="239">
        <f>'16U BOYS SILVER-20 TEAMS'!A61</f>
        <v>46054</v>
      </c>
      <c r="B402" s="238">
        <f>'16U BOYS SILVER-20 TEAMS'!B61</f>
        <v>0.70833333333333304</v>
      </c>
      <c r="C402" s="238" t="str">
        <f>'16U BOYS SILVER-20 TEAMS'!C61&amp;""</f>
        <v>SONORA HS</v>
      </c>
      <c r="D402" s="154" t="str">
        <f>'16U BOYS SILVER-20 TEAMS'!D61&amp;""</f>
        <v>16Bag32</v>
      </c>
      <c r="E402" s="154" t="str">
        <f>'16U BOYS SILVER-20 TEAMS'!E61&amp;""</f>
        <v>1stG-LAMORINDA B</v>
      </c>
      <c r="F402" s="154" t="str">
        <f>'16U BOYS SILVER-20 TEAMS'!F61&amp;""</f>
        <v>12</v>
      </c>
      <c r="G402" s="154" t="str">
        <f>'16U BOYS SILVER-20 TEAMS'!G61&amp;""</f>
        <v xml:space="preserve">1stJ-LA JOLLA UNITED WHITE	</v>
      </c>
      <c r="H402" s="154" t="str">
        <f>'16U BOYS SILVER-20 TEAMS'!H61&amp;""</f>
        <v>15</v>
      </c>
      <c r="I402" s="154" t="str">
        <f>'16U BOYS SILVER-20 TEAMS'!I61&amp;""</f>
        <v>1st</v>
      </c>
      <c r="J402" s="154" t="str">
        <f>'16U BOYS SILVER-20 TEAMS'!J61&amp;""</f>
        <v>16U_BOYS_SILVER</v>
      </c>
      <c r="K402" s="154" t="str">
        <f t="shared" si="11"/>
        <v>202602011700</v>
      </c>
    </row>
    <row r="403" spans="1:11">
      <c r="A403" s="247">
        <f>'16U BOYS GOLD-19 TEAMS'!A24</f>
        <v>46053</v>
      </c>
      <c r="B403" s="246">
        <f>'16U BOYS GOLD-19 TEAMS'!B24</f>
        <v>0.29166666666666669</v>
      </c>
      <c r="C403" s="246" t="str">
        <f>'16U BOYS GOLD-19 TEAMS'!C24&amp;""</f>
        <v>WESTMINSTER HS</v>
      </c>
      <c r="D403" s="151" t="str">
        <f>'16U BOYS GOLD-19 TEAMS'!D24&amp;""</f>
        <v>16Bau01</v>
      </c>
      <c r="E403" s="151" t="str">
        <f>'16U BOYS GOLD-19 TEAMS'!E24&amp;""</f>
        <v>A1-SAN JOSE EXPRESS BLUE</v>
      </c>
      <c r="F403" s="151" t="str">
        <f>'16U BOYS GOLD-19 TEAMS'!F24&amp;""</f>
        <v>11</v>
      </c>
      <c r="G403" s="151" t="str">
        <f>'16U BOYS GOLD-19 TEAMS'!G24&amp;""</f>
        <v>A3-AMERICAN RIVER GOLD</v>
      </c>
      <c r="H403" s="151" t="str">
        <f>'16U BOYS GOLD-19 TEAMS'!H24&amp;""</f>
        <v>7</v>
      </c>
      <c r="I403" s="151" t="str">
        <f>'16U BOYS GOLD-19 TEAMS'!I24&amp;""</f>
        <v>A bracket</v>
      </c>
      <c r="J403" s="151" t="str">
        <f>'16U BOYS GOLD-19 TEAMS'!J24&amp;""</f>
        <v>16U_BOYS_GOLD</v>
      </c>
      <c r="K403" s="151" t="str">
        <f t="shared" ref="K403:K442" si="12">TEXT(DATE(2026, MONTH(A403), DAY(A403)) + TIME(HOUR(B403), MINUTE(B403), 0), "yyyymmddhhmm")</f>
        <v>202601310700</v>
      </c>
    </row>
    <row r="404" spans="1:11">
      <c r="A404" s="244">
        <f>'16U BOYS GOLD-19 TEAMS'!A35</f>
        <v>46053</v>
      </c>
      <c r="B404" s="243">
        <f>'16U BOYS GOLD-19 TEAMS'!B35</f>
        <v>0.29166666666666669</v>
      </c>
      <c r="C404" s="243" t="str">
        <f>'16U BOYS GOLD-19 TEAMS'!C35&amp;""</f>
        <v>EDISON HS</v>
      </c>
      <c r="D404" s="152" t="str">
        <f>'16U BOYS GOLD-19 TEAMS'!D35&amp;""</f>
        <v>16Bau10</v>
      </c>
      <c r="E404" s="245" t="str">
        <f>'16U BOYS GOLD-19 TEAMS'!E35&amp;""</f>
        <v>D2-CC UNITED BLUE</v>
      </c>
      <c r="F404" s="242" t="str">
        <f>'16U BOYS GOLD-19 TEAMS'!F35&amp;""</f>
        <v>15</v>
      </c>
      <c r="G404" s="245" t="str">
        <f>'16U BOYS GOLD-19 TEAMS'!G35&amp;""</f>
        <v>D3-BOA BLUE</v>
      </c>
      <c r="H404" s="242" t="str">
        <f>'16U BOYS GOLD-19 TEAMS'!H35&amp;""</f>
        <v>2</v>
      </c>
      <c r="I404" s="241" t="str">
        <f>'16U BOYS GOLD-19 TEAMS'!I35&amp;""</f>
        <v>D bracket</v>
      </c>
      <c r="J404" s="152" t="str">
        <f>'16U BOYS GOLD-19 TEAMS'!J35&amp;""</f>
        <v>16U_BOYS_GOLD</v>
      </c>
      <c r="K404" s="152" t="str">
        <f t="shared" si="12"/>
        <v>202601310700</v>
      </c>
    </row>
    <row r="405" spans="1:11">
      <c r="A405" s="247">
        <f>'16U BOYS GOLD-19 TEAMS'!A25</f>
        <v>46053</v>
      </c>
      <c r="B405" s="246">
        <f>'16U BOYS GOLD-19 TEAMS'!B25</f>
        <v>0.33333333333333298</v>
      </c>
      <c r="C405" s="246" t="str">
        <f>'16U BOYS GOLD-19 TEAMS'!C25&amp;""</f>
        <v>WESTMINSTER HS</v>
      </c>
      <c r="D405" s="151" t="str">
        <f>'16U BOYS GOLD-19 TEAMS'!D25&amp;""</f>
        <v>16Bau02</v>
      </c>
      <c r="E405" s="151" t="str">
        <f>'16U BOYS GOLD-19 TEAMS'!E25&amp;""</f>
        <v>B1-CMAC</v>
      </c>
      <c r="F405" s="151" t="str">
        <f>'16U BOYS GOLD-19 TEAMS'!F25&amp;""</f>
        <v>6</v>
      </c>
      <c r="G405" s="151" t="str">
        <f>'16U BOYS GOLD-19 TEAMS'!G25&amp;""</f>
        <v>B3-SOUTH COAST WHITE (B)</v>
      </c>
      <c r="H405" s="151" t="str">
        <f>'16U BOYS GOLD-19 TEAMS'!H25&amp;""</f>
        <v>14</v>
      </c>
      <c r="I405" s="151" t="str">
        <f>'16U BOYS GOLD-19 TEAMS'!I25&amp;""</f>
        <v>B bracket</v>
      </c>
      <c r="J405" s="151" t="str">
        <f>'16U BOYS GOLD-19 TEAMS'!J25&amp;""</f>
        <v>16U_BOYS_GOLD</v>
      </c>
      <c r="K405" s="151" t="str">
        <f t="shared" si="12"/>
        <v>202601310800</v>
      </c>
    </row>
    <row r="406" spans="1:11">
      <c r="A406" s="244">
        <f>'16U BOYS GOLD-19 TEAMS'!A36</f>
        <v>46053</v>
      </c>
      <c r="B406" s="243">
        <f>'16U BOYS GOLD-19 TEAMS'!B36</f>
        <v>0.33333333333333298</v>
      </c>
      <c r="C406" s="243" t="str">
        <f>'16U BOYS GOLD-19 TEAMS'!C36&amp;""</f>
        <v>EDISON HS</v>
      </c>
      <c r="D406" s="152" t="str">
        <f>'16U BOYS GOLD-19 TEAMS'!D36&amp;""</f>
        <v>16Bau11</v>
      </c>
      <c r="E406" s="243" t="str">
        <f>'16U BOYS GOLD-19 TEAMS'!E36&amp;""</f>
        <v>E1-CT PREMIER</v>
      </c>
      <c r="F406" s="241" t="str">
        <f>'16U BOYS GOLD-19 TEAMS'!F36&amp;""</f>
        <v>8</v>
      </c>
      <c r="G406" s="243" t="str">
        <f>'16U BOYS GOLD-19 TEAMS'!G36&amp;""</f>
        <v>E3-STANFORD BLACK</v>
      </c>
      <c r="H406" s="242" t="str">
        <f>'16U BOYS GOLD-19 TEAMS'!H36&amp;""</f>
        <v>6</v>
      </c>
      <c r="I406" s="241" t="str">
        <f>'16U BOYS GOLD-19 TEAMS'!I36&amp;""</f>
        <v>E bracket</v>
      </c>
      <c r="J406" s="152" t="str">
        <f>'16U BOYS GOLD-19 TEAMS'!J36&amp;""</f>
        <v>16U_BOYS_GOLD</v>
      </c>
      <c r="K406" s="152" t="str">
        <f t="shared" si="12"/>
        <v>202601310800</v>
      </c>
    </row>
    <row r="407" spans="1:11">
      <c r="A407" s="247">
        <f>'16U BOYS GOLD-19 TEAMS'!A26</f>
        <v>46053</v>
      </c>
      <c r="B407" s="246">
        <f>'16U BOYS GOLD-19 TEAMS'!B26</f>
        <v>0.375</v>
      </c>
      <c r="C407" s="246" t="str">
        <f>'16U BOYS GOLD-19 TEAMS'!C26&amp;""</f>
        <v>WESTMINSTER HS</v>
      </c>
      <c r="D407" s="151" t="str">
        <f>'16U BOYS GOLD-19 TEAMS'!D26&amp;""</f>
        <v>16Bau03</v>
      </c>
      <c r="E407" s="151" t="str">
        <f>'16U BOYS GOLD-19 TEAMS'!E26&amp;""</f>
        <v>C1-ST LOUIS AREA POLO</v>
      </c>
      <c r="F407" s="151" t="str">
        <f>'16U BOYS GOLD-19 TEAMS'!F26&amp;""</f>
        <v>5</v>
      </c>
      <c r="G407" s="151" t="str">
        <f>'16U BOYS GOLD-19 TEAMS'!G26&amp;""</f>
        <v>C3-TROJAN GOLD</v>
      </c>
      <c r="H407" s="151" t="str">
        <f>'16U BOYS GOLD-19 TEAMS'!H26&amp;""</f>
        <v>6</v>
      </c>
      <c r="I407" s="151" t="str">
        <f>'16U BOYS GOLD-19 TEAMS'!I26&amp;""</f>
        <v>C bracket</v>
      </c>
      <c r="J407" s="151" t="str">
        <f>'16U BOYS GOLD-19 TEAMS'!J26&amp;""</f>
        <v>16U_BOYS_GOLD</v>
      </c>
      <c r="K407" s="151" t="str">
        <f t="shared" si="12"/>
        <v>202601310900</v>
      </c>
    </row>
    <row r="408" spans="1:11">
      <c r="A408" s="244">
        <f>'16U BOYS GOLD-19 TEAMS'!A37</f>
        <v>46053</v>
      </c>
      <c r="B408" s="243">
        <f>'16U BOYS GOLD-19 TEAMS'!B37</f>
        <v>0.375</v>
      </c>
      <c r="C408" s="243" t="str">
        <f>'16U BOYS GOLD-19 TEAMS'!C37&amp;""</f>
        <v>EDISON HS</v>
      </c>
      <c r="D408" s="152" t="str">
        <f>'16U BOYS GOLD-19 TEAMS'!D37&amp;""</f>
        <v>16Bau12</v>
      </c>
      <c r="E408" s="245" t="str">
        <f>'16U BOYS GOLD-19 TEAMS'!E37&amp;""</f>
        <v>F1-BIG VALLEY</v>
      </c>
      <c r="F408" s="242" t="str">
        <f>'16U BOYS GOLD-19 TEAMS'!F37&amp;""</f>
        <v>4</v>
      </c>
      <c r="G408" s="245" t="str">
        <f>'16U BOYS GOLD-19 TEAMS'!G37&amp;""</f>
        <v>F4-680 BLUE</v>
      </c>
      <c r="H408" s="242" t="str">
        <f>'16U BOYS GOLD-19 TEAMS'!H37&amp;""</f>
        <v>14</v>
      </c>
      <c r="I408" s="241" t="str">
        <f>'16U BOYS GOLD-19 TEAMS'!I37&amp;""</f>
        <v>F bracket</v>
      </c>
      <c r="J408" s="152" t="str">
        <f>'16U BOYS GOLD-19 TEAMS'!J37&amp;""</f>
        <v>16U_BOYS_GOLD</v>
      </c>
      <c r="K408" s="152" t="str">
        <f t="shared" si="12"/>
        <v>202601310900</v>
      </c>
    </row>
    <row r="409" spans="1:11">
      <c r="A409" s="247">
        <f>'16U BOYS GOLD-19 TEAMS'!A27</f>
        <v>46053</v>
      </c>
      <c r="B409" s="246">
        <f>'16U BOYS GOLD-19 TEAMS'!B27</f>
        <v>0.41666666666666702</v>
      </c>
      <c r="C409" s="246" t="str">
        <f>'16U BOYS GOLD-19 TEAMS'!C27&amp;""</f>
        <v>WESTMINSTER HS</v>
      </c>
      <c r="D409" s="151" t="str">
        <f>'16U BOYS GOLD-19 TEAMS'!D27&amp;""</f>
        <v>16Bau04</v>
      </c>
      <c r="E409" s="151" t="str">
        <f>'16U BOYS GOLD-19 TEAMS'!E27&amp;""</f>
        <v>A2-CHANNEL ISLANDS UNITED BLUE</v>
      </c>
      <c r="F409" s="151" t="str">
        <f>'16U BOYS GOLD-19 TEAMS'!F27&amp;""</f>
        <v>8.4</v>
      </c>
      <c r="G409" s="151" t="str">
        <f>'16U BOYS GOLD-19 TEAMS'!G27&amp;""</f>
        <v>A3-AMERICAN RIVER GOLD</v>
      </c>
      <c r="H409" s="151" t="str">
        <f>'16U BOYS GOLD-19 TEAMS'!H27&amp;""</f>
        <v>8.1</v>
      </c>
      <c r="I409" s="151" t="str">
        <f>'16U BOYS GOLD-19 TEAMS'!I27&amp;""</f>
        <v>A bracket</v>
      </c>
      <c r="J409" s="151" t="str">
        <f>'16U BOYS GOLD-19 TEAMS'!J27&amp;""</f>
        <v>16U_BOYS_GOLD</v>
      </c>
      <c r="K409" s="151" t="str">
        <f t="shared" si="12"/>
        <v>202601311000</v>
      </c>
    </row>
    <row r="410" spans="1:11">
      <c r="A410" s="244">
        <f>'16U BOYS GOLD-19 TEAMS'!A38</f>
        <v>46053</v>
      </c>
      <c r="B410" s="243">
        <f>'16U BOYS GOLD-19 TEAMS'!B38</f>
        <v>0.41666666666666702</v>
      </c>
      <c r="C410" s="243" t="str">
        <f>'16U BOYS GOLD-19 TEAMS'!C38&amp;""</f>
        <v>EDISON HS</v>
      </c>
      <c r="D410" s="152" t="str">
        <f>'16U BOYS GOLD-19 TEAMS'!D38&amp;""</f>
        <v>16Bau13</v>
      </c>
      <c r="E410" s="243" t="str">
        <f>'16U BOYS GOLD-19 TEAMS'!E38&amp;""</f>
        <v>F2-LA JOLLA UNITED GOLD</v>
      </c>
      <c r="F410" s="241" t="str">
        <f>'16U BOYS GOLD-19 TEAMS'!F38&amp;""</f>
        <v>8.6</v>
      </c>
      <c r="G410" s="243" t="str">
        <f>'16U BOYS GOLD-19 TEAMS'!G38&amp;""</f>
        <v>F3-VANGUARD SILVER</v>
      </c>
      <c r="H410" s="242" t="str">
        <f>'16U BOYS GOLD-19 TEAMS'!H38&amp;""</f>
        <v>8.5</v>
      </c>
      <c r="I410" s="241" t="str">
        <f>'16U BOYS GOLD-19 TEAMS'!I38&amp;""</f>
        <v>F bracket</v>
      </c>
      <c r="J410" s="152" t="str">
        <f>'16U BOYS GOLD-19 TEAMS'!J38&amp;""</f>
        <v>16U_BOYS_GOLD</v>
      </c>
      <c r="K410" s="152" t="str">
        <f t="shared" si="12"/>
        <v>202601311000</v>
      </c>
    </row>
    <row r="411" spans="1:11">
      <c r="A411" s="247">
        <f>'16U BOYS GOLD-19 TEAMS'!A28</f>
        <v>46053</v>
      </c>
      <c r="B411" s="246">
        <f>'16U BOYS GOLD-19 TEAMS'!B28</f>
        <v>0.45833333333333298</v>
      </c>
      <c r="C411" s="246" t="str">
        <f>'16U BOYS GOLD-19 TEAMS'!C28&amp;""</f>
        <v>WESTMINSTER HS</v>
      </c>
      <c r="D411" s="151" t="str">
        <f>'16U BOYS GOLD-19 TEAMS'!D28&amp;""</f>
        <v>16Bau05</v>
      </c>
      <c r="E411" s="151" t="str">
        <f>'16U BOYS GOLD-19 TEAMS'!E28&amp;""</f>
        <v>B2-DAVIS BLUE</v>
      </c>
      <c r="F411" s="151" t="str">
        <f>'16U BOYS GOLD-19 TEAMS'!F28&amp;""</f>
        <v>12</v>
      </c>
      <c r="G411" s="151" t="str">
        <f>'16U BOYS GOLD-19 TEAMS'!G28&amp;""</f>
        <v>B3-SOUTH COAST WHITE (B)</v>
      </c>
      <c r="H411" s="151" t="str">
        <f>'16U BOYS GOLD-19 TEAMS'!H28&amp;""</f>
        <v>18</v>
      </c>
      <c r="I411" s="151" t="str">
        <f>'16U BOYS GOLD-19 TEAMS'!I28&amp;""</f>
        <v>B bracket</v>
      </c>
      <c r="J411" s="151" t="str">
        <f>'16U BOYS GOLD-19 TEAMS'!J28&amp;""</f>
        <v>16U_BOYS_GOLD</v>
      </c>
      <c r="K411" s="151" t="str">
        <f t="shared" si="12"/>
        <v>202601311100</v>
      </c>
    </row>
    <row r="412" spans="1:11">
      <c r="A412" s="244">
        <f>'16U BOYS GOLD-19 TEAMS'!A39</f>
        <v>46053</v>
      </c>
      <c r="B412" s="243">
        <f>'16U BOYS GOLD-19 TEAMS'!B39</f>
        <v>0.45833333333333298</v>
      </c>
      <c r="C412" s="243" t="str">
        <f>'16U BOYS GOLD-19 TEAMS'!C39&amp;""</f>
        <v>EDISON HS</v>
      </c>
      <c r="D412" s="152" t="str">
        <f>'16U BOYS GOLD-19 TEAMS'!D39&amp;""</f>
        <v>16Bau14</v>
      </c>
      <c r="E412" s="279" t="str">
        <f>'16U BOYS GOLD-19 TEAMS'!E39&amp;""</f>
        <v>D1-POWAY VALLEY BLACK</v>
      </c>
      <c r="F412" s="242" t="str">
        <f>'16U BOYS GOLD-19 TEAMS'!F39&amp;""</f>
        <v>17</v>
      </c>
      <c r="G412" s="245" t="str">
        <f>'16U BOYS GOLD-19 TEAMS'!G39&amp;""</f>
        <v>D3-BOA BLUE</v>
      </c>
      <c r="H412" s="242" t="str">
        <f>'16U BOYS GOLD-19 TEAMS'!H39&amp;""</f>
        <v>4</v>
      </c>
      <c r="I412" s="241" t="str">
        <f>'16U BOYS GOLD-19 TEAMS'!I39&amp;""</f>
        <v>D bracket</v>
      </c>
      <c r="J412" s="152" t="str">
        <f>'16U BOYS GOLD-19 TEAMS'!J39&amp;""</f>
        <v>16U_BOYS_GOLD</v>
      </c>
      <c r="K412" s="152" t="str">
        <f t="shared" si="12"/>
        <v>202601311100</v>
      </c>
    </row>
    <row r="413" spans="1:11">
      <c r="A413" s="247">
        <f>'16U BOYS GOLD-19 TEAMS'!A29</f>
        <v>46053</v>
      </c>
      <c r="B413" s="246">
        <f>'16U BOYS GOLD-19 TEAMS'!B29</f>
        <v>0.5</v>
      </c>
      <c r="C413" s="246" t="str">
        <f>'16U BOYS GOLD-19 TEAMS'!C29&amp;""</f>
        <v>WESTMINSTER HS</v>
      </c>
      <c r="D413" s="151" t="str">
        <f>'16U BOYS GOLD-19 TEAMS'!D29&amp;""</f>
        <v>16Bau06</v>
      </c>
      <c r="E413" s="151" t="str">
        <f>'16U BOYS GOLD-19 TEAMS'!E29&amp;""</f>
        <v>C2-CAL REPUBLIC</v>
      </c>
      <c r="F413" s="151" t="str">
        <f>'16U BOYS GOLD-19 TEAMS'!F29&amp;""</f>
        <v>12</v>
      </c>
      <c r="G413" s="151" t="str">
        <f>'16U BOYS GOLD-19 TEAMS'!G29&amp;""</f>
        <v>C3-TROJAN GOLD</v>
      </c>
      <c r="H413" s="151" t="str">
        <f>'16U BOYS GOLD-19 TEAMS'!H29&amp;""</f>
        <v>8</v>
      </c>
      <c r="I413" s="151" t="str">
        <f>'16U BOYS GOLD-19 TEAMS'!I29&amp;""</f>
        <v>C bracket</v>
      </c>
      <c r="J413" s="151" t="str">
        <f>'16U BOYS GOLD-19 TEAMS'!J29&amp;""</f>
        <v>16U_BOYS_GOLD</v>
      </c>
      <c r="K413" s="151" t="str">
        <f t="shared" si="12"/>
        <v>202601311200</v>
      </c>
    </row>
    <row r="414" spans="1:11">
      <c r="A414" s="244">
        <f>'16U BOYS GOLD-19 TEAMS'!A40</f>
        <v>46053</v>
      </c>
      <c r="B414" s="243">
        <f>'16U BOYS GOLD-19 TEAMS'!B40</f>
        <v>0.5</v>
      </c>
      <c r="C414" s="243" t="str">
        <f>'16U BOYS GOLD-19 TEAMS'!C40&amp;""</f>
        <v>EDISON HS</v>
      </c>
      <c r="D414" s="152" t="str">
        <f>'16U BOYS GOLD-19 TEAMS'!D40&amp;""</f>
        <v>16Bau15</v>
      </c>
      <c r="E414" s="243" t="str">
        <f>'16U BOYS GOLD-19 TEAMS'!E40&amp;""</f>
        <v>E2-ORANGE COUNTY WPC BLUE</v>
      </c>
      <c r="F414" s="241" t="str">
        <f>'16U BOYS GOLD-19 TEAMS'!F40&amp;""</f>
        <v>2</v>
      </c>
      <c r="G414" s="243" t="str">
        <f>'16U BOYS GOLD-19 TEAMS'!G40&amp;""</f>
        <v>E3-STANFORD BLACK</v>
      </c>
      <c r="H414" s="242" t="str">
        <f>'16U BOYS GOLD-19 TEAMS'!H40&amp;""</f>
        <v>14</v>
      </c>
      <c r="I414" s="241" t="str">
        <f>'16U BOYS GOLD-19 TEAMS'!I40&amp;""</f>
        <v>E bracket</v>
      </c>
      <c r="J414" s="152" t="str">
        <f>'16U BOYS GOLD-19 TEAMS'!J40&amp;""</f>
        <v>16U_BOYS_GOLD</v>
      </c>
      <c r="K414" s="152" t="str">
        <f t="shared" si="12"/>
        <v>202601311200</v>
      </c>
    </row>
    <row r="415" spans="1:11">
      <c r="A415" s="244">
        <f>'16U BOYS GOLD-19 TEAMS'!A41</f>
        <v>46053</v>
      </c>
      <c r="B415" s="243">
        <f>'16U BOYS GOLD-19 TEAMS'!B41</f>
        <v>0.54166666666666696</v>
      </c>
      <c r="C415" s="243" t="str">
        <f>'16U BOYS GOLD-19 TEAMS'!C41&amp;""</f>
        <v>EDISON HS</v>
      </c>
      <c r="D415" s="152" t="str">
        <f>'16U BOYS GOLD-19 TEAMS'!D41&amp;""</f>
        <v>16Bau16</v>
      </c>
      <c r="E415" s="245" t="str">
        <f>'16U BOYS GOLD-19 TEAMS'!E41&amp;""</f>
        <v>L#12-BIG VALLEY</v>
      </c>
      <c r="F415" s="242" t="str">
        <f>'16U BOYS GOLD-19 TEAMS'!F41&amp;""</f>
        <v>5</v>
      </c>
      <c r="G415" s="245" t="str">
        <f>'16U BOYS GOLD-19 TEAMS'!G41&amp;""</f>
        <v>L#13-VANGUARD SILVER</v>
      </c>
      <c r="H415" s="242" t="str">
        <f>'16U BOYS GOLD-19 TEAMS'!H41&amp;""</f>
        <v>23</v>
      </c>
      <c r="I415" s="241" t="str">
        <f>'16U BOYS GOLD-19 TEAMS'!I41&amp;""</f>
        <v>3rd/4thF</v>
      </c>
      <c r="J415" s="152" t="str">
        <f>'16U BOYS GOLD-19 TEAMS'!J41&amp;""</f>
        <v>16U_BOYS_GOLD</v>
      </c>
      <c r="K415" s="152" t="str">
        <f t="shared" si="12"/>
        <v>202601311300</v>
      </c>
    </row>
    <row r="416" spans="1:11">
      <c r="A416" s="244">
        <f>'16U BOYS GOLD-19 TEAMS'!A42</f>
        <v>46053</v>
      </c>
      <c r="B416" s="243">
        <f>'16U BOYS GOLD-19 TEAMS'!B42</f>
        <v>0.58333333333333304</v>
      </c>
      <c r="C416" s="243" t="str">
        <f>'16U BOYS GOLD-19 TEAMS'!C42&amp;""</f>
        <v>EDISON HS</v>
      </c>
      <c r="D416" s="152" t="str">
        <f>'16U BOYS GOLD-19 TEAMS'!D42&amp;""</f>
        <v>16Bau17</v>
      </c>
      <c r="E416" s="243" t="str">
        <f>'16U BOYS GOLD-19 TEAMS'!E42&amp;""</f>
        <v>W#12-680 BLUE</v>
      </c>
      <c r="F416" s="241" t="str">
        <f>'16U BOYS GOLD-19 TEAMS'!F42&amp;""</f>
        <v>10</v>
      </c>
      <c r="G416" s="243" t="str">
        <f>'16U BOYS GOLD-19 TEAMS'!G42&amp;""</f>
        <v>W#13-LA JOLLA UNITED GOLD</v>
      </c>
      <c r="H416" s="242" t="str">
        <f>'16U BOYS GOLD-19 TEAMS'!H42&amp;""</f>
        <v>11</v>
      </c>
      <c r="I416" s="241" t="str">
        <f>'16U BOYS GOLD-19 TEAMS'!I42&amp;""</f>
        <v>1st/2ndF</v>
      </c>
      <c r="J416" s="152" t="str">
        <f>'16U BOYS GOLD-19 TEAMS'!J42&amp;""</f>
        <v>16U_BOYS_GOLD</v>
      </c>
      <c r="K416" s="152" t="str">
        <f t="shared" si="12"/>
        <v>202601311400</v>
      </c>
    </row>
    <row r="417" spans="1:11">
      <c r="A417" s="247">
        <f>'16U BOYS GOLD-19 TEAMS'!A31</f>
        <v>46053</v>
      </c>
      <c r="B417" s="246">
        <f>'16U BOYS GOLD-19 TEAMS'!B31</f>
        <v>0.625</v>
      </c>
      <c r="C417" s="246" t="str">
        <f>'16U BOYS GOLD-19 TEAMS'!C31&amp;""</f>
        <v>WESTMINSTER HS</v>
      </c>
      <c r="D417" s="151" t="str">
        <f>'16U BOYS GOLD-19 TEAMS'!D31&amp;""</f>
        <v>16Bau07</v>
      </c>
      <c r="E417" s="151" t="str">
        <f>'16U BOYS GOLD-19 TEAMS'!E31&amp;""</f>
        <v>A1-SAN JOSE EXPRESS BLUE</v>
      </c>
      <c r="F417" s="151" t="str">
        <f>'16U BOYS GOLD-19 TEAMS'!F31&amp;""</f>
        <v>20</v>
      </c>
      <c r="G417" s="151" t="str">
        <f>'16U BOYS GOLD-19 TEAMS'!G31&amp;""</f>
        <v>A2-CHANNEL ISLANDS UNITED BLUE</v>
      </c>
      <c r="H417" s="151" t="str">
        <f>'16U BOYS GOLD-19 TEAMS'!H31&amp;""</f>
        <v>3</v>
      </c>
      <c r="I417" s="151" t="str">
        <f>'16U BOYS GOLD-19 TEAMS'!I31&amp;""</f>
        <v>A bracket</v>
      </c>
      <c r="J417" s="151" t="str">
        <f>'16U BOYS GOLD-19 TEAMS'!J31&amp;""</f>
        <v>16U_BOYS_GOLD</v>
      </c>
      <c r="K417" s="151" t="str">
        <f t="shared" si="12"/>
        <v>202601311500</v>
      </c>
    </row>
    <row r="418" spans="1:11">
      <c r="A418" s="244">
        <f>'16U BOYS GOLD-19 TEAMS'!A43</f>
        <v>46053</v>
      </c>
      <c r="B418" s="243">
        <f>'16U BOYS GOLD-19 TEAMS'!B43</f>
        <v>0.625</v>
      </c>
      <c r="C418" s="243" t="str">
        <f>'16U BOYS GOLD-19 TEAMS'!C43&amp;""</f>
        <v>EDISON HS</v>
      </c>
      <c r="D418" s="152" t="str">
        <f>'16U BOYS GOLD-19 TEAMS'!D43&amp;""</f>
        <v>16Bau18</v>
      </c>
      <c r="E418" s="279" t="str">
        <f>'16U BOYS GOLD-19 TEAMS'!E43&amp;""</f>
        <v>D1-POWAY VALLEY BLACK</v>
      </c>
      <c r="F418" s="242" t="str">
        <f>'16U BOYS GOLD-19 TEAMS'!F43&amp;""</f>
        <v>8</v>
      </c>
      <c r="G418" s="245" t="str">
        <f>'16U BOYS GOLD-19 TEAMS'!G43&amp;""</f>
        <v>D2-CC UNITED BLUE</v>
      </c>
      <c r="H418" s="242" t="str">
        <f>'16U BOYS GOLD-19 TEAMS'!H43&amp;""</f>
        <v>15</v>
      </c>
      <c r="I418" s="241" t="str">
        <f>'16U BOYS GOLD-19 TEAMS'!I43&amp;""</f>
        <v>D bracket</v>
      </c>
      <c r="J418" s="152" t="str">
        <f>'16U BOYS GOLD-19 TEAMS'!J43&amp;""</f>
        <v>16U_BOYS_GOLD</v>
      </c>
      <c r="K418" s="152" t="str">
        <f t="shared" si="12"/>
        <v>202601311500</v>
      </c>
    </row>
    <row r="419" spans="1:11">
      <c r="A419" s="247">
        <f>'16U BOYS GOLD-19 TEAMS'!A32</f>
        <v>46053</v>
      </c>
      <c r="B419" s="246">
        <f>'16U BOYS GOLD-19 TEAMS'!B32</f>
        <v>0.66666666666666696</v>
      </c>
      <c r="C419" s="246" t="str">
        <f>'16U BOYS GOLD-19 TEAMS'!C32&amp;""</f>
        <v>WESTMINSTER HS</v>
      </c>
      <c r="D419" s="151" t="str">
        <f>'16U BOYS GOLD-19 TEAMS'!D32&amp;""</f>
        <v>16Bau08</v>
      </c>
      <c r="E419" s="151" t="str">
        <f>'16U BOYS GOLD-19 TEAMS'!E32&amp;""</f>
        <v>B1-CMAC</v>
      </c>
      <c r="F419" s="151" t="str">
        <f>'16U BOYS GOLD-19 TEAMS'!F32&amp;""</f>
        <v>11</v>
      </c>
      <c r="G419" s="151" t="str">
        <f>'16U BOYS GOLD-19 TEAMS'!G32&amp;""</f>
        <v>B2-DAVIS BLUE</v>
      </c>
      <c r="H419" s="151" t="str">
        <f>'16U BOYS GOLD-19 TEAMS'!H32&amp;""</f>
        <v>13</v>
      </c>
      <c r="I419" s="151" t="str">
        <f>'16U BOYS GOLD-19 TEAMS'!I32&amp;""</f>
        <v>B bracket</v>
      </c>
      <c r="J419" s="151" t="str">
        <f>'16U BOYS GOLD-19 TEAMS'!J32&amp;""</f>
        <v>16U_BOYS_GOLD</v>
      </c>
      <c r="K419" s="151" t="str">
        <f t="shared" si="12"/>
        <v>202601311600</v>
      </c>
    </row>
    <row r="420" spans="1:11">
      <c r="A420" s="244">
        <f>'16U BOYS GOLD-19 TEAMS'!A44</f>
        <v>46053</v>
      </c>
      <c r="B420" s="243">
        <f>'16U BOYS GOLD-19 TEAMS'!B44</f>
        <v>0.66666666666666696</v>
      </c>
      <c r="C420" s="243" t="str">
        <f>'16U BOYS GOLD-19 TEAMS'!C44&amp;""</f>
        <v>EDISON HS</v>
      </c>
      <c r="D420" s="152" t="str">
        <f>'16U BOYS GOLD-19 TEAMS'!D44&amp;""</f>
        <v>16Bau19</v>
      </c>
      <c r="E420" s="243" t="str">
        <f>'16U BOYS GOLD-19 TEAMS'!E44&amp;""</f>
        <v>E1-CT PREMIER</v>
      </c>
      <c r="F420" s="241" t="str">
        <f>'16U BOYS GOLD-19 TEAMS'!F44&amp;""</f>
        <v>16</v>
      </c>
      <c r="G420" s="243" t="str">
        <f>'16U BOYS GOLD-19 TEAMS'!G44&amp;""</f>
        <v>E2-ORANGE COUNTY WPC BLUE</v>
      </c>
      <c r="H420" s="242" t="str">
        <f>'16U BOYS GOLD-19 TEAMS'!H44&amp;""</f>
        <v>3</v>
      </c>
      <c r="I420" s="241" t="str">
        <f>'16U BOYS GOLD-19 TEAMS'!I44&amp;""</f>
        <v>E bracket</v>
      </c>
      <c r="J420" s="152" t="str">
        <f>'16U BOYS GOLD-19 TEAMS'!J44&amp;""</f>
        <v>16U_BOYS_GOLD</v>
      </c>
      <c r="K420" s="152" t="str">
        <f t="shared" si="12"/>
        <v>202601311600</v>
      </c>
    </row>
    <row r="421" spans="1:11">
      <c r="A421" s="247">
        <f>'16U BOYS GOLD-19 TEAMS'!A33</f>
        <v>46053</v>
      </c>
      <c r="B421" s="246">
        <f>'16U BOYS GOLD-19 TEAMS'!B33</f>
        <v>0.70833333333333304</v>
      </c>
      <c r="C421" s="246" t="str">
        <f>'16U BOYS GOLD-19 TEAMS'!C33&amp;""</f>
        <v>WESTMINSTER HS</v>
      </c>
      <c r="D421" s="151" t="str">
        <f>'16U BOYS GOLD-19 TEAMS'!D33&amp;""</f>
        <v>16Bau09</v>
      </c>
      <c r="E421" s="151" t="str">
        <f>'16U BOYS GOLD-19 TEAMS'!E33&amp;""</f>
        <v>C1-ST LOUIS AREA POLO</v>
      </c>
      <c r="F421" s="151" t="str">
        <f>'16U BOYS GOLD-19 TEAMS'!F33&amp;""</f>
        <v>10</v>
      </c>
      <c r="G421" s="151" t="str">
        <f>'16U BOYS GOLD-19 TEAMS'!G33&amp;""</f>
        <v>C2-CAL REPUBLIC</v>
      </c>
      <c r="H421" s="151" t="str">
        <f>'16U BOYS GOLD-19 TEAMS'!H33&amp;""</f>
        <v>11</v>
      </c>
      <c r="I421" s="151" t="str">
        <f>'16U BOYS GOLD-19 TEAMS'!I33&amp;""</f>
        <v>C bracket</v>
      </c>
      <c r="J421" s="151" t="str">
        <f>'16U BOYS GOLD-19 TEAMS'!J33&amp;""</f>
        <v>16U_BOYS_GOLD</v>
      </c>
      <c r="K421" s="151" t="str">
        <f t="shared" si="12"/>
        <v>202601311700</v>
      </c>
    </row>
    <row r="422" spans="1:11">
      <c r="A422" s="247">
        <f>'16U BOYS GOLD-19 TEAMS'!A48</f>
        <v>46054</v>
      </c>
      <c r="B422" s="246">
        <f>'16U BOYS GOLD-19 TEAMS'!B48</f>
        <v>0.29166666666666669</v>
      </c>
      <c r="C422" s="246" t="str">
        <f>'16U BOYS GOLD-19 TEAMS'!C48&amp;""</f>
        <v>SAN JUAN HILLS HS</v>
      </c>
      <c r="D422" s="151" t="str">
        <f>'16U BOYS GOLD-19 TEAMS'!D48&amp;""</f>
        <v>16Bau20</v>
      </c>
      <c r="E422" s="151" t="str">
        <f>'16U BOYS GOLD-19 TEAMS'!E48&amp;""</f>
        <v>G1(1stA)-SAN JOSE EXPRESS BLUE</v>
      </c>
      <c r="F422" s="151" t="str">
        <f>'16U BOYS GOLD-19 TEAMS'!F48&amp;""</f>
        <v>10</v>
      </c>
      <c r="G422" s="151" t="str">
        <f>'16U BOYS GOLD-19 TEAMS'!G48&amp;""</f>
        <v>G3(1stC)-CAL REPUBLIC</v>
      </c>
      <c r="H422" s="151" t="str">
        <f>'16U BOYS GOLD-19 TEAMS'!H48&amp;""</f>
        <v>4</v>
      </c>
      <c r="I422" s="151" t="str">
        <f>'16U BOYS GOLD-19 TEAMS'!I48&amp;""</f>
        <v>G bracket G1,G3</v>
      </c>
      <c r="J422" s="151" t="str">
        <f>'16U BOYS GOLD-19 TEAMS'!J48&amp;""</f>
        <v>16U_BOYS_GOLD</v>
      </c>
      <c r="K422" s="151" t="str">
        <f t="shared" si="12"/>
        <v>202602010700</v>
      </c>
    </row>
    <row r="423" spans="1:11">
      <c r="A423" s="244">
        <f>'16U BOYS GOLD-19 TEAMS'!A60</f>
        <v>46054</v>
      </c>
      <c r="B423" s="243">
        <f>'16U BOYS GOLD-19 TEAMS'!B60</f>
        <v>0.29166666666666669</v>
      </c>
      <c r="C423" s="243" t="str">
        <f>'16U BOYS GOLD-19 TEAMS'!C60&amp;""</f>
        <v>SADDLEBACK COLLEGE</v>
      </c>
      <c r="D423" s="152" t="str">
        <f>'16U BOYS GOLD-19 TEAMS'!D60&amp;""</f>
        <v>16Bau31</v>
      </c>
      <c r="E423" s="245" t="str">
        <f>'16U BOYS GOLD-19 TEAMS'!E60&amp;""</f>
        <v>J1(2ndD)-POWAY VALLEY BLACK</v>
      </c>
      <c r="F423" s="242" t="str">
        <f>'16U BOYS GOLD-19 TEAMS'!F60&amp;""</f>
        <v>6</v>
      </c>
      <c r="G423" s="245" t="str">
        <f>'16U BOYS GOLD-19 TEAMS'!G60&amp;""</f>
        <v>J3(2ndF)-680 BLUE</v>
      </c>
      <c r="H423" s="242" t="str">
        <f>'16U BOYS GOLD-19 TEAMS'!H60&amp;""</f>
        <v>12</v>
      </c>
      <c r="I423" s="241" t="str">
        <f>'16U BOYS GOLD-19 TEAMS'!I60&amp;""</f>
        <v>J bracket J1,J3</v>
      </c>
      <c r="J423" s="152" t="str">
        <f>'16U BOYS GOLD-19 TEAMS'!J60&amp;""</f>
        <v>16U_BOYS_GOLD</v>
      </c>
      <c r="K423" s="152" t="str">
        <f t="shared" si="12"/>
        <v>202602010700</v>
      </c>
    </row>
    <row r="424" spans="1:11">
      <c r="A424" s="247">
        <f>'16U BOYS GOLD-19 TEAMS'!A49</f>
        <v>46054</v>
      </c>
      <c r="B424" s="246">
        <f>'16U BOYS GOLD-19 TEAMS'!B49</f>
        <v>0.33333333333333298</v>
      </c>
      <c r="C424" s="246" t="str">
        <f>'16U BOYS GOLD-19 TEAMS'!C49&amp;""</f>
        <v>SAN JUAN HILLS HS</v>
      </c>
      <c r="D424" s="151" t="str">
        <f>'16U BOYS GOLD-19 TEAMS'!D49&amp;""</f>
        <v>16Bau21</v>
      </c>
      <c r="E424" s="151" t="str">
        <f>'16U BOYS GOLD-19 TEAMS'!E49&amp;""</f>
        <v>H1(1stD)-CC UNITED BLUE</v>
      </c>
      <c r="F424" s="151" t="str">
        <f>'16U BOYS GOLD-19 TEAMS'!F49&amp;""</f>
        <v>8</v>
      </c>
      <c r="G424" s="151" t="str">
        <f>'16U BOYS GOLD-19 TEAMS'!G49&amp;""</f>
        <v>H3(1stF)-LA JOLLA UNITED GOLD</v>
      </c>
      <c r="H424" s="151" t="str">
        <f>'16U BOYS GOLD-19 TEAMS'!H49&amp;""</f>
        <v>7</v>
      </c>
      <c r="I424" s="151" t="str">
        <f>'16U BOYS GOLD-19 TEAMS'!I49&amp;""</f>
        <v>H bracket H1,H3</v>
      </c>
      <c r="J424" s="151" t="str">
        <f>'16U BOYS GOLD-19 TEAMS'!J49&amp;""</f>
        <v>16U_BOYS_GOLD</v>
      </c>
      <c r="K424" s="151" t="str">
        <f t="shared" si="12"/>
        <v>202602010800</v>
      </c>
    </row>
    <row r="425" spans="1:11">
      <c r="A425" s="244">
        <f>'16U BOYS GOLD-19 TEAMS'!A61</f>
        <v>46054</v>
      </c>
      <c r="B425" s="243">
        <f>'16U BOYS GOLD-19 TEAMS'!B61</f>
        <v>0.33333333333333298</v>
      </c>
      <c r="C425" s="243" t="str">
        <f>'16U BOYS GOLD-19 TEAMS'!C61&amp;""</f>
        <v>SADDLEBACK COLLEGE</v>
      </c>
      <c r="D425" s="152" t="str">
        <f>'16U BOYS GOLD-19 TEAMS'!D61&amp;""</f>
        <v>16Bau32</v>
      </c>
      <c r="E425" s="243" t="str">
        <f>'16U BOYS GOLD-19 TEAMS'!E61&amp;""</f>
        <v>K1(3rdA)-AMERICAN RIVER GOLD</v>
      </c>
      <c r="F425" s="241" t="str">
        <f>'16U BOYS GOLD-19 TEAMS'!F61&amp;""</f>
        <v>4</v>
      </c>
      <c r="G425" s="243" t="str">
        <f>'16U BOYS GOLD-19 TEAMS'!G61&amp;""</f>
        <v>K3(3rdC)-ST LOUIS AREA POLO</v>
      </c>
      <c r="H425" s="242" t="str">
        <f>'16U BOYS GOLD-19 TEAMS'!H61&amp;""</f>
        <v>10</v>
      </c>
      <c r="I425" s="241" t="str">
        <f>'16U BOYS GOLD-19 TEAMS'!I61&amp;""</f>
        <v>K bracket K1,K3</v>
      </c>
      <c r="J425" s="152" t="str">
        <f>'16U BOYS GOLD-19 TEAMS'!J61&amp;""</f>
        <v>16U_BOYS_GOLD</v>
      </c>
      <c r="K425" s="152" t="str">
        <f t="shared" si="12"/>
        <v>202602010800</v>
      </c>
    </row>
    <row r="426" spans="1:11">
      <c r="A426" s="247">
        <f>'16U BOYS GOLD-19 TEAMS'!A50</f>
        <v>46054</v>
      </c>
      <c r="B426" s="246">
        <f>'16U BOYS GOLD-19 TEAMS'!B50</f>
        <v>0.375</v>
      </c>
      <c r="C426" s="246" t="str">
        <f>'16U BOYS GOLD-19 TEAMS'!C50&amp;""</f>
        <v>SAN JUAN HILLS HS</v>
      </c>
      <c r="D426" s="151" t="str">
        <f>'16U BOYS GOLD-19 TEAMS'!D50&amp;""</f>
        <v>16Bau22</v>
      </c>
      <c r="E426" s="151" t="str">
        <f>'16U BOYS GOLD-19 TEAMS'!E50&amp;""</f>
        <v>I1(2ndA)-CHANNEL ISLANDS UNITED BLUE</v>
      </c>
      <c r="F426" s="151" t="str">
        <f>'16U BOYS GOLD-19 TEAMS'!F50&amp;""</f>
        <v>2</v>
      </c>
      <c r="G426" s="151" t="str">
        <f>'16U BOYS GOLD-19 TEAMS'!G50&amp;""</f>
        <v>I3(2ndC)-TROJAN GOLD</v>
      </c>
      <c r="H426" s="151" t="str">
        <f>'16U BOYS GOLD-19 TEAMS'!H50&amp;""</f>
        <v>10</v>
      </c>
      <c r="I426" s="151" t="str">
        <f>'16U BOYS GOLD-19 TEAMS'!I50&amp;""</f>
        <v>I bracket I1,I3</v>
      </c>
      <c r="J426" s="151" t="str">
        <f>'16U BOYS GOLD-19 TEAMS'!J50&amp;""</f>
        <v>16U_BOYS_GOLD</v>
      </c>
      <c r="K426" s="151" t="str">
        <f t="shared" si="12"/>
        <v>202602010900</v>
      </c>
    </row>
    <row r="427" spans="1:11">
      <c r="A427" s="244">
        <f>'16U BOYS GOLD-19 TEAMS'!A62</f>
        <v>46054</v>
      </c>
      <c r="B427" s="243">
        <f>'16U BOYS GOLD-19 TEAMS'!B62</f>
        <v>0.375</v>
      </c>
      <c r="C427" s="243" t="str">
        <f>'16U BOYS GOLD-19 TEAMS'!C62&amp;""</f>
        <v>SADDLEBACK COLLEGE</v>
      </c>
      <c r="D427" s="152" t="str">
        <f>'16U BOYS GOLD-19 TEAMS'!D62&amp;""</f>
        <v>16Bau33</v>
      </c>
      <c r="E427" s="245" t="str">
        <f>'16U BOYS GOLD-19 TEAMS'!E62&amp;""</f>
        <v>L1(3rdD)-BOA BLUE</v>
      </c>
      <c r="F427" s="242" t="str">
        <f>'16U BOYS GOLD-19 TEAMS'!F62&amp;""</f>
        <v>11</v>
      </c>
      <c r="G427" s="245" t="str">
        <f>'16U BOYS GOLD-19 TEAMS'!G62&amp;""</f>
        <v>L4(4thF)-BIG VALLEY</v>
      </c>
      <c r="H427" s="242" t="str">
        <f>'16U BOYS GOLD-19 TEAMS'!H62&amp;""</f>
        <v>18</v>
      </c>
      <c r="I427" s="241" t="str">
        <f>'16U BOYS GOLD-19 TEAMS'!I62&amp;""</f>
        <v>W/L L1/L4</v>
      </c>
      <c r="J427" s="152" t="str">
        <f>'16U BOYS GOLD-19 TEAMS'!J62&amp;""</f>
        <v>16U_BOYS_GOLD</v>
      </c>
      <c r="K427" s="152" t="str">
        <f t="shared" si="12"/>
        <v>202602010900</v>
      </c>
    </row>
    <row r="428" spans="1:11">
      <c r="A428" s="247">
        <f>'16U BOYS GOLD-19 TEAMS'!A51</f>
        <v>46054</v>
      </c>
      <c r="B428" s="246">
        <f>'16U BOYS GOLD-19 TEAMS'!B51</f>
        <v>0.41666666666666702</v>
      </c>
      <c r="C428" s="246" t="str">
        <f>'16U BOYS GOLD-19 TEAMS'!C51&amp;""</f>
        <v>SAN JUAN HILLS HS</v>
      </c>
      <c r="D428" s="151" t="str">
        <f>'16U BOYS GOLD-19 TEAMS'!D51&amp;""</f>
        <v>16Bau23</v>
      </c>
      <c r="E428" s="151" t="str">
        <f>'16U BOYS GOLD-19 TEAMS'!E51&amp;""</f>
        <v>G2(1stB)-SOUTH COAST WHITE (B)</v>
      </c>
      <c r="F428" s="151" t="str">
        <f>'16U BOYS GOLD-19 TEAMS'!F51&amp;""</f>
        <v>7</v>
      </c>
      <c r="G428" s="151" t="str">
        <f>'16U BOYS GOLD-19 TEAMS'!G51&amp;""</f>
        <v>G3(1stC)-CAL REPUBLIC</v>
      </c>
      <c r="H428" s="151" t="str">
        <f>'16U BOYS GOLD-19 TEAMS'!H51&amp;""</f>
        <v>3</v>
      </c>
      <c r="I428" s="151" t="str">
        <f>'16U BOYS GOLD-19 TEAMS'!I51&amp;""</f>
        <v>G bracket G2,G3</v>
      </c>
      <c r="J428" s="151" t="str">
        <f>'16U BOYS GOLD-19 TEAMS'!J51&amp;""</f>
        <v>16U_BOYS_GOLD</v>
      </c>
      <c r="K428" s="151" t="str">
        <f t="shared" si="12"/>
        <v>202602011000</v>
      </c>
    </row>
    <row r="429" spans="1:11">
      <c r="A429" s="244">
        <f>'16U BOYS GOLD-19 TEAMS'!A63</f>
        <v>46054</v>
      </c>
      <c r="B429" s="243">
        <f>'16U BOYS GOLD-19 TEAMS'!B63</f>
        <v>0.41666666666666702</v>
      </c>
      <c r="C429" s="243" t="str">
        <f>'16U BOYS GOLD-19 TEAMS'!C63&amp;""</f>
        <v>SADDLEBACK COLLEGE</v>
      </c>
      <c r="D429" s="152" t="str">
        <f>'16U BOYS GOLD-19 TEAMS'!D63&amp;""</f>
        <v>16Bau34</v>
      </c>
      <c r="E429" s="243" t="str">
        <f>'16U BOYS GOLD-19 TEAMS'!E63&amp;""</f>
        <v>L2(3rdE)-ORANGE COUNTY WPC BLUE</v>
      </c>
      <c r="F429" s="241" t="str">
        <f>'16U BOYS GOLD-19 TEAMS'!F63&amp;""</f>
        <v>3</v>
      </c>
      <c r="G429" s="243" t="str">
        <f>'16U BOYS GOLD-19 TEAMS'!G63&amp;""</f>
        <v>L3(3rdF)-VANGUARD SILVER</v>
      </c>
      <c r="H429" s="242" t="str">
        <f>'16U BOYS GOLD-19 TEAMS'!H63&amp;""</f>
        <v>18</v>
      </c>
      <c r="I429" s="241" t="str">
        <f>'16U BOYS GOLD-19 TEAMS'!I63&amp;""</f>
        <v>W/L L2/L3</v>
      </c>
      <c r="J429" s="152" t="str">
        <f>'16U BOYS GOLD-19 TEAMS'!J63&amp;""</f>
        <v>16U_BOYS_GOLD</v>
      </c>
      <c r="K429" s="152" t="str">
        <f t="shared" si="12"/>
        <v>202602011000</v>
      </c>
    </row>
    <row r="430" spans="1:11">
      <c r="A430" s="247">
        <f>'16U BOYS GOLD-19 TEAMS'!A52</f>
        <v>46054</v>
      </c>
      <c r="B430" s="246">
        <f>'16U BOYS GOLD-19 TEAMS'!B52</f>
        <v>0.45833333333333298</v>
      </c>
      <c r="C430" s="246" t="str">
        <f>'16U BOYS GOLD-19 TEAMS'!C52&amp;""</f>
        <v>SAN JUAN HILLS HS</v>
      </c>
      <c r="D430" s="151" t="str">
        <f>'16U BOYS GOLD-19 TEAMS'!D52&amp;""</f>
        <v>16Bau24</v>
      </c>
      <c r="E430" s="151" t="str">
        <f>'16U BOYS GOLD-19 TEAMS'!E52&amp;""</f>
        <v>H1(1stD)-CC UNITED BLUE</v>
      </c>
      <c r="F430" s="151" t="str">
        <f>'16U BOYS GOLD-19 TEAMS'!F52&amp;""</f>
        <v>11</v>
      </c>
      <c r="G430" s="151" t="str">
        <f>'16U BOYS GOLD-19 TEAMS'!G52&amp;""</f>
        <v>H2(1stE)-CT PREMIER</v>
      </c>
      <c r="H430" s="151" t="str">
        <f>'16U BOYS GOLD-19 TEAMS'!H52&amp;""</f>
        <v>13</v>
      </c>
      <c r="I430" s="151" t="str">
        <f>'16U BOYS GOLD-19 TEAMS'!I52&amp;""</f>
        <v>H bracket H1,H2</v>
      </c>
      <c r="J430" s="151" t="str">
        <f>'16U BOYS GOLD-19 TEAMS'!J52&amp;""</f>
        <v>16U_BOYS_GOLD</v>
      </c>
      <c r="K430" s="151" t="str">
        <f t="shared" si="12"/>
        <v>202602011100</v>
      </c>
    </row>
    <row r="431" spans="1:11">
      <c r="A431" s="244">
        <f>'16U BOYS GOLD-19 TEAMS'!A64</f>
        <v>46054</v>
      </c>
      <c r="B431" s="243">
        <f>'16U BOYS GOLD-19 TEAMS'!B64</f>
        <v>0.45833333333333298</v>
      </c>
      <c r="C431" s="243" t="str">
        <f>'16U BOYS GOLD-19 TEAMS'!C64&amp;""</f>
        <v>SADDLEBACK COLLEGE</v>
      </c>
      <c r="D431" s="152" t="str">
        <f>'16U BOYS GOLD-19 TEAMS'!D64&amp;""</f>
        <v>16Bau35</v>
      </c>
      <c r="E431" s="245" t="str">
        <f>'16U BOYS GOLD-19 TEAMS'!E64&amp;""</f>
        <v>J2(2ndE)-STANFORD BLACK</v>
      </c>
      <c r="F431" s="242" t="str">
        <f>'16U BOYS GOLD-19 TEAMS'!F64&amp;""</f>
        <v>10</v>
      </c>
      <c r="G431" s="245" t="str">
        <f>'16U BOYS GOLD-19 TEAMS'!G64&amp;""</f>
        <v>J3(2ndF)-680 BLUE</v>
      </c>
      <c r="H431" s="242" t="str">
        <f>'16U BOYS GOLD-19 TEAMS'!H64&amp;""</f>
        <v>3</v>
      </c>
      <c r="I431" s="241" t="str">
        <f>'16U BOYS GOLD-19 TEAMS'!I64&amp;""</f>
        <v>J bracket J2,J3</v>
      </c>
      <c r="J431" s="152" t="str">
        <f>'16U BOYS GOLD-19 TEAMS'!J64&amp;""</f>
        <v>16U_BOYS_GOLD</v>
      </c>
      <c r="K431" s="152" t="str">
        <f t="shared" si="12"/>
        <v>202602011100</v>
      </c>
    </row>
    <row r="432" spans="1:11">
      <c r="A432" s="247">
        <f>'16U BOYS GOLD-19 TEAMS'!A53</f>
        <v>46054</v>
      </c>
      <c r="B432" s="246">
        <f>'16U BOYS GOLD-19 TEAMS'!B53</f>
        <v>0.5</v>
      </c>
      <c r="C432" s="246" t="str">
        <f>'16U BOYS GOLD-19 TEAMS'!C53&amp;""</f>
        <v>SAN JUAN HILLS HS</v>
      </c>
      <c r="D432" s="151" t="str">
        <f>'16U BOYS GOLD-19 TEAMS'!D53&amp;""</f>
        <v>16Bau25</v>
      </c>
      <c r="E432" s="151" t="str">
        <f>'16U BOYS GOLD-19 TEAMS'!E53&amp;""</f>
        <v>I2(2ndB)-DAVIS BLUE</v>
      </c>
      <c r="F432" s="151" t="str">
        <f>'16U BOYS GOLD-19 TEAMS'!F53&amp;""</f>
        <v>13</v>
      </c>
      <c r="G432" s="151" t="str">
        <f>'16U BOYS GOLD-19 TEAMS'!G53&amp;""</f>
        <v>I3(2ndC)-TROJAN GOLD</v>
      </c>
      <c r="H432" s="151" t="str">
        <f>'16U BOYS GOLD-19 TEAMS'!H53&amp;""</f>
        <v>10</v>
      </c>
      <c r="I432" s="151" t="str">
        <f>'16U BOYS GOLD-19 TEAMS'!I53&amp;""</f>
        <v>I bracket I2,I3</v>
      </c>
      <c r="J432" s="151" t="str">
        <f>'16U BOYS GOLD-19 TEAMS'!J53&amp;""</f>
        <v>16U_BOYS_GOLD</v>
      </c>
      <c r="K432" s="151" t="str">
        <f t="shared" si="12"/>
        <v>202602011200</v>
      </c>
    </row>
    <row r="433" spans="1:11">
      <c r="A433" s="244">
        <f>'16U BOYS GOLD-19 TEAMS'!A65</f>
        <v>46054</v>
      </c>
      <c r="B433" s="243">
        <f>'16U BOYS GOLD-19 TEAMS'!B65</f>
        <v>0.5</v>
      </c>
      <c r="C433" s="243" t="str">
        <f>'16U BOYS GOLD-19 TEAMS'!C65&amp;""</f>
        <v>SADDLEBACK COLLEGE</v>
      </c>
      <c r="D433" s="152" t="str">
        <f>'16U BOYS GOLD-19 TEAMS'!D65&amp;""</f>
        <v>16Bau36</v>
      </c>
      <c r="E433" s="243" t="str">
        <f>'16U BOYS GOLD-19 TEAMS'!E65&amp;""</f>
        <v>K2(3rdB)-CMAC</v>
      </c>
      <c r="F433" s="241" t="str">
        <f>'16U BOYS GOLD-19 TEAMS'!F65&amp;""</f>
        <v>6</v>
      </c>
      <c r="G433" s="243" t="str">
        <f>'16U BOYS GOLD-19 TEAMS'!G65&amp;""</f>
        <v>K3(3rdC)-ST LOUIS AREA POLO</v>
      </c>
      <c r="H433" s="242" t="str">
        <f>'16U BOYS GOLD-19 TEAMS'!H65&amp;""</f>
        <v>9</v>
      </c>
      <c r="I433" s="241" t="str">
        <f>'16U BOYS GOLD-19 TEAMS'!I65&amp;""</f>
        <v>K bracket K2,K3</v>
      </c>
      <c r="J433" s="152" t="str">
        <f>'16U BOYS GOLD-19 TEAMS'!J65&amp;""</f>
        <v>16U_BOYS_GOLD</v>
      </c>
      <c r="K433" s="152" t="str">
        <f t="shared" si="12"/>
        <v>202602011200</v>
      </c>
    </row>
    <row r="434" spans="1:11">
      <c r="A434" s="247">
        <f>'16U BOYS GOLD-19 TEAMS'!A54</f>
        <v>46054</v>
      </c>
      <c r="B434" s="246">
        <f>'16U BOYS GOLD-19 TEAMS'!B54</f>
        <v>0.54166666666666696</v>
      </c>
      <c r="C434" s="246" t="str">
        <f>'16U BOYS GOLD-19 TEAMS'!C54&amp;""</f>
        <v>SAN JUAN HILLS HS</v>
      </c>
      <c r="D434" s="151" t="str">
        <f>'16U BOYS GOLD-19 TEAMS'!D54&amp;""</f>
        <v>16Bau26</v>
      </c>
      <c r="E434" s="151" t="str">
        <f>'16U BOYS GOLD-19 TEAMS'!E54&amp;""</f>
        <v>G1(1stA)-SAN JOSE EXPRESS BLUE</v>
      </c>
      <c r="F434" s="151" t="str">
        <f>'16U BOYS GOLD-19 TEAMS'!F54&amp;""</f>
        <v>5</v>
      </c>
      <c r="G434" s="151" t="str">
        <f>'16U BOYS GOLD-19 TEAMS'!G54&amp;""</f>
        <v>G2(1stB)-SOUTH COAST WHITE (B)</v>
      </c>
      <c r="H434" s="151" t="str">
        <f>'16U BOYS GOLD-19 TEAMS'!H54&amp;""</f>
        <v>6</v>
      </c>
      <c r="I434" s="151" t="str">
        <f>'16U BOYS GOLD-19 TEAMS'!I54&amp;""</f>
        <v>G bracket G1,G2</v>
      </c>
      <c r="J434" s="151" t="str">
        <f>'16U BOYS GOLD-19 TEAMS'!J54&amp;""</f>
        <v>16U_BOYS_GOLD</v>
      </c>
      <c r="K434" s="151" t="str">
        <f t="shared" si="12"/>
        <v>202602011300</v>
      </c>
    </row>
    <row r="435" spans="1:11">
      <c r="A435" s="244">
        <f>'16U BOYS GOLD-19 TEAMS'!A66</f>
        <v>46054</v>
      </c>
      <c r="B435" s="243">
        <f>'16U BOYS GOLD-19 TEAMS'!B66</f>
        <v>0.54166666666666696</v>
      </c>
      <c r="C435" s="243" t="str">
        <f>'16U BOYS GOLD-19 TEAMS'!C66&amp;""</f>
        <v>SADDLEBACK COLLEGE</v>
      </c>
      <c r="D435" s="152" t="str">
        <f>'16U BOYS GOLD-19 TEAMS'!D66&amp;""</f>
        <v>16Bau37</v>
      </c>
      <c r="E435" s="245" t="str">
        <f>'16U BOYS GOLD-19 TEAMS'!E66&amp;""</f>
        <v>L#33-BOA BLUE</v>
      </c>
      <c r="F435" s="242" t="str">
        <f>'16U BOYS GOLD-19 TEAMS'!F66&amp;""</f>
        <v>7</v>
      </c>
      <c r="G435" s="245" t="str">
        <f>'16U BOYS GOLD-19 TEAMS'!G66&amp;""</f>
        <v>L#34-ORANGE COUNTY WPC BLUE</v>
      </c>
      <c r="H435" s="242" t="str">
        <f>'16U BOYS GOLD-19 TEAMS'!H66&amp;""</f>
        <v>5</v>
      </c>
      <c r="I435" s="241" t="str">
        <f>'16U BOYS GOLD-19 TEAMS'!I66&amp;""</f>
        <v>3rd/4thL</v>
      </c>
      <c r="J435" s="152" t="str">
        <f>'16U BOYS GOLD-19 TEAMS'!J66&amp;""</f>
        <v>16U_BOYS_GOLD</v>
      </c>
      <c r="K435" s="152" t="str">
        <f t="shared" si="12"/>
        <v>202602011300</v>
      </c>
    </row>
    <row r="436" spans="1:11">
      <c r="A436" s="247">
        <f>'16U BOYS GOLD-19 TEAMS'!A55</f>
        <v>46054</v>
      </c>
      <c r="B436" s="246">
        <f>'16U BOYS GOLD-19 TEAMS'!B55</f>
        <v>0.58333333333333304</v>
      </c>
      <c r="C436" s="246" t="str">
        <f>'16U BOYS GOLD-19 TEAMS'!C55&amp;""</f>
        <v>SAN JUAN HILLS HS</v>
      </c>
      <c r="D436" s="151" t="str">
        <f>'16U BOYS GOLD-19 TEAMS'!D55&amp;""</f>
        <v>16Bau27</v>
      </c>
      <c r="E436" s="151" t="str">
        <f>'16U BOYS GOLD-19 TEAMS'!E55&amp;""</f>
        <v>H2(1stE)-CT PREMIER</v>
      </c>
      <c r="F436" s="151" t="str">
        <f>'16U BOYS GOLD-19 TEAMS'!F55&amp;""</f>
        <v>11</v>
      </c>
      <c r="G436" s="151" t="str">
        <f>'16U BOYS GOLD-19 TEAMS'!G55&amp;""</f>
        <v>H3(1stF)-LA JOLLA UNITED GOLD</v>
      </c>
      <c r="H436" s="151" t="str">
        <f>'16U BOYS GOLD-19 TEAMS'!H55&amp;""</f>
        <v>14</v>
      </c>
      <c r="I436" s="151" t="str">
        <f>'16U BOYS GOLD-19 TEAMS'!I55&amp;""</f>
        <v>H bracket H2,H3</v>
      </c>
      <c r="J436" s="151" t="str">
        <f>'16U BOYS GOLD-19 TEAMS'!J55&amp;""</f>
        <v>16U_BOYS_GOLD</v>
      </c>
      <c r="K436" s="151" t="str">
        <f t="shared" si="12"/>
        <v>202602011400</v>
      </c>
    </row>
    <row r="437" spans="1:11">
      <c r="A437" s="244">
        <f>'16U BOYS GOLD-19 TEAMS'!A67</f>
        <v>46054</v>
      </c>
      <c r="B437" s="243">
        <f>'16U BOYS GOLD-19 TEAMS'!B67</f>
        <v>0.58333333333333304</v>
      </c>
      <c r="C437" s="243" t="str">
        <f>'16U BOYS GOLD-19 TEAMS'!C67&amp;""</f>
        <v>SADDLEBACK COLLEGE</v>
      </c>
      <c r="D437" s="152" t="str">
        <f>'16U BOYS GOLD-19 TEAMS'!D67&amp;""</f>
        <v>16Bau38</v>
      </c>
      <c r="E437" s="243" t="str">
        <f>'16U BOYS GOLD-19 TEAMS'!E67&amp;""</f>
        <v>W#33-BIG VALLEY</v>
      </c>
      <c r="F437" s="241" t="str">
        <f>'16U BOYS GOLD-19 TEAMS'!F67&amp;""</f>
        <v>6</v>
      </c>
      <c r="G437" s="243" t="str">
        <f>'16U BOYS GOLD-19 TEAMS'!G67&amp;""</f>
        <v>W#34-VANGUARD SILVER</v>
      </c>
      <c r="H437" s="242" t="str">
        <f>'16U BOYS GOLD-19 TEAMS'!H67&amp;""</f>
        <v>14</v>
      </c>
      <c r="I437" s="241" t="str">
        <f>'16U BOYS GOLD-19 TEAMS'!I67&amp;""</f>
        <v>1st/2ndL</v>
      </c>
      <c r="J437" s="152" t="str">
        <f>'16U BOYS GOLD-19 TEAMS'!J67&amp;""</f>
        <v>16U_BOYS_GOLD</v>
      </c>
      <c r="K437" s="152" t="str">
        <f t="shared" si="12"/>
        <v>202602011400</v>
      </c>
    </row>
    <row r="438" spans="1:11">
      <c r="A438" s="247">
        <f>'16U BOYS GOLD-19 TEAMS'!A56</f>
        <v>46054</v>
      </c>
      <c r="B438" s="246">
        <f>'16U BOYS GOLD-19 TEAMS'!B56</f>
        <v>0.625</v>
      </c>
      <c r="C438" s="246" t="str">
        <f>'16U BOYS GOLD-19 TEAMS'!C56&amp;""</f>
        <v>SAN JUAN HILLS HS</v>
      </c>
      <c r="D438" s="151" t="str">
        <f>'16U BOYS GOLD-19 TEAMS'!D56&amp;""</f>
        <v>16Bau28</v>
      </c>
      <c r="E438" s="151" t="str">
        <f>'16U BOYS GOLD-19 TEAMS'!E56&amp;""</f>
        <v>I1(2ndA)-CHANNEL ISLANDS UNITED BLUE</v>
      </c>
      <c r="F438" s="151" t="str">
        <f>'16U BOYS GOLD-19 TEAMS'!F56&amp;""</f>
        <v>8</v>
      </c>
      <c r="G438" s="151" t="str">
        <f>'16U BOYS GOLD-19 TEAMS'!G56&amp;""</f>
        <v>I2(2ndB)-DAVIS BLUE</v>
      </c>
      <c r="H438" s="151" t="str">
        <f>'16U BOYS GOLD-19 TEAMS'!H56&amp;""</f>
        <v>15</v>
      </c>
      <c r="I438" s="151" t="str">
        <f>'16U BOYS GOLD-19 TEAMS'!I56&amp;""</f>
        <v>I bracket I1,I2</v>
      </c>
      <c r="J438" s="151" t="str">
        <f>'16U BOYS GOLD-19 TEAMS'!J56&amp;""</f>
        <v>16U_BOYS_GOLD</v>
      </c>
      <c r="K438" s="151" t="str">
        <f t="shared" si="12"/>
        <v>202602011500</v>
      </c>
    </row>
    <row r="439" spans="1:11">
      <c r="A439" s="244">
        <f>'16U BOYS GOLD-19 TEAMS'!A68</f>
        <v>46054</v>
      </c>
      <c r="B439" s="243">
        <f>'16U BOYS GOLD-19 TEAMS'!B68</f>
        <v>0.625</v>
      </c>
      <c r="C439" s="243" t="str">
        <f>'16U BOYS GOLD-19 TEAMS'!C68&amp;""</f>
        <v>SADDLEBACK COLLEGE</v>
      </c>
      <c r="D439" s="152" t="str">
        <f>'16U BOYS GOLD-19 TEAMS'!D68&amp;""</f>
        <v>16Bau39</v>
      </c>
      <c r="E439" s="245" t="str">
        <f>'16U BOYS GOLD-19 TEAMS'!E68&amp;""</f>
        <v>J1(2ndD)-POWAY VALLEY BLACK</v>
      </c>
      <c r="F439" s="242" t="str">
        <f>'16U BOYS GOLD-19 TEAMS'!F68&amp;""</f>
        <v>6</v>
      </c>
      <c r="G439" s="245" t="str">
        <f>'16U BOYS GOLD-19 TEAMS'!G68&amp;""</f>
        <v>J2(2ndE)-STANFORD BLACK</v>
      </c>
      <c r="H439" s="242" t="str">
        <f>'16U BOYS GOLD-19 TEAMS'!H68&amp;""</f>
        <v>12</v>
      </c>
      <c r="I439" s="241" t="str">
        <f>'16U BOYS GOLD-19 TEAMS'!I68&amp;""</f>
        <v>J bracket J1,J2</v>
      </c>
      <c r="J439" s="152" t="str">
        <f>'16U BOYS GOLD-19 TEAMS'!J68&amp;""</f>
        <v>16U_BOYS_GOLD</v>
      </c>
      <c r="K439" s="152" t="str">
        <f t="shared" si="12"/>
        <v>202602011500</v>
      </c>
    </row>
    <row r="440" spans="1:11">
      <c r="A440" s="247">
        <f>'16U BOYS GOLD-19 TEAMS'!A57</f>
        <v>46054</v>
      </c>
      <c r="B440" s="246">
        <f>'16U BOYS GOLD-19 TEAMS'!B57</f>
        <v>0.66666666666666696</v>
      </c>
      <c r="C440" s="246" t="str">
        <f>'16U BOYS GOLD-19 TEAMS'!C57&amp;""</f>
        <v>SAN JUAN HILLS HS</v>
      </c>
      <c r="D440" s="151" t="str">
        <f>'16U BOYS GOLD-19 TEAMS'!D57&amp;""</f>
        <v>16Bau29</v>
      </c>
      <c r="E440" s="151" t="str">
        <f>'16U BOYS GOLD-19 TEAMS'!E57&amp;""</f>
        <v>N1(2ndG)-SAN JOSE EXPRESS BLUE</v>
      </c>
      <c r="F440" s="151" t="str">
        <f>'16U BOYS GOLD-19 TEAMS'!F57&amp;""</f>
        <v>8</v>
      </c>
      <c r="G440" s="151" t="str">
        <f>'16U BOYS GOLD-19 TEAMS'!G57&amp;""</f>
        <v>N2(2ndH)-CT PREMIER</v>
      </c>
      <c r="H440" s="151" t="str">
        <f>'16U BOYS GOLD-19 TEAMS'!H57&amp;""</f>
        <v>10</v>
      </c>
      <c r="I440" s="151" t="str">
        <f>'16U BOYS GOLD-19 TEAMS'!I57&amp;""</f>
        <v>3rd 2ndG/2ndH</v>
      </c>
      <c r="J440" s="151" t="str">
        <f>'16U BOYS GOLD-19 TEAMS'!J57&amp;""</f>
        <v>16U_BOYS_GOLD</v>
      </c>
      <c r="K440" s="151" t="str">
        <f t="shared" si="12"/>
        <v>202602011600</v>
      </c>
    </row>
    <row r="441" spans="1:11">
      <c r="A441" s="244">
        <f>'16U BOYS GOLD-19 TEAMS'!A69</f>
        <v>46054</v>
      </c>
      <c r="B441" s="243">
        <f>'16U BOYS GOLD-19 TEAMS'!B69</f>
        <v>0.66666666666666696</v>
      </c>
      <c r="C441" s="243" t="str">
        <f>'16U BOYS GOLD-19 TEAMS'!C69&amp;""</f>
        <v>SADDLEBACK COLLEGE</v>
      </c>
      <c r="D441" s="153" t="str">
        <f>'16U BOYS GOLD-19 TEAMS'!D69&amp;""</f>
        <v>16Bau40</v>
      </c>
      <c r="E441" s="243" t="str">
        <f>'16U BOYS GOLD-19 TEAMS'!E69&amp;""</f>
        <v>K1(3rdA)-AMERICAN RIVER GOLD</v>
      </c>
      <c r="F441" s="241" t="str">
        <f>'16U BOYS GOLD-19 TEAMS'!F69&amp;""</f>
        <v>10</v>
      </c>
      <c r="G441" s="243" t="str">
        <f>'16U BOYS GOLD-19 TEAMS'!G69&amp;""</f>
        <v>K2(3rdB)-CMAC</v>
      </c>
      <c r="H441" s="242" t="str">
        <f>'16U BOYS GOLD-19 TEAMS'!H69&amp;""</f>
        <v>8</v>
      </c>
      <c r="I441" s="241" t="str">
        <f>'16U BOYS GOLD-19 TEAMS'!I69&amp;""</f>
        <v>K bracket K1,K2</v>
      </c>
      <c r="J441" s="152" t="str">
        <f>'16U BOYS GOLD-19 TEAMS'!J69&amp;""</f>
        <v>16U_BOYS_GOLD</v>
      </c>
      <c r="K441" s="152" t="str">
        <f t="shared" si="12"/>
        <v>202602011600</v>
      </c>
    </row>
    <row r="442" spans="1:11">
      <c r="A442" s="247">
        <f>'16U BOYS GOLD-19 TEAMS'!A58</f>
        <v>46054</v>
      </c>
      <c r="B442" s="246">
        <f>'16U BOYS GOLD-19 TEAMS'!B58</f>
        <v>0.70833333333333304</v>
      </c>
      <c r="C442" s="246" t="str">
        <f>'16U BOYS GOLD-19 TEAMS'!C58&amp;""</f>
        <v>SAN JUAN HILLS HS</v>
      </c>
      <c r="D442" s="151" t="str">
        <f>'16U BOYS GOLD-19 TEAMS'!D58&amp;""</f>
        <v>16Bau30</v>
      </c>
      <c r="E442" s="151" t="str">
        <f>'16U BOYS GOLD-19 TEAMS'!E58&amp;""</f>
        <v>O1(1stG)-SOUTH COAST WHITE (B)</v>
      </c>
      <c r="F442" s="151" t="str">
        <f>'16U BOYS GOLD-19 TEAMS'!F58&amp;""</f>
        <v>4</v>
      </c>
      <c r="G442" s="151" t="str">
        <f>'16U BOYS GOLD-19 TEAMS'!G58&amp;""</f>
        <v>O2(1stH)-LA JOLLA UNITED GOLD</v>
      </c>
      <c r="H442" s="151" t="str">
        <f>'16U BOYS GOLD-19 TEAMS'!H58&amp;""</f>
        <v>10</v>
      </c>
      <c r="I442" s="151" t="str">
        <f>'16U BOYS GOLD-19 TEAMS'!I58&amp;""</f>
        <v>1st 1stG/1stH</v>
      </c>
      <c r="J442" s="151" t="str">
        <f>'16U BOYS GOLD-19 TEAMS'!J58&amp;""</f>
        <v>16U_BOYS_GOLD</v>
      </c>
      <c r="K442" s="151" t="str">
        <f t="shared" si="12"/>
        <v>202602011700</v>
      </c>
    </row>
    <row r="443" spans="1:11">
      <c r="A443" s="251">
        <f>'16U BOYS PLATINUM-18 TEAMS'!A20</f>
        <v>46053</v>
      </c>
      <c r="B443" s="150">
        <f>'16U BOYS PLATINUM-18 TEAMS'!B20</f>
        <v>0.33333333333333298</v>
      </c>
      <c r="C443" s="150" t="str">
        <f>'16U BOYS PLATINUM-18 TEAMS'!C20&amp;""</f>
        <v>SONORA HS</v>
      </c>
      <c r="D443" s="149" t="str">
        <f>'16U BOYS PLATINUM-18 TEAMS'!D20&amp;""</f>
        <v>16Bpt01</v>
      </c>
      <c r="E443" s="250" t="str">
        <f>'16U BOYS PLATINUM-18 TEAMS'!E20&amp;""</f>
        <v>A1-CC UNITED BLACK</v>
      </c>
      <c r="F443" s="249" t="str">
        <f>'16U BOYS PLATINUM-18 TEAMS'!F20&amp;""</f>
        <v>18</v>
      </c>
      <c r="G443" s="250" t="str">
        <f>'16U BOYS PLATINUM-18 TEAMS'!G20&amp;""</f>
        <v>A3-CAPITAL</v>
      </c>
      <c r="H443" s="249" t="str">
        <f>'16U BOYS PLATINUM-18 TEAMS'!H20&amp;""</f>
        <v>6</v>
      </c>
      <c r="I443" s="106" t="str">
        <f>'16U BOYS PLATINUM-18 TEAMS'!I20&amp;""</f>
        <v>A bracket A1,A3</v>
      </c>
      <c r="J443" s="149" t="str">
        <f>'16U BOYS PLATINUM-18 TEAMS'!J20&amp;""</f>
        <v>16U_BOYS_PLATINUM</v>
      </c>
      <c r="K443" s="149" t="str">
        <f t="shared" si="11"/>
        <v>202601310800</v>
      </c>
    </row>
    <row r="444" spans="1:11">
      <c r="A444" s="251">
        <f>'16U BOYS PLATINUM-18 TEAMS'!A21</f>
        <v>46053</v>
      </c>
      <c r="B444" s="150">
        <f>'16U BOYS PLATINUM-18 TEAMS'!B21</f>
        <v>0.375</v>
      </c>
      <c r="C444" s="150" t="str">
        <f>'16U BOYS PLATINUM-18 TEAMS'!C21&amp;""</f>
        <v>SONORA HS</v>
      </c>
      <c r="D444" s="149" t="str">
        <f>'16U BOYS PLATINUM-18 TEAMS'!D21&amp;""</f>
        <v>16Bpt03</v>
      </c>
      <c r="E444" s="250" t="str">
        <f>'16U BOYS PLATINUM-18 TEAMS'!E21&amp;""</f>
        <v>B2-AMERICAN RIVER BLUE</v>
      </c>
      <c r="F444" s="249" t="str">
        <f>'16U BOYS PLATINUM-18 TEAMS'!F21&amp;""</f>
        <v>12</v>
      </c>
      <c r="G444" s="250" t="str">
        <f>'16U BOYS PLATINUM-18 TEAMS'!G21&amp;""</f>
        <v>B3-IMPERIAL WPC</v>
      </c>
      <c r="H444" s="249" t="str">
        <f>'16U BOYS PLATINUM-18 TEAMS'!H21&amp;""</f>
        <v>15</v>
      </c>
      <c r="I444" s="106" t="str">
        <f>'16U BOYS PLATINUM-18 TEAMS'!I21&amp;""</f>
        <v>B bracket B2,B3</v>
      </c>
      <c r="J444" s="149" t="str">
        <f>'16U BOYS PLATINUM-18 TEAMS'!J21&amp;""</f>
        <v>16U_BOYS_PLATINUM</v>
      </c>
      <c r="K444" s="149" t="str">
        <f t="shared" si="11"/>
        <v>202601310900</v>
      </c>
    </row>
    <row r="445" spans="1:11">
      <c r="A445" s="251">
        <f>'16U BOYS PLATINUM-18 TEAMS'!A32</f>
        <v>46053</v>
      </c>
      <c r="B445" s="150">
        <f>'16U BOYS PLATINUM-18 TEAMS'!B32</f>
        <v>0.45833333333333298</v>
      </c>
      <c r="C445" s="150" t="str">
        <f>'16U BOYS PLATINUM-18 TEAMS'!C32&amp;""</f>
        <v>YORBA LINDA HS</v>
      </c>
      <c r="D445" s="150" t="str">
        <f>'16U BOYS PLATINUM-18 TEAMS'!D32&amp;""</f>
        <v>16Bpt02</v>
      </c>
      <c r="E445" s="149" t="str">
        <f>'16U BOYS PLATINUM-18 TEAMS'!E32&amp;""</f>
        <v>D1-LAMORINDA A</v>
      </c>
      <c r="F445" s="250" t="str">
        <f>'16U BOYS PLATINUM-18 TEAMS'!F32&amp;""</f>
        <v>15</v>
      </c>
      <c r="G445" s="249" t="str">
        <f>'16U BOYS PLATINUM-18 TEAMS'!G32&amp;""</f>
        <v>D3-SANTA CRUZ</v>
      </c>
      <c r="H445" s="252" t="str">
        <f>'16U BOYS PLATINUM-18 TEAMS'!H32&amp;""</f>
        <v>5</v>
      </c>
      <c r="I445" s="249" t="str">
        <f>'16U BOYS PLATINUM-18 TEAMS'!I32&amp;""</f>
        <v>D bracket D1,D3</v>
      </c>
      <c r="J445" s="106" t="str">
        <f>'16U BOYS PLATINUM-18 TEAMS'!J32&amp;""</f>
        <v>16U_BOYS_PLATINUM</v>
      </c>
      <c r="K445" s="106" t="str">
        <f t="shared" si="11"/>
        <v>202601311100</v>
      </c>
    </row>
    <row r="446" spans="1:11">
      <c r="A446" s="251">
        <f>'16U BOYS PLATINUM-18 TEAMS'!A23</f>
        <v>46053</v>
      </c>
      <c r="B446" s="150">
        <f>'16U BOYS PLATINUM-18 TEAMS'!B23</f>
        <v>0.45833333333333298</v>
      </c>
      <c r="C446" s="150" t="str">
        <f>'16U BOYS PLATINUM-18 TEAMS'!C23&amp;""</f>
        <v>SONORA HS</v>
      </c>
      <c r="D446" s="149" t="str">
        <f>'16U BOYS PLATINUM-18 TEAMS'!D23&amp;""</f>
        <v>16Bpt05</v>
      </c>
      <c r="E446" s="150" t="str">
        <f>'16U BOYS PLATINUM-18 TEAMS'!E23&amp;""</f>
        <v>C1-680 RED</v>
      </c>
      <c r="F446" s="106" t="str">
        <f>'16U BOYS PLATINUM-18 TEAMS'!F23&amp;""</f>
        <v>19</v>
      </c>
      <c r="G446" s="150" t="str">
        <f>'16U BOYS PLATINUM-18 TEAMS'!G23&amp;""</f>
        <v>C3-FOOTHILL RED</v>
      </c>
      <c r="H446" s="249" t="str">
        <f>'16U BOYS PLATINUM-18 TEAMS'!H23&amp;""</f>
        <v>3</v>
      </c>
      <c r="I446" s="106" t="str">
        <f>'16U BOYS PLATINUM-18 TEAMS'!I23&amp;""</f>
        <v>C bracket C1,C3</v>
      </c>
      <c r="J446" s="149" t="str">
        <f>'16U BOYS PLATINUM-18 TEAMS'!J23&amp;""</f>
        <v>16U_BOYS_PLATINUM</v>
      </c>
      <c r="K446" s="149" t="str">
        <f t="shared" si="11"/>
        <v>202601311100</v>
      </c>
    </row>
    <row r="447" spans="1:11">
      <c r="A447" s="251">
        <f>'16U BOYS PLATINUM-18 TEAMS'!A33</f>
        <v>46053</v>
      </c>
      <c r="B447" s="150">
        <f>'16U BOYS PLATINUM-18 TEAMS'!B33</f>
        <v>0.5</v>
      </c>
      <c r="C447" s="150" t="str">
        <f>'16U BOYS PLATINUM-18 TEAMS'!C33&amp;""</f>
        <v>YORBA LINDA HS</v>
      </c>
      <c r="D447" s="150" t="str">
        <f>'16U BOYS PLATINUM-18 TEAMS'!D33&amp;""</f>
        <v>16Bpt04</v>
      </c>
      <c r="E447" s="149" t="str">
        <f>'16U BOYS PLATINUM-18 TEAMS'!E33&amp;""</f>
        <v>E1-CHANNEL ISLANDS UNITED GOLD</v>
      </c>
      <c r="F447" s="250" t="str">
        <f>'16U BOYS PLATINUM-18 TEAMS'!F33&amp;""</f>
        <v>13</v>
      </c>
      <c r="G447" s="249" t="str">
        <f>'16U BOYS PLATINUM-18 TEAMS'!G33&amp;""</f>
        <v>E3-SAN CLEMENTE RED</v>
      </c>
      <c r="H447" s="250" t="str">
        <f>'16U BOYS PLATINUM-18 TEAMS'!H33&amp;""</f>
        <v>9</v>
      </c>
      <c r="I447" s="249" t="str">
        <f>'16U BOYS PLATINUM-18 TEAMS'!I33&amp;""</f>
        <v>E bracket E1,E3</v>
      </c>
      <c r="J447" s="106" t="str">
        <f>'16U BOYS PLATINUM-18 TEAMS'!J33&amp;""</f>
        <v>16U_BOYS_PLATINUM</v>
      </c>
      <c r="K447" s="106" t="str">
        <f t="shared" si="11"/>
        <v>202601311200</v>
      </c>
    </row>
    <row r="448" spans="1:11">
      <c r="A448" s="251">
        <f>'16U BOYS PLATINUM-18 TEAMS'!A24</f>
        <v>46053</v>
      </c>
      <c r="B448" s="150">
        <f>'16U BOYS PLATINUM-18 TEAMS'!B24</f>
        <v>0.5</v>
      </c>
      <c r="C448" s="150" t="str">
        <f>'16U BOYS PLATINUM-18 TEAMS'!C24&amp;""</f>
        <v>SONORA HS</v>
      </c>
      <c r="D448" s="149" t="str">
        <f>'16U BOYS PLATINUM-18 TEAMS'!D24&amp;""</f>
        <v>16Bpt07</v>
      </c>
      <c r="E448" s="250" t="str">
        <f>'16U BOYS PLATINUM-18 TEAMS'!E24&amp;""</f>
        <v>A1-CC UNITED BLACK</v>
      </c>
      <c r="F448" s="249" t="str">
        <f>'16U BOYS PLATINUM-18 TEAMS'!F24&amp;""</f>
        <v>12.5</v>
      </c>
      <c r="G448" s="250" t="str">
        <f>'16U BOYS PLATINUM-18 TEAMS'!G24&amp;""</f>
        <v>A2-SAND CANYON</v>
      </c>
      <c r="H448" s="249" t="str">
        <f>'16U BOYS PLATINUM-18 TEAMS'!H24&amp;""</f>
        <v>12.3</v>
      </c>
      <c r="I448" s="106" t="str">
        <f>'16U BOYS PLATINUM-18 TEAMS'!I24&amp;""</f>
        <v>A bracket A1,A2</v>
      </c>
      <c r="J448" s="149" t="str">
        <f>'16U BOYS PLATINUM-18 TEAMS'!J24&amp;""</f>
        <v>16U_BOYS_PLATINUM</v>
      </c>
      <c r="K448" s="149" t="str">
        <f t="shared" si="11"/>
        <v>202601311200</v>
      </c>
    </row>
    <row r="449" spans="1:11">
      <c r="A449" s="251">
        <f>'16U BOYS PLATINUM-18 TEAMS'!A34</f>
        <v>46053</v>
      </c>
      <c r="B449" s="150">
        <f>'16U BOYS PLATINUM-18 TEAMS'!B34</f>
        <v>0.54166666666666696</v>
      </c>
      <c r="C449" s="150" t="str">
        <f>'16U BOYS PLATINUM-18 TEAMS'!C34&amp;""</f>
        <v>YORBA LINDA HS</v>
      </c>
      <c r="D449" s="150" t="str">
        <f>'16U BOYS PLATINUM-18 TEAMS'!D34&amp;""</f>
        <v>16Bpt06</v>
      </c>
      <c r="E449" s="149" t="str">
        <f>'16U BOYS PLATINUM-18 TEAMS'!E34&amp;""</f>
        <v>F1-SD SHORES BLACK</v>
      </c>
      <c r="F449" s="150" t="str">
        <f>'16U BOYS PLATINUM-18 TEAMS'!F34&amp;""</f>
        <v>13</v>
      </c>
      <c r="G449" s="106" t="str">
        <f>'16U BOYS PLATINUM-18 TEAMS'!G34&amp;""</f>
        <v>F3-ASPHALT GREEN</v>
      </c>
      <c r="H449" s="150" t="str">
        <f>'16U BOYS PLATINUM-18 TEAMS'!H34&amp;""</f>
        <v>10</v>
      </c>
      <c r="I449" s="249" t="str">
        <f>'16U BOYS PLATINUM-18 TEAMS'!I34&amp;""</f>
        <v>F bracket F1,F3</v>
      </c>
      <c r="J449" s="106" t="str">
        <f>'16U BOYS PLATINUM-18 TEAMS'!J34&amp;""</f>
        <v>16U_BOYS_PLATINUM</v>
      </c>
      <c r="K449" s="106" t="str">
        <f t="shared" si="11"/>
        <v>202601311300</v>
      </c>
    </row>
    <row r="450" spans="1:11">
      <c r="A450" s="251">
        <f>'16U BOYS PLATINUM-18 TEAMS'!A35</f>
        <v>46053</v>
      </c>
      <c r="B450" s="150">
        <f>'16U BOYS PLATINUM-18 TEAMS'!B35</f>
        <v>0.58333333333333304</v>
      </c>
      <c r="C450" s="150" t="str">
        <f>'16U BOYS PLATINUM-18 TEAMS'!C35&amp;""</f>
        <v>YORBA LINDA HS</v>
      </c>
      <c r="D450" s="150" t="str">
        <f>'16U BOYS PLATINUM-18 TEAMS'!D35&amp;""</f>
        <v>16Bpt08</v>
      </c>
      <c r="E450" s="149" t="str">
        <f>'16U BOYS PLATINUM-18 TEAMS'!E35&amp;""</f>
        <v>D2-SOUTH COAST RED (A)</v>
      </c>
      <c r="F450" s="250" t="str">
        <f>'16U BOYS PLATINUM-18 TEAMS'!F35&amp;""</f>
        <v>9</v>
      </c>
      <c r="G450" s="249" t="str">
        <f>'16U BOYS PLATINUM-18 TEAMS'!G35&amp;""</f>
        <v>D3-SANTA CRUZ</v>
      </c>
      <c r="H450" s="250" t="str">
        <f>'16U BOYS PLATINUM-18 TEAMS'!H35&amp;""</f>
        <v>8</v>
      </c>
      <c r="I450" s="249" t="str">
        <f>'16U BOYS PLATINUM-18 TEAMS'!I35&amp;""</f>
        <v>D bracket D2,D3</v>
      </c>
      <c r="J450" s="106" t="str">
        <f>'16U BOYS PLATINUM-18 TEAMS'!J35&amp;""</f>
        <v>16U_BOYS_PLATINUM</v>
      </c>
      <c r="K450" s="106" t="str">
        <f t="shared" si="11"/>
        <v>202601311400</v>
      </c>
    </row>
    <row r="451" spans="1:11">
      <c r="A451" s="251">
        <f>'16U BOYS PLATINUM-18 TEAMS'!A26</f>
        <v>46053</v>
      </c>
      <c r="B451" s="150">
        <f>'16U BOYS PLATINUM-18 TEAMS'!B26</f>
        <v>0.58333333333333304</v>
      </c>
      <c r="C451" s="150" t="str">
        <f>'16U BOYS PLATINUM-18 TEAMS'!C26&amp;""</f>
        <v>SONORA HS</v>
      </c>
      <c r="D451" s="149" t="str">
        <f>'16U BOYS PLATINUM-18 TEAMS'!D26&amp;""</f>
        <v>16Bpt09</v>
      </c>
      <c r="E451" s="250" t="str">
        <f>'16U BOYS PLATINUM-18 TEAMS'!E26&amp;""</f>
        <v>B1-LA JOLLA UNITED NAVY</v>
      </c>
      <c r="F451" s="249" t="str">
        <f>'16U BOYS PLATINUM-18 TEAMS'!F26&amp;""</f>
        <v>7</v>
      </c>
      <c r="G451" s="250" t="str">
        <f>'16U BOYS PLATINUM-18 TEAMS'!G26&amp;""</f>
        <v>B3-IMPERIAL WPC</v>
      </c>
      <c r="H451" s="249" t="str">
        <f>'16U BOYS PLATINUM-18 TEAMS'!H26&amp;""</f>
        <v>11</v>
      </c>
      <c r="I451" s="106" t="str">
        <f>'16U BOYS PLATINUM-18 TEAMS'!I26&amp;""</f>
        <v>B bracket B1,B3</v>
      </c>
      <c r="J451" s="149" t="str">
        <f>'16U BOYS PLATINUM-18 TEAMS'!J26&amp;""</f>
        <v>16U_BOYS_PLATINUM</v>
      </c>
      <c r="K451" s="149" t="str">
        <f t="shared" si="11"/>
        <v>202601311400</v>
      </c>
    </row>
    <row r="452" spans="1:11">
      <c r="A452" s="251">
        <f>'16U BOYS PLATINUM-18 TEAMS'!A36</f>
        <v>46053</v>
      </c>
      <c r="B452" s="150">
        <f>'16U BOYS PLATINUM-18 TEAMS'!B36</f>
        <v>0.625</v>
      </c>
      <c r="C452" s="150" t="str">
        <f>'16U BOYS PLATINUM-18 TEAMS'!C36&amp;""</f>
        <v>YORBA LINDA HS</v>
      </c>
      <c r="D452" s="150" t="str">
        <f>'16U BOYS PLATINUM-18 TEAMS'!D36&amp;""</f>
        <v>16Bpt10</v>
      </c>
      <c r="E452" s="149" t="str">
        <f>'16U BOYS PLATINUM-18 TEAMS'!E36&amp;""</f>
        <v>E1-CHANNEL ISLANDS UNITED GOLD</v>
      </c>
      <c r="F452" s="150" t="str">
        <f>'16U BOYS PLATINUM-18 TEAMS'!F36&amp;""</f>
        <v>10.4</v>
      </c>
      <c r="G452" s="106" t="str">
        <f>'16U BOYS PLATINUM-18 TEAMS'!G36&amp;""</f>
        <v>E2-TROJAN CARDINAL</v>
      </c>
      <c r="H452" s="150" t="str">
        <f>'16U BOYS PLATINUM-18 TEAMS'!H36&amp;""</f>
        <v>10.1</v>
      </c>
      <c r="I452" s="249" t="str">
        <f>'16U BOYS PLATINUM-18 TEAMS'!I36&amp;""</f>
        <v>E bracket E1,E2</v>
      </c>
      <c r="J452" s="106" t="str">
        <f>'16U BOYS PLATINUM-18 TEAMS'!J36&amp;""</f>
        <v>16U_BOYS_PLATINUM</v>
      </c>
      <c r="K452" s="106" t="str">
        <f t="shared" si="11"/>
        <v>202601311500</v>
      </c>
    </row>
    <row r="453" spans="1:11">
      <c r="A453" s="251">
        <f>'16U BOYS PLATINUM-18 TEAMS'!A27</f>
        <v>46053</v>
      </c>
      <c r="B453" s="150">
        <f>'16U BOYS PLATINUM-18 TEAMS'!B27</f>
        <v>0.625</v>
      </c>
      <c r="C453" s="150" t="str">
        <f>'16U BOYS PLATINUM-18 TEAMS'!C27&amp;""</f>
        <v>SONORA HS</v>
      </c>
      <c r="D453" s="149" t="str">
        <f>'16U BOYS PLATINUM-18 TEAMS'!D27&amp;""</f>
        <v>16Bpt11</v>
      </c>
      <c r="E453" s="150" t="str">
        <f>'16U BOYS PLATINUM-18 TEAMS'!E27&amp;""</f>
        <v>C2-VANGUARD BLUE</v>
      </c>
      <c r="F453" s="106" t="str">
        <f>'16U BOYS PLATINUM-18 TEAMS'!F27&amp;""</f>
        <v>7</v>
      </c>
      <c r="G453" s="150" t="str">
        <f>'16U BOYS PLATINUM-18 TEAMS'!G27&amp;""</f>
        <v>C3-FOOTHILL RED</v>
      </c>
      <c r="H453" s="249" t="str">
        <f>'16U BOYS PLATINUM-18 TEAMS'!H27&amp;""</f>
        <v>3</v>
      </c>
      <c r="I453" s="106" t="str">
        <f>'16U BOYS PLATINUM-18 TEAMS'!I27&amp;""</f>
        <v>C bracket C2,C3</v>
      </c>
      <c r="J453" s="149" t="str">
        <f>'16U BOYS PLATINUM-18 TEAMS'!J27&amp;""</f>
        <v>16U_BOYS_PLATINUM</v>
      </c>
      <c r="K453" s="149" t="str">
        <f t="shared" ref="K453:K516" si="13">TEXT(DATE(2026, MONTH(A453), DAY(A453)) + TIME(HOUR(B453), MINUTE(B453), 0), "yyyymmddhhmm")</f>
        <v>202601311500</v>
      </c>
    </row>
    <row r="454" spans="1:11">
      <c r="A454" s="251">
        <f>'16U BOYS PLATINUM-18 TEAMS'!A37</f>
        <v>46053</v>
      </c>
      <c r="B454" s="150">
        <f>'16U BOYS PLATINUM-18 TEAMS'!B37</f>
        <v>0.66666666666666696</v>
      </c>
      <c r="C454" s="150" t="str">
        <f>'16U BOYS PLATINUM-18 TEAMS'!C37&amp;""</f>
        <v>YORBA LINDA HS</v>
      </c>
      <c r="D454" s="150" t="str">
        <f>'16U BOYS PLATINUM-18 TEAMS'!D37&amp;""</f>
        <v>16Bpt12</v>
      </c>
      <c r="E454" s="149" t="str">
        <f>'16U BOYS PLATINUM-18 TEAMS'!E37&amp;""</f>
        <v>F2-SHAQ</v>
      </c>
      <c r="F454" s="250" t="str">
        <f>'16U BOYS PLATINUM-18 TEAMS'!F37&amp;""</f>
        <v>11</v>
      </c>
      <c r="G454" s="249" t="str">
        <f>'16U BOYS PLATINUM-18 TEAMS'!G37&amp;""</f>
        <v>F3-ASPHALT GREEN</v>
      </c>
      <c r="H454" s="252" t="str">
        <f>'16U BOYS PLATINUM-18 TEAMS'!H37&amp;""</f>
        <v>9</v>
      </c>
      <c r="I454" s="249" t="str">
        <f>'16U BOYS PLATINUM-18 TEAMS'!I37&amp;""</f>
        <v>F bracket F2,F3</v>
      </c>
      <c r="J454" s="106" t="str">
        <f>'16U BOYS PLATINUM-18 TEAMS'!J37&amp;""</f>
        <v>16U_BOYS_PLATINUM</v>
      </c>
      <c r="K454" s="106" t="str">
        <f t="shared" si="13"/>
        <v>202601311600</v>
      </c>
    </row>
    <row r="455" spans="1:11">
      <c r="A455" s="251">
        <f>'16U BOYS PLATINUM-18 TEAMS'!A28</f>
        <v>46053</v>
      </c>
      <c r="B455" s="150">
        <f>'16U BOYS PLATINUM-18 TEAMS'!B28</f>
        <v>0.66666666666666696</v>
      </c>
      <c r="C455" s="150" t="str">
        <f>'16U BOYS PLATINUM-18 TEAMS'!C28&amp;""</f>
        <v>SONORA HS</v>
      </c>
      <c r="D455" s="149" t="str">
        <f>'16U BOYS PLATINUM-18 TEAMS'!D28&amp;""</f>
        <v>16Bpt13</v>
      </c>
      <c r="E455" s="250" t="str">
        <f>'16U BOYS PLATINUM-18 TEAMS'!E28&amp;""</f>
        <v>A2-SAND CANYON</v>
      </c>
      <c r="F455" s="249" t="str">
        <f>'16U BOYS PLATINUM-18 TEAMS'!F28&amp;""</f>
        <v>14</v>
      </c>
      <c r="G455" s="250" t="str">
        <f>'16U BOYS PLATINUM-18 TEAMS'!G28&amp;""</f>
        <v>A3-CAPITAL</v>
      </c>
      <c r="H455" s="249" t="str">
        <f>'16U BOYS PLATINUM-18 TEAMS'!H28&amp;""</f>
        <v>11</v>
      </c>
      <c r="I455" s="106" t="str">
        <f>'16U BOYS PLATINUM-18 TEAMS'!I28&amp;""</f>
        <v>A bracket A2,A3</v>
      </c>
      <c r="J455" s="149" t="str">
        <f>'16U BOYS PLATINUM-18 TEAMS'!J28&amp;""</f>
        <v>16U_BOYS_PLATINUM</v>
      </c>
      <c r="K455" s="149" t="str">
        <f t="shared" si="13"/>
        <v>202601311600</v>
      </c>
    </row>
    <row r="456" spans="1:11">
      <c r="A456" s="251">
        <f>'16U BOYS PLATINUM-18 TEAMS'!A38</f>
        <v>46053</v>
      </c>
      <c r="B456" s="150">
        <f>'16U BOYS PLATINUM-18 TEAMS'!B38</f>
        <v>0.70833333333333304</v>
      </c>
      <c r="C456" s="150" t="str">
        <f>'16U BOYS PLATINUM-18 TEAMS'!C38&amp;""</f>
        <v>YORBA LINDA HS</v>
      </c>
      <c r="D456" s="150" t="str">
        <f>'16U BOYS PLATINUM-18 TEAMS'!D38&amp;""</f>
        <v>16Bpt14</v>
      </c>
      <c r="E456" s="149" t="str">
        <f>'16U BOYS PLATINUM-18 TEAMS'!E38&amp;""</f>
        <v>D1-LAMORINDA A</v>
      </c>
      <c r="F456" s="250" t="str">
        <f>'16U BOYS PLATINUM-18 TEAMS'!F38&amp;""</f>
        <v>15</v>
      </c>
      <c r="G456" s="249" t="str">
        <f>'16U BOYS PLATINUM-18 TEAMS'!G38&amp;""</f>
        <v>D2-SOUTH COAST RED (A)</v>
      </c>
      <c r="H456" s="250" t="str">
        <f>'16U BOYS PLATINUM-18 TEAMS'!H38&amp;""</f>
        <v>8</v>
      </c>
      <c r="I456" s="249" t="str">
        <f>'16U BOYS PLATINUM-18 TEAMS'!I38&amp;""</f>
        <v>D bracket D1,D2</v>
      </c>
      <c r="J456" s="106" t="str">
        <f>'16U BOYS PLATINUM-18 TEAMS'!J38&amp;""</f>
        <v>16U_BOYS_PLATINUM</v>
      </c>
      <c r="K456" s="106" t="str">
        <f t="shared" si="13"/>
        <v>202601311700</v>
      </c>
    </row>
    <row r="457" spans="1:11">
      <c r="A457" s="251">
        <f>'16U BOYS PLATINUM-18 TEAMS'!A29</f>
        <v>46053</v>
      </c>
      <c r="B457" s="150">
        <f>'16U BOYS PLATINUM-18 TEAMS'!B29</f>
        <v>0.70833333333333304</v>
      </c>
      <c r="C457" s="150" t="str">
        <f>'16U BOYS PLATINUM-18 TEAMS'!C29&amp;""</f>
        <v>SONORA HS</v>
      </c>
      <c r="D457" s="149" t="str">
        <f>'16U BOYS PLATINUM-18 TEAMS'!D29&amp;""</f>
        <v>16Bpt15</v>
      </c>
      <c r="E457" s="150" t="str">
        <f>'16U BOYS PLATINUM-18 TEAMS'!E29&amp;""</f>
        <v>B1-LA JOLLA UNITED NAVY</v>
      </c>
      <c r="F457" s="106" t="str">
        <f>'16U BOYS PLATINUM-18 TEAMS'!F29&amp;""</f>
        <v>8</v>
      </c>
      <c r="G457" s="150" t="str">
        <f>'16U BOYS PLATINUM-18 TEAMS'!G29&amp;""</f>
        <v>B2-AMERICAN RIVER BLUE</v>
      </c>
      <c r="H457" s="249" t="str">
        <f>'16U BOYS PLATINUM-18 TEAMS'!H29&amp;""</f>
        <v>10</v>
      </c>
      <c r="I457" s="106" t="str">
        <f>'16U BOYS PLATINUM-18 TEAMS'!I29&amp;""</f>
        <v>B bracket B1,B2</v>
      </c>
      <c r="J457" s="149" t="str">
        <f>'16U BOYS PLATINUM-18 TEAMS'!J29&amp;""</f>
        <v>16U_BOYS_PLATINUM</v>
      </c>
      <c r="K457" s="149" t="str">
        <f t="shared" si="13"/>
        <v>202601311700</v>
      </c>
    </row>
    <row r="458" spans="1:11">
      <c r="A458" s="251">
        <f>'16U BOYS PLATINUM-18 TEAMS'!A39</f>
        <v>46053</v>
      </c>
      <c r="B458" s="150">
        <f>'16U BOYS PLATINUM-18 TEAMS'!B39</f>
        <v>0.75</v>
      </c>
      <c r="C458" s="150" t="str">
        <f>'16U BOYS PLATINUM-18 TEAMS'!C39&amp;""</f>
        <v>YORBA LINDA HS</v>
      </c>
      <c r="D458" s="150" t="str">
        <f>'16U BOYS PLATINUM-18 TEAMS'!D39&amp;""</f>
        <v>16Bpt16</v>
      </c>
      <c r="E458" s="149" t="str">
        <f>'16U BOYS PLATINUM-18 TEAMS'!E39&amp;""</f>
        <v>E2-TROJAN CARDINAL</v>
      </c>
      <c r="F458" s="250" t="str">
        <f>'16U BOYS PLATINUM-18 TEAMS'!F39&amp;""</f>
        <v>9.4</v>
      </c>
      <c r="G458" s="249" t="str">
        <f>'16U BOYS PLATINUM-18 TEAMS'!G39&amp;""</f>
        <v>E3-SAN CLEMENTE RED</v>
      </c>
      <c r="H458" s="252" t="str">
        <f>'16U BOYS PLATINUM-18 TEAMS'!H39&amp;""</f>
        <v>9.5</v>
      </c>
      <c r="I458" s="249" t="str">
        <f>'16U BOYS PLATINUM-18 TEAMS'!I39&amp;""</f>
        <v>E bracket E2,E3</v>
      </c>
      <c r="J458" s="106" t="str">
        <f>'16U BOYS PLATINUM-18 TEAMS'!J39&amp;""</f>
        <v>16U_BOYS_PLATINUM</v>
      </c>
      <c r="K458" s="106" t="str">
        <f t="shared" si="13"/>
        <v>202601311800</v>
      </c>
    </row>
    <row r="459" spans="1:11">
      <c r="A459" s="251">
        <f>'16U BOYS PLATINUM-18 TEAMS'!A30</f>
        <v>46053</v>
      </c>
      <c r="B459" s="150">
        <f>'16U BOYS PLATINUM-18 TEAMS'!B30</f>
        <v>0.75</v>
      </c>
      <c r="C459" s="150" t="str">
        <f>'16U BOYS PLATINUM-18 TEAMS'!C30&amp;""</f>
        <v>SONORA HS</v>
      </c>
      <c r="D459" s="149" t="str">
        <f>'16U BOYS PLATINUM-18 TEAMS'!D30&amp;""</f>
        <v>16Bpt17</v>
      </c>
      <c r="E459" s="250" t="str">
        <f>'16U BOYS PLATINUM-18 TEAMS'!E30&amp;""</f>
        <v>C1-680 RED</v>
      </c>
      <c r="F459" s="249" t="str">
        <f>'16U BOYS PLATINUM-18 TEAMS'!F30&amp;""</f>
        <v>9</v>
      </c>
      <c r="G459" s="250" t="str">
        <f>'16U BOYS PLATINUM-18 TEAMS'!G30&amp;""</f>
        <v>C2-VANGUARD BLUE</v>
      </c>
      <c r="H459" s="249" t="str">
        <f>'16U BOYS PLATINUM-18 TEAMS'!H30&amp;""</f>
        <v>8</v>
      </c>
      <c r="I459" s="106" t="str">
        <f>'16U BOYS PLATINUM-18 TEAMS'!I30&amp;""</f>
        <v>C bracket C1,C2</v>
      </c>
      <c r="J459" s="149" t="str">
        <f>'16U BOYS PLATINUM-18 TEAMS'!J30&amp;""</f>
        <v>16U_BOYS_PLATINUM</v>
      </c>
      <c r="K459" s="149" t="str">
        <f t="shared" si="13"/>
        <v>202601311800</v>
      </c>
    </row>
    <row r="460" spans="1:11">
      <c r="A460" s="251">
        <f>'16U BOYS PLATINUM-18 TEAMS'!A40</f>
        <v>46053</v>
      </c>
      <c r="B460" s="150">
        <f>'16U BOYS PLATINUM-18 TEAMS'!B40</f>
        <v>0.79166666666666696</v>
      </c>
      <c r="C460" s="150" t="str">
        <f>'16U BOYS PLATINUM-18 TEAMS'!C40&amp;""</f>
        <v>YORBA LINDA HS</v>
      </c>
      <c r="D460" s="150" t="str">
        <f>'16U BOYS PLATINUM-18 TEAMS'!D40&amp;""</f>
        <v>16Bpt18</v>
      </c>
      <c r="E460" s="149" t="str">
        <f>'16U BOYS PLATINUM-18 TEAMS'!E40&amp;""</f>
        <v>F1-SD SHORES BLACK</v>
      </c>
      <c r="F460" s="250" t="str">
        <f>'16U BOYS PLATINUM-18 TEAMS'!F40&amp;""</f>
        <v>14</v>
      </c>
      <c r="G460" s="249" t="str">
        <f>'16U BOYS PLATINUM-18 TEAMS'!G40&amp;""</f>
        <v>F2-SHAQ</v>
      </c>
      <c r="H460" s="250" t="str">
        <f>'16U BOYS PLATINUM-18 TEAMS'!H40&amp;""</f>
        <v>10</v>
      </c>
      <c r="I460" s="249" t="str">
        <f>'16U BOYS PLATINUM-18 TEAMS'!I40&amp;""</f>
        <v>F bracket F1,F2</v>
      </c>
      <c r="J460" s="106" t="str">
        <f>'16U BOYS PLATINUM-18 TEAMS'!J40&amp;""</f>
        <v>16U_BOYS_PLATINUM</v>
      </c>
      <c r="K460" s="106" t="str">
        <f t="shared" si="13"/>
        <v>202601311900</v>
      </c>
    </row>
    <row r="461" spans="1:11">
      <c r="A461" s="251">
        <f>'16U BOYS PLATINUM-18 TEAMS'!A44</f>
        <v>46054</v>
      </c>
      <c r="B461" s="150">
        <f>'16U BOYS PLATINUM-18 TEAMS'!B44</f>
        <v>0.29166666666666669</v>
      </c>
      <c r="C461" s="150" t="str">
        <f>'16U BOYS PLATINUM-18 TEAMS'!C44&amp;""</f>
        <v>WOOLLETT NEAR RIGHT</v>
      </c>
      <c r="D461" s="150" t="str">
        <f>'16U BOYS PLATINUM-18 TEAMS'!D44&amp;""</f>
        <v>16Bpt19</v>
      </c>
      <c r="E461" s="149" t="str">
        <f>'16U BOYS PLATINUM-18 TEAMS'!E44&amp;""</f>
        <v>G1(1stA)-CC UNITED BLACK</v>
      </c>
      <c r="F461" s="250" t="str">
        <f>'16U BOYS PLATINUM-18 TEAMS'!F44&amp;""</f>
        <v>7</v>
      </c>
      <c r="G461" s="249" t="str">
        <f>'16U BOYS PLATINUM-18 TEAMS'!G44&amp;""</f>
        <v>G2(1stB)-IMPERIAL WPC</v>
      </c>
      <c r="H461" s="252" t="str">
        <f>'16U BOYS PLATINUM-18 TEAMS'!H44&amp;""</f>
        <v>4</v>
      </c>
      <c r="I461" s="249" t="str">
        <f>'16U BOYS PLATINUM-18 TEAMS'!I44&amp;""</f>
        <v>1st-6th</v>
      </c>
      <c r="J461" s="106" t="str">
        <f>'16U BOYS PLATINUM-18 TEAMS'!J44&amp;""</f>
        <v>16U_BOYS_PLATINUM</v>
      </c>
      <c r="K461" s="106" t="str">
        <f t="shared" si="13"/>
        <v>202602010700</v>
      </c>
    </row>
    <row r="462" spans="1:11">
      <c r="A462" s="251">
        <f>'16U BOYS PLATINUM-18 TEAMS'!A45</f>
        <v>46054</v>
      </c>
      <c r="B462" s="150">
        <f>'16U BOYS PLATINUM-18 TEAMS'!B45</f>
        <v>0.33333333333333298</v>
      </c>
      <c r="C462" s="150" t="str">
        <f>'16U BOYS PLATINUM-18 TEAMS'!C45&amp;""</f>
        <v>WOOLLETT NEAR RIGHT</v>
      </c>
      <c r="D462" s="150" t="str">
        <f>'16U BOYS PLATINUM-18 TEAMS'!D45&amp;""</f>
        <v>16Bpt21</v>
      </c>
      <c r="E462" s="149" t="str">
        <f>'16U BOYS PLATINUM-18 TEAMS'!E45&amp;""</f>
        <v>H1(1stD)-LAMORINDA A</v>
      </c>
      <c r="F462" s="250" t="str">
        <f>'16U BOYS PLATINUM-18 TEAMS'!F45&amp;""</f>
        <v>8</v>
      </c>
      <c r="G462" s="249" t="str">
        <f>'16U BOYS PLATINUM-18 TEAMS'!G45&amp;""</f>
        <v>H2(1stE)-CHANNEL ISLANDS UNITED GOLD</v>
      </c>
      <c r="H462" s="250" t="str">
        <f>'16U BOYS PLATINUM-18 TEAMS'!H45&amp;""</f>
        <v>9</v>
      </c>
      <c r="I462" s="249" t="str">
        <f>'16U BOYS PLATINUM-18 TEAMS'!I45&amp;""</f>
        <v>1st-6th</v>
      </c>
      <c r="J462" s="106" t="str">
        <f>'16U BOYS PLATINUM-18 TEAMS'!J45&amp;""</f>
        <v>16U_BOYS_PLATINUM</v>
      </c>
      <c r="K462" s="106" t="str">
        <f t="shared" si="13"/>
        <v>202602010800</v>
      </c>
    </row>
    <row r="463" spans="1:11">
      <c r="A463" s="251">
        <f>'16U BOYS PLATINUM-18 TEAMS'!A56</f>
        <v>46054</v>
      </c>
      <c r="B463" s="150">
        <f>'16U BOYS PLATINUM-18 TEAMS'!B56</f>
        <v>0.33333333333333298</v>
      </c>
      <c r="C463" s="150" t="str">
        <f>'16U BOYS PLATINUM-18 TEAMS'!C56&amp;""</f>
        <v>WESTMINSTER HS</v>
      </c>
      <c r="D463" s="150" t="str">
        <f>'16U BOYS PLATINUM-18 TEAMS'!D56&amp;""</f>
        <v>16Bpt26</v>
      </c>
      <c r="E463" s="149" t="str">
        <f>'16U BOYS PLATINUM-18 TEAMS'!E56&amp;""</f>
        <v>K1(2ndC)-VANGUARD BLUE</v>
      </c>
      <c r="F463" s="250" t="str">
        <f>'16U BOYS PLATINUM-18 TEAMS'!F56&amp;""</f>
        <v>14</v>
      </c>
      <c r="G463" s="249" t="str">
        <f>'16U BOYS PLATINUM-18 TEAMS'!G56&amp;""</f>
        <v xml:space="preserve">K3(2ndA)-SAND CANYON	</v>
      </c>
      <c r="H463" s="252" t="str">
        <f>'16U BOYS PLATINUM-18 TEAMS'!H56&amp;""</f>
        <v>8</v>
      </c>
      <c r="I463" s="249" t="str">
        <f>'16U BOYS PLATINUM-18 TEAMS'!I56&amp;""</f>
        <v>7th-12th</v>
      </c>
      <c r="J463" s="106" t="str">
        <f>'16U BOYS PLATINUM-18 TEAMS'!J56&amp;""</f>
        <v>16U_BOYS_PLATINUM</v>
      </c>
      <c r="K463" s="106" t="str">
        <f t="shared" si="13"/>
        <v>202602010800</v>
      </c>
    </row>
    <row r="464" spans="1:11">
      <c r="A464" s="251">
        <f>'16U BOYS PLATINUM-18 TEAMS'!A46</f>
        <v>46054</v>
      </c>
      <c r="B464" s="150">
        <f>'16U BOYS PLATINUM-18 TEAMS'!B46</f>
        <v>0.375</v>
      </c>
      <c r="C464" s="150" t="str">
        <f>'16U BOYS PLATINUM-18 TEAMS'!C46&amp;""</f>
        <v>WOOLLETT NEAR RIGHT</v>
      </c>
      <c r="D464" s="150" t="str">
        <f>'16U BOYS PLATINUM-18 TEAMS'!D46&amp;""</f>
        <v>16Bpt23</v>
      </c>
      <c r="E464" s="149" t="str">
        <f>'16U BOYS PLATINUM-18 TEAMS'!E46&amp;""</f>
        <v>J1(2ndF)-SHAQ</v>
      </c>
      <c r="F464" s="150" t="str">
        <f>'16U BOYS PLATINUM-18 TEAMS'!F46&amp;""</f>
        <v>7</v>
      </c>
      <c r="G464" s="106" t="str">
        <f>'16U BOYS PLATINUM-18 TEAMS'!G46&amp;""</f>
        <v>J2(2ndE)-SAN CLEMENTE RED</v>
      </c>
      <c r="H464" s="150" t="str">
        <f>'16U BOYS PLATINUM-18 TEAMS'!H46&amp;""</f>
        <v>5</v>
      </c>
      <c r="I464" s="249" t="str">
        <f>'16U BOYS PLATINUM-18 TEAMS'!I46&amp;""</f>
        <v>7th-12th</v>
      </c>
      <c r="J464" s="106" t="str">
        <f>'16U BOYS PLATINUM-18 TEAMS'!J46&amp;""</f>
        <v>16U_BOYS_PLATINUM</v>
      </c>
      <c r="K464" s="106" t="str">
        <f t="shared" si="13"/>
        <v>202602010900</v>
      </c>
    </row>
    <row r="465" spans="1:11">
      <c r="A465" s="251">
        <f>'16U BOYS PLATINUM-18 TEAMS'!A57</f>
        <v>46054</v>
      </c>
      <c r="B465" s="150">
        <f>'16U BOYS PLATINUM-18 TEAMS'!B57</f>
        <v>0.375</v>
      </c>
      <c r="C465" s="150" t="str">
        <f>'16U BOYS PLATINUM-18 TEAMS'!C57&amp;""</f>
        <v>WESTMINSTER HS</v>
      </c>
      <c r="D465" s="150" t="str">
        <f>'16U BOYS PLATINUM-18 TEAMS'!D57&amp;""</f>
        <v>16Bpt28</v>
      </c>
      <c r="E465" s="149" t="str">
        <f>'16U BOYS PLATINUM-18 TEAMS'!E57&amp;""</f>
        <v>M1(3rdA)-CAPITAL</v>
      </c>
      <c r="F465" s="250" t="str">
        <f>'16U BOYS PLATINUM-18 TEAMS'!F57&amp;""</f>
        <v>17</v>
      </c>
      <c r="G465" s="249" t="str">
        <f>'16U BOYS PLATINUM-18 TEAMS'!G57&amp;""</f>
        <v>M3(3rdC)-FOOTHILL RED</v>
      </c>
      <c r="H465" s="250" t="str">
        <f>'16U BOYS PLATINUM-18 TEAMS'!H57&amp;""</f>
        <v>6</v>
      </c>
      <c r="I465" s="249" t="str">
        <f>'16U BOYS PLATINUM-18 TEAMS'!I57&amp;""</f>
        <v>13th-18th</v>
      </c>
      <c r="J465" s="106" t="str">
        <f>'16U BOYS PLATINUM-18 TEAMS'!J57&amp;""</f>
        <v>16U_BOYS_PLATINUM</v>
      </c>
      <c r="K465" s="106" t="str">
        <f t="shared" si="13"/>
        <v>202602010900</v>
      </c>
    </row>
    <row r="466" spans="1:11">
      <c r="A466" s="251">
        <f>'16U BOYS PLATINUM-18 TEAMS'!A47</f>
        <v>46054</v>
      </c>
      <c r="B466" s="150">
        <f>'16U BOYS PLATINUM-18 TEAMS'!B47</f>
        <v>0.41666666666666702</v>
      </c>
      <c r="C466" s="150" t="str">
        <f>'16U BOYS PLATINUM-18 TEAMS'!C47&amp;""</f>
        <v>WOOLLETT NEAR RIGHT</v>
      </c>
      <c r="D466" s="150" t="str">
        <f>'16U BOYS PLATINUM-18 TEAMS'!D47&amp;""</f>
        <v>16Bpt25</v>
      </c>
      <c r="E466" s="149" t="str">
        <f>'16U BOYS PLATINUM-18 TEAMS'!E47&amp;""</f>
        <v>G1(1stA)-CC UNITED BLACK</v>
      </c>
      <c r="F466" s="250" t="str">
        <f>'16U BOYS PLATINUM-18 TEAMS'!F47&amp;""</f>
        <v>12</v>
      </c>
      <c r="G466" s="249" t="str">
        <f>'16U BOYS PLATINUM-18 TEAMS'!G47&amp;""</f>
        <v>G3(1stC)-680 RED</v>
      </c>
      <c r="H466" s="250" t="str">
        <f>'16U BOYS PLATINUM-18 TEAMS'!H47&amp;""</f>
        <v>10</v>
      </c>
      <c r="I466" s="249" t="str">
        <f>'16U BOYS PLATINUM-18 TEAMS'!I47&amp;""</f>
        <v>1st-6th</v>
      </c>
      <c r="J466" s="106" t="str">
        <f>'16U BOYS PLATINUM-18 TEAMS'!J47&amp;""</f>
        <v>16U_BOYS_PLATINUM</v>
      </c>
      <c r="K466" s="106" t="str">
        <f t="shared" si="13"/>
        <v>202602011000</v>
      </c>
    </row>
    <row r="467" spans="1:11">
      <c r="A467" s="251">
        <f>'16U BOYS PLATINUM-18 TEAMS'!A58</f>
        <v>46054</v>
      </c>
      <c r="B467" s="150">
        <f>'16U BOYS PLATINUM-18 TEAMS'!B58</f>
        <v>0.41666666666666702</v>
      </c>
      <c r="C467" s="150" t="str">
        <f>'16U BOYS PLATINUM-18 TEAMS'!C58&amp;""</f>
        <v>WESTMINSTER HS</v>
      </c>
      <c r="D467" s="150" t="str">
        <f>'16U BOYS PLATINUM-18 TEAMS'!D58&amp;""</f>
        <v>16Bpt30</v>
      </c>
      <c r="E467" s="149" t="str">
        <f>'16U BOYS PLATINUM-18 TEAMS'!E58&amp;""</f>
        <v>N1(3rdD)-SANTA CRUZ</v>
      </c>
      <c r="F467" s="150" t="str">
        <f>'16U BOYS PLATINUM-18 TEAMS'!F58&amp;""</f>
        <v>12</v>
      </c>
      <c r="G467" s="106" t="str">
        <f>'16U BOYS PLATINUM-18 TEAMS'!G58&amp;""</f>
        <v>N3(3rdF)-ASPHALT GREEN</v>
      </c>
      <c r="H467" s="150" t="str">
        <f>'16U BOYS PLATINUM-18 TEAMS'!H58&amp;""</f>
        <v>14</v>
      </c>
      <c r="I467" s="249" t="str">
        <f>'16U BOYS PLATINUM-18 TEAMS'!I58&amp;""</f>
        <v>13th-18th</v>
      </c>
      <c r="J467" s="106" t="str">
        <f>'16U BOYS PLATINUM-18 TEAMS'!J58&amp;""</f>
        <v>16U_BOYS_PLATINUM</v>
      </c>
      <c r="K467" s="106" t="str">
        <f t="shared" si="13"/>
        <v>202602011000</v>
      </c>
    </row>
    <row r="468" spans="1:11">
      <c r="A468" s="251">
        <f>'16U BOYS PLATINUM-18 TEAMS'!A48</f>
        <v>46054</v>
      </c>
      <c r="B468" s="150">
        <f>'16U BOYS PLATINUM-18 TEAMS'!B48</f>
        <v>0.45833333333333298</v>
      </c>
      <c r="C468" s="150" t="str">
        <f>'16U BOYS PLATINUM-18 TEAMS'!C48&amp;""</f>
        <v>WOOLLETT NEAR RIGHT</v>
      </c>
      <c r="D468" s="150" t="str">
        <f>'16U BOYS PLATINUM-18 TEAMS'!D48&amp;""</f>
        <v>16Bpt27</v>
      </c>
      <c r="E468" s="149" t="str">
        <f>'16U BOYS PLATINUM-18 TEAMS'!E48&amp;""</f>
        <v>H1(1stD)-LAMORINDA A</v>
      </c>
      <c r="F468" s="250" t="str">
        <f>'16U BOYS PLATINUM-18 TEAMS'!F48&amp;""</f>
        <v>18</v>
      </c>
      <c r="G468" s="249" t="str">
        <f>'16U BOYS PLATINUM-18 TEAMS'!G48&amp;""</f>
        <v>H3(1stF)-SD SHORES BLACK</v>
      </c>
      <c r="H468" s="252" t="str">
        <f>'16U BOYS PLATINUM-18 TEAMS'!H48&amp;""</f>
        <v>11</v>
      </c>
      <c r="I468" s="249" t="str">
        <f>'16U BOYS PLATINUM-18 TEAMS'!I48&amp;""</f>
        <v>1st-6th</v>
      </c>
      <c r="J468" s="106" t="str">
        <f>'16U BOYS PLATINUM-18 TEAMS'!J48&amp;""</f>
        <v>16U_BOYS_PLATINUM</v>
      </c>
      <c r="K468" s="106" t="str">
        <f t="shared" si="13"/>
        <v>202602011100</v>
      </c>
    </row>
    <row r="469" spans="1:11">
      <c r="A469" s="251">
        <f>'16U BOYS PLATINUM-18 TEAMS'!A49</f>
        <v>46054</v>
      </c>
      <c r="B469" s="150">
        <f>'16U BOYS PLATINUM-18 TEAMS'!B49</f>
        <v>0.5</v>
      </c>
      <c r="C469" s="150" t="str">
        <f>'16U BOYS PLATINUM-18 TEAMS'!C49&amp;""</f>
        <v>WOOLLETT NEAR RIGHT</v>
      </c>
      <c r="D469" s="150" t="str">
        <f>'16U BOYS PLATINUM-18 TEAMS'!D49&amp;""</f>
        <v>16Bpt29</v>
      </c>
      <c r="E469" s="149" t="str">
        <f>'16U BOYS PLATINUM-18 TEAMS'!E49&amp;""</f>
        <v>J1(2ndF)-SHAQ</v>
      </c>
      <c r="F469" s="250" t="str">
        <f>'16U BOYS PLATINUM-18 TEAMS'!F49&amp;""</f>
        <v>5</v>
      </c>
      <c r="G469" s="249" t="str">
        <f>'16U BOYS PLATINUM-18 TEAMS'!G49&amp;""</f>
        <v>J3(2ndD)-SOUTH COAST RED (A)</v>
      </c>
      <c r="H469" s="250" t="str">
        <f>'16U BOYS PLATINUM-18 TEAMS'!H49&amp;""</f>
        <v>12</v>
      </c>
      <c r="I469" s="249" t="str">
        <f>'16U BOYS PLATINUM-18 TEAMS'!I49&amp;""</f>
        <v>7th-12th</v>
      </c>
      <c r="J469" s="106" t="str">
        <f>'16U BOYS PLATINUM-18 TEAMS'!J49&amp;""</f>
        <v>16U_BOYS_PLATINUM</v>
      </c>
      <c r="K469" s="106" t="str">
        <f t="shared" si="13"/>
        <v>202602011200</v>
      </c>
    </row>
    <row r="470" spans="1:11">
      <c r="A470" s="251">
        <f>'16U BOYS PLATINUM-18 TEAMS'!A50</f>
        <v>46054</v>
      </c>
      <c r="B470" s="150">
        <f>'16U BOYS PLATINUM-18 TEAMS'!B50</f>
        <v>0.54166666666666696</v>
      </c>
      <c r="C470" s="150" t="str">
        <f>'16U BOYS PLATINUM-18 TEAMS'!C50&amp;""</f>
        <v>WOOLLETT NEAR RIGHT</v>
      </c>
      <c r="D470" s="150" t="str">
        <f>'16U BOYS PLATINUM-18 TEAMS'!D50&amp;""</f>
        <v>16Bpt31</v>
      </c>
      <c r="E470" s="149" t="str">
        <f>'16U BOYS PLATINUM-18 TEAMS'!E50&amp;""</f>
        <v>G2(1stB)-IMPERIAL WPC</v>
      </c>
      <c r="F470" s="150" t="str">
        <f>'16U BOYS PLATINUM-18 TEAMS'!F50&amp;""</f>
        <v>10</v>
      </c>
      <c r="G470" s="106" t="str">
        <f>'16U BOYS PLATINUM-18 TEAMS'!G50&amp;""</f>
        <v>G3(1stC)-680 RED</v>
      </c>
      <c r="H470" s="150" t="str">
        <f>'16U BOYS PLATINUM-18 TEAMS'!H50&amp;""</f>
        <v>9</v>
      </c>
      <c r="I470" s="249" t="str">
        <f>'16U BOYS PLATINUM-18 TEAMS'!I50&amp;""</f>
        <v>1st-6th</v>
      </c>
      <c r="J470" s="106" t="str">
        <f>'16U BOYS PLATINUM-18 TEAMS'!J50&amp;""</f>
        <v>16U_BOYS_PLATINUM</v>
      </c>
      <c r="K470" s="106" t="str">
        <f t="shared" si="13"/>
        <v>202602011300</v>
      </c>
    </row>
    <row r="471" spans="1:11">
      <c r="A471" s="251">
        <f>'16U BOYS PLATINUM-18 TEAMS'!A60</f>
        <v>46054</v>
      </c>
      <c r="B471" s="150">
        <f>'16U BOYS PLATINUM-18 TEAMS'!B60</f>
        <v>0.54166666666666696</v>
      </c>
      <c r="C471" s="150" t="str">
        <f>'16U BOYS PLATINUM-18 TEAMS'!C60&amp;""</f>
        <v>WESTMINSTER HS</v>
      </c>
      <c r="D471" s="150" t="str">
        <f>'16U BOYS PLATINUM-18 TEAMS'!D60&amp;""</f>
        <v>16Bpt32</v>
      </c>
      <c r="E471" s="149" t="str">
        <f>'16U BOYS PLATINUM-18 TEAMS'!E60&amp;""</f>
        <v>K2(2ndB)-AMERICAN RIVER BLUE</v>
      </c>
      <c r="F471" s="250" t="str">
        <f>'16U BOYS PLATINUM-18 TEAMS'!F60&amp;""</f>
        <v>10</v>
      </c>
      <c r="G471" s="249" t="str">
        <f>'16U BOYS PLATINUM-18 TEAMS'!G60&amp;""</f>
        <v xml:space="preserve">K3(2ndA)-SAND CANYON	</v>
      </c>
      <c r="H471" s="250" t="str">
        <f>'16U BOYS PLATINUM-18 TEAMS'!H60&amp;""</f>
        <v>6</v>
      </c>
      <c r="I471" s="249" t="str">
        <f>'16U BOYS PLATINUM-18 TEAMS'!I60&amp;""</f>
        <v>7th-12th</v>
      </c>
      <c r="J471" s="106" t="str">
        <f>'16U BOYS PLATINUM-18 TEAMS'!J60&amp;""</f>
        <v>16U_BOYS_PLATINUM</v>
      </c>
      <c r="K471" s="106" t="str">
        <f t="shared" si="13"/>
        <v>202602011300</v>
      </c>
    </row>
    <row r="472" spans="1:11">
      <c r="A472" s="251">
        <f>'16U BOYS PLATINUM-18 TEAMS'!A51</f>
        <v>46054</v>
      </c>
      <c r="B472" s="150">
        <f>'16U BOYS PLATINUM-18 TEAMS'!B51</f>
        <v>0.58333333333333304</v>
      </c>
      <c r="C472" s="150" t="str">
        <f>'16U BOYS PLATINUM-18 TEAMS'!C51&amp;""</f>
        <v>WOOLLETT NEAR RIGHT</v>
      </c>
      <c r="D472" s="150" t="str">
        <f>'16U BOYS PLATINUM-18 TEAMS'!D51&amp;""</f>
        <v>16Bpt33</v>
      </c>
      <c r="E472" s="149" t="str">
        <f>'16U BOYS PLATINUM-18 TEAMS'!E51&amp;""</f>
        <v>H2(1stE)-CHANNEL ISLANDS UNITED GOLD</v>
      </c>
      <c r="F472" s="250" t="str">
        <f>'16U BOYS PLATINUM-18 TEAMS'!F51&amp;""</f>
        <v>11</v>
      </c>
      <c r="G472" s="249" t="str">
        <f>'16U BOYS PLATINUM-18 TEAMS'!G51&amp;""</f>
        <v>H3(1stF)-SD SHORES BLACK</v>
      </c>
      <c r="H472" s="252" t="str">
        <f>'16U BOYS PLATINUM-18 TEAMS'!H51&amp;""</f>
        <v>9</v>
      </c>
      <c r="I472" s="249" t="str">
        <f>'16U BOYS PLATINUM-18 TEAMS'!I51&amp;""</f>
        <v>1st-6th</v>
      </c>
      <c r="J472" s="106" t="str">
        <f>'16U BOYS PLATINUM-18 TEAMS'!J51&amp;""</f>
        <v>16U_BOYS_PLATINUM</v>
      </c>
      <c r="K472" s="106" t="str">
        <f t="shared" si="13"/>
        <v>202602011400</v>
      </c>
    </row>
    <row r="473" spans="1:11">
      <c r="A473" s="251">
        <f>'16U BOYS PLATINUM-18 TEAMS'!A61</f>
        <v>46054</v>
      </c>
      <c r="B473" s="150">
        <f>'16U BOYS PLATINUM-18 TEAMS'!B61</f>
        <v>0.58333333333333304</v>
      </c>
      <c r="C473" s="150" t="str">
        <f>'16U BOYS PLATINUM-18 TEAMS'!C61&amp;""</f>
        <v>WESTMINSTER HS</v>
      </c>
      <c r="D473" s="150" t="str">
        <f>'16U BOYS PLATINUM-18 TEAMS'!D61&amp;""</f>
        <v>16Bpt34</v>
      </c>
      <c r="E473" s="149" t="str">
        <f>'16U BOYS PLATINUM-18 TEAMS'!E61&amp;""</f>
        <v>M2(3rdB)-LA JOLLA UNITED NAVY</v>
      </c>
      <c r="F473" s="250" t="str">
        <f>'16U BOYS PLATINUM-18 TEAMS'!F61&amp;""</f>
        <v>18</v>
      </c>
      <c r="G473" s="249" t="str">
        <f>'16U BOYS PLATINUM-18 TEAMS'!G61&amp;""</f>
        <v>M3(3rdC)-FOOTHILL RED</v>
      </c>
      <c r="H473" s="252" t="str">
        <f>'16U BOYS PLATINUM-18 TEAMS'!H61&amp;""</f>
        <v>4</v>
      </c>
      <c r="I473" s="249" t="str">
        <f>'16U BOYS PLATINUM-18 TEAMS'!I61&amp;""</f>
        <v>13th-18th</v>
      </c>
      <c r="J473" s="106" t="str">
        <f>'16U BOYS PLATINUM-18 TEAMS'!J61&amp;""</f>
        <v>16U_BOYS_PLATINUM</v>
      </c>
      <c r="K473" s="106" t="str">
        <f t="shared" si="13"/>
        <v>202602011400</v>
      </c>
    </row>
    <row r="474" spans="1:11">
      <c r="A474" s="251">
        <f>'16U BOYS PLATINUM-18 TEAMS'!A52</f>
        <v>46054</v>
      </c>
      <c r="B474" s="150">
        <f>'16U BOYS PLATINUM-18 TEAMS'!B52</f>
        <v>0.625</v>
      </c>
      <c r="C474" s="150" t="str">
        <f>'16U BOYS PLATINUM-18 TEAMS'!C52&amp;""</f>
        <v>WOOLLETT NEAR RIGHT</v>
      </c>
      <c r="D474" s="150" t="str">
        <f>'16U BOYS PLATINUM-18 TEAMS'!D52&amp;""</f>
        <v>16Bpt35</v>
      </c>
      <c r="E474" s="149" t="str">
        <f>'16U BOYS PLATINUM-18 TEAMS'!E52&amp;""</f>
        <v>J2(2ndE)-SAN CLEMENTE RED</v>
      </c>
      <c r="F474" s="250" t="str">
        <f>'16U BOYS PLATINUM-18 TEAMS'!F52&amp;""</f>
        <v>10.5</v>
      </c>
      <c r="G474" s="249" t="str">
        <f>'16U BOYS PLATINUM-18 TEAMS'!G52&amp;""</f>
        <v>J3(2ndD)-SOUTH COAST RED (A)</v>
      </c>
      <c r="H474" s="250" t="str">
        <f>'16U BOYS PLATINUM-18 TEAMS'!H52&amp;""</f>
        <v>10.6</v>
      </c>
      <c r="I474" s="249" t="str">
        <f>'16U BOYS PLATINUM-18 TEAMS'!I52&amp;""</f>
        <v>7th-12th</v>
      </c>
      <c r="J474" s="106" t="str">
        <f>'16U BOYS PLATINUM-18 TEAMS'!J52&amp;""</f>
        <v>16U_BOYS_PLATINUM</v>
      </c>
      <c r="K474" s="106" t="str">
        <f t="shared" si="13"/>
        <v>202602011500</v>
      </c>
    </row>
    <row r="475" spans="1:11">
      <c r="A475" s="251">
        <f>'16U BOYS PLATINUM-18 TEAMS'!A62</f>
        <v>46054</v>
      </c>
      <c r="B475" s="150">
        <f>'16U BOYS PLATINUM-18 TEAMS'!B62</f>
        <v>0.625</v>
      </c>
      <c r="C475" s="150" t="str">
        <f>'16U BOYS PLATINUM-18 TEAMS'!C62&amp;""</f>
        <v>WESTMINSTER HS</v>
      </c>
      <c r="D475" s="150" t="str">
        <f>'16U BOYS PLATINUM-18 TEAMS'!D62&amp;""</f>
        <v>16Bpt36</v>
      </c>
      <c r="E475" s="149" t="str">
        <f>'16U BOYS PLATINUM-18 TEAMS'!E62&amp;""</f>
        <v>N2(3rdE)-TROJAN CARDINAL</v>
      </c>
      <c r="F475" s="250" t="str">
        <f>'16U BOYS PLATINUM-18 TEAMS'!F62&amp;""</f>
        <v>8</v>
      </c>
      <c r="G475" s="249" t="str">
        <f>'16U BOYS PLATINUM-18 TEAMS'!G62&amp;""</f>
        <v>N3(3rdF)-ASPHALT GREEN</v>
      </c>
      <c r="H475" s="252" t="str">
        <f>'16U BOYS PLATINUM-18 TEAMS'!H62&amp;""</f>
        <v>7</v>
      </c>
      <c r="I475" s="249" t="str">
        <f>'16U BOYS PLATINUM-18 TEAMS'!I62&amp;""</f>
        <v>13th-18th</v>
      </c>
      <c r="J475" s="106" t="str">
        <f>'16U BOYS PLATINUM-18 TEAMS'!J62&amp;""</f>
        <v>16U_BOYS_PLATINUM</v>
      </c>
      <c r="K475" s="106" t="str">
        <f t="shared" si="13"/>
        <v>202602011500</v>
      </c>
    </row>
    <row r="476" spans="1:11">
      <c r="A476" s="251">
        <f>'16U BOYS PLATINUM-18 TEAMS'!A63</f>
        <v>46054</v>
      </c>
      <c r="B476" s="150">
        <f>'16U BOYS PLATINUM-18 TEAMS'!B63</f>
        <v>0.66666666666666696</v>
      </c>
      <c r="C476" s="150" t="str">
        <f>'16U BOYS PLATINUM-18 TEAMS'!C63&amp;""</f>
        <v>WESTMINSTER HS</v>
      </c>
      <c r="D476" s="150" t="str">
        <f>'16U BOYS PLATINUM-18 TEAMS'!D63&amp;""</f>
        <v>16Bpt20</v>
      </c>
      <c r="E476" s="149" t="str">
        <f>'16U BOYS PLATINUM-18 TEAMS'!E63&amp;""</f>
        <v>K1(2ndC)-VANGUARD BLUE</v>
      </c>
      <c r="F476" s="250" t="str">
        <f>'16U BOYS PLATINUM-18 TEAMS'!F63&amp;""</f>
        <v>14</v>
      </c>
      <c r="G476" s="249" t="str">
        <f>'16U BOYS PLATINUM-18 TEAMS'!G63&amp;""</f>
        <v>K2(2ndB)-AMERICAN RIVER BLUE</v>
      </c>
      <c r="H476" s="250" t="str">
        <f>'16U BOYS PLATINUM-18 TEAMS'!H63&amp;""</f>
        <v>6</v>
      </c>
      <c r="I476" s="249" t="str">
        <f>'16U BOYS PLATINUM-18 TEAMS'!I63&amp;""</f>
        <v>7th-12th</v>
      </c>
      <c r="J476" s="106" t="str">
        <f>'16U BOYS PLATINUM-18 TEAMS'!J63&amp;""</f>
        <v>16U_BOYS_PLATINUM</v>
      </c>
      <c r="K476" s="106" t="str">
        <f t="shared" si="13"/>
        <v>202602011600</v>
      </c>
    </row>
    <row r="477" spans="1:11">
      <c r="A477" s="251">
        <f>'16U BOYS PLATINUM-18 TEAMS'!A53</f>
        <v>46054</v>
      </c>
      <c r="B477" s="150">
        <f>'16U BOYS PLATINUM-18 TEAMS'!B53</f>
        <v>0.66666666666666696</v>
      </c>
      <c r="C477" s="150" t="str">
        <f>'16U BOYS PLATINUM-18 TEAMS'!C53&amp;""</f>
        <v>WOOLLETT NEAR RIGHT</v>
      </c>
      <c r="D477" s="150" t="str">
        <f>'16U BOYS PLATINUM-18 TEAMS'!D53&amp;""</f>
        <v>16Bpt37</v>
      </c>
      <c r="E477" s="149" t="str">
        <f>'16U BOYS PLATINUM-18 TEAMS'!E53&amp;""</f>
        <v>2ndG-IMPERIAL WPC</v>
      </c>
      <c r="F477" s="150" t="str">
        <f>'16U BOYS PLATINUM-18 TEAMS'!F53&amp;""</f>
        <v>13</v>
      </c>
      <c r="G477" s="106" t="str">
        <f>'16U BOYS PLATINUM-18 TEAMS'!G53&amp;""</f>
        <v>2ndH-LAMORINDA A</v>
      </c>
      <c r="H477" s="150" t="str">
        <f>'16U BOYS PLATINUM-18 TEAMS'!H53&amp;""</f>
        <v>10</v>
      </c>
      <c r="I477" s="249" t="str">
        <f>'16U BOYS PLATINUM-18 TEAMS'!I53&amp;""</f>
        <v>overall 3rd</v>
      </c>
      <c r="J477" s="106" t="str">
        <f>'16U BOYS PLATINUM-18 TEAMS'!J53&amp;""</f>
        <v>16U_BOYS_PLATINUM</v>
      </c>
      <c r="K477" s="106" t="str">
        <f t="shared" si="13"/>
        <v>202602011600</v>
      </c>
    </row>
    <row r="478" spans="1:11">
      <c r="A478" s="251">
        <f>'16U BOYS PLATINUM-18 TEAMS'!A64</f>
        <v>46054</v>
      </c>
      <c r="B478" s="150">
        <f>'16U BOYS PLATINUM-18 TEAMS'!B64</f>
        <v>0.70833333333333304</v>
      </c>
      <c r="C478" s="150" t="str">
        <f>'16U BOYS PLATINUM-18 TEAMS'!C64&amp;""</f>
        <v>WESTMINSTER HS</v>
      </c>
      <c r="D478" s="150" t="str">
        <f>'16U BOYS PLATINUM-18 TEAMS'!D64&amp;""</f>
        <v>16Bpt22</v>
      </c>
      <c r="E478" s="149" t="str">
        <f>'16U BOYS PLATINUM-18 TEAMS'!E64&amp;""</f>
        <v>M1(3rdA)-CAPITAL</v>
      </c>
      <c r="F478" s="150" t="str">
        <f>'16U BOYS PLATINUM-18 TEAMS'!F64&amp;""</f>
        <v>6</v>
      </c>
      <c r="G478" s="106" t="str">
        <f>'16U BOYS PLATINUM-18 TEAMS'!G64&amp;""</f>
        <v>M2(3rdB)-LA JOLLA UNITED NAVY</v>
      </c>
      <c r="H478" s="150" t="str">
        <f>'16U BOYS PLATINUM-18 TEAMS'!H64&amp;""</f>
        <v>16</v>
      </c>
      <c r="I478" s="249" t="str">
        <f>'16U BOYS PLATINUM-18 TEAMS'!I64&amp;""</f>
        <v>13th-18th</v>
      </c>
      <c r="J478" s="106" t="str">
        <f>'16U BOYS PLATINUM-18 TEAMS'!J64&amp;""</f>
        <v>16U_BOYS_PLATINUM</v>
      </c>
      <c r="K478" s="106" t="str">
        <f t="shared" si="13"/>
        <v>202602011700</v>
      </c>
    </row>
    <row r="479" spans="1:11">
      <c r="A479" s="251">
        <f>'16U BOYS PLATINUM-18 TEAMS'!A54</f>
        <v>46054</v>
      </c>
      <c r="B479" s="150">
        <f>'16U BOYS PLATINUM-18 TEAMS'!B54</f>
        <v>0.70833333333333304</v>
      </c>
      <c r="C479" s="150" t="str">
        <f>'16U BOYS PLATINUM-18 TEAMS'!C54&amp;""</f>
        <v>WOOLLETT NEAR RIGHT</v>
      </c>
      <c r="D479" s="150" t="str">
        <f>'16U BOYS PLATINUM-18 TEAMS'!D54&amp;""</f>
        <v>16Bpt38</v>
      </c>
      <c r="E479" s="149" t="str">
        <f>'16U BOYS PLATINUM-18 TEAMS'!E54&amp;""</f>
        <v>1stG-CC UNITED BLACK</v>
      </c>
      <c r="F479" s="250" t="str">
        <f>'16U BOYS PLATINUM-18 TEAMS'!F54&amp;""</f>
        <v>11</v>
      </c>
      <c r="G479" s="249" t="str">
        <f>'16U BOYS PLATINUM-18 TEAMS'!G54&amp;""</f>
        <v>1stH-CHANNEL ISLANDS UNITED GOLD</v>
      </c>
      <c r="H479" s="250" t="str">
        <f>'16U BOYS PLATINUM-18 TEAMS'!H54&amp;""</f>
        <v>8</v>
      </c>
      <c r="I479" s="249" t="str">
        <f>'16U BOYS PLATINUM-18 TEAMS'!I54&amp;""</f>
        <v>overall 1st</v>
      </c>
      <c r="J479" s="106" t="str">
        <f>'16U BOYS PLATINUM-18 TEAMS'!J54&amp;""</f>
        <v>16U_BOYS_PLATINUM</v>
      </c>
      <c r="K479" s="106" t="str">
        <f t="shared" si="13"/>
        <v>202602011700</v>
      </c>
    </row>
    <row r="480" spans="1:11">
      <c r="A480" s="251">
        <f>'16U BOYS PLATINUM-18 TEAMS'!A65</f>
        <v>46054</v>
      </c>
      <c r="B480" s="150">
        <f>'16U BOYS PLATINUM-18 TEAMS'!B65</f>
        <v>0.75</v>
      </c>
      <c r="C480" s="150" t="str">
        <f>'16U BOYS PLATINUM-18 TEAMS'!C65&amp;""</f>
        <v>WESTMINSTER HS</v>
      </c>
      <c r="D480" s="150" t="str">
        <f>'16U BOYS PLATINUM-18 TEAMS'!D65&amp;""</f>
        <v>16Bpt24</v>
      </c>
      <c r="E480" s="149" t="str">
        <f>'16U BOYS PLATINUM-18 TEAMS'!E65&amp;""</f>
        <v>N1(3rdD)-SANTA CRUZ</v>
      </c>
      <c r="F480" s="250" t="str">
        <f>'16U BOYS PLATINUM-18 TEAMS'!F65&amp;""</f>
        <v>8</v>
      </c>
      <c r="G480" s="249" t="str">
        <f>'16U BOYS PLATINUM-18 TEAMS'!G65&amp;""</f>
        <v>N2(3rdE)-TROJAN CARDINAL</v>
      </c>
      <c r="H480" s="250" t="str">
        <f>'16U BOYS PLATINUM-18 TEAMS'!H65&amp;""</f>
        <v>12</v>
      </c>
      <c r="I480" s="249" t="str">
        <f>'16U BOYS PLATINUM-18 TEAMS'!I65&amp;""</f>
        <v>13th-18th</v>
      </c>
      <c r="J480" s="106" t="str">
        <f>'16U BOYS PLATINUM-18 TEAMS'!J65&amp;""</f>
        <v>16U_BOYS_PLATINUM</v>
      </c>
      <c r="K480" s="106" t="str">
        <f t="shared" si="13"/>
        <v>202602011800</v>
      </c>
    </row>
    <row r="481" spans="1:11">
      <c r="A481" s="265">
        <f>'19U BOYS SILVER-6 TEAMS CUST'!A10</f>
        <v>46053</v>
      </c>
      <c r="B481" s="264">
        <f>'19U BOYS SILVER-6 TEAMS CUST'!B10</f>
        <v>0.52083333333333337</v>
      </c>
      <c r="C481" s="264" t="str">
        <f>'19U BOYS SILVER-6 TEAMS CUST'!C10&amp;""</f>
        <v>SADDLEBACK COLLEGE</v>
      </c>
      <c r="D481" s="108" t="str">
        <f>'19U BOYS SILVER-6 TEAMS CUST'!D10&amp;""</f>
        <v>19Bag01</v>
      </c>
      <c r="E481" s="108" t="str">
        <f>'19U BOYS SILVER-6 TEAMS CUST'!E10&amp;""</f>
        <v>A1-SHORE AQUATICS</v>
      </c>
      <c r="F481" s="108" t="str">
        <f>'19U BOYS SILVER-6 TEAMS CUST'!F10&amp;""</f>
        <v>9</v>
      </c>
      <c r="G481" s="108" t="str">
        <f>'19U BOYS SILVER-6 TEAMS CUST'!G10&amp;""</f>
        <v>A3-SD ECA</v>
      </c>
      <c r="H481" s="108" t="str">
        <f>'19U BOYS SILVER-6 TEAMS CUST'!H10&amp;""</f>
        <v>11</v>
      </c>
      <c r="I481" s="108" t="str">
        <f>'19U BOYS SILVER-6 TEAMS CUST'!I10&amp;""</f>
        <v>A bracket A1,A3</v>
      </c>
      <c r="J481" s="108" t="str">
        <f>'19U BOYS SILVER-6 TEAMS CUST'!J10&amp;""</f>
        <v>19U_BOYS_SILVER</v>
      </c>
      <c r="K481" s="108" t="str">
        <f t="shared" si="13"/>
        <v>202601311230</v>
      </c>
    </row>
    <row r="482" spans="1:11">
      <c r="A482" s="265">
        <f>'19U BOYS SILVER-6 TEAMS CUST'!A11</f>
        <v>46053</v>
      </c>
      <c r="B482" s="264">
        <f>'19U BOYS SILVER-6 TEAMS CUST'!B11</f>
        <v>0.5625</v>
      </c>
      <c r="C482" s="264" t="str">
        <f>'19U BOYS SILVER-6 TEAMS CUST'!C11&amp;""</f>
        <v>SADDLEBACK COLLEGE</v>
      </c>
      <c r="D482" s="108" t="str">
        <f>'19U BOYS SILVER-6 TEAMS CUST'!D11&amp;""</f>
        <v>19Bag02</v>
      </c>
      <c r="E482" s="329" t="str">
        <f>'19U BOYS SILVER-6 TEAMS CUST'!E11&amp;""</f>
        <v>B1-CHARGERS WHITE</v>
      </c>
      <c r="F482" s="108" t="str">
        <f>'19U BOYS SILVER-6 TEAMS CUST'!F11&amp;""</f>
        <v>9</v>
      </c>
      <c r="G482" s="108" t="str">
        <f>'19U BOYS SILVER-6 TEAMS CUST'!G11&amp;""</f>
        <v>B3-OHANA</v>
      </c>
      <c r="H482" s="108" t="str">
        <f>'19U BOYS SILVER-6 TEAMS CUST'!H11&amp;""</f>
        <v>6</v>
      </c>
      <c r="I482" s="108" t="str">
        <f>'19U BOYS SILVER-6 TEAMS CUST'!I11&amp;""</f>
        <v>B bracket B1,B3</v>
      </c>
      <c r="J482" s="108" t="str">
        <f>'19U BOYS SILVER-6 TEAMS CUST'!J11&amp;""</f>
        <v>19U_BOYS_SILVER</v>
      </c>
      <c r="K482" s="108" t="str">
        <f t="shared" si="13"/>
        <v>202601311330</v>
      </c>
    </row>
    <row r="483" spans="1:11">
      <c r="A483" s="265">
        <f>'19U BOYS SILVER-6 TEAMS CUST'!A12</f>
        <v>46053</v>
      </c>
      <c r="B483" s="264">
        <f>'19U BOYS SILVER-6 TEAMS CUST'!B12</f>
        <v>0.60416666666666696</v>
      </c>
      <c r="C483" s="264" t="str">
        <f>'19U BOYS SILVER-6 TEAMS CUST'!C12&amp;""</f>
        <v>SADDLEBACK COLLEGE</v>
      </c>
      <c r="D483" s="108" t="str">
        <f>'19U BOYS SILVER-6 TEAMS CUST'!D12&amp;""</f>
        <v>19Bag03</v>
      </c>
      <c r="E483" s="108" t="str">
        <f>'19U BOYS SILVER-6 TEAMS CUST'!E12&amp;""</f>
        <v>A2-OPA</v>
      </c>
      <c r="F483" s="108" t="str">
        <f>'19U BOYS SILVER-6 TEAMS CUST'!F12&amp;""</f>
        <v>6</v>
      </c>
      <c r="G483" s="108" t="str">
        <f>'19U BOYS SILVER-6 TEAMS CUST'!G12&amp;""</f>
        <v>A3-SD ECA</v>
      </c>
      <c r="H483" s="108" t="str">
        <f>'19U BOYS SILVER-6 TEAMS CUST'!H12&amp;""</f>
        <v>14</v>
      </c>
      <c r="I483" s="108" t="str">
        <f>'19U BOYS SILVER-6 TEAMS CUST'!I12&amp;""</f>
        <v>A bracket A2,A3</v>
      </c>
      <c r="J483" s="108" t="str">
        <f>'19U BOYS SILVER-6 TEAMS CUST'!J12&amp;""</f>
        <v>19U_BOYS_SILVER</v>
      </c>
      <c r="K483" s="108" t="str">
        <f t="shared" si="13"/>
        <v>202601311430</v>
      </c>
    </row>
    <row r="484" spans="1:11">
      <c r="A484" s="265">
        <f>'19U BOYS SILVER-6 TEAMS CUST'!A13</f>
        <v>46053</v>
      </c>
      <c r="B484" s="264">
        <f>'19U BOYS SILVER-6 TEAMS CUST'!B13</f>
        <v>0.64583333333333304</v>
      </c>
      <c r="C484" s="264" t="str">
        <f>'19U BOYS SILVER-6 TEAMS CUST'!C13&amp;""</f>
        <v>SADDLEBACK COLLEGE</v>
      </c>
      <c r="D484" s="108" t="str">
        <f>'19U BOYS SILVER-6 TEAMS CUST'!D13&amp;""</f>
        <v>19Bag04</v>
      </c>
      <c r="E484" s="329" t="str">
        <f>'19U BOYS SILVER-6 TEAMS CUST'!E13&amp;""</f>
        <v>B1-CHARGERS WHITE</v>
      </c>
      <c r="F484" s="108" t="str">
        <f>'19U BOYS SILVER-6 TEAMS CUST'!F13&amp;""</f>
        <v>10</v>
      </c>
      <c r="G484" s="108" t="str">
        <f>'19U BOYS SILVER-6 TEAMS CUST'!G13&amp;""</f>
        <v>B2-SAN JOSE EXPRESS GOLD</v>
      </c>
      <c r="H484" s="108" t="str">
        <f>'19U BOYS SILVER-6 TEAMS CUST'!H13&amp;""</f>
        <v>8</v>
      </c>
      <c r="I484" s="108" t="str">
        <f>'19U BOYS SILVER-6 TEAMS CUST'!I13&amp;""</f>
        <v>B bracket B1,B2</v>
      </c>
      <c r="J484" s="108" t="str">
        <f>'19U BOYS SILVER-6 TEAMS CUST'!J13&amp;""</f>
        <v>19U_BOYS_SILVER</v>
      </c>
      <c r="K484" s="108" t="str">
        <f t="shared" si="13"/>
        <v>202601311530</v>
      </c>
    </row>
    <row r="485" spans="1:11">
      <c r="A485" s="265">
        <f>'19U BOYS SILVER-6 TEAMS CUST'!A14</f>
        <v>46053</v>
      </c>
      <c r="B485" s="264">
        <f>'19U BOYS SILVER-6 TEAMS CUST'!B14</f>
        <v>0.6875</v>
      </c>
      <c r="C485" s="264" t="str">
        <f>'19U BOYS SILVER-6 TEAMS CUST'!C14&amp;""</f>
        <v>SADDLEBACK COLLEGE</v>
      </c>
      <c r="D485" s="108" t="str">
        <f>'19U BOYS SILVER-6 TEAMS CUST'!D14&amp;""</f>
        <v>19Bag05</v>
      </c>
      <c r="E485" s="108" t="str">
        <f>'19U BOYS SILVER-6 TEAMS CUST'!E14&amp;""</f>
        <v>A1-SHORE AQUATICS</v>
      </c>
      <c r="F485" s="108" t="str">
        <f>'19U BOYS SILVER-6 TEAMS CUST'!F14&amp;""</f>
        <v>10</v>
      </c>
      <c r="G485" s="108" t="str">
        <f>'19U BOYS SILVER-6 TEAMS CUST'!G14&amp;""</f>
        <v>A2-OPA</v>
      </c>
      <c r="H485" s="108" t="str">
        <f>'19U BOYS SILVER-6 TEAMS CUST'!H14&amp;""</f>
        <v>8</v>
      </c>
      <c r="I485" s="108" t="str">
        <f>'19U BOYS SILVER-6 TEAMS CUST'!I14&amp;""</f>
        <v>A bracket A1,A2</v>
      </c>
      <c r="J485" s="108" t="str">
        <f>'19U BOYS SILVER-6 TEAMS CUST'!J14&amp;""</f>
        <v>19U_BOYS_SILVER</v>
      </c>
      <c r="K485" s="108" t="str">
        <f t="shared" si="13"/>
        <v>202601311630</v>
      </c>
    </row>
    <row r="486" spans="1:11">
      <c r="A486" s="265">
        <f>'19U BOYS SILVER-6 TEAMS CUST'!A15</f>
        <v>46053</v>
      </c>
      <c r="B486" s="264">
        <f>'19U BOYS SILVER-6 TEAMS CUST'!B15</f>
        <v>0.72916666666666696</v>
      </c>
      <c r="C486" s="264" t="str">
        <f>'19U BOYS SILVER-6 TEAMS CUST'!C15&amp;""</f>
        <v>SADDLEBACK COLLEGE</v>
      </c>
      <c r="D486" s="108" t="str">
        <f>'19U BOYS SILVER-6 TEAMS CUST'!D15&amp;""</f>
        <v>19Bag06</v>
      </c>
      <c r="E486" s="108" t="str">
        <f>'19U BOYS SILVER-6 TEAMS CUST'!E15&amp;""</f>
        <v>B2-SAN JOSE EXPRESS GOLD</v>
      </c>
      <c r="F486" s="108" t="str">
        <f>'19U BOYS SILVER-6 TEAMS CUST'!F15&amp;""</f>
        <v>5</v>
      </c>
      <c r="G486" s="108" t="str">
        <f>'19U BOYS SILVER-6 TEAMS CUST'!G15&amp;""</f>
        <v>B3-OHANA</v>
      </c>
      <c r="H486" s="108" t="str">
        <f>'19U BOYS SILVER-6 TEAMS CUST'!H15&amp;""</f>
        <v>15</v>
      </c>
      <c r="I486" s="108" t="str">
        <f>'19U BOYS SILVER-6 TEAMS CUST'!I15&amp;""</f>
        <v>B bracket B2,B3</v>
      </c>
      <c r="J486" s="108" t="str">
        <f>'19U BOYS SILVER-6 TEAMS CUST'!J15&amp;""</f>
        <v>19U_BOYS_SILVER</v>
      </c>
      <c r="K486" s="108" t="str">
        <f t="shared" si="13"/>
        <v>202601311730</v>
      </c>
    </row>
    <row r="487" spans="1:11">
      <c r="A487" s="265">
        <f>'19U BOYS SILVER-6 TEAMS CUST'!A19</f>
        <v>46054</v>
      </c>
      <c r="B487" s="264">
        <f>'19U BOYS SILVER-6 TEAMS CUST'!B19</f>
        <v>0.33333333333333298</v>
      </c>
      <c r="C487" s="264" t="str">
        <f>'19U BOYS SILVER-6 TEAMS CUST'!C19&amp;""</f>
        <v>ESTANCIA HS 1</v>
      </c>
      <c r="D487" s="108" t="str">
        <f>'19U BOYS SILVER-6 TEAMS CUST'!D19&amp;""</f>
        <v>19Bag07</v>
      </c>
      <c r="E487" s="108" t="str">
        <f>'19U BOYS SILVER-6 TEAMS CUST'!E19&amp;""</f>
        <v>A1-SHORE AQUATICS</v>
      </c>
      <c r="F487" s="108" t="str">
        <f>'19U BOYS SILVER-6 TEAMS CUST'!F19&amp;""</f>
        <v>7</v>
      </c>
      <c r="G487" s="108" t="str">
        <f>'19U BOYS SILVER-6 TEAMS CUST'!G19&amp;""</f>
        <v>B2-SAN JOSE EXPRESS GOLD</v>
      </c>
      <c r="H487" s="108" t="str">
        <f>'19U BOYS SILVER-6 TEAMS CUST'!H19&amp;""</f>
        <v>8</v>
      </c>
      <c r="I487" s="108" t="str">
        <f>'19U BOYS SILVER-6 TEAMS CUST'!I19&amp;""</f>
        <v>A1,B2</v>
      </c>
      <c r="J487" s="108" t="str">
        <f>'19U BOYS SILVER-6 TEAMS CUST'!J19&amp;""</f>
        <v>19U_BOYS_SILVER</v>
      </c>
      <c r="K487" s="108" t="str">
        <f t="shared" si="13"/>
        <v>202602010800</v>
      </c>
    </row>
    <row r="488" spans="1:11">
      <c r="A488" s="265">
        <f>'19U BOYS SILVER-6 TEAMS CUST'!A20</f>
        <v>46054</v>
      </c>
      <c r="B488" s="264">
        <f>'19U BOYS SILVER-6 TEAMS CUST'!B20</f>
        <v>0.375</v>
      </c>
      <c r="C488" s="264" t="str">
        <f>'19U BOYS SILVER-6 TEAMS CUST'!C20&amp;""</f>
        <v>ESTANCIA HS 1</v>
      </c>
      <c r="D488" s="108" t="str">
        <f>'19U BOYS SILVER-6 TEAMS CUST'!D20&amp;""</f>
        <v>19Bag08</v>
      </c>
      <c r="E488" s="108" t="str">
        <f>'19U BOYS SILVER-6 TEAMS CUST'!E20&amp;""</f>
        <v>A2-OPA</v>
      </c>
      <c r="F488" s="108" t="str">
        <f>'19U BOYS SILVER-6 TEAMS CUST'!F20&amp;""</f>
        <v>7</v>
      </c>
      <c r="G488" s="108" t="str">
        <f>'19U BOYS SILVER-6 TEAMS CUST'!G20&amp;""</f>
        <v>B3-OHANA</v>
      </c>
      <c r="H488" s="108" t="str">
        <f>'19U BOYS SILVER-6 TEAMS CUST'!H20&amp;""</f>
        <v>10</v>
      </c>
      <c r="I488" s="108" t="str">
        <f>'19U BOYS SILVER-6 TEAMS CUST'!I20&amp;""</f>
        <v>A2,B3</v>
      </c>
      <c r="J488" s="108" t="str">
        <f>'19U BOYS SILVER-6 TEAMS CUST'!J20&amp;""</f>
        <v>19U_BOYS_SILVER</v>
      </c>
      <c r="K488" s="108" t="str">
        <f t="shared" si="13"/>
        <v>202602010900</v>
      </c>
    </row>
    <row r="489" spans="1:11">
      <c r="A489" s="265">
        <f>'19U BOYS SILVER-6 TEAMS CUST'!A22</f>
        <v>46054</v>
      </c>
      <c r="B489" s="264">
        <f>'19U BOYS SILVER-6 TEAMS CUST'!B22</f>
        <v>0.5</v>
      </c>
      <c r="C489" s="264" t="str">
        <f>'19U BOYS SILVER-6 TEAMS CUST'!C22&amp;""</f>
        <v>ESTANCIA HS 1</v>
      </c>
      <c r="D489" s="108" t="str">
        <f>'19U BOYS SILVER-6 TEAMS CUST'!D22&amp;""</f>
        <v>19Bag09</v>
      </c>
      <c r="E489" s="108" t="str">
        <f>'19U BOYS SILVER-6 TEAMS CUST'!E22&amp;""</f>
        <v>A3-SD ECA</v>
      </c>
      <c r="F489" s="108" t="str">
        <f>'19U BOYS SILVER-6 TEAMS CUST'!F22&amp;""</f>
        <v>15</v>
      </c>
      <c r="G489" s="108" t="str">
        <f>'19U BOYS SILVER-6 TEAMS CUST'!G22&amp;""</f>
        <v>B2-SAN JOSE EXPRESS GOLD</v>
      </c>
      <c r="H489" s="108" t="str">
        <f>'19U BOYS SILVER-6 TEAMS CUST'!H22&amp;""</f>
        <v>5</v>
      </c>
      <c r="I489" s="108" t="str">
        <f>'19U BOYS SILVER-6 TEAMS CUST'!I22&amp;""</f>
        <v>A3,B2</v>
      </c>
      <c r="J489" s="108" t="str">
        <f>'19U BOYS SILVER-6 TEAMS CUST'!J22&amp;""</f>
        <v>19U_BOYS_SILVER</v>
      </c>
      <c r="K489" s="108" t="str">
        <f t="shared" si="13"/>
        <v>202602011200</v>
      </c>
    </row>
    <row r="490" spans="1:11">
      <c r="A490" s="265">
        <f>'19U BOYS SILVER-6 TEAMS CUST'!A23</f>
        <v>46054</v>
      </c>
      <c r="B490" s="264">
        <f>'19U BOYS SILVER-6 TEAMS CUST'!B23</f>
        <v>0.54166666666666696</v>
      </c>
      <c r="C490" s="264" t="str">
        <f>'19U BOYS SILVER-6 TEAMS CUST'!C23&amp;""</f>
        <v>ESTANCIA HS 1</v>
      </c>
      <c r="D490" s="108" t="str">
        <f>'19U BOYS SILVER-6 TEAMS CUST'!D23&amp;""</f>
        <v>19Bag10</v>
      </c>
      <c r="E490" s="108" t="str">
        <f>'19U BOYS SILVER-6 TEAMS CUST'!E23&amp;""</f>
        <v>A1-SHORE AQUATICS</v>
      </c>
      <c r="F490" s="108" t="str">
        <f>'19U BOYS SILVER-6 TEAMS CUST'!F23&amp;""</f>
        <v>5</v>
      </c>
      <c r="G490" s="108" t="str">
        <f>'19U BOYS SILVER-6 TEAMS CUST'!G23&amp;""</f>
        <v>B1-CHARGERS WHITE</v>
      </c>
      <c r="H490" s="108" t="str">
        <f>'19U BOYS SILVER-6 TEAMS CUST'!H23&amp;""</f>
        <v>9</v>
      </c>
      <c r="I490" s="108" t="str">
        <f>'19U BOYS SILVER-6 TEAMS CUST'!I23&amp;""</f>
        <v>A1,B1</v>
      </c>
      <c r="J490" s="108" t="str">
        <f>'19U BOYS SILVER-6 TEAMS CUST'!J23&amp;""</f>
        <v>19U_BOYS_SILVER</v>
      </c>
      <c r="K490" s="108" t="str">
        <f t="shared" si="13"/>
        <v>202602011300</v>
      </c>
    </row>
    <row r="491" spans="1:11">
      <c r="A491" s="265">
        <f>'19U BOYS SILVER-6 TEAMS CUST'!A25</f>
        <v>46054</v>
      </c>
      <c r="B491" s="264">
        <f>'19U BOYS SILVER-6 TEAMS CUST'!B25</f>
        <v>0.66666666666666696</v>
      </c>
      <c r="C491" s="264" t="str">
        <f>'19U BOYS SILVER-6 TEAMS CUST'!C25&amp;""</f>
        <v>ESTANCIA HS 1</v>
      </c>
      <c r="D491" s="108" t="str">
        <f>'19U BOYS SILVER-6 TEAMS CUST'!D25&amp;""</f>
        <v>19Bag11</v>
      </c>
      <c r="E491" s="108" t="str">
        <f>'19U BOYS SILVER-6 TEAMS CUST'!E25&amp;""</f>
        <v>A2-OPA</v>
      </c>
      <c r="F491" s="108" t="str">
        <f>'19U BOYS SILVER-6 TEAMS CUST'!F25&amp;""</f>
        <v>5</v>
      </c>
      <c r="G491" s="108" t="str">
        <f>'19U BOYS SILVER-6 TEAMS CUST'!G25&amp;""</f>
        <v>B1-CHARGERS WHITE</v>
      </c>
      <c r="H491" s="108" t="str">
        <f>'19U BOYS SILVER-6 TEAMS CUST'!H25&amp;""</f>
        <v>16</v>
      </c>
      <c r="I491" s="108" t="str">
        <f>'19U BOYS SILVER-6 TEAMS CUST'!I25&amp;""</f>
        <v>A2,B1</v>
      </c>
      <c r="J491" s="108" t="str">
        <f>'19U BOYS SILVER-6 TEAMS CUST'!J25&amp;""</f>
        <v>19U_BOYS_SILVER</v>
      </c>
      <c r="K491" s="108" t="str">
        <f t="shared" si="13"/>
        <v>202602011600</v>
      </c>
    </row>
    <row r="492" spans="1:11">
      <c r="A492" s="265">
        <f>'19U BOYS SILVER-6 TEAMS CUST'!A26</f>
        <v>46054</v>
      </c>
      <c r="B492" s="264">
        <f>'19U BOYS SILVER-6 TEAMS CUST'!B26</f>
        <v>0.70833333333333304</v>
      </c>
      <c r="C492" s="264" t="str">
        <f>'19U BOYS SILVER-6 TEAMS CUST'!C26&amp;""</f>
        <v>ESTANCIA HS 1</v>
      </c>
      <c r="D492" s="108" t="str">
        <f>'19U BOYS SILVER-6 TEAMS CUST'!D26&amp;""</f>
        <v>19Bag12</v>
      </c>
      <c r="E492" s="108" t="str">
        <f>'19U BOYS SILVER-6 TEAMS CUST'!E26&amp;""</f>
        <v>A3-SD ECA</v>
      </c>
      <c r="F492" s="108" t="str">
        <f>'19U BOYS SILVER-6 TEAMS CUST'!F26&amp;""</f>
        <v>17</v>
      </c>
      <c r="G492" s="108" t="str">
        <f>'19U BOYS SILVER-6 TEAMS CUST'!G26&amp;""</f>
        <v>B3-OHANA</v>
      </c>
      <c r="H492" s="108" t="str">
        <f>'19U BOYS SILVER-6 TEAMS CUST'!H26&amp;""</f>
        <v>12</v>
      </c>
      <c r="I492" s="108" t="str">
        <f>'19U BOYS SILVER-6 TEAMS CUST'!I26&amp;""</f>
        <v>A3,B3</v>
      </c>
      <c r="J492" s="108" t="str">
        <f>'19U BOYS SILVER-6 TEAMS CUST'!J26&amp;""</f>
        <v>19U_BOYS_SILVER</v>
      </c>
      <c r="K492" s="108" t="str">
        <f t="shared" si="13"/>
        <v>202602011700</v>
      </c>
    </row>
    <row r="493" spans="1:11">
      <c r="A493" s="275">
        <f>'19U BOYS GOLD-16 TEAMS'!A10</f>
        <v>46053</v>
      </c>
      <c r="B493" s="274">
        <f>'19U BOYS GOLD-16 TEAMS'!B10</f>
        <v>0.33333333333333298</v>
      </c>
      <c r="C493" s="274" t="str">
        <f>'19U BOYS GOLD-16 TEAMS'!C10&amp;""</f>
        <v>SAN JUAN HILLS HS</v>
      </c>
      <c r="D493" s="107" t="str">
        <f>'19U BOYS GOLD-16 TEAMS'!D10&amp;""</f>
        <v>19Bau01</v>
      </c>
      <c r="E493" s="107" t="str">
        <f>'19U BOYS GOLD-16 TEAMS'!E10&amp;""</f>
        <v>A2-CLOVIS BLACK</v>
      </c>
      <c r="F493" s="107" t="str">
        <f>'19U BOYS GOLD-16 TEAMS'!F10&amp;""</f>
        <v>14</v>
      </c>
      <c r="G493" s="107" t="str">
        <f>'19U BOYS GOLD-16 TEAMS'!G10&amp;""</f>
        <v>A3-LA JOLLA UNITED GOLD</v>
      </c>
      <c r="H493" s="107" t="str">
        <f>'19U BOYS GOLD-16 TEAMS'!H10&amp;""</f>
        <v>12</v>
      </c>
      <c r="I493" s="107" t="str">
        <f>'19U BOYS GOLD-16 TEAMS'!I10&amp;""</f>
        <v>W/L A2/A3</v>
      </c>
      <c r="J493" s="107" t="str">
        <f>'19U BOYS GOLD-16 TEAMS'!J10&amp;""</f>
        <v>19U_BOYS_GOLD</v>
      </c>
      <c r="K493" s="107" t="str">
        <f t="shared" si="13"/>
        <v>202601310800</v>
      </c>
    </row>
    <row r="494" spans="1:11">
      <c r="A494" s="275">
        <f>'19U BOYS GOLD-16 TEAMS'!A11</f>
        <v>46053</v>
      </c>
      <c r="B494" s="274">
        <f>'19U BOYS GOLD-16 TEAMS'!B11</f>
        <v>0.375</v>
      </c>
      <c r="C494" s="274" t="str">
        <f>'19U BOYS GOLD-16 TEAMS'!C11&amp;""</f>
        <v>SAN JUAN HILLS HS</v>
      </c>
      <c r="D494" s="107" t="str">
        <f>'19U BOYS GOLD-16 TEAMS'!D11&amp;""</f>
        <v>19Bau02</v>
      </c>
      <c r="E494" s="107" t="str">
        <f>'19U BOYS GOLD-16 TEAMS'!E11&amp;""</f>
        <v>A1-HIELAND</v>
      </c>
      <c r="F494" s="107" t="str">
        <f>'19U BOYS GOLD-16 TEAMS'!F11&amp;""</f>
        <v>7</v>
      </c>
      <c r="G494" s="107" t="str">
        <f>'19U BOYS GOLD-16 TEAMS'!G11&amp;""</f>
        <v>A4-VANGUARD SILVER</v>
      </c>
      <c r="H494" s="107" t="str">
        <f>'19U BOYS GOLD-16 TEAMS'!H11&amp;""</f>
        <v>6</v>
      </c>
      <c r="I494" s="107" t="str">
        <f>'19U BOYS GOLD-16 TEAMS'!I11&amp;""</f>
        <v>W/L A1/A4</v>
      </c>
      <c r="J494" s="107" t="str">
        <f>'19U BOYS GOLD-16 TEAMS'!J11&amp;""</f>
        <v>19U_BOYS_GOLD</v>
      </c>
      <c r="K494" s="107" t="str">
        <f t="shared" si="13"/>
        <v>202601310900</v>
      </c>
    </row>
    <row r="495" spans="1:11">
      <c r="A495" s="275">
        <f>'19U BOYS GOLD-16 TEAMS'!A12</f>
        <v>46053</v>
      </c>
      <c r="B495" s="274">
        <f>'19U BOYS GOLD-16 TEAMS'!B12</f>
        <v>0.41666666666666702</v>
      </c>
      <c r="C495" s="274" t="str">
        <f>'19U BOYS GOLD-16 TEAMS'!C12&amp;""</f>
        <v>SAN JUAN HILLS HS</v>
      </c>
      <c r="D495" s="107" t="str">
        <f>'19U BOYS GOLD-16 TEAMS'!D12&amp;""</f>
        <v>19Bau03</v>
      </c>
      <c r="E495" s="107" t="str">
        <f>'19U BOYS GOLD-16 TEAMS'!E12&amp;""</f>
        <v>C2-MISSON WPC</v>
      </c>
      <c r="F495" s="107" t="str">
        <f>'19U BOYS GOLD-16 TEAMS'!F12&amp;""</f>
        <v>16</v>
      </c>
      <c r="G495" s="107" t="str">
        <f>'19U BOYS GOLD-16 TEAMS'!G12&amp;""</f>
        <v>C3-MARIN</v>
      </c>
      <c r="H495" s="107" t="str">
        <f>'19U BOYS GOLD-16 TEAMS'!H12&amp;""</f>
        <v>5</v>
      </c>
      <c r="I495" s="107" t="str">
        <f>'19U BOYS GOLD-16 TEAMS'!I12&amp;""</f>
        <v>W/L C2/C3</v>
      </c>
      <c r="J495" s="107" t="str">
        <f>'19U BOYS GOLD-16 TEAMS'!J12&amp;""</f>
        <v>19U_BOYS_GOLD</v>
      </c>
      <c r="K495" s="107" t="str">
        <f t="shared" si="13"/>
        <v>202601311000</v>
      </c>
    </row>
    <row r="496" spans="1:11">
      <c r="A496" s="275">
        <f>'19U BOYS GOLD-16 TEAMS'!A13</f>
        <v>46053</v>
      </c>
      <c r="B496" s="274">
        <f>'19U BOYS GOLD-16 TEAMS'!B13</f>
        <v>0.45833333333333298</v>
      </c>
      <c r="C496" s="274" t="str">
        <f>'19U BOYS GOLD-16 TEAMS'!C13&amp;""</f>
        <v>SAN JUAN HILLS HS</v>
      </c>
      <c r="D496" s="107" t="str">
        <f>'19U BOYS GOLD-16 TEAMS'!D13&amp;""</f>
        <v>19Bau04</v>
      </c>
      <c r="E496" s="107" t="str">
        <f>'19U BOYS GOLD-16 TEAMS'!E13&amp;""</f>
        <v>C1-NORTHWEST</v>
      </c>
      <c r="F496" s="107" t="str">
        <f>'19U BOYS GOLD-16 TEAMS'!F13&amp;""</f>
        <v>6.2</v>
      </c>
      <c r="G496" s="107" t="str">
        <f>'19U BOYS GOLD-16 TEAMS'!G13&amp;""</f>
        <v>C4-AMERICAN RIVER GOLD</v>
      </c>
      <c r="H496" s="107" t="str">
        <f>'19U BOYS GOLD-16 TEAMS'!H13&amp;""</f>
        <v>6.3</v>
      </c>
      <c r="I496" s="107" t="str">
        <f>'19U BOYS GOLD-16 TEAMS'!I13&amp;""</f>
        <v>W/L C1/C4</v>
      </c>
      <c r="J496" s="107" t="str">
        <f>'19U BOYS GOLD-16 TEAMS'!J13&amp;""</f>
        <v>19U_BOYS_GOLD</v>
      </c>
      <c r="K496" s="107" t="str">
        <f t="shared" si="13"/>
        <v>202601311100</v>
      </c>
    </row>
    <row r="497" spans="1:11">
      <c r="A497" s="275">
        <f>'19U BOYS GOLD-16 TEAMS'!A14</f>
        <v>46053</v>
      </c>
      <c r="B497" s="274">
        <f>'19U BOYS GOLD-16 TEAMS'!B14</f>
        <v>0.5</v>
      </c>
      <c r="C497" s="274" t="str">
        <f>'19U BOYS GOLD-16 TEAMS'!C14&amp;""</f>
        <v>SAN JUAN HILLS HS</v>
      </c>
      <c r="D497" s="107" t="str">
        <f>'19U BOYS GOLD-16 TEAMS'!D14&amp;""</f>
        <v>19Bau05</v>
      </c>
      <c r="E497" s="107" t="str">
        <f>'19U BOYS GOLD-16 TEAMS'!E14&amp;""</f>
        <v>L#1-LA JOLLA UNITED GOLD</v>
      </c>
      <c r="F497" s="107" t="str">
        <f>'19U BOYS GOLD-16 TEAMS'!F14&amp;""</f>
        <v>10</v>
      </c>
      <c r="G497" s="107" t="str">
        <f>'19U BOYS GOLD-16 TEAMS'!G14&amp;""</f>
        <v>L#2-VANGUARD SILVER</v>
      </c>
      <c r="H497" s="107" t="str">
        <f>'19U BOYS GOLD-16 TEAMS'!H14&amp;""</f>
        <v>12</v>
      </c>
      <c r="I497" s="107" t="str">
        <f>'19U BOYS GOLD-16 TEAMS'!I14&amp;""</f>
        <v>3rd/4thA</v>
      </c>
      <c r="J497" s="107" t="str">
        <f>'19U BOYS GOLD-16 TEAMS'!J14&amp;""</f>
        <v>19U_BOYS_GOLD</v>
      </c>
      <c r="K497" s="107" t="str">
        <f t="shared" si="13"/>
        <v>202601311200</v>
      </c>
    </row>
    <row r="498" spans="1:11">
      <c r="A498" s="275">
        <f>'19U BOYS GOLD-16 TEAMS'!A15</f>
        <v>46053</v>
      </c>
      <c r="B498" s="274">
        <f>'19U BOYS GOLD-16 TEAMS'!B15</f>
        <v>0.54166666666666696</v>
      </c>
      <c r="C498" s="274" t="str">
        <f>'19U BOYS GOLD-16 TEAMS'!C15&amp;""</f>
        <v>SAN JUAN HILLS HS</v>
      </c>
      <c r="D498" s="107" t="str">
        <f>'19U BOYS GOLD-16 TEAMS'!D15&amp;""</f>
        <v>19Bau06</v>
      </c>
      <c r="E498" s="107" t="str">
        <f>'19U BOYS GOLD-16 TEAMS'!E15&amp;""</f>
        <v>W#1-CLOVIS BLACK</v>
      </c>
      <c r="F498" s="107" t="str">
        <f>'19U BOYS GOLD-16 TEAMS'!F15&amp;""</f>
        <v>9</v>
      </c>
      <c r="G498" s="107" t="str">
        <f>'19U BOYS GOLD-16 TEAMS'!G15&amp;""</f>
        <v>W#2-HIELAND</v>
      </c>
      <c r="H498" s="107" t="str">
        <f>'19U BOYS GOLD-16 TEAMS'!H15&amp;""</f>
        <v>13</v>
      </c>
      <c r="I498" s="107" t="str">
        <f>'19U BOYS GOLD-16 TEAMS'!I15&amp;""</f>
        <v>1st/2ndA</v>
      </c>
      <c r="J498" s="107" t="str">
        <f>'19U BOYS GOLD-16 TEAMS'!J15&amp;""</f>
        <v>19U_BOYS_GOLD</v>
      </c>
      <c r="K498" s="107" t="str">
        <f t="shared" si="13"/>
        <v>202601311300</v>
      </c>
    </row>
    <row r="499" spans="1:11">
      <c r="A499" s="275">
        <f>'19U BOYS GOLD-16 TEAMS'!A16</f>
        <v>46053</v>
      </c>
      <c r="B499" s="274">
        <f>'19U BOYS GOLD-16 TEAMS'!B16</f>
        <v>0.54166666666666696</v>
      </c>
      <c r="C499" s="274" t="str">
        <f>'19U BOYS GOLD-16 TEAMS'!C16&amp;""</f>
        <v>WESTMINSTER HS</v>
      </c>
      <c r="D499" s="107" t="str">
        <f>'19U BOYS GOLD-16 TEAMS'!D16&amp;""</f>
        <v>19Bau09</v>
      </c>
      <c r="E499" s="107" t="str">
        <f>'19U BOYS GOLD-16 TEAMS'!E16&amp;""</f>
        <v>D1-BIG VALLEY</v>
      </c>
      <c r="F499" s="107" t="str">
        <f>'19U BOYS GOLD-16 TEAMS'!F16&amp;""</f>
        <v>17</v>
      </c>
      <c r="G499" s="107" t="str">
        <f>'19U BOYS GOLD-16 TEAMS'!G16&amp;""</f>
        <v>D4-WCAC UNITED</v>
      </c>
      <c r="H499" s="107" t="str">
        <f>'19U BOYS GOLD-16 TEAMS'!H16&amp;""</f>
        <v>16</v>
      </c>
      <c r="I499" s="107" t="str">
        <f>'19U BOYS GOLD-16 TEAMS'!I16&amp;""</f>
        <v>W/L D1/D4</v>
      </c>
      <c r="J499" s="107" t="str">
        <f>'19U BOYS GOLD-16 TEAMS'!J16&amp;""</f>
        <v>19U_BOYS_GOLD</v>
      </c>
      <c r="K499" s="107" t="str">
        <f t="shared" si="13"/>
        <v>202601311300</v>
      </c>
    </row>
    <row r="500" spans="1:11">
      <c r="A500" s="275">
        <f>'19U BOYS GOLD-16 TEAMS'!A17</f>
        <v>46053</v>
      </c>
      <c r="B500" s="274">
        <f>'19U BOYS GOLD-16 TEAMS'!B17</f>
        <v>0.58333333333333304</v>
      </c>
      <c r="C500" s="274" t="str">
        <f>'19U BOYS GOLD-16 TEAMS'!C17&amp;""</f>
        <v>WESTMINSTER HS</v>
      </c>
      <c r="D500" s="107" t="str">
        <f>'19U BOYS GOLD-16 TEAMS'!D17&amp;""</f>
        <v>19Bau10</v>
      </c>
      <c r="E500" s="107" t="str">
        <f>'19U BOYS GOLD-16 TEAMS'!E17&amp;""</f>
        <v>D2-SET</v>
      </c>
      <c r="F500" s="107" t="str">
        <f>'19U BOYS GOLD-16 TEAMS'!F17&amp;""</f>
        <v>7</v>
      </c>
      <c r="G500" s="107" t="str">
        <f>'19U BOYS GOLD-16 TEAMS'!G17&amp;""</f>
        <v>D3-LONGHORN</v>
      </c>
      <c r="H500" s="107" t="str">
        <f>'19U BOYS GOLD-16 TEAMS'!H17&amp;""</f>
        <v>13</v>
      </c>
      <c r="I500" s="107" t="str">
        <f>'19U BOYS GOLD-16 TEAMS'!I17&amp;""</f>
        <v>W/L D2/D3</v>
      </c>
      <c r="J500" s="107" t="str">
        <f>'19U BOYS GOLD-16 TEAMS'!J17&amp;""</f>
        <v>19U_BOYS_GOLD</v>
      </c>
      <c r="K500" s="107" t="str">
        <f t="shared" si="13"/>
        <v>202601311400</v>
      </c>
    </row>
    <row r="501" spans="1:11">
      <c r="A501" s="275">
        <f>'19U BOYS GOLD-16 TEAMS'!A18</f>
        <v>46053</v>
      </c>
      <c r="B501" s="274">
        <f>'19U BOYS GOLD-16 TEAMS'!B18</f>
        <v>0.58333333333333304</v>
      </c>
      <c r="C501" s="274" t="str">
        <f>'19U BOYS GOLD-16 TEAMS'!C18&amp;""</f>
        <v>SAN JUAN HILLS HS</v>
      </c>
      <c r="D501" s="107" t="str">
        <f>'19U BOYS GOLD-16 TEAMS'!D18&amp;""</f>
        <v>19Bau11</v>
      </c>
      <c r="E501" s="107" t="str">
        <f>'19U BOYS GOLD-16 TEAMS'!E18&amp;""</f>
        <v>B2-ORANGE COUNTY WPC BLUE</v>
      </c>
      <c r="F501" s="107" t="str">
        <f>'19U BOYS GOLD-16 TEAMS'!F18&amp;""</f>
        <v>11</v>
      </c>
      <c r="G501" s="107" t="str">
        <f>'19U BOYS GOLD-16 TEAMS'!G18&amp;""</f>
        <v>B3-FARALLON</v>
      </c>
      <c r="H501" s="107" t="str">
        <f>'19U BOYS GOLD-16 TEAMS'!H18&amp;""</f>
        <v>4</v>
      </c>
      <c r="I501" s="107" t="str">
        <f>'19U BOYS GOLD-16 TEAMS'!I18&amp;""</f>
        <v>W/L B2/B3</v>
      </c>
      <c r="J501" s="107" t="str">
        <f>'19U BOYS GOLD-16 TEAMS'!J18&amp;""</f>
        <v>19U_BOYS_GOLD</v>
      </c>
      <c r="K501" s="107" t="str">
        <f t="shared" si="13"/>
        <v>202601311400</v>
      </c>
    </row>
    <row r="502" spans="1:11">
      <c r="A502" s="275">
        <f>'19U BOYS GOLD-16 TEAMS'!A19</f>
        <v>46053</v>
      </c>
      <c r="B502" s="274">
        <f>'19U BOYS GOLD-16 TEAMS'!B19</f>
        <v>0.625</v>
      </c>
      <c r="C502" s="274" t="str">
        <f>'19U BOYS GOLD-16 TEAMS'!C19&amp;""</f>
        <v>SAN JUAN HILLS HS</v>
      </c>
      <c r="D502" s="107" t="str">
        <f>'19U BOYS GOLD-16 TEAMS'!D19&amp;""</f>
        <v>19Bau12</v>
      </c>
      <c r="E502" s="107" t="str">
        <f>'19U BOYS GOLD-16 TEAMS'!E19&amp;""</f>
        <v>B1-MID PEN</v>
      </c>
      <c r="F502" s="107" t="str">
        <f>'19U BOYS GOLD-16 TEAMS'!F19&amp;""</f>
        <v>12</v>
      </c>
      <c r="G502" s="107" t="str">
        <f>'19U BOYS GOLD-16 TEAMS'!G19&amp;""</f>
        <v>B4-PASADENA AC</v>
      </c>
      <c r="H502" s="107" t="str">
        <f>'19U BOYS GOLD-16 TEAMS'!H19&amp;""</f>
        <v>5</v>
      </c>
      <c r="I502" s="107" t="str">
        <f>'19U BOYS GOLD-16 TEAMS'!I19&amp;""</f>
        <v>W/L B1/B4</v>
      </c>
      <c r="J502" s="107" t="str">
        <f>'19U BOYS GOLD-16 TEAMS'!J19&amp;""</f>
        <v>19U_BOYS_GOLD</v>
      </c>
      <c r="K502" s="107" t="str">
        <f t="shared" si="13"/>
        <v>202601311500</v>
      </c>
    </row>
    <row r="503" spans="1:11">
      <c r="A503" s="275">
        <f>'19U BOYS GOLD-16 TEAMS'!A20</f>
        <v>46053</v>
      </c>
      <c r="B503" s="274">
        <f>'19U BOYS GOLD-16 TEAMS'!B20</f>
        <v>0.66666666666666696</v>
      </c>
      <c r="C503" s="274" t="str">
        <f>'19U BOYS GOLD-16 TEAMS'!C20&amp;""</f>
        <v>SAN JUAN HILLS HS</v>
      </c>
      <c r="D503" s="107" t="str">
        <f>'19U BOYS GOLD-16 TEAMS'!D20&amp;""</f>
        <v>19Bau07</v>
      </c>
      <c r="E503" s="107" t="str">
        <f>'19U BOYS GOLD-16 TEAMS'!E20&amp;""</f>
        <v>L#3-MARIN</v>
      </c>
      <c r="F503" s="107" t="str">
        <f>'19U BOYS GOLD-16 TEAMS'!F20&amp;""</f>
        <v>6</v>
      </c>
      <c r="G503" s="107" t="str">
        <f>'19U BOYS GOLD-16 TEAMS'!G20&amp;""</f>
        <v>L#4-NORTHWEST</v>
      </c>
      <c r="H503" s="107" t="str">
        <f>'19U BOYS GOLD-16 TEAMS'!H20&amp;""</f>
        <v>10</v>
      </c>
      <c r="I503" s="107" t="str">
        <f>'19U BOYS GOLD-16 TEAMS'!I20&amp;""</f>
        <v>3rd/4thC</v>
      </c>
      <c r="J503" s="107" t="str">
        <f>'19U BOYS GOLD-16 TEAMS'!J20&amp;""</f>
        <v>19U_BOYS_GOLD</v>
      </c>
      <c r="K503" s="107" t="str">
        <f t="shared" si="13"/>
        <v>202601311600</v>
      </c>
    </row>
    <row r="504" spans="1:11">
      <c r="A504" s="275">
        <f>'19U BOYS GOLD-16 TEAMS'!A21</f>
        <v>46053</v>
      </c>
      <c r="B504" s="274">
        <f>'19U BOYS GOLD-16 TEAMS'!B21</f>
        <v>0.70833333333333304</v>
      </c>
      <c r="C504" s="274" t="str">
        <f>'19U BOYS GOLD-16 TEAMS'!C21&amp;""</f>
        <v>SAN JUAN HILLS HS</v>
      </c>
      <c r="D504" s="107" t="str">
        <f>'19U BOYS GOLD-16 TEAMS'!D21&amp;""</f>
        <v>19Bau08</v>
      </c>
      <c r="E504" s="107" t="str">
        <f>'19U BOYS GOLD-16 TEAMS'!E21&amp;""</f>
        <v>W#3-MISSON WPC</v>
      </c>
      <c r="F504" s="107" t="str">
        <f>'19U BOYS GOLD-16 TEAMS'!F21&amp;""</f>
        <v>8</v>
      </c>
      <c r="G504" s="107" t="str">
        <f>'19U BOYS GOLD-16 TEAMS'!G21&amp;""</f>
        <v>W#4-AMERICAN RIVER GOLD</v>
      </c>
      <c r="H504" s="107" t="str">
        <f>'19U BOYS GOLD-16 TEAMS'!H21&amp;""</f>
        <v>6</v>
      </c>
      <c r="I504" s="107" t="str">
        <f>'19U BOYS GOLD-16 TEAMS'!I21&amp;""</f>
        <v>1st/2ndC</v>
      </c>
      <c r="J504" s="107" t="str">
        <f>'19U BOYS GOLD-16 TEAMS'!J21&amp;""</f>
        <v>19U_BOYS_GOLD</v>
      </c>
      <c r="K504" s="107" t="str">
        <f t="shared" si="13"/>
        <v>202601311700</v>
      </c>
    </row>
    <row r="505" spans="1:11">
      <c r="A505" s="275">
        <f>'19U BOYS GOLD-16 TEAMS'!A22</f>
        <v>46053</v>
      </c>
      <c r="B505" s="274">
        <f>'19U BOYS GOLD-16 TEAMS'!B22</f>
        <v>0.70833333333333304</v>
      </c>
      <c r="C505" s="274" t="str">
        <f>'19U BOYS GOLD-16 TEAMS'!C22&amp;""</f>
        <v>EDISON HS</v>
      </c>
      <c r="D505" s="107" t="str">
        <f>'19U BOYS GOLD-16 TEAMS'!D22&amp;""</f>
        <v>19Bau13</v>
      </c>
      <c r="E505" s="107" t="str">
        <f>'19U BOYS GOLD-16 TEAMS'!E22&amp;""</f>
        <v>L#9-WCAC UNITED</v>
      </c>
      <c r="F505" s="107" t="str">
        <f>'19U BOYS GOLD-16 TEAMS'!F22&amp;""</f>
        <v>8</v>
      </c>
      <c r="G505" s="107" t="str">
        <f>'19U BOYS GOLD-16 TEAMS'!G22&amp;""</f>
        <v>L#10-SET</v>
      </c>
      <c r="H505" s="107" t="str">
        <f>'19U BOYS GOLD-16 TEAMS'!H22&amp;""</f>
        <v>16</v>
      </c>
      <c r="I505" s="107" t="str">
        <f>'19U BOYS GOLD-16 TEAMS'!I22&amp;""</f>
        <v>3rd/4thD</v>
      </c>
      <c r="J505" s="107" t="str">
        <f>'19U BOYS GOLD-16 TEAMS'!J22&amp;""</f>
        <v>19U_BOYS_GOLD</v>
      </c>
      <c r="K505" s="107" t="str">
        <f t="shared" si="13"/>
        <v>202601311700</v>
      </c>
    </row>
    <row r="506" spans="1:11">
      <c r="A506" s="275">
        <f>'19U BOYS GOLD-16 TEAMS'!A23</f>
        <v>46053</v>
      </c>
      <c r="B506" s="274">
        <f>'19U BOYS GOLD-16 TEAMS'!B23</f>
        <v>0.75</v>
      </c>
      <c r="C506" s="274" t="str">
        <f>'19U BOYS GOLD-16 TEAMS'!C23&amp;""</f>
        <v>EDISON HS</v>
      </c>
      <c r="D506" s="107" t="str">
        <f>'19U BOYS GOLD-16 TEAMS'!D23&amp;""</f>
        <v>19Bau14</v>
      </c>
      <c r="E506" s="107" t="str">
        <f>'19U BOYS GOLD-16 TEAMS'!E23&amp;""</f>
        <v>W#9-BIG VALLEY</v>
      </c>
      <c r="F506" s="107" t="str">
        <f>'19U BOYS GOLD-16 TEAMS'!F23&amp;""</f>
        <v>7</v>
      </c>
      <c r="G506" s="107" t="str">
        <f>'19U BOYS GOLD-16 TEAMS'!G23&amp;""</f>
        <v>W#10-LONGHORN</v>
      </c>
      <c r="H506" s="107" t="str">
        <f>'19U BOYS GOLD-16 TEAMS'!H23&amp;""</f>
        <v>13</v>
      </c>
      <c r="I506" s="107" t="str">
        <f>'19U BOYS GOLD-16 TEAMS'!I23&amp;""</f>
        <v>1st/2ndD</v>
      </c>
      <c r="J506" s="107" t="str">
        <f>'19U BOYS GOLD-16 TEAMS'!J23&amp;""</f>
        <v>19U_BOYS_GOLD</v>
      </c>
      <c r="K506" s="107" t="str">
        <f t="shared" si="13"/>
        <v>202601311800</v>
      </c>
    </row>
    <row r="507" spans="1:11">
      <c r="A507" s="275">
        <f>'19U BOYS GOLD-16 TEAMS'!A24</f>
        <v>46053</v>
      </c>
      <c r="B507" s="274">
        <f>'19U BOYS GOLD-16 TEAMS'!B24</f>
        <v>0.75</v>
      </c>
      <c r="C507" s="274" t="str">
        <f>'19U BOYS GOLD-16 TEAMS'!C24&amp;""</f>
        <v>SAN JUAN HILLS HS</v>
      </c>
      <c r="D507" s="107" t="str">
        <f>'19U BOYS GOLD-16 TEAMS'!D24&amp;""</f>
        <v>19Bau15</v>
      </c>
      <c r="E507" s="107" t="str">
        <f>'19U BOYS GOLD-16 TEAMS'!E24&amp;""</f>
        <v>L#11-FARALLON</v>
      </c>
      <c r="F507" s="107" t="str">
        <f>'19U BOYS GOLD-16 TEAMS'!F24&amp;""</f>
        <v>12</v>
      </c>
      <c r="G507" s="107" t="str">
        <f>'19U BOYS GOLD-16 TEAMS'!G24&amp;""</f>
        <v>L#12-PASADENA AC</v>
      </c>
      <c r="H507" s="107" t="str">
        <f>'19U BOYS GOLD-16 TEAMS'!H24&amp;""</f>
        <v>7</v>
      </c>
      <c r="I507" s="107" t="str">
        <f>'19U BOYS GOLD-16 TEAMS'!I24&amp;""</f>
        <v>3rd/4thB</v>
      </c>
      <c r="J507" s="107" t="str">
        <f>'19U BOYS GOLD-16 TEAMS'!J24&amp;""</f>
        <v>19U_BOYS_GOLD</v>
      </c>
      <c r="K507" s="107" t="str">
        <f t="shared" si="13"/>
        <v>202601311800</v>
      </c>
    </row>
    <row r="508" spans="1:11">
      <c r="A508" s="275">
        <f>'19U BOYS GOLD-16 TEAMS'!A25</f>
        <v>46053</v>
      </c>
      <c r="B508" s="274">
        <f>'19U BOYS GOLD-16 TEAMS'!B25</f>
        <v>0.79166666666666696</v>
      </c>
      <c r="C508" s="274" t="str">
        <f>'19U BOYS GOLD-16 TEAMS'!C25&amp;""</f>
        <v>SAN JUAN HILLS HS</v>
      </c>
      <c r="D508" s="107" t="str">
        <f>'19U BOYS GOLD-16 TEAMS'!D25&amp;""</f>
        <v>19Bau16</v>
      </c>
      <c r="E508" s="107" t="str">
        <f>'19U BOYS GOLD-16 TEAMS'!E25&amp;""</f>
        <v>W#11-ORANGE COUNTY WPC BLUE</v>
      </c>
      <c r="F508" s="107" t="str">
        <f>'19U BOYS GOLD-16 TEAMS'!F25&amp;""</f>
        <v>10</v>
      </c>
      <c r="G508" s="107" t="str">
        <f>'19U BOYS GOLD-16 TEAMS'!G25&amp;""</f>
        <v>W#12-MID PEN</v>
      </c>
      <c r="H508" s="107" t="str">
        <f>'19U BOYS GOLD-16 TEAMS'!H25&amp;""</f>
        <v>7</v>
      </c>
      <c r="I508" s="107" t="str">
        <f>'19U BOYS GOLD-16 TEAMS'!I25&amp;""</f>
        <v>1st/2ndB</v>
      </c>
      <c r="J508" s="107" t="str">
        <f>'19U BOYS GOLD-16 TEAMS'!J25&amp;""</f>
        <v>19U_BOYS_GOLD</v>
      </c>
      <c r="K508" s="107" t="str">
        <f t="shared" si="13"/>
        <v>202601311900</v>
      </c>
    </row>
    <row r="509" spans="1:11">
      <c r="A509" s="275">
        <f>'19U BOYS GOLD-16 TEAMS'!A28</f>
        <v>46054</v>
      </c>
      <c r="B509" s="274">
        <f>'19U BOYS GOLD-16 TEAMS'!B28</f>
        <v>0.41666666666666702</v>
      </c>
      <c r="C509" s="274" t="str">
        <f>'19U BOYS GOLD-16 TEAMS'!C28&amp;""</f>
        <v>ESTANCIA HS 1</v>
      </c>
      <c r="D509" s="107" t="str">
        <f>'19U BOYS GOLD-16 TEAMS'!D28&amp;""</f>
        <v>19Bau29</v>
      </c>
      <c r="E509" s="107" t="str">
        <f>'19U BOYS GOLD-16 TEAMS'!E28&amp;""</f>
        <v>4thD-WCAC UNITED</v>
      </c>
      <c r="F509" s="107" t="str">
        <f>'19U BOYS GOLD-16 TEAMS'!F28&amp;""</f>
        <v>13</v>
      </c>
      <c r="G509" s="107" t="str">
        <f>'19U BOYS GOLD-16 TEAMS'!G28&amp;""</f>
        <v>4thA-LA JOLLA UNITED GOLD</v>
      </c>
      <c r="H509" s="107" t="str">
        <f>'19U BOYS GOLD-16 TEAMS'!H28&amp;""</f>
        <v>10</v>
      </c>
      <c r="I509" s="107" t="str">
        <f>'19U BOYS GOLD-16 TEAMS'!I28&amp;""</f>
        <v>13-16 semi</v>
      </c>
      <c r="J509" s="107" t="str">
        <f>'19U BOYS GOLD-16 TEAMS'!J28&amp;""</f>
        <v>19U_BOYS_GOLD</v>
      </c>
      <c r="K509" s="107" t="str">
        <f t="shared" si="13"/>
        <v>202602011000</v>
      </c>
    </row>
    <row r="510" spans="1:11">
      <c r="A510" s="275">
        <f>'19U BOYS GOLD-16 TEAMS'!A29</f>
        <v>46054</v>
      </c>
      <c r="B510" s="274">
        <f>'19U BOYS GOLD-16 TEAMS'!B29</f>
        <v>0.45833333333333298</v>
      </c>
      <c r="C510" s="274" t="str">
        <f>'19U BOYS GOLD-16 TEAMS'!C29&amp;""</f>
        <v>ESTANCIA HS 1</v>
      </c>
      <c r="D510" s="107" t="str">
        <f>'19U BOYS GOLD-16 TEAMS'!D29&amp;""</f>
        <v>19Bau30</v>
      </c>
      <c r="E510" s="107" t="str">
        <f>'19U BOYS GOLD-16 TEAMS'!E29&amp;""</f>
        <v>4thC-MARIN</v>
      </c>
      <c r="F510" s="107" t="str">
        <f>'19U BOYS GOLD-16 TEAMS'!F29&amp;""</f>
        <v>11</v>
      </c>
      <c r="G510" s="107" t="str">
        <f>'19U BOYS GOLD-16 TEAMS'!G29&amp;""</f>
        <v>4thB-PASADENA AC</v>
      </c>
      <c r="H510" s="107" t="str">
        <f>'19U BOYS GOLD-16 TEAMS'!H29&amp;""</f>
        <v>13</v>
      </c>
      <c r="I510" s="107" t="str">
        <f>'19U BOYS GOLD-16 TEAMS'!I29&amp;""</f>
        <v>13-16 semi</v>
      </c>
      <c r="J510" s="107" t="str">
        <f>'19U BOYS GOLD-16 TEAMS'!J29&amp;""</f>
        <v>19U_BOYS_GOLD</v>
      </c>
      <c r="K510" s="107" t="str">
        <f t="shared" si="13"/>
        <v>202602011100</v>
      </c>
    </row>
    <row r="511" spans="1:11">
      <c r="A511" s="275">
        <f>'19U BOYS GOLD-16 TEAMS'!A31</f>
        <v>46054</v>
      </c>
      <c r="B511" s="274">
        <f>'19U BOYS GOLD-16 TEAMS'!B31</f>
        <v>0.5</v>
      </c>
      <c r="C511" s="274" t="str">
        <f>'19U BOYS GOLD-16 TEAMS'!C31&amp;""</f>
        <v>ESPERANZA HS</v>
      </c>
      <c r="D511" s="107" t="str">
        <f>'19U BOYS GOLD-16 TEAMS'!D31&amp;""</f>
        <v>19Bau27</v>
      </c>
      <c r="E511" s="107" t="str">
        <f>'19U BOYS GOLD-16 TEAMS'!E31&amp;""</f>
        <v>3rdA-VANGUARD SILVER</v>
      </c>
      <c r="F511" s="107" t="str">
        <f>'19U BOYS GOLD-16 TEAMS'!F31&amp;""</f>
        <v>10</v>
      </c>
      <c r="G511" s="107" t="str">
        <f>'19U BOYS GOLD-16 TEAMS'!G31&amp;""</f>
        <v>3rdD-SET</v>
      </c>
      <c r="H511" s="107" t="str">
        <f>'19U BOYS GOLD-16 TEAMS'!H31&amp;""</f>
        <v>17</v>
      </c>
      <c r="I511" s="107" t="str">
        <f>'19U BOYS GOLD-16 TEAMS'!I31&amp;""</f>
        <v>9-12 semi 3A/3D</v>
      </c>
      <c r="J511" s="107" t="str">
        <f>'19U BOYS GOLD-16 TEAMS'!J31&amp;""</f>
        <v>19U_BOYS_GOLD</v>
      </c>
      <c r="K511" s="107" t="str">
        <f t="shared" si="13"/>
        <v>202602011200</v>
      </c>
    </row>
    <row r="512" spans="1:11">
      <c r="A512" s="275">
        <f>'19U BOYS GOLD-16 TEAMS'!A34</f>
        <v>46054</v>
      </c>
      <c r="B512" s="274">
        <f>'19U BOYS GOLD-16 TEAMS'!B34</f>
        <v>0.54166666666666663</v>
      </c>
      <c r="C512" s="274" t="str">
        <f>'19U BOYS GOLD-16 TEAMS'!C34&amp;""</f>
        <v>ESPERANZA HS</v>
      </c>
      <c r="D512" s="107" t="str">
        <f>'19U BOYS GOLD-16 TEAMS'!D34&amp;""</f>
        <v>19Bau28</v>
      </c>
      <c r="E512" s="107" t="str">
        <f>'19U BOYS GOLD-16 TEAMS'!E34&amp;""</f>
        <v>3rdB-FARALLON</v>
      </c>
      <c r="F512" s="107" t="str">
        <f>'19U BOYS GOLD-16 TEAMS'!F34&amp;""</f>
        <v>9</v>
      </c>
      <c r="G512" s="107" t="str">
        <f>'19U BOYS GOLD-16 TEAMS'!G34&amp;""</f>
        <v>3rdC-NORTHWEST</v>
      </c>
      <c r="H512" s="107" t="str">
        <f>'19U BOYS GOLD-16 TEAMS'!H34&amp;""</f>
        <v>10</v>
      </c>
      <c r="I512" s="107" t="str">
        <f>'19U BOYS GOLD-16 TEAMS'!I34&amp;""</f>
        <v>9-12 semi 3B/3C</v>
      </c>
      <c r="J512" s="107" t="str">
        <f>'19U BOYS GOLD-16 TEAMS'!J34&amp;""</f>
        <v>19U_BOYS_GOLD</v>
      </c>
      <c r="K512" s="107" t="str">
        <f t="shared" si="13"/>
        <v>202602011300</v>
      </c>
    </row>
    <row r="513" spans="1:11">
      <c r="A513" s="275">
        <f>'19U BOYS GOLD-16 TEAMS'!A32</f>
        <v>46054</v>
      </c>
      <c r="B513" s="274">
        <f>'19U BOYS GOLD-16 TEAMS'!B32</f>
        <v>0.54166666666666696</v>
      </c>
      <c r="C513" s="274" t="str">
        <f>'19U BOYS GOLD-16 TEAMS'!C32&amp;""</f>
        <v>FULLERTON COLLEGE</v>
      </c>
      <c r="D513" s="107" t="str">
        <f>'19U BOYS GOLD-16 TEAMS'!D32&amp;""</f>
        <v>19Bau21</v>
      </c>
      <c r="E513" s="107" t="str">
        <f>'19U BOYS GOLD-16 TEAMS'!E32&amp;""</f>
        <v>2ndD-BIG VALLEY</v>
      </c>
      <c r="F513" s="107" t="str">
        <f>'19U BOYS GOLD-16 TEAMS'!F32&amp;""</f>
        <v>12</v>
      </c>
      <c r="G513" s="107" t="str">
        <f>'19U BOYS GOLD-16 TEAMS'!G32&amp;""</f>
        <v>2ndA-CLOVIS BLACK</v>
      </c>
      <c r="H513" s="107" t="str">
        <f>'19U BOYS GOLD-16 TEAMS'!H32&amp;""</f>
        <v>6</v>
      </c>
      <c r="I513" s="107" t="str">
        <f>'19U BOYS GOLD-16 TEAMS'!I32&amp;""</f>
        <v>5-8 semi 2D/2A</v>
      </c>
      <c r="J513" s="107" t="str">
        <f>'19U BOYS GOLD-16 TEAMS'!J32&amp;""</f>
        <v>19U_BOYS_GOLD</v>
      </c>
      <c r="K513" s="107" t="str">
        <f t="shared" si="13"/>
        <v>202602011300</v>
      </c>
    </row>
    <row r="514" spans="1:11">
      <c r="A514" s="275">
        <f>'19U BOYS GOLD-16 TEAMS'!A33</f>
        <v>46054</v>
      </c>
      <c r="B514" s="274">
        <f>'19U BOYS GOLD-16 TEAMS'!B33</f>
        <v>0.54166666666666696</v>
      </c>
      <c r="C514" s="274" t="str">
        <f>'19U BOYS GOLD-16 TEAMS'!C33&amp;""</f>
        <v>YORBA LINDA HS</v>
      </c>
      <c r="D514" s="107" t="str">
        <f>'19U BOYS GOLD-16 TEAMS'!D33&amp;""</f>
        <v>19Bau22</v>
      </c>
      <c r="E514" s="107" t="str">
        <f>'19U BOYS GOLD-16 TEAMS'!E33&amp;""</f>
        <v>2ndC-AMERICAN RIVER GOLD</v>
      </c>
      <c r="F514" s="107" t="str">
        <f>'19U BOYS GOLD-16 TEAMS'!F33&amp;""</f>
        <v>8</v>
      </c>
      <c r="G514" s="107" t="str">
        <f>'19U BOYS GOLD-16 TEAMS'!G33&amp;""</f>
        <v>2ndB-MID PEN</v>
      </c>
      <c r="H514" s="107" t="str">
        <f>'19U BOYS GOLD-16 TEAMS'!H33&amp;""</f>
        <v>6</v>
      </c>
      <c r="I514" s="107" t="str">
        <f>'19U BOYS GOLD-16 TEAMS'!I33&amp;""</f>
        <v>5-8 semi 2C/2B</v>
      </c>
      <c r="J514" s="107" t="str">
        <f>'19U BOYS GOLD-16 TEAMS'!J33&amp;""</f>
        <v>19U_BOYS_GOLD</v>
      </c>
      <c r="K514" s="107" t="str">
        <f t="shared" si="13"/>
        <v>202602011300</v>
      </c>
    </row>
    <row r="515" spans="1:11">
      <c r="A515" s="275">
        <f>'19U BOYS GOLD-16 TEAMS'!A35</f>
        <v>46054</v>
      </c>
      <c r="B515" s="274">
        <f>'19U BOYS GOLD-16 TEAMS'!B35</f>
        <v>0.58333333333333304</v>
      </c>
      <c r="C515" s="274" t="str">
        <f>'19U BOYS GOLD-16 TEAMS'!C35&amp;""</f>
        <v>FULLERTON COLLEGE</v>
      </c>
      <c r="D515" s="107" t="str">
        <f>'19U BOYS GOLD-16 TEAMS'!D35&amp;""</f>
        <v>19Bau19</v>
      </c>
      <c r="E515" s="107" t="str">
        <f>'19U BOYS GOLD-16 TEAMS'!E35&amp;""</f>
        <v>1stA-HIELAND</v>
      </c>
      <c r="F515" s="107" t="str">
        <f>'19U BOYS GOLD-16 TEAMS'!F35&amp;""</f>
        <v>2</v>
      </c>
      <c r="G515" s="107" t="str">
        <f>'19U BOYS GOLD-16 TEAMS'!G35&amp;""</f>
        <v>1stD-LONGHORN</v>
      </c>
      <c r="H515" s="107" t="str">
        <f>'19U BOYS GOLD-16 TEAMS'!H35&amp;""</f>
        <v>14</v>
      </c>
      <c r="I515" s="107" t="str">
        <f>'19U BOYS GOLD-16 TEAMS'!I35&amp;""</f>
        <v>1-4 semi 1A/1D</v>
      </c>
      <c r="J515" s="107" t="str">
        <f>'19U BOYS GOLD-16 TEAMS'!J35&amp;""</f>
        <v>19U_BOYS_GOLD</v>
      </c>
      <c r="K515" s="107" t="str">
        <f t="shared" si="13"/>
        <v>202602011400</v>
      </c>
    </row>
    <row r="516" spans="1:11">
      <c r="A516" s="275">
        <f>'19U BOYS GOLD-16 TEAMS'!A36</f>
        <v>46054</v>
      </c>
      <c r="B516" s="274">
        <f>'19U BOYS GOLD-16 TEAMS'!B36</f>
        <v>0.58333333333333304</v>
      </c>
      <c r="C516" s="274" t="str">
        <f>'19U BOYS GOLD-16 TEAMS'!C36&amp;""</f>
        <v>ESTANCIA HS 1</v>
      </c>
      <c r="D516" s="107" t="str">
        <f>'19U BOYS GOLD-16 TEAMS'!D36&amp;""</f>
        <v>19Bau34</v>
      </c>
      <c r="E516" s="107" t="str">
        <f>'19U BOYS GOLD-16 TEAMS'!E36&amp;""</f>
        <v>W#29-WCAC UNITED</v>
      </c>
      <c r="F516" s="107" t="str">
        <f>'19U BOYS GOLD-16 TEAMS'!F36&amp;""</f>
        <v>20</v>
      </c>
      <c r="G516" s="107" t="str">
        <f>'19U BOYS GOLD-16 TEAMS'!G36&amp;""</f>
        <v>W#30-PASADENA AC</v>
      </c>
      <c r="H516" s="107" t="str">
        <f>'19U BOYS GOLD-16 TEAMS'!H36&amp;""</f>
        <v>9</v>
      </c>
      <c r="I516" s="107" t="str">
        <f>'19U BOYS GOLD-16 TEAMS'!I36&amp;""</f>
        <v>13th</v>
      </c>
      <c r="J516" s="107" t="str">
        <f>'19U BOYS GOLD-16 TEAMS'!J36&amp;""</f>
        <v>19U_BOYS_GOLD</v>
      </c>
      <c r="K516" s="107" t="str">
        <f t="shared" si="13"/>
        <v>202602011400</v>
      </c>
    </row>
    <row r="517" spans="1:11">
      <c r="A517" s="275">
        <f>'19U BOYS GOLD-16 TEAMS'!A38</f>
        <v>46054</v>
      </c>
      <c r="B517" s="274">
        <f>'19U BOYS GOLD-16 TEAMS'!B38</f>
        <v>0.625</v>
      </c>
      <c r="C517" s="274" t="str">
        <f>'19U BOYS GOLD-16 TEAMS'!C38&amp;""</f>
        <v>FULLERTON COLLEGE</v>
      </c>
      <c r="D517" s="107" t="str">
        <f>'19U BOYS GOLD-16 TEAMS'!D38&amp;""</f>
        <v>19Bau20</v>
      </c>
      <c r="E517" s="107" t="str">
        <f>'19U BOYS GOLD-16 TEAMS'!E38&amp;""</f>
        <v>1stB-ORANGE COUNTY WPC BLUE</v>
      </c>
      <c r="F517" s="107" t="str">
        <f>'19U BOYS GOLD-16 TEAMS'!F38&amp;""</f>
        <v>6.5</v>
      </c>
      <c r="G517" s="107" t="str">
        <f>'19U BOYS GOLD-16 TEAMS'!G38&amp;""</f>
        <v>1stC-MISSON WPC</v>
      </c>
      <c r="H517" s="107" t="str">
        <f>'19U BOYS GOLD-16 TEAMS'!H38&amp;""</f>
        <v>6.6</v>
      </c>
      <c r="I517" s="107" t="str">
        <f>'19U BOYS GOLD-16 TEAMS'!I38&amp;""</f>
        <v>1-4 semi 1B/1C</v>
      </c>
      <c r="J517" s="107" t="str">
        <f>'19U BOYS GOLD-16 TEAMS'!J38&amp;""</f>
        <v>19U_BOYS_GOLD</v>
      </c>
      <c r="K517" s="107" t="str">
        <f t="shared" ref="K517:K524" si="14">TEXT(DATE(2026, MONTH(A517), DAY(A517)) + TIME(HOUR(B517), MINUTE(B517), 0), "yyyymmddhhmm")</f>
        <v>202602011500</v>
      </c>
    </row>
    <row r="518" spans="1:11">
      <c r="A518" s="275">
        <f>'19U BOYS GOLD-16 TEAMS'!A37</f>
        <v>46054</v>
      </c>
      <c r="B518" s="274">
        <f>'19U BOYS GOLD-16 TEAMS'!B37</f>
        <v>0.625</v>
      </c>
      <c r="C518" s="274" t="str">
        <f>'19U BOYS GOLD-16 TEAMS'!C37&amp;""</f>
        <v>ESTANCIA HS 1</v>
      </c>
      <c r="D518" s="107" t="str">
        <f>'19U BOYS GOLD-16 TEAMS'!D37&amp;""</f>
        <v>19Bau33</v>
      </c>
      <c r="E518" s="107" t="str">
        <f>'19U BOYS GOLD-16 TEAMS'!E37&amp;""</f>
        <v>L#29-LA JOLLA UNITED GOLD</v>
      </c>
      <c r="F518" s="107" t="str">
        <f>'19U BOYS GOLD-16 TEAMS'!F37&amp;""</f>
        <v>25</v>
      </c>
      <c r="G518" s="107" t="str">
        <f>'19U BOYS GOLD-16 TEAMS'!G37&amp;""</f>
        <v>L#30-MARIN</v>
      </c>
      <c r="H518" s="107" t="str">
        <f>'19U BOYS GOLD-16 TEAMS'!H37&amp;""</f>
        <v>11</v>
      </c>
      <c r="I518" s="107" t="str">
        <f>'19U BOYS GOLD-16 TEAMS'!I37&amp;""</f>
        <v>15th</v>
      </c>
      <c r="J518" s="107" t="str">
        <f>'19U BOYS GOLD-16 TEAMS'!J37&amp;""</f>
        <v>19U_BOYS_GOLD</v>
      </c>
      <c r="K518" s="107" t="str">
        <f t="shared" si="14"/>
        <v>202602011500</v>
      </c>
    </row>
    <row r="519" spans="1:11">
      <c r="A519" s="275">
        <f>'19U BOYS GOLD-16 TEAMS'!A39</f>
        <v>46054</v>
      </c>
      <c r="B519" s="274">
        <f>'19U BOYS GOLD-16 TEAMS'!B39</f>
        <v>0.66666666666666696</v>
      </c>
      <c r="C519" s="274" t="str">
        <f>'19U BOYS GOLD-16 TEAMS'!C39&amp;""</f>
        <v>FULLERTON COLLEGE</v>
      </c>
      <c r="D519" s="107" t="str">
        <f>'19U BOYS GOLD-16 TEAMS'!D39&amp;""</f>
        <v>19Bau25</v>
      </c>
      <c r="E519" s="107" t="str">
        <f>'19U BOYS GOLD-16 TEAMS'!E39&amp;""</f>
        <v>W#21-BIG VALLEY</v>
      </c>
      <c r="F519" s="107" t="str">
        <f>'19U BOYS GOLD-16 TEAMS'!F39&amp;""</f>
        <v>18</v>
      </c>
      <c r="G519" s="107" t="str">
        <f>'19U BOYS GOLD-16 TEAMS'!G39&amp;""</f>
        <v>W#22-AMERICAN RIVER GOLD</v>
      </c>
      <c r="H519" s="107" t="str">
        <f>'19U BOYS GOLD-16 TEAMS'!H39&amp;""</f>
        <v>6</v>
      </c>
      <c r="I519" s="107" t="str">
        <f>'19U BOYS GOLD-16 TEAMS'!I39&amp;""</f>
        <v>5th</v>
      </c>
      <c r="J519" s="107" t="str">
        <f>'19U BOYS GOLD-16 TEAMS'!J39&amp;""</f>
        <v>19U_BOYS_GOLD</v>
      </c>
      <c r="K519" s="107" t="str">
        <f t="shared" si="14"/>
        <v>202602011600</v>
      </c>
    </row>
    <row r="520" spans="1:11">
      <c r="A520" s="275">
        <f>'19U BOYS GOLD-16 TEAMS'!A40</f>
        <v>46054</v>
      </c>
      <c r="B520" s="274">
        <f>'19U BOYS GOLD-16 TEAMS'!B40</f>
        <v>0.70833333333333304</v>
      </c>
      <c r="C520" s="274" t="str">
        <f>'19U BOYS GOLD-16 TEAMS'!C40&amp;""</f>
        <v>FULLERTON COLLEGE</v>
      </c>
      <c r="D520" s="107" t="str">
        <f>'19U BOYS GOLD-16 TEAMS'!D40&amp;""</f>
        <v>19Bau26</v>
      </c>
      <c r="E520" s="107" t="str">
        <f>'19U BOYS GOLD-16 TEAMS'!E40&amp;""</f>
        <v>L#21-CLOVIS BLACK</v>
      </c>
      <c r="F520" s="107" t="str">
        <f>'19U BOYS GOLD-16 TEAMS'!F40&amp;""</f>
        <v>8</v>
      </c>
      <c r="G520" s="107" t="str">
        <f>'19U BOYS GOLD-16 TEAMS'!G40&amp;""</f>
        <v>L#22-MID PEN</v>
      </c>
      <c r="H520" s="107" t="str">
        <f>'19U BOYS GOLD-16 TEAMS'!H40&amp;""</f>
        <v>6</v>
      </c>
      <c r="I520" s="107" t="str">
        <f>'19U BOYS GOLD-16 TEAMS'!I40&amp;""</f>
        <v>7th</v>
      </c>
      <c r="J520" s="107" t="str">
        <f>'19U BOYS GOLD-16 TEAMS'!J40&amp;""</f>
        <v>19U_BOYS_GOLD</v>
      </c>
      <c r="K520" s="107" t="str">
        <f t="shared" si="14"/>
        <v>202602011700</v>
      </c>
    </row>
    <row r="521" spans="1:11">
      <c r="A521" s="275">
        <f>'19U BOYS GOLD-16 TEAMS'!A41</f>
        <v>46054</v>
      </c>
      <c r="B521" s="274">
        <f>'19U BOYS GOLD-16 TEAMS'!B41</f>
        <v>0.70833333333333404</v>
      </c>
      <c r="C521" s="274" t="str">
        <f>'19U BOYS GOLD-16 TEAMS'!C41&amp;""</f>
        <v>COSTA MESA HS 1</v>
      </c>
      <c r="D521" s="107" t="str">
        <f>'19U BOYS GOLD-16 TEAMS'!D41&amp;""</f>
        <v>19Bau31</v>
      </c>
      <c r="E521" s="107" t="str">
        <f>'19U BOYS GOLD-16 TEAMS'!E41&amp;""</f>
        <v>W#27-SET</v>
      </c>
      <c r="F521" s="107" t="str">
        <f>'19U BOYS GOLD-16 TEAMS'!F41&amp;""</f>
        <v>8.4</v>
      </c>
      <c r="G521" s="107" t="str">
        <f>'19U BOYS GOLD-16 TEAMS'!G41&amp;""</f>
        <v>W#28-NORTHWEST</v>
      </c>
      <c r="H521" s="107" t="str">
        <f>'19U BOYS GOLD-16 TEAMS'!H41&amp;""</f>
        <v>8.3</v>
      </c>
      <c r="I521" s="107" t="str">
        <f>'19U BOYS GOLD-16 TEAMS'!I41&amp;""</f>
        <v>9th</v>
      </c>
      <c r="J521" s="107" t="str">
        <f>'19U BOYS GOLD-16 TEAMS'!J41&amp;""</f>
        <v>19U_BOYS_GOLD</v>
      </c>
      <c r="K521" s="107" t="str">
        <f t="shared" si="14"/>
        <v>202602011700</v>
      </c>
    </row>
    <row r="522" spans="1:11">
      <c r="A522" s="275">
        <f>'19U BOYS GOLD-16 TEAMS'!A42</f>
        <v>46054</v>
      </c>
      <c r="B522" s="274">
        <f>'19U BOYS GOLD-16 TEAMS'!B42</f>
        <v>0.70833333333333404</v>
      </c>
      <c r="C522" s="274" t="str">
        <f>'19U BOYS GOLD-16 TEAMS'!C42&amp;""</f>
        <v>TUSTIN HS 1</v>
      </c>
      <c r="D522" s="107" t="str">
        <f>'19U BOYS GOLD-16 TEAMS'!D42&amp;""</f>
        <v>19Bau32</v>
      </c>
      <c r="E522" s="107" t="str">
        <f>'19U BOYS GOLD-16 TEAMS'!E42&amp;""</f>
        <v>L#27-VANGUARD SILVER</v>
      </c>
      <c r="F522" s="107" t="str">
        <f>'19U BOYS GOLD-16 TEAMS'!F42&amp;""</f>
        <v>7</v>
      </c>
      <c r="G522" s="107" t="str">
        <f>'19U BOYS GOLD-16 TEAMS'!G42&amp;""</f>
        <v>L#28-FARALLON</v>
      </c>
      <c r="H522" s="107" t="str">
        <f>'19U BOYS GOLD-16 TEAMS'!H42&amp;""</f>
        <v>6</v>
      </c>
      <c r="I522" s="107" t="str">
        <f>'19U BOYS GOLD-16 TEAMS'!I42&amp;""</f>
        <v>11th</v>
      </c>
      <c r="J522" s="107" t="str">
        <f>'19U BOYS GOLD-16 TEAMS'!J42&amp;""</f>
        <v>19U_BOYS_GOLD</v>
      </c>
      <c r="K522" s="107" t="str">
        <f t="shared" si="14"/>
        <v>202602011700</v>
      </c>
    </row>
    <row r="523" spans="1:11">
      <c r="A523" s="275">
        <f>'19U BOYS GOLD-16 TEAMS'!A43</f>
        <v>46054</v>
      </c>
      <c r="B523" s="274">
        <f>'19U BOYS GOLD-16 TEAMS'!B43</f>
        <v>0.75</v>
      </c>
      <c r="C523" s="274" t="str">
        <f>'19U BOYS GOLD-16 TEAMS'!C43&amp;""</f>
        <v>WOOLLETT NEAR RIGHT</v>
      </c>
      <c r="D523" s="107" t="str">
        <f>'19U BOYS GOLD-16 TEAMS'!D43&amp;""</f>
        <v>19Bau23</v>
      </c>
      <c r="E523" s="107" t="str">
        <f>'19U BOYS GOLD-16 TEAMS'!E43&amp;""</f>
        <v>L#19-HIELAND</v>
      </c>
      <c r="F523" s="107" t="str">
        <f>'19U BOYS GOLD-16 TEAMS'!F43&amp;""</f>
        <v>9</v>
      </c>
      <c r="G523" s="107" t="str">
        <f>'19U BOYS GOLD-16 TEAMS'!G43&amp;""</f>
        <v>L#20-ORANGE COUNTY WPC BLUE</v>
      </c>
      <c r="H523" s="107" t="str">
        <f>'19U BOYS GOLD-16 TEAMS'!H43&amp;""</f>
        <v>10</v>
      </c>
      <c r="I523" s="107" t="str">
        <f>'19U BOYS GOLD-16 TEAMS'!I43&amp;""</f>
        <v>3rd</v>
      </c>
      <c r="J523" s="107" t="str">
        <f>'19U BOYS GOLD-16 TEAMS'!J43&amp;""</f>
        <v>19U_BOYS_GOLD</v>
      </c>
      <c r="K523" s="107" t="str">
        <f t="shared" si="14"/>
        <v>202602011800</v>
      </c>
    </row>
    <row r="524" spans="1:11">
      <c r="A524" s="275">
        <f>'19U BOYS GOLD-16 TEAMS'!A44</f>
        <v>46054</v>
      </c>
      <c r="B524" s="274">
        <f>'19U BOYS GOLD-16 TEAMS'!B44</f>
        <v>0.75</v>
      </c>
      <c r="C524" s="274" t="str">
        <f>'19U BOYS GOLD-16 TEAMS'!C44&amp;""</f>
        <v>WOOLLETT NEAR LEFT</v>
      </c>
      <c r="D524" s="107" t="str">
        <f>'19U BOYS GOLD-16 TEAMS'!D44&amp;""</f>
        <v>19Bau24</v>
      </c>
      <c r="E524" s="107" t="str">
        <f>'19U BOYS GOLD-16 TEAMS'!E44&amp;""</f>
        <v>W#19-LONGHORN</v>
      </c>
      <c r="F524" s="107" t="str">
        <f>'19U BOYS GOLD-16 TEAMS'!F44&amp;""</f>
        <v>12</v>
      </c>
      <c r="G524" s="107" t="str">
        <f>'19U BOYS GOLD-16 TEAMS'!G44&amp;""</f>
        <v>W#20-MISSON WPC</v>
      </c>
      <c r="H524" s="107" t="str">
        <f>'19U BOYS GOLD-16 TEAMS'!H44&amp;""</f>
        <v>9</v>
      </c>
      <c r="I524" s="107" t="str">
        <f>'19U BOYS GOLD-16 TEAMS'!I44&amp;""</f>
        <v>1st</v>
      </c>
      <c r="J524" s="107" t="str">
        <f>'19U BOYS GOLD-16 TEAMS'!J44&amp;""</f>
        <v>19U_BOYS_GOLD</v>
      </c>
      <c r="K524" s="107" t="str">
        <f t="shared" si="14"/>
        <v>202602011800</v>
      </c>
    </row>
    <row r="525" spans="1:11">
      <c r="A525" s="278">
        <f>'19U BOYS PLATINUM-27 TEAMS'!A27</f>
        <v>46053</v>
      </c>
      <c r="B525" s="277">
        <f>'19U BOYS PLATINUM-27 TEAMS'!B27</f>
        <v>0.29166666666666669</v>
      </c>
      <c r="C525" s="109" t="str">
        <f>'19U BOYS PLATINUM-27 TEAMS'!C27&amp;""</f>
        <v>SAN JUAN HILLS HS</v>
      </c>
      <c r="D525" s="109" t="str">
        <f>'19U BOYS PLATINUM-27 TEAMS'!D27&amp;""</f>
        <v>19Bpt01</v>
      </c>
      <c r="E525" s="276" t="str">
        <f>'19U BOYS PLATINUM-27 TEAMS'!E27&amp;""</f>
        <v>A1(1)-CC UNITED BLACK</v>
      </c>
      <c r="F525" s="276" t="str">
        <f>'19U BOYS PLATINUM-27 TEAMS'!F27&amp;""</f>
        <v>19</v>
      </c>
      <c r="G525" s="276" t="str">
        <f>'19U BOYS PLATINUM-27 TEAMS'!G27&amp;""</f>
        <v>A3(17)-LV LEGENDS</v>
      </c>
      <c r="H525" s="276" t="str">
        <f>'19U BOYS PLATINUM-27 TEAMS'!H27&amp;""</f>
        <v>4</v>
      </c>
      <c r="I525" s="109" t="str">
        <f>'19U BOYS PLATINUM-27 TEAMS'!I27&amp;""</f>
        <v>A bracket A1,A3</v>
      </c>
      <c r="J525" s="276" t="str">
        <f>'19U BOYS PLATINUM-27 TEAMS'!J27&amp;""</f>
        <v>19U_BOYS_PLATINUM</v>
      </c>
      <c r="K525" s="276" t="str">
        <f t="shared" ref="K525:K556" si="15">TEXT(DATE(2026, MONTH(A525), DAY(A525)) + TIME(HOUR(B525), MINUTE(B525), 0), "yyyymmddhhmm")</f>
        <v>202601310700</v>
      </c>
    </row>
    <row r="526" spans="1:11">
      <c r="A526" s="278">
        <f>'19U BOYS PLATINUM-27 TEAMS'!A28</f>
        <v>46053</v>
      </c>
      <c r="B526" s="277">
        <f>'19U BOYS PLATINUM-27 TEAMS'!B28</f>
        <v>0.29166666666666669</v>
      </c>
      <c r="C526" s="109" t="str">
        <f>'19U BOYS PLATINUM-27 TEAMS'!C28&amp;""</f>
        <v>WOOLLETT NEAR LEFT</v>
      </c>
      <c r="D526" s="109" t="str">
        <f>'19U BOYS PLATINUM-27 TEAMS'!D28&amp;""</f>
        <v>19Bpt02</v>
      </c>
      <c r="E526" s="276" t="str">
        <f>'19U BOYS PLATINUM-27 TEAMS'!E28&amp;""</f>
        <v>8-AMERICAN RIVER BLUE</v>
      </c>
      <c r="F526" s="276" t="str">
        <f>'19U BOYS PLATINUM-27 TEAMS'!F28&amp;""</f>
        <v>15</v>
      </c>
      <c r="G526" s="276" t="str">
        <f>'19U BOYS PLATINUM-27 TEAMS'!G28&amp;""</f>
        <v>25-SUPREME</v>
      </c>
      <c r="H526" s="276" t="str">
        <f>'19U BOYS PLATINUM-27 TEAMS'!H28&amp;""</f>
        <v>8</v>
      </c>
      <c r="I526" s="109" t="str">
        <f>'19U BOYS PLATINUM-27 TEAMS'!I28&amp;""</f>
        <v>W/L D1/D4</v>
      </c>
      <c r="J526" s="276" t="str">
        <f>'19U BOYS PLATINUM-27 TEAMS'!J28&amp;""</f>
        <v>19U_BOYS_PLATINUM</v>
      </c>
      <c r="K526" s="276" t="str">
        <f t="shared" si="15"/>
        <v>202601310700</v>
      </c>
    </row>
    <row r="527" spans="1:11">
      <c r="A527" s="278">
        <f>'19U BOYS PLATINUM-27 TEAMS'!A43</f>
        <v>46053</v>
      </c>
      <c r="B527" s="277">
        <f>'19U BOYS PLATINUM-27 TEAMS'!B43</f>
        <v>0.29166666666666669</v>
      </c>
      <c r="C527" s="109" t="str">
        <f>'19U BOYS PLATINUM-27 TEAMS'!C43&amp;""</f>
        <v>WOOLLETT NEAR RIGHT</v>
      </c>
      <c r="D527" s="109" t="str">
        <f>'19U BOYS PLATINUM-27 TEAMS'!D43&amp;""</f>
        <v>19Bpt15</v>
      </c>
      <c r="E527" s="276" t="str">
        <f>'19U BOYS PLATINUM-27 TEAMS'!E43&amp;""</f>
        <v>11-SAN JOSE EXPRESS BLUE</v>
      </c>
      <c r="F527" s="276" t="str">
        <f>'19U BOYS PLATINUM-27 TEAMS'!F43&amp;""</f>
        <v>11</v>
      </c>
      <c r="G527" s="276" t="str">
        <f>'19U BOYS PLATINUM-27 TEAMS'!G43&amp;""</f>
        <v>22-CT PREMIER</v>
      </c>
      <c r="H527" s="276" t="str">
        <f>'19U BOYS PLATINUM-27 TEAMS'!H43&amp;""</f>
        <v>13</v>
      </c>
      <c r="I527" s="109" t="str">
        <f>'19U BOYS PLATINUM-27 TEAMS'!I43&amp;""</f>
        <v>W/L G2/G3</v>
      </c>
      <c r="J527" s="276" t="str">
        <f>'19U BOYS PLATINUM-27 TEAMS'!J43&amp;""</f>
        <v>19U_BOYS_PLATINUM</v>
      </c>
      <c r="K527" s="276" t="str">
        <f t="shared" si="15"/>
        <v>202601310700</v>
      </c>
    </row>
    <row r="528" spans="1:11">
      <c r="A528" s="278">
        <f>'19U BOYS PLATINUM-27 TEAMS'!A29</f>
        <v>46053</v>
      </c>
      <c r="B528" s="277">
        <f>'19U BOYS PLATINUM-27 TEAMS'!B29</f>
        <v>0.33333333333333298</v>
      </c>
      <c r="C528" s="109" t="str">
        <f>'19U BOYS PLATINUM-27 TEAMS'!C29&amp;""</f>
        <v>WOOLLETT NEAR LEFT</v>
      </c>
      <c r="D528" s="109" t="str">
        <f>'19U BOYS PLATINUM-27 TEAMS'!D29&amp;""</f>
        <v>19Bpt14</v>
      </c>
      <c r="E528" s="281" t="str">
        <f>'19U BOYS PLATINUM-27 TEAMS'!E29&amp;""</f>
        <v>6-CHANNEL ISLANDS UNITED TEAL</v>
      </c>
      <c r="F528" s="276" t="str">
        <f>'19U BOYS PLATINUM-27 TEAMS'!F29&amp;""</f>
        <v>21</v>
      </c>
      <c r="G528" s="276" t="str">
        <f>'19U BOYS PLATINUM-27 TEAMS'!G29&amp;""</f>
        <v>27-CC UNITED BLUE</v>
      </c>
      <c r="H528" s="276" t="str">
        <f>'19U BOYS PLATINUM-27 TEAMS'!H29&amp;""</f>
        <v>5</v>
      </c>
      <c r="I528" s="109" t="str">
        <f>'19U BOYS PLATINUM-27 TEAMS'!I29&amp;""</f>
        <v>W/L G1/G4</v>
      </c>
      <c r="J528" s="276" t="str">
        <f>'19U BOYS PLATINUM-27 TEAMS'!J29&amp;""</f>
        <v>19U_BOYS_PLATINUM</v>
      </c>
      <c r="K528" s="276" t="str">
        <f t="shared" si="15"/>
        <v>202601310800</v>
      </c>
    </row>
    <row r="529" spans="1:11">
      <c r="A529" s="278">
        <f>'19U BOYS PLATINUM-27 TEAMS'!A44</f>
        <v>46053</v>
      </c>
      <c r="B529" s="277">
        <f>'19U BOYS PLATINUM-27 TEAMS'!B44</f>
        <v>0.33333333333333298</v>
      </c>
      <c r="C529" s="109" t="str">
        <f>'19U BOYS PLATINUM-27 TEAMS'!C44&amp;""</f>
        <v>WOOLLETT NEAR RIGHT</v>
      </c>
      <c r="D529" s="109" t="str">
        <f>'19U BOYS PLATINUM-27 TEAMS'!D44&amp;""</f>
        <v>19Bpt16</v>
      </c>
      <c r="E529" s="276" t="str">
        <f>'19U BOYS PLATINUM-27 TEAMS'!E44&amp;""</f>
        <v>7-TROJAN</v>
      </c>
      <c r="F529" s="276" t="str">
        <f>'19U BOYS PLATINUM-27 TEAMS'!F44&amp;""</f>
        <v>13</v>
      </c>
      <c r="G529" s="276" t="str">
        <f>'19U BOYS PLATINUM-27 TEAMS'!G44&amp;""</f>
        <v>26-FOOTHILL BLACK</v>
      </c>
      <c r="H529" s="276" t="str">
        <f>'19U BOYS PLATINUM-27 TEAMS'!H44&amp;""</f>
        <v>7</v>
      </c>
      <c r="I529" s="109" t="str">
        <f>'19U BOYS PLATINUM-27 TEAMS'!I44&amp;""</f>
        <v>W/L H</v>
      </c>
      <c r="J529" s="276" t="str">
        <f>'19U BOYS PLATINUM-27 TEAMS'!J44&amp;""</f>
        <v>19U_BOYS_PLATINUM</v>
      </c>
      <c r="K529" s="276" t="str">
        <f t="shared" si="15"/>
        <v>202601310800</v>
      </c>
    </row>
    <row r="530" spans="1:11">
      <c r="A530" s="278">
        <f>'19U BOYS PLATINUM-27 TEAMS'!A30</f>
        <v>46053</v>
      </c>
      <c r="B530" s="277">
        <f>'19U BOYS PLATINUM-27 TEAMS'!B30</f>
        <v>0.375</v>
      </c>
      <c r="C530" s="109" t="str">
        <f>'19U BOYS PLATINUM-27 TEAMS'!C30&amp;""</f>
        <v>WOOLLETT NEAR LEFT</v>
      </c>
      <c r="D530" s="109" t="str">
        <f>'19U BOYS PLATINUM-27 TEAMS'!D30&amp;""</f>
        <v>19Bpt03</v>
      </c>
      <c r="E530" s="276" t="str">
        <f>'19U BOYS PLATINUM-27 TEAMS'!E30&amp;""</f>
        <v>9-SOUTH COAST RED (A)</v>
      </c>
      <c r="F530" s="276" t="str">
        <f>'19U BOYS PLATINUM-27 TEAMS'!F30&amp;""</f>
        <v>9.3</v>
      </c>
      <c r="G530" s="276" t="str">
        <f>'19U BOYS PLATINUM-27 TEAMS'!G30&amp;""</f>
        <v>24-SAND CANYON</v>
      </c>
      <c r="H530" s="276" t="str">
        <f>'19U BOYS PLATINUM-27 TEAMS'!H30&amp;""</f>
        <v>9.4</v>
      </c>
      <c r="I530" s="109" t="str">
        <f>'19U BOYS PLATINUM-27 TEAMS'!I30&amp;""</f>
        <v>W/L D2/D3</v>
      </c>
      <c r="J530" s="276" t="str">
        <f>'19U BOYS PLATINUM-27 TEAMS'!J30&amp;""</f>
        <v>19U_BOYS_PLATINUM</v>
      </c>
      <c r="K530" s="276" t="str">
        <f t="shared" si="15"/>
        <v>202601310900</v>
      </c>
    </row>
    <row r="531" spans="1:11">
      <c r="A531" s="278">
        <f>'19U BOYS PLATINUM-27 TEAMS'!A45</f>
        <v>46053</v>
      </c>
      <c r="B531" s="277">
        <f>'19U BOYS PLATINUM-27 TEAMS'!B45</f>
        <v>0.375</v>
      </c>
      <c r="C531" s="109" t="str">
        <f>'19U BOYS PLATINUM-27 TEAMS'!C45&amp;""</f>
        <v>WOOLLETT NEAR RIGHT</v>
      </c>
      <c r="D531" s="109" t="str">
        <f>'19U BOYS PLATINUM-27 TEAMS'!D45&amp;""</f>
        <v>19Bpt17</v>
      </c>
      <c r="E531" s="276" t="str">
        <f>'19U BOYS PLATINUM-27 TEAMS'!E45&amp;""</f>
        <v>10-SHAQ</v>
      </c>
      <c r="F531" s="276" t="str">
        <f>'19U BOYS PLATINUM-27 TEAMS'!F45&amp;""</f>
        <v>5</v>
      </c>
      <c r="G531" s="276" t="str">
        <f>'19U BOYS PLATINUM-27 TEAMS'!G45&amp;""</f>
        <v>23-RIVERSIDE</v>
      </c>
      <c r="H531" s="276" t="str">
        <f>'19U BOYS PLATINUM-27 TEAMS'!H45&amp;""</f>
        <v>12</v>
      </c>
      <c r="I531" s="109" t="str">
        <f>'19U BOYS PLATINUM-27 TEAMS'!I45&amp;""</f>
        <v>W/L H</v>
      </c>
      <c r="J531" s="276" t="str">
        <f>'19U BOYS PLATINUM-27 TEAMS'!J45&amp;""</f>
        <v>19U_BOYS_PLATINUM</v>
      </c>
      <c r="K531" s="276" t="str">
        <f t="shared" si="15"/>
        <v>202601310900</v>
      </c>
    </row>
    <row r="532" spans="1:11">
      <c r="A532" s="278">
        <f>'19U BOYS PLATINUM-27 TEAMS'!A31</f>
        <v>46053</v>
      </c>
      <c r="B532" s="277">
        <f>'19U BOYS PLATINUM-27 TEAMS'!B31</f>
        <v>0.41666666666666702</v>
      </c>
      <c r="C532" s="109" t="str">
        <f>'19U BOYS PLATINUM-27 TEAMS'!C31&amp;""</f>
        <v>WOOLLETT NEAR LEFT</v>
      </c>
      <c r="D532" s="109" t="str">
        <f>'19U BOYS PLATINUM-27 TEAMS'!D31&amp;""</f>
        <v>19Bpt04</v>
      </c>
      <c r="E532" s="276" t="str">
        <f>'19U BOYS PLATINUM-27 TEAMS'!E31&amp;""</f>
        <v>A2(16)-POWAY VALLEY BLACK</v>
      </c>
      <c r="F532" s="276" t="str">
        <f>'19U BOYS PLATINUM-27 TEAMS'!F31&amp;""</f>
        <v>14</v>
      </c>
      <c r="G532" s="276" t="str">
        <f>'19U BOYS PLATINUM-27 TEAMS'!G31&amp;""</f>
        <v>A3(17)-LV LEGENDS</v>
      </c>
      <c r="H532" s="276" t="str">
        <f>'19U BOYS PLATINUM-27 TEAMS'!H31&amp;""</f>
        <v>7</v>
      </c>
      <c r="I532" s="109" t="str">
        <f>'19U BOYS PLATINUM-27 TEAMS'!I31&amp;""</f>
        <v>A bracket A2,A3</v>
      </c>
      <c r="J532" s="276" t="str">
        <f>'19U BOYS PLATINUM-27 TEAMS'!J31&amp;""</f>
        <v>19U_BOYS_PLATINUM</v>
      </c>
      <c r="K532" s="276" t="str">
        <f t="shared" si="15"/>
        <v>202601311000</v>
      </c>
    </row>
    <row r="533" spans="1:11">
      <c r="A533" s="278">
        <f>'19U BOYS PLATINUM-27 TEAMS'!A46</f>
        <v>46053</v>
      </c>
      <c r="B533" s="277">
        <f>'19U BOYS PLATINUM-27 TEAMS'!B46</f>
        <v>0.41666666666666702</v>
      </c>
      <c r="C533" s="109" t="str">
        <f>'19U BOYS PLATINUM-27 TEAMS'!C46&amp;""</f>
        <v>WOOLLETT NEAR RIGHT</v>
      </c>
      <c r="D533" s="109" t="str">
        <f>'19U BOYS PLATINUM-27 TEAMS'!D46&amp;""</f>
        <v>19Bpt22</v>
      </c>
      <c r="E533" s="276" t="str">
        <f>'19U BOYS PLATINUM-27 TEAMS'!E46&amp;""</f>
        <v>E1(2)-LAMORINDA A</v>
      </c>
      <c r="F533" s="276" t="str">
        <f>'19U BOYS PLATINUM-27 TEAMS'!F46&amp;""</f>
        <v>16</v>
      </c>
      <c r="G533" s="276" t="str">
        <f>'19U BOYS PLATINUM-27 TEAMS'!G46&amp;""</f>
        <v>E3(18)-CHULA VISTA PREMIER</v>
      </c>
      <c r="H533" s="276" t="str">
        <f>'19U BOYS PLATINUM-27 TEAMS'!H46&amp;""</f>
        <v>7</v>
      </c>
      <c r="I533" s="109" t="str">
        <f>'19U BOYS PLATINUM-27 TEAMS'!I46&amp;""</f>
        <v>E bracket E1,E3</v>
      </c>
      <c r="J533" s="276" t="str">
        <f>'19U BOYS PLATINUM-27 TEAMS'!J46&amp;""</f>
        <v>19U_BOYS_PLATINUM</v>
      </c>
      <c r="K533" s="276" t="str">
        <f t="shared" si="15"/>
        <v>202601311000</v>
      </c>
    </row>
    <row r="534" spans="1:11">
      <c r="A534" s="278">
        <f>'19U BOYS PLATINUM-27 TEAMS'!A32</f>
        <v>46053</v>
      </c>
      <c r="B534" s="277">
        <f>'19U BOYS PLATINUM-27 TEAMS'!B32</f>
        <v>0.45833333333333298</v>
      </c>
      <c r="C534" s="109" t="str">
        <f>'19U BOYS PLATINUM-27 TEAMS'!C32&amp;""</f>
        <v>WOOLLETT NEAR LEFT</v>
      </c>
      <c r="D534" s="109" t="str">
        <f>'19U BOYS PLATINUM-27 TEAMS'!D32&amp;""</f>
        <v>19Bpt08</v>
      </c>
      <c r="E534" s="276" t="str">
        <f>'19U BOYS PLATINUM-27 TEAMS'!E32&amp;""</f>
        <v>B1(4)-SD SHORES BLACK</v>
      </c>
      <c r="F534" s="276" t="str">
        <f>'19U BOYS PLATINUM-27 TEAMS'!F32&amp;""</f>
        <v>9</v>
      </c>
      <c r="G534" s="276" t="str">
        <f>'19U BOYS PLATINUM-27 TEAMS'!G32&amp;""</f>
        <v>B3(20)-BERKELEY WPC</v>
      </c>
      <c r="H534" s="276" t="str">
        <f>'19U BOYS PLATINUM-27 TEAMS'!H32&amp;""</f>
        <v>10</v>
      </c>
      <c r="I534" s="109" t="str">
        <f>'19U BOYS PLATINUM-27 TEAMS'!I32&amp;""</f>
        <v>B bracket B1,B3</v>
      </c>
      <c r="J534" s="276" t="str">
        <f>'19U BOYS PLATINUM-27 TEAMS'!J32&amp;""</f>
        <v>19U_BOYS_PLATINUM</v>
      </c>
      <c r="K534" s="276" t="str">
        <f t="shared" si="15"/>
        <v>202601311100</v>
      </c>
    </row>
    <row r="535" spans="1:11">
      <c r="A535" s="278">
        <f>'19U BOYS PLATINUM-27 TEAMS'!A47</f>
        <v>46053</v>
      </c>
      <c r="B535" s="277">
        <f>'19U BOYS PLATINUM-27 TEAMS'!B47</f>
        <v>0.45833333333333298</v>
      </c>
      <c r="C535" s="109" t="str">
        <f>'19U BOYS PLATINUM-27 TEAMS'!C47&amp;""</f>
        <v>WOOLLETT NEAR RIGHT</v>
      </c>
      <c r="D535" s="109" t="str">
        <f>'19U BOYS PLATINUM-27 TEAMS'!D47&amp;""</f>
        <v>19Bpt23</v>
      </c>
      <c r="E535" s="276" t="str">
        <f>'19U BOYS PLATINUM-27 TEAMS'!E47&amp;""</f>
        <v>F1(3)-NORCAL</v>
      </c>
      <c r="F535" s="276" t="str">
        <f>'19U BOYS PLATINUM-27 TEAMS'!F47&amp;""</f>
        <v>8</v>
      </c>
      <c r="G535" s="276" t="str">
        <f>'19U BOYS PLATINUM-27 TEAMS'!G47&amp;""</f>
        <v>F3(19)-FOOTHILL RED</v>
      </c>
      <c r="H535" s="276" t="str">
        <f>'19U BOYS PLATINUM-27 TEAMS'!H47&amp;""</f>
        <v>9</v>
      </c>
      <c r="I535" s="109" t="str">
        <f>'19U BOYS PLATINUM-27 TEAMS'!I47&amp;""</f>
        <v>F bracket F1,F3</v>
      </c>
      <c r="J535" s="276" t="str">
        <f>'19U BOYS PLATINUM-27 TEAMS'!J47&amp;""</f>
        <v>19U_BOYS_PLATINUM</v>
      </c>
      <c r="K535" s="276" t="str">
        <f t="shared" si="15"/>
        <v>202601311100</v>
      </c>
    </row>
    <row r="536" spans="1:11">
      <c r="A536" s="278">
        <f>'19U BOYS PLATINUM-27 TEAMS'!A33</f>
        <v>46053</v>
      </c>
      <c r="B536" s="277">
        <f>'19U BOYS PLATINUM-27 TEAMS'!B33</f>
        <v>0.5</v>
      </c>
      <c r="C536" s="109" t="str">
        <f>'19U BOYS PLATINUM-27 TEAMS'!C33&amp;""</f>
        <v>WOOLLETT NEAR LEFT</v>
      </c>
      <c r="D536" s="109" t="str">
        <f>'19U BOYS PLATINUM-27 TEAMS'!D33&amp;""</f>
        <v>19Bpt09</v>
      </c>
      <c r="E536" s="276" t="str">
        <f>'19U BOYS PLATINUM-27 TEAMS'!E33&amp;""</f>
        <v>C1(5)-LA JOLLA UNITED NAVY</v>
      </c>
      <c r="F536" s="276" t="str">
        <f>'19U BOYS PLATINUM-27 TEAMS'!F33&amp;""</f>
        <v>13</v>
      </c>
      <c r="G536" s="276" t="str">
        <f>'19U BOYS PLATINUM-27 TEAMS'!G33&amp;""</f>
        <v>C3(21)-NORTH IRVINE BLACK</v>
      </c>
      <c r="H536" s="276" t="str">
        <f>'19U BOYS PLATINUM-27 TEAMS'!H33&amp;""</f>
        <v>7</v>
      </c>
      <c r="I536" s="109" t="str">
        <f>'19U BOYS PLATINUM-27 TEAMS'!I33&amp;""</f>
        <v>C bracket C1,C3</v>
      </c>
      <c r="J536" s="276" t="str">
        <f>'19U BOYS PLATINUM-27 TEAMS'!J33&amp;""</f>
        <v>19U_BOYS_PLATINUM</v>
      </c>
      <c r="K536" s="276" t="str">
        <f t="shared" si="15"/>
        <v>202601311200</v>
      </c>
    </row>
    <row r="537" spans="1:11">
      <c r="A537" s="278">
        <f>'19U BOYS PLATINUM-27 TEAMS'!A48</f>
        <v>46053</v>
      </c>
      <c r="B537" s="277">
        <f>'19U BOYS PLATINUM-27 TEAMS'!B48</f>
        <v>0.5</v>
      </c>
      <c r="C537" s="109" t="str">
        <f>'19U BOYS PLATINUM-27 TEAMS'!C48&amp;""</f>
        <v>WOOLLETT NEAR RIGHT</v>
      </c>
      <c r="D537" s="109" t="str">
        <f>'19U BOYS PLATINUM-27 TEAMS'!D48&amp;""</f>
        <v>19Bpt18</v>
      </c>
      <c r="E537" s="276" t="str">
        <f>'19U BOYS PLATINUM-27 TEAMS'!E48&amp;""</f>
        <v>W#14-CHANNEL ISLANDS UNITED TEAL</v>
      </c>
      <c r="F537" s="276" t="str">
        <f>'19U BOYS PLATINUM-27 TEAMS'!F48&amp;""</f>
        <v>12</v>
      </c>
      <c r="G537" s="276" t="str">
        <f>'19U BOYS PLATINUM-27 TEAMS'!G48&amp;""</f>
        <v>W#15-CT PREMIER</v>
      </c>
      <c r="H537" s="276" t="str">
        <f>'19U BOYS PLATINUM-27 TEAMS'!H48&amp;""</f>
        <v>10</v>
      </c>
      <c r="I537" s="109" t="str">
        <f>'19U BOYS PLATINUM-27 TEAMS'!I48&amp;""</f>
        <v>1st/2ndG</v>
      </c>
      <c r="J537" s="276" t="str">
        <f>'19U BOYS PLATINUM-27 TEAMS'!J48&amp;""</f>
        <v>19U_BOYS_PLATINUM</v>
      </c>
      <c r="K537" s="276" t="str">
        <f t="shared" si="15"/>
        <v>202601311200</v>
      </c>
    </row>
    <row r="538" spans="1:11">
      <c r="A538" s="278">
        <f>'19U BOYS PLATINUM-27 TEAMS'!A34</f>
        <v>46053</v>
      </c>
      <c r="B538" s="277">
        <f>'19U BOYS PLATINUM-27 TEAMS'!B34</f>
        <v>0.54166666666666696</v>
      </c>
      <c r="C538" s="109" t="str">
        <f>'19U BOYS PLATINUM-27 TEAMS'!C34&amp;""</f>
        <v>WOOLLETT NEAR LEFT</v>
      </c>
      <c r="D538" s="109" t="str">
        <f>'19U BOYS PLATINUM-27 TEAMS'!D34&amp;""</f>
        <v>19Bpt05</v>
      </c>
      <c r="E538" s="276" t="str">
        <f>'19U BOYS PLATINUM-27 TEAMS'!E34&amp;""</f>
        <v>L#2-SUPREME</v>
      </c>
      <c r="F538" s="276" t="str">
        <f>'19U BOYS PLATINUM-27 TEAMS'!F34&amp;""</f>
        <v>8</v>
      </c>
      <c r="G538" s="276" t="str">
        <f>'19U BOYS PLATINUM-27 TEAMS'!G34&amp;""</f>
        <v>L#3-SOUTH COAST RED (A)</v>
      </c>
      <c r="H538" s="276" t="str">
        <f>'19U BOYS PLATINUM-27 TEAMS'!H34&amp;""</f>
        <v>12</v>
      </c>
      <c r="I538" s="109" t="str">
        <f>'19U BOYS PLATINUM-27 TEAMS'!I34&amp;""</f>
        <v>3rd/4th D</v>
      </c>
      <c r="J538" s="276" t="str">
        <f>'19U BOYS PLATINUM-27 TEAMS'!J34&amp;""</f>
        <v>19U_BOYS_PLATINUM</v>
      </c>
      <c r="K538" s="276" t="str">
        <f t="shared" si="15"/>
        <v>202601311300</v>
      </c>
    </row>
    <row r="539" spans="1:11">
      <c r="A539" s="278">
        <f>'19U BOYS PLATINUM-27 TEAMS'!A49</f>
        <v>46053</v>
      </c>
      <c r="B539" s="277">
        <f>'19U BOYS PLATINUM-27 TEAMS'!B49</f>
        <v>0.54166666666666696</v>
      </c>
      <c r="C539" s="109" t="str">
        <f>'19U BOYS PLATINUM-27 TEAMS'!C49&amp;""</f>
        <v>WOOLLETT NEAR RIGHT</v>
      </c>
      <c r="D539" s="109" t="str">
        <f>'19U BOYS PLATINUM-27 TEAMS'!D49&amp;""</f>
        <v>19Bpt19</v>
      </c>
      <c r="E539" s="276" t="str">
        <f>'19U BOYS PLATINUM-27 TEAMS'!E49&amp;""</f>
        <v>L#14-CC UNITED BLUE</v>
      </c>
      <c r="F539" s="276" t="str">
        <f>'19U BOYS PLATINUM-27 TEAMS'!F49&amp;""</f>
        <v>6</v>
      </c>
      <c r="G539" s="276" t="str">
        <f>'19U BOYS PLATINUM-27 TEAMS'!G49&amp;""</f>
        <v>L#15-SAN JOSE EXPRESS BLUE</v>
      </c>
      <c r="H539" s="276" t="str">
        <f>'19U BOYS PLATINUM-27 TEAMS'!H49&amp;""</f>
        <v>7</v>
      </c>
      <c r="I539" s="109" t="str">
        <f>'19U BOYS PLATINUM-27 TEAMS'!I49&amp;""</f>
        <v>3rd/4thG</v>
      </c>
      <c r="J539" s="276" t="str">
        <f>'19U BOYS PLATINUM-27 TEAMS'!J49&amp;""</f>
        <v>19U_BOYS_PLATINUM</v>
      </c>
      <c r="K539" s="276" t="str">
        <f t="shared" si="15"/>
        <v>202601311300</v>
      </c>
    </row>
    <row r="540" spans="1:11">
      <c r="A540" s="278">
        <f>'19U BOYS PLATINUM-27 TEAMS'!A35</f>
        <v>46053</v>
      </c>
      <c r="B540" s="277">
        <f>'19U BOYS PLATINUM-27 TEAMS'!B35</f>
        <v>0.58333333333333304</v>
      </c>
      <c r="C540" s="109" t="str">
        <f>'19U BOYS PLATINUM-27 TEAMS'!C35&amp;""</f>
        <v>WOOLLETT NEAR LEFT</v>
      </c>
      <c r="D540" s="109" t="str">
        <f>'19U BOYS PLATINUM-27 TEAMS'!D35&amp;""</f>
        <v>19Bpt06</v>
      </c>
      <c r="E540" s="276" t="str">
        <f>'19U BOYS PLATINUM-27 TEAMS'!E35&amp;""</f>
        <v>W#2-AMERICAN RIVER BLUE</v>
      </c>
      <c r="F540" s="276" t="str">
        <f>'19U BOYS PLATINUM-27 TEAMS'!F35&amp;""</f>
        <v>11.4</v>
      </c>
      <c r="G540" s="276" t="str">
        <f>'19U BOYS PLATINUM-27 TEAMS'!G35&amp;""</f>
        <v>W#3-SAND CANYON</v>
      </c>
      <c r="H540" s="276" t="str">
        <f>'19U BOYS PLATINUM-27 TEAMS'!H35&amp;""</f>
        <v>11.3</v>
      </c>
      <c r="I540" s="109" t="str">
        <f>'19U BOYS PLATINUM-27 TEAMS'!I35&amp;""</f>
        <v>1st/2nd D</v>
      </c>
      <c r="J540" s="276" t="str">
        <f>'19U BOYS PLATINUM-27 TEAMS'!J35&amp;""</f>
        <v>19U_BOYS_PLATINUM</v>
      </c>
      <c r="K540" s="276" t="str">
        <f t="shared" si="15"/>
        <v>202601311400</v>
      </c>
    </row>
    <row r="541" spans="1:11">
      <c r="A541" s="278">
        <f>'19U BOYS PLATINUM-27 TEAMS'!A50</f>
        <v>46053</v>
      </c>
      <c r="B541" s="277">
        <f>'19U BOYS PLATINUM-27 TEAMS'!B50</f>
        <v>0.58333333333333304</v>
      </c>
      <c r="C541" s="109" t="str">
        <f>'19U BOYS PLATINUM-27 TEAMS'!C50&amp;""</f>
        <v>WOOLLETT NEAR RIGHT</v>
      </c>
      <c r="D541" s="109" t="str">
        <f>'19U BOYS PLATINUM-27 TEAMS'!D50&amp;""</f>
        <v>19Bpt24</v>
      </c>
      <c r="E541" s="276" t="str">
        <f>'19U BOYS PLATINUM-27 TEAMS'!E50&amp;""</f>
        <v>E2(15)-VANGUARD BLUE</v>
      </c>
      <c r="F541" s="276" t="str">
        <f>'19U BOYS PLATINUM-27 TEAMS'!F50&amp;""</f>
        <v>14</v>
      </c>
      <c r="G541" s="276" t="str">
        <f>'19U BOYS PLATINUM-27 TEAMS'!G50&amp;""</f>
        <v>E3(18)-CHULA VISTA PREMIER</v>
      </c>
      <c r="H541" s="276" t="str">
        <f>'19U BOYS PLATINUM-27 TEAMS'!H50&amp;""</f>
        <v>7</v>
      </c>
      <c r="I541" s="109" t="str">
        <f>'19U BOYS PLATINUM-27 TEAMS'!I50&amp;""</f>
        <v>E bracket E2,E3</v>
      </c>
      <c r="J541" s="276" t="str">
        <f>'19U BOYS PLATINUM-27 TEAMS'!J50&amp;""</f>
        <v>19U_BOYS_PLATINUM</v>
      </c>
      <c r="K541" s="276" t="str">
        <f t="shared" si="15"/>
        <v>202601311400</v>
      </c>
    </row>
    <row r="542" spans="1:11">
      <c r="A542" s="278">
        <f>'19U BOYS PLATINUM-27 TEAMS'!A36</f>
        <v>46053</v>
      </c>
      <c r="B542" s="277">
        <f>'19U BOYS PLATINUM-27 TEAMS'!B36</f>
        <v>0.625</v>
      </c>
      <c r="C542" s="109" t="str">
        <f>'19U BOYS PLATINUM-27 TEAMS'!C36&amp;""</f>
        <v>WOOLLETT NEAR LEFT</v>
      </c>
      <c r="D542" s="109" t="str">
        <f>'19U BOYS PLATINUM-27 TEAMS'!D36&amp;""</f>
        <v>19Bpt10</v>
      </c>
      <c r="E542" s="276" t="str">
        <f>'19U BOYS PLATINUM-27 TEAMS'!E36&amp;""</f>
        <v>B2(13)-IMPERIAL BLUE</v>
      </c>
      <c r="F542" s="276" t="str">
        <f>'19U BOYS PLATINUM-27 TEAMS'!F36&amp;""</f>
        <v>11.8</v>
      </c>
      <c r="G542" s="276" t="str">
        <f>'19U BOYS PLATINUM-27 TEAMS'!G36&amp;""</f>
        <v>B3(20)-BERKELEY WPC</v>
      </c>
      <c r="H542" s="276" t="str">
        <f>'19U BOYS PLATINUM-27 TEAMS'!H36&amp;""</f>
        <v>11.7</v>
      </c>
      <c r="I542" s="109" t="str">
        <f>'19U BOYS PLATINUM-27 TEAMS'!I36&amp;""</f>
        <v>B bracket B2,B3</v>
      </c>
      <c r="J542" s="276" t="str">
        <f>'19U BOYS PLATINUM-27 TEAMS'!J36&amp;""</f>
        <v>19U_BOYS_PLATINUM</v>
      </c>
      <c r="K542" s="276" t="str">
        <f t="shared" si="15"/>
        <v>202601311500</v>
      </c>
    </row>
    <row r="543" spans="1:11">
      <c r="A543" s="278">
        <f>'19U BOYS PLATINUM-27 TEAMS'!A51</f>
        <v>46053</v>
      </c>
      <c r="B543" s="277">
        <f>'19U BOYS PLATINUM-27 TEAMS'!B51</f>
        <v>0.625</v>
      </c>
      <c r="C543" s="109" t="str">
        <f>'19U BOYS PLATINUM-27 TEAMS'!C51&amp;""</f>
        <v>WOOLLETT NEAR RIGHT</v>
      </c>
      <c r="D543" s="109" t="str">
        <f>'19U BOYS PLATINUM-27 TEAMS'!D51&amp;""</f>
        <v>19Bpt25</v>
      </c>
      <c r="E543" s="276" t="str">
        <f>'19U BOYS PLATINUM-27 TEAMS'!E51&amp;""</f>
        <v>F2(14)-SHADOW MEN</v>
      </c>
      <c r="F543" s="276" t="str">
        <f>'19U BOYS PLATINUM-27 TEAMS'!F51&amp;""</f>
        <v>8</v>
      </c>
      <c r="G543" s="276" t="str">
        <f>'19U BOYS PLATINUM-27 TEAMS'!G51&amp;""</f>
        <v>F3(19)-FOOTHILL RED</v>
      </c>
      <c r="H543" s="276" t="str">
        <f>'19U BOYS PLATINUM-27 TEAMS'!H51&amp;""</f>
        <v>16</v>
      </c>
      <c r="I543" s="109" t="str">
        <f>'19U BOYS PLATINUM-27 TEAMS'!I51&amp;""</f>
        <v>F bracket F2,F3</v>
      </c>
      <c r="J543" s="276" t="str">
        <f>'19U BOYS PLATINUM-27 TEAMS'!J51&amp;""</f>
        <v>19U_BOYS_PLATINUM</v>
      </c>
      <c r="K543" s="276" t="str">
        <f t="shared" si="15"/>
        <v>202601311500</v>
      </c>
    </row>
    <row r="544" spans="1:11">
      <c r="A544" s="278">
        <f>'19U BOYS PLATINUM-27 TEAMS'!A37</f>
        <v>46053</v>
      </c>
      <c r="B544" s="277">
        <f>'19U BOYS PLATINUM-27 TEAMS'!B37</f>
        <v>0.66666666666666696</v>
      </c>
      <c r="C544" s="109" t="str">
        <f>'19U BOYS PLATINUM-27 TEAMS'!C37&amp;""</f>
        <v>WOOLLETT NEAR LEFT</v>
      </c>
      <c r="D544" s="109" t="str">
        <f>'19U BOYS PLATINUM-27 TEAMS'!D37&amp;""</f>
        <v>19Bpt11</v>
      </c>
      <c r="E544" s="276" t="str">
        <f>'19U BOYS PLATINUM-27 TEAMS'!E37&amp;""</f>
        <v>C1(5)-LA JOLLA UNITED NAVY</v>
      </c>
      <c r="F544" s="276" t="str">
        <f>'19U BOYS PLATINUM-27 TEAMS'!F37&amp;""</f>
        <v>12</v>
      </c>
      <c r="G544" s="276" t="str">
        <f>'19U BOYS PLATINUM-27 TEAMS'!G37&amp;""</f>
        <v>C2(12)-SANTA CRUZ</v>
      </c>
      <c r="H544" s="276" t="str">
        <f>'19U BOYS PLATINUM-27 TEAMS'!H37&amp;""</f>
        <v>3</v>
      </c>
      <c r="I544" s="109" t="str">
        <f>'19U BOYS PLATINUM-27 TEAMS'!I37&amp;""</f>
        <v>C bracket C1,C2</v>
      </c>
      <c r="J544" s="276" t="str">
        <f>'19U BOYS PLATINUM-27 TEAMS'!J37&amp;""</f>
        <v>19U_BOYS_PLATINUM</v>
      </c>
      <c r="K544" s="276" t="str">
        <f t="shared" si="15"/>
        <v>202601311600</v>
      </c>
    </row>
    <row r="545" spans="1:11">
      <c r="A545" s="278">
        <f>'19U BOYS PLATINUM-27 TEAMS'!A52</f>
        <v>46053</v>
      </c>
      <c r="B545" s="277">
        <f>'19U BOYS PLATINUM-27 TEAMS'!B52</f>
        <v>0.66666666666666696</v>
      </c>
      <c r="C545" s="109" t="str">
        <f>'19U BOYS PLATINUM-27 TEAMS'!C52&amp;""</f>
        <v>WOOLLETT NEAR RIGHT</v>
      </c>
      <c r="D545" s="109" t="str">
        <f>'19U BOYS PLATINUM-27 TEAMS'!D52&amp;""</f>
        <v>19Bpt20</v>
      </c>
      <c r="E545" s="276" t="str">
        <f>'19U BOYS PLATINUM-27 TEAMS'!E52&amp;""</f>
        <v>W#16-TROJAN</v>
      </c>
      <c r="F545" s="276" t="str">
        <f>'19U BOYS PLATINUM-27 TEAMS'!F52&amp;""</f>
        <v>4</v>
      </c>
      <c r="G545" s="276" t="str">
        <f>'19U BOYS PLATINUM-27 TEAMS'!G52&amp;""</f>
        <v>W#17-RIVERSIDE</v>
      </c>
      <c r="H545" s="276" t="str">
        <f>'19U BOYS PLATINUM-27 TEAMS'!H52&amp;""</f>
        <v>15</v>
      </c>
      <c r="I545" s="109" t="str">
        <f>'19U BOYS PLATINUM-27 TEAMS'!I52&amp;""</f>
        <v>1st/2nd H</v>
      </c>
      <c r="J545" s="276" t="str">
        <f>'19U BOYS PLATINUM-27 TEAMS'!J52&amp;""</f>
        <v>19U_BOYS_PLATINUM</v>
      </c>
      <c r="K545" s="276" t="str">
        <f t="shared" si="15"/>
        <v>202601311600</v>
      </c>
    </row>
    <row r="546" spans="1:11">
      <c r="A546" s="278">
        <f>'19U BOYS PLATINUM-27 TEAMS'!A38</f>
        <v>46053</v>
      </c>
      <c r="B546" s="277">
        <f>'19U BOYS PLATINUM-27 TEAMS'!B38</f>
        <v>0.70833333333333304</v>
      </c>
      <c r="C546" s="109" t="str">
        <f>'19U BOYS PLATINUM-27 TEAMS'!C38&amp;""</f>
        <v>WOOLLETT NEAR LEFT</v>
      </c>
      <c r="D546" s="109" t="str">
        <f>'19U BOYS PLATINUM-27 TEAMS'!D38&amp;""</f>
        <v>19Bpt07</v>
      </c>
      <c r="E546" s="276" t="str">
        <f>'19U BOYS PLATINUM-27 TEAMS'!E38&amp;""</f>
        <v>A1(1)-CC UNITED BLACK</v>
      </c>
      <c r="F546" s="276" t="str">
        <f>'19U BOYS PLATINUM-27 TEAMS'!F38&amp;""</f>
        <v>21</v>
      </c>
      <c r="G546" s="276" t="str">
        <f>'19U BOYS PLATINUM-27 TEAMS'!G38&amp;""</f>
        <v>A2(16)-POWAY VALLEY BLACK</v>
      </c>
      <c r="H546" s="276" t="str">
        <f>'19U BOYS PLATINUM-27 TEAMS'!H38&amp;""</f>
        <v>14</v>
      </c>
      <c r="I546" s="109" t="str">
        <f>'19U BOYS PLATINUM-27 TEAMS'!I38&amp;""</f>
        <v>A bracket A1,A2</v>
      </c>
      <c r="J546" s="276" t="str">
        <f>'19U BOYS PLATINUM-27 TEAMS'!J38&amp;""</f>
        <v>19U_BOYS_PLATINUM</v>
      </c>
      <c r="K546" s="276" t="str">
        <f t="shared" si="15"/>
        <v>202601311700</v>
      </c>
    </row>
    <row r="547" spans="1:11">
      <c r="A547" s="278">
        <f>'19U BOYS PLATINUM-27 TEAMS'!A53</f>
        <v>46053</v>
      </c>
      <c r="B547" s="277">
        <f>'19U BOYS PLATINUM-27 TEAMS'!B53</f>
        <v>0.70833333333333304</v>
      </c>
      <c r="C547" s="109" t="str">
        <f>'19U BOYS PLATINUM-27 TEAMS'!C53&amp;""</f>
        <v>WOOLLETT NEAR RIGHT</v>
      </c>
      <c r="D547" s="109" t="str">
        <f>'19U BOYS PLATINUM-27 TEAMS'!D53&amp;""</f>
        <v>19Bpt21</v>
      </c>
      <c r="E547" s="276" t="str">
        <f>'19U BOYS PLATINUM-27 TEAMS'!E53&amp;""</f>
        <v>L#16-FOOTHILL BLACK</v>
      </c>
      <c r="F547" s="276" t="str">
        <f>'19U BOYS PLATINUM-27 TEAMS'!F53&amp;""</f>
        <v>6</v>
      </c>
      <c r="G547" s="276" t="str">
        <f>'19U BOYS PLATINUM-27 TEAMS'!G53&amp;""</f>
        <v>L#17-SHAQ</v>
      </c>
      <c r="H547" s="276" t="str">
        <f>'19U BOYS PLATINUM-27 TEAMS'!H53&amp;""</f>
        <v>15</v>
      </c>
      <c r="I547" s="109" t="str">
        <f>'19U BOYS PLATINUM-27 TEAMS'!I53&amp;""</f>
        <v>3rd/4th H</v>
      </c>
      <c r="J547" s="276" t="str">
        <f>'19U BOYS PLATINUM-27 TEAMS'!J53&amp;""</f>
        <v>19U_BOYS_PLATINUM</v>
      </c>
      <c r="K547" s="276" t="str">
        <f t="shared" si="15"/>
        <v>202601311700</v>
      </c>
    </row>
    <row r="548" spans="1:11">
      <c r="A548" s="278">
        <f>'19U BOYS PLATINUM-27 TEAMS'!A39</f>
        <v>46053</v>
      </c>
      <c r="B548" s="277">
        <f>'19U BOYS PLATINUM-27 TEAMS'!B39</f>
        <v>0.75</v>
      </c>
      <c r="C548" s="109" t="str">
        <f>'19U BOYS PLATINUM-27 TEAMS'!C39&amp;""</f>
        <v>WOOLLETT NEAR LEFT</v>
      </c>
      <c r="D548" s="109" t="str">
        <f>'19U BOYS PLATINUM-27 TEAMS'!D39&amp;""</f>
        <v>19Bpt12</v>
      </c>
      <c r="E548" s="276" t="str">
        <f>'19U BOYS PLATINUM-27 TEAMS'!E39&amp;""</f>
        <v>B1(4)-SD SHORES BLACK</v>
      </c>
      <c r="F548" s="276" t="str">
        <f>'19U BOYS PLATINUM-27 TEAMS'!F39&amp;""</f>
        <v>12</v>
      </c>
      <c r="G548" s="276" t="str">
        <f>'19U BOYS PLATINUM-27 TEAMS'!G39&amp;""</f>
        <v>B2(13)-IMPERIAL BLUE</v>
      </c>
      <c r="H548" s="276" t="str">
        <f>'19U BOYS PLATINUM-27 TEAMS'!H39&amp;""</f>
        <v>11</v>
      </c>
      <c r="I548" s="109" t="str">
        <f>'19U BOYS PLATINUM-27 TEAMS'!I39&amp;""</f>
        <v>B bracket B1,B2</v>
      </c>
      <c r="J548" s="276" t="str">
        <f>'19U BOYS PLATINUM-27 TEAMS'!J39&amp;""</f>
        <v>19U_BOYS_PLATINUM</v>
      </c>
      <c r="K548" s="276" t="str">
        <f t="shared" si="15"/>
        <v>202601311800</v>
      </c>
    </row>
    <row r="549" spans="1:11">
      <c r="A549" s="278">
        <f>'19U BOYS PLATINUM-27 TEAMS'!A54</f>
        <v>46053</v>
      </c>
      <c r="B549" s="277">
        <f>'19U BOYS PLATINUM-27 TEAMS'!B54</f>
        <v>0.75</v>
      </c>
      <c r="C549" s="109" t="str">
        <f>'19U BOYS PLATINUM-27 TEAMS'!C54&amp;""</f>
        <v>WOOLLETT NEAR RIGHT</v>
      </c>
      <c r="D549" s="109" t="str">
        <f>'19U BOYS PLATINUM-27 TEAMS'!D54&amp;""</f>
        <v>19Bpt26</v>
      </c>
      <c r="E549" s="276" t="str">
        <f>'19U BOYS PLATINUM-27 TEAMS'!E54&amp;""</f>
        <v>E1(2)-LAMORINDA A</v>
      </c>
      <c r="F549" s="276" t="str">
        <f>'19U BOYS PLATINUM-27 TEAMS'!F54&amp;""</f>
        <v>16</v>
      </c>
      <c r="G549" s="276" t="str">
        <f>'19U BOYS PLATINUM-27 TEAMS'!G54&amp;""</f>
        <v>E2(15)-VANGUARD BLUE</v>
      </c>
      <c r="H549" s="276" t="str">
        <f>'19U BOYS PLATINUM-27 TEAMS'!H54&amp;""</f>
        <v>8</v>
      </c>
      <c r="I549" s="109" t="str">
        <f>'19U BOYS PLATINUM-27 TEAMS'!I54&amp;""</f>
        <v>E bracket E1,E2</v>
      </c>
      <c r="J549" s="276" t="str">
        <f>'19U BOYS PLATINUM-27 TEAMS'!J54&amp;""</f>
        <v>19U_BOYS_PLATINUM</v>
      </c>
      <c r="K549" s="276" t="str">
        <f t="shared" si="15"/>
        <v>202601311800</v>
      </c>
    </row>
    <row r="550" spans="1:11">
      <c r="A550" s="278">
        <f>'19U BOYS PLATINUM-27 TEAMS'!A40</f>
        <v>46053</v>
      </c>
      <c r="B550" s="277">
        <f>'19U BOYS PLATINUM-27 TEAMS'!B40</f>
        <v>0.79166666666666696</v>
      </c>
      <c r="C550" s="109" t="str">
        <f>'19U BOYS PLATINUM-27 TEAMS'!C40&amp;""</f>
        <v>WOOLLETT NEAR LEFT</v>
      </c>
      <c r="D550" s="109" t="str">
        <f>'19U BOYS PLATINUM-27 TEAMS'!D40&amp;""</f>
        <v>19Bpt13</v>
      </c>
      <c r="E550" s="276" t="str">
        <f>'19U BOYS PLATINUM-27 TEAMS'!E40&amp;""</f>
        <v>C2(12)-SANTA CRUZ</v>
      </c>
      <c r="F550" s="276" t="str">
        <f>'19U BOYS PLATINUM-27 TEAMS'!F40&amp;""</f>
        <v>11</v>
      </c>
      <c r="G550" s="276" t="str">
        <f>'19U BOYS PLATINUM-27 TEAMS'!G40&amp;""</f>
        <v>C3(21)-NORTH IRVINE BLACK</v>
      </c>
      <c r="H550" s="276" t="str">
        <f>'19U BOYS PLATINUM-27 TEAMS'!H40&amp;""</f>
        <v>9</v>
      </c>
      <c r="I550" s="109" t="str">
        <f>'19U BOYS PLATINUM-27 TEAMS'!I40&amp;""</f>
        <v>C bracket C2,C3</v>
      </c>
      <c r="J550" s="276" t="str">
        <f>'19U BOYS PLATINUM-27 TEAMS'!J40&amp;""</f>
        <v>19U_BOYS_PLATINUM</v>
      </c>
      <c r="K550" s="276" t="str">
        <f t="shared" si="15"/>
        <v>202601311900</v>
      </c>
    </row>
    <row r="551" spans="1:11">
      <c r="A551" s="278">
        <f>'19U BOYS PLATINUM-27 TEAMS'!A55</f>
        <v>46053</v>
      </c>
      <c r="B551" s="277">
        <f>'19U BOYS PLATINUM-27 TEAMS'!B55</f>
        <v>0.79166666666666696</v>
      </c>
      <c r="C551" s="109" t="str">
        <f>'19U BOYS PLATINUM-27 TEAMS'!C55&amp;""</f>
        <v>WOOLLETT NEAR RIGHT</v>
      </c>
      <c r="D551" s="109" t="str">
        <f>'19U BOYS PLATINUM-27 TEAMS'!D55&amp;""</f>
        <v>19Bpt27</v>
      </c>
      <c r="E551" s="276" t="str">
        <f>'19U BOYS PLATINUM-27 TEAMS'!E55&amp;""</f>
        <v>F1(3)-NORCAL</v>
      </c>
      <c r="F551" s="276" t="str">
        <f>'19U BOYS PLATINUM-27 TEAMS'!F55&amp;""</f>
        <v>15</v>
      </c>
      <c r="G551" s="276" t="str">
        <f>'19U BOYS PLATINUM-27 TEAMS'!G55&amp;""</f>
        <v>F2(14)-SHADOW MEN</v>
      </c>
      <c r="H551" s="276" t="str">
        <f>'19U BOYS PLATINUM-27 TEAMS'!H55&amp;""</f>
        <v>9</v>
      </c>
      <c r="I551" s="109" t="str">
        <f>'19U BOYS PLATINUM-27 TEAMS'!I55&amp;""</f>
        <v>F bracket F1,F2</v>
      </c>
      <c r="J551" s="276" t="str">
        <f>'19U BOYS PLATINUM-27 TEAMS'!J55&amp;""</f>
        <v>19U_BOYS_PLATINUM</v>
      </c>
      <c r="K551" s="276" t="str">
        <f t="shared" si="15"/>
        <v>202601311900</v>
      </c>
    </row>
    <row r="552" spans="1:11">
      <c r="A552" s="278">
        <f>'19U BOYS PLATINUM-27 TEAMS'!A59</f>
        <v>46054</v>
      </c>
      <c r="B552" s="277">
        <f>'19U BOYS PLATINUM-27 TEAMS'!B59</f>
        <v>0.29166666666666669</v>
      </c>
      <c r="C552" s="109" t="str">
        <f>'19U BOYS PLATINUM-27 TEAMS'!C59&amp;""</f>
        <v>WOOLLETT NEAR LEFT</v>
      </c>
      <c r="D552" s="109" t="str">
        <f>'19U BOYS PLATINUM-27 TEAMS'!D59&amp;""</f>
        <v>19Bpt39</v>
      </c>
      <c r="E552" s="276" t="str">
        <f>'19U BOYS PLATINUM-27 TEAMS'!E59&amp;""</f>
        <v>O2(3rdC)-NORTH IRVINE BLACK</v>
      </c>
      <c r="F552" s="276" t="str">
        <f>'19U BOYS PLATINUM-27 TEAMS'!F59&amp;""</f>
        <v>16</v>
      </c>
      <c r="G552" s="276" t="str">
        <f>'19U BOYS PLATINUM-27 TEAMS'!G59&amp;""</f>
        <v>O2(3rdD)-SOUTH COAST RED (A)</v>
      </c>
      <c r="H552" s="276" t="str">
        <f>'19U BOYS PLATINUM-27 TEAMS'!H59&amp;""</f>
        <v>9</v>
      </c>
      <c r="I552" s="109" t="str">
        <f>'19U BOYS PLATINUM-27 TEAMS'!I59&amp;""</f>
        <v>W/L O</v>
      </c>
      <c r="J552" s="276" t="str">
        <f>'19U BOYS PLATINUM-27 TEAMS'!J59&amp;""</f>
        <v>19U_BOYS_PLATINUM</v>
      </c>
      <c r="K552" s="276" t="str">
        <f t="shared" si="15"/>
        <v>202602010700</v>
      </c>
    </row>
    <row r="553" spans="1:11">
      <c r="A553" s="278">
        <f>'19U BOYS PLATINUM-27 TEAMS'!A60</f>
        <v>46054</v>
      </c>
      <c r="B553" s="277">
        <f>'19U BOYS PLATINUM-27 TEAMS'!B60</f>
        <v>0.33333333333333298</v>
      </c>
      <c r="C553" s="109" t="str">
        <f>'19U BOYS PLATINUM-27 TEAMS'!C60&amp;""</f>
        <v>WOOLLETT NEAR LEFT</v>
      </c>
      <c r="D553" s="109" t="str">
        <f>'19U BOYS PLATINUM-27 TEAMS'!D60&amp;""</f>
        <v>19Bpt28</v>
      </c>
      <c r="E553" s="276" t="str">
        <f>'19U BOYS PLATINUM-27 TEAMS'!E60&amp;""</f>
        <v>J1(1stA)-CC UNITED BLACK</v>
      </c>
      <c r="F553" s="276" t="str">
        <f>'19U BOYS PLATINUM-27 TEAMS'!F60&amp;""</f>
        <v>12</v>
      </c>
      <c r="G553" s="276" t="str">
        <f>'19U BOYS PLATINUM-27 TEAMS'!G60&amp;""</f>
        <v>J4(1stD)-AMERICAN RIVER BLUE</v>
      </c>
      <c r="H553" s="276" t="str">
        <f>'19U BOYS PLATINUM-27 TEAMS'!H60&amp;""</f>
        <v>6</v>
      </c>
      <c r="I553" s="109" t="str">
        <f>'19U BOYS PLATINUM-27 TEAMS'!I60&amp;""</f>
        <v>1st-8th</v>
      </c>
      <c r="J553" s="276" t="str">
        <f>'19U BOYS PLATINUM-27 TEAMS'!J60&amp;""</f>
        <v>19U_BOYS_PLATINUM</v>
      </c>
      <c r="K553" s="276" t="str">
        <f t="shared" si="15"/>
        <v>202602010800</v>
      </c>
    </row>
    <row r="554" spans="1:11">
      <c r="A554" s="278">
        <f>'19U BOYS PLATINUM-27 TEAMS'!A71</f>
        <v>46054</v>
      </c>
      <c r="B554" s="277">
        <f>'19U BOYS PLATINUM-27 TEAMS'!B71</f>
        <v>0.33333333333333298</v>
      </c>
      <c r="C554" s="109" t="str">
        <f>'19U BOYS PLATINUM-27 TEAMS'!C71&amp;""</f>
        <v>YORBA LINDA HS</v>
      </c>
      <c r="D554" s="109" t="str">
        <f>'19U BOYS PLATINUM-27 TEAMS'!D71&amp;""</f>
        <v>19Bpt48</v>
      </c>
      <c r="E554" s="276" t="str">
        <f>'19U BOYS PLATINUM-27 TEAMS'!E71&amp;""</f>
        <v>N1(3rdA)-LV LEGENDS</v>
      </c>
      <c r="F554" s="276" t="str">
        <f>'19U BOYS PLATINUM-27 TEAMS'!F71&amp;""</f>
        <v>11</v>
      </c>
      <c r="G554" s="276" t="str">
        <f>'19U BOYS PLATINUM-27 TEAMS'!G71&amp;""</f>
        <v>N2(3rdG)-SAN JOSE EXPRESS BLUE</v>
      </c>
      <c r="H554" s="276" t="str">
        <f>'19U BOYS PLATINUM-27 TEAMS'!H71&amp;""</f>
        <v>10</v>
      </c>
      <c r="I554" s="109" t="str">
        <f>'19U BOYS PLATINUM-27 TEAMS'!I71&amp;""</f>
        <v>N bracket</v>
      </c>
      <c r="J554" s="276" t="str">
        <f>'19U BOYS PLATINUM-27 TEAMS'!J71&amp;""</f>
        <v>19U_BOYS_PLATINUM</v>
      </c>
      <c r="K554" s="276" t="str">
        <f t="shared" si="15"/>
        <v>202602010800</v>
      </c>
    </row>
    <row r="555" spans="1:11">
      <c r="A555" s="278">
        <f>'19U BOYS PLATINUM-27 TEAMS'!A61</f>
        <v>46054</v>
      </c>
      <c r="B555" s="277">
        <f>'19U BOYS PLATINUM-27 TEAMS'!B61</f>
        <v>0.375</v>
      </c>
      <c r="C555" s="109" t="str">
        <f>'19U BOYS PLATINUM-27 TEAMS'!C61&amp;""</f>
        <v>WOOLLETT NEAR LEFT</v>
      </c>
      <c r="D555" s="109" t="str">
        <f>'19U BOYS PLATINUM-27 TEAMS'!D61&amp;""</f>
        <v>19Bpt29</v>
      </c>
      <c r="E555" s="276" t="str">
        <f>'19U BOYS PLATINUM-27 TEAMS'!E61&amp;""</f>
        <v>J2(1stB)-BERKELEY WPC</v>
      </c>
      <c r="F555" s="276" t="str">
        <f>'19U BOYS PLATINUM-27 TEAMS'!F61&amp;""</f>
        <v>8</v>
      </c>
      <c r="G555" s="276" t="str">
        <f>'19U BOYS PLATINUM-27 TEAMS'!G61&amp;""</f>
        <v>J3(1stC)-LA JOLLA UNITED NAVY</v>
      </c>
      <c r="H555" s="276" t="str">
        <f>'19U BOYS PLATINUM-27 TEAMS'!H61&amp;""</f>
        <v>15</v>
      </c>
      <c r="I555" s="109" t="str">
        <f>'19U BOYS PLATINUM-27 TEAMS'!I61&amp;""</f>
        <v>1st-8th</v>
      </c>
      <c r="J555" s="276" t="str">
        <f>'19U BOYS PLATINUM-27 TEAMS'!J61&amp;""</f>
        <v>19U_BOYS_PLATINUM</v>
      </c>
      <c r="K555" s="276" t="str">
        <f t="shared" si="15"/>
        <v>202602010900</v>
      </c>
    </row>
    <row r="556" spans="1:11">
      <c r="A556" s="278">
        <f>'19U BOYS PLATINUM-27 TEAMS'!A72</f>
        <v>46054</v>
      </c>
      <c r="B556" s="277">
        <f>'19U BOYS PLATINUM-27 TEAMS'!B72</f>
        <v>0.375</v>
      </c>
      <c r="C556" s="109" t="str">
        <f>'19U BOYS PLATINUM-27 TEAMS'!C72&amp;""</f>
        <v>YORBA LINDA HS</v>
      </c>
      <c r="D556" s="109" t="str">
        <f>'19U BOYS PLATINUM-27 TEAMS'!D72&amp;""</f>
        <v>19Bpt38</v>
      </c>
      <c r="E556" s="276" t="str">
        <f>'19U BOYS PLATINUM-27 TEAMS'!E72&amp;""</f>
        <v>O1(3rdE)-CHULA VISTA PREMIER</v>
      </c>
      <c r="F556" s="276" t="str">
        <f>'19U BOYS PLATINUM-27 TEAMS'!F72&amp;""</f>
        <v>8</v>
      </c>
      <c r="G556" s="276" t="str">
        <f>'19U BOYS PLATINUM-27 TEAMS'!G72&amp;""</f>
        <v>O3(4thG)-CC UNITED BLUE</v>
      </c>
      <c r="H556" s="276" t="str">
        <f>'19U BOYS PLATINUM-27 TEAMS'!H72&amp;""</f>
        <v>14</v>
      </c>
      <c r="I556" s="109" t="str">
        <f>'19U BOYS PLATINUM-27 TEAMS'!I72&amp;""</f>
        <v>W/L O</v>
      </c>
      <c r="J556" s="276" t="str">
        <f>'19U BOYS PLATINUM-27 TEAMS'!J72&amp;""</f>
        <v>19U_BOYS_PLATINUM</v>
      </c>
      <c r="K556" s="276" t="str">
        <f t="shared" si="15"/>
        <v>202602010900</v>
      </c>
    </row>
    <row r="557" spans="1:11">
      <c r="A557" s="278">
        <f>'19U BOYS PLATINUM-27 TEAMS'!A83</f>
        <v>46054</v>
      </c>
      <c r="B557" s="277">
        <f>'19U BOYS PLATINUM-27 TEAMS'!B83</f>
        <v>0.375</v>
      </c>
      <c r="C557" s="109" t="str">
        <f>'19U BOYS PLATINUM-27 TEAMS'!C83&amp;""</f>
        <v>EDISON HS</v>
      </c>
      <c r="D557" s="109" t="str">
        <f>'19U BOYS PLATINUM-27 TEAMS'!D83&amp;""</f>
        <v>19Bpt49</v>
      </c>
      <c r="E557" s="276" t="str">
        <f>'19U BOYS PLATINUM-27 TEAMS'!E83&amp;""</f>
        <v>L1(2ndA)-POWAY VALLEY BLACK</v>
      </c>
      <c r="F557" s="276" t="str">
        <f>'19U BOYS PLATINUM-27 TEAMS'!F83&amp;""</f>
        <v>12</v>
      </c>
      <c r="G557" s="276" t="str">
        <f>'19U BOYS PLATINUM-27 TEAMS'!G83&amp;""</f>
        <v>L4(2ndD)-SAND CANYON</v>
      </c>
      <c r="H557" s="276" t="str">
        <f>'19U BOYS PLATINUM-27 TEAMS'!H83&amp;""</f>
        <v>13</v>
      </c>
      <c r="I557" s="109" t="str">
        <f>'19U BOYS PLATINUM-27 TEAMS'!I83&amp;""</f>
        <v>9th16th L1/L4</v>
      </c>
      <c r="J557" s="276" t="str">
        <f>'19U BOYS PLATINUM-27 TEAMS'!J83&amp;""</f>
        <v>19U_BOYS_PLATINUM</v>
      </c>
      <c r="K557" s="276" t="str">
        <f t="shared" ref="K557:K580" si="16">TEXT(DATE(2026, MONTH(A557), DAY(A557)) + TIME(HOUR(B557), MINUTE(B557), 0), "yyyymmddhhmm")</f>
        <v>202602010900</v>
      </c>
    </row>
    <row r="558" spans="1:11">
      <c r="A558" s="278">
        <f>'19U BOYS PLATINUM-27 TEAMS'!A62</f>
        <v>46054</v>
      </c>
      <c r="B558" s="277">
        <f>'19U BOYS PLATINUM-27 TEAMS'!B62</f>
        <v>0.41666666666666702</v>
      </c>
      <c r="C558" s="109" t="str">
        <f>'19U BOYS PLATINUM-27 TEAMS'!C62&amp;""</f>
        <v>WOOLLETT NEAR LEFT</v>
      </c>
      <c r="D558" s="109" t="str">
        <f>'19U BOYS PLATINUM-27 TEAMS'!D62&amp;""</f>
        <v>19Bpt30</v>
      </c>
      <c r="E558" s="276" t="str">
        <f>'19U BOYS PLATINUM-27 TEAMS'!E62&amp;""</f>
        <v>K1(1stE)-LAMORINDA A</v>
      </c>
      <c r="F558" s="276" t="str">
        <f>'19U BOYS PLATINUM-27 TEAMS'!F62&amp;""</f>
        <v>15</v>
      </c>
      <c r="G558" s="276" t="str">
        <f>'19U BOYS PLATINUM-27 TEAMS'!G62&amp;""</f>
        <v>K4(1stH)-RIVERSIDE</v>
      </c>
      <c r="H558" s="276" t="str">
        <f>'19U BOYS PLATINUM-27 TEAMS'!H62&amp;""</f>
        <v>11</v>
      </c>
      <c r="I558" s="109" t="str">
        <f>'19U BOYS PLATINUM-27 TEAMS'!I62&amp;""</f>
        <v>1st-8th</v>
      </c>
      <c r="J558" s="276" t="str">
        <f>'19U BOYS PLATINUM-27 TEAMS'!J62&amp;""</f>
        <v>19U_BOYS_PLATINUM</v>
      </c>
      <c r="K558" s="276" t="str">
        <f t="shared" si="16"/>
        <v>202602011000</v>
      </c>
    </row>
    <row r="559" spans="1:11">
      <c r="A559" s="278">
        <f>'19U BOYS PLATINUM-27 TEAMS'!A73</f>
        <v>46054</v>
      </c>
      <c r="B559" s="277">
        <f>'19U BOYS PLATINUM-27 TEAMS'!B73</f>
        <v>0.41666666666666702</v>
      </c>
      <c r="C559" s="109" t="str">
        <f>'19U BOYS PLATINUM-27 TEAMS'!C73&amp;""</f>
        <v>YORBA LINDA HS</v>
      </c>
      <c r="D559" s="109" t="str">
        <f>'19U BOYS PLATINUM-27 TEAMS'!D73&amp;""</f>
        <v>19Bpt40</v>
      </c>
      <c r="E559" s="276" t="str">
        <f>'19U BOYS PLATINUM-27 TEAMS'!E73&amp;""</f>
        <v>P1(3rdF)-SHADOW MEN</v>
      </c>
      <c r="F559" s="276" t="str">
        <f>'19U BOYS PLATINUM-27 TEAMS'!F73&amp;""</f>
        <v>20</v>
      </c>
      <c r="G559" s="276" t="str">
        <f>'19U BOYS PLATINUM-27 TEAMS'!G73&amp;""</f>
        <v>P3(4thH)-FOOTHILL BLACK</v>
      </c>
      <c r="H559" s="276" t="str">
        <f>'19U BOYS PLATINUM-27 TEAMS'!H73&amp;""</f>
        <v>14</v>
      </c>
      <c r="I559" s="109" t="str">
        <f>'19U BOYS PLATINUM-27 TEAMS'!I73&amp;""</f>
        <v>W/L P</v>
      </c>
      <c r="J559" s="276" t="str">
        <f>'19U BOYS PLATINUM-27 TEAMS'!J73&amp;""</f>
        <v>19U_BOYS_PLATINUM</v>
      </c>
      <c r="K559" s="276" t="str">
        <f t="shared" si="16"/>
        <v>202602011000</v>
      </c>
    </row>
    <row r="560" spans="1:11">
      <c r="A560" s="278">
        <f>'19U BOYS PLATINUM-27 TEAMS'!A84</f>
        <v>46054</v>
      </c>
      <c r="B560" s="277">
        <f>'19U BOYS PLATINUM-27 TEAMS'!B84</f>
        <v>0.41666666666666702</v>
      </c>
      <c r="C560" s="109" t="str">
        <f>'19U BOYS PLATINUM-27 TEAMS'!C84&amp;""</f>
        <v>EDISON HS</v>
      </c>
      <c r="D560" s="109" t="str">
        <f>'19U BOYS PLATINUM-27 TEAMS'!D84&amp;""</f>
        <v>19Bpt50</v>
      </c>
      <c r="E560" s="276" t="str">
        <f>'19U BOYS PLATINUM-27 TEAMS'!E84&amp;""</f>
        <v>L2(2ndB)-SD SHORES BLACK</v>
      </c>
      <c r="F560" s="276" t="str">
        <f>'19U BOYS PLATINUM-27 TEAMS'!F84&amp;""</f>
        <v>8</v>
      </c>
      <c r="G560" s="276" t="str">
        <f>'19U BOYS PLATINUM-27 TEAMS'!G84&amp;""</f>
        <v>L3(2ndC)-SANTA CRUZ</v>
      </c>
      <c r="H560" s="276" t="str">
        <f>'19U BOYS PLATINUM-27 TEAMS'!H84&amp;""</f>
        <v>7</v>
      </c>
      <c r="I560" s="109" t="str">
        <f>'19U BOYS PLATINUM-27 TEAMS'!I84&amp;""</f>
        <v>9th16th L2/L3</v>
      </c>
      <c r="J560" s="276" t="str">
        <f>'19U BOYS PLATINUM-27 TEAMS'!J84&amp;""</f>
        <v>19U_BOYS_PLATINUM</v>
      </c>
      <c r="K560" s="276" t="str">
        <f t="shared" si="16"/>
        <v>202602011000</v>
      </c>
    </row>
    <row r="561" spans="1:11">
      <c r="A561" s="278">
        <f>'19U BOYS PLATINUM-27 TEAMS'!A63</f>
        <v>46054</v>
      </c>
      <c r="B561" s="277">
        <f>'19U BOYS PLATINUM-27 TEAMS'!B63</f>
        <v>0.45833333333333298</v>
      </c>
      <c r="C561" s="109" t="str">
        <f>'19U BOYS PLATINUM-27 TEAMS'!C63&amp;""</f>
        <v>WOOLLETT NEAR LEFT</v>
      </c>
      <c r="D561" s="109" t="str">
        <f>'19U BOYS PLATINUM-27 TEAMS'!D63&amp;""</f>
        <v>19Bpt31</v>
      </c>
      <c r="E561" s="276" t="str">
        <f>'19U BOYS PLATINUM-27 TEAMS'!E63&amp;""</f>
        <v>K2(1stF)-FOOTHILL RED</v>
      </c>
      <c r="F561" s="276" t="str">
        <f>'19U BOYS PLATINUM-27 TEAMS'!F63&amp;""</f>
        <v>7</v>
      </c>
      <c r="G561" s="276" t="str">
        <f>'19U BOYS PLATINUM-27 TEAMS'!G63&amp;""</f>
        <v>K3(1stG)-CHANNEL ISLANDS UNITED TEAL</v>
      </c>
      <c r="H561" s="276" t="str">
        <f>'19U BOYS PLATINUM-27 TEAMS'!H63&amp;""</f>
        <v>15</v>
      </c>
      <c r="I561" s="109" t="str">
        <f>'19U BOYS PLATINUM-27 TEAMS'!I63&amp;""</f>
        <v>1st-8th</v>
      </c>
      <c r="J561" s="276" t="str">
        <f>'19U BOYS PLATINUM-27 TEAMS'!J63&amp;""</f>
        <v>19U_BOYS_PLATINUM</v>
      </c>
      <c r="K561" s="276" t="str">
        <f t="shared" si="16"/>
        <v>202602011100</v>
      </c>
    </row>
    <row r="562" spans="1:11">
      <c r="A562" s="278">
        <f>'19U BOYS PLATINUM-27 TEAMS'!A74</f>
        <v>46054</v>
      </c>
      <c r="B562" s="277">
        <f>'19U BOYS PLATINUM-27 TEAMS'!B74</f>
        <v>0.45833333333333298</v>
      </c>
      <c r="C562" s="109" t="str">
        <f>'19U BOYS PLATINUM-27 TEAMS'!C74&amp;""</f>
        <v>YORBA LINDA HS</v>
      </c>
      <c r="D562" s="109" t="str">
        <f>'19U BOYS PLATINUM-27 TEAMS'!D74&amp;""</f>
        <v>19Bpt41</v>
      </c>
      <c r="E562" s="276" t="str">
        <f>'19U BOYS PLATINUM-27 TEAMS'!E74&amp;""</f>
        <v>P2(3rdB)-IMPERIAL BLUE</v>
      </c>
      <c r="F562" s="276" t="str">
        <f>'19U BOYS PLATINUM-27 TEAMS'!F74&amp;""</f>
        <v>13</v>
      </c>
      <c r="G562" s="276" t="str">
        <f>'19U BOYS PLATINUM-27 TEAMS'!G74&amp;""</f>
        <v>P3(4thD)-SUPREME</v>
      </c>
      <c r="H562" s="276" t="str">
        <f>'19U BOYS PLATINUM-27 TEAMS'!H74&amp;""</f>
        <v>9</v>
      </c>
      <c r="I562" s="109" t="str">
        <f>'19U BOYS PLATINUM-27 TEAMS'!I74&amp;""</f>
        <v>W/L P</v>
      </c>
      <c r="J562" s="276" t="str">
        <f>'19U BOYS PLATINUM-27 TEAMS'!J74&amp;""</f>
        <v>19U_BOYS_PLATINUM</v>
      </c>
      <c r="K562" s="276" t="str">
        <f t="shared" si="16"/>
        <v>202602011100</v>
      </c>
    </row>
    <row r="563" spans="1:11">
      <c r="A563" s="278">
        <f>'19U BOYS PLATINUM-27 TEAMS'!A64</f>
        <v>46054</v>
      </c>
      <c r="B563" s="277">
        <f>'19U BOYS PLATINUM-27 TEAMS'!B64</f>
        <v>0.5</v>
      </c>
      <c r="C563" s="109" t="str">
        <f>'19U BOYS PLATINUM-27 TEAMS'!C64&amp;""</f>
        <v>WOOLLETT NEAR LEFT</v>
      </c>
      <c r="D563" s="109" t="str">
        <f>'19U BOYS PLATINUM-27 TEAMS'!D64&amp;""</f>
        <v>19Bpt32</v>
      </c>
      <c r="E563" s="276" t="str">
        <f>'19U BOYS PLATINUM-27 TEAMS'!E64&amp;""</f>
        <v>W#28-CC UNITED BLACK</v>
      </c>
      <c r="F563" s="276" t="str">
        <f>'19U BOYS PLATINUM-27 TEAMS'!F64&amp;""</f>
        <v>14</v>
      </c>
      <c r="G563" s="276" t="str">
        <f>'19U BOYS PLATINUM-27 TEAMS'!G64&amp;""</f>
        <v>W#29-LA JOLLA UNITED NAVY</v>
      </c>
      <c r="H563" s="276" t="str">
        <f>'19U BOYS PLATINUM-27 TEAMS'!H64&amp;""</f>
        <v>10</v>
      </c>
      <c r="I563" s="109" t="str">
        <f>'19U BOYS PLATINUM-27 TEAMS'!I64&amp;""</f>
        <v>1st/2ndJ</v>
      </c>
      <c r="J563" s="276" t="str">
        <f>'19U BOYS PLATINUM-27 TEAMS'!J64&amp;""</f>
        <v>19U_BOYS_PLATINUM</v>
      </c>
      <c r="K563" s="276" t="str">
        <f t="shared" si="16"/>
        <v>202602011200</v>
      </c>
    </row>
    <row r="564" spans="1:11">
      <c r="A564" s="278">
        <f>'19U BOYS PLATINUM-27 TEAMS'!A75</f>
        <v>46054</v>
      </c>
      <c r="B564" s="277">
        <f>'19U BOYS PLATINUM-27 TEAMS'!B75</f>
        <v>0.5</v>
      </c>
      <c r="C564" s="109" t="str">
        <f>'19U BOYS PLATINUM-27 TEAMS'!C75&amp;""</f>
        <v>YORBA LINDA HS</v>
      </c>
      <c r="D564" s="109" t="str">
        <f>'19U BOYS PLATINUM-27 TEAMS'!D75&amp;""</f>
        <v>19Bpt42</v>
      </c>
      <c r="E564" s="276" t="str">
        <f>'19U BOYS PLATINUM-27 TEAMS'!E75&amp;""</f>
        <v>N1(3rdA)-LV LEGENDS</v>
      </c>
      <c r="F564" s="276" t="str">
        <f>'19U BOYS PLATINUM-27 TEAMS'!F75&amp;""</f>
        <v>3</v>
      </c>
      <c r="G564" s="276" t="str">
        <f>'19U BOYS PLATINUM-27 TEAMS'!G75&amp;""</f>
        <v>N3(3rdH)-SHAQ</v>
      </c>
      <c r="H564" s="276" t="str">
        <f>'19U BOYS PLATINUM-27 TEAMS'!H75&amp;""</f>
        <v>14</v>
      </c>
      <c r="I564" s="109" t="str">
        <f>'19U BOYS PLATINUM-27 TEAMS'!I75&amp;""</f>
        <v>N bracket</v>
      </c>
      <c r="J564" s="276" t="str">
        <f>'19U BOYS PLATINUM-27 TEAMS'!J75&amp;""</f>
        <v>19U_BOYS_PLATINUM</v>
      </c>
      <c r="K564" s="276" t="str">
        <f t="shared" si="16"/>
        <v>202602011200</v>
      </c>
    </row>
    <row r="565" spans="1:11">
      <c r="A565" s="278">
        <f>'19U BOYS PLATINUM-27 TEAMS'!A65</f>
        <v>46054</v>
      </c>
      <c r="B565" s="277">
        <f>'19U BOYS PLATINUM-27 TEAMS'!B65</f>
        <v>0.54166666666666696</v>
      </c>
      <c r="C565" s="109" t="str">
        <f>'19U BOYS PLATINUM-27 TEAMS'!C65&amp;""</f>
        <v>WOOLLETT NEAR LEFT</v>
      </c>
      <c r="D565" s="109" t="str">
        <f>'19U BOYS PLATINUM-27 TEAMS'!D65&amp;""</f>
        <v>19Bpt33</v>
      </c>
      <c r="E565" s="276" t="str">
        <f>'19U BOYS PLATINUM-27 TEAMS'!E65&amp;""</f>
        <v>W#30-LAMORINDA A</v>
      </c>
      <c r="F565" s="276" t="str">
        <f>'19U BOYS PLATINUM-27 TEAMS'!F65&amp;""</f>
        <v>9</v>
      </c>
      <c r="G565" s="276" t="str">
        <f>'19U BOYS PLATINUM-27 TEAMS'!G65&amp;""</f>
        <v>W#31-CHANNEL ISLANDS UNITED TEAL</v>
      </c>
      <c r="H565" s="276" t="str">
        <f>'19U BOYS PLATINUM-27 TEAMS'!H65&amp;""</f>
        <v>8</v>
      </c>
      <c r="I565" s="109" t="str">
        <f>'19U BOYS PLATINUM-27 TEAMS'!I65&amp;""</f>
        <v>1st/2ndK</v>
      </c>
      <c r="J565" s="276" t="str">
        <f>'19U BOYS PLATINUM-27 TEAMS'!J65&amp;""</f>
        <v>19U_BOYS_PLATINUM</v>
      </c>
      <c r="K565" s="276" t="str">
        <f t="shared" si="16"/>
        <v>202602011300</v>
      </c>
    </row>
    <row r="566" spans="1:11">
      <c r="A566" s="278">
        <f>'19U BOYS PLATINUM-27 TEAMS'!A86</f>
        <v>46054</v>
      </c>
      <c r="B566" s="277">
        <f>'19U BOYS PLATINUM-27 TEAMS'!B86</f>
        <v>0.54166666666666696</v>
      </c>
      <c r="C566" s="109" t="str">
        <f>'19U BOYS PLATINUM-27 TEAMS'!C86&amp;""</f>
        <v>EDISON HS</v>
      </c>
      <c r="D566" s="109" t="str">
        <f>'19U BOYS PLATINUM-27 TEAMS'!D86&amp;""</f>
        <v>19Bpt51</v>
      </c>
      <c r="E566" s="276" t="str">
        <f>'19U BOYS PLATINUM-27 TEAMS'!E86&amp;""</f>
        <v>M1(2ndE)-VANGUARD BLUE</v>
      </c>
      <c r="F566" s="276" t="str">
        <f>'19U BOYS PLATINUM-27 TEAMS'!F86&amp;""</f>
        <v>15</v>
      </c>
      <c r="G566" s="276" t="str">
        <f>'19U BOYS PLATINUM-27 TEAMS'!G86&amp;""</f>
        <v>CT PREMIER</v>
      </c>
      <c r="H566" s="276" t="str">
        <f>'19U BOYS PLATINUM-27 TEAMS'!H86&amp;""</f>
        <v>17</v>
      </c>
      <c r="I566" s="109" t="str">
        <f>'19U BOYS PLATINUM-27 TEAMS'!I86&amp;""</f>
        <v>9th16th M1/M4</v>
      </c>
      <c r="J566" s="276" t="str">
        <f>'19U BOYS PLATINUM-27 TEAMS'!J86&amp;""</f>
        <v>19U_BOYS_PLATINUM</v>
      </c>
      <c r="K566" s="276" t="str">
        <f t="shared" si="16"/>
        <v>202602011300</v>
      </c>
    </row>
    <row r="567" spans="1:11">
      <c r="A567" s="278">
        <f>'19U BOYS PLATINUM-27 TEAMS'!A66</f>
        <v>46054</v>
      </c>
      <c r="B567" s="277">
        <f>'19U BOYS PLATINUM-27 TEAMS'!B66</f>
        <v>0.58333333333333304</v>
      </c>
      <c r="C567" s="109" t="str">
        <f>'19U BOYS PLATINUM-27 TEAMS'!C66&amp;""</f>
        <v>WOOLLETT NEAR LEFT</v>
      </c>
      <c r="D567" s="109" t="str">
        <f>'19U BOYS PLATINUM-27 TEAMS'!D66&amp;""</f>
        <v>19Bpt34</v>
      </c>
      <c r="E567" s="276" t="str">
        <f>'19U BOYS PLATINUM-27 TEAMS'!E66&amp;""</f>
        <v>L#28-AMERICAN RIVER BLUE</v>
      </c>
      <c r="F567" s="276" t="str">
        <f>'19U BOYS PLATINUM-27 TEAMS'!F66&amp;""</f>
        <v>11</v>
      </c>
      <c r="G567" s="276" t="str">
        <f>'19U BOYS PLATINUM-27 TEAMS'!G66&amp;""</f>
        <v>L#29-BERKELEY WPC</v>
      </c>
      <c r="H567" s="276" t="str">
        <f>'19U BOYS PLATINUM-27 TEAMS'!H66&amp;""</f>
        <v>15</v>
      </c>
      <c r="I567" s="109" t="str">
        <f>'19U BOYS PLATINUM-27 TEAMS'!I66&amp;""</f>
        <v>3rd/4thJ</v>
      </c>
      <c r="J567" s="276" t="str">
        <f>'19U BOYS PLATINUM-27 TEAMS'!J66&amp;""</f>
        <v>19U_BOYS_PLATINUM</v>
      </c>
      <c r="K567" s="276" t="str">
        <f t="shared" si="16"/>
        <v>202602011400</v>
      </c>
    </row>
    <row r="568" spans="1:11">
      <c r="A568" s="278">
        <f>'19U BOYS PLATINUM-27 TEAMS'!A77</f>
        <v>46054</v>
      </c>
      <c r="B568" s="277">
        <f>'19U BOYS PLATINUM-27 TEAMS'!B77</f>
        <v>0.58333333333333304</v>
      </c>
      <c r="C568" s="109" t="str">
        <f>'19U BOYS PLATINUM-27 TEAMS'!C77&amp;""</f>
        <v>YORBA LINDA HS</v>
      </c>
      <c r="D568" s="109" t="str">
        <f>'19U BOYS PLATINUM-27 TEAMS'!D77&amp;""</f>
        <v>19Bpt43</v>
      </c>
      <c r="E568" s="276" t="str">
        <f>'19U BOYS PLATINUM-27 TEAMS'!E77&amp;""</f>
        <v>W#38-CC UNITED BLUE</v>
      </c>
      <c r="F568" s="276" t="str">
        <f>'19U BOYS PLATINUM-27 TEAMS'!F77&amp;""</f>
        <v>10</v>
      </c>
      <c r="G568" s="276" t="str">
        <f>'19U BOYS PLATINUM-27 TEAMS'!G77&amp;""</f>
        <v>W#39-NORTH IRVINE BLACK</v>
      </c>
      <c r="H568" s="276" t="str">
        <f>'19U BOYS PLATINUM-27 TEAMS'!H77&amp;""</f>
        <v>18</v>
      </c>
      <c r="I568" s="109" t="str">
        <f>'19U BOYS PLATINUM-27 TEAMS'!I77&amp;""</f>
        <v>1st/2ndO</v>
      </c>
      <c r="J568" s="276" t="str">
        <f>'19U BOYS PLATINUM-27 TEAMS'!J77&amp;""</f>
        <v>19U_BOYS_PLATINUM</v>
      </c>
      <c r="K568" s="276" t="str">
        <f t="shared" si="16"/>
        <v>202602011400</v>
      </c>
    </row>
    <row r="569" spans="1:11">
      <c r="A569" s="278">
        <f>'19U BOYS PLATINUM-27 TEAMS'!A87</f>
        <v>46054</v>
      </c>
      <c r="B569" s="277">
        <f>'19U BOYS PLATINUM-27 TEAMS'!B87</f>
        <v>0.58333333333333304</v>
      </c>
      <c r="C569" s="109" t="str">
        <f>'19U BOYS PLATINUM-27 TEAMS'!C87&amp;""</f>
        <v>EDISON HS</v>
      </c>
      <c r="D569" s="109" t="str">
        <f>'19U BOYS PLATINUM-27 TEAMS'!D87&amp;""</f>
        <v>19Bpt52</v>
      </c>
      <c r="E569" s="276" t="str">
        <f>'19U BOYS PLATINUM-27 TEAMS'!E87&amp;""</f>
        <v>M2(2ndF)-NORCAL</v>
      </c>
      <c r="F569" s="276" t="str">
        <f>'19U BOYS PLATINUM-27 TEAMS'!F87&amp;""</f>
        <v>14</v>
      </c>
      <c r="G569" s="276" t="str">
        <f>'19U BOYS PLATINUM-27 TEAMS'!G87&amp;""</f>
        <v>TROJAN</v>
      </c>
      <c r="H569" s="276" t="str">
        <f>'19U BOYS PLATINUM-27 TEAMS'!H87&amp;""</f>
        <v>6</v>
      </c>
      <c r="I569" s="109" t="str">
        <f>'19U BOYS PLATINUM-27 TEAMS'!I87&amp;""</f>
        <v>9th16th M2/M3</v>
      </c>
      <c r="J569" s="276" t="str">
        <f>'19U BOYS PLATINUM-27 TEAMS'!J87&amp;""</f>
        <v>19U_BOYS_PLATINUM</v>
      </c>
      <c r="K569" s="276" t="str">
        <f t="shared" si="16"/>
        <v>202602011400</v>
      </c>
    </row>
    <row r="570" spans="1:11">
      <c r="A570" s="278">
        <f>'19U BOYS PLATINUM-27 TEAMS'!A67</f>
        <v>46054</v>
      </c>
      <c r="B570" s="277">
        <f>'19U BOYS PLATINUM-27 TEAMS'!B67</f>
        <v>0.625</v>
      </c>
      <c r="C570" s="109" t="str">
        <f>'19U BOYS PLATINUM-27 TEAMS'!C67&amp;""</f>
        <v>WOOLLETT NEAR LEFT</v>
      </c>
      <c r="D570" s="109" t="str">
        <f>'19U BOYS PLATINUM-27 TEAMS'!D67&amp;""</f>
        <v>19Bpt35</v>
      </c>
      <c r="E570" s="276" t="str">
        <f>'19U BOYS PLATINUM-27 TEAMS'!E67&amp;""</f>
        <v>L#30-RIVERSIDE</v>
      </c>
      <c r="F570" s="276" t="str">
        <f>'19U BOYS PLATINUM-27 TEAMS'!F67&amp;""</f>
        <v>15</v>
      </c>
      <c r="G570" s="276" t="str">
        <f>'19U BOYS PLATINUM-27 TEAMS'!G67&amp;""</f>
        <v>L#31-FOOTHILL RED</v>
      </c>
      <c r="H570" s="276" t="str">
        <f>'19U BOYS PLATINUM-27 TEAMS'!H67&amp;""</f>
        <v>8</v>
      </c>
      <c r="I570" s="109" t="str">
        <f>'19U BOYS PLATINUM-27 TEAMS'!I67&amp;""</f>
        <v>3rd/4thK</v>
      </c>
      <c r="J570" s="276" t="str">
        <f>'19U BOYS PLATINUM-27 TEAMS'!J67&amp;""</f>
        <v>19U_BOYS_PLATINUM</v>
      </c>
      <c r="K570" s="276" t="str">
        <f t="shared" si="16"/>
        <v>202602011500</v>
      </c>
    </row>
    <row r="571" spans="1:11">
      <c r="A571" s="278">
        <f>'19U BOYS PLATINUM-27 TEAMS'!A78</f>
        <v>46054</v>
      </c>
      <c r="B571" s="277">
        <f>'19U BOYS PLATINUM-27 TEAMS'!B78</f>
        <v>0.625</v>
      </c>
      <c r="C571" s="109" t="str">
        <f>'19U BOYS PLATINUM-27 TEAMS'!C78&amp;""</f>
        <v>YORBA LINDA HS</v>
      </c>
      <c r="D571" s="109" t="str">
        <f>'19U BOYS PLATINUM-27 TEAMS'!D78&amp;""</f>
        <v>19Bpt44</v>
      </c>
      <c r="E571" s="276" t="str">
        <f>'19U BOYS PLATINUM-27 TEAMS'!E78&amp;""</f>
        <v>L#38-CHULA VISTA PREMIER</v>
      </c>
      <c r="F571" s="276" t="str">
        <f>'19U BOYS PLATINUM-27 TEAMS'!F78&amp;""</f>
        <v>5</v>
      </c>
      <c r="G571" s="276" t="str">
        <f>'19U BOYS PLATINUM-27 TEAMS'!G78&amp;""</f>
        <v>L#39-SOUTH COAST RED (A)</v>
      </c>
      <c r="H571" s="276" t="str">
        <f>'19U BOYS PLATINUM-27 TEAMS'!H78&amp;""</f>
        <v>16</v>
      </c>
      <c r="I571" s="109" t="str">
        <f>'19U BOYS PLATINUM-27 TEAMS'!I78&amp;""</f>
        <v>3rd/4thO</v>
      </c>
      <c r="J571" s="276" t="str">
        <f>'19U BOYS PLATINUM-27 TEAMS'!J78&amp;""</f>
        <v>19U_BOYS_PLATINUM</v>
      </c>
      <c r="K571" s="276" t="str">
        <f t="shared" si="16"/>
        <v>202602011500</v>
      </c>
    </row>
    <row r="572" spans="1:11">
      <c r="A572" s="278">
        <f>'19U BOYS PLATINUM-27 TEAMS'!A88</f>
        <v>46054</v>
      </c>
      <c r="B572" s="277">
        <f>'19U BOYS PLATINUM-27 TEAMS'!B88</f>
        <v>0.625</v>
      </c>
      <c r="C572" s="109" t="str">
        <f>'19U BOYS PLATINUM-27 TEAMS'!C88&amp;""</f>
        <v>EDISON HS</v>
      </c>
      <c r="D572" s="109" t="str">
        <f>'19U BOYS PLATINUM-27 TEAMS'!D88&amp;""</f>
        <v>19Bpt53</v>
      </c>
      <c r="E572" s="276" t="str">
        <f>'19U BOYS PLATINUM-27 TEAMS'!E88&amp;""</f>
        <v>W#49-SAND CANYON</v>
      </c>
      <c r="F572" s="276" t="str">
        <f>'19U BOYS PLATINUM-27 TEAMS'!F88&amp;""</f>
        <v>17</v>
      </c>
      <c r="G572" s="276" t="str">
        <f>'19U BOYS PLATINUM-27 TEAMS'!G88&amp;""</f>
        <v>W#50-SD SHORES BLACK</v>
      </c>
      <c r="H572" s="276" t="str">
        <f>'19U BOYS PLATINUM-27 TEAMS'!H88&amp;""</f>
        <v>14</v>
      </c>
      <c r="I572" s="109" t="str">
        <f>'19U BOYS PLATINUM-27 TEAMS'!I88&amp;""</f>
        <v>1st/2ndL</v>
      </c>
      <c r="J572" s="276" t="str">
        <f>'19U BOYS PLATINUM-27 TEAMS'!J88&amp;""</f>
        <v>19U_BOYS_PLATINUM</v>
      </c>
      <c r="K572" s="276" t="str">
        <f t="shared" si="16"/>
        <v>202602011500</v>
      </c>
    </row>
    <row r="573" spans="1:11">
      <c r="A573" s="278">
        <f>'19U BOYS PLATINUM-27 TEAMS'!A68</f>
        <v>46054</v>
      </c>
      <c r="B573" s="277">
        <f>'19U BOYS PLATINUM-27 TEAMS'!B68</f>
        <v>0.66666666666666696</v>
      </c>
      <c r="C573" s="109" t="str">
        <f>'19U BOYS PLATINUM-27 TEAMS'!C68&amp;""</f>
        <v>WOOLLETT NEAR LEFT</v>
      </c>
      <c r="D573" s="109" t="str">
        <f>'19U BOYS PLATINUM-27 TEAMS'!D68&amp;""</f>
        <v>19Bpt37</v>
      </c>
      <c r="E573" s="276" t="str">
        <f>'19U BOYS PLATINUM-27 TEAMS'!E68&amp;""</f>
        <v>R1(1stJ)-CC UNITED BLACK</v>
      </c>
      <c r="F573" s="276" t="str">
        <f>'19U BOYS PLATINUM-27 TEAMS'!F68&amp;""</f>
        <v>12.4</v>
      </c>
      <c r="G573" s="276" t="str">
        <f>'19U BOYS PLATINUM-27 TEAMS'!G68&amp;""</f>
        <v>R2(1stK)-LAMORINDA A</v>
      </c>
      <c r="H573" s="276" t="str">
        <f>'19U BOYS PLATINUM-27 TEAMS'!H68&amp;""</f>
        <v>12.3</v>
      </c>
      <c r="I573" s="109" t="str">
        <f>'19U BOYS PLATINUM-27 TEAMS'!I68&amp;""</f>
        <v>overall 1st</v>
      </c>
      <c r="J573" s="276" t="str">
        <f>'19U BOYS PLATINUM-27 TEAMS'!J68&amp;""</f>
        <v>19U_BOYS_PLATINUM</v>
      </c>
      <c r="K573" s="276" t="str">
        <f t="shared" si="16"/>
        <v>202602011600</v>
      </c>
    </row>
    <row r="574" spans="1:11">
      <c r="A574" s="278">
        <f>'19U BOYS PLATINUM-27 TEAMS'!A79</f>
        <v>46054</v>
      </c>
      <c r="B574" s="277">
        <f>'19U BOYS PLATINUM-27 TEAMS'!B79</f>
        <v>0.66666666666666696</v>
      </c>
      <c r="C574" s="109" t="str">
        <f>'19U BOYS PLATINUM-27 TEAMS'!C79&amp;""</f>
        <v>YORBA LINDA HS</v>
      </c>
      <c r="D574" s="109" t="str">
        <f>'19U BOYS PLATINUM-27 TEAMS'!D79&amp;""</f>
        <v>19Bpt45</v>
      </c>
      <c r="E574" s="276" t="str">
        <f>'19U BOYS PLATINUM-27 TEAMS'!E79&amp;""</f>
        <v>N2(3rdG)-SAN JOSE EXPRESS BLUE</v>
      </c>
      <c r="F574" s="276" t="str">
        <f>'19U BOYS PLATINUM-27 TEAMS'!F79&amp;""</f>
        <v>11</v>
      </c>
      <c r="G574" s="276" t="str">
        <f>'19U BOYS PLATINUM-27 TEAMS'!G79&amp;""</f>
        <v>N3(3rdH)-SHAQ</v>
      </c>
      <c r="H574" s="276" t="str">
        <f>'19U BOYS PLATINUM-27 TEAMS'!H79&amp;""</f>
        <v>21</v>
      </c>
      <c r="I574" s="109" t="str">
        <f>'19U BOYS PLATINUM-27 TEAMS'!I79&amp;""</f>
        <v>N bracket</v>
      </c>
      <c r="J574" s="276" t="str">
        <f>'19U BOYS PLATINUM-27 TEAMS'!J79&amp;""</f>
        <v>19U_BOYS_PLATINUM</v>
      </c>
      <c r="K574" s="276" t="str">
        <f t="shared" si="16"/>
        <v>202602011600</v>
      </c>
    </row>
    <row r="575" spans="1:11">
      <c r="A575" s="278">
        <f>'19U BOYS PLATINUM-27 TEAMS'!A89</f>
        <v>46054</v>
      </c>
      <c r="B575" s="277">
        <f>'19U BOYS PLATINUM-27 TEAMS'!B89</f>
        <v>0.66666666666666696</v>
      </c>
      <c r="C575" s="109" t="str">
        <f>'19U BOYS PLATINUM-27 TEAMS'!C89&amp;""</f>
        <v>EDISON HS</v>
      </c>
      <c r="D575" s="109" t="str">
        <f>'19U BOYS PLATINUM-27 TEAMS'!D89&amp;""</f>
        <v>19Bpt54</v>
      </c>
      <c r="E575" s="276" t="str">
        <f>'19U BOYS PLATINUM-27 TEAMS'!E89&amp;""</f>
        <v>L#49-POWAY VALLEY BLACK</v>
      </c>
      <c r="F575" s="276" t="str">
        <f>'19U BOYS PLATINUM-27 TEAMS'!F89&amp;""</f>
        <v>7</v>
      </c>
      <c r="G575" s="276" t="str">
        <f>'19U BOYS PLATINUM-27 TEAMS'!G89&amp;""</f>
        <v>L#50-SANTA CRUZ</v>
      </c>
      <c r="H575" s="276" t="str">
        <f>'19U BOYS PLATINUM-27 TEAMS'!H89&amp;""</f>
        <v>15</v>
      </c>
      <c r="I575" s="109" t="str">
        <f>'19U BOYS PLATINUM-27 TEAMS'!I89&amp;""</f>
        <v>3rd/4thL</v>
      </c>
      <c r="J575" s="276" t="str">
        <f>'19U BOYS PLATINUM-27 TEAMS'!J89&amp;""</f>
        <v>19U_BOYS_PLATINUM</v>
      </c>
      <c r="K575" s="276" t="str">
        <f t="shared" si="16"/>
        <v>202602011600</v>
      </c>
    </row>
    <row r="576" spans="1:11">
      <c r="A576" s="278">
        <f>'19U BOYS PLATINUM-27 TEAMS'!A69</f>
        <v>46054</v>
      </c>
      <c r="B576" s="277">
        <f>'19U BOYS PLATINUM-27 TEAMS'!B69</f>
        <v>0.70833333333333304</v>
      </c>
      <c r="C576" s="109" t="str">
        <f>'19U BOYS PLATINUM-27 TEAMS'!C69&amp;""</f>
        <v>WOOLLETT NEAR LEFT</v>
      </c>
      <c r="D576" s="109" t="str">
        <f>'19U BOYS PLATINUM-27 TEAMS'!D69&amp;""</f>
        <v>19Bpt36</v>
      </c>
      <c r="E576" s="276" t="str">
        <f>'19U BOYS PLATINUM-27 TEAMS'!E69&amp;""</f>
        <v>Q1(2ndJ)-LA JOLLA UNITED NAVY</v>
      </c>
      <c r="F576" s="276" t="str">
        <f>'19U BOYS PLATINUM-27 TEAMS'!F69&amp;""</f>
        <v>12</v>
      </c>
      <c r="G576" s="276" t="str">
        <f>'19U BOYS PLATINUM-27 TEAMS'!G69&amp;""</f>
        <v>Q2(2ndK)-CHANNEL ISLANDS UNITED TEAL</v>
      </c>
      <c r="H576" s="276" t="str">
        <f>'19U BOYS PLATINUM-27 TEAMS'!H69&amp;""</f>
        <v>11</v>
      </c>
      <c r="I576" s="109" t="str">
        <f>'19U BOYS PLATINUM-27 TEAMS'!I69&amp;""</f>
        <v>overall 3rd</v>
      </c>
      <c r="J576" s="276" t="str">
        <f>'19U BOYS PLATINUM-27 TEAMS'!J69&amp;""</f>
        <v>19U_BOYS_PLATINUM</v>
      </c>
      <c r="K576" s="276" t="str">
        <f t="shared" si="16"/>
        <v>202602011700</v>
      </c>
    </row>
    <row r="577" spans="1:11">
      <c r="A577" s="278">
        <f>'19U BOYS PLATINUM-27 TEAMS'!A80</f>
        <v>46054</v>
      </c>
      <c r="B577" s="277">
        <f>'19U BOYS PLATINUM-27 TEAMS'!B80</f>
        <v>0.70833333333333304</v>
      </c>
      <c r="C577" s="109" t="str">
        <f>'19U BOYS PLATINUM-27 TEAMS'!C80&amp;""</f>
        <v>YORBA LINDA HS</v>
      </c>
      <c r="D577" s="109" t="str">
        <f>'19U BOYS PLATINUM-27 TEAMS'!D80&amp;""</f>
        <v>19Bpt46</v>
      </c>
      <c r="E577" s="276" t="str">
        <f>'19U BOYS PLATINUM-27 TEAMS'!E80&amp;""</f>
        <v>W#40-SHADOW MEN</v>
      </c>
      <c r="F577" s="276" t="str">
        <f>'19U BOYS PLATINUM-27 TEAMS'!F80&amp;""</f>
        <v>13</v>
      </c>
      <c r="G577" s="276" t="str">
        <f>'19U BOYS PLATINUM-27 TEAMS'!G80&amp;""</f>
        <v>W#41-IMPERIAL BLUE</v>
      </c>
      <c r="H577" s="276" t="str">
        <f>'19U BOYS PLATINUM-27 TEAMS'!H80&amp;""</f>
        <v>18</v>
      </c>
      <c r="I577" s="109" t="str">
        <f>'19U BOYS PLATINUM-27 TEAMS'!I80&amp;""</f>
        <v>1st/2ndP</v>
      </c>
      <c r="J577" s="276" t="str">
        <f>'19U BOYS PLATINUM-27 TEAMS'!J80&amp;""</f>
        <v>19U_BOYS_PLATINUM</v>
      </c>
      <c r="K577" s="276" t="str">
        <f t="shared" si="16"/>
        <v>202602011700</v>
      </c>
    </row>
    <row r="578" spans="1:11">
      <c r="A578" s="278">
        <f>'19U BOYS PLATINUM-27 TEAMS'!A90</f>
        <v>46054</v>
      </c>
      <c r="B578" s="277">
        <f>'19U BOYS PLATINUM-27 TEAMS'!B90</f>
        <v>0.70833333333333304</v>
      </c>
      <c r="C578" s="109" t="str">
        <f>'19U BOYS PLATINUM-27 TEAMS'!C90&amp;""</f>
        <v>EDISON HS</v>
      </c>
      <c r="D578" s="109" t="str">
        <f>'19U BOYS PLATINUM-27 TEAMS'!D90&amp;""</f>
        <v>19Bpt55</v>
      </c>
      <c r="E578" s="276" t="str">
        <f>'19U BOYS PLATINUM-27 TEAMS'!E90&amp;""</f>
        <v>NORCAL</v>
      </c>
      <c r="F578" s="276" t="str">
        <f>'19U BOYS PLATINUM-27 TEAMS'!F90&amp;""</f>
        <v>11</v>
      </c>
      <c r="G578" s="276" t="str">
        <f>'19U BOYS PLATINUM-27 TEAMS'!G90&amp;""</f>
        <v>CT PREMIER</v>
      </c>
      <c r="H578" s="276" t="str">
        <f>'19U BOYS PLATINUM-27 TEAMS'!H90&amp;""</f>
        <v>14</v>
      </c>
      <c r="I578" s="109" t="str">
        <f>'19U BOYS PLATINUM-27 TEAMS'!I90&amp;""</f>
        <v>1st/2ndM</v>
      </c>
      <c r="J578" s="276" t="str">
        <f>'19U BOYS PLATINUM-27 TEAMS'!J90&amp;""</f>
        <v>19U_BOYS_PLATINUM</v>
      </c>
      <c r="K578" s="276" t="str">
        <f t="shared" si="16"/>
        <v>202602011700</v>
      </c>
    </row>
    <row r="579" spans="1:11">
      <c r="A579" s="278">
        <f>'19U BOYS PLATINUM-27 TEAMS'!A81</f>
        <v>46054</v>
      </c>
      <c r="B579" s="277">
        <f>'19U BOYS PLATINUM-27 TEAMS'!B81</f>
        <v>0.75</v>
      </c>
      <c r="C579" s="109" t="str">
        <f>'19U BOYS PLATINUM-27 TEAMS'!C81&amp;""</f>
        <v>YORBA LINDA HS</v>
      </c>
      <c r="D579" s="109" t="str">
        <f>'19U BOYS PLATINUM-27 TEAMS'!D81&amp;""</f>
        <v>19Bpt47</v>
      </c>
      <c r="E579" s="276" t="str">
        <f>'19U BOYS PLATINUM-27 TEAMS'!E81&amp;""</f>
        <v>L#40-FOOTHILL BLACK</v>
      </c>
      <c r="F579" s="276" t="str">
        <f>'19U BOYS PLATINUM-27 TEAMS'!F81&amp;""</f>
        <v>9</v>
      </c>
      <c r="G579" s="276" t="str">
        <f>'19U BOYS PLATINUM-27 TEAMS'!G81&amp;""</f>
        <v>L#41-SUPREME</v>
      </c>
      <c r="H579" s="276" t="str">
        <f>'19U BOYS PLATINUM-27 TEAMS'!H81&amp;""</f>
        <v>14</v>
      </c>
      <c r="I579" s="109" t="str">
        <f>'19U BOYS PLATINUM-27 TEAMS'!I81&amp;""</f>
        <v>3rd/4thP</v>
      </c>
      <c r="J579" s="276" t="str">
        <f>'19U BOYS PLATINUM-27 TEAMS'!J81&amp;""</f>
        <v>19U_BOYS_PLATINUM</v>
      </c>
      <c r="K579" s="276" t="str">
        <f t="shared" si="16"/>
        <v>202602011800</v>
      </c>
    </row>
    <row r="580" spans="1:11">
      <c r="A580" s="278">
        <f>'19U BOYS PLATINUM-27 TEAMS'!A91</f>
        <v>46054</v>
      </c>
      <c r="B580" s="277">
        <f>'19U BOYS PLATINUM-27 TEAMS'!B91</f>
        <v>0.75</v>
      </c>
      <c r="C580" s="109" t="str">
        <f>'19U BOYS PLATINUM-27 TEAMS'!C91&amp;""</f>
        <v>EDISON HS</v>
      </c>
      <c r="D580" s="109" t="str">
        <f>'19U BOYS PLATINUM-27 TEAMS'!D91&amp;""</f>
        <v>19Bpt56</v>
      </c>
      <c r="E580" s="276" t="str">
        <f>'19U BOYS PLATINUM-27 TEAMS'!E91&amp;""</f>
        <v>VANGUARD</v>
      </c>
      <c r="F580" s="276" t="str">
        <f>'19U BOYS PLATINUM-27 TEAMS'!F91&amp;""</f>
        <v>19</v>
      </c>
      <c r="G580" s="276" t="str">
        <f>'19U BOYS PLATINUM-27 TEAMS'!G91&amp;""</f>
        <v>TROJAN</v>
      </c>
      <c r="H580" s="276" t="str">
        <f>'19U BOYS PLATINUM-27 TEAMS'!H91&amp;""</f>
        <v>17</v>
      </c>
      <c r="I580" s="109" t="str">
        <f>'19U BOYS PLATINUM-27 TEAMS'!I91&amp;""</f>
        <v>3rd/4thM</v>
      </c>
      <c r="J580" s="276" t="str">
        <f>'19U BOYS PLATINUM-27 TEAMS'!J91&amp;""</f>
        <v>19U_BOYS_PLATINUM</v>
      </c>
      <c r="K580" s="276" t="str">
        <f t="shared" si="16"/>
        <v>202602011800</v>
      </c>
    </row>
  </sheetData>
  <sortState xmlns:xlrd2="http://schemas.microsoft.com/office/spreadsheetml/2017/richdata2" ref="A403:K442">
    <sortCondition ref="A403:A442"/>
    <sortCondition ref="B403:B442"/>
    <sortCondition ref="D403:D442"/>
    <sortCondition ref="C403:C442"/>
  </sortState>
  <pageMargins left="0.7" right="0.7" top="0.75" bottom="0.75" header="0.3" footer="0.3"/>
  <pageSetup scale="51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A2C67-11E3-45C2-8BD0-7C5079A7D185}">
  <sheetPr>
    <pageSetUpPr fitToPage="1"/>
  </sheetPr>
  <dimension ref="A1:K580"/>
  <sheetViews>
    <sheetView topLeftCell="A516" zoomScaleNormal="100" zoomScaleSheetLayoutView="78" workbookViewId="0">
      <selection activeCell="E570" sqref="E570"/>
    </sheetView>
  </sheetViews>
  <sheetFormatPr defaultColWidth="23" defaultRowHeight="18"/>
  <cols>
    <col min="1" max="1" width="13.85546875" style="331" customWidth="1"/>
    <col min="2" max="2" width="15" style="331" customWidth="1"/>
    <col min="3" max="3" width="32.5703125" style="331" customWidth="1"/>
    <col min="4" max="4" width="15.42578125" style="331" customWidth="1"/>
    <col min="5" max="5" width="47.140625" style="331" customWidth="1"/>
    <col min="6" max="6" width="7.42578125" style="331" customWidth="1"/>
    <col min="7" max="7" width="45.28515625" style="331" customWidth="1"/>
    <col min="8" max="8" width="7.28515625" style="331" customWidth="1"/>
    <col min="9" max="9" width="25.5703125" style="331" customWidth="1"/>
    <col min="10" max="11" width="29.42578125" style="331" customWidth="1"/>
    <col min="12" max="16384" width="23" style="331"/>
  </cols>
  <sheetData>
    <row r="1" spans="1:11">
      <c r="A1" s="335" t="str">
        <f>'10U COED GOLD-16 TEAMS CUSTOM'!A9</f>
        <v>DATE</v>
      </c>
      <c r="B1" s="336" t="str">
        <f>'10U COED GOLD-16 TEAMS CUSTOM'!B9</f>
        <v>TIME</v>
      </c>
      <c r="C1" s="335" t="str">
        <f>'10U COED GOLD-16 TEAMS CUSTOM'!C9&amp;""</f>
        <v>LOCATION</v>
      </c>
      <c r="D1" s="335" t="str">
        <f>'10U COED GOLD-16 TEAMS CUSTOM'!D9&amp;""</f>
        <v>GAME ID</v>
      </c>
      <c r="E1" s="335" t="str">
        <f>'10U COED GOLD-16 TEAMS CUSTOM'!E9&amp;""</f>
        <v>WHITE TEAM</v>
      </c>
      <c r="F1" s="335" t="str">
        <f>'10U COED GOLD-16 TEAMS CUSTOM'!F9&amp;""</f>
        <v>S</v>
      </c>
      <c r="G1" s="335" t="str">
        <f>'10U COED GOLD-16 TEAMS CUSTOM'!G9&amp;""</f>
        <v>DARK TEAM</v>
      </c>
      <c r="H1" s="335" t="str">
        <f>'10U COED GOLD-16 TEAMS CUSTOM'!H9&amp;""</f>
        <v>S</v>
      </c>
      <c r="I1" s="335" t="str">
        <f>'10U COED GOLD-16 TEAMS CUSTOM'!I9&amp;""</f>
        <v>COMMENTS</v>
      </c>
      <c r="J1" s="335" t="str">
        <f>'10U COED GOLD-16 TEAMS CUSTOM'!J9&amp;""</f>
        <v>DIVISION</v>
      </c>
      <c r="K1" s="335" t="s">
        <v>1185</v>
      </c>
    </row>
    <row r="2" spans="1:11">
      <c r="A2" s="382">
        <f>'14U GIRLS PLATINUM-10 TEAMS'!A10</f>
        <v>46053</v>
      </c>
      <c r="B2" s="383">
        <f>'14U GIRLS PLATINUM-10 TEAMS'!B10</f>
        <v>0.29166666666666669</v>
      </c>
      <c r="C2" s="383" t="str">
        <f>'14U GIRLS PLATINUM-10 TEAMS'!C10&amp;""</f>
        <v>ALISO NIGUEL HS</v>
      </c>
      <c r="D2" s="384" t="str">
        <f>'14U GIRLS PLATINUM-10 TEAMS'!D10&amp;""</f>
        <v>14Gpt01</v>
      </c>
      <c r="E2" s="384" t="str">
        <f>'14U GIRLS PLATINUM-10 TEAMS'!E10&amp;""</f>
        <v>A1-CDM PINK</v>
      </c>
      <c r="F2" s="384" t="str">
        <f>'14U GIRLS PLATINUM-10 TEAMS'!F10&amp;""</f>
        <v>10</v>
      </c>
      <c r="G2" s="384" t="str">
        <f>'14U GIRLS PLATINUM-10 TEAMS'!G10&amp;""</f>
        <v>A3-STANFORD</v>
      </c>
      <c r="H2" s="384" t="str">
        <f>'14U GIRLS PLATINUM-10 TEAMS'!H10&amp;""</f>
        <v>1</v>
      </c>
      <c r="I2" s="384" t="str">
        <f>'14U GIRLS PLATINUM-10 TEAMS'!I10&amp;""</f>
        <v>A bracket A1,A3</v>
      </c>
      <c r="J2" s="384" t="str">
        <f>'14U GIRLS PLATINUM-10 TEAMS'!J10&amp;""</f>
        <v>14U_GIRLS_PLATINUM</v>
      </c>
      <c r="K2" s="384" t="str">
        <f t="shared" ref="K2:K33" si="0">TEXT(DATE(2026, MONTH(A2), DAY(A2)) + TIME(HOUR(B2), MINUTE(B2), 0), "yyyymmddhhmm")</f>
        <v>202601310700</v>
      </c>
    </row>
    <row r="3" spans="1:11">
      <c r="A3" s="382">
        <f>'14U GIRLS PLATINUM-10 TEAMS'!A11</f>
        <v>46053</v>
      </c>
      <c r="B3" s="383">
        <f>'14U GIRLS PLATINUM-10 TEAMS'!B11</f>
        <v>0.3263888888888889</v>
      </c>
      <c r="C3" s="383" t="str">
        <f>'14U GIRLS PLATINUM-10 TEAMS'!C11&amp;""</f>
        <v>ALISO NIGUEL HS</v>
      </c>
      <c r="D3" s="384" t="str">
        <f>'14U GIRLS PLATINUM-10 TEAMS'!D11&amp;""</f>
        <v>14Gpt02</v>
      </c>
      <c r="E3" s="384" t="str">
        <f>'14U GIRLS PLATINUM-10 TEAMS'!E11&amp;""</f>
        <v>B1-CC UNITED BLACK</v>
      </c>
      <c r="F3" s="384" t="str">
        <f>'14U GIRLS PLATINUM-10 TEAMS'!F11&amp;""</f>
        <v>7</v>
      </c>
      <c r="G3" s="384" t="str">
        <f>'14U GIRLS PLATINUM-10 TEAMS'!G11&amp;""</f>
        <v>B3-PATRIOT RED</v>
      </c>
      <c r="H3" s="384" t="str">
        <f>'14U GIRLS PLATINUM-10 TEAMS'!H11&amp;""</f>
        <v>10</v>
      </c>
      <c r="I3" s="384" t="str">
        <f>'14U GIRLS PLATINUM-10 TEAMS'!I11&amp;""</f>
        <v>B bracket B1,B3</v>
      </c>
      <c r="J3" s="384" t="str">
        <f>'14U GIRLS PLATINUM-10 TEAMS'!J11&amp;""</f>
        <v>14U_GIRLS_PLATINUM</v>
      </c>
      <c r="K3" s="384" t="str">
        <f t="shared" si="0"/>
        <v>202601310750</v>
      </c>
    </row>
    <row r="4" spans="1:11">
      <c r="A4" s="382">
        <f>'14U GIRLS PLATINUM-10 TEAMS'!A12</f>
        <v>46053</v>
      </c>
      <c r="B4" s="383">
        <f>'14U GIRLS PLATINUM-10 TEAMS'!B12</f>
        <v>0.36111111111111099</v>
      </c>
      <c r="C4" s="383" t="str">
        <f>'14U GIRLS PLATINUM-10 TEAMS'!C12&amp;""</f>
        <v>ALISO NIGUEL HS</v>
      </c>
      <c r="D4" s="384" t="str">
        <f>'14U GIRLS PLATINUM-10 TEAMS'!D12&amp;""</f>
        <v>14Gpt03</v>
      </c>
      <c r="E4" s="384" t="str">
        <f>'14U GIRLS PLATINUM-10 TEAMS'!E12&amp;""</f>
        <v>C1-SANTA CRUZ BLACK</v>
      </c>
      <c r="F4" s="384" t="str">
        <f>'14U GIRLS PLATINUM-10 TEAMS'!F12&amp;""</f>
        <v>11</v>
      </c>
      <c r="G4" s="384" t="str">
        <f>'14U GIRLS PLATINUM-10 TEAMS'!G12&amp;""</f>
        <v>C4-LAMORINDA B</v>
      </c>
      <c r="H4" s="384" t="str">
        <f>'14U GIRLS PLATINUM-10 TEAMS'!H12&amp;""</f>
        <v>3</v>
      </c>
      <c r="I4" s="384" t="str">
        <f>'14U GIRLS PLATINUM-10 TEAMS'!I12&amp;""</f>
        <v>C bracket C1,C4</v>
      </c>
      <c r="J4" s="384" t="str">
        <f>'14U GIRLS PLATINUM-10 TEAMS'!J12&amp;""</f>
        <v>14U_GIRLS_PLATINUM</v>
      </c>
      <c r="K4" s="384" t="str">
        <f t="shared" si="0"/>
        <v>202601310840</v>
      </c>
    </row>
    <row r="5" spans="1:11">
      <c r="A5" s="382">
        <f>'14U GIRLS PLATINUM-10 TEAMS'!A13</f>
        <v>46053</v>
      </c>
      <c r="B5" s="383">
        <f>'14U GIRLS PLATINUM-10 TEAMS'!B13</f>
        <v>0.39583333333333398</v>
      </c>
      <c r="C5" s="383" t="str">
        <f>'14U GIRLS PLATINUM-10 TEAMS'!C13&amp;""</f>
        <v>ALISO NIGUEL HS</v>
      </c>
      <c r="D5" s="384" t="str">
        <f>'14U GIRLS PLATINUM-10 TEAMS'!D13&amp;""</f>
        <v>14Gpt04</v>
      </c>
      <c r="E5" s="384" t="str">
        <f>'14U GIRLS PLATINUM-10 TEAMS'!E13&amp;""</f>
        <v>A2-DAVIS</v>
      </c>
      <c r="F5" s="384" t="str">
        <f>'14U GIRLS PLATINUM-10 TEAMS'!F13&amp;""</f>
        <v>5.2</v>
      </c>
      <c r="G5" s="384" t="str">
        <f>'14U GIRLS PLATINUM-10 TEAMS'!G13&amp;""</f>
        <v>A3-STANFORD</v>
      </c>
      <c r="H5" s="384" t="str">
        <f>'14U GIRLS PLATINUM-10 TEAMS'!H13&amp;""</f>
        <v>5.4</v>
      </c>
      <c r="I5" s="384" t="str">
        <f>'14U GIRLS PLATINUM-10 TEAMS'!I13&amp;""</f>
        <v>A bracket A2,A3</v>
      </c>
      <c r="J5" s="384" t="str">
        <f>'14U GIRLS PLATINUM-10 TEAMS'!J13&amp;""</f>
        <v>14U_GIRLS_PLATINUM</v>
      </c>
      <c r="K5" s="384" t="str">
        <f t="shared" si="0"/>
        <v>202601310930</v>
      </c>
    </row>
    <row r="6" spans="1:11">
      <c r="A6" s="382">
        <f>'14U GIRLS PLATINUM-10 TEAMS'!A14</f>
        <v>46053</v>
      </c>
      <c r="B6" s="383">
        <f>'14U GIRLS PLATINUM-10 TEAMS'!B14</f>
        <v>0.43055555555555602</v>
      </c>
      <c r="C6" s="383" t="str">
        <f>'14U GIRLS PLATINUM-10 TEAMS'!C14&amp;""</f>
        <v>ALISO NIGUEL HS</v>
      </c>
      <c r="D6" s="384" t="str">
        <f>'14U GIRLS PLATINUM-10 TEAMS'!D14&amp;""</f>
        <v>14Gpt05</v>
      </c>
      <c r="E6" s="384" t="str">
        <f>'14U GIRLS PLATINUM-10 TEAMS'!E14&amp;""</f>
        <v>B2-NEWPORT BEACH</v>
      </c>
      <c r="F6" s="384" t="str">
        <f>'14U GIRLS PLATINUM-10 TEAMS'!F14&amp;""</f>
        <v>3</v>
      </c>
      <c r="G6" s="384" t="str">
        <f>'14U GIRLS PLATINUM-10 TEAMS'!G14&amp;""</f>
        <v>B3-PATRIOT RED</v>
      </c>
      <c r="H6" s="384" t="str">
        <f>'14U GIRLS PLATINUM-10 TEAMS'!H14&amp;""</f>
        <v>9</v>
      </c>
      <c r="I6" s="384" t="str">
        <f>'14U GIRLS PLATINUM-10 TEAMS'!I14&amp;""</f>
        <v>B bracket B2,B3</v>
      </c>
      <c r="J6" s="384" t="str">
        <f>'14U GIRLS PLATINUM-10 TEAMS'!J14&amp;""</f>
        <v>14U_GIRLS_PLATINUM</v>
      </c>
      <c r="K6" s="384" t="str">
        <f t="shared" si="0"/>
        <v>202601311020</v>
      </c>
    </row>
    <row r="7" spans="1:11">
      <c r="A7" s="382">
        <f>'14U GIRLS PLATINUM-10 TEAMS'!A15</f>
        <v>46053</v>
      </c>
      <c r="B7" s="383">
        <f>'14U GIRLS PLATINUM-10 TEAMS'!B15</f>
        <v>0.46527777777777801</v>
      </c>
      <c r="C7" s="383" t="str">
        <f>'14U GIRLS PLATINUM-10 TEAMS'!C15&amp;""</f>
        <v>ALISO NIGUEL HS</v>
      </c>
      <c r="D7" s="384" t="str">
        <f>'14U GIRLS PLATINUM-10 TEAMS'!D15&amp;""</f>
        <v>14Gpt06</v>
      </c>
      <c r="E7" s="384" t="str">
        <f>'14U GIRLS PLATINUM-10 TEAMS'!E15&amp;""</f>
        <v>C3-FOOTHILL RED</v>
      </c>
      <c r="F7" s="384" t="str">
        <f>'14U GIRLS PLATINUM-10 TEAMS'!F15&amp;""</f>
        <v>5.2</v>
      </c>
      <c r="G7" s="384" t="str">
        <f>'14U GIRLS PLATINUM-10 TEAMS'!G15&amp;""</f>
        <v>C4-LAMORINDA B</v>
      </c>
      <c r="H7" s="384" t="str">
        <f>'14U GIRLS PLATINUM-10 TEAMS'!H15&amp;""</f>
        <v>5.3</v>
      </c>
      <c r="I7" s="384" t="str">
        <f>'14U GIRLS PLATINUM-10 TEAMS'!I15&amp;""</f>
        <v>C bracket C3,C4</v>
      </c>
      <c r="J7" s="384" t="str">
        <f>'14U GIRLS PLATINUM-10 TEAMS'!J15&amp;""</f>
        <v>14U_GIRLS_PLATINUM</v>
      </c>
      <c r="K7" s="384" t="str">
        <f t="shared" si="0"/>
        <v>202601311110</v>
      </c>
    </row>
    <row r="8" spans="1:11">
      <c r="A8" s="382">
        <f>'14U GIRLS PLATINUM-10 TEAMS'!A16</f>
        <v>46053</v>
      </c>
      <c r="B8" s="383">
        <f>'14U GIRLS PLATINUM-10 TEAMS'!B16</f>
        <v>0.5</v>
      </c>
      <c r="C8" s="383" t="str">
        <f>'14U GIRLS PLATINUM-10 TEAMS'!C16&amp;""</f>
        <v>ALISO NIGUEL HS</v>
      </c>
      <c r="D8" s="384" t="str">
        <f>'14U GIRLS PLATINUM-10 TEAMS'!D16&amp;""</f>
        <v>14Gpt07</v>
      </c>
      <c r="E8" s="384" t="str">
        <f>'14U GIRLS PLATINUM-10 TEAMS'!E16&amp;""</f>
        <v>C1-SANTA CRUZ BLACK</v>
      </c>
      <c r="F8" s="384" t="str">
        <f>'14U GIRLS PLATINUM-10 TEAMS'!F16&amp;""</f>
        <v>7</v>
      </c>
      <c r="G8" s="385" t="str">
        <f>'14U GIRLS PLATINUM-10 TEAMS'!G16&amp;""</f>
        <v>C2-SOUTH COAST RED (A)</v>
      </c>
      <c r="H8" s="384" t="str">
        <f>'14U GIRLS PLATINUM-10 TEAMS'!H16&amp;""</f>
        <v>5</v>
      </c>
      <c r="I8" s="384" t="str">
        <f>'14U GIRLS PLATINUM-10 TEAMS'!I16&amp;""</f>
        <v>C bracket C1,C2</v>
      </c>
      <c r="J8" s="384" t="str">
        <f>'14U GIRLS PLATINUM-10 TEAMS'!J16&amp;""</f>
        <v>14U_GIRLS_PLATINUM</v>
      </c>
      <c r="K8" s="384" t="str">
        <f t="shared" si="0"/>
        <v>202601311200</v>
      </c>
    </row>
    <row r="9" spans="1:11">
      <c r="A9" s="382">
        <f>'14U GIRLS PLATINUM-10 TEAMS'!A17</f>
        <v>46053</v>
      </c>
      <c r="B9" s="383">
        <f>'14U GIRLS PLATINUM-10 TEAMS'!B17</f>
        <v>0.53472222222222199</v>
      </c>
      <c r="C9" s="383" t="str">
        <f>'14U GIRLS PLATINUM-10 TEAMS'!C17&amp;""</f>
        <v>ALISO NIGUEL HS</v>
      </c>
      <c r="D9" s="384" t="str">
        <f>'14U GIRLS PLATINUM-10 TEAMS'!D17&amp;""</f>
        <v>14Gpt08</v>
      </c>
      <c r="E9" s="384" t="str">
        <f>'14U GIRLS PLATINUM-10 TEAMS'!E17&amp;""</f>
        <v>A1-CDM PINK</v>
      </c>
      <c r="F9" s="384" t="str">
        <f>'14U GIRLS PLATINUM-10 TEAMS'!F17&amp;""</f>
        <v>3.5</v>
      </c>
      <c r="G9" s="384" t="str">
        <f>'14U GIRLS PLATINUM-10 TEAMS'!G17&amp;""</f>
        <v>A2-DAVIS</v>
      </c>
      <c r="H9" s="384" t="str">
        <f>'14U GIRLS PLATINUM-10 TEAMS'!H17&amp;""</f>
        <v>3.4</v>
      </c>
      <c r="I9" s="384" t="str">
        <f>'14U GIRLS PLATINUM-10 TEAMS'!I17&amp;""</f>
        <v>A bracket A1,A2</v>
      </c>
      <c r="J9" s="384" t="str">
        <f>'14U GIRLS PLATINUM-10 TEAMS'!J17&amp;""</f>
        <v>14U_GIRLS_PLATINUM</v>
      </c>
      <c r="K9" s="384" t="str">
        <f t="shared" si="0"/>
        <v>202601311250</v>
      </c>
    </row>
    <row r="10" spans="1:11">
      <c r="A10" s="382">
        <f>'14U GIRLS PLATINUM-10 TEAMS'!A18</f>
        <v>46053</v>
      </c>
      <c r="B10" s="383">
        <f>'14U GIRLS PLATINUM-10 TEAMS'!B18</f>
        <v>0.56944444444444497</v>
      </c>
      <c r="C10" s="383" t="str">
        <f>'14U GIRLS PLATINUM-10 TEAMS'!C18&amp;""</f>
        <v>ALISO NIGUEL HS</v>
      </c>
      <c r="D10" s="384" t="str">
        <f>'14U GIRLS PLATINUM-10 TEAMS'!D18&amp;""</f>
        <v>14Gpt09</v>
      </c>
      <c r="E10" s="384" t="str">
        <f>'14U GIRLS PLATINUM-10 TEAMS'!E18&amp;""</f>
        <v>B1-CC UNITED BLACK</v>
      </c>
      <c r="F10" s="384" t="str">
        <f>'14U GIRLS PLATINUM-10 TEAMS'!F18&amp;""</f>
        <v>4</v>
      </c>
      <c r="G10" s="384" t="str">
        <f>'14U GIRLS PLATINUM-10 TEAMS'!G18&amp;""</f>
        <v>B2-NEWPORT BEACH</v>
      </c>
      <c r="H10" s="384" t="str">
        <f>'14U GIRLS PLATINUM-10 TEAMS'!H18&amp;""</f>
        <v>1</v>
      </c>
      <c r="I10" s="384" t="str">
        <f>'14U GIRLS PLATINUM-10 TEAMS'!I18&amp;""</f>
        <v>B bracket B1,B2</v>
      </c>
      <c r="J10" s="384" t="str">
        <f>'14U GIRLS PLATINUM-10 TEAMS'!J18&amp;""</f>
        <v>14U_GIRLS_PLATINUM</v>
      </c>
      <c r="K10" s="384" t="str">
        <f t="shared" si="0"/>
        <v>202601311340</v>
      </c>
    </row>
    <row r="11" spans="1:11">
      <c r="A11" s="382">
        <f>'14U GIRLS PLATINUM-10 TEAMS'!A19</f>
        <v>46053</v>
      </c>
      <c r="B11" s="383">
        <f>'14U GIRLS PLATINUM-10 TEAMS'!B19</f>
        <v>0.60416666666666696</v>
      </c>
      <c r="C11" s="383" t="str">
        <f>'14U GIRLS PLATINUM-10 TEAMS'!C19&amp;""</f>
        <v>ALISO NIGUEL HS</v>
      </c>
      <c r="D11" s="384" t="str">
        <f>'14U GIRLS PLATINUM-10 TEAMS'!D19&amp;""</f>
        <v>14Gpt10</v>
      </c>
      <c r="E11" s="386" t="str">
        <f>'14U GIRLS PLATINUM-10 TEAMS'!E19&amp;""</f>
        <v>C2-SOUTH COAST RED (A)</v>
      </c>
      <c r="F11" s="384" t="str">
        <f>'14U GIRLS PLATINUM-10 TEAMS'!F19&amp;""</f>
        <v>11</v>
      </c>
      <c r="G11" s="384" t="str">
        <f>'14U GIRLS PLATINUM-10 TEAMS'!G19&amp;""</f>
        <v>C3-FOOTHILL RED</v>
      </c>
      <c r="H11" s="384" t="str">
        <f>'14U GIRLS PLATINUM-10 TEAMS'!H19&amp;""</f>
        <v>5</v>
      </c>
      <c r="I11" s="384" t="str">
        <f>'14U GIRLS PLATINUM-10 TEAMS'!I19&amp;""</f>
        <v>C bracket C2,C3</v>
      </c>
      <c r="J11" s="384" t="str">
        <f>'14U GIRLS PLATINUM-10 TEAMS'!J19&amp;""</f>
        <v>14U_GIRLS_PLATINUM</v>
      </c>
      <c r="K11" s="384" t="str">
        <f t="shared" si="0"/>
        <v>202601311430</v>
      </c>
    </row>
    <row r="12" spans="1:11">
      <c r="A12" s="382">
        <f>'14U GIRLS PLATINUM-10 TEAMS'!A23</f>
        <v>46054</v>
      </c>
      <c r="B12" s="383">
        <f>'14U GIRLS PLATINUM-10 TEAMS'!B23</f>
        <v>0.29166666666666669</v>
      </c>
      <c r="C12" s="383" t="str">
        <f>'14U GIRLS PLATINUM-10 TEAMS'!C23&amp;""</f>
        <v>ALISO NIGUEL HS</v>
      </c>
      <c r="D12" s="384" t="str">
        <f>'14U GIRLS PLATINUM-10 TEAMS'!D23&amp;""</f>
        <v>14Gpt11</v>
      </c>
      <c r="E12" s="384" t="str">
        <f>'14U GIRLS PLATINUM-10 TEAMS'!E23&amp;""</f>
        <v>C2-SOUTH COAST RED (A)</v>
      </c>
      <c r="F12" s="384" t="str">
        <f>'14U GIRLS PLATINUM-10 TEAMS'!F23&amp;""</f>
        <v>5</v>
      </c>
      <c r="G12" s="384" t="str">
        <f>'14U GIRLS PLATINUM-10 TEAMS'!G23&amp;""</f>
        <v>C4-LAMORINDA B</v>
      </c>
      <c r="H12" s="384" t="str">
        <f>'14U GIRLS PLATINUM-10 TEAMS'!H23&amp;""</f>
        <v>4</v>
      </c>
      <c r="I12" s="384" t="str">
        <f>'14U GIRLS PLATINUM-10 TEAMS'!I23&amp;""</f>
        <v>C bracket C2,C4</v>
      </c>
      <c r="J12" s="384" t="str">
        <f>'14U GIRLS PLATINUM-10 TEAMS'!J23&amp;""</f>
        <v>14U_GIRLS_PLATINUM</v>
      </c>
      <c r="K12" s="384" t="str">
        <f t="shared" si="0"/>
        <v>202602010700</v>
      </c>
    </row>
    <row r="13" spans="1:11">
      <c r="A13" s="382">
        <f>'14U GIRLS PLATINUM-10 TEAMS'!A24</f>
        <v>46054</v>
      </c>
      <c r="B13" s="383">
        <f>'14U GIRLS PLATINUM-10 TEAMS'!B24</f>
        <v>0.3263888888888889</v>
      </c>
      <c r="C13" s="383" t="str">
        <f>'14U GIRLS PLATINUM-10 TEAMS'!C24&amp;""</f>
        <v>ALISO NIGUEL HS</v>
      </c>
      <c r="D13" s="384" t="str">
        <f>'14U GIRLS PLATINUM-10 TEAMS'!D24&amp;""</f>
        <v>14Gpt12</v>
      </c>
      <c r="E13" s="384" t="str">
        <f>'14U GIRLS PLATINUM-10 TEAMS'!E24&amp;""</f>
        <v>C1-SANTA CRUZ BLACK</v>
      </c>
      <c r="F13" s="384" t="str">
        <f>'14U GIRLS PLATINUM-10 TEAMS'!F24&amp;""</f>
        <v>13</v>
      </c>
      <c r="G13" s="384" t="str">
        <f>'14U GIRLS PLATINUM-10 TEAMS'!G24&amp;""</f>
        <v>C3-FOOTHILL RED</v>
      </c>
      <c r="H13" s="384" t="str">
        <f>'14U GIRLS PLATINUM-10 TEAMS'!H24&amp;""</f>
        <v>3</v>
      </c>
      <c r="I13" s="384" t="str">
        <f>'14U GIRLS PLATINUM-10 TEAMS'!I24&amp;""</f>
        <v>C bracket C1,C3</v>
      </c>
      <c r="J13" s="384" t="str">
        <f>'14U GIRLS PLATINUM-10 TEAMS'!J24&amp;""</f>
        <v>14U_GIRLS_PLATINUM</v>
      </c>
      <c r="K13" s="384" t="str">
        <f t="shared" si="0"/>
        <v>202602010750</v>
      </c>
    </row>
    <row r="14" spans="1:11">
      <c r="A14" s="382">
        <f>'14U GIRLS PLATINUM-10 TEAMS'!A25</f>
        <v>46054</v>
      </c>
      <c r="B14" s="383">
        <f>'14U GIRLS PLATINUM-10 TEAMS'!B25</f>
        <v>0.36111111111111099</v>
      </c>
      <c r="C14" s="383" t="str">
        <f>'14U GIRLS PLATINUM-10 TEAMS'!C25&amp;""</f>
        <v>ALISO NIGUEL HS</v>
      </c>
      <c r="D14" s="384" t="str">
        <f>'14U GIRLS PLATINUM-10 TEAMS'!D25&amp;""</f>
        <v>14Gpt13</v>
      </c>
      <c r="E14" s="384" t="str">
        <f>'14U GIRLS PLATINUM-10 TEAMS'!E25&amp;""</f>
        <v>2ndA-STANFORD</v>
      </c>
      <c r="F14" s="384" t="str">
        <f>'14U GIRLS PLATINUM-10 TEAMS'!F25&amp;""</f>
        <v>10</v>
      </c>
      <c r="G14" s="384" t="str">
        <f>'14U GIRLS PLATINUM-10 TEAMS'!G25&amp;""</f>
        <v>3rdB-NEWPORT BEACH</v>
      </c>
      <c r="H14" s="384" t="str">
        <f>'14U GIRLS PLATINUM-10 TEAMS'!H25&amp;""</f>
        <v>7</v>
      </c>
      <c r="I14" s="384" t="str">
        <f>'14U GIRLS PLATINUM-10 TEAMS'!I25&amp;""</f>
        <v>5th-10th 2A/3B</v>
      </c>
      <c r="J14" s="384" t="str">
        <f>'14U GIRLS PLATINUM-10 TEAMS'!J25&amp;""</f>
        <v>14U_GIRLS_PLATINUM</v>
      </c>
      <c r="K14" s="384" t="str">
        <f t="shared" si="0"/>
        <v>202602010840</v>
      </c>
    </row>
    <row r="15" spans="1:11">
      <c r="A15" s="382">
        <f>'14U GIRLS PLATINUM-10 TEAMS'!A26</f>
        <v>46054</v>
      </c>
      <c r="B15" s="383">
        <f>'14U GIRLS PLATINUM-10 TEAMS'!B26</f>
        <v>0.39583333333333398</v>
      </c>
      <c r="C15" s="383" t="str">
        <f>'14U GIRLS PLATINUM-10 TEAMS'!C26&amp;""</f>
        <v>ALISO NIGUEL HS</v>
      </c>
      <c r="D15" s="384" t="str">
        <f>'14U GIRLS PLATINUM-10 TEAMS'!D26&amp;""</f>
        <v>14Gpt14</v>
      </c>
      <c r="E15" s="384" t="str">
        <f>'14U GIRLS PLATINUM-10 TEAMS'!E26&amp;""</f>
        <v>3rdA-DAVIS</v>
      </c>
      <c r="F15" s="384" t="str">
        <f>'14U GIRLS PLATINUM-10 TEAMS'!F26&amp;""</f>
        <v>5</v>
      </c>
      <c r="G15" s="384" t="str">
        <f>'14U GIRLS PLATINUM-10 TEAMS'!G26&amp;""</f>
        <v>2ndB-CC UNITED BLACK</v>
      </c>
      <c r="H15" s="384" t="str">
        <f>'14U GIRLS PLATINUM-10 TEAMS'!H26&amp;""</f>
        <v>2</v>
      </c>
      <c r="I15" s="384" t="str">
        <f>'14U GIRLS PLATINUM-10 TEAMS'!I26&amp;""</f>
        <v>5th-10th 3A/2B</v>
      </c>
      <c r="J15" s="384" t="str">
        <f>'14U GIRLS PLATINUM-10 TEAMS'!J26&amp;""</f>
        <v>14U_GIRLS_PLATINUM</v>
      </c>
      <c r="K15" s="384" t="str">
        <f t="shared" si="0"/>
        <v>202602010930</v>
      </c>
    </row>
    <row r="16" spans="1:11">
      <c r="A16" s="382">
        <f>'14U GIRLS PLATINUM-10 TEAMS'!A27</f>
        <v>46054</v>
      </c>
      <c r="B16" s="383">
        <f>'14U GIRLS PLATINUM-10 TEAMS'!B27</f>
        <v>0.43055555555555602</v>
      </c>
      <c r="C16" s="383" t="str">
        <f>'14U GIRLS PLATINUM-10 TEAMS'!C27&amp;""</f>
        <v>ALISO NIGUEL HS</v>
      </c>
      <c r="D16" s="384" t="str">
        <f>'14U GIRLS PLATINUM-10 TEAMS'!D27&amp;""</f>
        <v>14Gpt15</v>
      </c>
      <c r="E16" s="384" t="str">
        <f>'14U GIRLS PLATINUM-10 TEAMS'!E27&amp;""</f>
        <v>1stA-CDM PINK</v>
      </c>
      <c r="F16" s="384" t="str">
        <f>'14U GIRLS PLATINUM-10 TEAMS'!F27&amp;""</f>
        <v>4.4</v>
      </c>
      <c r="G16" s="384" t="str">
        <f>'14U GIRLS PLATINUM-10 TEAMS'!G27&amp;""</f>
        <v xml:space="preserve">2ndC-SOUTH COAST RED (A)	</v>
      </c>
      <c r="H16" s="384" t="str">
        <f>'14U GIRLS PLATINUM-10 TEAMS'!H27&amp;""</f>
        <v>4.2</v>
      </c>
      <c r="I16" s="384" t="str">
        <f>'14U GIRLS PLATINUM-10 TEAMS'!I27&amp;""</f>
        <v>1-4 semi 1A/2C</v>
      </c>
      <c r="J16" s="384" t="str">
        <f>'14U GIRLS PLATINUM-10 TEAMS'!J27&amp;""</f>
        <v>14U_GIRLS_PLATINUM</v>
      </c>
      <c r="K16" s="384" t="str">
        <f t="shared" si="0"/>
        <v>202602011020</v>
      </c>
    </row>
    <row r="17" spans="1:11">
      <c r="A17" s="382">
        <f>'14U GIRLS PLATINUM-10 TEAMS'!A28</f>
        <v>46054</v>
      </c>
      <c r="B17" s="383">
        <f>'14U GIRLS PLATINUM-10 TEAMS'!B28</f>
        <v>0.46527777777777801</v>
      </c>
      <c r="C17" s="383" t="str">
        <f>'14U GIRLS PLATINUM-10 TEAMS'!C28&amp;""</f>
        <v>ALISO NIGUEL HS</v>
      </c>
      <c r="D17" s="384" t="str">
        <f>'14U GIRLS PLATINUM-10 TEAMS'!D28&amp;""</f>
        <v>14Gpt16</v>
      </c>
      <c r="E17" s="384" t="str">
        <f>'14U GIRLS PLATINUM-10 TEAMS'!E28&amp;""</f>
        <v>1stB-PATRIOT RED</v>
      </c>
      <c r="F17" s="384" t="str">
        <f>'14U GIRLS PLATINUM-10 TEAMS'!F28&amp;""</f>
        <v>9</v>
      </c>
      <c r="G17" s="384" t="str">
        <f>'14U GIRLS PLATINUM-10 TEAMS'!G28&amp;""</f>
        <v>1stC-SANTA CRUZ BLACK</v>
      </c>
      <c r="H17" s="384" t="str">
        <f>'14U GIRLS PLATINUM-10 TEAMS'!H28&amp;""</f>
        <v>12</v>
      </c>
      <c r="I17" s="384" t="str">
        <f>'14U GIRLS PLATINUM-10 TEAMS'!I28&amp;""</f>
        <v>1-4 semi 1B/1C</v>
      </c>
      <c r="J17" s="384" t="str">
        <f>'14U GIRLS PLATINUM-10 TEAMS'!J28&amp;""</f>
        <v>14U_GIRLS_PLATINUM</v>
      </c>
      <c r="K17" s="384" t="str">
        <f t="shared" si="0"/>
        <v>202602011110</v>
      </c>
    </row>
    <row r="18" spans="1:11">
      <c r="A18" s="387">
        <f>'14U BOYS SILVER-18 TEAMS'!A66</f>
        <v>46054</v>
      </c>
      <c r="B18" s="388">
        <f>'14U BOYS SILVER-18 TEAMS'!B66</f>
        <v>0.5</v>
      </c>
      <c r="C18" s="388" t="str">
        <f>'14U BOYS SILVER-18 TEAMS'!C66&amp;""</f>
        <v>ALISO NIGUEL HS</v>
      </c>
      <c r="D18" s="389" t="str">
        <f>'14U BOYS SILVER-18 TEAMS'!D66&amp;""</f>
        <v>14Bag24</v>
      </c>
      <c r="E18" s="390" t="str">
        <f>'14U BOYS SILVER-18 TEAMS'!E66&amp;""</f>
        <v>N1(3rdD)-AMERICAN RIVER GOLD</v>
      </c>
      <c r="F18" s="391" t="str">
        <f>'14U BOYS SILVER-18 TEAMS'!F66&amp;""</f>
        <v>4</v>
      </c>
      <c r="G18" s="390" t="str">
        <f>'14U BOYS SILVER-18 TEAMS'!G66&amp;""</f>
        <v>N2(3rdE)-CC UNITED WHITE</v>
      </c>
      <c r="H18" s="391" t="str">
        <f>'14U BOYS SILVER-18 TEAMS'!H66&amp;""</f>
        <v>2</v>
      </c>
      <c r="I18" s="392" t="str">
        <f>'14U BOYS SILVER-18 TEAMS'!I66&amp;""</f>
        <v>13th-18th</v>
      </c>
      <c r="J18" s="389" t="str">
        <f>'14U BOYS SILVER-18 TEAMS'!J66&amp;""</f>
        <v>14U_BOYS_SILVER</v>
      </c>
      <c r="K18" s="389" t="str">
        <f t="shared" si="0"/>
        <v>202602011200</v>
      </c>
    </row>
    <row r="19" spans="1:11">
      <c r="A19" s="382">
        <f>'14U GIRLS PLATINUM-10 TEAMS'!A30</f>
        <v>46054</v>
      </c>
      <c r="B19" s="383">
        <f>'14U GIRLS PLATINUM-10 TEAMS'!B30</f>
        <v>0.53472222222222199</v>
      </c>
      <c r="C19" s="383" t="str">
        <f>'14U GIRLS PLATINUM-10 TEAMS'!C30&amp;""</f>
        <v>ALISO NIGUEL HS</v>
      </c>
      <c r="D19" s="384" t="str">
        <f>'14U GIRLS PLATINUM-10 TEAMS'!D30&amp;""</f>
        <v>14Gpt18</v>
      </c>
      <c r="E19" s="384" t="str">
        <f>'14U GIRLS PLATINUM-10 TEAMS'!E30&amp;""</f>
        <v>L#13-NEWPORT BEACH</v>
      </c>
      <c r="F19" s="384" t="str">
        <f>'14U GIRLS PLATINUM-10 TEAMS'!F30&amp;""</f>
        <v>4</v>
      </c>
      <c r="G19" s="384" t="str">
        <f>'14U GIRLS PLATINUM-10 TEAMS'!G30&amp;""</f>
        <v>3rdC-LAMORINDA B</v>
      </c>
      <c r="H19" s="384" t="str">
        <f>'14U GIRLS PLATINUM-10 TEAMS'!H30&amp;""</f>
        <v>9</v>
      </c>
      <c r="I19" s="384" t="str">
        <f>'14U GIRLS PLATINUM-10 TEAMS'!I30&amp;""</f>
        <v>7th-10th</v>
      </c>
      <c r="J19" s="384" t="str">
        <f>'14U GIRLS PLATINUM-10 TEAMS'!J30&amp;""</f>
        <v>14U_GIRLS_PLATINUM</v>
      </c>
      <c r="K19" s="384" t="str">
        <f t="shared" si="0"/>
        <v>202602011250</v>
      </c>
    </row>
    <row r="20" spans="1:11">
      <c r="A20" s="382">
        <f>'14U GIRLS PLATINUM-10 TEAMS'!A31</f>
        <v>46054</v>
      </c>
      <c r="B20" s="383">
        <f>'14U GIRLS PLATINUM-10 TEAMS'!B31</f>
        <v>0.56944444444444497</v>
      </c>
      <c r="C20" s="383" t="str">
        <f>'14U GIRLS PLATINUM-10 TEAMS'!C31&amp;""</f>
        <v>ALISO NIGUEL HS</v>
      </c>
      <c r="D20" s="384" t="str">
        <f>'14U GIRLS PLATINUM-10 TEAMS'!D31&amp;""</f>
        <v>14Gpt20</v>
      </c>
      <c r="E20" s="384" t="str">
        <f>'14U GIRLS PLATINUM-10 TEAMS'!E31&amp;""</f>
        <v xml:space="preserve">L#15-SOUTH COAST RED (A)	</v>
      </c>
      <c r="F20" s="384" t="str">
        <f>'14U GIRLS PLATINUM-10 TEAMS'!F31&amp;""</f>
        <v>6.2</v>
      </c>
      <c r="G20" s="384" t="str">
        <f>'14U GIRLS PLATINUM-10 TEAMS'!G31&amp;""</f>
        <v>L#16-PATRIOT RED</v>
      </c>
      <c r="H20" s="384" t="str">
        <f>'14U GIRLS PLATINUM-10 TEAMS'!H31&amp;""</f>
        <v>6.1</v>
      </c>
      <c r="I20" s="384" t="str">
        <f>'14U GIRLS PLATINUM-10 TEAMS'!I31&amp;""</f>
        <v>3rd</v>
      </c>
      <c r="J20" s="384" t="str">
        <f>'14U GIRLS PLATINUM-10 TEAMS'!J31&amp;""</f>
        <v>14U_GIRLS_PLATINUM</v>
      </c>
      <c r="K20" s="384" t="str">
        <f t="shared" si="0"/>
        <v>202602011340</v>
      </c>
    </row>
    <row r="21" spans="1:11">
      <c r="A21" s="382">
        <f>'14U GIRLS PLATINUM-10 TEAMS'!A32</f>
        <v>46054</v>
      </c>
      <c r="B21" s="383">
        <f>'14U GIRLS PLATINUM-10 TEAMS'!B32</f>
        <v>0.60416666666666696</v>
      </c>
      <c r="C21" s="383" t="str">
        <f>'14U GIRLS PLATINUM-10 TEAMS'!C32&amp;""</f>
        <v>ALISO NIGUEL HS</v>
      </c>
      <c r="D21" s="384" t="str">
        <f>'14U GIRLS PLATINUM-10 TEAMS'!D32&amp;""</f>
        <v>14Gpt21</v>
      </c>
      <c r="E21" s="384" t="str">
        <f>'14U GIRLS PLATINUM-10 TEAMS'!E32&amp;""</f>
        <v>W#15-CDM PINK</v>
      </c>
      <c r="F21" s="384" t="str">
        <f>'14U GIRLS PLATINUM-10 TEAMS'!F32&amp;""</f>
        <v>5</v>
      </c>
      <c r="G21" s="384" t="str">
        <f>'14U GIRLS PLATINUM-10 TEAMS'!G32&amp;""</f>
        <v>W#16-SANTA CRUZ BLACK</v>
      </c>
      <c r="H21" s="384" t="str">
        <f>'14U GIRLS PLATINUM-10 TEAMS'!H32&amp;""</f>
        <v>6</v>
      </c>
      <c r="I21" s="384" t="str">
        <f>'14U GIRLS PLATINUM-10 TEAMS'!I32&amp;""</f>
        <v>1st</v>
      </c>
      <c r="J21" s="384" t="str">
        <f>'14U GIRLS PLATINUM-10 TEAMS'!J32&amp;""</f>
        <v>14U_GIRLS_PLATINUM</v>
      </c>
      <c r="K21" s="384" t="str">
        <f t="shared" si="0"/>
        <v>202602011430</v>
      </c>
    </row>
    <row r="22" spans="1:11">
      <c r="A22" s="382">
        <f>'14U GIRLS PLATINUM-10 TEAMS'!A33</f>
        <v>46054</v>
      </c>
      <c r="B22" s="383">
        <f>'14U GIRLS PLATINUM-10 TEAMS'!B33</f>
        <v>0.63888888888888895</v>
      </c>
      <c r="C22" s="383" t="str">
        <f>'14U GIRLS PLATINUM-10 TEAMS'!C33&amp;""</f>
        <v>ALISO NIGUEL HS</v>
      </c>
      <c r="D22" s="384" t="str">
        <f>'14U GIRLS PLATINUM-10 TEAMS'!D33&amp;""</f>
        <v>14Gpt17</v>
      </c>
      <c r="E22" s="384" t="str">
        <f>'14U GIRLS PLATINUM-10 TEAMS'!E33&amp;""</f>
        <v>W#13-STANFORD</v>
      </c>
      <c r="F22" s="384" t="str">
        <f>'14U GIRLS PLATINUM-10 TEAMS'!F33&amp;""</f>
        <v>2</v>
      </c>
      <c r="G22" s="384" t="str">
        <f>'14U GIRLS PLATINUM-10 TEAMS'!G33&amp;""</f>
        <v>W#14-DAVIS</v>
      </c>
      <c r="H22" s="384" t="str">
        <f>'14U GIRLS PLATINUM-10 TEAMS'!H33&amp;""</f>
        <v>7</v>
      </c>
      <c r="I22" s="384" t="str">
        <f>'14U GIRLS PLATINUM-10 TEAMS'!I33&amp;""</f>
        <v>5th</v>
      </c>
      <c r="J22" s="384" t="str">
        <f>'14U GIRLS PLATINUM-10 TEAMS'!J33&amp;""</f>
        <v>14U_GIRLS_PLATINUM</v>
      </c>
      <c r="K22" s="384" t="str">
        <f t="shared" si="0"/>
        <v>202602011520</v>
      </c>
    </row>
    <row r="23" spans="1:11">
      <c r="A23" s="382">
        <f>'14U GIRLS PLATINUM-10 TEAMS'!A34</f>
        <v>46054</v>
      </c>
      <c r="B23" s="383">
        <f>'14U GIRLS PLATINUM-10 TEAMS'!B34</f>
        <v>0.67361111111111105</v>
      </c>
      <c r="C23" s="383" t="str">
        <f>'14U GIRLS PLATINUM-10 TEAMS'!C34&amp;""</f>
        <v>ALISO NIGUEL HS</v>
      </c>
      <c r="D23" s="384" t="str">
        <f>'14U GIRLS PLATINUM-10 TEAMS'!D34&amp;""</f>
        <v>14Gpt19</v>
      </c>
      <c r="E23" s="384" t="str">
        <f>'14U GIRLS PLATINUM-10 TEAMS'!E34&amp;""</f>
        <v>L#14-CC UNITED BLACK</v>
      </c>
      <c r="F23" s="384" t="str">
        <f>'14U GIRLS PLATINUM-10 TEAMS'!F34&amp;""</f>
        <v>8</v>
      </c>
      <c r="G23" s="384" t="str">
        <f>'14U GIRLS PLATINUM-10 TEAMS'!G34&amp;""</f>
        <v>4thC-FOOTHILL RED</v>
      </c>
      <c r="H23" s="384" t="str">
        <f>'14U GIRLS PLATINUM-10 TEAMS'!H34&amp;""</f>
        <v>6</v>
      </c>
      <c r="I23" s="384" t="str">
        <f>'14U GIRLS PLATINUM-10 TEAMS'!I34&amp;""</f>
        <v>7th-10th</v>
      </c>
      <c r="J23" s="384" t="str">
        <f>'14U GIRLS PLATINUM-10 TEAMS'!J34&amp;""</f>
        <v>14U_GIRLS_PLATINUM</v>
      </c>
      <c r="K23" s="384" t="str">
        <f t="shared" si="0"/>
        <v>202602011610</v>
      </c>
    </row>
    <row r="24" spans="1:11">
      <c r="A24" s="370">
        <f>'12U BOYS PLATINUM-10 TEAMS'!A10</f>
        <v>46053</v>
      </c>
      <c r="B24" s="371">
        <f>'12U BOYS PLATINUM-10 TEAMS'!B10</f>
        <v>0.29166666666666669</v>
      </c>
      <c r="C24" s="372" t="str">
        <f>'12U BOYS PLATINUM-10 TEAMS'!C10&amp;""</f>
        <v>BECKMAN HS 1</v>
      </c>
      <c r="D24" s="373" t="str">
        <f>'12U BOYS PLATINUM-10 TEAMS'!D10&amp;""</f>
        <v>12Bpt01</v>
      </c>
      <c r="E24" s="373" t="str">
        <f>'12U BOYS PLATINUM-10 TEAMS'!E10&amp;""</f>
        <v>A1-MISSION WPC A</v>
      </c>
      <c r="F24" s="373" t="str">
        <f>'12U BOYS PLATINUM-10 TEAMS'!F10&amp;""</f>
        <v>14</v>
      </c>
      <c r="G24" s="373" t="str">
        <f>'12U BOYS PLATINUM-10 TEAMS'!G10&amp;""</f>
        <v>A3-680 RED</v>
      </c>
      <c r="H24" s="373" t="str">
        <f>'12U BOYS PLATINUM-10 TEAMS'!H10&amp;""</f>
        <v>0</v>
      </c>
      <c r="I24" s="373" t="str">
        <f>'12U BOYS PLATINUM-10 TEAMS'!I10&amp;""</f>
        <v>A bracket A1,A3</v>
      </c>
      <c r="J24" s="373" t="str">
        <f>'12U BOYS PLATINUM-10 TEAMS'!J10&amp;""</f>
        <v>12U_BOYS_PLATINUM</v>
      </c>
      <c r="K24" s="373" t="str">
        <f t="shared" si="0"/>
        <v>202601310700</v>
      </c>
    </row>
    <row r="25" spans="1:11">
      <c r="A25" s="370">
        <f>'12U BOYS PLATINUM-10 TEAMS'!A11</f>
        <v>46053</v>
      </c>
      <c r="B25" s="371">
        <f>'12U BOYS PLATINUM-10 TEAMS'!B11</f>
        <v>0.3263888888888889</v>
      </c>
      <c r="C25" s="372" t="str">
        <f>'12U BOYS PLATINUM-10 TEAMS'!C11&amp;""</f>
        <v>BECKMAN HS 1</v>
      </c>
      <c r="D25" s="373" t="str">
        <f>'12U BOYS PLATINUM-10 TEAMS'!D11&amp;""</f>
        <v>12Bpt02</v>
      </c>
      <c r="E25" s="373" t="str">
        <f>'12U BOYS PLATINUM-10 TEAMS'!E11&amp;""</f>
        <v>B1-CC UNITED BLACK</v>
      </c>
      <c r="F25" s="373" t="str">
        <f>'12U BOYS PLATINUM-10 TEAMS'!F11&amp;""</f>
        <v>7</v>
      </c>
      <c r="G25" s="373" t="str">
        <f>'12U BOYS PLATINUM-10 TEAMS'!G11&amp;""</f>
        <v>B2-NORTH IRVINE BLACK</v>
      </c>
      <c r="H25" s="373" t="str">
        <f>'12U BOYS PLATINUM-10 TEAMS'!H11&amp;""</f>
        <v>6</v>
      </c>
      <c r="I25" s="373" t="str">
        <f>'12U BOYS PLATINUM-10 TEAMS'!I11&amp;""</f>
        <v>B bracket B1,B2</v>
      </c>
      <c r="J25" s="373" t="str">
        <f>'12U BOYS PLATINUM-10 TEAMS'!J11&amp;""</f>
        <v>12U_BOYS_PLATINUM</v>
      </c>
      <c r="K25" s="373" t="str">
        <f t="shared" si="0"/>
        <v>202601310750</v>
      </c>
    </row>
    <row r="26" spans="1:11">
      <c r="A26" s="370">
        <f>'12U BOYS PLATINUM-10 TEAMS'!A12</f>
        <v>46053</v>
      </c>
      <c r="B26" s="371">
        <f>'12U BOYS PLATINUM-10 TEAMS'!B12</f>
        <v>0.36111111111111099</v>
      </c>
      <c r="C26" s="372" t="str">
        <f>'12U BOYS PLATINUM-10 TEAMS'!C12&amp;""</f>
        <v>BECKMAN HS 1</v>
      </c>
      <c r="D26" s="373" t="str">
        <f>'12U BOYS PLATINUM-10 TEAMS'!D12&amp;""</f>
        <v>12Bpt03</v>
      </c>
      <c r="E26" s="373" t="str">
        <f>'12U BOYS PLATINUM-10 TEAMS'!E12&amp;""</f>
        <v>C1-STANFORD RED</v>
      </c>
      <c r="F26" s="373" t="str">
        <f>'12U BOYS PLATINUM-10 TEAMS'!F12&amp;""</f>
        <v>16</v>
      </c>
      <c r="G26" s="373" t="str">
        <f>'12U BOYS PLATINUM-10 TEAMS'!G12&amp;""</f>
        <v>C4-DAVIS</v>
      </c>
      <c r="H26" s="373" t="str">
        <f>'12U BOYS PLATINUM-10 TEAMS'!H12&amp;""</f>
        <v>3</v>
      </c>
      <c r="I26" s="373" t="str">
        <f>'12U BOYS PLATINUM-10 TEAMS'!I12&amp;""</f>
        <v>C bracket C1,C4</v>
      </c>
      <c r="J26" s="373" t="str">
        <f>'12U BOYS PLATINUM-10 TEAMS'!J12&amp;""</f>
        <v>12U_BOYS_PLATINUM</v>
      </c>
      <c r="K26" s="373" t="str">
        <f t="shared" si="0"/>
        <v>202601310840</v>
      </c>
    </row>
    <row r="27" spans="1:11">
      <c r="A27" s="370">
        <f>'12U BOYS PLATINUM-10 TEAMS'!A13</f>
        <v>46053</v>
      </c>
      <c r="B27" s="371">
        <f>'12U BOYS PLATINUM-10 TEAMS'!B13</f>
        <v>0.39583333333333398</v>
      </c>
      <c r="C27" s="372" t="str">
        <f>'12U BOYS PLATINUM-10 TEAMS'!C13&amp;""</f>
        <v>BECKMAN HS 1</v>
      </c>
      <c r="D27" s="373" t="str">
        <f>'12U BOYS PLATINUM-10 TEAMS'!D13&amp;""</f>
        <v>12Bpt04</v>
      </c>
      <c r="E27" s="373" t="str">
        <f>'12U BOYS PLATINUM-10 TEAMS'!E13&amp;""</f>
        <v>C2-ORWP A</v>
      </c>
      <c r="F27" s="373" t="str">
        <f>'12U BOYS PLATINUM-10 TEAMS'!F13&amp;""</f>
        <v>8</v>
      </c>
      <c r="G27" s="373" t="str">
        <f>'12U BOYS PLATINUM-10 TEAMS'!G13&amp;""</f>
        <v>C3-SHAQ</v>
      </c>
      <c r="H27" s="373" t="str">
        <f>'12U BOYS PLATINUM-10 TEAMS'!H13&amp;""</f>
        <v>4</v>
      </c>
      <c r="I27" s="373" t="str">
        <f>'12U BOYS PLATINUM-10 TEAMS'!I13&amp;""</f>
        <v>C bracket C2,C3</v>
      </c>
      <c r="J27" s="373" t="str">
        <f>'12U BOYS PLATINUM-10 TEAMS'!J13&amp;""</f>
        <v>12U_BOYS_PLATINUM</v>
      </c>
      <c r="K27" s="373" t="str">
        <f t="shared" si="0"/>
        <v>202601310930</v>
      </c>
    </row>
    <row r="28" spans="1:11">
      <c r="A28" s="375">
        <f>'12U COED-7 TEAMS'!A12</f>
        <v>46053</v>
      </c>
      <c r="B28" s="376">
        <f>'12U COED-7 TEAMS'!B12</f>
        <v>0.43055555555555602</v>
      </c>
      <c r="C28" s="377" t="str">
        <f>'12U COED-7 TEAMS'!C12&amp;""</f>
        <v>BECKMAN HS 1</v>
      </c>
      <c r="D28" s="377" t="str">
        <f>'12U COED-7 TEAMS'!D12&amp;""</f>
        <v>12C02</v>
      </c>
      <c r="E28" s="377" t="str">
        <f>'12U COED-7 TEAMS'!E12&amp;""</f>
        <v>B1-POWAY VALLEY</v>
      </c>
      <c r="F28" s="377" t="str">
        <f>'12U COED-7 TEAMS'!F12&amp;""</f>
        <v>2</v>
      </c>
      <c r="G28" s="377" t="str">
        <f>'12U COED-7 TEAMS'!G12&amp;""</f>
        <v>B4-LA CITY UNITED</v>
      </c>
      <c r="H28" s="377" t="str">
        <f>'12U COED-7 TEAMS'!H12&amp;""</f>
        <v>8</v>
      </c>
      <c r="I28" s="377" t="str">
        <f>'12U COED-7 TEAMS'!I12&amp;""</f>
        <v>B bracket B1,B4</v>
      </c>
      <c r="J28" s="377" t="str">
        <f>'12U COED-7 TEAMS'!J12&amp;""</f>
        <v>12U_COED</v>
      </c>
      <c r="K28" s="377" t="str">
        <f t="shared" si="0"/>
        <v>202601311020</v>
      </c>
    </row>
    <row r="29" spans="1:11">
      <c r="A29" s="375">
        <f>'12U COED-7 TEAMS'!A14</f>
        <v>46053</v>
      </c>
      <c r="B29" s="376">
        <f>'12U COED-7 TEAMS'!B14</f>
        <v>0.46527777777777801</v>
      </c>
      <c r="C29" s="377" t="str">
        <f>'12U COED-7 TEAMS'!C14&amp;""</f>
        <v>BECKMAN HS 1</v>
      </c>
      <c r="D29" s="377" t="str">
        <f>'12U COED-7 TEAMS'!D14&amp;""</f>
        <v>12C03</v>
      </c>
      <c r="E29" s="377" t="str">
        <f>'12U COED-7 TEAMS'!E14&amp;""</f>
        <v>B2-LOYOLA WPC</v>
      </c>
      <c r="F29" s="377" t="str">
        <f>'12U COED-7 TEAMS'!F14&amp;""</f>
        <v>0</v>
      </c>
      <c r="G29" s="377" t="str">
        <f>'12U COED-7 TEAMS'!G14&amp;""</f>
        <v>B3-YOLO BLACK</v>
      </c>
      <c r="H29" s="377" t="str">
        <f>'12U COED-7 TEAMS'!H14&amp;""</f>
        <v>21</v>
      </c>
      <c r="I29" s="377" t="str">
        <f>'12U COED-7 TEAMS'!I14&amp;""</f>
        <v>B bracket B2,B3</v>
      </c>
      <c r="J29" s="377" t="str">
        <f>'12U COED-7 TEAMS'!J14&amp;""</f>
        <v>12U_COED</v>
      </c>
      <c r="K29" s="377" t="str">
        <f t="shared" si="0"/>
        <v>202601311110</v>
      </c>
    </row>
    <row r="30" spans="1:11">
      <c r="A30" s="370">
        <f>'12U BOYS PLATINUM-10 TEAMS'!A15</f>
        <v>46053</v>
      </c>
      <c r="B30" s="371">
        <f>'12U BOYS PLATINUM-10 TEAMS'!B15</f>
        <v>0.5</v>
      </c>
      <c r="C30" s="372" t="str">
        <f>'12U BOYS PLATINUM-10 TEAMS'!C15&amp;""</f>
        <v>BECKMAN HS 1</v>
      </c>
      <c r="D30" s="373" t="str">
        <f>'12U BOYS PLATINUM-10 TEAMS'!D15&amp;""</f>
        <v>12Bpt05</v>
      </c>
      <c r="E30" s="373" t="str">
        <f>'12U BOYS PLATINUM-10 TEAMS'!E15&amp;""</f>
        <v>A2-LAMORINDA A</v>
      </c>
      <c r="F30" s="373" t="str">
        <f>'12U BOYS PLATINUM-10 TEAMS'!F15&amp;""</f>
        <v>7.2</v>
      </c>
      <c r="G30" s="373" t="str">
        <f>'12U BOYS PLATINUM-10 TEAMS'!G15&amp;""</f>
        <v>A3-680 RED</v>
      </c>
      <c r="H30" s="373" t="str">
        <f>'12U BOYS PLATINUM-10 TEAMS'!H15&amp;""</f>
        <v>7.4</v>
      </c>
      <c r="I30" s="373" t="str">
        <f>'12U BOYS PLATINUM-10 TEAMS'!I15&amp;""</f>
        <v>A bracket A2,A3</v>
      </c>
      <c r="J30" s="373" t="str">
        <f>'12U BOYS PLATINUM-10 TEAMS'!J15&amp;""</f>
        <v>12U_BOYS_PLATINUM</v>
      </c>
      <c r="K30" s="373" t="str">
        <f t="shared" si="0"/>
        <v>202601311200</v>
      </c>
    </row>
    <row r="31" spans="1:11">
      <c r="A31" s="370">
        <f>'12U BOYS PLATINUM-10 TEAMS'!A16</f>
        <v>46053</v>
      </c>
      <c r="B31" s="371">
        <f>'12U BOYS PLATINUM-10 TEAMS'!B16</f>
        <v>0.53472222222222199</v>
      </c>
      <c r="C31" s="372" t="str">
        <f>'12U BOYS PLATINUM-10 TEAMS'!C16&amp;""</f>
        <v>BECKMAN HS 1</v>
      </c>
      <c r="D31" s="373" t="str">
        <f>'12U BOYS PLATINUM-10 TEAMS'!D16&amp;""</f>
        <v>12Bpt06</v>
      </c>
      <c r="E31" s="373" t="str">
        <f>'12U BOYS PLATINUM-10 TEAMS'!E16&amp;""</f>
        <v>B2-NORTH IRVINE BLACK</v>
      </c>
      <c r="F31" s="373" t="str">
        <f>'12U BOYS PLATINUM-10 TEAMS'!F16&amp;""</f>
        <v>15</v>
      </c>
      <c r="G31" s="374" t="str">
        <f>'12U BOYS PLATINUM-10 TEAMS'!G16&amp;""</f>
        <v>B3-LA JOLLA UNITED NAVY</v>
      </c>
      <c r="H31" s="373" t="str">
        <f>'12U BOYS PLATINUM-10 TEAMS'!H16&amp;""</f>
        <v>4</v>
      </c>
      <c r="I31" s="373" t="str">
        <f>'12U BOYS PLATINUM-10 TEAMS'!I16&amp;""</f>
        <v>B bracket B2,B3</v>
      </c>
      <c r="J31" s="373" t="str">
        <f>'12U BOYS PLATINUM-10 TEAMS'!J16&amp;""</f>
        <v>12U_BOYS_PLATINUM</v>
      </c>
      <c r="K31" s="373" t="str">
        <f t="shared" si="0"/>
        <v>202601311250</v>
      </c>
    </row>
    <row r="32" spans="1:11">
      <c r="A32" s="375">
        <f>'12U COED-7 TEAMS'!A16</f>
        <v>46053</v>
      </c>
      <c r="B32" s="376">
        <f>'12U COED-7 TEAMS'!B16</f>
        <v>0.56944444444444497</v>
      </c>
      <c r="C32" s="377" t="str">
        <f>'12U COED-7 TEAMS'!C16&amp;""</f>
        <v>BECKMAN HS 1</v>
      </c>
      <c r="D32" s="377" t="str">
        <f>'12U COED-7 TEAMS'!D16&amp;""</f>
        <v>12C05</v>
      </c>
      <c r="E32" s="377" t="str">
        <f>'12U COED-7 TEAMS'!E16&amp;""</f>
        <v>B1-POWAY VALLEY</v>
      </c>
      <c r="F32" s="377" t="str">
        <f>'12U COED-7 TEAMS'!F16&amp;""</f>
        <v>0</v>
      </c>
      <c r="G32" s="377" t="str">
        <f>'12U COED-7 TEAMS'!G16&amp;""</f>
        <v>B3-YOLO BLACK</v>
      </c>
      <c r="H32" s="377" t="str">
        <f>'12U COED-7 TEAMS'!H16&amp;""</f>
        <v>13</v>
      </c>
      <c r="I32" s="377" t="str">
        <f>'12U COED-7 TEAMS'!I16&amp;""</f>
        <v>B bracket B1,B3</v>
      </c>
      <c r="J32" s="377" t="str">
        <f>'12U COED-7 TEAMS'!J16&amp;""</f>
        <v>12U_COED</v>
      </c>
      <c r="K32" s="377" t="str">
        <f t="shared" si="0"/>
        <v>202601311340</v>
      </c>
    </row>
    <row r="33" spans="1:11">
      <c r="A33" s="375">
        <f>'12U COED-7 TEAMS'!A17</f>
        <v>46053</v>
      </c>
      <c r="B33" s="376">
        <f>'12U COED-7 TEAMS'!B17</f>
        <v>0.60416666666666696</v>
      </c>
      <c r="C33" s="377" t="str">
        <f>'12U COED-7 TEAMS'!C17&amp;""</f>
        <v>BECKMAN HS 1</v>
      </c>
      <c r="D33" s="377" t="str">
        <f>'12U COED-7 TEAMS'!D17&amp;""</f>
        <v>12C06</v>
      </c>
      <c r="E33" s="377" t="str">
        <f>'12U COED-7 TEAMS'!E17&amp;""</f>
        <v>B2-LOYOLA WPC</v>
      </c>
      <c r="F33" s="377" t="str">
        <f>'12U COED-7 TEAMS'!F17&amp;""</f>
        <v>2</v>
      </c>
      <c r="G33" s="377" t="str">
        <f>'12U COED-7 TEAMS'!G17&amp;""</f>
        <v>B4-LA CITY UNITED</v>
      </c>
      <c r="H33" s="377" t="str">
        <f>'12U COED-7 TEAMS'!H17&amp;""</f>
        <v>8</v>
      </c>
      <c r="I33" s="377" t="str">
        <f>'12U COED-7 TEAMS'!I17&amp;""</f>
        <v>B bracket B2,B4</v>
      </c>
      <c r="J33" s="377" t="str">
        <f>'12U COED-7 TEAMS'!J17&amp;""</f>
        <v>12U_COED</v>
      </c>
      <c r="K33" s="377" t="str">
        <f t="shared" si="0"/>
        <v>202601311430</v>
      </c>
    </row>
    <row r="34" spans="1:11">
      <c r="A34" s="375">
        <f>'12U COED-7 TEAMS'!A18</f>
        <v>46053</v>
      </c>
      <c r="B34" s="376">
        <f>'12U COED-7 TEAMS'!B18</f>
        <v>0.63888888888888895</v>
      </c>
      <c r="C34" s="377" t="str">
        <f>'12U COED-7 TEAMS'!C18&amp;""</f>
        <v>BECKMAN HS 1</v>
      </c>
      <c r="D34" s="377" t="str">
        <f>'12U COED-7 TEAMS'!D18&amp;""</f>
        <v>12C07</v>
      </c>
      <c r="E34" s="377" t="str">
        <f>'12U COED-7 TEAMS'!E18&amp;""</f>
        <v>A2-SET</v>
      </c>
      <c r="F34" s="377" t="str">
        <f>'12U COED-7 TEAMS'!F18&amp;""</f>
        <v>13</v>
      </c>
      <c r="G34" s="377" t="str">
        <f>'12U COED-7 TEAMS'!G18&amp;""</f>
        <v>A3-PALOS VERDES</v>
      </c>
      <c r="H34" s="377" t="str">
        <f>'12U COED-7 TEAMS'!H18&amp;""</f>
        <v>2</v>
      </c>
      <c r="I34" s="377" t="str">
        <f>'12U COED-7 TEAMS'!I18&amp;""</f>
        <v>A bracket A2,A3</v>
      </c>
      <c r="J34" s="377" t="str">
        <f>'12U COED-7 TEAMS'!J18&amp;""</f>
        <v>12U_COED</v>
      </c>
      <c r="K34" s="377" t="str">
        <f t="shared" ref="K34:K65" si="1">TEXT(DATE(2026, MONTH(A34), DAY(A34)) + TIME(HOUR(B34), MINUTE(B34), 0), "yyyymmddhhmm")</f>
        <v>202601311520</v>
      </c>
    </row>
    <row r="35" spans="1:11">
      <c r="A35" s="370">
        <f>'12U BOYS PLATINUM-10 TEAMS'!A18</f>
        <v>46053</v>
      </c>
      <c r="B35" s="371">
        <f>'12U BOYS PLATINUM-10 TEAMS'!B18</f>
        <v>0.67361111111111105</v>
      </c>
      <c r="C35" s="372" t="str">
        <f>'12U BOYS PLATINUM-10 TEAMS'!C18&amp;""</f>
        <v>BECKMAN HS 1</v>
      </c>
      <c r="D35" s="373" t="str">
        <f>'12U BOYS PLATINUM-10 TEAMS'!D18&amp;""</f>
        <v>12Bpt07</v>
      </c>
      <c r="E35" s="373" t="str">
        <f>'12U BOYS PLATINUM-10 TEAMS'!E18&amp;""</f>
        <v>C1-STANFORD RED</v>
      </c>
      <c r="F35" s="373" t="str">
        <f>'12U BOYS PLATINUM-10 TEAMS'!F18&amp;""</f>
        <v>10</v>
      </c>
      <c r="G35" s="373" t="str">
        <f>'12U BOYS PLATINUM-10 TEAMS'!G18&amp;""</f>
        <v>C2-ORWP A</v>
      </c>
      <c r="H35" s="373" t="str">
        <f>'12U BOYS PLATINUM-10 TEAMS'!H18&amp;""</f>
        <v>8</v>
      </c>
      <c r="I35" s="373" t="str">
        <f>'12U BOYS PLATINUM-10 TEAMS'!I18&amp;""</f>
        <v>C bracket C1,C2</v>
      </c>
      <c r="J35" s="373" t="str">
        <f>'12U BOYS PLATINUM-10 TEAMS'!J18&amp;""</f>
        <v>12U_BOYS_PLATINUM</v>
      </c>
      <c r="K35" s="373" t="str">
        <f t="shared" si="1"/>
        <v>202601311610</v>
      </c>
    </row>
    <row r="36" spans="1:11">
      <c r="A36" s="370">
        <f>'12U BOYS PLATINUM-10 TEAMS'!A19</f>
        <v>46053</v>
      </c>
      <c r="B36" s="371">
        <f>'12U BOYS PLATINUM-10 TEAMS'!B19</f>
        <v>0.70833333333333404</v>
      </c>
      <c r="C36" s="372" t="str">
        <f>'12U BOYS PLATINUM-10 TEAMS'!C19&amp;""</f>
        <v>BECKMAN HS 1</v>
      </c>
      <c r="D36" s="373" t="str">
        <f>'12U BOYS PLATINUM-10 TEAMS'!D19&amp;""</f>
        <v>12Bpt08</v>
      </c>
      <c r="E36" s="373" t="str">
        <f>'12U BOYS PLATINUM-10 TEAMS'!E19&amp;""</f>
        <v>C3-SHAQ</v>
      </c>
      <c r="F36" s="373" t="str">
        <f>'12U BOYS PLATINUM-10 TEAMS'!F19&amp;""</f>
        <v>9</v>
      </c>
      <c r="G36" s="373" t="str">
        <f>'12U BOYS PLATINUM-10 TEAMS'!G19&amp;""</f>
        <v>C4-DAVIS</v>
      </c>
      <c r="H36" s="373" t="str">
        <f>'12U BOYS PLATINUM-10 TEAMS'!H19&amp;""</f>
        <v>5</v>
      </c>
      <c r="I36" s="373" t="str">
        <f>'12U BOYS PLATINUM-10 TEAMS'!I19&amp;""</f>
        <v>C bracket C3,C4</v>
      </c>
      <c r="J36" s="373" t="str">
        <f>'12U BOYS PLATINUM-10 TEAMS'!J19&amp;""</f>
        <v>12U_BOYS_PLATINUM</v>
      </c>
      <c r="K36" s="373" t="str">
        <f t="shared" si="1"/>
        <v>202601311700</v>
      </c>
    </row>
    <row r="37" spans="1:11">
      <c r="A37" s="370">
        <f>'12U BOYS PLATINUM-10 TEAMS'!A20</f>
        <v>46053</v>
      </c>
      <c r="B37" s="371">
        <f>'12U BOYS PLATINUM-10 TEAMS'!B20</f>
        <v>0.74305555555555602</v>
      </c>
      <c r="C37" s="372" t="str">
        <f>'12U BOYS PLATINUM-10 TEAMS'!C20&amp;""</f>
        <v>BECKMAN HS 1</v>
      </c>
      <c r="D37" s="373" t="str">
        <f>'12U BOYS PLATINUM-10 TEAMS'!D20&amp;""</f>
        <v>12Bpt09</v>
      </c>
      <c r="E37" s="373" t="str">
        <f>'12U BOYS PLATINUM-10 TEAMS'!E20&amp;""</f>
        <v>A1-MISSION WPC A</v>
      </c>
      <c r="F37" s="373" t="str">
        <f>'12U BOYS PLATINUM-10 TEAMS'!F20&amp;""</f>
        <v>18</v>
      </c>
      <c r="G37" s="373" t="str">
        <f>'12U BOYS PLATINUM-10 TEAMS'!G20&amp;""</f>
        <v>A2-LAMORINDA A</v>
      </c>
      <c r="H37" s="373" t="str">
        <f>'12U BOYS PLATINUM-10 TEAMS'!H20&amp;""</f>
        <v>6</v>
      </c>
      <c r="I37" s="373" t="str">
        <f>'12U BOYS PLATINUM-10 TEAMS'!I20&amp;""</f>
        <v>A bracket A1,A2</v>
      </c>
      <c r="J37" s="373" t="str">
        <f>'12U BOYS PLATINUM-10 TEAMS'!J20&amp;""</f>
        <v>12U_BOYS_PLATINUM</v>
      </c>
      <c r="K37" s="373" t="str">
        <f t="shared" si="1"/>
        <v>202601311750</v>
      </c>
    </row>
    <row r="38" spans="1:11">
      <c r="A38" s="370">
        <f>'12U BOYS PLATINUM-10 TEAMS'!A21</f>
        <v>46053</v>
      </c>
      <c r="B38" s="371">
        <f>'12U BOYS PLATINUM-10 TEAMS'!B21</f>
        <v>0.77777777777777801</v>
      </c>
      <c r="C38" s="372" t="str">
        <f>'12U BOYS PLATINUM-10 TEAMS'!C21&amp;""</f>
        <v>BECKMAN HS 1</v>
      </c>
      <c r="D38" s="373" t="str">
        <f>'12U BOYS PLATINUM-10 TEAMS'!D21&amp;""</f>
        <v>12Bpt10</v>
      </c>
      <c r="E38" s="373" t="str">
        <f>'12U BOYS PLATINUM-10 TEAMS'!E21&amp;""</f>
        <v>B1-CC UNITED BLACK</v>
      </c>
      <c r="F38" s="373" t="str">
        <f>'12U BOYS PLATINUM-10 TEAMS'!F21&amp;""</f>
        <v>14</v>
      </c>
      <c r="G38" s="374" t="str">
        <f>'12U BOYS PLATINUM-10 TEAMS'!G21&amp;""</f>
        <v>B3-LA JOLLA UNITED NAVY</v>
      </c>
      <c r="H38" s="373" t="str">
        <f>'12U BOYS PLATINUM-10 TEAMS'!H21&amp;""</f>
        <v>7</v>
      </c>
      <c r="I38" s="373" t="str">
        <f>'12U BOYS PLATINUM-10 TEAMS'!I21&amp;""</f>
        <v>B bracket B1,B3</v>
      </c>
      <c r="J38" s="373" t="str">
        <f>'12U BOYS PLATINUM-10 TEAMS'!J21&amp;""</f>
        <v>12U_BOYS_PLATINUM</v>
      </c>
      <c r="K38" s="373" t="str">
        <f t="shared" si="1"/>
        <v>202601311840</v>
      </c>
    </row>
    <row r="39" spans="1:11">
      <c r="A39" s="370">
        <f>'12U BOYS PLATINUM-10 TEAMS'!A25</f>
        <v>46054</v>
      </c>
      <c r="B39" s="371">
        <f>'12U BOYS PLATINUM-10 TEAMS'!B25</f>
        <v>0.29166666666666669</v>
      </c>
      <c r="C39" s="371" t="str">
        <f>'12U BOYS PLATINUM-10 TEAMS'!C25&amp;""</f>
        <v>BECKMAN HS 1</v>
      </c>
      <c r="D39" s="373" t="str">
        <f>'12U BOYS PLATINUM-10 TEAMS'!D25&amp;""</f>
        <v>12Bpt11</v>
      </c>
      <c r="E39" s="373" t="str">
        <f>'12U BOYS PLATINUM-10 TEAMS'!E25&amp;""</f>
        <v>C2-ORWP A</v>
      </c>
      <c r="F39" s="373" t="str">
        <f>'12U BOYS PLATINUM-10 TEAMS'!F25&amp;""</f>
        <v>6</v>
      </c>
      <c r="G39" s="373" t="str">
        <f>'12U BOYS PLATINUM-10 TEAMS'!G25&amp;""</f>
        <v>C4-DAVIS</v>
      </c>
      <c r="H39" s="373" t="str">
        <f>'12U BOYS PLATINUM-10 TEAMS'!H25&amp;""</f>
        <v>5</v>
      </c>
      <c r="I39" s="373" t="str">
        <f>'12U BOYS PLATINUM-10 TEAMS'!I25&amp;""</f>
        <v>C bracket C2,C4</v>
      </c>
      <c r="J39" s="373" t="str">
        <f>'12U BOYS PLATINUM-10 TEAMS'!J25&amp;""</f>
        <v>12U_BOYS_PLATINUM</v>
      </c>
      <c r="K39" s="373" t="str">
        <f t="shared" si="1"/>
        <v>202602010700</v>
      </c>
    </row>
    <row r="40" spans="1:11">
      <c r="A40" s="370">
        <f>'12U BOYS PLATINUM-10 TEAMS'!A26</f>
        <v>46054</v>
      </c>
      <c r="B40" s="371">
        <f>'12U BOYS PLATINUM-10 TEAMS'!B26</f>
        <v>0.3263888888888889</v>
      </c>
      <c r="C40" s="371" t="str">
        <f>'12U BOYS PLATINUM-10 TEAMS'!C26&amp;""</f>
        <v>BECKMAN HS 1</v>
      </c>
      <c r="D40" s="373" t="str">
        <f>'12U BOYS PLATINUM-10 TEAMS'!D26&amp;""</f>
        <v>12Bpt12</v>
      </c>
      <c r="E40" s="373" t="str">
        <f>'12U BOYS PLATINUM-10 TEAMS'!E26&amp;""</f>
        <v>C1-STANFORD RED</v>
      </c>
      <c r="F40" s="373" t="str">
        <f>'12U BOYS PLATINUM-10 TEAMS'!F26&amp;""</f>
        <v>12</v>
      </c>
      <c r="G40" s="373" t="str">
        <f>'12U BOYS PLATINUM-10 TEAMS'!G26&amp;""</f>
        <v>C3-SHAQ</v>
      </c>
      <c r="H40" s="373" t="str">
        <f>'12U BOYS PLATINUM-10 TEAMS'!H26&amp;""</f>
        <v>8</v>
      </c>
      <c r="I40" s="373" t="str">
        <f>'12U BOYS PLATINUM-10 TEAMS'!I26&amp;""</f>
        <v>C bracket C1,C3</v>
      </c>
      <c r="J40" s="373" t="str">
        <f>'12U BOYS PLATINUM-10 TEAMS'!J26&amp;""</f>
        <v>12U_BOYS_PLATINUM</v>
      </c>
      <c r="K40" s="373" t="str">
        <f t="shared" si="1"/>
        <v>202602010750</v>
      </c>
    </row>
    <row r="41" spans="1:11">
      <c r="A41" s="370">
        <f>'12U BOYS PLATINUM-10 TEAMS'!A27</f>
        <v>46054</v>
      </c>
      <c r="B41" s="371">
        <f>'12U BOYS PLATINUM-10 TEAMS'!B27</f>
        <v>0.36111111111111099</v>
      </c>
      <c r="C41" s="371" t="str">
        <f>'12U BOYS PLATINUM-10 TEAMS'!C27&amp;""</f>
        <v>BECKMAN HS 1</v>
      </c>
      <c r="D41" s="373" t="str">
        <f>'12U BOYS PLATINUM-10 TEAMS'!D27&amp;""</f>
        <v>12Bpt13</v>
      </c>
      <c r="E41" s="373" t="str">
        <f>'12U BOYS PLATINUM-10 TEAMS'!E27&amp;""</f>
        <v>2ndA-680 RED</v>
      </c>
      <c r="F41" s="373" t="str">
        <f>'12U BOYS PLATINUM-10 TEAMS'!F27&amp;""</f>
        <v>6.3</v>
      </c>
      <c r="G41" s="373" t="str">
        <f>'12U BOYS PLATINUM-10 TEAMS'!G27&amp;""</f>
        <v>3rdB-LA JOLLA UNITED NAVY</v>
      </c>
      <c r="H41" s="373" t="str">
        <f>'12U BOYS PLATINUM-10 TEAMS'!H27&amp;""</f>
        <v>6</v>
      </c>
      <c r="I41" s="373" t="str">
        <f>'12U BOYS PLATINUM-10 TEAMS'!I27&amp;""</f>
        <v>5th-10th 2A/3B</v>
      </c>
      <c r="J41" s="373" t="str">
        <f>'12U BOYS PLATINUM-10 TEAMS'!J27&amp;""</f>
        <v>12U_BOYS_PLATINUM</v>
      </c>
      <c r="K41" s="373" t="str">
        <f t="shared" si="1"/>
        <v>202602010840</v>
      </c>
    </row>
    <row r="42" spans="1:11">
      <c r="A42" s="370">
        <f>'12U BOYS PLATINUM-10 TEAMS'!A28</f>
        <v>46054</v>
      </c>
      <c r="B42" s="371">
        <f>'12U BOYS PLATINUM-10 TEAMS'!B28</f>
        <v>0.39583333333333398</v>
      </c>
      <c r="C42" s="371" t="str">
        <f>'12U BOYS PLATINUM-10 TEAMS'!C28&amp;""</f>
        <v>BECKMAN HS 1</v>
      </c>
      <c r="D42" s="373" t="str">
        <f>'12U BOYS PLATINUM-10 TEAMS'!D28&amp;""</f>
        <v>12Bpt14</v>
      </c>
      <c r="E42" s="373" t="str">
        <f>'12U BOYS PLATINUM-10 TEAMS'!E28&amp;""</f>
        <v>3rdA-LAMORINDA A</v>
      </c>
      <c r="F42" s="373" t="str">
        <f>'12U BOYS PLATINUM-10 TEAMS'!F28&amp;""</f>
        <v>5</v>
      </c>
      <c r="G42" s="373" t="str">
        <f>'12U BOYS PLATINUM-10 TEAMS'!G28&amp;""</f>
        <v>2ndB-NORTH IRVINE BLACK</v>
      </c>
      <c r="H42" s="373" t="str">
        <f>'12U BOYS PLATINUM-10 TEAMS'!H28&amp;""</f>
        <v>20</v>
      </c>
      <c r="I42" s="373" t="str">
        <f>'12U BOYS PLATINUM-10 TEAMS'!I28&amp;""</f>
        <v>5th-10th 3A/2B</v>
      </c>
      <c r="J42" s="373" t="str">
        <f>'12U BOYS PLATINUM-10 TEAMS'!J28&amp;""</f>
        <v>12U_BOYS_PLATINUM</v>
      </c>
      <c r="K42" s="373" t="str">
        <f t="shared" si="1"/>
        <v>202602010930</v>
      </c>
    </row>
    <row r="43" spans="1:11">
      <c r="A43" s="370">
        <f>'12U BOYS PLATINUM-10 TEAMS'!A29</f>
        <v>46054</v>
      </c>
      <c r="B43" s="371">
        <f>'12U BOYS PLATINUM-10 TEAMS'!B29</f>
        <v>0.43055555555555602</v>
      </c>
      <c r="C43" s="371" t="str">
        <f>'12U BOYS PLATINUM-10 TEAMS'!C29&amp;""</f>
        <v>BECKMAN HS 1</v>
      </c>
      <c r="D43" s="373" t="str">
        <f>'12U BOYS PLATINUM-10 TEAMS'!D29&amp;""</f>
        <v>12Bpt15</v>
      </c>
      <c r="E43" s="373" t="str">
        <f>'12U BOYS PLATINUM-10 TEAMS'!E29&amp;""</f>
        <v>1stA-MISSION WPC A</v>
      </c>
      <c r="F43" s="373" t="str">
        <f>'12U BOYS PLATINUM-10 TEAMS'!F29&amp;""</f>
        <v>12</v>
      </c>
      <c r="G43" s="373" t="str">
        <f>'12U BOYS PLATINUM-10 TEAMS'!G29&amp;""</f>
        <v>2ndC-ORWP A</v>
      </c>
      <c r="H43" s="373" t="str">
        <f>'12U BOYS PLATINUM-10 TEAMS'!H29&amp;""</f>
        <v>3</v>
      </c>
      <c r="I43" s="373" t="str">
        <f>'12U BOYS PLATINUM-10 TEAMS'!I29&amp;""</f>
        <v>1-4 semi 1A/2C</v>
      </c>
      <c r="J43" s="373" t="str">
        <f>'12U BOYS PLATINUM-10 TEAMS'!J29&amp;""</f>
        <v>12U_BOYS_PLATINUM</v>
      </c>
      <c r="K43" s="373" t="str">
        <f t="shared" si="1"/>
        <v>202602011020</v>
      </c>
    </row>
    <row r="44" spans="1:11">
      <c r="A44" s="370">
        <f>'12U BOYS PLATINUM-10 TEAMS'!A30</f>
        <v>46054</v>
      </c>
      <c r="B44" s="371">
        <f>'12U BOYS PLATINUM-10 TEAMS'!B30</f>
        <v>0.46527777777777801</v>
      </c>
      <c r="C44" s="371" t="str">
        <f>'12U BOYS PLATINUM-10 TEAMS'!C30&amp;""</f>
        <v>BECKMAN HS 1</v>
      </c>
      <c r="D44" s="373" t="str">
        <f>'12U BOYS PLATINUM-10 TEAMS'!D30&amp;""</f>
        <v>12Bpt16</v>
      </c>
      <c r="E44" s="373" t="str">
        <f>'12U BOYS PLATINUM-10 TEAMS'!E30&amp;""</f>
        <v>1stB-CC UNITED BLACK</v>
      </c>
      <c r="F44" s="373" t="str">
        <f>'12U BOYS PLATINUM-10 TEAMS'!F30&amp;""</f>
        <v>9</v>
      </c>
      <c r="G44" s="373" t="str">
        <f>'12U BOYS PLATINUM-10 TEAMS'!G30&amp;""</f>
        <v>1stC-STANFORD RED</v>
      </c>
      <c r="H44" s="373" t="str">
        <f>'12U BOYS PLATINUM-10 TEAMS'!H30&amp;""</f>
        <v>12</v>
      </c>
      <c r="I44" s="373" t="str">
        <f>'12U BOYS PLATINUM-10 TEAMS'!I30&amp;""</f>
        <v>1-4 semi 1B/1C</v>
      </c>
      <c r="J44" s="373" t="str">
        <f>'12U BOYS PLATINUM-10 TEAMS'!J30&amp;""</f>
        <v>12U_BOYS_PLATINUM</v>
      </c>
      <c r="K44" s="373" t="str">
        <f t="shared" si="1"/>
        <v>202602011110</v>
      </c>
    </row>
    <row r="45" spans="1:11">
      <c r="A45" s="370">
        <f>'12U BOYS PLATINUM-10 TEAMS'!A31</f>
        <v>46054</v>
      </c>
      <c r="B45" s="371">
        <f>'12U BOYS PLATINUM-10 TEAMS'!B31</f>
        <v>0.5</v>
      </c>
      <c r="C45" s="371" t="str">
        <f>'12U BOYS PLATINUM-10 TEAMS'!C31&amp;""</f>
        <v>BECKMAN HS 1</v>
      </c>
      <c r="D45" s="373" t="str">
        <f>'12U BOYS PLATINUM-10 TEAMS'!D31&amp;""</f>
        <v>12Bpt18</v>
      </c>
      <c r="E45" s="373" t="str">
        <f>'12U BOYS PLATINUM-10 TEAMS'!E31&amp;""</f>
        <v>L#13-LA JOLLA UNITED NAVY</v>
      </c>
      <c r="F45" s="373" t="str">
        <f>'12U BOYS PLATINUM-10 TEAMS'!F31&amp;""</f>
        <v>7</v>
      </c>
      <c r="G45" s="373" t="str">
        <f>'12U BOYS PLATINUM-10 TEAMS'!G31&amp;""</f>
        <v>3rdC-SHAQ</v>
      </c>
      <c r="H45" s="373" t="str">
        <f>'12U BOYS PLATINUM-10 TEAMS'!H31&amp;""</f>
        <v>11</v>
      </c>
      <c r="I45" s="373" t="str">
        <f>'12U BOYS PLATINUM-10 TEAMS'!I31&amp;""</f>
        <v>7th-10th</v>
      </c>
      <c r="J45" s="373" t="str">
        <f>'12U BOYS PLATINUM-10 TEAMS'!J31&amp;""</f>
        <v>12U_BOYS_PLATINUM</v>
      </c>
      <c r="K45" s="373" t="str">
        <f t="shared" si="1"/>
        <v>202602011200</v>
      </c>
    </row>
    <row r="46" spans="1:11">
      <c r="A46" s="370">
        <f>'12U BOYS PLATINUM-10 TEAMS'!A32</f>
        <v>46054</v>
      </c>
      <c r="B46" s="371">
        <f>'12U BOYS PLATINUM-10 TEAMS'!B32</f>
        <v>0.53472222222222199</v>
      </c>
      <c r="C46" s="371" t="str">
        <f>'12U BOYS PLATINUM-10 TEAMS'!C32&amp;""</f>
        <v>BECKMAN HS 1</v>
      </c>
      <c r="D46" s="373" t="str">
        <f>'12U BOYS PLATINUM-10 TEAMS'!D32&amp;""</f>
        <v>12Bpt20</v>
      </c>
      <c r="E46" s="373" t="str">
        <f>'12U BOYS PLATINUM-10 TEAMS'!E32&amp;""</f>
        <v>L#15-ORWP A</v>
      </c>
      <c r="F46" s="373" t="str">
        <f>'12U BOYS PLATINUM-10 TEAMS'!F32&amp;""</f>
        <v>4</v>
      </c>
      <c r="G46" s="373" t="str">
        <f>'12U BOYS PLATINUM-10 TEAMS'!G32&amp;""</f>
        <v>L#16-CC UNITED BLACK</v>
      </c>
      <c r="H46" s="373" t="str">
        <f>'12U BOYS PLATINUM-10 TEAMS'!H32&amp;""</f>
        <v>16</v>
      </c>
      <c r="I46" s="373" t="str">
        <f>'12U BOYS PLATINUM-10 TEAMS'!I32&amp;""</f>
        <v>3rd</v>
      </c>
      <c r="J46" s="373" t="str">
        <f>'12U BOYS PLATINUM-10 TEAMS'!J32&amp;""</f>
        <v>12U_BOYS_PLATINUM</v>
      </c>
      <c r="K46" s="373" t="str">
        <f t="shared" si="1"/>
        <v>202602011250</v>
      </c>
    </row>
    <row r="47" spans="1:11">
      <c r="A47" s="370">
        <f>'12U BOYS PLATINUM-10 TEAMS'!A33</f>
        <v>46054</v>
      </c>
      <c r="B47" s="371">
        <f>'12U BOYS PLATINUM-10 TEAMS'!B33</f>
        <v>0.56944444444444497</v>
      </c>
      <c r="C47" s="371" t="str">
        <f>'12U BOYS PLATINUM-10 TEAMS'!C33&amp;""</f>
        <v>BECKMAN HS 1</v>
      </c>
      <c r="D47" s="373" t="str">
        <f>'12U BOYS PLATINUM-10 TEAMS'!D33&amp;""</f>
        <v>12Bpt21</v>
      </c>
      <c r="E47" s="373" t="str">
        <f>'12U BOYS PLATINUM-10 TEAMS'!E33&amp;""</f>
        <v>W#15-MISSION WPC A</v>
      </c>
      <c r="F47" s="373" t="str">
        <f>'12U BOYS PLATINUM-10 TEAMS'!F33&amp;""</f>
        <v>18</v>
      </c>
      <c r="G47" s="373" t="str">
        <f>'12U BOYS PLATINUM-10 TEAMS'!G33&amp;""</f>
        <v>W#16-STANFORD RED</v>
      </c>
      <c r="H47" s="373" t="str">
        <f>'12U BOYS PLATINUM-10 TEAMS'!H33&amp;""</f>
        <v>4</v>
      </c>
      <c r="I47" s="373" t="str">
        <f>'12U BOYS PLATINUM-10 TEAMS'!I33&amp;""</f>
        <v>1st</v>
      </c>
      <c r="J47" s="373" t="str">
        <f>'12U BOYS PLATINUM-10 TEAMS'!J33&amp;""</f>
        <v>12U_BOYS_PLATINUM</v>
      </c>
      <c r="K47" s="373" t="str">
        <f t="shared" si="1"/>
        <v>202602011340</v>
      </c>
    </row>
    <row r="48" spans="1:11">
      <c r="A48" s="370">
        <f>'12U BOYS PLATINUM-10 TEAMS'!A34</f>
        <v>46054</v>
      </c>
      <c r="B48" s="371">
        <f>'12U BOYS PLATINUM-10 TEAMS'!B34</f>
        <v>0.60416666666666696</v>
      </c>
      <c r="C48" s="371" t="str">
        <f>'12U BOYS PLATINUM-10 TEAMS'!C34&amp;""</f>
        <v>BECKMAN HS 1</v>
      </c>
      <c r="D48" s="373" t="str">
        <f>'12U BOYS PLATINUM-10 TEAMS'!D34&amp;""</f>
        <v>12Bpt17</v>
      </c>
      <c r="E48" s="373" t="str">
        <f>'12U BOYS PLATINUM-10 TEAMS'!E34&amp;""</f>
        <v>W#13-680 RED</v>
      </c>
      <c r="F48" s="373" t="str">
        <f>'12U BOYS PLATINUM-10 TEAMS'!F34&amp;""</f>
        <v>5</v>
      </c>
      <c r="G48" s="373" t="str">
        <f>'12U BOYS PLATINUM-10 TEAMS'!G34&amp;""</f>
        <v>W#14-NORTH IRVINE BLACK</v>
      </c>
      <c r="H48" s="373" t="str">
        <f>'12U BOYS PLATINUM-10 TEAMS'!H34&amp;""</f>
        <v>6</v>
      </c>
      <c r="I48" s="373" t="str">
        <f>'12U BOYS PLATINUM-10 TEAMS'!I34&amp;""</f>
        <v>5th</v>
      </c>
      <c r="J48" s="373" t="str">
        <f>'12U BOYS PLATINUM-10 TEAMS'!J34&amp;""</f>
        <v>12U_BOYS_PLATINUM</v>
      </c>
      <c r="K48" s="373" t="str">
        <f t="shared" si="1"/>
        <v>202602011430</v>
      </c>
    </row>
    <row r="49" spans="1:11">
      <c r="A49" s="370">
        <f>'12U BOYS PLATINUM-10 TEAMS'!A35</f>
        <v>46054</v>
      </c>
      <c r="B49" s="371">
        <f>'12U BOYS PLATINUM-10 TEAMS'!B35</f>
        <v>0.63888888888888895</v>
      </c>
      <c r="C49" s="371" t="str">
        <f>'12U BOYS PLATINUM-10 TEAMS'!C35&amp;""</f>
        <v>BECKMAN HS 1</v>
      </c>
      <c r="D49" s="373" t="str">
        <f>'12U BOYS PLATINUM-10 TEAMS'!D35&amp;""</f>
        <v>12Bpt19</v>
      </c>
      <c r="E49" s="440" t="str">
        <f>'12U BOYS PLATINUM-10 TEAMS'!E35&amp;""</f>
        <v>L#14-LAMORINDA A</v>
      </c>
      <c r="F49" s="373" t="str">
        <f>'12U BOYS PLATINUM-10 TEAMS'!F35&amp;""</f>
        <v>17</v>
      </c>
      <c r="G49" s="373" t="str">
        <f>'12U BOYS PLATINUM-10 TEAMS'!G35&amp;""</f>
        <v>4thC-DAVIS</v>
      </c>
      <c r="H49" s="373" t="str">
        <f>'12U BOYS PLATINUM-10 TEAMS'!H35&amp;""</f>
        <v>7</v>
      </c>
      <c r="I49" s="373" t="str">
        <f>'12U BOYS PLATINUM-10 TEAMS'!I35&amp;""</f>
        <v>7th-10th</v>
      </c>
      <c r="J49" s="373" t="str">
        <f>'12U BOYS PLATINUM-10 TEAMS'!J35&amp;""</f>
        <v>12U_BOYS_PLATINUM</v>
      </c>
      <c r="K49" s="373" t="str">
        <f t="shared" si="1"/>
        <v>202602011520</v>
      </c>
    </row>
    <row r="50" spans="1:11">
      <c r="A50" s="366">
        <f>'12U BOYS GOLD-24 TEAMS'!A67</f>
        <v>46054</v>
      </c>
      <c r="B50" s="367">
        <f>'12U BOYS GOLD-24 TEAMS'!B67</f>
        <v>0.67361111111111105</v>
      </c>
      <c r="C50" s="367" t="str">
        <f>'12U BOYS GOLD-24 TEAMS'!C67&amp;""</f>
        <v>BECKMAN HS 1</v>
      </c>
      <c r="D50" s="368" t="str">
        <f>'12U BOYS GOLD-24 TEAMS'!D67&amp;""</f>
        <v>12Bau25</v>
      </c>
      <c r="E50" s="368" t="str">
        <f>'12U BOYS GOLD-24 TEAMS'!E67&amp;""</f>
        <v>L#24-SAN CLEMENTE BLACK</v>
      </c>
      <c r="F50" s="368" t="str">
        <f>'12U BOYS GOLD-24 TEAMS'!F67&amp;""</f>
        <v>8</v>
      </c>
      <c r="G50" s="368" t="str">
        <f>'12U BOYS GOLD-24 TEAMS'!G67&amp;""</f>
        <v>L#24A-680 BLUE</v>
      </c>
      <c r="H50" s="368" t="str">
        <f>'12U BOYS GOLD-24 TEAMS'!H67&amp;""</f>
        <v>6</v>
      </c>
      <c r="I50" s="368" t="str">
        <f>'12U BOYS GOLD-24 TEAMS'!I67&amp;""</f>
        <v>3rd</v>
      </c>
      <c r="J50" s="368" t="str">
        <f>'12U BOYS GOLD-24 TEAMS'!J67&amp;""</f>
        <v>12U_BOYS_GOLD</v>
      </c>
      <c r="K50" s="368" t="str">
        <f t="shared" si="1"/>
        <v>202602011610</v>
      </c>
    </row>
    <row r="51" spans="1:11">
      <c r="A51" s="366">
        <f>'12U BOYS GOLD-24 TEAMS'!A68</f>
        <v>46054</v>
      </c>
      <c r="B51" s="367">
        <f>'12U BOYS GOLD-24 TEAMS'!B68</f>
        <v>0.70833333333333404</v>
      </c>
      <c r="C51" s="367" t="str">
        <f>'12U BOYS GOLD-24 TEAMS'!C68&amp;""</f>
        <v>BECKMAN HS 1</v>
      </c>
      <c r="D51" s="368" t="str">
        <f>'12U BOYS GOLD-24 TEAMS'!D68&amp;""</f>
        <v>12Bau26</v>
      </c>
      <c r="E51" s="368" t="str">
        <f>'12U BOYS GOLD-24 TEAMS'!E68&amp;""</f>
        <v>W#24-ORANGE COUNTY WPC BLUE</v>
      </c>
      <c r="F51" s="368" t="str">
        <f>'12U BOYS GOLD-24 TEAMS'!F68&amp;""</f>
        <v>19</v>
      </c>
      <c r="G51" s="368" t="str">
        <f>'12U BOYS GOLD-24 TEAMS'!G68&amp;""</f>
        <v>W#24A-FOOTHILL RED</v>
      </c>
      <c r="H51" s="368" t="str">
        <f>'12U BOYS GOLD-24 TEAMS'!H68&amp;""</f>
        <v>5</v>
      </c>
      <c r="I51" s="368" t="str">
        <f>'12U BOYS GOLD-24 TEAMS'!I68&amp;""</f>
        <v>1st</v>
      </c>
      <c r="J51" s="368" t="str">
        <f>'12U BOYS GOLD-24 TEAMS'!J68&amp;""</f>
        <v>12U_BOYS_GOLD</v>
      </c>
      <c r="K51" s="368" t="str">
        <f t="shared" si="1"/>
        <v>202602011700</v>
      </c>
    </row>
    <row r="52" spans="1:11">
      <c r="A52" s="357">
        <f>'12U BOYS GOLD-24 TEAMS'!A71</f>
        <v>46054</v>
      </c>
      <c r="B52" s="358">
        <f>'12U BOYS GOLD-24 TEAMS'!B71</f>
        <v>0.74305555555555602</v>
      </c>
      <c r="C52" s="358" t="str">
        <f>'12U BOYS GOLD-24 TEAMS'!C71&amp;""</f>
        <v>BECKMAN HS 1</v>
      </c>
      <c r="D52" s="359" t="str">
        <f>'12U BOYS GOLD-24 TEAMS'!D71&amp;""</f>
        <v>12Bau21A</v>
      </c>
      <c r="E52" s="360" t="str">
        <f>'12U BOYS GOLD-24 TEAMS'!E71&amp;""</f>
        <v>L#15A-STANFORD WHITE</v>
      </c>
      <c r="F52" s="360" t="str">
        <f>'12U BOYS GOLD-24 TEAMS'!F71&amp;""</f>
        <v>6.3</v>
      </c>
      <c r="G52" s="360" t="str">
        <f>'12U BOYS GOLD-24 TEAMS'!G71&amp;""</f>
        <v>L#16A-SOUTH COAST RED</v>
      </c>
      <c r="H52" s="360" t="str">
        <f>'12U BOYS GOLD-24 TEAMS'!H71&amp;""</f>
        <v>6.2</v>
      </c>
      <c r="I52" s="359" t="str">
        <f>'12U BOYS GOLD-24 TEAMS'!I71&amp;""</f>
        <v>tie 13th</v>
      </c>
      <c r="J52" s="359" t="str">
        <f>'12U BOYS GOLD-24 TEAMS'!J71&amp;""</f>
        <v>12U_BOYS_GOLD</v>
      </c>
      <c r="K52" s="359" t="str">
        <f t="shared" si="1"/>
        <v>202602011750</v>
      </c>
    </row>
    <row r="53" spans="1:11">
      <c r="A53" s="346">
        <f>'10U BOYS-8 TEAMS'!A10</f>
        <v>46053</v>
      </c>
      <c r="B53" s="347">
        <f>'10U BOYS-8 TEAMS'!B10</f>
        <v>0.33333333333333331</v>
      </c>
      <c r="C53" s="348" t="str">
        <f>'10U BOYS-8 TEAMS'!C10&amp;""</f>
        <v>BECKMAN HS 2</v>
      </c>
      <c r="D53" s="348" t="str">
        <f>'10U BOYS-8 TEAMS'!D10&amp;""</f>
        <v>10B01</v>
      </c>
      <c r="E53" s="348" t="str">
        <f>'10U BOYS-8 TEAMS'!E10&amp;""</f>
        <v>B1-CC UNITED BLACK</v>
      </c>
      <c r="F53" s="349" t="str">
        <f>'10U BOYS-8 TEAMS'!F10&amp;""</f>
        <v>9</v>
      </c>
      <c r="G53" s="348" t="str">
        <f>'10U BOYS-8 TEAMS'!G10&amp;""</f>
        <v>B3-STANFORD RED</v>
      </c>
      <c r="H53" s="348" t="str">
        <f>'10U BOYS-8 TEAMS'!H10&amp;""</f>
        <v>8</v>
      </c>
      <c r="I53" s="348" t="str">
        <f>'10U BOYS-8 TEAMS'!I10&amp;""</f>
        <v>bracket, B1/B3</v>
      </c>
      <c r="J53" s="348" t="str">
        <f>'10U BOYS-8 TEAMS'!J10&amp;""</f>
        <v>10U_BOYS</v>
      </c>
      <c r="K53" s="348" t="str">
        <f t="shared" si="1"/>
        <v>202601310800</v>
      </c>
    </row>
    <row r="54" spans="1:11">
      <c r="A54" s="346">
        <f>'10U BOYS-8 TEAMS'!A11</f>
        <v>46053</v>
      </c>
      <c r="B54" s="347">
        <f>'10U BOYS-8 TEAMS'!B11</f>
        <v>0.36458333333333331</v>
      </c>
      <c r="C54" s="348" t="str">
        <f>'10U BOYS-8 TEAMS'!C11&amp;""</f>
        <v>BECKMAN HS 2</v>
      </c>
      <c r="D54" s="348" t="str">
        <f>'10U BOYS-8 TEAMS'!D11&amp;""</f>
        <v>10B02</v>
      </c>
      <c r="E54" s="348" t="str">
        <f>'10U BOYS-8 TEAMS'!E11&amp;""</f>
        <v>B2-SAN CLEMENTE RED</v>
      </c>
      <c r="F54" s="348" t="str">
        <f>'10U BOYS-8 TEAMS'!F11&amp;""</f>
        <v>16</v>
      </c>
      <c r="G54" s="348" t="str">
        <f>'10U BOYS-8 TEAMS'!G11&amp;""</f>
        <v>B4-680 BLUE</v>
      </c>
      <c r="H54" s="348" t="str">
        <f>'10U BOYS-8 TEAMS'!H11&amp;""</f>
        <v>0</v>
      </c>
      <c r="I54" s="348" t="str">
        <f>'10U BOYS-8 TEAMS'!I11&amp;""</f>
        <v>bracket, B2/B4</v>
      </c>
      <c r="J54" s="348" t="str">
        <f>'10U BOYS-8 TEAMS'!J11&amp;""</f>
        <v>10U_BOYS</v>
      </c>
      <c r="K54" s="348" t="str">
        <f t="shared" si="1"/>
        <v>202601310845</v>
      </c>
    </row>
    <row r="55" spans="1:11">
      <c r="A55" s="346">
        <f>'10U BOYS-8 TEAMS'!A12</f>
        <v>46053</v>
      </c>
      <c r="B55" s="347">
        <f>'10U BOYS-8 TEAMS'!B12</f>
        <v>0.39583333333333298</v>
      </c>
      <c r="C55" s="348" t="str">
        <f>'10U BOYS-8 TEAMS'!C12&amp;""</f>
        <v>BECKMAN HS 2</v>
      </c>
      <c r="D55" s="348" t="str">
        <f>'10U BOYS-8 TEAMS'!D12&amp;""</f>
        <v>10B03</v>
      </c>
      <c r="E55" s="348" t="str">
        <f>'10U BOYS-8 TEAMS'!E12&amp;""</f>
        <v>A1-LAMORINDA BLUE (A)</v>
      </c>
      <c r="F55" s="348" t="str">
        <f>'10U BOYS-8 TEAMS'!F12&amp;""</f>
        <v>10</v>
      </c>
      <c r="G55" s="348" t="str">
        <f>'10U BOYS-8 TEAMS'!G12&amp;""</f>
        <v>A3-LA PREMIER</v>
      </c>
      <c r="H55" s="348" t="str">
        <f>'10U BOYS-8 TEAMS'!H12&amp;""</f>
        <v>1</v>
      </c>
      <c r="I55" s="348" t="str">
        <f>'10U BOYS-8 TEAMS'!I12&amp;""</f>
        <v>bracket, A1/A3</v>
      </c>
      <c r="J55" s="348" t="str">
        <f>'10U BOYS-8 TEAMS'!J12&amp;""</f>
        <v>10U_BOYS</v>
      </c>
      <c r="K55" s="348" t="str">
        <f t="shared" si="1"/>
        <v>202601310930</v>
      </c>
    </row>
    <row r="56" spans="1:11">
      <c r="A56" s="346">
        <f>'10U BOYS-8 TEAMS'!A13</f>
        <v>46053</v>
      </c>
      <c r="B56" s="347">
        <f>'10U BOYS-8 TEAMS'!B13</f>
        <v>0.42708333333333298</v>
      </c>
      <c r="C56" s="348" t="str">
        <f>'10U BOYS-8 TEAMS'!C13&amp;""</f>
        <v>BECKMAN HS 2</v>
      </c>
      <c r="D56" s="348" t="str">
        <f>'10U BOYS-8 TEAMS'!D13&amp;""</f>
        <v>10B04</v>
      </c>
      <c r="E56" s="348" t="str">
        <f>'10U BOYS-8 TEAMS'!E13&amp;""</f>
        <v>A2-680 RED</v>
      </c>
      <c r="F56" s="348" t="str">
        <f>'10U BOYS-8 TEAMS'!F13&amp;""</f>
        <v>14</v>
      </c>
      <c r="G56" s="348" t="str">
        <f>'10U BOYS-8 TEAMS'!G13&amp;""</f>
        <v>A4-CC UNITED BLUE</v>
      </c>
      <c r="H56" s="348" t="str">
        <f>'10U BOYS-8 TEAMS'!H13&amp;""</f>
        <v>0</v>
      </c>
      <c r="I56" s="348" t="str">
        <f>'10U BOYS-8 TEAMS'!I13&amp;""</f>
        <v>bracket, A2/A4</v>
      </c>
      <c r="J56" s="348" t="str">
        <f>'10U BOYS-8 TEAMS'!J13&amp;""</f>
        <v>10U_BOYS</v>
      </c>
      <c r="K56" s="348" t="str">
        <f t="shared" si="1"/>
        <v>202601311015</v>
      </c>
    </row>
    <row r="57" spans="1:11">
      <c r="A57" s="346">
        <f>'10U BOYS-8 TEAMS'!A14</f>
        <v>46053</v>
      </c>
      <c r="B57" s="347">
        <f>'10U BOYS-8 TEAMS'!B14</f>
        <v>0.45833333333333298</v>
      </c>
      <c r="C57" s="348" t="str">
        <f>'10U BOYS-8 TEAMS'!C14&amp;""</f>
        <v>BECKMAN HS 2</v>
      </c>
      <c r="D57" s="348" t="str">
        <f>'10U BOYS-8 TEAMS'!D14&amp;""</f>
        <v>10B05</v>
      </c>
      <c r="E57" s="348" t="str">
        <f>'10U BOYS-8 TEAMS'!E14&amp;""</f>
        <v>B1-CC UNITED BLACK</v>
      </c>
      <c r="F57" s="348" t="str">
        <f>'10U BOYS-8 TEAMS'!F14&amp;""</f>
        <v>21</v>
      </c>
      <c r="G57" s="348" t="str">
        <f>'10U BOYS-8 TEAMS'!G14&amp;""</f>
        <v>B4-680 BLUE</v>
      </c>
      <c r="H57" s="348" t="str">
        <f>'10U BOYS-8 TEAMS'!H14&amp;""</f>
        <v>0</v>
      </c>
      <c r="I57" s="348" t="str">
        <f>'10U BOYS-8 TEAMS'!I14&amp;""</f>
        <v>bracket, B1/B4</v>
      </c>
      <c r="J57" s="348" t="str">
        <f>'10U BOYS-8 TEAMS'!J14&amp;""</f>
        <v>10U_BOYS</v>
      </c>
      <c r="K57" s="348" t="str">
        <f t="shared" si="1"/>
        <v>202601311100</v>
      </c>
    </row>
    <row r="58" spans="1:11">
      <c r="A58" s="346">
        <f>'10U BOYS-8 TEAMS'!A15</f>
        <v>46053</v>
      </c>
      <c r="B58" s="347">
        <f>'10U BOYS-8 TEAMS'!B15</f>
        <v>0.48958333333333298</v>
      </c>
      <c r="C58" s="348" t="str">
        <f>'10U BOYS-8 TEAMS'!C15&amp;""</f>
        <v>BECKMAN HS 2</v>
      </c>
      <c r="D58" s="348" t="str">
        <f>'10U BOYS-8 TEAMS'!D15&amp;""</f>
        <v>10B06</v>
      </c>
      <c r="E58" s="348" t="str">
        <f>'10U BOYS-8 TEAMS'!E15&amp;""</f>
        <v>B2-SAN CLEMENTE RED</v>
      </c>
      <c r="F58" s="348" t="str">
        <f>'10U BOYS-8 TEAMS'!F15&amp;""</f>
        <v>14</v>
      </c>
      <c r="G58" s="348" t="str">
        <f>'10U BOYS-8 TEAMS'!G15&amp;""</f>
        <v>B3-STANFORD RED</v>
      </c>
      <c r="H58" s="348" t="str">
        <f>'10U BOYS-8 TEAMS'!H15&amp;""</f>
        <v>9</v>
      </c>
      <c r="I58" s="348" t="str">
        <f>'10U BOYS-8 TEAMS'!I15&amp;""</f>
        <v>bracket, B2/B3</v>
      </c>
      <c r="J58" s="348" t="str">
        <f>'10U BOYS-8 TEAMS'!J15&amp;""</f>
        <v>10U_BOYS</v>
      </c>
      <c r="K58" s="348" t="str">
        <f t="shared" si="1"/>
        <v>202601311145</v>
      </c>
    </row>
    <row r="59" spans="1:11">
      <c r="A59" s="346">
        <f>'10U BOYS-8 TEAMS'!A16</f>
        <v>46053</v>
      </c>
      <c r="B59" s="347">
        <f>'10U BOYS-8 TEAMS'!B16</f>
        <v>0.52083333333333304</v>
      </c>
      <c r="C59" s="348" t="str">
        <f>'10U BOYS-8 TEAMS'!C16&amp;""</f>
        <v>BECKMAN HS 2</v>
      </c>
      <c r="D59" s="348" t="str">
        <f>'10U BOYS-8 TEAMS'!D16&amp;""</f>
        <v>10B07</v>
      </c>
      <c r="E59" s="348" t="str">
        <f>'10U BOYS-8 TEAMS'!E16&amp;""</f>
        <v>A1-LAMORINDA BLUE (A)</v>
      </c>
      <c r="F59" s="348" t="str">
        <f>'10U BOYS-8 TEAMS'!F16&amp;""</f>
        <v>10</v>
      </c>
      <c r="G59" s="348" t="str">
        <f>'10U BOYS-8 TEAMS'!G16&amp;""</f>
        <v>A4-CC UNITED BLUE</v>
      </c>
      <c r="H59" s="348" t="str">
        <f>'10U BOYS-8 TEAMS'!H16&amp;""</f>
        <v>6</v>
      </c>
      <c r="I59" s="348" t="str">
        <f>'10U BOYS-8 TEAMS'!I16&amp;""</f>
        <v>bracket, A1/A4</v>
      </c>
      <c r="J59" s="348" t="str">
        <f>'10U BOYS-8 TEAMS'!J16&amp;""</f>
        <v>10U_BOYS</v>
      </c>
      <c r="K59" s="348" t="str">
        <f t="shared" si="1"/>
        <v>202601311230</v>
      </c>
    </row>
    <row r="60" spans="1:11">
      <c r="A60" s="346">
        <f>'10U BOYS-8 TEAMS'!A17</f>
        <v>46053</v>
      </c>
      <c r="B60" s="347">
        <f>'10U BOYS-8 TEAMS'!B17</f>
        <v>0.55208333333333304</v>
      </c>
      <c r="C60" s="348" t="str">
        <f>'10U BOYS-8 TEAMS'!C17&amp;""</f>
        <v>BECKMAN HS 2</v>
      </c>
      <c r="D60" s="348" t="str">
        <f>'10U BOYS-8 TEAMS'!D17&amp;""</f>
        <v>10B08</v>
      </c>
      <c r="E60" s="348" t="str">
        <f>'10U BOYS-8 TEAMS'!E17&amp;""</f>
        <v>A2-680 RED</v>
      </c>
      <c r="F60" s="348" t="str">
        <f>'10U BOYS-8 TEAMS'!F17&amp;""</f>
        <v>16</v>
      </c>
      <c r="G60" s="348" t="str">
        <f>'10U BOYS-8 TEAMS'!G17&amp;""</f>
        <v>A3-LA PREMIER</v>
      </c>
      <c r="H60" s="348" t="str">
        <f>'10U BOYS-8 TEAMS'!H17&amp;""</f>
        <v>4</v>
      </c>
      <c r="I60" s="348" t="str">
        <f>'10U BOYS-8 TEAMS'!I17&amp;""</f>
        <v>bracket, A2/A3</v>
      </c>
      <c r="J60" s="348" t="str">
        <f>'10U BOYS-8 TEAMS'!J17&amp;""</f>
        <v>10U_BOYS</v>
      </c>
      <c r="K60" s="348" t="str">
        <f t="shared" si="1"/>
        <v>202601311315</v>
      </c>
    </row>
    <row r="61" spans="1:11">
      <c r="A61" s="337">
        <f>'10U COED GOLD-16 TEAMS CUSTOM'!A20</f>
        <v>46053</v>
      </c>
      <c r="B61" s="338">
        <f>'10U COED GOLD-16 TEAMS CUSTOM'!B20</f>
        <v>0.58333333333333304</v>
      </c>
      <c r="C61" s="338" t="str">
        <f>'10U COED GOLD-16 TEAMS CUSTOM'!C20&amp;""</f>
        <v>BECKMAN HS 2</v>
      </c>
      <c r="D61" s="339" t="str">
        <f>'10U COED GOLD-16 TEAMS CUSTOM'!D20&amp;""</f>
        <v>10Cau13</v>
      </c>
      <c r="E61" s="339" t="str">
        <f>'10U COED GOLD-16 TEAMS CUSTOM'!E20&amp;""</f>
        <v>D1-TROJAN</v>
      </c>
      <c r="F61" s="339" t="str">
        <f>'10U COED GOLD-16 TEAMS CUSTOM'!F20&amp;""</f>
        <v>1</v>
      </c>
      <c r="G61" s="339" t="str">
        <f>'10U COED GOLD-16 TEAMS CUSTOM'!G20&amp;""</f>
        <v>D2-PATRIOT WHITE</v>
      </c>
      <c r="H61" s="339" t="str">
        <f>'10U COED GOLD-16 TEAMS CUSTOM'!H20&amp;""</f>
        <v>2</v>
      </c>
      <c r="I61" s="339" t="str">
        <f>'10U COED GOLD-16 TEAMS CUSTOM'!I20&amp;""</f>
        <v>D bracket D1,D2</v>
      </c>
      <c r="J61" s="339" t="str">
        <f>'10U COED GOLD-16 TEAMS CUSTOM'!J20&amp;""</f>
        <v>10U_COED_GOLD</v>
      </c>
      <c r="K61" s="339" t="str">
        <f t="shared" si="1"/>
        <v>202601311400</v>
      </c>
    </row>
    <row r="62" spans="1:11">
      <c r="A62" s="337">
        <f>'10U COED GOLD-16 TEAMS CUSTOM'!A21</f>
        <v>46053</v>
      </c>
      <c r="B62" s="338">
        <f>'10U COED GOLD-16 TEAMS CUSTOM'!B21</f>
        <v>0.61458333333333304</v>
      </c>
      <c r="C62" s="338" t="str">
        <f>'10U COED GOLD-16 TEAMS CUSTOM'!C21&amp;""</f>
        <v>BECKMAN HS 2</v>
      </c>
      <c r="D62" s="339" t="str">
        <f>'10U COED GOLD-16 TEAMS CUSTOM'!D21&amp;""</f>
        <v>10Cau14</v>
      </c>
      <c r="E62" s="339" t="str">
        <f>'10U COED GOLD-16 TEAMS CUSTOM'!E21&amp;""</f>
        <v>A1-LA JOLLA UNITED</v>
      </c>
      <c r="F62" s="339" t="str">
        <f>'10U COED GOLD-16 TEAMS CUSTOM'!F21&amp;""</f>
        <v>9</v>
      </c>
      <c r="G62" s="339" t="str">
        <f>'10U COED GOLD-16 TEAMS CUSTOM'!G21&amp;""</f>
        <v>A2-LOYOLA WPC</v>
      </c>
      <c r="H62" s="339" t="str">
        <f>'10U COED GOLD-16 TEAMS CUSTOM'!H21&amp;""</f>
        <v>7</v>
      </c>
      <c r="I62" s="339" t="str">
        <f>'10U COED GOLD-16 TEAMS CUSTOM'!I21&amp;""</f>
        <v>A bracket A1,A2</v>
      </c>
      <c r="J62" s="339" t="str">
        <f>'10U COED GOLD-16 TEAMS CUSTOM'!J21&amp;""</f>
        <v>10U_COED_GOLD</v>
      </c>
      <c r="K62" s="339" t="str">
        <f t="shared" si="1"/>
        <v>202601311445</v>
      </c>
    </row>
    <row r="63" spans="1:11">
      <c r="A63" s="337">
        <f>'10U COED GOLD-16 TEAMS CUSTOM'!A23</f>
        <v>46053</v>
      </c>
      <c r="B63" s="338">
        <f>'10U COED GOLD-16 TEAMS CUSTOM'!B23</f>
        <v>0.64583333333333304</v>
      </c>
      <c r="C63" s="338" t="str">
        <f>'10U COED GOLD-16 TEAMS CUSTOM'!C23&amp;""</f>
        <v>BECKMAN HS 2</v>
      </c>
      <c r="D63" s="339" t="str">
        <f>'10U COED GOLD-16 TEAMS CUSTOM'!D23&amp;""</f>
        <v>10Cau15</v>
      </c>
      <c r="E63" s="339" t="str">
        <f>'10U COED GOLD-16 TEAMS CUSTOM'!E23&amp;""</f>
        <v>B1-DAVIS</v>
      </c>
      <c r="F63" s="339" t="str">
        <f>'10U COED GOLD-16 TEAMS CUSTOM'!F23&amp;""</f>
        <v>14</v>
      </c>
      <c r="G63" s="339" t="str">
        <f>'10U COED GOLD-16 TEAMS CUSTOM'!G23&amp;""</f>
        <v>B2-ORANGE COUNTY WPC RED</v>
      </c>
      <c r="H63" s="339" t="str">
        <f>'10U COED GOLD-16 TEAMS CUSTOM'!H23&amp;""</f>
        <v>6</v>
      </c>
      <c r="I63" s="339" t="str">
        <f>'10U COED GOLD-16 TEAMS CUSTOM'!I23&amp;""</f>
        <v>B bracket B1,B2</v>
      </c>
      <c r="J63" s="339" t="str">
        <f>'10U COED GOLD-16 TEAMS CUSTOM'!J23&amp;""</f>
        <v>10U_COED_GOLD</v>
      </c>
      <c r="K63" s="339" t="str">
        <f t="shared" si="1"/>
        <v>202601311530</v>
      </c>
    </row>
    <row r="64" spans="1:11">
      <c r="A64" s="337">
        <f>'10U COED GOLD-16 TEAMS CUSTOM'!A25</f>
        <v>46053</v>
      </c>
      <c r="B64" s="338">
        <f>'10U COED GOLD-16 TEAMS CUSTOM'!B25</f>
        <v>0.67708333333333304</v>
      </c>
      <c r="C64" s="338" t="str">
        <f>'10U COED GOLD-16 TEAMS CUSTOM'!C25&amp;""</f>
        <v>BECKMAN HS 2</v>
      </c>
      <c r="D64" s="339" t="str">
        <f>'10U COED GOLD-16 TEAMS CUSTOM'!D25&amp;""</f>
        <v>10Cau16</v>
      </c>
      <c r="E64" s="339" t="str">
        <f>'10U COED GOLD-16 TEAMS CUSTOM'!E25&amp;""</f>
        <v>C1-SOUTH COAST RED</v>
      </c>
      <c r="F64" s="339" t="str">
        <f>'10U COED GOLD-16 TEAMS CUSTOM'!F25&amp;""</f>
        <v>10</v>
      </c>
      <c r="G64" s="339" t="str">
        <f>'10U COED GOLD-16 TEAMS CUSTOM'!G25&amp;""</f>
        <v>C2-SOUTH BAY UNITED</v>
      </c>
      <c r="H64" s="339" t="str">
        <f>'10U COED GOLD-16 TEAMS CUSTOM'!H25&amp;""</f>
        <v>14</v>
      </c>
      <c r="I64" s="339" t="str">
        <f>'10U COED GOLD-16 TEAMS CUSTOM'!I25&amp;""</f>
        <v>C bracket C1,C2</v>
      </c>
      <c r="J64" s="339" t="str">
        <f>'10U COED GOLD-16 TEAMS CUSTOM'!J25&amp;""</f>
        <v>10U_COED_GOLD</v>
      </c>
      <c r="K64" s="339" t="str">
        <f t="shared" si="1"/>
        <v>202601311615</v>
      </c>
    </row>
    <row r="65" spans="1:11">
      <c r="A65" s="346">
        <f>'10U BOYS-8 TEAMS'!A21</f>
        <v>46054</v>
      </c>
      <c r="B65" s="347">
        <f>'10U BOYS-8 TEAMS'!B21</f>
        <v>0.33333333333333331</v>
      </c>
      <c r="C65" s="348" t="str">
        <f>'10U BOYS-8 TEAMS'!C21&amp;""</f>
        <v>BECKMAN HS 2</v>
      </c>
      <c r="D65" s="348" t="str">
        <f>'10U BOYS-8 TEAMS'!D21&amp;""</f>
        <v>10B09</v>
      </c>
      <c r="E65" s="350" t="str">
        <f>'10U BOYS-8 TEAMS'!E21&amp;""</f>
        <v>B3-STANFORD RED</v>
      </c>
      <c r="F65" s="348" t="str">
        <f>'10U BOYS-8 TEAMS'!F21&amp;""</f>
        <v>12</v>
      </c>
      <c r="G65" s="348" t="str">
        <f>'10U BOYS-8 TEAMS'!G21&amp;""</f>
        <v>B4-680 BLUE</v>
      </c>
      <c r="H65" s="348" t="str">
        <f>'10U BOYS-8 TEAMS'!H21&amp;""</f>
        <v>0</v>
      </c>
      <c r="I65" s="348" t="str">
        <f>'10U BOYS-8 TEAMS'!I21&amp;""</f>
        <v>bracket, B3/B4</v>
      </c>
      <c r="J65" s="348" t="str">
        <f>'10U BOYS-8 TEAMS'!J21&amp;""</f>
        <v>10U_BOYS</v>
      </c>
      <c r="K65" s="348" t="str">
        <f t="shared" si="1"/>
        <v>202602010800</v>
      </c>
    </row>
    <row r="66" spans="1:11">
      <c r="A66" s="346">
        <f>'10U BOYS-8 TEAMS'!A22</f>
        <v>46054</v>
      </c>
      <c r="B66" s="347">
        <f>'10U BOYS-8 TEAMS'!B22</f>
        <v>0.36458333333333331</v>
      </c>
      <c r="C66" s="348" t="str">
        <f>'10U BOYS-8 TEAMS'!C22&amp;""</f>
        <v>BECKMAN HS 2</v>
      </c>
      <c r="D66" s="348" t="str">
        <f>'10U BOYS-8 TEAMS'!D22&amp;""</f>
        <v>10B10</v>
      </c>
      <c r="E66" s="348" t="str">
        <f>'10U BOYS-8 TEAMS'!E22&amp;""</f>
        <v>A3-LA PREMIER</v>
      </c>
      <c r="F66" s="348" t="str">
        <f>'10U BOYS-8 TEAMS'!F22&amp;""</f>
        <v>2</v>
      </c>
      <c r="G66" s="348" t="str">
        <f>'10U BOYS-8 TEAMS'!G22&amp;""</f>
        <v>A4-CC UNITED BLUE</v>
      </c>
      <c r="H66" s="348" t="str">
        <f>'10U BOYS-8 TEAMS'!H22&amp;""</f>
        <v>9</v>
      </c>
      <c r="I66" s="348" t="str">
        <f>'10U BOYS-8 TEAMS'!I22&amp;""</f>
        <v>bracket, A3/A4</v>
      </c>
      <c r="J66" s="348" t="str">
        <f>'10U BOYS-8 TEAMS'!J22&amp;""</f>
        <v>10U_BOYS</v>
      </c>
      <c r="K66" s="348" t="str">
        <f t="shared" ref="K66:K97" si="2">TEXT(DATE(2026, MONTH(A66), DAY(A66)) + TIME(HOUR(B66), MINUTE(B66), 0), "yyyymmddhhmm")</f>
        <v>202602010845</v>
      </c>
    </row>
    <row r="67" spans="1:11">
      <c r="A67" s="346">
        <f>'10U BOYS-8 TEAMS'!A23</f>
        <v>46054</v>
      </c>
      <c r="B67" s="347">
        <f>'10U BOYS-8 TEAMS'!B23</f>
        <v>0.39583333333333298</v>
      </c>
      <c r="C67" s="348" t="str">
        <f>'10U BOYS-8 TEAMS'!C23&amp;""</f>
        <v>BECKMAN HS 2</v>
      </c>
      <c r="D67" s="348" t="str">
        <f>'10U BOYS-8 TEAMS'!D23&amp;""</f>
        <v>10B11</v>
      </c>
      <c r="E67" s="348" t="str">
        <f>'10U BOYS-8 TEAMS'!E23&amp;""</f>
        <v>B1-CC UNITED BLACK</v>
      </c>
      <c r="F67" s="348" t="str">
        <f>'10U BOYS-8 TEAMS'!F23&amp;""</f>
        <v>8</v>
      </c>
      <c r="G67" s="348" t="str">
        <f>'10U BOYS-8 TEAMS'!G23&amp;""</f>
        <v>B2-SAN CLEMENTE RED</v>
      </c>
      <c r="H67" s="348" t="str">
        <f>'10U BOYS-8 TEAMS'!H23&amp;""</f>
        <v>7</v>
      </c>
      <c r="I67" s="348" t="str">
        <f>'10U BOYS-8 TEAMS'!I23&amp;""</f>
        <v>bracket, B1/B2</v>
      </c>
      <c r="J67" s="348" t="str">
        <f>'10U BOYS-8 TEAMS'!J23&amp;""</f>
        <v>10U_BOYS</v>
      </c>
      <c r="K67" s="348" t="str">
        <f t="shared" si="2"/>
        <v>202602010930</v>
      </c>
    </row>
    <row r="68" spans="1:11">
      <c r="A68" s="346">
        <f>'10U BOYS-8 TEAMS'!A24</f>
        <v>46054</v>
      </c>
      <c r="B68" s="347">
        <f>'10U BOYS-8 TEAMS'!B24</f>
        <v>0.42708333333333298</v>
      </c>
      <c r="C68" s="348" t="str">
        <f>'10U BOYS-8 TEAMS'!C24&amp;""</f>
        <v>BECKMAN HS 2</v>
      </c>
      <c r="D68" s="348" t="str">
        <f>'10U BOYS-8 TEAMS'!D24&amp;""</f>
        <v>10B12</v>
      </c>
      <c r="E68" s="348" t="str">
        <f>'10U BOYS-8 TEAMS'!E24&amp;""</f>
        <v>A1-LAMORINDA BLUE (A)</v>
      </c>
      <c r="F68" s="348" t="str">
        <f>'10U BOYS-8 TEAMS'!F24&amp;""</f>
        <v>6</v>
      </c>
      <c r="G68" s="348" t="str">
        <f>'10U BOYS-8 TEAMS'!G24&amp;""</f>
        <v>A2-680 RED</v>
      </c>
      <c r="H68" s="348" t="str">
        <f>'10U BOYS-8 TEAMS'!H24&amp;""</f>
        <v>16</v>
      </c>
      <c r="I68" s="348" t="str">
        <f>'10U BOYS-8 TEAMS'!I24&amp;""</f>
        <v>bracket, A1/A2</v>
      </c>
      <c r="J68" s="348" t="str">
        <f>'10U BOYS-8 TEAMS'!J24&amp;""</f>
        <v>10U_BOYS</v>
      </c>
      <c r="K68" s="348" t="str">
        <f t="shared" si="2"/>
        <v>202602011015</v>
      </c>
    </row>
    <row r="69" spans="1:11">
      <c r="A69" s="337">
        <f>'10U COED GOLD-16 TEAMS CUSTOM'!A35</f>
        <v>46054</v>
      </c>
      <c r="B69" s="338">
        <f>'10U COED GOLD-16 TEAMS CUSTOM'!B35</f>
        <v>0.45833333333333298</v>
      </c>
      <c r="C69" s="338" t="str">
        <f>'10U COED GOLD-16 TEAMS CUSTOM'!C35&amp;""</f>
        <v>BECKMAN HS 2</v>
      </c>
      <c r="D69" s="340" t="str">
        <f>'10U COED GOLD-16 TEAMS CUSTOM'!D35&amp;""</f>
        <v>10Cau23</v>
      </c>
      <c r="E69" s="340" t="str">
        <f>'10U COED GOLD-16 TEAMS CUSTOM'!E35&amp;""</f>
        <v>G1-LAMORINDA BLUE (A) (girls)</v>
      </c>
      <c r="F69" s="339" t="str">
        <f>'10U COED GOLD-16 TEAMS CUSTOM'!F35&amp;""</f>
        <v>19</v>
      </c>
      <c r="G69" s="339" t="str">
        <f>'10U COED GOLD-16 TEAMS CUSTOM'!G35&amp;""</f>
        <v>3rdB-DEL MAR WHITE</v>
      </c>
      <c r="H69" s="339" t="str">
        <f>'10U COED GOLD-16 TEAMS CUSTOM'!H35&amp;""</f>
        <v>0</v>
      </c>
      <c r="I69" s="339" t="str">
        <f>'10U COED GOLD-16 TEAMS CUSTOM'!I35&amp;""</f>
        <v>girls-coed interact</v>
      </c>
      <c r="J69" s="339" t="str">
        <f>'10U COED GOLD-16 TEAMS CUSTOM'!J35&amp;""</f>
        <v>10U_COED_GOLD</v>
      </c>
      <c r="K69" s="339" t="str">
        <f t="shared" si="2"/>
        <v>202602011100</v>
      </c>
    </row>
    <row r="70" spans="1:11">
      <c r="A70" s="337">
        <f>'10U COED GOLD-16 TEAMS CUSTOM'!A37</f>
        <v>46054</v>
      </c>
      <c r="B70" s="338">
        <f>'10U COED GOLD-16 TEAMS CUSTOM'!B37</f>
        <v>0.48958333333333298</v>
      </c>
      <c r="C70" s="338" t="str">
        <f>'10U COED GOLD-16 TEAMS CUSTOM'!C37&amp;""</f>
        <v>BECKMAN HS 2</v>
      </c>
      <c r="D70" s="340" t="str">
        <f>'10U COED GOLD-16 TEAMS CUSTOM'!D37&amp;""</f>
        <v>10Cau24</v>
      </c>
      <c r="E70" s="340" t="str">
        <f>'10U COED GOLD-16 TEAMS CUSTOM'!E37&amp;""</f>
        <v>G2-DEL MAR BLUE (girls)</v>
      </c>
      <c r="F70" s="339" t="str">
        <f>'10U COED GOLD-16 TEAMS CUSTOM'!F37&amp;""</f>
        <v>15</v>
      </c>
      <c r="G70" s="339" t="str">
        <f>'10U COED GOLD-16 TEAMS CUSTOM'!G37&amp;""</f>
        <v>3rdD-PATRIOT WHITE</v>
      </c>
      <c r="H70" s="339" t="str">
        <f>'10U COED GOLD-16 TEAMS CUSTOM'!H37&amp;""</f>
        <v>2</v>
      </c>
      <c r="I70" s="339" t="str">
        <f>'10U COED GOLD-16 TEAMS CUSTOM'!I37&amp;""</f>
        <v>girls-coed interact</v>
      </c>
      <c r="J70" s="339" t="str">
        <f>'10U COED GOLD-16 TEAMS CUSTOM'!J37&amp;""</f>
        <v>10U_COED_GOLD</v>
      </c>
      <c r="K70" s="339" t="str">
        <f t="shared" si="2"/>
        <v>202602011145</v>
      </c>
    </row>
    <row r="71" spans="1:11">
      <c r="A71" s="346">
        <f>'10U BOYS-8 TEAMS'!A26</f>
        <v>46054</v>
      </c>
      <c r="B71" s="347">
        <f>'10U BOYS-8 TEAMS'!B26</f>
        <v>0.52083333333333304</v>
      </c>
      <c r="C71" s="348" t="str">
        <f>'10U BOYS-8 TEAMS'!C26&amp;""</f>
        <v>BECKMAN HS 2</v>
      </c>
      <c r="D71" s="348" t="str">
        <f>'10U BOYS-8 TEAMS'!D26&amp;""</f>
        <v>10B13</v>
      </c>
      <c r="E71" s="348" t="str">
        <f>'10U BOYS-8 TEAMS'!E26&amp;""</f>
        <v>4thA-LA PREMIER</v>
      </c>
      <c r="F71" s="348" t="str">
        <f>'10U BOYS-8 TEAMS'!F26&amp;""</f>
        <v>11</v>
      </c>
      <c r="G71" s="348" t="str">
        <f>'10U BOYS-8 TEAMS'!G26&amp;""</f>
        <v>4thB-680 BLUE</v>
      </c>
      <c r="H71" s="348" t="str">
        <f>'10U BOYS-8 TEAMS'!H26&amp;""</f>
        <v>4</v>
      </c>
      <c r="I71" s="348" t="str">
        <f>'10U BOYS-8 TEAMS'!I26&amp;""</f>
        <v>7th</v>
      </c>
      <c r="J71" s="348" t="str">
        <f>'10U BOYS-8 TEAMS'!J26&amp;""</f>
        <v>10U_BOYS</v>
      </c>
      <c r="K71" s="348" t="str">
        <f t="shared" si="2"/>
        <v>202602011230</v>
      </c>
    </row>
    <row r="72" spans="1:11">
      <c r="A72" s="346">
        <f>'10U BOYS-8 TEAMS'!A27</f>
        <v>46054</v>
      </c>
      <c r="B72" s="347">
        <f>'10U BOYS-8 TEAMS'!B27</f>
        <v>0.55208333333333304</v>
      </c>
      <c r="C72" s="348" t="str">
        <f>'10U BOYS-8 TEAMS'!C27&amp;""</f>
        <v>BECKMAN HS 2</v>
      </c>
      <c r="D72" s="348" t="str">
        <f>'10U BOYS-8 TEAMS'!D27&amp;""</f>
        <v>10B14</v>
      </c>
      <c r="E72" s="348" t="str">
        <f>'10U BOYS-8 TEAMS'!E27&amp;""</f>
        <v>3rdA-CC UNITED BLUE</v>
      </c>
      <c r="F72" s="348" t="str">
        <f>'10U BOYS-8 TEAMS'!F27&amp;""</f>
        <v>1</v>
      </c>
      <c r="G72" s="348" t="str">
        <f>'10U BOYS-8 TEAMS'!G27&amp;""</f>
        <v>3rdB-STANFORD RED</v>
      </c>
      <c r="H72" s="348" t="str">
        <f>'10U BOYS-8 TEAMS'!H27&amp;""</f>
        <v>8</v>
      </c>
      <c r="I72" s="348" t="str">
        <f>'10U BOYS-8 TEAMS'!I27&amp;""</f>
        <v>5th</v>
      </c>
      <c r="J72" s="348" t="str">
        <f>'10U BOYS-8 TEAMS'!J27&amp;""</f>
        <v>10U_BOYS</v>
      </c>
      <c r="K72" s="348" t="str">
        <f t="shared" si="2"/>
        <v>202602011315</v>
      </c>
    </row>
    <row r="73" spans="1:11">
      <c r="A73" s="341">
        <f>'10U COED PLATINUM-8 TEAMS'!A27</f>
        <v>46054</v>
      </c>
      <c r="B73" s="342">
        <f>'10U COED PLATINUM-8 TEAMS'!B27</f>
        <v>0.58333333333333304</v>
      </c>
      <c r="C73" s="343" t="str">
        <f>'10U COED PLATINUM-8 TEAMS'!C27&amp;""</f>
        <v>BECKMAN HS 2</v>
      </c>
      <c r="D73" s="343" t="str">
        <f>'10U COED PLATINUM-8 TEAMS'!D27&amp;""</f>
        <v>10Cpt13</v>
      </c>
      <c r="E73" s="343" t="str">
        <f>'10U COED PLATINUM-8 TEAMS'!E27&amp;""</f>
        <v>4thA-FOOTHILL RED</v>
      </c>
      <c r="F73" s="343" t="str">
        <f>'10U COED PLATINUM-8 TEAMS'!F27&amp;""</f>
        <v>15</v>
      </c>
      <c r="G73" s="343" t="str">
        <f>'10U COED PLATINUM-8 TEAMS'!G27&amp;""</f>
        <v>4thB-LAMORINDA GOLD (B)</v>
      </c>
      <c r="H73" s="343" t="str">
        <f>'10U COED PLATINUM-8 TEAMS'!H27&amp;""</f>
        <v>5</v>
      </c>
      <c r="I73" s="343" t="str">
        <f>'10U COED PLATINUM-8 TEAMS'!I27&amp;""</f>
        <v>7th</v>
      </c>
      <c r="J73" s="343" t="str">
        <f>'10U COED PLATINUM-8 TEAMS'!J27&amp;""</f>
        <v>10U_COED_PLATINUM</v>
      </c>
      <c r="K73" s="343" t="str">
        <f t="shared" si="2"/>
        <v>202602011400</v>
      </c>
    </row>
    <row r="74" spans="1:11">
      <c r="A74" s="341">
        <f>'10U COED PLATINUM-8 TEAMS'!A28</f>
        <v>46054</v>
      </c>
      <c r="B74" s="342">
        <f>'10U COED PLATINUM-8 TEAMS'!B28</f>
        <v>0.61458333333333304</v>
      </c>
      <c r="C74" s="343" t="str">
        <f>'10U COED PLATINUM-8 TEAMS'!C28&amp;""</f>
        <v>BECKMAN HS 2</v>
      </c>
      <c r="D74" s="343" t="str">
        <f>'10U COED PLATINUM-8 TEAMS'!D28&amp;""</f>
        <v>10Cpt14</v>
      </c>
      <c r="E74" s="343" t="str">
        <f>'10U COED PLATINUM-8 TEAMS'!E28&amp;""</f>
        <v>3rdA-YOLO BLACK</v>
      </c>
      <c r="F74" s="343" t="str">
        <f>'10U COED PLATINUM-8 TEAMS'!F28&amp;""</f>
        <v>17</v>
      </c>
      <c r="G74" s="343" t="str">
        <f>'10U COED PLATINUM-8 TEAMS'!G28&amp;""</f>
        <v>3rdB-PATRIOT RED</v>
      </c>
      <c r="H74" s="343" t="str">
        <f>'10U COED PLATINUM-8 TEAMS'!H28&amp;""</f>
        <v>4</v>
      </c>
      <c r="I74" s="343" t="str">
        <f>'10U COED PLATINUM-8 TEAMS'!I28&amp;""</f>
        <v>5th</v>
      </c>
      <c r="J74" s="343" t="str">
        <f>'10U COED PLATINUM-8 TEAMS'!J28&amp;""</f>
        <v>10U_COED_PLATINUM</v>
      </c>
      <c r="K74" s="343" t="str">
        <f t="shared" si="2"/>
        <v>202602011445</v>
      </c>
    </row>
    <row r="75" spans="1:11">
      <c r="A75" s="394">
        <f>'14U BOYS GOLD-26 TEAMS'!A26</f>
        <v>46053</v>
      </c>
      <c r="B75" s="395">
        <f>'14U BOYS GOLD-26 TEAMS'!B26</f>
        <v>0.3263888888888889</v>
      </c>
      <c r="C75" s="396" t="str">
        <f>'14U BOYS GOLD-26 TEAMS'!C26&amp;""</f>
        <v>COSTA MESA HS 1</v>
      </c>
      <c r="D75" s="396" t="str">
        <f>'14U BOYS GOLD-26 TEAMS'!D26&amp;""</f>
        <v>14Bau01</v>
      </c>
      <c r="E75" s="397" t="str">
        <f>'14U BOYS GOLD-26 TEAMS'!E26&amp;""</f>
        <v>A1(1)-HONOLULU BLUE</v>
      </c>
      <c r="F75" s="397" t="str">
        <f>'14U BOYS GOLD-26 TEAMS'!F26&amp;""</f>
        <v>2</v>
      </c>
      <c r="G75" s="397" t="str">
        <f>'14U BOYS GOLD-26 TEAMS'!G26&amp;""</f>
        <v>A2(16)-SHORE AQUATICS</v>
      </c>
      <c r="H75" s="397" t="str">
        <f>'14U BOYS GOLD-26 TEAMS'!H26&amp;""</f>
        <v>14</v>
      </c>
      <c r="I75" s="396" t="str">
        <f>'14U BOYS GOLD-26 TEAMS'!I26&amp;""</f>
        <v>A bracket A1,A2</v>
      </c>
      <c r="J75" s="397" t="str">
        <f>'14U BOYS GOLD-26 TEAMS'!J26&amp;""</f>
        <v>14U_BOYS_GOLD</v>
      </c>
      <c r="K75" s="397" t="str">
        <f t="shared" si="2"/>
        <v>202601310750</v>
      </c>
    </row>
    <row r="76" spans="1:11">
      <c r="A76" s="394">
        <f>'14U BOYS GOLD-26 TEAMS'!A27</f>
        <v>46053</v>
      </c>
      <c r="B76" s="395">
        <f>'14U BOYS GOLD-26 TEAMS'!B27</f>
        <v>0.36111111111111099</v>
      </c>
      <c r="C76" s="396" t="str">
        <f>'14U BOYS GOLD-26 TEAMS'!C27&amp;""</f>
        <v>COSTA MESA HS 1</v>
      </c>
      <c r="D76" s="396" t="str">
        <f>'14U BOYS GOLD-26 TEAMS'!D27&amp;""</f>
        <v>14Bau08</v>
      </c>
      <c r="E76" s="397" t="str">
        <f>'14U BOYS GOLD-26 TEAMS'!E27&amp;""</f>
        <v>B1(4)-DAVIS</v>
      </c>
      <c r="F76" s="397" t="str">
        <f>'14U BOYS GOLD-26 TEAMS'!F27&amp;""</f>
        <v>18</v>
      </c>
      <c r="G76" s="397" t="str">
        <f>'14U BOYS GOLD-26 TEAMS'!G27&amp;""</f>
        <v>B3(20)-LA JOLLA UNITED GOLD</v>
      </c>
      <c r="H76" s="397" t="str">
        <f>'14U BOYS GOLD-26 TEAMS'!H27&amp;""</f>
        <v>7</v>
      </c>
      <c r="I76" s="396" t="str">
        <f>'14U BOYS GOLD-26 TEAMS'!I27&amp;""</f>
        <v>B bracket B1,B3</v>
      </c>
      <c r="J76" s="397" t="str">
        <f>'14U BOYS GOLD-26 TEAMS'!J27&amp;""</f>
        <v>14U_BOYS_GOLD</v>
      </c>
      <c r="K76" s="397" t="str">
        <f t="shared" si="2"/>
        <v>202601310840</v>
      </c>
    </row>
    <row r="77" spans="1:11">
      <c r="A77" s="394">
        <f>'14U BOYS GOLD-26 TEAMS'!A28</f>
        <v>46053</v>
      </c>
      <c r="B77" s="395">
        <f>'14U BOYS GOLD-26 TEAMS'!B28</f>
        <v>0.39583333333333398</v>
      </c>
      <c r="C77" s="396" t="str">
        <f>'14U BOYS GOLD-26 TEAMS'!C28&amp;""</f>
        <v>COSTA MESA HS 1</v>
      </c>
      <c r="D77" s="396" t="str">
        <f>'14U BOYS GOLD-26 TEAMS'!D28&amp;""</f>
        <v>14Bau09</v>
      </c>
      <c r="E77" s="396" t="str">
        <f>'14U BOYS GOLD-26 TEAMS'!E28&amp;""</f>
        <v>C1(5)-LAWPC</v>
      </c>
      <c r="F77" s="396" t="str">
        <f>'14U BOYS GOLD-26 TEAMS'!F28&amp;""</f>
        <v>14</v>
      </c>
      <c r="G77" s="396" t="str">
        <f>'14U BOYS GOLD-26 TEAMS'!G28&amp;""</f>
        <v>C3(21)-STANFORD 13</v>
      </c>
      <c r="H77" s="396" t="str">
        <f>'14U BOYS GOLD-26 TEAMS'!H28&amp;""</f>
        <v>6</v>
      </c>
      <c r="I77" s="396" t="str">
        <f>'14U BOYS GOLD-26 TEAMS'!I28&amp;""</f>
        <v>C bracket C1,C3</v>
      </c>
      <c r="J77" s="397" t="str">
        <f>'14U BOYS GOLD-26 TEAMS'!J28&amp;""</f>
        <v>14U_BOYS_GOLD</v>
      </c>
      <c r="K77" s="397" t="str">
        <f t="shared" si="2"/>
        <v>202601310930</v>
      </c>
    </row>
    <row r="78" spans="1:11">
      <c r="A78" s="394">
        <f>'14U BOYS GOLD-26 TEAMS'!A29</f>
        <v>46053</v>
      </c>
      <c r="B78" s="395">
        <f>'14U BOYS GOLD-26 TEAMS'!B29</f>
        <v>0.43055555555555602</v>
      </c>
      <c r="C78" s="396" t="str">
        <f>'14U BOYS GOLD-26 TEAMS'!C29&amp;""</f>
        <v>COSTA MESA HS 1</v>
      </c>
      <c r="D78" s="396" t="str">
        <f>'14U BOYS GOLD-26 TEAMS'!D29&amp;""</f>
        <v>14Bau02</v>
      </c>
      <c r="E78" s="397" t="str">
        <f>'14U BOYS GOLD-26 TEAMS'!E29&amp;""</f>
        <v>8-SAN CLEMENTE RED</v>
      </c>
      <c r="F78" s="397" t="str">
        <f>'14U BOYS GOLD-26 TEAMS'!F29&amp;""</f>
        <v>13</v>
      </c>
      <c r="G78" s="397" t="str">
        <f>'14U BOYS GOLD-26 TEAMS'!G29&amp;""</f>
        <v>25-AMERICAN RIVER BLUE</v>
      </c>
      <c r="H78" s="397" t="str">
        <f>'14U BOYS GOLD-26 TEAMS'!H29&amp;""</f>
        <v>4</v>
      </c>
      <c r="I78" s="396" t="str">
        <f>'14U BOYS GOLD-26 TEAMS'!I29&amp;""</f>
        <v>W/L D1/D4</v>
      </c>
      <c r="J78" s="397" t="str">
        <f>'14U BOYS GOLD-26 TEAMS'!J29&amp;""</f>
        <v>14U_BOYS_GOLD</v>
      </c>
      <c r="K78" s="397" t="str">
        <f t="shared" si="2"/>
        <v>202601311020</v>
      </c>
    </row>
    <row r="79" spans="1:11">
      <c r="A79" s="394">
        <f>'14U BOYS GOLD-26 TEAMS'!A30</f>
        <v>46053</v>
      </c>
      <c r="B79" s="395">
        <f>'14U BOYS GOLD-26 TEAMS'!B30</f>
        <v>0.46527777777777801</v>
      </c>
      <c r="C79" s="396" t="str">
        <f>'14U BOYS GOLD-26 TEAMS'!C30&amp;""</f>
        <v>COSTA MESA HS 1</v>
      </c>
      <c r="D79" s="396" t="str">
        <f>'14U BOYS GOLD-26 TEAMS'!D30&amp;""</f>
        <v>14Bau03</v>
      </c>
      <c r="E79" s="397" t="str">
        <f>'14U BOYS GOLD-26 TEAMS'!E30&amp;""</f>
        <v>9-STANFORD BLACK</v>
      </c>
      <c r="F79" s="397" t="str">
        <f>'14U BOYS GOLD-26 TEAMS'!F30&amp;""</f>
        <v>6</v>
      </c>
      <c r="G79" s="397" t="str">
        <f>'14U BOYS GOLD-26 TEAMS'!G30&amp;""</f>
        <v>24-PRIDE RED</v>
      </c>
      <c r="H79" s="397" t="str">
        <f>'14U BOYS GOLD-26 TEAMS'!H30&amp;""</f>
        <v>12</v>
      </c>
      <c r="I79" s="396" t="str">
        <f>'14U BOYS GOLD-26 TEAMS'!I30&amp;""</f>
        <v>W/L D2/D3</v>
      </c>
      <c r="J79" s="397" t="str">
        <f>'14U BOYS GOLD-26 TEAMS'!J30&amp;""</f>
        <v>14U_BOYS_GOLD</v>
      </c>
      <c r="K79" s="397" t="str">
        <f t="shared" si="2"/>
        <v>202601311110</v>
      </c>
    </row>
    <row r="80" spans="1:11">
      <c r="A80" s="394">
        <f>'14U BOYS GOLD-26 TEAMS'!A31</f>
        <v>46053</v>
      </c>
      <c r="B80" s="395">
        <f>'14U BOYS GOLD-26 TEAMS'!B31</f>
        <v>0.5</v>
      </c>
      <c r="C80" s="396" t="str">
        <f>'14U BOYS GOLD-26 TEAMS'!C31&amp;""</f>
        <v>COSTA MESA HS 1</v>
      </c>
      <c r="D80" s="396" t="str">
        <f>'14U BOYS GOLD-26 TEAMS'!D31&amp;""</f>
        <v>14Bau04</v>
      </c>
      <c r="E80" s="397" t="str">
        <f>'14U BOYS GOLD-26 TEAMS'!E31&amp;""</f>
        <v>A2(16)-SHORE AQUATICS</v>
      </c>
      <c r="F80" s="397" t="str">
        <f>'14U BOYS GOLD-26 TEAMS'!F31&amp;""</f>
        <v>17</v>
      </c>
      <c r="G80" s="397" t="str">
        <f>'14U BOYS GOLD-26 TEAMS'!G31&amp;""</f>
        <v>A3(17)-NORTH IRVINE RED</v>
      </c>
      <c r="H80" s="397" t="str">
        <f>'14U BOYS GOLD-26 TEAMS'!H31&amp;""</f>
        <v>1</v>
      </c>
      <c r="I80" s="396" t="str">
        <f>'14U BOYS GOLD-26 TEAMS'!I31&amp;""</f>
        <v>A bracket A2,A3</v>
      </c>
      <c r="J80" s="397" t="str">
        <f>'14U BOYS GOLD-26 TEAMS'!J31&amp;""</f>
        <v>14U_BOYS_GOLD</v>
      </c>
      <c r="K80" s="397" t="str">
        <f t="shared" si="2"/>
        <v>202601311200</v>
      </c>
    </row>
    <row r="81" spans="1:11">
      <c r="A81" s="394">
        <f>'14U BOYS GOLD-26 TEAMS'!A32</f>
        <v>46053</v>
      </c>
      <c r="B81" s="395">
        <f>'14U BOYS GOLD-26 TEAMS'!B32</f>
        <v>0.53472222222222199</v>
      </c>
      <c r="C81" s="396" t="str">
        <f>'14U BOYS GOLD-26 TEAMS'!C32&amp;""</f>
        <v>COSTA MESA HS 1</v>
      </c>
      <c r="D81" s="396" t="str">
        <f>'14U BOYS GOLD-26 TEAMS'!D32&amp;""</f>
        <v>14Bau10</v>
      </c>
      <c r="E81" s="396" t="str">
        <f>'14U BOYS GOLD-26 TEAMS'!E32&amp;""</f>
        <v>B2(13)-BACK BAY</v>
      </c>
      <c r="F81" s="396" t="str">
        <f>'14U BOYS GOLD-26 TEAMS'!F32&amp;""</f>
        <v>18</v>
      </c>
      <c r="G81" s="396" t="str">
        <f>'14U BOYS GOLD-26 TEAMS'!G32&amp;""</f>
        <v>B3(20)-LA JOLLA UNITED GOLD</v>
      </c>
      <c r="H81" s="396" t="str">
        <f>'14U BOYS GOLD-26 TEAMS'!H32&amp;""</f>
        <v>8</v>
      </c>
      <c r="I81" s="396" t="str">
        <f>'14U BOYS GOLD-26 TEAMS'!I32&amp;""</f>
        <v>B bracket B2,B3</v>
      </c>
      <c r="J81" s="397" t="str">
        <f>'14U BOYS GOLD-26 TEAMS'!J32&amp;""</f>
        <v>14U_BOYS_GOLD</v>
      </c>
      <c r="K81" s="397" t="str">
        <f t="shared" si="2"/>
        <v>202601311250</v>
      </c>
    </row>
    <row r="82" spans="1:11">
      <c r="A82" s="394">
        <f>'14U BOYS GOLD-26 TEAMS'!A33</f>
        <v>46053</v>
      </c>
      <c r="B82" s="395">
        <f>'14U BOYS GOLD-26 TEAMS'!B33</f>
        <v>0.56944444444444497</v>
      </c>
      <c r="C82" s="396" t="str">
        <f>'14U BOYS GOLD-26 TEAMS'!C33&amp;""</f>
        <v>COSTA MESA HS 1</v>
      </c>
      <c r="D82" s="396" t="str">
        <f>'14U BOYS GOLD-26 TEAMS'!D33&amp;""</f>
        <v>14Bau11</v>
      </c>
      <c r="E82" s="397" t="str">
        <f>'14U BOYS GOLD-26 TEAMS'!E33&amp;""</f>
        <v>C1(5)-LAWPC</v>
      </c>
      <c r="F82" s="397" t="str">
        <f>'14U BOYS GOLD-26 TEAMS'!F33&amp;""</f>
        <v>10</v>
      </c>
      <c r="G82" s="397" t="str">
        <f>'14U BOYS GOLD-26 TEAMS'!G33&amp;""</f>
        <v>C2(12)-NORTHWEST</v>
      </c>
      <c r="H82" s="397" t="str">
        <f>'14U BOYS GOLD-26 TEAMS'!H33&amp;""</f>
        <v>11</v>
      </c>
      <c r="I82" s="396" t="str">
        <f>'14U BOYS GOLD-26 TEAMS'!I33&amp;""</f>
        <v>C bracket C1,C2</v>
      </c>
      <c r="J82" s="397" t="str">
        <f>'14U BOYS GOLD-26 TEAMS'!J33&amp;""</f>
        <v>14U_BOYS_GOLD</v>
      </c>
      <c r="K82" s="397" t="str">
        <f t="shared" si="2"/>
        <v>202601311340</v>
      </c>
    </row>
    <row r="83" spans="1:11">
      <c r="A83" s="394">
        <f>'14U BOYS GOLD-26 TEAMS'!A34</f>
        <v>46053</v>
      </c>
      <c r="B83" s="395">
        <f>'14U BOYS GOLD-26 TEAMS'!B34</f>
        <v>0.60416666666666696</v>
      </c>
      <c r="C83" s="396" t="str">
        <f>'14U BOYS GOLD-26 TEAMS'!C34&amp;""</f>
        <v>COSTA MESA HS 1</v>
      </c>
      <c r="D83" s="396" t="str">
        <f>'14U BOYS GOLD-26 TEAMS'!D34&amp;""</f>
        <v>14Bau05</v>
      </c>
      <c r="E83" s="396" t="str">
        <f>'14U BOYS GOLD-26 TEAMS'!E34&amp;""</f>
        <v>L#2-AMERICAN RIVER BLUE</v>
      </c>
      <c r="F83" s="396" t="str">
        <f>'14U BOYS GOLD-26 TEAMS'!F34&amp;""</f>
        <v>10</v>
      </c>
      <c r="G83" s="396" t="str">
        <f>'14U BOYS GOLD-26 TEAMS'!G34&amp;""</f>
        <v>L#3-STANFORD BLACK</v>
      </c>
      <c r="H83" s="397" t="str">
        <f>'14U BOYS GOLD-26 TEAMS'!H34&amp;""</f>
        <v>4</v>
      </c>
      <c r="I83" s="396" t="str">
        <f>'14U BOYS GOLD-26 TEAMS'!I34&amp;""</f>
        <v>3rd/4th D</v>
      </c>
      <c r="J83" s="397" t="str">
        <f>'14U BOYS GOLD-26 TEAMS'!J34&amp;""</f>
        <v>14U_BOYS_GOLD</v>
      </c>
      <c r="K83" s="397" t="str">
        <f t="shared" si="2"/>
        <v>202601311430</v>
      </c>
    </row>
    <row r="84" spans="1:11">
      <c r="A84" s="394">
        <f>'14U BOYS GOLD-26 TEAMS'!A35</f>
        <v>46053</v>
      </c>
      <c r="B84" s="395">
        <f>'14U BOYS GOLD-26 TEAMS'!B35</f>
        <v>0.63888888888888895</v>
      </c>
      <c r="C84" s="396" t="str">
        <f>'14U BOYS GOLD-26 TEAMS'!C35&amp;""</f>
        <v>COSTA MESA HS 1</v>
      </c>
      <c r="D84" s="396" t="str">
        <f>'14U BOYS GOLD-26 TEAMS'!D35&amp;""</f>
        <v>14Bau06</v>
      </c>
      <c r="E84" s="396" t="str">
        <f>'14U BOYS GOLD-26 TEAMS'!E35&amp;""</f>
        <v>W#2-SAN CLEMENTE RED</v>
      </c>
      <c r="F84" s="396" t="str">
        <f>'14U BOYS GOLD-26 TEAMS'!F35&amp;""</f>
        <v>13</v>
      </c>
      <c r="G84" s="396" t="str">
        <f>'14U BOYS GOLD-26 TEAMS'!G35&amp;""</f>
        <v>W#3-PRIDE RED</v>
      </c>
      <c r="H84" s="397" t="str">
        <f>'14U BOYS GOLD-26 TEAMS'!H35&amp;""</f>
        <v>7</v>
      </c>
      <c r="I84" s="396" t="str">
        <f>'14U BOYS GOLD-26 TEAMS'!I35&amp;""</f>
        <v>1st/2nd D</v>
      </c>
      <c r="J84" s="397" t="str">
        <f>'14U BOYS GOLD-26 TEAMS'!J35&amp;""</f>
        <v>14U_BOYS_GOLD</v>
      </c>
      <c r="K84" s="397" t="str">
        <f t="shared" si="2"/>
        <v>202601311520</v>
      </c>
    </row>
    <row r="85" spans="1:11">
      <c r="A85" s="394">
        <f>'14U BOYS GOLD-26 TEAMS'!A36</f>
        <v>46053</v>
      </c>
      <c r="B85" s="395">
        <f>'14U BOYS GOLD-26 TEAMS'!B36</f>
        <v>0.67361111111111105</v>
      </c>
      <c r="C85" s="396" t="str">
        <f>'14U BOYS GOLD-26 TEAMS'!C36&amp;""</f>
        <v>COSTA MESA HS 1</v>
      </c>
      <c r="D85" s="396" t="str">
        <f>'14U BOYS GOLD-26 TEAMS'!D36&amp;""</f>
        <v>14Bau07</v>
      </c>
      <c r="E85" s="397" t="str">
        <f>'14U BOYS GOLD-26 TEAMS'!E36&amp;""</f>
        <v>A1(1)-HONOLULU BLUE</v>
      </c>
      <c r="F85" s="397" t="str">
        <f>'14U BOYS GOLD-26 TEAMS'!F36&amp;""</f>
        <v>10.3</v>
      </c>
      <c r="G85" s="397" t="str">
        <f>'14U BOYS GOLD-26 TEAMS'!G36&amp;""</f>
        <v>A3(17)-NORTH IRVINE RED</v>
      </c>
      <c r="H85" s="397" t="str">
        <f>'14U BOYS GOLD-26 TEAMS'!H36&amp;""</f>
        <v>10.4</v>
      </c>
      <c r="I85" s="396" t="str">
        <f>'14U BOYS GOLD-26 TEAMS'!I36&amp;""</f>
        <v>A bracket A1,A3</v>
      </c>
      <c r="J85" s="397" t="str">
        <f>'14U BOYS GOLD-26 TEAMS'!J36&amp;""</f>
        <v>14U_BOYS_GOLD</v>
      </c>
      <c r="K85" s="397" t="str">
        <f t="shared" si="2"/>
        <v>202601311610</v>
      </c>
    </row>
    <row r="86" spans="1:11">
      <c r="A86" s="394">
        <f>'14U BOYS GOLD-26 TEAMS'!A37</f>
        <v>46053</v>
      </c>
      <c r="B86" s="395">
        <f>'14U BOYS GOLD-26 TEAMS'!B37</f>
        <v>0.70833333333333404</v>
      </c>
      <c r="C86" s="396" t="str">
        <f>'14U BOYS GOLD-26 TEAMS'!C37&amp;""</f>
        <v>COSTA MESA HS 1</v>
      </c>
      <c r="D86" s="396" t="str">
        <f>'14U BOYS GOLD-26 TEAMS'!D37&amp;""</f>
        <v>14Bau12</v>
      </c>
      <c r="E86" s="396" t="str">
        <f>'14U BOYS GOLD-26 TEAMS'!E37&amp;""</f>
        <v>B1(4)-DAVIS</v>
      </c>
      <c r="F86" s="396" t="str">
        <f>'14U BOYS GOLD-26 TEAMS'!F37&amp;""</f>
        <v>4</v>
      </c>
      <c r="G86" s="396" t="str">
        <f>'14U BOYS GOLD-26 TEAMS'!G37&amp;""</f>
        <v>B2(13)-BACK BAY</v>
      </c>
      <c r="H86" s="396" t="str">
        <f>'14U BOYS GOLD-26 TEAMS'!H37&amp;""</f>
        <v>11</v>
      </c>
      <c r="I86" s="396" t="str">
        <f>'14U BOYS GOLD-26 TEAMS'!I37&amp;""</f>
        <v>B bracket B1,B2</v>
      </c>
      <c r="J86" s="397" t="str">
        <f>'14U BOYS GOLD-26 TEAMS'!J37&amp;""</f>
        <v>14U_BOYS_GOLD</v>
      </c>
      <c r="K86" s="397" t="str">
        <f t="shared" si="2"/>
        <v>202601311700</v>
      </c>
    </row>
    <row r="87" spans="1:11">
      <c r="A87" s="394">
        <f>'14U BOYS GOLD-26 TEAMS'!A38</f>
        <v>46053</v>
      </c>
      <c r="B87" s="395">
        <f>'14U BOYS GOLD-26 TEAMS'!B38</f>
        <v>0.74305555555555602</v>
      </c>
      <c r="C87" s="396" t="str">
        <f>'14U BOYS GOLD-26 TEAMS'!C38&amp;""</f>
        <v>COSTA MESA HS 1</v>
      </c>
      <c r="D87" s="396" t="str">
        <f>'14U BOYS GOLD-26 TEAMS'!D38&amp;""</f>
        <v>14Bau13</v>
      </c>
      <c r="E87" s="397" t="str">
        <f>'14U BOYS GOLD-26 TEAMS'!E38&amp;""</f>
        <v>C2(12)-NORTHWEST</v>
      </c>
      <c r="F87" s="397" t="str">
        <f>'14U BOYS GOLD-26 TEAMS'!F38&amp;""</f>
        <v>9</v>
      </c>
      <c r="G87" s="397" t="str">
        <f>'14U BOYS GOLD-26 TEAMS'!G38&amp;""</f>
        <v>C3(21)-STANFORD 13</v>
      </c>
      <c r="H87" s="397" t="str">
        <f>'14U BOYS GOLD-26 TEAMS'!H38&amp;""</f>
        <v>7</v>
      </c>
      <c r="I87" s="396" t="str">
        <f>'14U BOYS GOLD-26 TEAMS'!I38&amp;""</f>
        <v>C bracket C2,C3</v>
      </c>
      <c r="J87" s="397" t="str">
        <f>'14U BOYS GOLD-26 TEAMS'!J38&amp;""</f>
        <v>14U_BOYS_GOLD</v>
      </c>
      <c r="K87" s="397" t="str">
        <f t="shared" si="2"/>
        <v>202601311750</v>
      </c>
    </row>
    <row r="88" spans="1:11">
      <c r="A88" s="387">
        <f>'14U BOYS SILVER-18 TEAMS'!A44</f>
        <v>46054</v>
      </c>
      <c r="B88" s="388">
        <f>'14U BOYS SILVER-18 TEAMS'!B44</f>
        <v>0.3263888888888889</v>
      </c>
      <c r="C88" s="388" t="str">
        <f>'14U BOYS SILVER-18 TEAMS'!C44&amp;""</f>
        <v>COSTA MESA HS 1</v>
      </c>
      <c r="D88" s="389" t="str">
        <f>'14U BOYS SILVER-18 TEAMS'!D44&amp;""</f>
        <v>14Bag19</v>
      </c>
      <c r="E88" s="390" t="str">
        <f>'14U BOYS SILVER-18 TEAMS'!E44&amp;""</f>
        <v>G1(1stA)-POWAY VALLEY BLACK</v>
      </c>
      <c r="F88" s="391" t="str">
        <f>'14U BOYS SILVER-18 TEAMS'!F44&amp;""</f>
        <v>8</v>
      </c>
      <c r="G88" s="390" t="str">
        <f>'14U BOYS SILVER-18 TEAMS'!G44&amp;""</f>
        <v>G2(1stB)-SAN FRANCISCO</v>
      </c>
      <c r="H88" s="391" t="str">
        <f>'14U BOYS SILVER-18 TEAMS'!H44&amp;""</f>
        <v>5</v>
      </c>
      <c r="I88" s="392" t="str">
        <f>'14U BOYS SILVER-18 TEAMS'!I44&amp;""</f>
        <v>1st-6th</v>
      </c>
      <c r="J88" s="389" t="str">
        <f>'14U BOYS SILVER-18 TEAMS'!J44&amp;""</f>
        <v>14U_BOYS_SILVER</v>
      </c>
      <c r="K88" s="389" t="str">
        <f t="shared" si="2"/>
        <v>202602010750</v>
      </c>
    </row>
    <row r="89" spans="1:11">
      <c r="A89" s="387">
        <f>'14U BOYS SILVER-18 TEAMS'!A45</f>
        <v>46054</v>
      </c>
      <c r="B89" s="388">
        <f>'14U BOYS SILVER-18 TEAMS'!B45</f>
        <v>0.36111111111111099</v>
      </c>
      <c r="C89" s="388" t="str">
        <f>'14U BOYS SILVER-18 TEAMS'!C45&amp;""</f>
        <v>COSTA MESA HS 1</v>
      </c>
      <c r="D89" s="389" t="str">
        <f>'14U BOYS SILVER-18 TEAMS'!D45&amp;""</f>
        <v>14Bag21</v>
      </c>
      <c r="E89" s="388" t="str">
        <f>'14U BOYS SILVER-18 TEAMS'!E45&amp;""</f>
        <v>H1(1stD)-SAND CANYON</v>
      </c>
      <c r="F89" s="392" t="str">
        <f>'14U BOYS SILVER-18 TEAMS'!F45&amp;""</f>
        <v>11</v>
      </c>
      <c r="G89" s="388" t="str">
        <f>'14U BOYS SILVER-18 TEAMS'!G45&amp;""</f>
        <v>H2(1stE)-GOLD COAST</v>
      </c>
      <c r="H89" s="391" t="str">
        <f>'14U BOYS SILVER-18 TEAMS'!H45&amp;""</f>
        <v>14</v>
      </c>
      <c r="I89" s="392" t="str">
        <f>'14U BOYS SILVER-18 TEAMS'!I45&amp;""</f>
        <v>1st-6th</v>
      </c>
      <c r="J89" s="389" t="str">
        <f>'14U BOYS SILVER-18 TEAMS'!J45&amp;""</f>
        <v>14U_BOYS_SILVER</v>
      </c>
      <c r="K89" s="389" t="str">
        <f t="shared" si="2"/>
        <v>202602010840</v>
      </c>
    </row>
    <row r="90" spans="1:11">
      <c r="A90" s="387">
        <f>'14U BOYS SILVER-18 TEAMS'!A46</f>
        <v>46054</v>
      </c>
      <c r="B90" s="388">
        <f>'14U BOYS SILVER-18 TEAMS'!B46</f>
        <v>0.39583333333333398</v>
      </c>
      <c r="C90" s="388" t="str">
        <f>'14U BOYS SILVER-18 TEAMS'!C46&amp;""</f>
        <v>COSTA MESA HS 1</v>
      </c>
      <c r="D90" s="389" t="str">
        <f>'14U BOYS SILVER-18 TEAMS'!D46&amp;""</f>
        <v>14Bag23</v>
      </c>
      <c r="E90" s="390" t="str">
        <f>'14U BOYS SILVER-18 TEAMS'!E46&amp;""</f>
        <v>J1(2ndF)-NADO</v>
      </c>
      <c r="F90" s="391" t="str">
        <f>'14U BOYS SILVER-18 TEAMS'!F46&amp;""</f>
        <v>16</v>
      </c>
      <c r="G90" s="390" t="str">
        <f>'14U BOYS SILVER-18 TEAMS'!G46&amp;""</f>
        <v>J2(2ndE)-HONOLULU GREEN</v>
      </c>
      <c r="H90" s="391" t="str">
        <f>'14U BOYS SILVER-18 TEAMS'!H46&amp;""</f>
        <v>11</v>
      </c>
      <c r="I90" s="392" t="str">
        <f>'14U BOYS SILVER-18 TEAMS'!I46&amp;""</f>
        <v>7th-12th</v>
      </c>
      <c r="J90" s="389" t="str">
        <f>'14U BOYS SILVER-18 TEAMS'!J46&amp;""</f>
        <v>14U_BOYS_SILVER</v>
      </c>
      <c r="K90" s="389" t="str">
        <f t="shared" si="2"/>
        <v>202602010930</v>
      </c>
    </row>
    <row r="91" spans="1:11">
      <c r="A91" s="387">
        <f>'14U BOYS SILVER-18 TEAMS'!A47</f>
        <v>46054</v>
      </c>
      <c r="B91" s="388">
        <f>'14U BOYS SILVER-18 TEAMS'!B47</f>
        <v>0.43055555555555602</v>
      </c>
      <c r="C91" s="388" t="str">
        <f>'14U BOYS SILVER-18 TEAMS'!C47&amp;""</f>
        <v>COSTA MESA HS 1</v>
      </c>
      <c r="D91" s="389" t="str">
        <f>'14U BOYS SILVER-18 TEAMS'!D47&amp;""</f>
        <v>14Bag25</v>
      </c>
      <c r="E91" s="390" t="str">
        <f>'14U BOYS SILVER-18 TEAMS'!E47&amp;""</f>
        <v>G1(1stA)-POWAY VALLEY BLACK</v>
      </c>
      <c r="F91" s="391" t="str">
        <f>'14U BOYS SILVER-18 TEAMS'!F47&amp;""</f>
        <v>8</v>
      </c>
      <c r="G91" s="390" t="str">
        <f>'14U BOYS SILVER-18 TEAMS'!G47&amp;""</f>
        <v>G3(1stC)-PASADENA AC</v>
      </c>
      <c r="H91" s="391" t="str">
        <f>'14U BOYS SILVER-18 TEAMS'!H47&amp;""</f>
        <v>5</v>
      </c>
      <c r="I91" s="392" t="str">
        <f>'14U BOYS SILVER-18 TEAMS'!I47&amp;""</f>
        <v>1st-6th</v>
      </c>
      <c r="J91" s="389" t="str">
        <f>'14U BOYS SILVER-18 TEAMS'!J47&amp;""</f>
        <v>14U_BOYS_SILVER</v>
      </c>
      <c r="K91" s="389" t="str">
        <f t="shared" si="2"/>
        <v>202602011020</v>
      </c>
    </row>
    <row r="92" spans="1:11">
      <c r="A92" s="387">
        <f>'14U BOYS SILVER-18 TEAMS'!A48</f>
        <v>46054</v>
      </c>
      <c r="B92" s="388">
        <f>'14U BOYS SILVER-18 TEAMS'!B48</f>
        <v>0.46527777777777801</v>
      </c>
      <c r="C92" s="388" t="str">
        <f>'14U BOYS SILVER-18 TEAMS'!C48&amp;""</f>
        <v>COSTA MESA HS 1</v>
      </c>
      <c r="D92" s="389" t="str">
        <f>'14U BOYS SILVER-18 TEAMS'!D48&amp;""</f>
        <v>14Bag27</v>
      </c>
      <c r="E92" s="388" t="str">
        <f>'14U BOYS SILVER-18 TEAMS'!E48&amp;""</f>
        <v>H1(1stD)-SAND CANYON</v>
      </c>
      <c r="F92" s="392" t="str">
        <f>'14U BOYS SILVER-18 TEAMS'!F48&amp;""</f>
        <v>12</v>
      </c>
      <c r="G92" s="388" t="str">
        <f>'14U BOYS SILVER-18 TEAMS'!G48&amp;""</f>
        <v>H3(1stF)-680 WHITE</v>
      </c>
      <c r="H92" s="391" t="str">
        <f>'14U BOYS SILVER-18 TEAMS'!H48&amp;""</f>
        <v>7</v>
      </c>
      <c r="I92" s="392" t="str">
        <f>'14U BOYS SILVER-18 TEAMS'!I48&amp;""</f>
        <v>1st-6th</v>
      </c>
      <c r="J92" s="389" t="str">
        <f>'14U BOYS SILVER-18 TEAMS'!J48&amp;""</f>
        <v>14U_BOYS_SILVER</v>
      </c>
      <c r="K92" s="389" t="str">
        <f t="shared" si="2"/>
        <v>202602011110</v>
      </c>
    </row>
    <row r="93" spans="1:11">
      <c r="A93" s="387">
        <f>'14U BOYS SILVER-18 TEAMS'!A49</f>
        <v>46054</v>
      </c>
      <c r="B93" s="388">
        <f>'14U BOYS SILVER-18 TEAMS'!B49</f>
        <v>0.5</v>
      </c>
      <c r="C93" s="388" t="str">
        <f>'14U BOYS SILVER-18 TEAMS'!C49&amp;""</f>
        <v>COSTA MESA HS 1</v>
      </c>
      <c r="D93" s="389" t="str">
        <f>'14U BOYS SILVER-18 TEAMS'!D49&amp;""</f>
        <v>14Bag35</v>
      </c>
      <c r="E93" s="388" t="str">
        <f>'14U BOYS SILVER-18 TEAMS'!E49&amp;""</f>
        <v>J2(2ndE)-HONOLULU GREEN</v>
      </c>
      <c r="F93" s="392" t="str">
        <f>'14U BOYS SILVER-18 TEAMS'!F49&amp;""</f>
        <v>8</v>
      </c>
      <c r="G93" s="388" t="str">
        <f>'14U BOYS SILVER-18 TEAMS'!G49&amp;""</f>
        <v>J3(2ndD)-PALOS VERDES B</v>
      </c>
      <c r="H93" s="391" t="str">
        <f>'14U BOYS SILVER-18 TEAMS'!H49&amp;""</f>
        <v>11</v>
      </c>
      <c r="I93" s="392" t="str">
        <f>'14U BOYS SILVER-18 TEAMS'!I49&amp;""</f>
        <v>7th-12th</v>
      </c>
      <c r="J93" s="389" t="str">
        <f>'14U BOYS SILVER-18 TEAMS'!J49&amp;""</f>
        <v>14U_BOYS_SILVER</v>
      </c>
      <c r="K93" s="389" t="str">
        <f t="shared" si="2"/>
        <v>202602011200</v>
      </c>
    </row>
    <row r="94" spans="1:11">
      <c r="A94" s="387">
        <f>'14U BOYS SILVER-18 TEAMS'!A50</f>
        <v>46054</v>
      </c>
      <c r="B94" s="388">
        <f>'14U BOYS SILVER-18 TEAMS'!B50</f>
        <v>0.53472222222222199</v>
      </c>
      <c r="C94" s="388" t="str">
        <f>'14U BOYS SILVER-18 TEAMS'!C50&amp;""</f>
        <v>COSTA MESA HS 1</v>
      </c>
      <c r="D94" s="389" t="str">
        <f>'14U BOYS SILVER-18 TEAMS'!D50&amp;""</f>
        <v>14Bag31</v>
      </c>
      <c r="E94" s="388" t="str">
        <f>'14U BOYS SILVER-18 TEAMS'!E50&amp;""</f>
        <v>G2(1stB)-SAN FRANCISCO</v>
      </c>
      <c r="F94" s="392" t="str">
        <f>'14U BOYS SILVER-18 TEAMS'!F50&amp;""</f>
        <v>6</v>
      </c>
      <c r="G94" s="388" t="str">
        <f>'14U BOYS SILVER-18 TEAMS'!G50&amp;""</f>
        <v>G3(1stC)-PASADENA AC</v>
      </c>
      <c r="H94" s="391" t="str">
        <f>'14U BOYS SILVER-18 TEAMS'!H50&amp;""</f>
        <v>11</v>
      </c>
      <c r="I94" s="392" t="str">
        <f>'14U BOYS SILVER-18 TEAMS'!I50&amp;""</f>
        <v>1st-6th</v>
      </c>
      <c r="J94" s="389" t="str">
        <f>'14U BOYS SILVER-18 TEAMS'!J50&amp;""</f>
        <v>14U_BOYS_SILVER</v>
      </c>
      <c r="K94" s="389" t="str">
        <f t="shared" si="2"/>
        <v>202602011250</v>
      </c>
    </row>
    <row r="95" spans="1:11">
      <c r="A95" s="387">
        <f>'14U BOYS SILVER-18 TEAMS'!A51</f>
        <v>46054</v>
      </c>
      <c r="B95" s="388">
        <f>'14U BOYS SILVER-18 TEAMS'!B51</f>
        <v>0.56944444444444497</v>
      </c>
      <c r="C95" s="388" t="str">
        <f>'14U BOYS SILVER-18 TEAMS'!C51&amp;""</f>
        <v>COSTA MESA HS 1</v>
      </c>
      <c r="D95" s="389" t="str">
        <f>'14U BOYS SILVER-18 TEAMS'!D51&amp;""</f>
        <v>14Bag33</v>
      </c>
      <c r="E95" s="388" t="str">
        <f>'14U BOYS SILVER-18 TEAMS'!E51&amp;""</f>
        <v>H2(1stE)-GOLD COAST</v>
      </c>
      <c r="F95" s="392" t="str">
        <f>'14U BOYS SILVER-18 TEAMS'!F51&amp;""</f>
        <v>14</v>
      </c>
      <c r="G95" s="388" t="str">
        <f>'14U BOYS SILVER-18 TEAMS'!G51&amp;""</f>
        <v>H3(1stF)-680 WHITE</v>
      </c>
      <c r="H95" s="391" t="str">
        <f>'14U BOYS SILVER-18 TEAMS'!H51&amp;""</f>
        <v>10</v>
      </c>
      <c r="I95" s="392" t="str">
        <f>'14U BOYS SILVER-18 TEAMS'!I51&amp;""</f>
        <v>1st-6th</v>
      </c>
      <c r="J95" s="389" t="str">
        <f>'14U BOYS SILVER-18 TEAMS'!J51&amp;""</f>
        <v>14U_BOYS_SILVER</v>
      </c>
      <c r="K95" s="389" t="str">
        <f t="shared" si="2"/>
        <v>202602011340</v>
      </c>
    </row>
    <row r="96" spans="1:11">
      <c r="A96" s="387">
        <f>'14U BOYS SILVER-18 TEAMS'!A52</f>
        <v>46054</v>
      </c>
      <c r="B96" s="388">
        <f>'14U BOYS SILVER-18 TEAMS'!B52</f>
        <v>0.60416666666666696</v>
      </c>
      <c r="C96" s="388" t="str">
        <f>'14U BOYS SILVER-18 TEAMS'!C52&amp;""</f>
        <v>COSTA MESA HS 1</v>
      </c>
      <c r="D96" s="389" t="str">
        <f>'14U BOYS SILVER-18 TEAMS'!D52&amp;""</f>
        <v>14Bag29</v>
      </c>
      <c r="E96" s="390" t="str">
        <f>'14U BOYS SILVER-18 TEAMS'!E52&amp;""</f>
        <v>J1(2ndF)-NADO</v>
      </c>
      <c r="F96" s="391" t="str">
        <f>'14U BOYS SILVER-18 TEAMS'!F52&amp;""</f>
        <v>11</v>
      </c>
      <c r="G96" s="390" t="str">
        <f>'14U BOYS SILVER-18 TEAMS'!G52&amp;""</f>
        <v>J3(2ndD)-PALOS VERDES B</v>
      </c>
      <c r="H96" s="391" t="str">
        <f>'14U BOYS SILVER-18 TEAMS'!H52&amp;""</f>
        <v>10</v>
      </c>
      <c r="I96" s="392" t="str">
        <f>'14U BOYS SILVER-18 TEAMS'!I52&amp;""</f>
        <v>7th-12th</v>
      </c>
      <c r="J96" s="389" t="str">
        <f>'14U BOYS SILVER-18 TEAMS'!J52&amp;""</f>
        <v>14U_BOYS_SILVER</v>
      </c>
      <c r="K96" s="389" t="str">
        <f t="shared" si="2"/>
        <v>202602011430</v>
      </c>
    </row>
    <row r="97" spans="1:11">
      <c r="A97" s="387">
        <f>'14U BOYS SILVER-18 TEAMS'!A53</f>
        <v>46054</v>
      </c>
      <c r="B97" s="388">
        <f>'14U BOYS SILVER-18 TEAMS'!B53</f>
        <v>0.63888888888888895</v>
      </c>
      <c r="C97" s="388" t="str">
        <f>'14U BOYS SILVER-18 TEAMS'!C53&amp;""</f>
        <v>COSTA MESA HS 1</v>
      </c>
      <c r="D97" s="389" t="str">
        <f>'14U BOYS SILVER-18 TEAMS'!D53&amp;""</f>
        <v>14Bag37</v>
      </c>
      <c r="E97" s="388" t="str">
        <f>'14U BOYS SILVER-18 TEAMS'!E53&amp;""</f>
        <v>2ndG-PASADENA AC</v>
      </c>
      <c r="F97" s="392" t="str">
        <f>'14U BOYS SILVER-18 TEAMS'!F53&amp;""</f>
        <v>15</v>
      </c>
      <c r="G97" s="388" t="str">
        <f>'14U BOYS SILVER-18 TEAMS'!G53&amp;""</f>
        <v>2ndH-SAND CANYON</v>
      </c>
      <c r="H97" s="391" t="str">
        <f>'14U BOYS SILVER-18 TEAMS'!H53&amp;""</f>
        <v>14</v>
      </c>
      <c r="I97" s="392" t="str">
        <f>'14U BOYS SILVER-18 TEAMS'!I53&amp;""</f>
        <v>overall 3rd</v>
      </c>
      <c r="J97" s="389" t="str">
        <f>'14U BOYS SILVER-18 TEAMS'!J53&amp;""</f>
        <v>14U_BOYS_SILVER</v>
      </c>
      <c r="K97" s="389" t="str">
        <f t="shared" si="2"/>
        <v>202602011520</v>
      </c>
    </row>
    <row r="98" spans="1:11">
      <c r="A98" s="387">
        <f>'14U BOYS SILVER-18 TEAMS'!A54</f>
        <v>46054</v>
      </c>
      <c r="B98" s="388">
        <f>'14U BOYS SILVER-18 TEAMS'!B54</f>
        <v>0.67361111111111105</v>
      </c>
      <c r="C98" s="388" t="str">
        <f>'14U BOYS SILVER-18 TEAMS'!C54&amp;""</f>
        <v>COSTA MESA HS 1</v>
      </c>
      <c r="D98" s="389" t="str">
        <f>'14U BOYS SILVER-18 TEAMS'!D54&amp;""</f>
        <v>14Bag38</v>
      </c>
      <c r="E98" s="388" t="str">
        <f>'14U BOYS SILVER-18 TEAMS'!E54&amp;""</f>
        <v>1stG-POWAY VALLEY BLACK</v>
      </c>
      <c r="F98" s="392" t="str">
        <f>'14U BOYS SILVER-18 TEAMS'!F54&amp;""</f>
        <v>11</v>
      </c>
      <c r="G98" s="388" t="str">
        <f>'14U BOYS SILVER-18 TEAMS'!G54&amp;""</f>
        <v>1stH-GOLD COAST</v>
      </c>
      <c r="H98" s="391" t="str">
        <f>'14U BOYS SILVER-18 TEAMS'!H54&amp;""</f>
        <v>6</v>
      </c>
      <c r="I98" s="392" t="str">
        <f>'14U BOYS SILVER-18 TEAMS'!I54&amp;""</f>
        <v>overall 1st</v>
      </c>
      <c r="J98" s="389" t="str">
        <f>'14U BOYS SILVER-18 TEAMS'!J54&amp;""</f>
        <v>14U_BOYS_SILVER</v>
      </c>
      <c r="K98" s="389" t="str">
        <f t="shared" ref="K98:K129" si="3">TEXT(DATE(2026, MONTH(A98), DAY(A98)) + TIME(HOUR(B98), MINUTE(B98), 0), "yyyymmddhhmm")</f>
        <v>202602011610</v>
      </c>
    </row>
    <row r="99" spans="1:11">
      <c r="A99" s="432">
        <f>'19U BOYS GOLD-16 TEAMS'!A41</f>
        <v>46054</v>
      </c>
      <c r="B99" s="433">
        <f>'19U BOYS GOLD-16 TEAMS'!B41</f>
        <v>0.70833333333333404</v>
      </c>
      <c r="C99" s="433" t="str">
        <f>'19U BOYS GOLD-16 TEAMS'!C41&amp;""</f>
        <v>COSTA MESA HS 1</v>
      </c>
      <c r="D99" s="434" t="str">
        <f>'19U BOYS GOLD-16 TEAMS'!D41&amp;""</f>
        <v>19Bau31</v>
      </c>
      <c r="E99" s="434" t="str">
        <f>'19U BOYS GOLD-16 TEAMS'!E41&amp;""</f>
        <v>W#27-SET</v>
      </c>
      <c r="F99" s="434" t="str">
        <f>'19U BOYS GOLD-16 TEAMS'!F41&amp;""</f>
        <v>8.4</v>
      </c>
      <c r="G99" s="434" t="str">
        <f>'19U BOYS GOLD-16 TEAMS'!G41&amp;""</f>
        <v>W#28-NORTHWEST</v>
      </c>
      <c r="H99" s="434" t="str">
        <f>'19U BOYS GOLD-16 TEAMS'!H41&amp;""</f>
        <v>8.3</v>
      </c>
      <c r="I99" s="434" t="str">
        <f>'19U BOYS GOLD-16 TEAMS'!I41&amp;""</f>
        <v>9th</v>
      </c>
      <c r="J99" s="434" t="str">
        <f>'19U BOYS GOLD-16 TEAMS'!J41&amp;""</f>
        <v>19U_BOYS_GOLD</v>
      </c>
      <c r="K99" s="434" t="str">
        <f t="shared" si="3"/>
        <v>202602011700</v>
      </c>
    </row>
    <row r="100" spans="1:11">
      <c r="A100" s="375">
        <f>'12U COED-7 TEAMS'!A10</f>
        <v>46053</v>
      </c>
      <c r="B100" s="376">
        <f>'12U COED-7 TEAMS'!B10</f>
        <v>0.3263888888888889</v>
      </c>
      <c r="C100" s="377" t="str">
        <f>'12U COED-7 TEAMS'!C10&amp;""</f>
        <v>COSTA MESA HS 2</v>
      </c>
      <c r="D100" s="377" t="str">
        <f>'12U COED-7 TEAMS'!D10&amp;""</f>
        <v>12C01</v>
      </c>
      <c r="E100" s="377" t="str">
        <f>'12U COED-7 TEAMS'!E10&amp;""</f>
        <v>A1-CMAC</v>
      </c>
      <c r="F100" s="377" t="str">
        <f>'12U COED-7 TEAMS'!F10&amp;""</f>
        <v>8</v>
      </c>
      <c r="G100" s="377" t="str">
        <f>'12U COED-7 TEAMS'!G10&amp;""</f>
        <v>A3-PALOS VERDES</v>
      </c>
      <c r="H100" s="377" t="str">
        <f>'12U COED-7 TEAMS'!H10&amp;""</f>
        <v>14</v>
      </c>
      <c r="I100" s="377" t="str">
        <f>'12U COED-7 TEAMS'!I10&amp;""</f>
        <v>A bracket A1,A3</v>
      </c>
      <c r="J100" s="377" t="str">
        <f>'12U COED-7 TEAMS'!J10&amp;""</f>
        <v>12U_COED</v>
      </c>
      <c r="K100" s="377" t="str">
        <f t="shared" si="3"/>
        <v>202601310750</v>
      </c>
    </row>
    <row r="101" spans="1:11">
      <c r="A101" s="354">
        <f>'12U BOYS GOLD-24 TEAMS'!A14</f>
        <v>46053</v>
      </c>
      <c r="B101" s="355">
        <f>'12U BOYS GOLD-24 TEAMS'!B14</f>
        <v>0.36111111111111099</v>
      </c>
      <c r="C101" s="355" t="str">
        <f>'12U BOYS GOLD-24 TEAMS'!C14&amp;""</f>
        <v>COSTA MESA HS 2</v>
      </c>
      <c r="D101" s="356" t="str">
        <f>'12U BOYS GOLD-24 TEAMS'!D14&amp;""</f>
        <v>12Bau01</v>
      </c>
      <c r="E101" s="354" t="str">
        <f>'12U BOYS GOLD-24 TEAMS'!E14&amp;""</f>
        <v>A1(1)-ORANGE COUNTY WPC BLUE</v>
      </c>
      <c r="F101" s="356" t="str">
        <f>'12U BOYS GOLD-24 TEAMS'!F14&amp;""</f>
        <v>11</v>
      </c>
      <c r="G101" s="354" t="str">
        <f>'12U BOYS GOLD-24 TEAMS'!G14&amp;""</f>
        <v>A2(16)-STANFORD BLACK</v>
      </c>
      <c r="H101" s="356" t="str">
        <f>'12U BOYS GOLD-24 TEAMS'!H14&amp;""</f>
        <v>5</v>
      </c>
      <c r="I101" s="356" t="str">
        <f>'12U BOYS GOLD-24 TEAMS'!I14&amp;""</f>
        <v>A bracket A1,A2</v>
      </c>
      <c r="J101" s="356" t="str">
        <f>'12U BOYS GOLD-24 TEAMS'!J14&amp;""</f>
        <v>12U_BOYS_GOLD</v>
      </c>
      <c r="K101" s="356" t="str">
        <f t="shared" si="3"/>
        <v>202601310840</v>
      </c>
    </row>
    <row r="102" spans="1:11">
      <c r="A102" s="354">
        <f>'12U BOYS GOLD-24 TEAMS'!A15</f>
        <v>46053</v>
      </c>
      <c r="B102" s="355">
        <f>'12U BOYS GOLD-24 TEAMS'!B15</f>
        <v>0.39583333333333398</v>
      </c>
      <c r="C102" s="355" t="str">
        <f>'12U BOYS GOLD-24 TEAMS'!C15&amp;""</f>
        <v>COSTA MESA HS 2</v>
      </c>
      <c r="D102" s="356" t="str">
        <f>'12U BOYS GOLD-24 TEAMS'!D15&amp;""</f>
        <v>12Bau02</v>
      </c>
      <c r="E102" s="356" t="str">
        <f>'12U BOYS GOLD-24 TEAMS'!E15&amp;""</f>
        <v>C1(5)-BACK BAY</v>
      </c>
      <c r="F102" s="356" t="str">
        <f>'12U BOYS GOLD-24 TEAMS'!F15&amp;""</f>
        <v>6</v>
      </c>
      <c r="G102" s="356" t="str">
        <f>'12U BOYS GOLD-24 TEAMS'!G15&amp;""</f>
        <v>C3(21)-MISSION WPC B</v>
      </c>
      <c r="H102" s="356" t="str">
        <f>'12U BOYS GOLD-24 TEAMS'!H15&amp;""</f>
        <v>16</v>
      </c>
      <c r="I102" s="356" t="str">
        <f>'12U BOYS GOLD-24 TEAMS'!I15&amp;""</f>
        <v>C bracket C1,C3</v>
      </c>
      <c r="J102" s="356" t="str">
        <f>'12U BOYS GOLD-24 TEAMS'!J15&amp;""</f>
        <v>12U_BOYS_GOLD</v>
      </c>
      <c r="K102" s="356" t="str">
        <f t="shared" si="3"/>
        <v>202601310930</v>
      </c>
    </row>
    <row r="103" spans="1:11">
      <c r="A103" s="375">
        <f>'12U COED-7 TEAMS'!A13</f>
        <v>46053</v>
      </c>
      <c r="B103" s="376">
        <f>'12U COED-7 TEAMS'!B13</f>
        <v>0.43055555555555602</v>
      </c>
      <c r="C103" s="377" t="str">
        <f>'12U COED-7 TEAMS'!C13&amp;""</f>
        <v>COSTA MESA HS 2</v>
      </c>
      <c r="D103" s="377" t="str">
        <f>'12U COED-7 TEAMS'!D13&amp;""</f>
        <v>12C04</v>
      </c>
      <c r="E103" s="377" t="str">
        <f>'12U COED-7 TEAMS'!E13&amp;""</f>
        <v>A1-CMAC</v>
      </c>
      <c r="F103" s="377" t="str">
        <f>'12U COED-7 TEAMS'!F13&amp;""</f>
        <v>12</v>
      </c>
      <c r="G103" s="377" t="str">
        <f>'12U COED-7 TEAMS'!G13&amp;""</f>
        <v>A2-SET</v>
      </c>
      <c r="H103" s="377" t="str">
        <f>'12U COED-7 TEAMS'!H13&amp;""</f>
        <v>20</v>
      </c>
      <c r="I103" s="377" t="str">
        <f>'12U COED-7 TEAMS'!I13&amp;""</f>
        <v>A bracket A1,A2</v>
      </c>
      <c r="J103" s="377" t="str">
        <f>'12U COED-7 TEAMS'!J13&amp;""</f>
        <v>12U_COED</v>
      </c>
      <c r="K103" s="377" t="str">
        <f t="shared" si="3"/>
        <v>202601311020</v>
      </c>
    </row>
    <row r="104" spans="1:11">
      <c r="A104" s="357">
        <f>'12U BOYS GOLD-24 TEAMS'!A30</f>
        <v>46053</v>
      </c>
      <c r="B104" s="358">
        <f>'12U BOYS GOLD-24 TEAMS'!B30</f>
        <v>0.46527777777777801</v>
      </c>
      <c r="C104" s="358" t="str">
        <f>'12U BOYS GOLD-24 TEAMS'!C30&amp;""</f>
        <v>COSTA MESA HS 2</v>
      </c>
      <c r="D104" s="359" t="str">
        <f>'12U BOYS GOLD-24 TEAMS'!D30&amp;""</f>
        <v>12Bau01A</v>
      </c>
      <c r="E104" s="357" t="str">
        <f>'12U BOYS GOLD-24 TEAMS'!E30&amp;""</f>
        <v>E1(2)-TROJAN</v>
      </c>
      <c r="F104" s="359" t="str">
        <f>'12U BOYS GOLD-24 TEAMS'!F30&amp;""</f>
        <v>15</v>
      </c>
      <c r="G104" s="357" t="str">
        <f>'12U BOYS GOLD-24 TEAMS'!G30&amp;""</f>
        <v>E3(18)-CC UNITED WHITE</v>
      </c>
      <c r="H104" s="359" t="str">
        <f>'12U BOYS GOLD-24 TEAMS'!H30&amp;""</f>
        <v>3</v>
      </c>
      <c r="I104" s="359" t="str">
        <f>'12U BOYS GOLD-24 TEAMS'!I30&amp;""</f>
        <v>E bracket E1,E3</v>
      </c>
      <c r="J104" s="359" t="str">
        <f>'12U BOYS GOLD-24 TEAMS'!J30&amp;""</f>
        <v>12U_BOYS_GOLD</v>
      </c>
      <c r="K104" s="359" t="str">
        <f t="shared" si="3"/>
        <v>202601311110</v>
      </c>
    </row>
    <row r="105" spans="1:11">
      <c r="A105" s="357">
        <f>'12U BOYS GOLD-24 TEAMS'!A32</f>
        <v>46053</v>
      </c>
      <c r="B105" s="358">
        <f>'12U BOYS GOLD-24 TEAMS'!B32</f>
        <v>0.5</v>
      </c>
      <c r="C105" s="358" t="str">
        <f>'12U BOYS GOLD-24 TEAMS'!C32&amp;""</f>
        <v>COSTA MESA HS 2</v>
      </c>
      <c r="D105" s="359" t="str">
        <f>'12U BOYS GOLD-24 TEAMS'!D32&amp;""</f>
        <v>12Bau02A</v>
      </c>
      <c r="E105" s="359" t="str">
        <f>'12U BOYS GOLD-24 TEAMS'!E32&amp;""</f>
        <v>H1(7)-FOOTHILL RED</v>
      </c>
      <c r="F105" s="359" t="str">
        <f>'12U BOYS GOLD-24 TEAMS'!F32&amp;""</f>
        <v>12</v>
      </c>
      <c r="G105" s="359" t="str">
        <f>'12U BOYS GOLD-24 TEAMS'!G32&amp;""</f>
        <v>H3(23)-STANFORD WHITE</v>
      </c>
      <c r="H105" s="359" t="str">
        <f>'12U BOYS GOLD-24 TEAMS'!H32&amp;""</f>
        <v>2</v>
      </c>
      <c r="I105" s="359" t="str">
        <f>'12U BOYS GOLD-24 TEAMS'!I32&amp;""</f>
        <v>H bracket H1,H3</v>
      </c>
      <c r="J105" s="359" t="str">
        <f>'12U BOYS GOLD-24 TEAMS'!J32&amp;""</f>
        <v>12U_BOYS_GOLD</v>
      </c>
      <c r="K105" s="359" t="str">
        <f t="shared" si="3"/>
        <v>202601311200</v>
      </c>
    </row>
    <row r="106" spans="1:11">
      <c r="A106" s="357">
        <f>'12U BOYS GOLD-24 TEAMS'!A33</f>
        <v>46053</v>
      </c>
      <c r="B106" s="358">
        <f>'12U BOYS GOLD-24 TEAMS'!B33</f>
        <v>0.53472222222222199</v>
      </c>
      <c r="C106" s="358" t="str">
        <f>'12U BOYS GOLD-24 TEAMS'!C33&amp;""</f>
        <v>COSTA MESA HS 2</v>
      </c>
      <c r="D106" s="359" t="str">
        <f>'12U BOYS GOLD-24 TEAMS'!D33&amp;""</f>
        <v>12Bau03A</v>
      </c>
      <c r="E106" s="359" t="str">
        <f>'12U BOYS GOLD-24 TEAMS'!E33&amp;""</f>
        <v>F1(3)-CMAC</v>
      </c>
      <c r="F106" s="359" t="str">
        <f>'12U BOYS GOLD-24 TEAMS'!F33&amp;""</f>
        <v>10</v>
      </c>
      <c r="G106" s="359" t="str">
        <f>'12U BOYS GOLD-24 TEAMS'!G33&amp;""</f>
        <v>F3(19)-PATRIOT 10 NAVY</v>
      </c>
      <c r="H106" s="359" t="str">
        <f>'12U BOYS GOLD-24 TEAMS'!H33&amp;""</f>
        <v>5</v>
      </c>
      <c r="I106" s="359" t="str">
        <f>'12U BOYS GOLD-24 TEAMS'!I33&amp;""</f>
        <v>F bracket F1,F3</v>
      </c>
      <c r="J106" s="359" t="str">
        <f>'12U BOYS GOLD-24 TEAMS'!J33&amp;""</f>
        <v>12U_BOYS_GOLD</v>
      </c>
      <c r="K106" s="359" t="str">
        <f t="shared" si="3"/>
        <v>202601311250</v>
      </c>
    </row>
    <row r="107" spans="1:11">
      <c r="A107" s="357">
        <f>'12U BOYS GOLD-24 TEAMS'!A34</f>
        <v>46053</v>
      </c>
      <c r="B107" s="358">
        <f>'12U BOYS GOLD-24 TEAMS'!B34</f>
        <v>0.56944444444444497</v>
      </c>
      <c r="C107" s="358" t="str">
        <f>'12U BOYS GOLD-24 TEAMS'!C34&amp;""</f>
        <v>COSTA MESA HS 2</v>
      </c>
      <c r="D107" s="359" t="str">
        <f>'12U BOYS GOLD-24 TEAMS'!D34&amp;""</f>
        <v>12Bau05A</v>
      </c>
      <c r="E107" s="357" t="str">
        <f>'12U BOYS GOLD-24 TEAMS'!E34&amp;""</f>
        <v>E2(15)-LA JOLLA UNITED GOLD</v>
      </c>
      <c r="F107" s="359" t="str">
        <f>'12U BOYS GOLD-24 TEAMS'!F34&amp;""</f>
        <v>8</v>
      </c>
      <c r="G107" s="357" t="str">
        <f>'12U BOYS GOLD-24 TEAMS'!G34&amp;""</f>
        <v>E3(18)-CC UNITED WHITE</v>
      </c>
      <c r="H107" s="359" t="str">
        <f>'12U BOYS GOLD-24 TEAMS'!H34&amp;""</f>
        <v>5</v>
      </c>
      <c r="I107" s="359" t="str">
        <f>'12U BOYS GOLD-24 TEAMS'!I34&amp;""</f>
        <v>E bracket E2,E3</v>
      </c>
      <c r="J107" s="359" t="str">
        <f>'12U BOYS GOLD-24 TEAMS'!J34&amp;""</f>
        <v>12U_BOYS_GOLD</v>
      </c>
      <c r="K107" s="359" t="str">
        <f t="shared" si="3"/>
        <v>202601311340</v>
      </c>
    </row>
    <row r="108" spans="1:11">
      <c r="A108" s="357">
        <f>'12U BOYS GOLD-24 TEAMS'!A36</f>
        <v>46053</v>
      </c>
      <c r="B108" s="358">
        <f>'12U BOYS GOLD-24 TEAMS'!B36</f>
        <v>0.60416666666666696</v>
      </c>
      <c r="C108" s="358" t="str">
        <f>'12U BOYS GOLD-24 TEAMS'!C36&amp;""</f>
        <v>COSTA MESA HS 2</v>
      </c>
      <c r="D108" s="359" t="str">
        <f>'12U BOYS GOLD-24 TEAMS'!D36&amp;""</f>
        <v>12Bau06A</v>
      </c>
      <c r="E108" s="359" t="str">
        <f>'12U BOYS GOLD-24 TEAMS'!E36&amp;""</f>
        <v>H2(10)-AMERICAN RIVER BLUE</v>
      </c>
      <c r="F108" s="359" t="str">
        <f>'12U BOYS GOLD-24 TEAMS'!F36&amp;""</f>
        <v>9</v>
      </c>
      <c r="G108" s="359" t="str">
        <f>'12U BOYS GOLD-24 TEAMS'!G36&amp;""</f>
        <v>H3(23)-STANFORD WHITE</v>
      </c>
      <c r="H108" s="359" t="str">
        <f>'12U BOYS GOLD-24 TEAMS'!H36&amp;""</f>
        <v>15</v>
      </c>
      <c r="I108" s="359" t="str">
        <f>'12U BOYS GOLD-24 TEAMS'!I36&amp;""</f>
        <v>H bracket H2,H3</v>
      </c>
      <c r="J108" s="359" t="str">
        <f>'12U BOYS GOLD-24 TEAMS'!J36&amp;""</f>
        <v>12U_BOYS_GOLD</v>
      </c>
      <c r="K108" s="359" t="str">
        <f t="shared" si="3"/>
        <v>202601311430</v>
      </c>
    </row>
    <row r="109" spans="1:11">
      <c r="A109" s="357">
        <f>'12U BOYS GOLD-24 TEAMS'!A37</f>
        <v>46053</v>
      </c>
      <c r="B109" s="358">
        <f>'12U BOYS GOLD-24 TEAMS'!B37</f>
        <v>0.63888888888888895</v>
      </c>
      <c r="C109" s="358" t="str">
        <f>'12U BOYS GOLD-24 TEAMS'!C37&amp;""</f>
        <v>COSTA MESA HS 2</v>
      </c>
      <c r="D109" s="359" t="str">
        <f>'12U BOYS GOLD-24 TEAMS'!D37&amp;""</f>
        <v>12Bau07A</v>
      </c>
      <c r="E109" s="359" t="str">
        <f>'12U BOYS GOLD-24 TEAMS'!E37&amp;""</f>
        <v>F2(14)-680 BLUE</v>
      </c>
      <c r="F109" s="359" t="str">
        <f>'12U BOYS GOLD-24 TEAMS'!F37&amp;""</f>
        <v>10</v>
      </c>
      <c r="G109" s="359" t="str">
        <f>'12U BOYS GOLD-24 TEAMS'!G37&amp;""</f>
        <v>F3(19)-PATRIOT 10 NAVY</v>
      </c>
      <c r="H109" s="359" t="str">
        <f>'12U BOYS GOLD-24 TEAMS'!H37&amp;""</f>
        <v>1</v>
      </c>
      <c r="I109" s="359" t="str">
        <f>'12U BOYS GOLD-24 TEAMS'!I37&amp;""</f>
        <v>F bracket F2,F3</v>
      </c>
      <c r="J109" s="359" t="str">
        <f>'12U BOYS GOLD-24 TEAMS'!J37&amp;""</f>
        <v>12U_BOYS_GOLD</v>
      </c>
      <c r="K109" s="359" t="str">
        <f t="shared" si="3"/>
        <v>202601311520</v>
      </c>
    </row>
    <row r="110" spans="1:11">
      <c r="A110" s="357">
        <f>'12U BOYS GOLD-24 TEAMS'!A38</f>
        <v>46053</v>
      </c>
      <c r="B110" s="358">
        <f>'12U BOYS GOLD-24 TEAMS'!B38</f>
        <v>0.67361111111111105</v>
      </c>
      <c r="C110" s="358" t="str">
        <f>'12U BOYS GOLD-24 TEAMS'!C38&amp;""</f>
        <v>COSTA MESA HS 2</v>
      </c>
      <c r="D110" s="359" t="str">
        <f>'12U BOYS GOLD-24 TEAMS'!D38&amp;""</f>
        <v>12Bau09A</v>
      </c>
      <c r="E110" s="357" t="str">
        <f>'12U BOYS GOLD-24 TEAMS'!E38&amp;""</f>
        <v>E1(2)-TROJAN</v>
      </c>
      <c r="F110" s="359" t="str">
        <f>'12U BOYS GOLD-24 TEAMS'!F38&amp;""</f>
        <v>12</v>
      </c>
      <c r="G110" s="357" t="str">
        <f>'12U BOYS GOLD-24 TEAMS'!G38&amp;""</f>
        <v>E2(15)-LA JOLLA UNITED GOLD</v>
      </c>
      <c r="H110" s="359" t="str">
        <f>'12U BOYS GOLD-24 TEAMS'!H38&amp;""</f>
        <v>1</v>
      </c>
      <c r="I110" s="359" t="str">
        <f>'12U BOYS GOLD-24 TEAMS'!I38&amp;""</f>
        <v>E bracket E1,E2</v>
      </c>
      <c r="J110" s="359" t="str">
        <f>'12U BOYS GOLD-24 TEAMS'!J38&amp;""</f>
        <v>12U_BOYS_GOLD</v>
      </c>
      <c r="K110" s="359" t="str">
        <f t="shared" si="3"/>
        <v>202601311610</v>
      </c>
    </row>
    <row r="111" spans="1:11">
      <c r="A111" s="357">
        <f>'12U BOYS GOLD-24 TEAMS'!A39</f>
        <v>46053</v>
      </c>
      <c r="B111" s="358">
        <f>'12U BOYS GOLD-24 TEAMS'!B39</f>
        <v>0.70833333333333404</v>
      </c>
      <c r="C111" s="358" t="str">
        <f>'12U BOYS GOLD-24 TEAMS'!C39&amp;""</f>
        <v>COSTA MESA HS 2</v>
      </c>
      <c r="D111" s="359" t="str">
        <f>'12U BOYS GOLD-24 TEAMS'!D39&amp;""</f>
        <v>12Bau10A</v>
      </c>
      <c r="E111" s="360" t="str">
        <f>'12U BOYS GOLD-24 TEAMS'!E39&amp;""</f>
        <v>H1(7)-FOOTHILL RED</v>
      </c>
      <c r="F111" s="360" t="str">
        <f>'12U BOYS GOLD-24 TEAMS'!F39&amp;""</f>
        <v>17</v>
      </c>
      <c r="G111" s="360" t="str">
        <f>'12U BOYS GOLD-24 TEAMS'!G39&amp;""</f>
        <v>H2(10)-AMERICAN RIVER BLUE</v>
      </c>
      <c r="H111" s="359" t="str">
        <f>'12U BOYS GOLD-24 TEAMS'!H39&amp;""</f>
        <v>4</v>
      </c>
      <c r="I111" s="359" t="str">
        <f>'12U BOYS GOLD-24 TEAMS'!I39&amp;""</f>
        <v>H bracket H1,H2</v>
      </c>
      <c r="J111" s="359" t="str">
        <f>'12U BOYS GOLD-24 TEAMS'!J39&amp;""</f>
        <v>12U_BOYS_GOLD</v>
      </c>
      <c r="K111" s="359" t="str">
        <f t="shared" si="3"/>
        <v>202601311700</v>
      </c>
    </row>
    <row r="112" spans="1:11">
      <c r="A112" s="357">
        <f>'12U BOYS GOLD-24 TEAMS'!A40</f>
        <v>46053</v>
      </c>
      <c r="B112" s="358">
        <f>'12U BOYS GOLD-24 TEAMS'!B40</f>
        <v>0.74305555555555602</v>
      </c>
      <c r="C112" s="358" t="str">
        <f>'12U BOYS GOLD-24 TEAMS'!C40&amp;""</f>
        <v>COSTA MESA HS 2</v>
      </c>
      <c r="D112" s="359" t="str">
        <f>'12U BOYS GOLD-24 TEAMS'!D40&amp;""</f>
        <v>12Bau11A</v>
      </c>
      <c r="E112" s="360" t="str">
        <f>'12U BOYS GOLD-24 TEAMS'!E40&amp;""</f>
        <v>F1(3)-CMAC</v>
      </c>
      <c r="F112" s="360" t="str">
        <f>'12U BOYS GOLD-24 TEAMS'!F40&amp;""</f>
        <v>5</v>
      </c>
      <c r="G112" s="360" t="str">
        <f>'12U BOYS GOLD-24 TEAMS'!G40&amp;""</f>
        <v>F2(14)-680 BLUE</v>
      </c>
      <c r="H112" s="359" t="str">
        <f>'12U BOYS GOLD-24 TEAMS'!H40&amp;""</f>
        <v>7</v>
      </c>
      <c r="I112" s="359" t="str">
        <f>'12U BOYS GOLD-24 TEAMS'!I40&amp;""</f>
        <v>F bracket F1,F2</v>
      </c>
      <c r="J112" s="359" t="str">
        <f>'12U BOYS GOLD-24 TEAMS'!J40&amp;""</f>
        <v>12U_BOYS_GOLD</v>
      </c>
      <c r="K112" s="359" t="str">
        <f t="shared" si="3"/>
        <v>202601311750</v>
      </c>
    </row>
    <row r="113" spans="1:11">
      <c r="A113" s="354">
        <f>'12U BOYS GOLD-24 TEAMS'!A44</f>
        <v>46054</v>
      </c>
      <c r="B113" s="355">
        <f>'12U BOYS GOLD-24 TEAMS'!B44</f>
        <v>0.3263888888888889</v>
      </c>
      <c r="C113" s="355" t="str">
        <f>'12U BOYS GOLD-24 TEAMS'!C44&amp;""</f>
        <v>COSTA MESA HS 2</v>
      </c>
      <c r="D113" s="356" t="str">
        <f>'12U BOYS GOLD-24 TEAMS'!D44&amp;""</f>
        <v>12Bau17</v>
      </c>
      <c r="E113" s="356" t="str">
        <f>'12U BOYS GOLD-24 TEAMS'!E44&amp;""</f>
        <v>1stA-ORANGE COUNTY WPC BLUE</v>
      </c>
      <c r="F113" s="356" t="str">
        <f>'12U BOYS GOLD-24 TEAMS'!F44&amp;""</f>
        <v>13</v>
      </c>
      <c r="G113" s="356" t="str">
        <f>'12U BOYS GOLD-24 TEAMS'!G44&amp;""</f>
        <v>1stD-LAMORINDA B</v>
      </c>
      <c r="H113" s="362" t="str">
        <f>'12U BOYS GOLD-24 TEAMS'!H44&amp;""</f>
        <v>5</v>
      </c>
      <c r="I113" s="356" t="str">
        <f>'12U BOYS GOLD-24 TEAMS'!I44&amp;""</f>
        <v>1-8 cross 1A/1D</v>
      </c>
      <c r="J113" s="356" t="str">
        <f>'12U BOYS GOLD-24 TEAMS'!J44&amp;""</f>
        <v>12U_BOYS_GOLD</v>
      </c>
      <c r="K113" s="356" t="str">
        <f t="shared" si="3"/>
        <v>202602010750</v>
      </c>
    </row>
    <row r="114" spans="1:11">
      <c r="A114" s="354">
        <f>'12U BOYS GOLD-24 TEAMS'!A45</f>
        <v>46054</v>
      </c>
      <c r="B114" s="355">
        <f>'12U BOYS GOLD-24 TEAMS'!B45</f>
        <v>0.36111111111111099</v>
      </c>
      <c r="C114" s="355" t="str">
        <f>'12U BOYS GOLD-24 TEAMS'!C45&amp;""</f>
        <v>COSTA MESA HS 2</v>
      </c>
      <c r="D114" s="356" t="str">
        <f>'12U BOYS GOLD-24 TEAMS'!D45&amp;""</f>
        <v>12Bau18</v>
      </c>
      <c r="E114" s="356" t="str">
        <f>'12U BOYS GOLD-24 TEAMS'!E45&amp;""</f>
        <v>1stB-SAN CLEMENTE BLACK</v>
      </c>
      <c r="F114" s="356" t="str">
        <f>'12U BOYS GOLD-24 TEAMS'!F45&amp;""</f>
        <v>7</v>
      </c>
      <c r="G114" s="356" t="str">
        <f>'12U BOYS GOLD-24 TEAMS'!G45&amp;""</f>
        <v>1stC-MISSION WPC B</v>
      </c>
      <c r="H114" s="356" t="str">
        <f>'12U BOYS GOLD-24 TEAMS'!H45&amp;""</f>
        <v>6</v>
      </c>
      <c r="I114" s="356" t="str">
        <f>'12U BOYS GOLD-24 TEAMS'!I45&amp;""</f>
        <v>1-8 cross 1B/1C</v>
      </c>
      <c r="J114" s="356" t="str">
        <f>'12U BOYS GOLD-24 TEAMS'!J45&amp;""</f>
        <v>12U_BOYS_GOLD</v>
      </c>
      <c r="K114" s="356" t="str">
        <f t="shared" si="3"/>
        <v>202602010840</v>
      </c>
    </row>
    <row r="115" spans="1:11">
      <c r="A115" s="354">
        <f>'12U BOYS GOLD-24 TEAMS'!A46</f>
        <v>46054</v>
      </c>
      <c r="B115" s="355">
        <f>'12U BOYS GOLD-24 TEAMS'!B46</f>
        <v>0.39583333333333398</v>
      </c>
      <c r="C115" s="355" t="str">
        <f>'12U BOYS GOLD-24 TEAMS'!C46&amp;""</f>
        <v>COSTA MESA HS 2</v>
      </c>
      <c r="D115" s="356" t="str">
        <f>'12U BOYS GOLD-24 TEAMS'!D46&amp;""</f>
        <v>12Bau13</v>
      </c>
      <c r="E115" s="362" t="str">
        <f>'12U BOYS GOLD-24 TEAMS'!E46&amp;""</f>
        <v>3rdA-680 WHITE</v>
      </c>
      <c r="F115" s="362" t="str">
        <f>'12U BOYS GOLD-24 TEAMS'!F46&amp;""</f>
        <v>2</v>
      </c>
      <c r="G115" s="362" t="str">
        <f>'12U BOYS GOLD-24 TEAMS'!G46&amp;""</f>
        <v>3rdD-NORTH IRVINE RED</v>
      </c>
      <c r="H115" s="356" t="str">
        <f>'12U BOYS GOLD-24 TEAMS'!H46&amp;""</f>
        <v>8</v>
      </c>
      <c r="I115" s="356" t="str">
        <f>'12U BOYS GOLD-24 TEAMS'!I46&amp;""</f>
        <v>17-24 cross 3A/3D</v>
      </c>
      <c r="J115" s="356" t="str">
        <f>'12U BOYS GOLD-24 TEAMS'!J46&amp;""</f>
        <v>12U_BOYS_GOLD</v>
      </c>
      <c r="K115" s="356" t="str">
        <f t="shared" si="3"/>
        <v>202602010930</v>
      </c>
    </row>
    <row r="116" spans="1:11">
      <c r="A116" s="354">
        <f>'12U BOYS GOLD-24 TEAMS'!A47</f>
        <v>46054</v>
      </c>
      <c r="B116" s="355">
        <f>'12U BOYS GOLD-24 TEAMS'!B47</f>
        <v>0.43055555555555602</v>
      </c>
      <c r="C116" s="355" t="str">
        <f>'12U BOYS GOLD-24 TEAMS'!C47&amp;""</f>
        <v>COSTA MESA HS 2</v>
      </c>
      <c r="D116" s="356" t="str">
        <f>'12U BOYS GOLD-24 TEAMS'!D47&amp;""</f>
        <v>12Bau14</v>
      </c>
      <c r="E116" s="362" t="str">
        <f>'12U BOYS GOLD-24 TEAMS'!E47&amp;""</f>
        <v>3rdB-LAMORINDA C</v>
      </c>
      <c r="F116" s="362" t="str">
        <f>'12U BOYS GOLD-24 TEAMS'!F47&amp;""</f>
        <v>5</v>
      </c>
      <c r="G116" s="362" t="str">
        <f>'12U BOYS GOLD-24 TEAMS'!G47&amp;""</f>
        <v>3rdC-BACK BAY</v>
      </c>
      <c r="H116" s="356" t="str">
        <f>'12U BOYS GOLD-24 TEAMS'!H47&amp;""</f>
        <v>20</v>
      </c>
      <c r="I116" s="356" t="str">
        <f>'12U BOYS GOLD-24 TEAMS'!I47&amp;""</f>
        <v>17-24 cross 3B/3C</v>
      </c>
      <c r="J116" s="356" t="str">
        <f>'12U BOYS GOLD-24 TEAMS'!J47&amp;""</f>
        <v>12U_BOYS_GOLD</v>
      </c>
      <c r="K116" s="356" t="str">
        <f t="shared" si="3"/>
        <v>202602011020</v>
      </c>
    </row>
    <row r="117" spans="1:11">
      <c r="A117" s="357">
        <f>'12U BOYS GOLD-24 TEAMS'!A48</f>
        <v>46054</v>
      </c>
      <c r="B117" s="358">
        <f>'12U BOYS GOLD-24 TEAMS'!B48</f>
        <v>0.46527777777777801</v>
      </c>
      <c r="C117" s="358" t="str">
        <f>'12U BOYS GOLD-24 TEAMS'!C48&amp;""</f>
        <v>COSTA MESA HS 2</v>
      </c>
      <c r="D117" s="359" t="str">
        <f>'12U BOYS GOLD-24 TEAMS'!D48&amp;""</f>
        <v>12Bau14A</v>
      </c>
      <c r="E117" s="360" t="str">
        <f>'12U BOYS GOLD-24 TEAMS'!E48&amp;""</f>
        <v>3rdF-PATRIOT 10 NAVY</v>
      </c>
      <c r="F117" s="363" t="str">
        <f>'12U BOYS GOLD-24 TEAMS'!F48&amp;""</f>
        <v>13</v>
      </c>
      <c r="G117" s="359" t="str">
        <f>'12U BOYS GOLD-24 TEAMS'!G48&amp;""</f>
        <v>3rdG-NORTH IRVINE WHITE</v>
      </c>
      <c r="H117" s="359" t="str">
        <f>'12U BOYS GOLD-24 TEAMS'!H48&amp;""</f>
        <v>2</v>
      </c>
      <c r="I117" s="359" t="str">
        <f>'12U BOYS GOLD-24 TEAMS'!I48&amp;""</f>
        <v>17-24 cross 3F/3G</v>
      </c>
      <c r="J117" s="359" t="str">
        <f>'12U BOYS GOLD-24 TEAMS'!J48&amp;""</f>
        <v>12U_BOYS_GOLD</v>
      </c>
      <c r="K117" s="359" t="str">
        <f t="shared" si="3"/>
        <v>202602011110</v>
      </c>
    </row>
    <row r="118" spans="1:11">
      <c r="A118" s="354">
        <f>'12U BOYS GOLD-24 TEAMS'!A49</f>
        <v>46054</v>
      </c>
      <c r="B118" s="355">
        <f>'12U BOYS GOLD-24 TEAMS'!B49</f>
        <v>0.5</v>
      </c>
      <c r="C118" s="355" t="str">
        <f>'12U BOYS GOLD-24 TEAMS'!C49&amp;""</f>
        <v>COSTA MESA HS 2</v>
      </c>
      <c r="D118" s="364" t="str">
        <f>'12U BOYS GOLD-24 TEAMS'!D49&amp;""</f>
        <v>12Bau24</v>
      </c>
      <c r="E118" s="362" t="str">
        <f>'12U BOYS GOLD-24 TEAMS'!E49&amp;""</f>
        <v>W#17-ORANGE COUNTY WPC BLUE</v>
      </c>
      <c r="F118" s="362" t="str">
        <f>'12U BOYS GOLD-24 TEAMS'!F49&amp;""</f>
        <v>12</v>
      </c>
      <c r="G118" s="362" t="str">
        <f>'12U BOYS GOLD-24 TEAMS'!G49&amp;""</f>
        <v>W#18-SAN CLEMENTE BLACK</v>
      </c>
      <c r="H118" s="362" t="str">
        <f>'12U BOYS GOLD-24 TEAMS'!H49&amp;""</f>
        <v>2</v>
      </c>
      <c r="I118" s="362" t="str">
        <f>'12U BOYS GOLD-24 TEAMS'!I49&amp;""</f>
        <v>overall 1-4 semi</v>
      </c>
      <c r="J118" s="356" t="str">
        <f>'12U BOYS GOLD-24 TEAMS'!J49&amp;""</f>
        <v>12U_BOYS_GOLD</v>
      </c>
      <c r="K118" s="356" t="str">
        <f t="shared" si="3"/>
        <v>202602011200</v>
      </c>
    </row>
    <row r="119" spans="1:11">
      <c r="A119" s="357">
        <f>'12U BOYS GOLD-24 TEAMS'!A50</f>
        <v>46054</v>
      </c>
      <c r="B119" s="358">
        <f>'12U BOYS GOLD-24 TEAMS'!B50</f>
        <v>0.53472222222222199</v>
      </c>
      <c r="C119" s="358" t="str">
        <f>'12U BOYS GOLD-24 TEAMS'!C50&amp;""</f>
        <v>COSTA MESA HS 2</v>
      </c>
      <c r="D119" s="365" t="str">
        <f>'12U BOYS GOLD-24 TEAMS'!D50&amp;""</f>
        <v>12Bau24A</v>
      </c>
      <c r="E119" s="360" t="str">
        <f>'12U BOYS GOLD-24 TEAMS'!E50&amp;""</f>
        <v>W#17A-FOOTHILL RED</v>
      </c>
      <c r="F119" s="360" t="str">
        <f>'12U BOYS GOLD-24 TEAMS'!F50&amp;""</f>
        <v>9</v>
      </c>
      <c r="G119" s="359" t="str">
        <f>'12U BOYS GOLD-24 TEAMS'!G50&amp;""</f>
        <v>W#18A-680 BLUE</v>
      </c>
      <c r="H119" s="360" t="str">
        <f>'12U BOYS GOLD-24 TEAMS'!H50&amp;""</f>
        <v>4</v>
      </c>
      <c r="I119" s="360" t="str">
        <f>'12U BOYS GOLD-24 TEAMS'!I50&amp;""</f>
        <v>overall 1-4 semi</v>
      </c>
      <c r="J119" s="359" t="str">
        <f>'12U BOYS GOLD-24 TEAMS'!J50&amp;""</f>
        <v>12U_BOYS_GOLD</v>
      </c>
      <c r="K119" s="359" t="str">
        <f t="shared" si="3"/>
        <v>202602011250</v>
      </c>
    </row>
    <row r="120" spans="1:11">
      <c r="A120" s="354">
        <f>'12U BOYS GOLD-24 TEAMS'!A51</f>
        <v>46054</v>
      </c>
      <c r="B120" s="355">
        <f>'12U BOYS GOLD-24 TEAMS'!B51</f>
        <v>0.56944444444444497</v>
      </c>
      <c r="C120" s="355" t="str">
        <f>'12U BOYS GOLD-24 TEAMS'!C51&amp;""</f>
        <v>COSTA MESA HS 2</v>
      </c>
      <c r="D120" s="356" t="str">
        <f>'12U BOYS GOLD-24 TEAMS'!D51&amp;""</f>
        <v>12Bau15</v>
      </c>
      <c r="E120" s="362" t="str">
        <f>'12U BOYS GOLD-24 TEAMS'!E51&amp;""</f>
        <v>2ndA-STANFORD BLACK</v>
      </c>
      <c r="F120" s="362" t="str">
        <f>'12U BOYS GOLD-24 TEAMS'!F51&amp;""</f>
        <v>9</v>
      </c>
      <c r="G120" s="362" t="str">
        <f>'12U BOYS GOLD-24 TEAMS'!G51&amp;""</f>
        <v>2ndD-GOLD COAST</v>
      </c>
      <c r="H120" s="362" t="str">
        <f>'12U BOYS GOLD-24 TEAMS'!H51&amp;""</f>
        <v>4</v>
      </c>
      <c r="I120" s="362" t="str">
        <f>'12U BOYS GOLD-24 TEAMS'!I51&amp;""</f>
        <v>9-16 cross 2A/2D</v>
      </c>
      <c r="J120" s="356" t="str">
        <f>'12U BOYS GOLD-24 TEAMS'!J51&amp;""</f>
        <v>12U_BOYS_GOLD</v>
      </c>
      <c r="K120" s="356" t="str">
        <f t="shared" si="3"/>
        <v>202602011340</v>
      </c>
    </row>
    <row r="121" spans="1:11">
      <c r="A121" s="354">
        <f>'12U BOYS GOLD-24 TEAMS'!A52</f>
        <v>46054</v>
      </c>
      <c r="B121" s="355">
        <f>'12U BOYS GOLD-24 TEAMS'!B52</f>
        <v>0.60416666666666696</v>
      </c>
      <c r="C121" s="355" t="str">
        <f>'12U BOYS GOLD-24 TEAMS'!C52&amp;""</f>
        <v>COSTA MESA HS 2</v>
      </c>
      <c r="D121" s="356" t="str">
        <f>'12U BOYS GOLD-24 TEAMS'!D52&amp;""</f>
        <v>12Bau16</v>
      </c>
      <c r="E121" s="356" t="str">
        <f>'12U BOYS GOLD-24 TEAMS'!E52&amp;""</f>
        <v>2ndB-MARIN</v>
      </c>
      <c r="F121" s="356" t="str">
        <f>'12U BOYS GOLD-24 TEAMS'!F52&amp;""</f>
        <v>4</v>
      </c>
      <c r="G121" s="356" t="str">
        <f>'12U BOYS GOLD-24 TEAMS'!G52&amp;""</f>
        <v>2ndC-CC UNITED BLUE</v>
      </c>
      <c r="H121" s="356" t="str">
        <f>'12U BOYS GOLD-24 TEAMS'!H52&amp;""</f>
        <v>15</v>
      </c>
      <c r="I121" s="356" t="str">
        <f>'12U BOYS GOLD-24 TEAMS'!I52&amp;""</f>
        <v>9-16 cross 2B,2C</v>
      </c>
      <c r="J121" s="356" t="str">
        <f>'12U BOYS GOLD-24 TEAMS'!J52&amp;""</f>
        <v>12U_BOYS_GOLD</v>
      </c>
      <c r="K121" s="356" t="str">
        <f t="shared" si="3"/>
        <v>202602011430</v>
      </c>
    </row>
    <row r="122" spans="1:11">
      <c r="A122" s="357">
        <f>'12U BOYS GOLD-24 TEAMS'!A53</f>
        <v>46054</v>
      </c>
      <c r="B122" s="358">
        <f>'12U BOYS GOLD-24 TEAMS'!B53</f>
        <v>0.63888888888888895</v>
      </c>
      <c r="C122" s="358" t="str">
        <f>'12U BOYS GOLD-24 TEAMS'!C53&amp;""</f>
        <v>COSTA MESA HS 2</v>
      </c>
      <c r="D122" s="359" t="str">
        <f>'12U BOYS GOLD-24 TEAMS'!D53&amp;""</f>
        <v>12Bau20A</v>
      </c>
      <c r="E122" s="360" t="str">
        <f>'12U BOYS GOLD-24 TEAMS'!E53&amp;""</f>
        <v>W#13A-AMERICAN RIVER BLUE</v>
      </c>
      <c r="F122" s="360" t="str">
        <f>'12U BOYS GOLD-24 TEAMS'!F53&amp;""</f>
        <v>5</v>
      </c>
      <c r="G122" s="360" t="str">
        <f>'12U BOYS GOLD-24 TEAMS'!G53&amp;""</f>
        <v>W#14A-PATRIOT 10 NAVY</v>
      </c>
      <c r="H122" s="360" t="str">
        <f>'12U BOYS GOLD-24 TEAMS'!H53&amp;""</f>
        <v>13</v>
      </c>
      <c r="I122" s="359" t="str">
        <f>'12U BOYS GOLD-24 TEAMS'!I53&amp;""</f>
        <v>tie 17th</v>
      </c>
      <c r="J122" s="359" t="str">
        <f>'12U BOYS GOLD-24 TEAMS'!J53&amp;""</f>
        <v>12U_BOYS_GOLD</v>
      </c>
      <c r="K122" s="359" t="str">
        <f t="shared" si="3"/>
        <v>202602011520</v>
      </c>
    </row>
    <row r="123" spans="1:11">
      <c r="A123" s="354">
        <f>'12U BOYS GOLD-24 TEAMS'!A55</f>
        <v>46054</v>
      </c>
      <c r="B123" s="355">
        <f>'12U BOYS GOLD-24 TEAMS'!B55</f>
        <v>0.67361111111111105</v>
      </c>
      <c r="C123" s="355" t="str">
        <f>'12U BOYS GOLD-24 TEAMS'!C55&amp;""</f>
        <v>COSTA MESA HS 2</v>
      </c>
      <c r="D123" s="356" t="str">
        <f>'12U BOYS GOLD-24 TEAMS'!D55&amp;""</f>
        <v>12Bau23</v>
      </c>
      <c r="E123" s="362" t="str">
        <f>'12U BOYS GOLD-24 TEAMS'!E55&amp;""</f>
        <v>L#17-LAMORINDA B</v>
      </c>
      <c r="F123" s="362" t="str">
        <f>'12U BOYS GOLD-24 TEAMS'!F55&amp;""</f>
        <v>5</v>
      </c>
      <c r="G123" s="362" t="str">
        <f>'12U BOYS GOLD-24 TEAMS'!G55&amp;""</f>
        <v>L#18-MISSION WPC B</v>
      </c>
      <c r="H123" s="362" t="str">
        <f>'12U BOYS GOLD-24 TEAMS'!H55&amp;""</f>
        <v>16</v>
      </c>
      <c r="I123" s="362" t="str">
        <f>'12U BOYS GOLD-24 TEAMS'!I55&amp;""</f>
        <v>tie 5th</v>
      </c>
      <c r="J123" s="356" t="str">
        <f>'12U BOYS GOLD-24 TEAMS'!J55&amp;""</f>
        <v>12U_BOYS_GOLD</v>
      </c>
      <c r="K123" s="356" t="str">
        <f t="shared" si="3"/>
        <v>202602011610</v>
      </c>
    </row>
    <row r="124" spans="1:11">
      <c r="A124" s="354">
        <f>'12U BOYS GOLD-24 TEAMS'!A58</f>
        <v>46054</v>
      </c>
      <c r="B124" s="355">
        <f>'12U BOYS GOLD-24 TEAMS'!B58</f>
        <v>0.70833333333333404</v>
      </c>
      <c r="C124" s="355" t="str">
        <f>'12U BOYS GOLD-24 TEAMS'!C58&amp;""</f>
        <v>COSTA MESA HS 2</v>
      </c>
      <c r="D124" s="356" t="str">
        <f>'12U BOYS GOLD-24 TEAMS'!D58&amp;""</f>
        <v>12Bau22</v>
      </c>
      <c r="E124" s="362" t="str">
        <f>'12U BOYS GOLD-24 TEAMS'!E58&amp;""</f>
        <v>W#15-STANFORD BLACK</v>
      </c>
      <c r="F124" s="362" t="str">
        <f>'12U BOYS GOLD-24 TEAMS'!F58&amp;""</f>
        <v>6</v>
      </c>
      <c r="G124" s="362" t="str">
        <f>'12U BOYS GOLD-24 TEAMS'!G58&amp;""</f>
        <v>W#16-CC UNITED BLUE</v>
      </c>
      <c r="H124" s="362" t="str">
        <f>'12U BOYS GOLD-24 TEAMS'!H58&amp;""</f>
        <v>9</v>
      </c>
      <c r="I124" s="362" t="str">
        <f>'12U BOYS GOLD-24 TEAMS'!I58&amp;""</f>
        <v>tie 9th</v>
      </c>
      <c r="J124" s="356" t="str">
        <f>'12U BOYS GOLD-24 TEAMS'!J58&amp;""</f>
        <v>12U_BOYS_GOLD</v>
      </c>
      <c r="K124" s="356" t="str">
        <f t="shared" si="3"/>
        <v>202602011700</v>
      </c>
    </row>
    <row r="125" spans="1:11">
      <c r="A125" s="413">
        <f>'16U BOYS GOLD-19 TEAMS'!A35</f>
        <v>46053</v>
      </c>
      <c r="B125" s="414">
        <f>'16U BOYS GOLD-19 TEAMS'!B35</f>
        <v>0.29166666666666669</v>
      </c>
      <c r="C125" s="414" t="str">
        <f>'16U BOYS GOLD-19 TEAMS'!C35&amp;""</f>
        <v>EDISON HS</v>
      </c>
      <c r="D125" s="415" t="str">
        <f>'16U BOYS GOLD-19 TEAMS'!D35&amp;""</f>
        <v>16Bau10</v>
      </c>
      <c r="E125" s="416" t="str">
        <f>'16U BOYS GOLD-19 TEAMS'!E35&amp;""</f>
        <v>D2-CC UNITED BLUE</v>
      </c>
      <c r="F125" s="417" t="str">
        <f>'16U BOYS GOLD-19 TEAMS'!F35&amp;""</f>
        <v>15</v>
      </c>
      <c r="G125" s="416" t="str">
        <f>'16U BOYS GOLD-19 TEAMS'!G35&amp;""</f>
        <v>D3-BOA BLUE</v>
      </c>
      <c r="H125" s="417" t="str">
        <f>'16U BOYS GOLD-19 TEAMS'!H35&amp;""</f>
        <v>2</v>
      </c>
      <c r="I125" s="418" t="str">
        <f>'16U BOYS GOLD-19 TEAMS'!I35&amp;""</f>
        <v>D bracket</v>
      </c>
      <c r="J125" s="415" t="str">
        <f>'16U BOYS GOLD-19 TEAMS'!J35&amp;""</f>
        <v>16U_BOYS_GOLD</v>
      </c>
      <c r="K125" s="415" t="str">
        <f t="shared" si="3"/>
        <v>202601310700</v>
      </c>
    </row>
    <row r="126" spans="1:11">
      <c r="A126" s="413">
        <f>'16U BOYS GOLD-19 TEAMS'!A36</f>
        <v>46053</v>
      </c>
      <c r="B126" s="414">
        <f>'16U BOYS GOLD-19 TEAMS'!B36</f>
        <v>0.33333333333333298</v>
      </c>
      <c r="C126" s="414" t="str">
        <f>'16U BOYS GOLD-19 TEAMS'!C36&amp;""</f>
        <v>EDISON HS</v>
      </c>
      <c r="D126" s="415" t="str">
        <f>'16U BOYS GOLD-19 TEAMS'!D36&amp;""</f>
        <v>16Bau11</v>
      </c>
      <c r="E126" s="414" t="str">
        <f>'16U BOYS GOLD-19 TEAMS'!E36&amp;""</f>
        <v>E1-CT PREMIER</v>
      </c>
      <c r="F126" s="418" t="str">
        <f>'16U BOYS GOLD-19 TEAMS'!F36&amp;""</f>
        <v>8</v>
      </c>
      <c r="G126" s="414" t="str">
        <f>'16U BOYS GOLD-19 TEAMS'!G36&amp;""</f>
        <v>E3-STANFORD BLACK</v>
      </c>
      <c r="H126" s="417" t="str">
        <f>'16U BOYS GOLD-19 TEAMS'!H36&amp;""</f>
        <v>6</v>
      </c>
      <c r="I126" s="418" t="str">
        <f>'16U BOYS GOLD-19 TEAMS'!I36&amp;""</f>
        <v>E bracket</v>
      </c>
      <c r="J126" s="415" t="str">
        <f>'16U BOYS GOLD-19 TEAMS'!J36&amp;""</f>
        <v>16U_BOYS_GOLD</v>
      </c>
      <c r="K126" s="415" t="str">
        <f t="shared" si="3"/>
        <v>202601310800</v>
      </c>
    </row>
    <row r="127" spans="1:11">
      <c r="A127" s="413">
        <f>'16U BOYS GOLD-19 TEAMS'!A37</f>
        <v>46053</v>
      </c>
      <c r="B127" s="414">
        <f>'16U BOYS GOLD-19 TEAMS'!B37</f>
        <v>0.375</v>
      </c>
      <c r="C127" s="414" t="str">
        <f>'16U BOYS GOLD-19 TEAMS'!C37&amp;""</f>
        <v>EDISON HS</v>
      </c>
      <c r="D127" s="415" t="str">
        <f>'16U BOYS GOLD-19 TEAMS'!D37&amp;""</f>
        <v>16Bau12</v>
      </c>
      <c r="E127" s="416" t="str">
        <f>'16U BOYS GOLD-19 TEAMS'!E37&amp;""</f>
        <v>F1-BIG VALLEY</v>
      </c>
      <c r="F127" s="417" t="str">
        <f>'16U BOYS GOLD-19 TEAMS'!F37&amp;""</f>
        <v>4</v>
      </c>
      <c r="G127" s="416" t="str">
        <f>'16U BOYS GOLD-19 TEAMS'!G37&amp;""</f>
        <v>F4-680 BLUE</v>
      </c>
      <c r="H127" s="417" t="str">
        <f>'16U BOYS GOLD-19 TEAMS'!H37&amp;""</f>
        <v>14</v>
      </c>
      <c r="I127" s="418" t="str">
        <f>'16U BOYS GOLD-19 TEAMS'!I37&amp;""</f>
        <v>F bracket</v>
      </c>
      <c r="J127" s="415" t="str">
        <f>'16U BOYS GOLD-19 TEAMS'!J37&amp;""</f>
        <v>16U_BOYS_GOLD</v>
      </c>
      <c r="K127" s="415" t="str">
        <f t="shared" si="3"/>
        <v>202601310900</v>
      </c>
    </row>
    <row r="128" spans="1:11">
      <c r="A128" s="413">
        <f>'16U BOYS GOLD-19 TEAMS'!A38</f>
        <v>46053</v>
      </c>
      <c r="B128" s="414">
        <f>'16U BOYS GOLD-19 TEAMS'!B38</f>
        <v>0.41666666666666702</v>
      </c>
      <c r="C128" s="414" t="str">
        <f>'16U BOYS GOLD-19 TEAMS'!C38&amp;""</f>
        <v>EDISON HS</v>
      </c>
      <c r="D128" s="415" t="str">
        <f>'16U BOYS GOLD-19 TEAMS'!D38&amp;""</f>
        <v>16Bau13</v>
      </c>
      <c r="E128" s="414" t="str">
        <f>'16U BOYS GOLD-19 TEAMS'!E38&amp;""</f>
        <v>F2-LA JOLLA UNITED GOLD</v>
      </c>
      <c r="F128" s="418" t="str">
        <f>'16U BOYS GOLD-19 TEAMS'!F38&amp;""</f>
        <v>8.6</v>
      </c>
      <c r="G128" s="414" t="str">
        <f>'16U BOYS GOLD-19 TEAMS'!G38&amp;""</f>
        <v>F3-VANGUARD SILVER</v>
      </c>
      <c r="H128" s="417" t="str">
        <f>'16U BOYS GOLD-19 TEAMS'!H38&amp;""</f>
        <v>8.5</v>
      </c>
      <c r="I128" s="418" t="str">
        <f>'16U BOYS GOLD-19 TEAMS'!I38&amp;""</f>
        <v>F bracket</v>
      </c>
      <c r="J128" s="415" t="str">
        <f>'16U BOYS GOLD-19 TEAMS'!J38&amp;""</f>
        <v>16U_BOYS_GOLD</v>
      </c>
      <c r="K128" s="415" t="str">
        <f t="shared" si="3"/>
        <v>202601311000</v>
      </c>
    </row>
    <row r="129" spans="1:11">
      <c r="A129" s="413">
        <f>'16U BOYS GOLD-19 TEAMS'!A39</f>
        <v>46053</v>
      </c>
      <c r="B129" s="414">
        <f>'16U BOYS GOLD-19 TEAMS'!B39</f>
        <v>0.45833333333333298</v>
      </c>
      <c r="C129" s="414" t="str">
        <f>'16U BOYS GOLD-19 TEAMS'!C39&amp;""</f>
        <v>EDISON HS</v>
      </c>
      <c r="D129" s="415" t="str">
        <f>'16U BOYS GOLD-19 TEAMS'!D39&amp;""</f>
        <v>16Bau14</v>
      </c>
      <c r="E129" s="419" t="str">
        <f>'16U BOYS GOLD-19 TEAMS'!E39&amp;""</f>
        <v>D1-POWAY VALLEY BLACK</v>
      </c>
      <c r="F129" s="417" t="str">
        <f>'16U BOYS GOLD-19 TEAMS'!F39&amp;""</f>
        <v>17</v>
      </c>
      <c r="G129" s="416" t="str">
        <f>'16U BOYS GOLD-19 TEAMS'!G39&amp;""</f>
        <v>D3-BOA BLUE</v>
      </c>
      <c r="H129" s="417" t="str">
        <f>'16U BOYS GOLD-19 TEAMS'!H39&amp;""</f>
        <v>4</v>
      </c>
      <c r="I129" s="418" t="str">
        <f>'16U BOYS GOLD-19 TEAMS'!I39&amp;""</f>
        <v>D bracket</v>
      </c>
      <c r="J129" s="415" t="str">
        <f>'16U BOYS GOLD-19 TEAMS'!J39&amp;""</f>
        <v>16U_BOYS_GOLD</v>
      </c>
      <c r="K129" s="415" t="str">
        <f t="shared" si="3"/>
        <v>202601311100</v>
      </c>
    </row>
    <row r="130" spans="1:11">
      <c r="A130" s="413">
        <f>'16U BOYS GOLD-19 TEAMS'!A40</f>
        <v>46053</v>
      </c>
      <c r="B130" s="414">
        <f>'16U BOYS GOLD-19 TEAMS'!B40</f>
        <v>0.5</v>
      </c>
      <c r="C130" s="414" t="str">
        <f>'16U BOYS GOLD-19 TEAMS'!C40&amp;""</f>
        <v>EDISON HS</v>
      </c>
      <c r="D130" s="415" t="str">
        <f>'16U BOYS GOLD-19 TEAMS'!D40&amp;""</f>
        <v>16Bau15</v>
      </c>
      <c r="E130" s="414" t="str">
        <f>'16U BOYS GOLD-19 TEAMS'!E40&amp;""</f>
        <v>E2-ORANGE COUNTY WPC BLUE</v>
      </c>
      <c r="F130" s="418" t="str">
        <f>'16U BOYS GOLD-19 TEAMS'!F40&amp;""</f>
        <v>2</v>
      </c>
      <c r="G130" s="414" t="str">
        <f>'16U BOYS GOLD-19 TEAMS'!G40&amp;""</f>
        <v>E3-STANFORD BLACK</v>
      </c>
      <c r="H130" s="417" t="str">
        <f>'16U BOYS GOLD-19 TEAMS'!H40&amp;""</f>
        <v>14</v>
      </c>
      <c r="I130" s="418" t="str">
        <f>'16U BOYS GOLD-19 TEAMS'!I40&amp;""</f>
        <v>E bracket</v>
      </c>
      <c r="J130" s="415" t="str">
        <f>'16U BOYS GOLD-19 TEAMS'!J40&amp;""</f>
        <v>16U_BOYS_GOLD</v>
      </c>
      <c r="K130" s="415" t="str">
        <f t="shared" ref="K130:K161" si="4">TEXT(DATE(2026, MONTH(A130), DAY(A130)) + TIME(HOUR(B130), MINUTE(B130), 0), "yyyymmddhhmm")</f>
        <v>202601311200</v>
      </c>
    </row>
    <row r="131" spans="1:11">
      <c r="A131" s="413">
        <f>'16U BOYS GOLD-19 TEAMS'!A41</f>
        <v>46053</v>
      </c>
      <c r="B131" s="414">
        <f>'16U BOYS GOLD-19 TEAMS'!B41</f>
        <v>0.54166666666666696</v>
      </c>
      <c r="C131" s="414" t="str">
        <f>'16U BOYS GOLD-19 TEAMS'!C41&amp;""</f>
        <v>EDISON HS</v>
      </c>
      <c r="D131" s="415" t="str">
        <f>'16U BOYS GOLD-19 TEAMS'!D41&amp;""</f>
        <v>16Bau16</v>
      </c>
      <c r="E131" s="416" t="str">
        <f>'16U BOYS GOLD-19 TEAMS'!E41&amp;""</f>
        <v>L#12-BIG VALLEY</v>
      </c>
      <c r="F131" s="417" t="str">
        <f>'16U BOYS GOLD-19 TEAMS'!F41&amp;""</f>
        <v>5</v>
      </c>
      <c r="G131" s="416" t="str">
        <f>'16U BOYS GOLD-19 TEAMS'!G41&amp;""</f>
        <v>L#13-VANGUARD SILVER</v>
      </c>
      <c r="H131" s="417" t="str">
        <f>'16U BOYS GOLD-19 TEAMS'!H41&amp;""</f>
        <v>23</v>
      </c>
      <c r="I131" s="418" t="str">
        <f>'16U BOYS GOLD-19 TEAMS'!I41&amp;""</f>
        <v>3rd/4thF</v>
      </c>
      <c r="J131" s="415" t="str">
        <f>'16U BOYS GOLD-19 TEAMS'!J41&amp;""</f>
        <v>16U_BOYS_GOLD</v>
      </c>
      <c r="K131" s="415" t="str">
        <f t="shared" si="4"/>
        <v>202601311300</v>
      </c>
    </row>
    <row r="132" spans="1:11">
      <c r="A132" s="413">
        <f>'16U BOYS GOLD-19 TEAMS'!A42</f>
        <v>46053</v>
      </c>
      <c r="B132" s="414">
        <f>'16U BOYS GOLD-19 TEAMS'!B42</f>
        <v>0.58333333333333304</v>
      </c>
      <c r="C132" s="414" t="str">
        <f>'16U BOYS GOLD-19 TEAMS'!C42&amp;""</f>
        <v>EDISON HS</v>
      </c>
      <c r="D132" s="415" t="str">
        <f>'16U BOYS GOLD-19 TEAMS'!D42&amp;""</f>
        <v>16Bau17</v>
      </c>
      <c r="E132" s="414" t="str">
        <f>'16U BOYS GOLD-19 TEAMS'!E42&amp;""</f>
        <v>W#12-680 BLUE</v>
      </c>
      <c r="F132" s="418" t="str">
        <f>'16U BOYS GOLD-19 TEAMS'!F42&amp;""</f>
        <v>10</v>
      </c>
      <c r="G132" s="414" t="str">
        <f>'16U BOYS GOLD-19 TEAMS'!G42&amp;""</f>
        <v>W#13-LA JOLLA UNITED GOLD</v>
      </c>
      <c r="H132" s="417" t="str">
        <f>'16U BOYS GOLD-19 TEAMS'!H42&amp;""</f>
        <v>11</v>
      </c>
      <c r="I132" s="418" t="str">
        <f>'16U BOYS GOLD-19 TEAMS'!I42&amp;""</f>
        <v>1st/2ndF</v>
      </c>
      <c r="J132" s="415" t="str">
        <f>'16U BOYS GOLD-19 TEAMS'!J42&amp;""</f>
        <v>16U_BOYS_GOLD</v>
      </c>
      <c r="K132" s="415" t="str">
        <f t="shared" si="4"/>
        <v>202601311400</v>
      </c>
    </row>
    <row r="133" spans="1:11">
      <c r="A133" s="413">
        <f>'16U BOYS GOLD-19 TEAMS'!A43</f>
        <v>46053</v>
      </c>
      <c r="B133" s="414">
        <f>'16U BOYS GOLD-19 TEAMS'!B43</f>
        <v>0.625</v>
      </c>
      <c r="C133" s="414" t="str">
        <f>'16U BOYS GOLD-19 TEAMS'!C43&amp;""</f>
        <v>EDISON HS</v>
      </c>
      <c r="D133" s="415" t="str">
        <f>'16U BOYS GOLD-19 TEAMS'!D43&amp;""</f>
        <v>16Bau18</v>
      </c>
      <c r="E133" s="419" t="str">
        <f>'16U BOYS GOLD-19 TEAMS'!E43&amp;""</f>
        <v>D1-POWAY VALLEY BLACK</v>
      </c>
      <c r="F133" s="417" t="str">
        <f>'16U BOYS GOLD-19 TEAMS'!F43&amp;""</f>
        <v>8</v>
      </c>
      <c r="G133" s="416" t="str">
        <f>'16U BOYS GOLD-19 TEAMS'!G43&amp;""</f>
        <v>D2-CC UNITED BLUE</v>
      </c>
      <c r="H133" s="417" t="str">
        <f>'16U BOYS GOLD-19 TEAMS'!H43&amp;""</f>
        <v>15</v>
      </c>
      <c r="I133" s="418" t="str">
        <f>'16U BOYS GOLD-19 TEAMS'!I43&amp;""</f>
        <v>D bracket</v>
      </c>
      <c r="J133" s="415" t="str">
        <f>'16U BOYS GOLD-19 TEAMS'!J43&amp;""</f>
        <v>16U_BOYS_GOLD</v>
      </c>
      <c r="K133" s="415" t="str">
        <f t="shared" si="4"/>
        <v>202601311500</v>
      </c>
    </row>
    <row r="134" spans="1:11">
      <c r="A134" s="413">
        <f>'16U BOYS GOLD-19 TEAMS'!A44</f>
        <v>46053</v>
      </c>
      <c r="B134" s="414">
        <f>'16U BOYS GOLD-19 TEAMS'!B44</f>
        <v>0.66666666666666696</v>
      </c>
      <c r="C134" s="414" t="str">
        <f>'16U BOYS GOLD-19 TEAMS'!C44&amp;""</f>
        <v>EDISON HS</v>
      </c>
      <c r="D134" s="415" t="str">
        <f>'16U BOYS GOLD-19 TEAMS'!D44&amp;""</f>
        <v>16Bau19</v>
      </c>
      <c r="E134" s="414" t="str">
        <f>'16U BOYS GOLD-19 TEAMS'!E44&amp;""</f>
        <v>E1-CT PREMIER</v>
      </c>
      <c r="F134" s="418" t="str">
        <f>'16U BOYS GOLD-19 TEAMS'!F44&amp;""</f>
        <v>16</v>
      </c>
      <c r="G134" s="414" t="str">
        <f>'16U BOYS GOLD-19 TEAMS'!G44&amp;""</f>
        <v>E2-ORANGE COUNTY WPC BLUE</v>
      </c>
      <c r="H134" s="417" t="str">
        <f>'16U BOYS GOLD-19 TEAMS'!H44&amp;""</f>
        <v>3</v>
      </c>
      <c r="I134" s="418" t="str">
        <f>'16U BOYS GOLD-19 TEAMS'!I44&amp;""</f>
        <v>E bracket</v>
      </c>
      <c r="J134" s="415" t="str">
        <f>'16U BOYS GOLD-19 TEAMS'!J44&amp;""</f>
        <v>16U_BOYS_GOLD</v>
      </c>
      <c r="K134" s="415" t="str">
        <f t="shared" si="4"/>
        <v>202601311600</v>
      </c>
    </row>
    <row r="135" spans="1:11">
      <c r="A135" s="432">
        <f>'19U BOYS GOLD-16 TEAMS'!A22</f>
        <v>46053</v>
      </c>
      <c r="B135" s="433">
        <f>'19U BOYS GOLD-16 TEAMS'!B22</f>
        <v>0.70833333333333304</v>
      </c>
      <c r="C135" s="433" t="str">
        <f>'19U BOYS GOLD-16 TEAMS'!C22&amp;""</f>
        <v>EDISON HS</v>
      </c>
      <c r="D135" s="434" t="str">
        <f>'19U BOYS GOLD-16 TEAMS'!D22&amp;""</f>
        <v>19Bau13</v>
      </c>
      <c r="E135" s="434" t="str">
        <f>'19U BOYS GOLD-16 TEAMS'!E22&amp;""</f>
        <v>L#9-WCAC UNITED</v>
      </c>
      <c r="F135" s="434" t="str">
        <f>'19U BOYS GOLD-16 TEAMS'!F22&amp;""</f>
        <v>8</v>
      </c>
      <c r="G135" s="434" t="str">
        <f>'19U BOYS GOLD-16 TEAMS'!G22&amp;""</f>
        <v>L#10-SET</v>
      </c>
      <c r="H135" s="434" t="str">
        <f>'19U BOYS GOLD-16 TEAMS'!H22&amp;""</f>
        <v>16</v>
      </c>
      <c r="I135" s="434" t="str">
        <f>'19U BOYS GOLD-16 TEAMS'!I22&amp;""</f>
        <v>3rd/4thD</v>
      </c>
      <c r="J135" s="434" t="str">
        <f>'19U BOYS GOLD-16 TEAMS'!J22&amp;""</f>
        <v>19U_BOYS_GOLD</v>
      </c>
      <c r="K135" s="434" t="str">
        <f t="shared" si="4"/>
        <v>202601311700</v>
      </c>
    </row>
    <row r="136" spans="1:11">
      <c r="A136" s="432">
        <f>'19U BOYS GOLD-16 TEAMS'!A23</f>
        <v>46053</v>
      </c>
      <c r="B136" s="433">
        <f>'19U BOYS GOLD-16 TEAMS'!B23</f>
        <v>0.75</v>
      </c>
      <c r="C136" s="433" t="str">
        <f>'19U BOYS GOLD-16 TEAMS'!C23&amp;""</f>
        <v>EDISON HS</v>
      </c>
      <c r="D136" s="434" t="str">
        <f>'19U BOYS GOLD-16 TEAMS'!D23&amp;""</f>
        <v>19Bau14</v>
      </c>
      <c r="E136" s="434" t="str">
        <f>'19U BOYS GOLD-16 TEAMS'!E23&amp;""</f>
        <v>W#9-BIG VALLEY</v>
      </c>
      <c r="F136" s="434" t="str">
        <f>'19U BOYS GOLD-16 TEAMS'!F23&amp;""</f>
        <v>7</v>
      </c>
      <c r="G136" s="434" t="str">
        <f>'19U BOYS GOLD-16 TEAMS'!G23&amp;""</f>
        <v>W#10-LONGHORN</v>
      </c>
      <c r="H136" s="434" t="str">
        <f>'19U BOYS GOLD-16 TEAMS'!H23&amp;""</f>
        <v>13</v>
      </c>
      <c r="I136" s="434" t="str">
        <f>'19U BOYS GOLD-16 TEAMS'!I23&amp;""</f>
        <v>1st/2ndD</v>
      </c>
      <c r="J136" s="434" t="str">
        <f>'19U BOYS GOLD-16 TEAMS'!J23&amp;""</f>
        <v>19U_BOYS_GOLD</v>
      </c>
      <c r="K136" s="434" t="str">
        <f t="shared" si="4"/>
        <v>202601311800</v>
      </c>
    </row>
    <row r="137" spans="1:11">
      <c r="A137" s="406">
        <f>'16U BOYS SILVER-20 TEAMS'!A65</f>
        <v>46054</v>
      </c>
      <c r="B137" s="407">
        <f>'16U BOYS SILVER-20 TEAMS'!B65</f>
        <v>0.29166666666666669</v>
      </c>
      <c r="C137" s="407" t="str">
        <f>'16U BOYS SILVER-20 TEAMS'!C65&amp;""</f>
        <v>EDISON HS</v>
      </c>
      <c r="D137" s="408" t="str">
        <f>'16U BOYS SILVER-20 TEAMS'!D65&amp;""</f>
        <v>16Bag33</v>
      </c>
      <c r="E137" s="408" t="str">
        <f>'16U BOYS SILVER-20 TEAMS'!E65&amp;""</f>
        <v>L1(3rdD)-LOYOLA WPC</v>
      </c>
      <c r="F137" s="408" t="str">
        <f>'16U BOYS SILVER-20 TEAMS'!F65&amp;""</f>
        <v>11</v>
      </c>
      <c r="G137" s="408" t="str">
        <f>'16U BOYS SILVER-20 TEAMS'!G65&amp;""</f>
        <v>L4(4thF)-SAN CLEMENTE BLACK</v>
      </c>
      <c r="H137" s="408" t="str">
        <f>'16U BOYS SILVER-20 TEAMS'!H65&amp;""</f>
        <v>8</v>
      </c>
      <c r="I137" s="408" t="str">
        <f>'16U BOYS SILVER-20 TEAMS'!I65&amp;""</f>
        <v>W/L L</v>
      </c>
      <c r="J137" s="408" t="str">
        <f>'16U BOYS SILVER-20 TEAMS'!J65&amp;""</f>
        <v>16U_BOYS_SILVER</v>
      </c>
      <c r="K137" s="408" t="str">
        <f t="shared" si="4"/>
        <v>202602010700</v>
      </c>
    </row>
    <row r="138" spans="1:11">
      <c r="A138" s="406">
        <f>'16U BOYS SILVER-20 TEAMS'!A66</f>
        <v>46054</v>
      </c>
      <c r="B138" s="407">
        <f>'16U BOYS SILVER-20 TEAMS'!B66</f>
        <v>0.33333333333333298</v>
      </c>
      <c r="C138" s="407" t="str">
        <f>'16U BOYS SILVER-20 TEAMS'!C66&amp;""</f>
        <v>EDISON HS</v>
      </c>
      <c r="D138" s="408" t="str">
        <f>'16U BOYS SILVER-20 TEAMS'!D66&amp;""</f>
        <v>16Bag35</v>
      </c>
      <c r="E138" s="408" t="str">
        <f>'16U BOYS SILVER-20 TEAMS'!E66&amp;""</f>
        <v>L2(3rdE)-LV LEGENDS</v>
      </c>
      <c r="F138" s="408" t="str">
        <f>'16U BOYS SILVER-20 TEAMS'!F66&amp;""</f>
        <v>5</v>
      </c>
      <c r="G138" s="408" t="str">
        <f>'16U BOYS SILVER-20 TEAMS'!G66&amp;""</f>
        <v>L3(3rdC)-SET</v>
      </c>
      <c r="H138" s="408" t="str">
        <f>'16U BOYS SILVER-20 TEAMS'!H66&amp;""</f>
        <v>11</v>
      </c>
      <c r="I138" s="408" t="str">
        <f>'16U BOYS SILVER-20 TEAMS'!I66&amp;""</f>
        <v>W/L L</v>
      </c>
      <c r="J138" s="408" t="str">
        <f>'16U BOYS SILVER-20 TEAMS'!J66&amp;""</f>
        <v>16U_BOYS_SILVER</v>
      </c>
      <c r="K138" s="408" t="str">
        <f t="shared" si="4"/>
        <v>202602010800</v>
      </c>
    </row>
    <row r="139" spans="1:11">
      <c r="A139" s="435">
        <f>'19U BOYS PLATINUM-27 TEAMS'!A83</f>
        <v>46054</v>
      </c>
      <c r="B139" s="436">
        <f>'19U BOYS PLATINUM-27 TEAMS'!B83</f>
        <v>0.375</v>
      </c>
      <c r="C139" s="437" t="str">
        <f>'19U BOYS PLATINUM-27 TEAMS'!C83&amp;""</f>
        <v>EDISON HS</v>
      </c>
      <c r="D139" s="437" t="str">
        <f>'19U BOYS PLATINUM-27 TEAMS'!D83&amp;""</f>
        <v>19Bpt49</v>
      </c>
      <c r="E139" s="438" t="str">
        <f>'19U BOYS PLATINUM-27 TEAMS'!E83&amp;""</f>
        <v>L1(2ndA)-POWAY VALLEY BLACK</v>
      </c>
      <c r="F139" s="438" t="str">
        <f>'19U BOYS PLATINUM-27 TEAMS'!F83&amp;""</f>
        <v>12</v>
      </c>
      <c r="G139" s="438" t="str">
        <f>'19U BOYS PLATINUM-27 TEAMS'!G83&amp;""</f>
        <v>L4(2ndD)-SAND CANYON</v>
      </c>
      <c r="H139" s="438" t="str">
        <f>'19U BOYS PLATINUM-27 TEAMS'!H83&amp;""</f>
        <v>13</v>
      </c>
      <c r="I139" s="437" t="str">
        <f>'19U BOYS PLATINUM-27 TEAMS'!I83&amp;""</f>
        <v>9th16th L1/L4</v>
      </c>
      <c r="J139" s="438" t="str">
        <f>'19U BOYS PLATINUM-27 TEAMS'!J83&amp;""</f>
        <v>19U_BOYS_PLATINUM</v>
      </c>
      <c r="K139" s="438" t="str">
        <f t="shared" si="4"/>
        <v>202602010900</v>
      </c>
    </row>
    <row r="140" spans="1:11">
      <c r="A140" s="435">
        <f>'19U BOYS PLATINUM-27 TEAMS'!A84</f>
        <v>46054</v>
      </c>
      <c r="B140" s="436">
        <f>'19U BOYS PLATINUM-27 TEAMS'!B84</f>
        <v>0.41666666666666702</v>
      </c>
      <c r="C140" s="437" t="str">
        <f>'19U BOYS PLATINUM-27 TEAMS'!C84&amp;""</f>
        <v>EDISON HS</v>
      </c>
      <c r="D140" s="437" t="str">
        <f>'19U BOYS PLATINUM-27 TEAMS'!D84&amp;""</f>
        <v>19Bpt50</v>
      </c>
      <c r="E140" s="438" t="str">
        <f>'19U BOYS PLATINUM-27 TEAMS'!E84&amp;""</f>
        <v>L2(2ndB)-SD SHORES BLACK</v>
      </c>
      <c r="F140" s="438" t="str">
        <f>'19U BOYS PLATINUM-27 TEAMS'!F84&amp;""</f>
        <v>8</v>
      </c>
      <c r="G140" s="438" t="str">
        <f>'19U BOYS PLATINUM-27 TEAMS'!G84&amp;""</f>
        <v>L3(2ndC)-SANTA CRUZ</v>
      </c>
      <c r="H140" s="438" t="str">
        <f>'19U BOYS PLATINUM-27 TEAMS'!H84&amp;""</f>
        <v>7</v>
      </c>
      <c r="I140" s="437" t="str">
        <f>'19U BOYS PLATINUM-27 TEAMS'!I84&amp;""</f>
        <v>9th16th L2/L3</v>
      </c>
      <c r="J140" s="438" t="str">
        <f>'19U BOYS PLATINUM-27 TEAMS'!J84&amp;""</f>
        <v>19U_BOYS_PLATINUM</v>
      </c>
      <c r="K140" s="438" t="str">
        <f t="shared" si="4"/>
        <v>202602011000</v>
      </c>
    </row>
    <row r="141" spans="1:11">
      <c r="A141" s="406">
        <f>'16U BOYS SILVER-20 TEAMS'!A69</f>
        <v>46054</v>
      </c>
      <c r="B141" s="407">
        <f>'16U BOYS SILVER-20 TEAMS'!B69</f>
        <v>0.45833333333333298</v>
      </c>
      <c r="C141" s="407" t="str">
        <f>'16U BOYS SILVER-20 TEAMS'!C69&amp;""</f>
        <v>EDISON HS</v>
      </c>
      <c r="D141" s="408" t="str">
        <f>'16U BOYS SILVER-20 TEAMS'!D69&amp;""</f>
        <v>16Bag41</v>
      </c>
      <c r="E141" s="408" t="str">
        <f>'16U BOYS SILVER-20 TEAMS'!E69&amp;""</f>
        <v>W#33-LOYOLA WPC</v>
      </c>
      <c r="F141" s="408" t="str">
        <f>'16U BOYS SILVER-20 TEAMS'!F69&amp;""</f>
        <v>8</v>
      </c>
      <c r="G141" s="408" t="str">
        <f>'16U BOYS SILVER-20 TEAMS'!G69&amp;""</f>
        <v>W#35-SET</v>
      </c>
      <c r="H141" s="408" t="str">
        <f>'16U BOYS SILVER-20 TEAMS'!H69&amp;""</f>
        <v>7</v>
      </c>
      <c r="I141" s="408" t="str">
        <f>'16U BOYS SILVER-20 TEAMS'!I69&amp;""</f>
        <v>1st/2ndL</v>
      </c>
      <c r="J141" s="408" t="str">
        <f>'16U BOYS SILVER-20 TEAMS'!J69&amp;""</f>
        <v>16U_BOYS_SILVER</v>
      </c>
      <c r="K141" s="408" t="str">
        <f t="shared" si="4"/>
        <v>202602011100</v>
      </c>
    </row>
    <row r="142" spans="1:11">
      <c r="A142" s="406">
        <f>'16U BOYS SILVER-20 TEAMS'!A70</f>
        <v>46054</v>
      </c>
      <c r="B142" s="407">
        <f>'16U BOYS SILVER-20 TEAMS'!B70</f>
        <v>0.5</v>
      </c>
      <c r="C142" s="407" t="str">
        <f>'16U BOYS SILVER-20 TEAMS'!C70&amp;""</f>
        <v>EDISON HS</v>
      </c>
      <c r="D142" s="408" t="str">
        <f>'16U BOYS SILVER-20 TEAMS'!D70&amp;""</f>
        <v>16Bag39</v>
      </c>
      <c r="E142" s="408" t="str">
        <f>'16U BOYS SILVER-20 TEAMS'!E70&amp;""</f>
        <v>L#33-SAN CLEMENTE BLACK</v>
      </c>
      <c r="F142" s="408" t="str">
        <f>'16U BOYS SILVER-20 TEAMS'!F70&amp;""</f>
        <v>4</v>
      </c>
      <c r="G142" s="408" t="str">
        <f>'16U BOYS SILVER-20 TEAMS'!G70&amp;""</f>
        <v>L#35-LV LEGENDS</v>
      </c>
      <c r="H142" s="408" t="str">
        <f>'16U BOYS SILVER-20 TEAMS'!H70&amp;""</f>
        <v>7</v>
      </c>
      <c r="I142" s="408" t="str">
        <f>'16U BOYS SILVER-20 TEAMS'!I70&amp;""</f>
        <v>3rd/4thL</v>
      </c>
      <c r="J142" s="408" t="str">
        <f>'16U BOYS SILVER-20 TEAMS'!J70&amp;""</f>
        <v>16U_BOYS_SILVER</v>
      </c>
      <c r="K142" s="408" t="str">
        <f t="shared" si="4"/>
        <v>202602011200</v>
      </c>
    </row>
    <row r="143" spans="1:11">
      <c r="A143" s="435">
        <f>'19U BOYS PLATINUM-27 TEAMS'!A86</f>
        <v>46054</v>
      </c>
      <c r="B143" s="436">
        <f>'19U BOYS PLATINUM-27 TEAMS'!B86</f>
        <v>0.54166666666666696</v>
      </c>
      <c r="C143" s="437" t="str">
        <f>'19U BOYS PLATINUM-27 TEAMS'!C86&amp;""</f>
        <v>EDISON HS</v>
      </c>
      <c r="D143" s="437" t="str">
        <f>'19U BOYS PLATINUM-27 TEAMS'!D86&amp;""</f>
        <v>19Bpt51</v>
      </c>
      <c r="E143" s="438" t="str">
        <f>'19U BOYS PLATINUM-27 TEAMS'!E86&amp;""</f>
        <v>M1(2ndE)-VANGUARD BLUE</v>
      </c>
      <c r="F143" s="438" t="str">
        <f>'19U BOYS PLATINUM-27 TEAMS'!F86&amp;""</f>
        <v>15</v>
      </c>
      <c r="G143" s="438" t="str">
        <f>'19U BOYS PLATINUM-27 TEAMS'!G86&amp;""</f>
        <v>CT PREMIER</v>
      </c>
      <c r="H143" s="438" t="str">
        <f>'19U BOYS PLATINUM-27 TEAMS'!H86&amp;""</f>
        <v>17</v>
      </c>
      <c r="I143" s="437" t="str">
        <f>'19U BOYS PLATINUM-27 TEAMS'!I86&amp;""</f>
        <v>9th16th M1/M4</v>
      </c>
      <c r="J143" s="438" t="str">
        <f>'19U BOYS PLATINUM-27 TEAMS'!J86&amp;""</f>
        <v>19U_BOYS_PLATINUM</v>
      </c>
      <c r="K143" s="438" t="str">
        <f t="shared" si="4"/>
        <v>202602011300</v>
      </c>
    </row>
    <row r="144" spans="1:11">
      <c r="A144" s="435">
        <f>'19U BOYS PLATINUM-27 TEAMS'!A87</f>
        <v>46054</v>
      </c>
      <c r="B144" s="436">
        <f>'19U BOYS PLATINUM-27 TEAMS'!B87</f>
        <v>0.58333333333333304</v>
      </c>
      <c r="C144" s="437" t="str">
        <f>'19U BOYS PLATINUM-27 TEAMS'!C87&amp;""</f>
        <v>EDISON HS</v>
      </c>
      <c r="D144" s="437" t="str">
        <f>'19U BOYS PLATINUM-27 TEAMS'!D87&amp;""</f>
        <v>19Bpt52</v>
      </c>
      <c r="E144" s="438" t="str">
        <f>'19U BOYS PLATINUM-27 TEAMS'!E87&amp;""</f>
        <v>M2(2ndF)-NORCAL</v>
      </c>
      <c r="F144" s="438" t="str">
        <f>'19U BOYS PLATINUM-27 TEAMS'!F87&amp;""</f>
        <v>14</v>
      </c>
      <c r="G144" s="438" t="str">
        <f>'19U BOYS PLATINUM-27 TEAMS'!G87&amp;""</f>
        <v>TROJAN</v>
      </c>
      <c r="H144" s="438" t="str">
        <f>'19U BOYS PLATINUM-27 TEAMS'!H87&amp;""</f>
        <v>6</v>
      </c>
      <c r="I144" s="437" t="str">
        <f>'19U BOYS PLATINUM-27 TEAMS'!I87&amp;""</f>
        <v>9th16th M2/M3</v>
      </c>
      <c r="J144" s="438" t="str">
        <f>'19U BOYS PLATINUM-27 TEAMS'!J87&amp;""</f>
        <v>19U_BOYS_PLATINUM</v>
      </c>
      <c r="K144" s="438" t="str">
        <f t="shared" si="4"/>
        <v>202602011400</v>
      </c>
    </row>
    <row r="145" spans="1:11">
      <c r="A145" s="435">
        <f>'19U BOYS PLATINUM-27 TEAMS'!A88</f>
        <v>46054</v>
      </c>
      <c r="B145" s="436">
        <f>'19U BOYS PLATINUM-27 TEAMS'!B88</f>
        <v>0.625</v>
      </c>
      <c r="C145" s="437" t="str">
        <f>'19U BOYS PLATINUM-27 TEAMS'!C88&amp;""</f>
        <v>EDISON HS</v>
      </c>
      <c r="D145" s="437" t="str">
        <f>'19U BOYS PLATINUM-27 TEAMS'!D88&amp;""</f>
        <v>19Bpt53</v>
      </c>
      <c r="E145" s="438" t="str">
        <f>'19U BOYS PLATINUM-27 TEAMS'!E88&amp;""</f>
        <v>W#49-SAND CANYON</v>
      </c>
      <c r="F145" s="438" t="str">
        <f>'19U BOYS PLATINUM-27 TEAMS'!F88&amp;""</f>
        <v>17</v>
      </c>
      <c r="G145" s="438" t="str">
        <f>'19U BOYS PLATINUM-27 TEAMS'!G88&amp;""</f>
        <v>W#50-SD SHORES BLACK</v>
      </c>
      <c r="H145" s="438" t="str">
        <f>'19U BOYS PLATINUM-27 TEAMS'!H88&amp;""</f>
        <v>14</v>
      </c>
      <c r="I145" s="437" t="str">
        <f>'19U BOYS PLATINUM-27 TEAMS'!I88&amp;""</f>
        <v>1st/2ndL</v>
      </c>
      <c r="J145" s="438" t="str">
        <f>'19U BOYS PLATINUM-27 TEAMS'!J88&amp;""</f>
        <v>19U_BOYS_PLATINUM</v>
      </c>
      <c r="K145" s="438" t="str">
        <f t="shared" si="4"/>
        <v>202602011500</v>
      </c>
    </row>
    <row r="146" spans="1:11">
      <c r="A146" s="435">
        <f>'19U BOYS PLATINUM-27 TEAMS'!A89</f>
        <v>46054</v>
      </c>
      <c r="B146" s="436">
        <f>'19U BOYS PLATINUM-27 TEAMS'!B89</f>
        <v>0.66666666666666696</v>
      </c>
      <c r="C146" s="437" t="str">
        <f>'19U BOYS PLATINUM-27 TEAMS'!C89&amp;""</f>
        <v>EDISON HS</v>
      </c>
      <c r="D146" s="437" t="str">
        <f>'19U BOYS PLATINUM-27 TEAMS'!D89&amp;""</f>
        <v>19Bpt54</v>
      </c>
      <c r="E146" s="438" t="str">
        <f>'19U BOYS PLATINUM-27 TEAMS'!E89&amp;""</f>
        <v>L#49-POWAY VALLEY BLACK</v>
      </c>
      <c r="F146" s="438" t="str">
        <f>'19U BOYS PLATINUM-27 TEAMS'!F89&amp;""</f>
        <v>7</v>
      </c>
      <c r="G146" s="438" t="str">
        <f>'19U BOYS PLATINUM-27 TEAMS'!G89&amp;""</f>
        <v>L#50-SANTA CRUZ</v>
      </c>
      <c r="H146" s="438" t="str">
        <f>'19U BOYS PLATINUM-27 TEAMS'!H89&amp;""</f>
        <v>15</v>
      </c>
      <c r="I146" s="437" t="str">
        <f>'19U BOYS PLATINUM-27 TEAMS'!I89&amp;""</f>
        <v>3rd/4thL</v>
      </c>
      <c r="J146" s="438" t="str">
        <f>'19U BOYS PLATINUM-27 TEAMS'!J89&amp;""</f>
        <v>19U_BOYS_PLATINUM</v>
      </c>
      <c r="K146" s="438" t="str">
        <f t="shared" si="4"/>
        <v>202602011600</v>
      </c>
    </row>
    <row r="147" spans="1:11">
      <c r="A147" s="435">
        <f>'19U BOYS PLATINUM-27 TEAMS'!A90</f>
        <v>46054</v>
      </c>
      <c r="B147" s="436">
        <f>'19U BOYS PLATINUM-27 TEAMS'!B90</f>
        <v>0.70833333333333304</v>
      </c>
      <c r="C147" s="437" t="str">
        <f>'19U BOYS PLATINUM-27 TEAMS'!C90&amp;""</f>
        <v>EDISON HS</v>
      </c>
      <c r="D147" s="437" t="str">
        <f>'19U BOYS PLATINUM-27 TEAMS'!D90&amp;""</f>
        <v>19Bpt55</v>
      </c>
      <c r="E147" s="438" t="str">
        <f>'19U BOYS PLATINUM-27 TEAMS'!E90&amp;""</f>
        <v>NORCAL</v>
      </c>
      <c r="F147" s="438" t="str">
        <f>'19U BOYS PLATINUM-27 TEAMS'!F90&amp;""</f>
        <v>11</v>
      </c>
      <c r="G147" s="438" t="str">
        <f>'19U BOYS PLATINUM-27 TEAMS'!G90&amp;""</f>
        <v>CT PREMIER</v>
      </c>
      <c r="H147" s="438" t="str">
        <f>'19U BOYS PLATINUM-27 TEAMS'!H90&amp;""</f>
        <v>14</v>
      </c>
      <c r="I147" s="437" t="str">
        <f>'19U BOYS PLATINUM-27 TEAMS'!I90&amp;""</f>
        <v>1st/2ndM</v>
      </c>
      <c r="J147" s="438" t="str">
        <f>'19U BOYS PLATINUM-27 TEAMS'!J90&amp;""</f>
        <v>19U_BOYS_PLATINUM</v>
      </c>
      <c r="K147" s="438" t="str">
        <f t="shared" si="4"/>
        <v>202602011700</v>
      </c>
    </row>
    <row r="148" spans="1:11">
      <c r="A148" s="435">
        <f>'19U BOYS PLATINUM-27 TEAMS'!A91</f>
        <v>46054</v>
      </c>
      <c r="B148" s="436">
        <f>'19U BOYS PLATINUM-27 TEAMS'!B91</f>
        <v>0.75</v>
      </c>
      <c r="C148" s="437" t="str">
        <f>'19U BOYS PLATINUM-27 TEAMS'!C91&amp;""</f>
        <v>EDISON HS</v>
      </c>
      <c r="D148" s="437" t="str">
        <f>'19U BOYS PLATINUM-27 TEAMS'!D91&amp;""</f>
        <v>19Bpt56</v>
      </c>
      <c r="E148" s="438" t="str">
        <f>'19U BOYS PLATINUM-27 TEAMS'!E91&amp;""</f>
        <v>VANGUARD</v>
      </c>
      <c r="F148" s="438" t="str">
        <f>'19U BOYS PLATINUM-27 TEAMS'!F91&amp;""</f>
        <v>19</v>
      </c>
      <c r="G148" s="438" t="str">
        <f>'19U BOYS PLATINUM-27 TEAMS'!G91&amp;""</f>
        <v>TROJAN</v>
      </c>
      <c r="H148" s="438" t="str">
        <f>'19U BOYS PLATINUM-27 TEAMS'!H91&amp;""</f>
        <v>17</v>
      </c>
      <c r="I148" s="437" t="str">
        <f>'19U BOYS PLATINUM-27 TEAMS'!I91&amp;""</f>
        <v>3rd/4thM</v>
      </c>
      <c r="J148" s="438" t="str">
        <f>'19U BOYS PLATINUM-27 TEAMS'!J91&amp;""</f>
        <v>19U_BOYS_PLATINUM</v>
      </c>
      <c r="K148" s="438" t="str">
        <f t="shared" si="4"/>
        <v>202602011800</v>
      </c>
    </row>
    <row r="149" spans="1:11">
      <c r="A149" s="399">
        <f>'14U BOYS PLATINUM-20 TEAMS'!A20</f>
        <v>46053</v>
      </c>
      <c r="B149" s="400">
        <f>'14U BOYS PLATINUM-20 TEAMS'!B20</f>
        <v>0.29166666666666669</v>
      </c>
      <c r="C149" s="400" t="str">
        <f>'14U BOYS PLATINUM-20 TEAMS'!C20&amp;""</f>
        <v>EL TORO HS 1</v>
      </c>
      <c r="D149" s="401" t="str">
        <f>'14U BOYS PLATINUM-20 TEAMS'!D20&amp;""</f>
        <v>14Bpt12</v>
      </c>
      <c r="E149" s="401" t="str">
        <f>'14U BOYS PLATINUM-20 TEAMS'!E20&amp;""</f>
        <v>D1-LA JOLLA UNITED NAVY</v>
      </c>
      <c r="F149" s="401" t="str">
        <f>'14U BOYS PLATINUM-20 TEAMS'!F20&amp;""</f>
        <v>16</v>
      </c>
      <c r="G149" s="401" t="str">
        <f>'14U BOYS PLATINUM-20 TEAMS'!G20&amp;""</f>
        <v>D3-STANFORD RED</v>
      </c>
      <c r="H149" s="401" t="str">
        <f>'14U BOYS PLATINUM-20 TEAMS'!H20&amp;""</f>
        <v>7</v>
      </c>
      <c r="I149" s="401" t="str">
        <f>'14U BOYS PLATINUM-20 TEAMS'!I20&amp;""</f>
        <v>D bracket</v>
      </c>
      <c r="J149" s="401" t="str">
        <f>'14U BOYS PLATINUM-20 TEAMS'!J20&amp;""</f>
        <v>14U_BOYS_PLATINUM</v>
      </c>
      <c r="K149" s="401" t="str">
        <f t="shared" si="4"/>
        <v>202601310700</v>
      </c>
    </row>
    <row r="150" spans="1:11">
      <c r="A150" s="399">
        <f>'14U BOYS PLATINUM-20 TEAMS'!A21</f>
        <v>46053</v>
      </c>
      <c r="B150" s="400">
        <f>'14U BOYS PLATINUM-20 TEAMS'!B21</f>
        <v>0.3263888888888889</v>
      </c>
      <c r="C150" s="400" t="str">
        <f>'14U BOYS PLATINUM-20 TEAMS'!C21&amp;""</f>
        <v>EL TORO HS 1</v>
      </c>
      <c r="D150" s="401" t="str">
        <f>'14U BOYS PLATINUM-20 TEAMS'!D21&amp;""</f>
        <v>14Bpt13</v>
      </c>
      <c r="E150" s="401" t="str">
        <f>'14U BOYS PLATINUM-20 TEAMS'!E21&amp;""</f>
        <v>B1-NORCAL</v>
      </c>
      <c r="F150" s="401" t="str">
        <f>'14U BOYS PLATINUM-20 TEAMS'!F21&amp;""</f>
        <v>11</v>
      </c>
      <c r="G150" s="401" t="str">
        <f>'14U BOYS PLATINUM-20 TEAMS'!G21&amp;""</f>
        <v>B3-NORTH IRVINE BLACK</v>
      </c>
      <c r="H150" s="401" t="str">
        <f>'14U BOYS PLATINUM-20 TEAMS'!H21&amp;""</f>
        <v>3</v>
      </c>
      <c r="I150" s="401" t="str">
        <f>'14U BOYS PLATINUM-20 TEAMS'!I21&amp;""</f>
        <v>B bracket</v>
      </c>
      <c r="J150" s="401" t="str">
        <f>'14U BOYS PLATINUM-20 TEAMS'!J21&amp;""</f>
        <v>14U_BOYS_PLATINUM</v>
      </c>
      <c r="K150" s="401" t="str">
        <f t="shared" si="4"/>
        <v>202601310750</v>
      </c>
    </row>
    <row r="151" spans="1:11">
      <c r="A151" s="399">
        <f>'14U BOYS PLATINUM-20 TEAMS'!A22</f>
        <v>46053</v>
      </c>
      <c r="B151" s="400">
        <f>'14U BOYS PLATINUM-20 TEAMS'!B22</f>
        <v>0.36111111111111099</v>
      </c>
      <c r="C151" s="400" t="str">
        <f>'14U BOYS PLATINUM-20 TEAMS'!C22&amp;""</f>
        <v>EL TORO HS 1</v>
      </c>
      <c r="D151" s="401" t="str">
        <f>'14U BOYS PLATINUM-20 TEAMS'!D22&amp;""</f>
        <v>14Bpt09</v>
      </c>
      <c r="E151" s="399" t="str">
        <f>'14U BOYS PLATINUM-20 TEAMS'!E22&amp;""</f>
        <v>A2-680 RED</v>
      </c>
      <c r="F151" s="401" t="str">
        <f>'14U BOYS PLATINUM-20 TEAMS'!F22&amp;""</f>
        <v>10.2</v>
      </c>
      <c r="G151" s="399" t="str">
        <f>'14U BOYS PLATINUM-20 TEAMS'!G22&amp;""</f>
        <v>A3-TROJAN CARDINAL</v>
      </c>
      <c r="H151" s="401" t="str">
        <f>'14U BOYS PLATINUM-20 TEAMS'!H22&amp;""</f>
        <v>10.3</v>
      </c>
      <c r="I151" s="401" t="str">
        <f>'14U BOYS PLATINUM-20 TEAMS'!I22&amp;""</f>
        <v>A bracket</v>
      </c>
      <c r="J151" s="401" t="str">
        <f>'14U BOYS PLATINUM-20 TEAMS'!J22&amp;""</f>
        <v>14U_BOYS_PLATINUM</v>
      </c>
      <c r="K151" s="401" t="str">
        <f t="shared" si="4"/>
        <v>202601310840</v>
      </c>
    </row>
    <row r="152" spans="1:11">
      <c r="A152" s="399">
        <f>'14U BOYS PLATINUM-20 TEAMS'!A23</f>
        <v>46053</v>
      </c>
      <c r="B152" s="400">
        <f>'14U BOYS PLATINUM-20 TEAMS'!B23</f>
        <v>0.39583333333333398</v>
      </c>
      <c r="C152" s="400" t="str">
        <f>'14U BOYS PLATINUM-20 TEAMS'!C23&amp;""</f>
        <v>EL TORO HS 1</v>
      </c>
      <c r="D152" s="401" t="str">
        <f>'14U BOYS PLATINUM-20 TEAMS'!D23&amp;""</f>
        <v>14Bpt07</v>
      </c>
      <c r="E152" s="401" t="str">
        <f>'14U BOYS PLATINUM-20 TEAMS'!E23&amp;""</f>
        <v>6-PATRIOT NAVY</v>
      </c>
      <c r="F152" s="401" t="str">
        <f>'14U BOYS PLATINUM-20 TEAMS'!F23&amp;""</f>
        <v>17</v>
      </c>
      <c r="G152" s="401" t="str">
        <f>'14U BOYS PLATINUM-20 TEAMS'!G23&amp;""</f>
        <v>19-ROUTE 66 AQUATICS</v>
      </c>
      <c r="H152" s="401" t="str">
        <f>'14U BOYS PLATINUM-20 TEAMS'!H23&amp;""</f>
        <v>8</v>
      </c>
      <c r="I152" s="401" t="str">
        <f>'14U BOYS PLATINUM-20 TEAMS'!I23&amp;""</f>
        <v>W/L F</v>
      </c>
      <c r="J152" s="401" t="str">
        <f>'14U BOYS PLATINUM-20 TEAMS'!J23&amp;""</f>
        <v>14U_BOYS_PLATINUM</v>
      </c>
      <c r="K152" s="401" t="str">
        <f t="shared" si="4"/>
        <v>202601310930</v>
      </c>
    </row>
    <row r="153" spans="1:11">
      <c r="A153" s="399">
        <f>'14U BOYS PLATINUM-20 TEAMS'!A24</f>
        <v>46053</v>
      </c>
      <c r="B153" s="400">
        <f>'14U BOYS PLATINUM-20 TEAMS'!B24</f>
        <v>0.43055555555555602</v>
      </c>
      <c r="C153" s="400" t="str">
        <f>'14U BOYS PLATINUM-20 TEAMS'!C24&amp;""</f>
        <v>EL TORO HS 1</v>
      </c>
      <c r="D153" s="401" t="str">
        <f>'14U BOYS PLATINUM-20 TEAMS'!D24&amp;""</f>
        <v>14Bpt08</v>
      </c>
      <c r="E153" s="401" t="str">
        <f>'14U BOYS PLATINUM-20 TEAMS'!E24&amp;""</f>
        <v>7-LA PREMIER</v>
      </c>
      <c r="F153" s="401" t="str">
        <f>'14U BOYS PLATINUM-20 TEAMS'!F24&amp;""</f>
        <v>14</v>
      </c>
      <c r="G153" s="401" t="str">
        <f>'14U BOYS PLATINUM-20 TEAMS'!G24&amp;""</f>
        <v>18-SHAQ BLUE</v>
      </c>
      <c r="H153" s="401" t="str">
        <f>'14U BOYS PLATINUM-20 TEAMS'!H24&amp;""</f>
        <v>7</v>
      </c>
      <c r="I153" s="401" t="str">
        <f>'14U BOYS PLATINUM-20 TEAMS'!I24&amp;""</f>
        <v>W/L F</v>
      </c>
      <c r="J153" s="401" t="str">
        <f>'14U BOYS PLATINUM-20 TEAMS'!J24&amp;""</f>
        <v>14U_BOYS_PLATINUM</v>
      </c>
      <c r="K153" s="401" t="str">
        <f t="shared" si="4"/>
        <v>202601311020</v>
      </c>
    </row>
    <row r="154" spans="1:11">
      <c r="A154" s="399">
        <f>'14U BOYS PLATINUM-20 TEAMS'!A25</f>
        <v>46053</v>
      </c>
      <c r="B154" s="400">
        <f>'14U BOYS PLATINUM-20 TEAMS'!B25</f>
        <v>0.46527777777777801</v>
      </c>
      <c r="C154" s="400" t="str">
        <f>'14U BOYS PLATINUM-20 TEAMS'!C25&amp;""</f>
        <v>EL TORO HS 1</v>
      </c>
      <c r="D154" s="401" t="str">
        <f>'14U BOYS PLATINUM-20 TEAMS'!D25&amp;""</f>
        <v>14Bpt03</v>
      </c>
      <c r="E154" s="402" t="str">
        <f>'14U BOYS PLATINUM-20 TEAMS'!E25&amp;""</f>
        <v>A1-MISSION WPC A</v>
      </c>
      <c r="F154" s="401" t="str">
        <f>'14U BOYS PLATINUM-20 TEAMS'!F25&amp;""</f>
        <v>12</v>
      </c>
      <c r="G154" s="399" t="str">
        <f>'14U BOYS PLATINUM-20 TEAMS'!G25&amp;""</f>
        <v>A2-680 RED</v>
      </c>
      <c r="H154" s="401" t="str">
        <f>'14U BOYS PLATINUM-20 TEAMS'!H25&amp;""</f>
        <v>4</v>
      </c>
      <c r="I154" s="401" t="str">
        <f>'14U BOYS PLATINUM-20 TEAMS'!I25&amp;""</f>
        <v>A bracket</v>
      </c>
      <c r="J154" s="401" t="str">
        <f>'14U BOYS PLATINUM-20 TEAMS'!J25&amp;""</f>
        <v>14U_BOYS_PLATINUM</v>
      </c>
      <c r="K154" s="401" t="str">
        <f t="shared" si="4"/>
        <v>202601311110</v>
      </c>
    </row>
    <row r="155" spans="1:11">
      <c r="A155" s="399">
        <f>'14U BOYS PLATINUM-20 TEAMS'!A26</f>
        <v>46053</v>
      </c>
      <c r="B155" s="400">
        <f>'14U BOYS PLATINUM-20 TEAMS'!B26</f>
        <v>0.5</v>
      </c>
      <c r="C155" s="400" t="str">
        <f>'14U BOYS PLATINUM-20 TEAMS'!C26&amp;""</f>
        <v>EL TORO HS 1</v>
      </c>
      <c r="D155" s="401" t="str">
        <f>'14U BOYS PLATINUM-20 TEAMS'!D26&amp;""</f>
        <v>14Bpt01</v>
      </c>
      <c r="E155" s="399" t="str">
        <f>'14U BOYS PLATINUM-20 TEAMS'!E26&amp;""</f>
        <v>3-CHANNEL ISLANDS UNITED GOLD</v>
      </c>
      <c r="F155" s="401" t="str">
        <f>'14U BOYS PLATINUM-20 TEAMS'!F26&amp;""</f>
        <v>16</v>
      </c>
      <c r="G155" s="399" t="str">
        <f>'14U BOYS PLATINUM-20 TEAMS'!G26&amp;""</f>
        <v>20-DEVIL'S GATE</v>
      </c>
      <c r="H155" s="401" t="str">
        <f>'14U BOYS PLATINUM-20 TEAMS'!H26&amp;""</f>
        <v>7</v>
      </c>
      <c r="I155" s="401" t="str">
        <f>'14U BOYS PLATINUM-20 TEAMS'!I26&amp;""</f>
        <v>W/L E</v>
      </c>
      <c r="J155" s="401" t="str">
        <f>'14U BOYS PLATINUM-20 TEAMS'!J26&amp;""</f>
        <v>14U_BOYS_PLATINUM</v>
      </c>
      <c r="K155" s="401" t="str">
        <f t="shared" si="4"/>
        <v>202601311200</v>
      </c>
    </row>
    <row r="156" spans="1:11">
      <c r="A156" s="399">
        <f>'14U BOYS PLATINUM-20 TEAMS'!A27</f>
        <v>46053</v>
      </c>
      <c r="B156" s="400">
        <f>'14U BOYS PLATINUM-20 TEAMS'!B27</f>
        <v>0.53472222222222199</v>
      </c>
      <c r="C156" s="400" t="str">
        <f>'14U BOYS PLATINUM-20 TEAMS'!C27&amp;""</f>
        <v>EL TORO HS 1</v>
      </c>
      <c r="D156" s="401" t="str">
        <f>'14U BOYS PLATINUM-20 TEAMS'!D27&amp;""</f>
        <v>14Bpt02</v>
      </c>
      <c r="E156" s="401" t="str">
        <f>'14U BOYS PLATINUM-20 TEAMS'!E27&amp;""</f>
        <v>10-CC UNITED BLACK</v>
      </c>
      <c r="F156" s="401" t="str">
        <f>'14U BOYS PLATINUM-20 TEAMS'!F27&amp;""</f>
        <v>7</v>
      </c>
      <c r="G156" s="401" t="str">
        <f>'14U BOYS PLATINUM-20 TEAMS'!G27&amp;""</f>
        <v>15-ORANGE COUNTY WPC BLUE</v>
      </c>
      <c r="H156" s="401" t="str">
        <f>'14U BOYS PLATINUM-20 TEAMS'!H27&amp;""</f>
        <v>9</v>
      </c>
      <c r="I156" s="401" t="str">
        <f>'14U BOYS PLATINUM-20 TEAMS'!I27&amp;""</f>
        <v>W/L E</v>
      </c>
      <c r="J156" s="401" t="str">
        <f>'14U BOYS PLATINUM-20 TEAMS'!J27&amp;""</f>
        <v>14U_BOYS_PLATINUM</v>
      </c>
      <c r="K156" s="401" t="str">
        <f t="shared" si="4"/>
        <v>202601311250</v>
      </c>
    </row>
    <row r="157" spans="1:11">
      <c r="A157" s="399">
        <f>'14U BOYS PLATINUM-20 TEAMS'!A28</f>
        <v>46053</v>
      </c>
      <c r="B157" s="400">
        <f>'14U BOYS PLATINUM-20 TEAMS'!B28</f>
        <v>0.56944444444444497</v>
      </c>
      <c r="C157" s="400" t="str">
        <f>'14U BOYS PLATINUM-20 TEAMS'!C28&amp;""</f>
        <v>EL TORO HS 1</v>
      </c>
      <c r="D157" s="401" t="str">
        <f>'14U BOYS PLATINUM-20 TEAMS'!D28&amp;""</f>
        <v>14Bpt10</v>
      </c>
      <c r="E157" s="401" t="str">
        <f>'14U BOYS PLATINUM-20 TEAMS'!E28&amp;""</f>
        <v>W#7-PATRIOT NAVY</v>
      </c>
      <c r="F157" s="401" t="str">
        <f>'14U BOYS PLATINUM-20 TEAMS'!F28&amp;""</f>
        <v>8</v>
      </c>
      <c r="G157" s="401" t="str">
        <f>'14U BOYS PLATINUM-20 TEAMS'!G28&amp;""</f>
        <v>W#8-LA PREMIER</v>
      </c>
      <c r="H157" s="401" t="str">
        <f>'14U BOYS PLATINUM-20 TEAMS'!H28&amp;""</f>
        <v>7</v>
      </c>
      <c r="I157" s="401" t="str">
        <f>'14U BOYS PLATINUM-20 TEAMS'!I28&amp;""</f>
        <v>1st/2ndF</v>
      </c>
      <c r="J157" s="401" t="str">
        <f>'14U BOYS PLATINUM-20 TEAMS'!J28&amp;""</f>
        <v>14U_BOYS_PLATINUM</v>
      </c>
      <c r="K157" s="401" t="str">
        <f t="shared" si="4"/>
        <v>202601311340</v>
      </c>
    </row>
    <row r="158" spans="1:11">
      <c r="A158" s="399">
        <f>'14U BOYS PLATINUM-20 TEAMS'!A29</f>
        <v>46053</v>
      </c>
      <c r="B158" s="400">
        <f>'14U BOYS PLATINUM-20 TEAMS'!B29</f>
        <v>0.60416666666666696</v>
      </c>
      <c r="C158" s="400" t="str">
        <f>'14U BOYS PLATINUM-20 TEAMS'!C29&amp;""</f>
        <v>EL TORO HS 1</v>
      </c>
      <c r="D158" s="401" t="str">
        <f>'14U BOYS PLATINUM-20 TEAMS'!D29&amp;""</f>
        <v>14Bpt11</v>
      </c>
      <c r="E158" s="401" t="str">
        <f>'14U BOYS PLATINUM-20 TEAMS'!E29&amp;""</f>
        <v>L#7-ROUTE 66 AQUATICS</v>
      </c>
      <c r="F158" s="401" t="str">
        <f>'14U BOYS PLATINUM-20 TEAMS'!F29&amp;""</f>
        <v>8</v>
      </c>
      <c r="G158" s="401" t="str">
        <f>'14U BOYS PLATINUM-20 TEAMS'!G29&amp;""</f>
        <v>L#8-SHAQ BLUE</v>
      </c>
      <c r="H158" s="401" t="str">
        <f>'14U BOYS PLATINUM-20 TEAMS'!H29&amp;""</f>
        <v>11</v>
      </c>
      <c r="I158" s="401" t="str">
        <f>'14U BOYS PLATINUM-20 TEAMS'!I29&amp;""</f>
        <v>3rd/4thF</v>
      </c>
      <c r="J158" s="401" t="str">
        <f>'14U BOYS PLATINUM-20 TEAMS'!J29&amp;""</f>
        <v>14U_BOYS_PLATINUM</v>
      </c>
      <c r="K158" s="401" t="str">
        <f t="shared" si="4"/>
        <v>202601311430</v>
      </c>
    </row>
    <row r="159" spans="1:11">
      <c r="A159" s="399">
        <f>'14U BOYS PLATINUM-20 TEAMS'!A30</f>
        <v>46053</v>
      </c>
      <c r="B159" s="400">
        <f>'14U BOYS PLATINUM-20 TEAMS'!B30</f>
        <v>0.63888888888888895</v>
      </c>
      <c r="C159" s="400" t="str">
        <f>'14U BOYS PLATINUM-20 TEAMS'!C30&amp;""</f>
        <v>EL TORO HS 1</v>
      </c>
      <c r="D159" s="401" t="str">
        <f>'14U BOYS PLATINUM-20 TEAMS'!D30&amp;""</f>
        <v>14Bpt04</v>
      </c>
      <c r="E159" s="401" t="str">
        <f>'14U BOYS PLATINUM-20 TEAMS'!E30&amp;""</f>
        <v>L#1-DEVIL'S GATE</v>
      </c>
      <c r="F159" s="401" t="str">
        <f>'14U BOYS PLATINUM-20 TEAMS'!F30&amp;""</f>
        <v>8</v>
      </c>
      <c r="G159" s="401" t="str">
        <f>'14U BOYS PLATINUM-20 TEAMS'!G30&amp;""</f>
        <v>L#2-CC UNITED BLACK</v>
      </c>
      <c r="H159" s="401" t="str">
        <f>'14U BOYS PLATINUM-20 TEAMS'!H30&amp;""</f>
        <v>7</v>
      </c>
      <c r="I159" s="401" t="str">
        <f>'14U BOYS PLATINUM-20 TEAMS'!I30&amp;""</f>
        <v>3rd/4thE</v>
      </c>
      <c r="J159" s="401" t="str">
        <f>'14U BOYS PLATINUM-20 TEAMS'!J30&amp;""</f>
        <v>14U_BOYS_PLATINUM</v>
      </c>
      <c r="K159" s="401" t="str">
        <f t="shared" si="4"/>
        <v>202601311520</v>
      </c>
    </row>
    <row r="160" spans="1:11">
      <c r="A160" s="399">
        <f>'14U BOYS PLATINUM-20 TEAMS'!A31</f>
        <v>46053</v>
      </c>
      <c r="B160" s="400">
        <f>'14U BOYS PLATINUM-20 TEAMS'!B31</f>
        <v>0.67361111111111105</v>
      </c>
      <c r="C160" s="400" t="str">
        <f>'14U BOYS PLATINUM-20 TEAMS'!C31&amp;""</f>
        <v>EL TORO HS 1</v>
      </c>
      <c r="D160" s="401" t="str">
        <f>'14U BOYS PLATINUM-20 TEAMS'!D31&amp;""</f>
        <v>14Bpt06</v>
      </c>
      <c r="E160" s="402" t="str">
        <f>'14U BOYS PLATINUM-20 TEAMS'!E31&amp;""</f>
        <v>A1-MISSION WPC A</v>
      </c>
      <c r="F160" s="401" t="str">
        <f>'14U BOYS PLATINUM-20 TEAMS'!F31&amp;""</f>
        <v>19</v>
      </c>
      <c r="G160" s="399" t="str">
        <f>'14U BOYS PLATINUM-20 TEAMS'!G31&amp;""</f>
        <v>A3-TROJAN CARDINAL</v>
      </c>
      <c r="H160" s="401" t="str">
        <f>'14U BOYS PLATINUM-20 TEAMS'!H31&amp;""</f>
        <v>2</v>
      </c>
      <c r="I160" s="401" t="str">
        <f>'14U BOYS PLATINUM-20 TEAMS'!I31&amp;""</f>
        <v>A bracket</v>
      </c>
      <c r="J160" s="401" t="str">
        <f>'14U BOYS PLATINUM-20 TEAMS'!J31&amp;""</f>
        <v>14U_BOYS_PLATINUM</v>
      </c>
      <c r="K160" s="401" t="str">
        <f t="shared" si="4"/>
        <v>202601311610</v>
      </c>
    </row>
    <row r="161" spans="1:11">
      <c r="A161" s="399">
        <f>'14U BOYS PLATINUM-20 TEAMS'!A32</f>
        <v>46053</v>
      </c>
      <c r="B161" s="400">
        <f>'14U BOYS PLATINUM-20 TEAMS'!B32</f>
        <v>0.70833333333333404</v>
      </c>
      <c r="C161" s="400" t="str">
        <f>'14U BOYS PLATINUM-20 TEAMS'!C32&amp;""</f>
        <v>EL TORO HS 1</v>
      </c>
      <c r="D161" s="401" t="str">
        <f>'14U BOYS PLATINUM-20 TEAMS'!D32&amp;""</f>
        <v>14Bpt21</v>
      </c>
      <c r="E161" s="404" t="str">
        <f>'14U BOYS PLATINUM-20 TEAMS'!E32&amp;""</f>
        <v>J1(1stD)-LA JOLLA UNITED NAVY</v>
      </c>
      <c r="F161" s="401" t="str">
        <f>'14U BOYS PLATINUM-20 TEAMS'!F32&amp;""</f>
        <v>14</v>
      </c>
      <c r="G161" s="401" t="str">
        <f>'14U BOYS PLATINUM-20 TEAMS'!G32&amp;""</f>
        <v>J3(1stF)-PATRIOT NAVY</v>
      </c>
      <c r="H161" s="401" t="str">
        <f>'14U BOYS PLATINUM-20 TEAMS'!H32&amp;""</f>
        <v>9</v>
      </c>
      <c r="I161" s="401" t="str">
        <f>'14U BOYS PLATINUM-20 TEAMS'!I32&amp;""</f>
        <v>J bracket</v>
      </c>
      <c r="J161" s="401" t="str">
        <f>'14U BOYS PLATINUM-20 TEAMS'!J32&amp;""</f>
        <v>14U_BOYS_PLATINUM</v>
      </c>
      <c r="K161" s="401" t="str">
        <f t="shared" si="4"/>
        <v>202601311700</v>
      </c>
    </row>
    <row r="162" spans="1:11">
      <c r="A162" s="399">
        <f>'14U BOYS PLATINUM-20 TEAMS'!A33</f>
        <v>46053</v>
      </c>
      <c r="B162" s="400">
        <f>'14U BOYS PLATINUM-20 TEAMS'!B33</f>
        <v>0.74305555555555602</v>
      </c>
      <c r="C162" s="400" t="str">
        <f>'14U BOYS PLATINUM-20 TEAMS'!C33&amp;""</f>
        <v>EL TORO HS 1</v>
      </c>
      <c r="D162" s="401" t="str">
        <f>'14U BOYS PLATINUM-20 TEAMS'!D33&amp;""</f>
        <v>14Bpt23</v>
      </c>
      <c r="E162" s="401" t="str">
        <f>'14U BOYS PLATINUM-20 TEAMS'!E33&amp;""</f>
        <v>K1(2ndD)-PRIDE BLACK</v>
      </c>
      <c r="F162" s="401" t="str">
        <f>'14U BOYS PLATINUM-20 TEAMS'!F33&amp;""</f>
        <v>10</v>
      </c>
      <c r="G162" s="401" t="str">
        <f>'14U BOYS PLATINUM-20 TEAMS'!G33&amp;""</f>
        <v>K3(2ndF)-LA PREMIER</v>
      </c>
      <c r="H162" s="401" t="str">
        <f>'14U BOYS PLATINUM-20 TEAMS'!H33&amp;""</f>
        <v>9</v>
      </c>
      <c r="I162" s="401" t="str">
        <f>'14U BOYS PLATINUM-20 TEAMS'!I33&amp;""</f>
        <v>K bracket</v>
      </c>
      <c r="J162" s="401" t="str">
        <f>'14U BOYS PLATINUM-20 TEAMS'!J33&amp;""</f>
        <v>14U_BOYS_PLATINUM</v>
      </c>
      <c r="K162" s="401" t="str">
        <f t="shared" ref="K162:K175" si="5">TEXT(DATE(2026, MONTH(A162), DAY(A162)) + TIME(HOUR(B162), MINUTE(B162), 0), "yyyymmddhhmm")</f>
        <v>202601311750</v>
      </c>
    </row>
    <row r="163" spans="1:11">
      <c r="A163" s="387">
        <f>'14U BOYS SILVER-18 TEAMS'!A57</f>
        <v>46054</v>
      </c>
      <c r="B163" s="388">
        <f>'14U BOYS SILVER-18 TEAMS'!B57</f>
        <v>0.29166666666666669</v>
      </c>
      <c r="C163" s="388" t="str">
        <f>'14U BOYS SILVER-18 TEAMS'!C57&amp;""</f>
        <v>EL TORO HS 1</v>
      </c>
      <c r="D163" s="389" t="str">
        <f>'14U BOYS SILVER-18 TEAMS'!D57&amp;""</f>
        <v>14Bag28</v>
      </c>
      <c r="E163" s="388" t="str">
        <f>'14U BOYS SILVER-18 TEAMS'!E57&amp;""</f>
        <v>M1(3rdA)-SAN CLEMENTE BLACK</v>
      </c>
      <c r="F163" s="392" t="str">
        <f>'14U BOYS SILVER-18 TEAMS'!F57&amp;""</f>
        <v>14</v>
      </c>
      <c r="G163" s="388" t="str">
        <f>'14U BOYS SILVER-18 TEAMS'!G57&amp;""</f>
        <v xml:space="preserve">M3(3rdC)-TRITON GOLD	</v>
      </c>
      <c r="H163" s="391" t="str">
        <f>'14U BOYS SILVER-18 TEAMS'!H57&amp;""</f>
        <v>6</v>
      </c>
      <c r="I163" s="392" t="str">
        <f>'14U BOYS SILVER-18 TEAMS'!I57&amp;""</f>
        <v>13th-18th</v>
      </c>
      <c r="J163" s="389" t="str">
        <f>'14U BOYS SILVER-18 TEAMS'!J57&amp;""</f>
        <v>14U_BOYS_SILVER</v>
      </c>
      <c r="K163" s="389" t="str">
        <f t="shared" si="5"/>
        <v>202602010700</v>
      </c>
    </row>
    <row r="164" spans="1:11">
      <c r="A164" s="399">
        <f>'14U BOYS PLATINUM-20 TEAMS'!A48</f>
        <v>46054</v>
      </c>
      <c r="B164" s="400">
        <f>'14U BOYS PLATINUM-20 TEAMS'!B48</f>
        <v>0.3263888888888889</v>
      </c>
      <c r="C164" s="400" t="str">
        <f>'14U BOYS PLATINUM-20 TEAMS'!C48&amp;""</f>
        <v>EL TORO HS 1</v>
      </c>
      <c r="D164" s="401" t="str">
        <f>'14U BOYS PLATINUM-20 TEAMS'!D48&amp;""</f>
        <v>14Bpt24</v>
      </c>
      <c r="E164" s="401" t="str">
        <f>'14U BOYS PLATINUM-20 TEAMS'!E48&amp;""</f>
        <v>H1(2ndA)-TROJAN CARDINAL</v>
      </c>
      <c r="F164" s="401" t="str">
        <f>'14U BOYS PLATINUM-20 TEAMS'!F48&amp;""</f>
        <v>7</v>
      </c>
      <c r="G164" s="401" t="str">
        <f>'14U BOYS PLATINUM-20 TEAMS'!G48&amp;""</f>
        <v>H3(2ndC)-SOUTH COAST RED (A)</v>
      </c>
      <c r="H164" s="401" t="str">
        <f>'14U BOYS PLATINUM-20 TEAMS'!H48&amp;""</f>
        <v>8</v>
      </c>
      <c r="I164" s="401" t="str">
        <f>'14U BOYS PLATINUM-20 TEAMS'!I48&amp;""</f>
        <v>H bracket</v>
      </c>
      <c r="J164" s="401" t="str">
        <f>'14U BOYS PLATINUM-20 TEAMS'!J48&amp;""</f>
        <v>14U_BOYS_PLATINUM</v>
      </c>
      <c r="K164" s="401" t="str">
        <f t="shared" si="5"/>
        <v>202602010750</v>
      </c>
    </row>
    <row r="165" spans="1:11">
      <c r="A165" s="399">
        <f>'14U BOYS PLATINUM-20 TEAMS'!A49</f>
        <v>46054</v>
      </c>
      <c r="B165" s="400">
        <f>'14U BOYS PLATINUM-20 TEAMS'!B49</f>
        <v>0.36111111111111099</v>
      </c>
      <c r="C165" s="400" t="str">
        <f>'14U BOYS PLATINUM-20 TEAMS'!C49&amp;""</f>
        <v>EL TORO HS 1</v>
      </c>
      <c r="D165" s="401" t="str">
        <f>'14U BOYS PLATINUM-20 TEAMS'!D49&amp;""</f>
        <v>14Bpt25</v>
      </c>
      <c r="E165" s="401" t="str">
        <f>'14U BOYS PLATINUM-20 TEAMS'!E49&amp;""</f>
        <v>G1(1stA)-MISSION WPC A</v>
      </c>
      <c r="F165" s="401" t="str">
        <f>'14U BOYS PLATINUM-20 TEAMS'!F49&amp;""</f>
        <v>14</v>
      </c>
      <c r="G165" s="401" t="str">
        <f>'14U BOYS PLATINUM-20 TEAMS'!G49&amp;""</f>
        <v>G3(1stC)-VANGUARD BLUE</v>
      </c>
      <c r="H165" s="401" t="str">
        <f>'14U BOYS PLATINUM-20 TEAMS'!H49&amp;""</f>
        <v>11</v>
      </c>
      <c r="I165" s="401" t="str">
        <f>'14U BOYS PLATINUM-20 TEAMS'!I49&amp;""</f>
        <v>G bracket</v>
      </c>
      <c r="J165" s="401" t="str">
        <f>'14U BOYS PLATINUM-20 TEAMS'!J49&amp;""</f>
        <v>14U_BOYS_PLATINUM</v>
      </c>
      <c r="K165" s="401" t="str">
        <f t="shared" si="5"/>
        <v>202602010840</v>
      </c>
    </row>
    <row r="166" spans="1:11">
      <c r="A166" s="387">
        <f>'14U BOYS SILVER-18 TEAMS'!A61</f>
        <v>46054</v>
      </c>
      <c r="B166" s="388">
        <f>'14U BOYS SILVER-18 TEAMS'!B61</f>
        <v>0.39583333333333398</v>
      </c>
      <c r="C166" s="388" t="str">
        <f>'14U BOYS SILVER-18 TEAMS'!C61&amp;""</f>
        <v>EL TORO HS 1</v>
      </c>
      <c r="D166" s="389" t="str">
        <f>'14U BOYS SILVER-18 TEAMS'!D61&amp;""</f>
        <v>14Bag34</v>
      </c>
      <c r="E166" s="388" t="str">
        <f>'14U BOYS SILVER-18 TEAMS'!E61&amp;""</f>
        <v>M2(3rdB)-TROJAN GOLD</v>
      </c>
      <c r="F166" s="392" t="str">
        <f>'14U BOYS SILVER-18 TEAMS'!F61&amp;""</f>
        <v>11</v>
      </c>
      <c r="G166" s="388" t="str">
        <f>'14U BOYS SILVER-18 TEAMS'!G61&amp;""</f>
        <v xml:space="preserve">M3(3rdC)-TRITON GOLD	</v>
      </c>
      <c r="H166" s="391" t="str">
        <f>'14U BOYS SILVER-18 TEAMS'!H61&amp;""</f>
        <v>10</v>
      </c>
      <c r="I166" s="392" t="str">
        <f>'14U BOYS SILVER-18 TEAMS'!I61&amp;""</f>
        <v>13th-18th</v>
      </c>
      <c r="J166" s="389" t="str">
        <f>'14U BOYS SILVER-18 TEAMS'!J61&amp;""</f>
        <v>14U_BOYS_SILVER</v>
      </c>
      <c r="K166" s="389" t="str">
        <f t="shared" si="5"/>
        <v>202602010930</v>
      </c>
    </row>
    <row r="167" spans="1:11">
      <c r="A167" s="399">
        <f>'14U BOYS PLATINUM-20 TEAMS'!A51</f>
        <v>46054</v>
      </c>
      <c r="B167" s="400">
        <f>'14U BOYS PLATINUM-20 TEAMS'!B51</f>
        <v>0.43055555555555602</v>
      </c>
      <c r="C167" s="400" t="str">
        <f>'14U BOYS PLATINUM-20 TEAMS'!C51&amp;""</f>
        <v>EL TORO HS 1</v>
      </c>
      <c r="D167" s="401" t="str">
        <f>'14U BOYS PLATINUM-20 TEAMS'!D51&amp;""</f>
        <v>14Bpt26</v>
      </c>
      <c r="E167" s="401" t="str">
        <f>'14U BOYS PLATINUM-20 TEAMS'!E51&amp;""</f>
        <v>J2(1stE)-CHANNEL ISLANDS UNITED GOLD</v>
      </c>
      <c r="F167" s="401" t="str">
        <f>'14U BOYS PLATINUM-20 TEAMS'!F51&amp;""</f>
        <v>10.2</v>
      </c>
      <c r="G167" s="401" t="str">
        <f>'14U BOYS PLATINUM-20 TEAMS'!G51&amp;""</f>
        <v>J3(1stF)-PATRIOT NAVY</v>
      </c>
      <c r="H167" s="401" t="str">
        <f>'14U BOYS PLATINUM-20 TEAMS'!H51&amp;""</f>
        <v>10.4</v>
      </c>
      <c r="I167" s="401" t="str">
        <f>'14U BOYS PLATINUM-20 TEAMS'!I51&amp;""</f>
        <v>J bracket</v>
      </c>
      <c r="J167" s="401" t="str">
        <f>'14U BOYS PLATINUM-20 TEAMS'!J51&amp;""</f>
        <v>14U_BOYS_PLATINUM</v>
      </c>
      <c r="K167" s="401" t="str">
        <f t="shared" si="5"/>
        <v>202602011020</v>
      </c>
    </row>
    <row r="168" spans="1:11">
      <c r="A168" s="399">
        <f>'14U BOYS PLATINUM-20 TEAMS'!A52</f>
        <v>46054</v>
      </c>
      <c r="B168" s="400">
        <f>'14U BOYS PLATINUM-20 TEAMS'!B52</f>
        <v>0.46527777777777801</v>
      </c>
      <c r="C168" s="400" t="str">
        <f>'14U BOYS PLATINUM-20 TEAMS'!C52&amp;""</f>
        <v>EL TORO HS 1</v>
      </c>
      <c r="D168" s="401" t="str">
        <f>'14U BOYS PLATINUM-20 TEAMS'!D52&amp;""</f>
        <v>14Bpt27</v>
      </c>
      <c r="E168" s="401" t="str">
        <f>'14U BOYS PLATINUM-20 TEAMS'!E52&amp;""</f>
        <v>K2(2ndE)-ORANGE COUNTY WPC BLUE</v>
      </c>
      <c r="F168" s="401" t="str">
        <f>'14U BOYS PLATINUM-20 TEAMS'!F52&amp;""</f>
        <v>10</v>
      </c>
      <c r="G168" s="401" t="str">
        <f>'14U BOYS PLATINUM-20 TEAMS'!G52&amp;""</f>
        <v>K3(2ndF)-LA PREMIER</v>
      </c>
      <c r="H168" s="401" t="str">
        <f>'14U BOYS PLATINUM-20 TEAMS'!H52&amp;""</f>
        <v>12</v>
      </c>
      <c r="I168" s="401" t="str">
        <f>'14U BOYS PLATINUM-20 TEAMS'!I52&amp;""</f>
        <v>K bracket</v>
      </c>
      <c r="J168" s="401" t="str">
        <f>'14U BOYS PLATINUM-20 TEAMS'!J52&amp;""</f>
        <v>14U_BOYS_PLATINUM</v>
      </c>
      <c r="K168" s="401" t="str">
        <f t="shared" si="5"/>
        <v>202602011110</v>
      </c>
    </row>
    <row r="169" spans="1:11">
      <c r="A169" s="387">
        <f>'14U BOYS SILVER-18 TEAMS'!A65</f>
        <v>46054</v>
      </c>
      <c r="B169" s="388">
        <f>'14U BOYS SILVER-18 TEAMS'!B65</f>
        <v>0.5</v>
      </c>
      <c r="C169" s="388" t="str">
        <f>'14U BOYS SILVER-18 TEAMS'!C65&amp;""</f>
        <v>EL TORO HS 1</v>
      </c>
      <c r="D169" s="389" t="str">
        <f>'14U BOYS SILVER-18 TEAMS'!D65&amp;""</f>
        <v>14Bag22</v>
      </c>
      <c r="E169" s="388" t="str">
        <f>'14U BOYS SILVER-18 TEAMS'!E65&amp;""</f>
        <v>M1(3rdA)-SAN CLEMENTE BLACK</v>
      </c>
      <c r="F169" s="392" t="str">
        <f>'14U BOYS SILVER-18 TEAMS'!F65&amp;""</f>
        <v>13</v>
      </c>
      <c r="G169" s="388" t="str">
        <f>'14U BOYS SILVER-18 TEAMS'!G65&amp;""</f>
        <v>M2(3rdB)-TROJAN GOLD</v>
      </c>
      <c r="H169" s="391" t="str">
        <f>'14U BOYS SILVER-18 TEAMS'!H65&amp;""</f>
        <v>4</v>
      </c>
      <c r="I169" s="392" t="str">
        <f>'14U BOYS SILVER-18 TEAMS'!I65&amp;""</f>
        <v>13th-18th</v>
      </c>
      <c r="J169" s="389" t="str">
        <f>'14U BOYS SILVER-18 TEAMS'!J65&amp;""</f>
        <v>14U_BOYS_SILVER</v>
      </c>
      <c r="K169" s="389" t="str">
        <f t="shared" si="5"/>
        <v>202602011200</v>
      </c>
    </row>
    <row r="170" spans="1:11">
      <c r="A170" s="399">
        <f>'14U BOYS PLATINUM-20 TEAMS'!A54</f>
        <v>46054</v>
      </c>
      <c r="B170" s="400">
        <f>'14U BOYS PLATINUM-20 TEAMS'!B54</f>
        <v>0.53472222222222199</v>
      </c>
      <c r="C170" s="400" t="str">
        <f>'14U BOYS PLATINUM-20 TEAMS'!C54&amp;""</f>
        <v>EL TORO HS 1</v>
      </c>
      <c r="D170" s="401" t="str">
        <f>'14U BOYS PLATINUM-20 TEAMS'!D54&amp;""</f>
        <v>14Bpt28</v>
      </c>
      <c r="E170" s="401" t="str">
        <f>'14U BOYS PLATINUM-20 TEAMS'!E54&amp;""</f>
        <v>G1(1stA)-MISSION WPC A</v>
      </c>
      <c r="F170" s="401" t="str">
        <f>'14U BOYS PLATINUM-20 TEAMS'!F54&amp;""</f>
        <v>8</v>
      </c>
      <c r="G170" s="401" t="str">
        <f>'14U BOYS PLATINUM-20 TEAMS'!G54&amp;""</f>
        <v>G2(1stB)-PALOS VERDES A</v>
      </c>
      <c r="H170" s="401" t="str">
        <f>'14U BOYS PLATINUM-20 TEAMS'!H54&amp;""</f>
        <v>7</v>
      </c>
      <c r="I170" s="401" t="str">
        <f>'14U BOYS PLATINUM-20 TEAMS'!I54&amp;""</f>
        <v>G bracket</v>
      </c>
      <c r="J170" s="401" t="str">
        <f>'14U BOYS PLATINUM-20 TEAMS'!J54&amp;""</f>
        <v>14U_BOYS_PLATINUM</v>
      </c>
      <c r="K170" s="401" t="str">
        <f t="shared" si="5"/>
        <v>202602011250</v>
      </c>
    </row>
    <row r="171" spans="1:11">
      <c r="A171" s="399">
        <f>'14U BOYS PLATINUM-20 TEAMS'!A55</f>
        <v>46054</v>
      </c>
      <c r="B171" s="400">
        <f>'14U BOYS PLATINUM-20 TEAMS'!B55</f>
        <v>0.56944444444444497</v>
      </c>
      <c r="C171" s="400" t="str">
        <f>'14U BOYS PLATINUM-20 TEAMS'!C55&amp;""</f>
        <v>EL TORO HS 1</v>
      </c>
      <c r="D171" s="401" t="str">
        <f>'14U BOYS PLATINUM-20 TEAMS'!D55&amp;""</f>
        <v>14Bpt30</v>
      </c>
      <c r="E171" s="401" t="str">
        <f>'14U BOYS PLATINUM-20 TEAMS'!E55&amp;""</f>
        <v>K1(2ndD)-PRIDE BLACK</v>
      </c>
      <c r="F171" s="401" t="str">
        <f>'14U BOYS PLATINUM-20 TEAMS'!F55&amp;""</f>
        <v>6</v>
      </c>
      <c r="G171" s="401" t="str">
        <f>'14U BOYS PLATINUM-20 TEAMS'!G55&amp;""</f>
        <v>K2(2ndE)-ORANGE COUNTY WPC BLUE</v>
      </c>
      <c r="H171" s="401" t="str">
        <f>'14U BOYS PLATINUM-20 TEAMS'!H55&amp;""</f>
        <v>9</v>
      </c>
      <c r="I171" s="401" t="str">
        <f>'14U BOYS PLATINUM-20 TEAMS'!I55&amp;""</f>
        <v>K bracket</v>
      </c>
      <c r="J171" s="401" t="str">
        <f>'14U BOYS PLATINUM-20 TEAMS'!J55&amp;""</f>
        <v>14U_BOYS_PLATINUM</v>
      </c>
      <c r="K171" s="401" t="str">
        <f t="shared" si="5"/>
        <v>202602011340</v>
      </c>
    </row>
    <row r="172" spans="1:11">
      <c r="A172" s="399">
        <f>'14U BOYS PLATINUM-20 TEAMS'!A56</f>
        <v>46054</v>
      </c>
      <c r="B172" s="400">
        <f>'14U BOYS PLATINUM-20 TEAMS'!B56</f>
        <v>0.60416666666666696</v>
      </c>
      <c r="C172" s="400" t="str">
        <f>'14U BOYS PLATINUM-20 TEAMS'!C56&amp;""</f>
        <v>EL TORO HS 1</v>
      </c>
      <c r="D172" s="401" t="str">
        <f>'14U BOYS PLATINUM-20 TEAMS'!D56&amp;""</f>
        <v>14Bpt29</v>
      </c>
      <c r="E172" s="404" t="str">
        <f>'14U BOYS PLATINUM-20 TEAMS'!E56&amp;""</f>
        <v>J1(1stD)-LA JOLLA UNITED NAVY</v>
      </c>
      <c r="F172" s="401" t="str">
        <f>'14U BOYS PLATINUM-20 TEAMS'!F56&amp;""</f>
        <v>9</v>
      </c>
      <c r="G172" s="401" t="str">
        <f>'14U BOYS PLATINUM-20 TEAMS'!G56&amp;""</f>
        <v>J2(1stE)-CHANNEL ISLANDS UNITED GOLD</v>
      </c>
      <c r="H172" s="401" t="str">
        <f>'14U BOYS PLATINUM-20 TEAMS'!H56&amp;""</f>
        <v>6</v>
      </c>
      <c r="I172" s="405" t="str">
        <f>'14U BOYS PLATINUM-20 TEAMS'!I56&amp;""</f>
        <v>J bracket</v>
      </c>
      <c r="J172" s="401" t="str">
        <f>'14U BOYS PLATINUM-20 TEAMS'!J56&amp;""</f>
        <v>14U_BOYS_PLATINUM</v>
      </c>
      <c r="K172" s="401" t="str">
        <f t="shared" si="5"/>
        <v>202602011430</v>
      </c>
    </row>
    <row r="173" spans="1:11">
      <c r="A173" s="399">
        <f>'14U BOYS PLATINUM-20 TEAMS'!A57</f>
        <v>46054</v>
      </c>
      <c r="B173" s="400">
        <f>'14U BOYS PLATINUM-20 TEAMS'!B57</f>
        <v>0.63888888888888895</v>
      </c>
      <c r="C173" s="400" t="str">
        <f>'14U BOYS PLATINUM-20 TEAMS'!C57&amp;""</f>
        <v>EL TORO HS 1</v>
      </c>
      <c r="D173" s="401" t="str">
        <f>'14U BOYS PLATINUM-20 TEAMS'!D57&amp;""</f>
        <v>14Bpt43</v>
      </c>
      <c r="E173" s="401" t="str">
        <f>'14U BOYS PLATINUM-20 TEAMS'!E57&amp;""</f>
        <v>3rdG-PALOS VERDES A</v>
      </c>
      <c r="F173" s="401" t="str">
        <f>'14U BOYS PLATINUM-20 TEAMS'!F57&amp;""</f>
        <v>8</v>
      </c>
      <c r="G173" s="405" t="str">
        <f>'14U BOYS PLATINUM-20 TEAMS'!G57&amp;""</f>
        <v xml:space="preserve">3rdJ-CHANNEL ISLANDS UNITED GOLD	</v>
      </c>
      <c r="H173" s="401" t="str">
        <f>'14U BOYS PLATINUM-20 TEAMS'!H57&amp;""</f>
        <v>7</v>
      </c>
      <c r="I173" s="401" t="str">
        <f>'14U BOYS PLATINUM-20 TEAMS'!I57&amp;""</f>
        <v>5th</v>
      </c>
      <c r="J173" s="401" t="str">
        <f>'14U BOYS PLATINUM-20 TEAMS'!J57&amp;""</f>
        <v>14U_BOYS_PLATINUM</v>
      </c>
      <c r="K173" s="401" t="str">
        <f t="shared" si="5"/>
        <v>202602011520</v>
      </c>
    </row>
    <row r="174" spans="1:11">
      <c r="A174" s="399">
        <f>'14U BOYS PLATINUM-20 TEAMS'!A58</f>
        <v>46054</v>
      </c>
      <c r="B174" s="400">
        <f>'14U BOYS PLATINUM-20 TEAMS'!B58</f>
        <v>0.67361111111111105</v>
      </c>
      <c r="C174" s="400" t="str">
        <f>'14U BOYS PLATINUM-20 TEAMS'!C58&amp;""</f>
        <v>EL TORO HS 1</v>
      </c>
      <c r="D174" s="401" t="str">
        <f>'14U BOYS PLATINUM-20 TEAMS'!D58&amp;""</f>
        <v>14Bpt31</v>
      </c>
      <c r="E174" s="401" t="str">
        <f>'14U BOYS PLATINUM-20 TEAMS'!E58&amp;""</f>
        <v>2ndG-VANGUARD BLUE</v>
      </c>
      <c r="F174" s="401" t="str">
        <f>'14U BOYS PLATINUM-20 TEAMS'!F58&amp;""</f>
        <v>8</v>
      </c>
      <c r="G174" s="401" t="str">
        <f>'14U BOYS PLATINUM-20 TEAMS'!G58&amp;""</f>
        <v>2ndJ-PATRIOT NAVY</v>
      </c>
      <c r="H174" s="401" t="str">
        <f>'14U BOYS PLATINUM-20 TEAMS'!H58&amp;""</f>
        <v>13</v>
      </c>
      <c r="I174" s="401" t="str">
        <f>'14U BOYS PLATINUM-20 TEAMS'!I58&amp;""</f>
        <v>3rd</v>
      </c>
      <c r="J174" s="401" t="str">
        <f>'14U BOYS PLATINUM-20 TEAMS'!J58&amp;""</f>
        <v>14U_BOYS_PLATINUM</v>
      </c>
      <c r="K174" s="401" t="str">
        <f t="shared" si="5"/>
        <v>202602011610</v>
      </c>
    </row>
    <row r="175" spans="1:11">
      <c r="A175" s="399">
        <f>'14U BOYS PLATINUM-20 TEAMS'!A59</f>
        <v>46054</v>
      </c>
      <c r="B175" s="400">
        <f>'14U BOYS PLATINUM-20 TEAMS'!B59</f>
        <v>0.70833333333333404</v>
      </c>
      <c r="C175" s="400" t="str">
        <f>'14U BOYS PLATINUM-20 TEAMS'!C59&amp;""</f>
        <v>EL TORO HS 1</v>
      </c>
      <c r="D175" s="401" t="str">
        <f>'14U BOYS PLATINUM-20 TEAMS'!D59&amp;""</f>
        <v>14Bpt32</v>
      </c>
      <c r="E175" s="401" t="str">
        <f>'14U BOYS PLATINUM-20 TEAMS'!E59&amp;""</f>
        <v>1stG-MISSION WPC A</v>
      </c>
      <c r="F175" s="401" t="str">
        <f>'14U BOYS PLATINUM-20 TEAMS'!F59&amp;""</f>
        <v>8</v>
      </c>
      <c r="G175" s="401" t="str">
        <f>'14U BOYS PLATINUM-20 TEAMS'!G59&amp;""</f>
        <v>1stJ-LA JOLLA UNITED NAVY</v>
      </c>
      <c r="H175" s="401" t="str">
        <f>'14U BOYS PLATINUM-20 TEAMS'!H59&amp;""</f>
        <v>12</v>
      </c>
      <c r="I175" s="401" t="str">
        <f>'14U BOYS PLATINUM-20 TEAMS'!I59&amp;""</f>
        <v>1st</v>
      </c>
      <c r="J175" s="401" t="str">
        <f>'14U BOYS PLATINUM-20 TEAMS'!J59&amp;""</f>
        <v>14U_BOYS_PLATINUM</v>
      </c>
      <c r="K175" s="401" t="str">
        <f t="shared" si="5"/>
        <v>202602011700</v>
      </c>
    </row>
    <row r="176" spans="1:11">
      <c r="A176" s="337">
        <f>'10U COED GOLD-16 TEAMS CUSTOM'!A10</f>
        <v>46053</v>
      </c>
      <c r="B176" s="338">
        <f>'10U COED GOLD-16 TEAMS CUSTOM'!B10</f>
        <v>0.33333333333333331</v>
      </c>
      <c r="C176" s="338" t="str">
        <f>'10U COED GOLD-16 TEAMS CUSTOM'!C10&amp;""</f>
        <v>EL TORO HS 2</v>
      </c>
      <c r="D176" s="339" t="str">
        <f>'10U COED GOLD-16 TEAMS CUSTOM'!D10&amp;""</f>
        <v>10Cau01</v>
      </c>
      <c r="E176" s="339" t="str">
        <f>'10U COED GOLD-16 TEAMS CUSTOM'!E10&amp;""</f>
        <v>D1-TROJAN</v>
      </c>
      <c r="F176" s="339" t="str">
        <f>'10U COED GOLD-16 TEAMS CUSTOM'!F10&amp;""</f>
        <v>13</v>
      </c>
      <c r="G176" s="339" t="str">
        <f>'10U COED GOLD-16 TEAMS CUSTOM'!G10&amp;""</f>
        <v>D3-YOLO YELLOW</v>
      </c>
      <c r="H176" s="339" t="str">
        <f>'10U COED GOLD-16 TEAMS CUSTOM'!H10&amp;""</f>
        <v>15</v>
      </c>
      <c r="I176" s="339" t="str">
        <f>'10U COED GOLD-16 TEAMS CUSTOM'!I10&amp;""</f>
        <v>D bracket D1,D3</v>
      </c>
      <c r="J176" s="339" t="str">
        <f>'10U COED GOLD-16 TEAMS CUSTOM'!J10&amp;""</f>
        <v>10U_COED_GOLD</v>
      </c>
      <c r="K176" s="339" t="str">
        <f>TEXT(DATE(2025, MONTH(A176), DAY(A176)) + TIME(HOUR(B176), MINUTE(B176), 0), "yyyymmddhhmm")</f>
        <v>202501310800</v>
      </c>
    </row>
    <row r="177" spans="1:11">
      <c r="A177" s="337">
        <f>'10U COED GOLD-16 TEAMS CUSTOM'!A11</f>
        <v>46053</v>
      </c>
      <c r="B177" s="338">
        <f>'10U COED GOLD-16 TEAMS CUSTOM'!B11</f>
        <v>0.36458333333333331</v>
      </c>
      <c r="C177" s="338" t="str">
        <f>'10U COED GOLD-16 TEAMS CUSTOM'!C11&amp;""</f>
        <v>EL TORO HS 2</v>
      </c>
      <c r="D177" s="339" t="str">
        <f>'10U COED GOLD-16 TEAMS CUSTOM'!D11&amp;""</f>
        <v>10Cau02</v>
      </c>
      <c r="E177" s="339" t="str">
        <f>'10U COED GOLD-16 TEAMS CUSTOM'!E11&amp;""</f>
        <v>A1-LA JOLLA UNITED</v>
      </c>
      <c r="F177" s="339" t="str">
        <f>'10U COED GOLD-16 TEAMS CUSTOM'!F11&amp;""</f>
        <v>18</v>
      </c>
      <c r="G177" s="339" t="str">
        <f>'10U COED GOLD-16 TEAMS CUSTOM'!G11&amp;""</f>
        <v>A3-LAMORINDA C</v>
      </c>
      <c r="H177" s="339" t="str">
        <f>'10U COED GOLD-16 TEAMS CUSTOM'!H11&amp;""</f>
        <v>8</v>
      </c>
      <c r="I177" s="339" t="str">
        <f>'10U COED GOLD-16 TEAMS CUSTOM'!I11&amp;""</f>
        <v>A bracket A1,A3</v>
      </c>
      <c r="J177" s="339" t="str">
        <f>'10U COED GOLD-16 TEAMS CUSTOM'!J11&amp;""</f>
        <v>10U_COED_GOLD</v>
      </c>
      <c r="K177" s="339" t="str">
        <f>TEXT(DATE(2025, MONTH(A177), DAY(A177)) + TIME(HOUR(B177), MINUTE(B177), 0), "yyyymmddhhmm")</f>
        <v>202501310845</v>
      </c>
    </row>
    <row r="178" spans="1:11">
      <c r="A178" s="337">
        <f>'10U COED GOLD-16 TEAMS CUSTOM'!A12</f>
        <v>46053</v>
      </c>
      <c r="B178" s="338">
        <f>'10U COED GOLD-16 TEAMS CUSTOM'!B12</f>
        <v>0.39583333333333298</v>
      </c>
      <c r="C178" s="338" t="str">
        <f>'10U COED GOLD-16 TEAMS CUSTOM'!C12&amp;""</f>
        <v>EL TORO HS 2</v>
      </c>
      <c r="D178" s="339" t="str">
        <f>'10U COED GOLD-16 TEAMS CUSTOM'!D12&amp;""</f>
        <v>10Cau03</v>
      </c>
      <c r="E178" s="339" t="str">
        <f>'10U COED GOLD-16 TEAMS CUSTOM'!E12&amp;""</f>
        <v>B1-DAVIS</v>
      </c>
      <c r="F178" s="339" t="str">
        <f>'10U COED GOLD-16 TEAMS CUSTOM'!F12&amp;""</f>
        <v>16</v>
      </c>
      <c r="G178" s="339" t="str">
        <f>'10U COED GOLD-16 TEAMS CUSTOM'!G12&amp;""</f>
        <v>B3-DEL MAR WHITE</v>
      </c>
      <c r="H178" s="339" t="str">
        <f>'10U COED GOLD-16 TEAMS CUSTOM'!H12&amp;""</f>
        <v>5</v>
      </c>
      <c r="I178" s="339" t="str">
        <f>'10U COED GOLD-16 TEAMS CUSTOM'!I12&amp;""</f>
        <v>B bracket B1,B3</v>
      </c>
      <c r="J178" s="339" t="str">
        <f>'10U COED GOLD-16 TEAMS CUSTOM'!J12&amp;""</f>
        <v>10U_COED_GOLD</v>
      </c>
      <c r="K178" s="339" t="str">
        <f t="shared" ref="K178:K241" si="6">TEXT(DATE(2026, MONTH(A178), DAY(A178)) + TIME(HOUR(B178), MINUTE(B178), 0), "yyyymmddhhmm")</f>
        <v>202601310930</v>
      </c>
    </row>
    <row r="179" spans="1:11">
      <c r="A179" s="337">
        <f>'10U COED GOLD-16 TEAMS CUSTOM'!A13</f>
        <v>46053</v>
      </c>
      <c r="B179" s="338">
        <f>'10U COED GOLD-16 TEAMS CUSTOM'!B13</f>
        <v>0.42708333333333298</v>
      </c>
      <c r="C179" s="338" t="str">
        <f>'10U COED GOLD-16 TEAMS CUSTOM'!C13&amp;""</f>
        <v>EL TORO HS 2</v>
      </c>
      <c r="D179" s="339" t="str">
        <f>'10U COED GOLD-16 TEAMS CUSTOM'!D13&amp;""</f>
        <v>10Cau04</v>
      </c>
      <c r="E179" s="339" t="str">
        <f>'10U COED GOLD-16 TEAMS CUSTOM'!E13&amp;""</f>
        <v>C1-SOUTH COAST RED</v>
      </c>
      <c r="F179" s="339" t="str">
        <f>'10U COED GOLD-16 TEAMS CUSTOM'!F13&amp;""</f>
        <v>6</v>
      </c>
      <c r="G179" s="339" t="str">
        <f>'10U COED GOLD-16 TEAMS CUSTOM'!G13&amp;""</f>
        <v>C3-SAN CLEMENTE BLACK</v>
      </c>
      <c r="H179" s="339" t="str">
        <f>'10U COED GOLD-16 TEAMS CUSTOM'!H13&amp;""</f>
        <v>18</v>
      </c>
      <c r="I179" s="339" t="str">
        <f>'10U COED GOLD-16 TEAMS CUSTOM'!I13&amp;""</f>
        <v>C bracket C1,C3</v>
      </c>
      <c r="J179" s="339" t="str">
        <f>'10U COED GOLD-16 TEAMS CUSTOM'!J13&amp;""</f>
        <v>10U_COED_GOLD</v>
      </c>
      <c r="K179" s="339" t="str">
        <f t="shared" si="6"/>
        <v>202601311015</v>
      </c>
    </row>
    <row r="180" spans="1:11">
      <c r="A180" s="337">
        <f>'10U COED GOLD-16 TEAMS CUSTOM'!A15</f>
        <v>46053</v>
      </c>
      <c r="B180" s="338">
        <f>'10U COED GOLD-16 TEAMS CUSTOM'!B15</f>
        <v>0.45833333333333298</v>
      </c>
      <c r="C180" s="338" t="str">
        <f>'10U COED GOLD-16 TEAMS CUSTOM'!C15&amp;""</f>
        <v>EL TORO HS 2</v>
      </c>
      <c r="D180" s="339" t="str">
        <f>'10U COED GOLD-16 TEAMS CUSTOM'!D15&amp;""</f>
        <v>10Cau07</v>
      </c>
      <c r="E180" s="339" t="str">
        <f>'10U COED GOLD-16 TEAMS CUSTOM'!E15&amp;""</f>
        <v>D2-PATRIOT WHITE</v>
      </c>
      <c r="F180" s="339" t="str">
        <f>'10U COED GOLD-16 TEAMS CUSTOM'!F15&amp;""</f>
        <v>5</v>
      </c>
      <c r="G180" s="339" t="str">
        <f>'10U COED GOLD-16 TEAMS CUSTOM'!G15&amp;""</f>
        <v>D3-YOLO YELLOW</v>
      </c>
      <c r="H180" s="339" t="str">
        <f>'10U COED GOLD-16 TEAMS CUSTOM'!H15&amp;""</f>
        <v>16</v>
      </c>
      <c r="I180" s="339" t="str">
        <f>'10U COED GOLD-16 TEAMS CUSTOM'!I15&amp;""</f>
        <v>D bracket D2,D3</v>
      </c>
      <c r="J180" s="339" t="str">
        <f>'10U COED GOLD-16 TEAMS CUSTOM'!J15&amp;""</f>
        <v>10U_COED_GOLD</v>
      </c>
      <c r="K180" s="339" t="str">
        <f t="shared" si="6"/>
        <v>202601311100</v>
      </c>
    </row>
    <row r="181" spans="1:11">
      <c r="A181" s="337">
        <f>'10U COED GOLD-16 TEAMS CUSTOM'!A17</f>
        <v>46053</v>
      </c>
      <c r="B181" s="338">
        <f>'10U COED GOLD-16 TEAMS CUSTOM'!B17</f>
        <v>0.48958333333333298</v>
      </c>
      <c r="C181" s="338" t="str">
        <f>'10U COED GOLD-16 TEAMS CUSTOM'!C17&amp;""</f>
        <v>EL TORO HS 2</v>
      </c>
      <c r="D181" s="339" t="str">
        <f>'10U COED GOLD-16 TEAMS CUSTOM'!D17&amp;""</f>
        <v>10Cau08</v>
      </c>
      <c r="E181" s="339" t="str">
        <f>'10U COED GOLD-16 TEAMS CUSTOM'!E17&amp;""</f>
        <v>A2-LOYOLA WPC</v>
      </c>
      <c r="F181" s="339" t="str">
        <f>'10U COED GOLD-16 TEAMS CUSTOM'!F17&amp;""</f>
        <v>17</v>
      </c>
      <c r="G181" s="339" t="str">
        <f>'10U COED GOLD-16 TEAMS CUSTOM'!G17&amp;""</f>
        <v>A3-LAMORINDA C</v>
      </c>
      <c r="H181" s="339" t="str">
        <f>'10U COED GOLD-16 TEAMS CUSTOM'!H17&amp;""</f>
        <v>1</v>
      </c>
      <c r="I181" s="339" t="str">
        <f>'10U COED GOLD-16 TEAMS CUSTOM'!I17&amp;""</f>
        <v>A bracket A2,A3</v>
      </c>
      <c r="J181" s="339" t="str">
        <f>'10U COED GOLD-16 TEAMS CUSTOM'!J17&amp;""</f>
        <v>10U_COED_GOLD</v>
      </c>
      <c r="K181" s="339" t="str">
        <f t="shared" si="6"/>
        <v>202601311145</v>
      </c>
    </row>
    <row r="182" spans="1:11">
      <c r="A182" s="337">
        <f>'10U COED GOLD-16 TEAMS CUSTOM'!A18</f>
        <v>46053</v>
      </c>
      <c r="B182" s="338">
        <f>'10U COED GOLD-16 TEAMS CUSTOM'!B18</f>
        <v>0.52083333333333304</v>
      </c>
      <c r="C182" s="338" t="str">
        <f>'10U COED GOLD-16 TEAMS CUSTOM'!C18&amp;""</f>
        <v>EL TORO HS 2</v>
      </c>
      <c r="D182" s="339" t="str">
        <f>'10U COED GOLD-16 TEAMS CUSTOM'!D18&amp;""</f>
        <v>10Cau09</v>
      </c>
      <c r="E182" s="339" t="str">
        <f>'10U COED GOLD-16 TEAMS CUSTOM'!E18&amp;""</f>
        <v>B2-ORANGE COUNTY WPC RED</v>
      </c>
      <c r="F182" s="339" t="str">
        <f>'10U COED GOLD-16 TEAMS CUSTOM'!F18&amp;""</f>
        <v>19</v>
      </c>
      <c r="G182" s="339" t="str">
        <f>'10U COED GOLD-16 TEAMS CUSTOM'!G18&amp;""</f>
        <v>B3-DEL MAR WHITE</v>
      </c>
      <c r="H182" s="339" t="str">
        <f>'10U COED GOLD-16 TEAMS CUSTOM'!H18&amp;""</f>
        <v>6</v>
      </c>
      <c r="I182" s="339" t="str">
        <f>'10U COED GOLD-16 TEAMS CUSTOM'!I18&amp;""</f>
        <v>B bracket B2,B3</v>
      </c>
      <c r="J182" s="339" t="str">
        <f>'10U COED GOLD-16 TEAMS CUSTOM'!J18&amp;""</f>
        <v>10U_COED_GOLD</v>
      </c>
      <c r="K182" s="339" t="str">
        <f t="shared" si="6"/>
        <v>202601311230</v>
      </c>
    </row>
    <row r="183" spans="1:11">
      <c r="A183" s="337">
        <f>'10U COED GOLD-16 TEAMS CUSTOM'!A19</f>
        <v>46053</v>
      </c>
      <c r="B183" s="338">
        <f>'10U COED GOLD-16 TEAMS CUSTOM'!B19</f>
        <v>0.55208333333333304</v>
      </c>
      <c r="C183" s="338" t="str">
        <f>'10U COED GOLD-16 TEAMS CUSTOM'!C19&amp;""</f>
        <v>EL TORO HS 2</v>
      </c>
      <c r="D183" s="339" t="str">
        <f>'10U COED GOLD-16 TEAMS CUSTOM'!D19&amp;""</f>
        <v>10Cau10</v>
      </c>
      <c r="E183" s="339" t="str">
        <f>'10U COED GOLD-16 TEAMS CUSTOM'!E19&amp;""</f>
        <v>C2-SOUTH BAY UNITED</v>
      </c>
      <c r="F183" s="339" t="str">
        <f>'10U COED GOLD-16 TEAMS CUSTOM'!F19&amp;""</f>
        <v>11</v>
      </c>
      <c r="G183" s="339" t="str">
        <f>'10U COED GOLD-16 TEAMS CUSTOM'!G19&amp;""</f>
        <v>C3-SAN CLEMENTE BLACK</v>
      </c>
      <c r="H183" s="339" t="str">
        <f>'10U COED GOLD-16 TEAMS CUSTOM'!H19&amp;""</f>
        <v>8</v>
      </c>
      <c r="I183" s="339" t="str">
        <f>'10U COED GOLD-16 TEAMS CUSTOM'!I19&amp;""</f>
        <v>C bracket C2,C3</v>
      </c>
      <c r="J183" s="339" t="str">
        <f>'10U COED GOLD-16 TEAMS CUSTOM'!J19&amp;""</f>
        <v>10U_COED_GOLD</v>
      </c>
      <c r="K183" s="339" t="str">
        <f t="shared" si="6"/>
        <v>202601311315</v>
      </c>
    </row>
    <row r="184" spans="1:11">
      <c r="A184" s="337">
        <f>'10U COED GOLD-16 TEAMS CUSTOM'!A30</f>
        <v>46054</v>
      </c>
      <c r="B184" s="338">
        <f>'10U COED GOLD-16 TEAMS CUSTOM'!B30</f>
        <v>0.33333333333333331</v>
      </c>
      <c r="C184" s="338" t="str">
        <f>'10U COED GOLD-16 TEAMS CUSTOM'!C30&amp;""</f>
        <v>EL TORO HS 2</v>
      </c>
      <c r="D184" s="339" t="str">
        <f>'10U COED GOLD-16 TEAMS CUSTOM'!D30&amp;""</f>
        <v>10Cau19</v>
      </c>
      <c r="E184" s="339" t="str">
        <f>'10U COED GOLD-16 TEAMS CUSTOM'!E30&amp;""</f>
        <v>2ndA-LOYOLA WPC</v>
      </c>
      <c r="F184" s="339" t="str">
        <f>'10U COED GOLD-16 TEAMS CUSTOM'!F30&amp;""</f>
        <v>18</v>
      </c>
      <c r="G184" s="339" t="str">
        <f>'10U COED GOLD-16 TEAMS CUSTOM'!G30&amp;""</f>
        <v>2ndD-TROJAN</v>
      </c>
      <c r="H184" s="339" t="str">
        <f>'10U COED GOLD-16 TEAMS CUSTOM'!H30&amp;""</f>
        <v>7</v>
      </c>
      <c r="I184" s="339" t="str">
        <f>'10U COED GOLD-16 TEAMS CUSTOM'!I30&amp;""</f>
        <v>5-8 coed semi</v>
      </c>
      <c r="J184" s="339" t="str">
        <f>'10U COED GOLD-16 TEAMS CUSTOM'!J30&amp;""</f>
        <v>10U_COED_GOLD</v>
      </c>
      <c r="K184" s="339" t="str">
        <f t="shared" si="6"/>
        <v>202602010800</v>
      </c>
    </row>
    <row r="185" spans="1:11">
      <c r="A185" s="337">
        <f>'10U COED GOLD-16 TEAMS CUSTOM'!A32</f>
        <v>46054</v>
      </c>
      <c r="B185" s="338">
        <f>'10U COED GOLD-16 TEAMS CUSTOM'!B32</f>
        <v>0.36458333333333331</v>
      </c>
      <c r="C185" s="338" t="str">
        <f>'10U COED GOLD-16 TEAMS CUSTOM'!C32&amp;""</f>
        <v>EL TORO HS 2</v>
      </c>
      <c r="D185" s="339" t="str">
        <f>'10U COED GOLD-16 TEAMS CUSTOM'!D32&amp;""</f>
        <v>10Cau20</v>
      </c>
      <c r="E185" s="339" t="str">
        <f>'10U COED GOLD-16 TEAMS CUSTOM'!E32&amp;""</f>
        <v>2ndB-ORANGE COUNTY WPC RED</v>
      </c>
      <c r="F185" s="339" t="str">
        <f>'10U COED GOLD-16 TEAMS CUSTOM'!F32&amp;""</f>
        <v>13</v>
      </c>
      <c r="G185" s="339" t="str">
        <f>'10U COED GOLD-16 TEAMS CUSTOM'!G32&amp;""</f>
        <v>2ndC-SAN CLEMENTE BLACK</v>
      </c>
      <c r="H185" s="339" t="str">
        <f>'10U COED GOLD-16 TEAMS CUSTOM'!H32&amp;""</f>
        <v>19</v>
      </c>
      <c r="I185" s="339" t="str">
        <f>'10U COED GOLD-16 TEAMS CUSTOM'!I32&amp;""</f>
        <v>5-8 coed semi</v>
      </c>
      <c r="J185" s="339" t="str">
        <f>'10U COED GOLD-16 TEAMS CUSTOM'!J32&amp;""</f>
        <v>10U_COED_GOLD</v>
      </c>
      <c r="K185" s="339" t="str">
        <f t="shared" si="6"/>
        <v>202602010845</v>
      </c>
    </row>
    <row r="186" spans="1:11">
      <c r="A186" s="337">
        <f>'10U COED GOLD-16 TEAMS CUSTOM'!A33</f>
        <v>46054</v>
      </c>
      <c r="B186" s="338">
        <f>'10U COED GOLD-16 TEAMS CUSTOM'!B33</f>
        <v>0.39583333333333298</v>
      </c>
      <c r="C186" s="338" t="str">
        <f>'10U COED GOLD-16 TEAMS CUSTOM'!C33&amp;""</f>
        <v>EL TORO HS 2</v>
      </c>
      <c r="D186" s="339" t="str">
        <f>'10U COED GOLD-16 TEAMS CUSTOM'!D33&amp;""</f>
        <v>10Cau21</v>
      </c>
      <c r="E186" s="339" t="str">
        <f>'10U COED GOLD-16 TEAMS CUSTOM'!E33&amp;""</f>
        <v>1stA-LA JOLLA UNITED</v>
      </c>
      <c r="F186" s="339" t="str">
        <f>'10U COED GOLD-16 TEAMS CUSTOM'!F33&amp;""</f>
        <v>6.3</v>
      </c>
      <c r="G186" s="339" t="str">
        <f>'10U COED GOLD-16 TEAMS CUSTOM'!G33&amp;""</f>
        <v>1stD-YOLO YELLOW</v>
      </c>
      <c r="H186" s="339" t="str">
        <f>'10U COED GOLD-16 TEAMS CUSTOM'!H33&amp;""</f>
        <v>6</v>
      </c>
      <c r="I186" s="339" t="str">
        <f>'10U COED GOLD-16 TEAMS CUSTOM'!I33&amp;""</f>
        <v>1-4 coed semi</v>
      </c>
      <c r="J186" s="339" t="str">
        <f>'10U COED GOLD-16 TEAMS CUSTOM'!J33&amp;""</f>
        <v>10U_COED_GOLD</v>
      </c>
      <c r="K186" s="339" t="str">
        <f t="shared" si="6"/>
        <v>202602010930</v>
      </c>
    </row>
    <row r="187" spans="1:11">
      <c r="A187" s="337">
        <f>'10U COED GOLD-16 TEAMS CUSTOM'!A34</f>
        <v>46054</v>
      </c>
      <c r="B187" s="338">
        <f>'10U COED GOLD-16 TEAMS CUSTOM'!B34</f>
        <v>0.42708333333333298</v>
      </c>
      <c r="C187" s="338" t="str">
        <f>'10U COED GOLD-16 TEAMS CUSTOM'!C34&amp;""</f>
        <v>EL TORO HS 2</v>
      </c>
      <c r="D187" s="339" t="str">
        <f>'10U COED GOLD-16 TEAMS CUSTOM'!D34&amp;""</f>
        <v>10Cau22</v>
      </c>
      <c r="E187" s="339" t="str">
        <f>'10U COED GOLD-16 TEAMS CUSTOM'!E34&amp;""</f>
        <v>1stB-DAVIS</v>
      </c>
      <c r="F187" s="339" t="str">
        <f>'10U COED GOLD-16 TEAMS CUSTOM'!F34&amp;""</f>
        <v>17</v>
      </c>
      <c r="G187" s="339" t="str">
        <f>'10U COED GOLD-16 TEAMS CUSTOM'!G34&amp;""</f>
        <v>1stC-SOUTH BAY UNITED</v>
      </c>
      <c r="H187" s="339" t="str">
        <f>'10U COED GOLD-16 TEAMS CUSTOM'!H34&amp;""</f>
        <v>4</v>
      </c>
      <c r="I187" s="339" t="str">
        <f>'10U COED GOLD-16 TEAMS CUSTOM'!I34&amp;""</f>
        <v>1-4 coed semi</v>
      </c>
      <c r="J187" s="339" t="str">
        <f>'10U COED GOLD-16 TEAMS CUSTOM'!J34&amp;""</f>
        <v>10U_COED_GOLD</v>
      </c>
      <c r="K187" s="339" t="str">
        <f t="shared" si="6"/>
        <v>202602011015</v>
      </c>
    </row>
    <row r="188" spans="1:11">
      <c r="A188" s="337">
        <f>'10U COED GOLD-16 TEAMS CUSTOM'!A36</f>
        <v>46054</v>
      </c>
      <c r="B188" s="338">
        <f>'10U COED GOLD-16 TEAMS CUSTOM'!B36</f>
        <v>0.45833333333333298</v>
      </c>
      <c r="C188" s="338" t="str">
        <f>'10U COED GOLD-16 TEAMS CUSTOM'!C36&amp;""</f>
        <v>EL TORO HS 2</v>
      </c>
      <c r="D188" s="340" t="str">
        <f>'10U COED GOLD-16 TEAMS CUSTOM'!D36&amp;""</f>
        <v>10Cau25</v>
      </c>
      <c r="E188" s="340" t="str">
        <f>'10U COED GOLD-16 TEAMS CUSTOM'!E36&amp;""</f>
        <v>G3-680 RED (girls)</v>
      </c>
      <c r="F188" s="339" t="str">
        <f>'10U COED GOLD-16 TEAMS CUSTOM'!F36&amp;""</f>
        <v>17</v>
      </c>
      <c r="G188" s="339" t="str">
        <f>'10U COED GOLD-16 TEAMS CUSTOM'!G36&amp;""</f>
        <v>3rdC-SOUTH COAST RED</v>
      </c>
      <c r="H188" s="339" t="str">
        <f>'10U COED GOLD-16 TEAMS CUSTOM'!H36&amp;""</f>
        <v>16</v>
      </c>
      <c r="I188" s="339" t="str">
        <f>'10U COED GOLD-16 TEAMS CUSTOM'!I36&amp;""</f>
        <v>girls-coed interact</v>
      </c>
      <c r="J188" s="339" t="str">
        <f>'10U COED GOLD-16 TEAMS CUSTOM'!J36&amp;""</f>
        <v>10U_COED_GOLD</v>
      </c>
      <c r="K188" s="339" t="str">
        <f t="shared" si="6"/>
        <v>202602011100</v>
      </c>
    </row>
    <row r="189" spans="1:11">
      <c r="A189" s="337">
        <f>'10U COED GOLD-16 TEAMS CUSTOM'!A38</f>
        <v>46054</v>
      </c>
      <c r="B189" s="338">
        <f>'10U COED GOLD-16 TEAMS CUSTOM'!B38</f>
        <v>0.48958333333333298</v>
      </c>
      <c r="C189" s="338" t="str">
        <f>'10U COED GOLD-16 TEAMS CUSTOM'!C38&amp;""</f>
        <v>EL TORO HS 2</v>
      </c>
      <c r="D189" s="340" t="str">
        <f>'10U COED GOLD-16 TEAMS CUSTOM'!D38&amp;""</f>
        <v>10Cau26</v>
      </c>
      <c r="E189" s="340" t="str">
        <f>'10U COED GOLD-16 TEAMS CUSTOM'!E38&amp;""</f>
        <v>G4-SAN CLEMENTE RED (girls)</v>
      </c>
      <c r="F189" s="339" t="str">
        <f>'10U COED GOLD-16 TEAMS CUSTOM'!F38&amp;""</f>
        <v>12</v>
      </c>
      <c r="G189" s="339" t="str">
        <f>'10U COED GOLD-16 TEAMS CUSTOM'!G38&amp;""</f>
        <v>3rdA-LAMORINDA C</v>
      </c>
      <c r="H189" s="339" t="str">
        <f>'10U COED GOLD-16 TEAMS CUSTOM'!H38&amp;""</f>
        <v>7</v>
      </c>
      <c r="I189" s="339" t="str">
        <f>'10U COED GOLD-16 TEAMS CUSTOM'!I38&amp;""</f>
        <v>girls-coed interact</v>
      </c>
      <c r="J189" s="339" t="str">
        <f>'10U COED GOLD-16 TEAMS CUSTOM'!J38&amp;""</f>
        <v>10U_COED_GOLD</v>
      </c>
      <c r="K189" s="339" t="str">
        <f t="shared" si="6"/>
        <v>202602011145</v>
      </c>
    </row>
    <row r="190" spans="1:11">
      <c r="A190" s="337">
        <f>'10U COED GOLD-16 TEAMS CUSTOM'!A39</f>
        <v>46054</v>
      </c>
      <c r="B190" s="338">
        <f>'10U COED GOLD-16 TEAMS CUSTOM'!B39</f>
        <v>0.52083333333333304</v>
      </c>
      <c r="C190" s="338" t="str">
        <f>'10U COED GOLD-16 TEAMS CUSTOM'!C39&amp;""</f>
        <v>EL TORO HS 2</v>
      </c>
      <c r="D190" s="339" t="str">
        <f>'10U COED GOLD-16 TEAMS CUSTOM'!D39&amp;""</f>
        <v>10Cau27</v>
      </c>
      <c r="E190" s="339" t="str">
        <f>'10U COED GOLD-16 TEAMS CUSTOM'!E39&amp;""</f>
        <v>L#19-TROJAN</v>
      </c>
      <c r="F190" s="339" t="str">
        <f>'10U COED GOLD-16 TEAMS CUSTOM'!F39&amp;""</f>
        <v>18</v>
      </c>
      <c r="G190" s="339" t="str">
        <f>'10U COED GOLD-16 TEAMS CUSTOM'!G39&amp;""</f>
        <v>L#20-ORANGE COUNTY WPC RED</v>
      </c>
      <c r="H190" s="339" t="str">
        <f>'10U COED GOLD-16 TEAMS CUSTOM'!H39&amp;""</f>
        <v>12</v>
      </c>
      <c r="I190" s="339" t="str">
        <f>'10U COED GOLD-16 TEAMS CUSTOM'!I39&amp;""</f>
        <v>7th Coed</v>
      </c>
      <c r="J190" s="339" t="str">
        <f>'10U COED GOLD-16 TEAMS CUSTOM'!J39&amp;""</f>
        <v>10U_COED_GOLD</v>
      </c>
      <c r="K190" s="339" t="str">
        <f t="shared" si="6"/>
        <v>202602011230</v>
      </c>
    </row>
    <row r="191" spans="1:11">
      <c r="A191" s="337">
        <f>'10U COED GOLD-16 TEAMS CUSTOM'!A41</f>
        <v>46054</v>
      </c>
      <c r="B191" s="338">
        <f>'10U COED GOLD-16 TEAMS CUSTOM'!B41</f>
        <v>0.55208333333333304</v>
      </c>
      <c r="C191" s="338" t="str">
        <f>'10U COED GOLD-16 TEAMS CUSTOM'!C41&amp;""</f>
        <v>EL TORO HS 2</v>
      </c>
      <c r="D191" s="339" t="str">
        <f>'10U COED GOLD-16 TEAMS CUSTOM'!D41&amp;""</f>
        <v>10Cau28</v>
      </c>
      <c r="E191" s="339" t="str">
        <f>'10U COED GOLD-16 TEAMS CUSTOM'!E41&amp;""</f>
        <v>W#19-LOYOLA WPC</v>
      </c>
      <c r="F191" s="339" t="str">
        <f>'10U COED GOLD-16 TEAMS CUSTOM'!F41&amp;""</f>
        <v>10</v>
      </c>
      <c r="G191" s="339" t="str">
        <f>'10U COED GOLD-16 TEAMS CUSTOM'!G41&amp;""</f>
        <v>W#20-SAN CLEMENTE BLACK</v>
      </c>
      <c r="H191" s="339" t="str">
        <f>'10U COED GOLD-16 TEAMS CUSTOM'!H41&amp;""</f>
        <v>6</v>
      </c>
      <c r="I191" s="339" t="str">
        <f>'10U COED GOLD-16 TEAMS CUSTOM'!I41&amp;""</f>
        <v>5th Coed</v>
      </c>
      <c r="J191" s="339" t="str">
        <f>'10U COED GOLD-16 TEAMS CUSTOM'!J41&amp;""</f>
        <v>10U_COED_GOLD</v>
      </c>
      <c r="K191" s="339" t="str">
        <f t="shared" si="6"/>
        <v>202602011315</v>
      </c>
    </row>
    <row r="192" spans="1:11">
      <c r="A192" s="337">
        <f>'10U COED GOLD-16 TEAMS CUSTOM'!A43</f>
        <v>46054</v>
      </c>
      <c r="B192" s="338">
        <f>'10U COED GOLD-16 TEAMS CUSTOM'!B43</f>
        <v>0.58333333333333304</v>
      </c>
      <c r="C192" s="338" t="str">
        <f>'10U COED GOLD-16 TEAMS CUSTOM'!C43&amp;""</f>
        <v>EL TORO HS 2</v>
      </c>
      <c r="D192" s="339" t="str">
        <f>'10U COED GOLD-16 TEAMS CUSTOM'!D43&amp;""</f>
        <v>10Cau31</v>
      </c>
      <c r="E192" s="339" t="str">
        <f>'10U COED GOLD-16 TEAMS CUSTOM'!E43&amp;""</f>
        <v>3rdA-LAMORINDA C</v>
      </c>
      <c r="F192" s="339" t="str">
        <f>'10U COED GOLD-16 TEAMS CUSTOM'!F43&amp;""</f>
        <v>12.3</v>
      </c>
      <c r="G192" s="339" t="str">
        <f>'10U COED GOLD-16 TEAMS CUSTOM'!G43&amp;""</f>
        <v>3rdD-PATRIOT WHITE</v>
      </c>
      <c r="H192" s="339" t="str">
        <f>'10U COED GOLD-16 TEAMS CUSTOM'!H43&amp;""</f>
        <v>12.2</v>
      </c>
      <c r="I192" s="339" t="str">
        <f>'10U COED GOLD-16 TEAMS CUSTOM'!I43&amp;""</f>
        <v>coed 9-12</v>
      </c>
      <c r="J192" s="339" t="str">
        <f>'10U COED GOLD-16 TEAMS CUSTOM'!J43&amp;""</f>
        <v>10U_COED_GOLD</v>
      </c>
      <c r="K192" s="339" t="str">
        <f t="shared" si="6"/>
        <v>202602011400</v>
      </c>
    </row>
    <row r="193" spans="1:11">
      <c r="A193" s="337">
        <f>'10U COED GOLD-16 TEAMS CUSTOM'!A44</f>
        <v>46054</v>
      </c>
      <c r="B193" s="338">
        <f>'10U COED GOLD-16 TEAMS CUSTOM'!B44</f>
        <v>0.61458333333333304</v>
      </c>
      <c r="C193" s="338" t="str">
        <f>'10U COED GOLD-16 TEAMS CUSTOM'!C44&amp;""</f>
        <v>EL TORO HS 2</v>
      </c>
      <c r="D193" s="339" t="str">
        <f>'10U COED GOLD-16 TEAMS CUSTOM'!D44&amp;""</f>
        <v>10Cau32</v>
      </c>
      <c r="E193" s="339" t="str">
        <f>'10U COED GOLD-16 TEAMS CUSTOM'!E44&amp;""</f>
        <v>3rdB-DEL MAR WHITE</v>
      </c>
      <c r="F193" s="339" t="str">
        <f>'10U COED GOLD-16 TEAMS CUSTOM'!F44&amp;""</f>
        <v/>
      </c>
      <c r="G193" s="339" t="str">
        <f>'10U COED GOLD-16 TEAMS CUSTOM'!G44&amp;""</f>
        <v>3rdC-SOUTH COAST RED</v>
      </c>
      <c r="H193" s="339" t="str">
        <f>'10U COED GOLD-16 TEAMS CUSTOM'!H44&amp;""</f>
        <v>12</v>
      </c>
      <c r="I193" s="339" t="str">
        <f>'10U COED GOLD-16 TEAMS CUSTOM'!I44&amp;""</f>
        <v>coed 9-12</v>
      </c>
      <c r="J193" s="339" t="str">
        <f>'10U COED GOLD-16 TEAMS CUSTOM'!J44&amp;""</f>
        <v>10U_COED_GOLD</v>
      </c>
      <c r="K193" s="339" t="str">
        <f t="shared" si="6"/>
        <v>202602011445</v>
      </c>
    </row>
    <row r="194" spans="1:11">
      <c r="A194" s="354">
        <f>'12U BOYS GOLD-24 TEAMS'!A54</f>
        <v>46054</v>
      </c>
      <c r="B194" s="355">
        <f>'12U BOYS GOLD-24 TEAMS'!B54</f>
        <v>0.64583333333333304</v>
      </c>
      <c r="C194" s="355" t="str">
        <f>'12U BOYS GOLD-24 TEAMS'!C54&amp;""</f>
        <v>EL TORO HS 2</v>
      </c>
      <c r="D194" s="356" t="str">
        <f>'12U BOYS GOLD-24 TEAMS'!D54&amp;""</f>
        <v>12Bau20</v>
      </c>
      <c r="E194" s="362" t="str">
        <f>'12U BOYS GOLD-24 TEAMS'!E54&amp;""</f>
        <v>W#13-NORTH IRVINE RED</v>
      </c>
      <c r="F194" s="356" t="str">
        <f>'12U BOYS GOLD-24 TEAMS'!F54&amp;""</f>
        <v>7</v>
      </c>
      <c r="G194" s="356" t="str">
        <f>'12U BOYS GOLD-24 TEAMS'!G54&amp;""</f>
        <v>W#14-BACK BAY</v>
      </c>
      <c r="H194" s="362" t="str">
        <f>'12U BOYS GOLD-24 TEAMS'!H54&amp;""</f>
        <v>10</v>
      </c>
      <c r="I194" s="356" t="str">
        <f>'12U BOYS GOLD-24 TEAMS'!I54&amp;""</f>
        <v>tie 17th</v>
      </c>
      <c r="J194" s="356" t="str">
        <f>'12U BOYS GOLD-24 TEAMS'!J54&amp;""</f>
        <v>12U_BOYS_GOLD</v>
      </c>
      <c r="K194" s="356" t="str">
        <f t="shared" si="6"/>
        <v>202602011530</v>
      </c>
    </row>
    <row r="195" spans="1:11">
      <c r="A195" s="354">
        <f>'12U BOYS GOLD-24 TEAMS'!A57</f>
        <v>46054</v>
      </c>
      <c r="B195" s="369">
        <f>'12U BOYS GOLD-24 TEAMS'!B57</f>
        <v>0.68055555555555558</v>
      </c>
      <c r="C195" s="355" t="str">
        <f>'12U BOYS GOLD-24 TEAMS'!C57&amp;""</f>
        <v>EL TORO HS 2</v>
      </c>
      <c r="D195" s="356" t="str">
        <f>'12U BOYS GOLD-24 TEAMS'!D57&amp;""</f>
        <v>12Bau19</v>
      </c>
      <c r="E195" s="356" t="str">
        <f>'12U BOYS GOLD-24 TEAMS'!E57&amp;""</f>
        <v>L#13-680 WHITE</v>
      </c>
      <c r="F195" s="356" t="str">
        <f>'12U BOYS GOLD-24 TEAMS'!F57&amp;""</f>
        <v>13</v>
      </c>
      <c r="G195" s="356" t="str">
        <f>'12U BOYS GOLD-24 TEAMS'!G57&amp;""</f>
        <v>L#14-LAMORINDA C</v>
      </c>
      <c r="H195" s="356" t="str">
        <f>'12U BOYS GOLD-24 TEAMS'!H57&amp;""</f>
        <v>3</v>
      </c>
      <c r="I195" s="356" t="str">
        <f>'12U BOYS GOLD-24 TEAMS'!I57&amp;""</f>
        <v>tie 21st</v>
      </c>
      <c r="J195" s="356" t="str">
        <f>'12U BOYS GOLD-24 TEAMS'!J57&amp;""</f>
        <v>12U_BOYS_GOLD</v>
      </c>
      <c r="K195" s="356" t="str">
        <f t="shared" si="6"/>
        <v>202602011620</v>
      </c>
    </row>
    <row r="196" spans="1:11">
      <c r="A196" s="394">
        <f>'14U BOYS GOLD-26 TEAMS'!A40</f>
        <v>46053</v>
      </c>
      <c r="B196" s="395">
        <f>'14U BOYS GOLD-26 TEAMS'!B40</f>
        <v>0.29166666666666669</v>
      </c>
      <c r="C196" s="396" t="str">
        <f>'14U BOYS GOLD-26 TEAMS'!C40&amp;""</f>
        <v>ESPERANZA HS</v>
      </c>
      <c r="D196" s="396" t="str">
        <f>'14U BOYS GOLD-26 TEAMS'!D40&amp;""</f>
        <v>14Bau15</v>
      </c>
      <c r="E196" s="397" t="str">
        <f>'14U BOYS GOLD-26 TEAMS'!E40&amp;""</f>
        <v>7-HIELAND</v>
      </c>
      <c r="F196" s="397" t="str">
        <f>'14U BOYS GOLD-26 TEAMS'!F40&amp;""</f>
        <v>11.6</v>
      </c>
      <c r="G196" s="397" t="str">
        <f>'14U BOYS GOLD-26 TEAMS'!G40&amp;""</f>
        <v>26-SOUTH COAST WHITE (B)</v>
      </c>
      <c r="H196" s="397" t="str">
        <f>'14U BOYS GOLD-26 TEAMS'!H40&amp;""</f>
        <v>11.5</v>
      </c>
      <c r="I196" s="396" t="str">
        <f>'14U BOYS GOLD-26 TEAMS'!I40&amp;""</f>
        <v>W/L H1/H4</v>
      </c>
      <c r="J196" s="397" t="str">
        <f>'14U BOYS GOLD-26 TEAMS'!J40&amp;""</f>
        <v>14U_BOYS_GOLD</v>
      </c>
      <c r="K196" s="397" t="str">
        <f t="shared" si="6"/>
        <v>202601310700</v>
      </c>
    </row>
    <row r="197" spans="1:11">
      <c r="A197" s="394">
        <f>'14U BOYS GOLD-26 TEAMS'!A41</f>
        <v>46053</v>
      </c>
      <c r="B197" s="395">
        <f>'14U BOYS GOLD-26 TEAMS'!B41</f>
        <v>0.3263888888888889</v>
      </c>
      <c r="C197" s="396" t="str">
        <f>'14U BOYS GOLD-26 TEAMS'!C41&amp;""</f>
        <v>ESPERANZA HS</v>
      </c>
      <c r="D197" s="396" t="str">
        <f>'14U BOYS GOLD-26 TEAMS'!D41&amp;""</f>
        <v>14Bau16</v>
      </c>
      <c r="E197" s="397" t="str">
        <f>'14U BOYS GOLD-26 TEAMS'!E41&amp;""</f>
        <v>10-SHAQ WHITE</v>
      </c>
      <c r="F197" s="397" t="str">
        <f>'14U BOYS GOLD-26 TEAMS'!F41&amp;""</f>
        <v>8.3</v>
      </c>
      <c r="G197" s="397" t="str">
        <f>'14U BOYS GOLD-26 TEAMS'!G41&amp;""</f>
        <v>23-PATRIOT RED</v>
      </c>
      <c r="H197" s="397" t="str">
        <f>'14U BOYS GOLD-26 TEAMS'!H41&amp;""</f>
        <v>8.2</v>
      </c>
      <c r="I197" s="396" t="str">
        <f>'14U BOYS GOLD-26 TEAMS'!I41&amp;""</f>
        <v>W/L H2/H3</v>
      </c>
      <c r="J197" s="397" t="str">
        <f>'14U BOYS GOLD-26 TEAMS'!J41&amp;""</f>
        <v>14U_BOYS_GOLD</v>
      </c>
      <c r="K197" s="397" t="str">
        <f t="shared" si="6"/>
        <v>202601310750</v>
      </c>
    </row>
    <row r="198" spans="1:11">
      <c r="A198" s="387">
        <f>'14U BOYS SILVER-18 TEAMS'!A32</f>
        <v>46053</v>
      </c>
      <c r="B198" s="388">
        <f>'14U BOYS SILVER-18 TEAMS'!B32</f>
        <v>0.36111111111111099</v>
      </c>
      <c r="C198" s="388" t="str">
        <f>'14U BOYS SILVER-18 TEAMS'!C32&amp;""</f>
        <v>ESPERANZA HS</v>
      </c>
      <c r="D198" s="389" t="str">
        <f>'14U BOYS SILVER-18 TEAMS'!D32&amp;""</f>
        <v>14Bag02</v>
      </c>
      <c r="E198" s="390" t="str">
        <f>'14U BOYS SILVER-18 TEAMS'!E32&amp;""</f>
        <v>D1-SAND CANYON</v>
      </c>
      <c r="F198" s="391" t="str">
        <f>'14U BOYS SILVER-18 TEAMS'!F32&amp;""</f>
        <v>12</v>
      </c>
      <c r="G198" s="390" t="str">
        <f>'14U BOYS SILVER-18 TEAMS'!G32&amp;""</f>
        <v>D3-PALOS VERDES B</v>
      </c>
      <c r="H198" s="391" t="str">
        <f>'14U BOYS SILVER-18 TEAMS'!H32&amp;""</f>
        <v>3</v>
      </c>
      <c r="I198" s="392" t="str">
        <f>'14U BOYS SILVER-18 TEAMS'!I32&amp;""</f>
        <v>D bracket D1,D3</v>
      </c>
      <c r="J198" s="389" t="str">
        <f>'14U BOYS SILVER-18 TEAMS'!J32&amp;""</f>
        <v>14U_BOYS_SILVER</v>
      </c>
      <c r="K198" s="389" t="str">
        <f t="shared" si="6"/>
        <v>202601310840</v>
      </c>
    </row>
    <row r="199" spans="1:11">
      <c r="A199" s="387">
        <f>'14U BOYS SILVER-18 TEAMS'!A33</f>
        <v>46053</v>
      </c>
      <c r="B199" s="388">
        <f>'14U BOYS SILVER-18 TEAMS'!B33</f>
        <v>0.39583333333333398</v>
      </c>
      <c r="C199" s="388" t="str">
        <f>'14U BOYS SILVER-18 TEAMS'!C33&amp;""</f>
        <v>ESPERANZA HS</v>
      </c>
      <c r="D199" s="389" t="str">
        <f>'14U BOYS SILVER-18 TEAMS'!D33&amp;""</f>
        <v>14Bag04</v>
      </c>
      <c r="E199" s="388" t="str">
        <f>'14U BOYS SILVER-18 TEAMS'!E33&amp;""</f>
        <v>E1-GOLD COAST</v>
      </c>
      <c r="F199" s="392" t="str">
        <f>'14U BOYS SILVER-18 TEAMS'!F33&amp;""</f>
        <v>14</v>
      </c>
      <c r="G199" s="388" t="str">
        <f>'14U BOYS SILVER-18 TEAMS'!G33&amp;""</f>
        <v>E3-CC UNITED WHITE</v>
      </c>
      <c r="H199" s="391" t="str">
        <f>'14U BOYS SILVER-18 TEAMS'!H33&amp;""</f>
        <v>1</v>
      </c>
      <c r="I199" s="392" t="str">
        <f>'14U BOYS SILVER-18 TEAMS'!I33&amp;""</f>
        <v>E bracket E1,E3</v>
      </c>
      <c r="J199" s="389" t="str">
        <f>'14U BOYS SILVER-18 TEAMS'!J33&amp;""</f>
        <v>14U_BOYS_SILVER</v>
      </c>
      <c r="K199" s="389" t="str">
        <f t="shared" si="6"/>
        <v>202601310930</v>
      </c>
    </row>
    <row r="200" spans="1:11">
      <c r="A200" s="387">
        <f>'14U BOYS SILVER-18 TEAMS'!A34</f>
        <v>46053</v>
      </c>
      <c r="B200" s="388">
        <f>'14U BOYS SILVER-18 TEAMS'!B34</f>
        <v>0.43055555555555602</v>
      </c>
      <c r="C200" s="388" t="str">
        <f>'14U BOYS SILVER-18 TEAMS'!C34&amp;""</f>
        <v>ESPERANZA HS</v>
      </c>
      <c r="D200" s="389" t="str">
        <f>'14U BOYS SILVER-18 TEAMS'!D34&amp;""</f>
        <v>14Bag06</v>
      </c>
      <c r="E200" s="390" t="str">
        <f>'14U BOYS SILVER-18 TEAMS'!E34&amp;""</f>
        <v>F1-SET</v>
      </c>
      <c r="F200" s="391" t="str">
        <f>'14U BOYS SILVER-18 TEAMS'!F34&amp;""</f>
        <v>6</v>
      </c>
      <c r="G200" s="390" t="str">
        <f>'14U BOYS SILVER-18 TEAMS'!G34&amp;""</f>
        <v>F3-680 WHITE</v>
      </c>
      <c r="H200" s="391" t="str">
        <f>'14U BOYS SILVER-18 TEAMS'!H34&amp;""</f>
        <v>11</v>
      </c>
      <c r="I200" s="392" t="str">
        <f>'14U BOYS SILVER-18 TEAMS'!I34&amp;""</f>
        <v>F bracket F1,F3</v>
      </c>
      <c r="J200" s="389" t="str">
        <f>'14U BOYS SILVER-18 TEAMS'!J34&amp;""</f>
        <v>14U_BOYS_SILVER</v>
      </c>
      <c r="K200" s="389" t="str">
        <f t="shared" si="6"/>
        <v>202601311020</v>
      </c>
    </row>
    <row r="201" spans="1:11">
      <c r="A201" s="387">
        <f>'14U BOYS SILVER-18 TEAMS'!A35</f>
        <v>46053</v>
      </c>
      <c r="B201" s="388">
        <f>'14U BOYS SILVER-18 TEAMS'!B35</f>
        <v>0.46527777777777801</v>
      </c>
      <c r="C201" s="388" t="str">
        <f>'14U BOYS SILVER-18 TEAMS'!C35&amp;""</f>
        <v>ESPERANZA HS</v>
      </c>
      <c r="D201" s="389" t="str">
        <f>'14U BOYS SILVER-18 TEAMS'!D35&amp;""</f>
        <v>14Bag08</v>
      </c>
      <c r="E201" s="390" t="str">
        <f>'14U BOYS SILVER-18 TEAMS'!E35&amp;""</f>
        <v>D2-AMERICAN RIVER GOLD</v>
      </c>
      <c r="F201" s="391" t="str">
        <f>'14U BOYS SILVER-18 TEAMS'!F35&amp;""</f>
        <v>2</v>
      </c>
      <c r="G201" s="390" t="str">
        <f>'14U BOYS SILVER-18 TEAMS'!G35&amp;""</f>
        <v>D3-PALOS VERDES B</v>
      </c>
      <c r="H201" s="391" t="str">
        <f>'14U BOYS SILVER-18 TEAMS'!H35&amp;""</f>
        <v>8</v>
      </c>
      <c r="I201" s="392" t="str">
        <f>'14U BOYS SILVER-18 TEAMS'!I35&amp;""</f>
        <v>D bracket D2,D3</v>
      </c>
      <c r="J201" s="389" t="str">
        <f>'14U BOYS SILVER-18 TEAMS'!J35&amp;""</f>
        <v>14U_BOYS_SILVER</v>
      </c>
      <c r="K201" s="389" t="str">
        <f t="shared" si="6"/>
        <v>202601311110</v>
      </c>
    </row>
    <row r="202" spans="1:11">
      <c r="A202" s="387">
        <f>'14U BOYS SILVER-18 TEAMS'!A36</f>
        <v>46053</v>
      </c>
      <c r="B202" s="388">
        <f>'14U BOYS SILVER-18 TEAMS'!B36</f>
        <v>0.5</v>
      </c>
      <c r="C202" s="388" t="str">
        <f>'14U BOYS SILVER-18 TEAMS'!C36&amp;""</f>
        <v>ESPERANZA HS</v>
      </c>
      <c r="D202" s="389" t="str">
        <f>'14U BOYS SILVER-18 TEAMS'!D36&amp;""</f>
        <v>14Bag10</v>
      </c>
      <c r="E202" s="390" t="str">
        <f>'14U BOYS SILVER-18 TEAMS'!E36&amp;""</f>
        <v>E2-HONOLULU GREEN</v>
      </c>
      <c r="F202" s="391" t="str">
        <f>'14U BOYS SILVER-18 TEAMS'!F36&amp;""</f>
        <v>10</v>
      </c>
      <c r="G202" s="390" t="str">
        <f>'14U BOYS SILVER-18 TEAMS'!G36&amp;""</f>
        <v>E3-CC UNITED WHITE</v>
      </c>
      <c r="H202" s="391" t="str">
        <f>'14U BOYS SILVER-18 TEAMS'!H36&amp;""</f>
        <v>6</v>
      </c>
      <c r="I202" s="392" t="str">
        <f>'14U BOYS SILVER-18 TEAMS'!I36&amp;""</f>
        <v>E bracket E2,E3</v>
      </c>
      <c r="J202" s="389" t="str">
        <f>'14U BOYS SILVER-18 TEAMS'!J36&amp;""</f>
        <v>14U_BOYS_SILVER</v>
      </c>
      <c r="K202" s="389" t="str">
        <f t="shared" si="6"/>
        <v>202601311200</v>
      </c>
    </row>
    <row r="203" spans="1:11">
      <c r="A203" s="387">
        <f>'14U BOYS SILVER-18 TEAMS'!A37</f>
        <v>46053</v>
      </c>
      <c r="B203" s="388">
        <f>'14U BOYS SILVER-18 TEAMS'!B37</f>
        <v>0.53472222222222199</v>
      </c>
      <c r="C203" s="388" t="str">
        <f>'14U BOYS SILVER-18 TEAMS'!C37&amp;""</f>
        <v>ESPERANZA HS</v>
      </c>
      <c r="D203" s="389" t="str">
        <f>'14U BOYS SILVER-18 TEAMS'!D37&amp;""</f>
        <v>14Bag12</v>
      </c>
      <c r="E203" s="390" t="str">
        <f>'14U BOYS SILVER-18 TEAMS'!E37&amp;""</f>
        <v>F2-NADO</v>
      </c>
      <c r="F203" s="391" t="str">
        <f>'14U BOYS SILVER-18 TEAMS'!F37&amp;""</f>
        <v>11.3</v>
      </c>
      <c r="G203" s="390" t="str">
        <f>'14U BOYS SILVER-18 TEAMS'!G37&amp;""</f>
        <v>F3-680 WHITE</v>
      </c>
      <c r="H203" s="391" t="str">
        <f>'14U BOYS SILVER-18 TEAMS'!H37&amp;""</f>
        <v>11.4</v>
      </c>
      <c r="I203" s="392" t="str">
        <f>'14U BOYS SILVER-18 TEAMS'!I37&amp;""</f>
        <v>F bracket F2,F3</v>
      </c>
      <c r="J203" s="389" t="str">
        <f>'14U BOYS SILVER-18 TEAMS'!J37&amp;""</f>
        <v>14U_BOYS_SILVER</v>
      </c>
      <c r="K203" s="389" t="str">
        <f t="shared" si="6"/>
        <v>202601311250</v>
      </c>
    </row>
    <row r="204" spans="1:11">
      <c r="A204" s="387">
        <f>'14U BOYS SILVER-18 TEAMS'!A38</f>
        <v>46053</v>
      </c>
      <c r="B204" s="388">
        <f>'14U BOYS SILVER-18 TEAMS'!B38</f>
        <v>0.56944444444444497</v>
      </c>
      <c r="C204" s="388" t="str">
        <f>'14U BOYS SILVER-18 TEAMS'!C38&amp;""</f>
        <v>ESPERANZA HS</v>
      </c>
      <c r="D204" s="389" t="str">
        <f>'14U BOYS SILVER-18 TEAMS'!D38&amp;""</f>
        <v>14Bag14</v>
      </c>
      <c r="E204" s="390" t="str">
        <f>'14U BOYS SILVER-18 TEAMS'!E38&amp;""</f>
        <v>D1-SAND CANYON</v>
      </c>
      <c r="F204" s="391" t="str">
        <f>'14U BOYS SILVER-18 TEAMS'!F38&amp;""</f>
        <v>17</v>
      </c>
      <c r="G204" s="390" t="str">
        <f>'14U BOYS SILVER-18 TEAMS'!G38&amp;""</f>
        <v>D2-AMERICAN RIVER GOLD</v>
      </c>
      <c r="H204" s="391" t="str">
        <f>'14U BOYS SILVER-18 TEAMS'!H38&amp;""</f>
        <v>6</v>
      </c>
      <c r="I204" s="392" t="str">
        <f>'14U BOYS SILVER-18 TEAMS'!I38&amp;""</f>
        <v>D bracket D1,D2</v>
      </c>
      <c r="J204" s="389" t="str">
        <f>'14U BOYS SILVER-18 TEAMS'!J38&amp;""</f>
        <v>14U_BOYS_SILVER</v>
      </c>
      <c r="K204" s="389" t="str">
        <f t="shared" si="6"/>
        <v>202601311340</v>
      </c>
    </row>
    <row r="205" spans="1:11">
      <c r="A205" s="387">
        <f>'14U BOYS SILVER-18 TEAMS'!A39</f>
        <v>46053</v>
      </c>
      <c r="B205" s="388">
        <f>'14U BOYS SILVER-18 TEAMS'!B39</f>
        <v>0.60416666666666696</v>
      </c>
      <c r="C205" s="388" t="str">
        <f>'14U BOYS SILVER-18 TEAMS'!C39&amp;""</f>
        <v>ESPERANZA HS</v>
      </c>
      <c r="D205" s="389" t="str">
        <f>'14U BOYS SILVER-18 TEAMS'!D39&amp;""</f>
        <v>14Bag16</v>
      </c>
      <c r="E205" s="388" t="str">
        <f>'14U BOYS SILVER-18 TEAMS'!E39&amp;""</f>
        <v>E1-GOLD COAST</v>
      </c>
      <c r="F205" s="392" t="str">
        <f>'14U BOYS SILVER-18 TEAMS'!F39&amp;""</f>
        <v>14</v>
      </c>
      <c r="G205" s="388" t="str">
        <f>'14U BOYS SILVER-18 TEAMS'!G39&amp;""</f>
        <v>E2-HONOLULU GREEN</v>
      </c>
      <c r="H205" s="391" t="str">
        <f>'14U BOYS SILVER-18 TEAMS'!H39&amp;""</f>
        <v>2</v>
      </c>
      <c r="I205" s="392" t="str">
        <f>'14U BOYS SILVER-18 TEAMS'!I39&amp;""</f>
        <v>E bracket E1,E2</v>
      </c>
      <c r="J205" s="389" t="str">
        <f>'14U BOYS SILVER-18 TEAMS'!J39&amp;""</f>
        <v>14U_BOYS_SILVER</v>
      </c>
      <c r="K205" s="389" t="str">
        <f t="shared" si="6"/>
        <v>202601311430</v>
      </c>
    </row>
    <row r="206" spans="1:11">
      <c r="A206" s="387">
        <f>'14U BOYS SILVER-18 TEAMS'!A40</f>
        <v>46053</v>
      </c>
      <c r="B206" s="388">
        <f>'14U BOYS SILVER-18 TEAMS'!B40</f>
        <v>0.63888888888888895</v>
      </c>
      <c r="C206" s="388" t="str">
        <f>'14U BOYS SILVER-18 TEAMS'!C40&amp;""</f>
        <v>ESPERANZA HS</v>
      </c>
      <c r="D206" s="389" t="str">
        <f>'14U BOYS SILVER-18 TEAMS'!D40&amp;""</f>
        <v>14Bag18</v>
      </c>
      <c r="E206" s="390" t="str">
        <f>'14U BOYS SILVER-18 TEAMS'!E40&amp;""</f>
        <v>F1-SET</v>
      </c>
      <c r="F206" s="391" t="str">
        <f>'14U BOYS SILVER-18 TEAMS'!F40&amp;""</f>
        <v>6</v>
      </c>
      <c r="G206" s="390" t="str">
        <f>'14U BOYS SILVER-18 TEAMS'!G40&amp;""</f>
        <v>F2-NADO</v>
      </c>
      <c r="H206" s="391" t="str">
        <f>'14U BOYS SILVER-18 TEAMS'!H40&amp;""</f>
        <v>14</v>
      </c>
      <c r="I206" s="392" t="str">
        <f>'14U BOYS SILVER-18 TEAMS'!I40&amp;""</f>
        <v>F bracket F1,F2</v>
      </c>
      <c r="J206" s="389" t="str">
        <f>'14U BOYS SILVER-18 TEAMS'!J40&amp;""</f>
        <v>14U_BOYS_SILVER</v>
      </c>
      <c r="K206" s="389" t="str">
        <f t="shared" si="6"/>
        <v>202601311520</v>
      </c>
    </row>
    <row r="207" spans="1:11">
      <c r="A207" s="378">
        <f>'14U GIRLS GOLD-14 TEAMS'!A28</f>
        <v>46054</v>
      </c>
      <c r="B207" s="379">
        <f>'14U GIRLS GOLD-14 TEAMS'!B28</f>
        <v>0.29166666666666669</v>
      </c>
      <c r="C207" s="379" t="str">
        <f>'14U GIRLS GOLD-14 TEAMS'!C28&amp;""</f>
        <v>ESPERANZA HS</v>
      </c>
      <c r="D207" s="380" t="str">
        <f>'14U GIRLS GOLD-14 TEAMS'!D28&amp;""</f>
        <v>14Gau18</v>
      </c>
      <c r="E207" s="380" t="str">
        <f>'14U GIRLS GOLD-14 TEAMS'!E28&amp;""</f>
        <v>3rdB-HONOLULU</v>
      </c>
      <c r="F207" s="380" t="str">
        <f>'14U GIRLS GOLD-14 TEAMS'!F28&amp;""</f>
        <v>8</v>
      </c>
      <c r="G207" s="380" t="str">
        <f>'14U GIRLS GOLD-14 TEAMS'!G28&amp;""</f>
        <v>4thD-LAMORINDA C</v>
      </c>
      <c r="H207" s="380" t="str">
        <f>'14U GIRLS GOLD-14 TEAMS'!H28&amp;""</f>
        <v>5</v>
      </c>
      <c r="I207" s="380" t="str">
        <f>'14U GIRLS GOLD-14 TEAMS'!I28&amp;""</f>
        <v>9th-14th 3B,4D</v>
      </c>
      <c r="J207" s="380" t="str">
        <f>'14U GIRLS GOLD-14 TEAMS'!J28&amp;""</f>
        <v>14U_GIRLS_GOLD</v>
      </c>
      <c r="K207" s="380" t="str">
        <f t="shared" si="6"/>
        <v>202602010700</v>
      </c>
    </row>
    <row r="208" spans="1:11">
      <c r="A208" s="378">
        <f>'14U GIRLS GOLD-14 TEAMS'!A30</f>
        <v>46054</v>
      </c>
      <c r="B208" s="379">
        <f>'14U GIRLS GOLD-14 TEAMS'!B30</f>
        <v>0.3263888888888889</v>
      </c>
      <c r="C208" s="379" t="str">
        <f>'14U GIRLS GOLD-14 TEAMS'!C30&amp;""</f>
        <v>ESPERANZA HS</v>
      </c>
      <c r="D208" s="380" t="str">
        <f>'14U GIRLS GOLD-14 TEAMS'!D30&amp;""</f>
        <v>14Gau16</v>
      </c>
      <c r="E208" s="380" t="str">
        <f>'14U GIRLS GOLD-14 TEAMS'!E30&amp;""</f>
        <v>3rdA-SANTA CRUZ BLUE</v>
      </c>
      <c r="F208" s="380" t="str">
        <f>'14U GIRLS GOLD-14 TEAMS'!F30&amp;""</f>
        <v>7</v>
      </c>
      <c r="G208" s="380" t="str">
        <f>'14U GIRLS GOLD-14 TEAMS'!G30&amp;""</f>
        <v>3rdD-NORTHWEST</v>
      </c>
      <c r="H208" s="380" t="str">
        <f>'14U GIRLS GOLD-14 TEAMS'!H30&amp;""</f>
        <v>14</v>
      </c>
      <c r="I208" s="380" t="str">
        <f>'14U GIRLS GOLD-14 TEAMS'!I30&amp;""</f>
        <v>9th-14th 3A,3D</v>
      </c>
      <c r="J208" s="380" t="str">
        <f>'14U GIRLS GOLD-14 TEAMS'!J30&amp;""</f>
        <v>14U_GIRLS_GOLD</v>
      </c>
      <c r="K208" s="380" t="str">
        <f t="shared" si="6"/>
        <v>202602010750</v>
      </c>
    </row>
    <row r="209" spans="1:11">
      <c r="A209" s="394">
        <f>'14U BOYS GOLD-26 TEAMS'!A79</f>
        <v>46054</v>
      </c>
      <c r="B209" s="395">
        <f>'14U BOYS GOLD-26 TEAMS'!B79</f>
        <v>0.36111111111111099</v>
      </c>
      <c r="C209" s="396" t="str">
        <f>'14U BOYS GOLD-26 TEAMS'!C79&amp;""</f>
        <v>ESPERANZA HS</v>
      </c>
      <c r="D209" s="396" t="str">
        <f>'14U BOYS GOLD-26 TEAMS'!D79&amp;""</f>
        <v>14Bau31</v>
      </c>
      <c r="E209" s="396" t="str">
        <f>'14U BOYS GOLD-26 TEAMS'!E79&amp;""</f>
        <v>L1(2ndA)-NORTH IRVINE RED</v>
      </c>
      <c r="F209" s="396" t="str">
        <f>'14U BOYS GOLD-26 TEAMS'!F79&amp;""</f>
        <v>7</v>
      </c>
      <c r="G209" s="396" t="str">
        <f>'14U BOYS GOLD-26 TEAMS'!G79&amp;""</f>
        <v>L4(2ndD)-PRIDE RED</v>
      </c>
      <c r="H209" s="396" t="str">
        <f>'14U BOYS GOLD-26 TEAMS'!H79&amp;""</f>
        <v>5</v>
      </c>
      <c r="I209" s="396" t="str">
        <f>'14U BOYS GOLD-26 TEAMS'!I79&amp;""</f>
        <v>9th16th</v>
      </c>
      <c r="J209" s="397" t="str">
        <f>'14U BOYS GOLD-26 TEAMS'!J79&amp;""</f>
        <v>14U_BOYS_GOLD</v>
      </c>
      <c r="K209" s="397" t="str">
        <f t="shared" si="6"/>
        <v>202602010840</v>
      </c>
    </row>
    <row r="210" spans="1:11">
      <c r="A210" s="394">
        <f>'14U BOYS GOLD-26 TEAMS'!A80</f>
        <v>46054</v>
      </c>
      <c r="B210" s="395">
        <f>'14U BOYS GOLD-26 TEAMS'!B80</f>
        <v>0.39583333333333398</v>
      </c>
      <c r="C210" s="396" t="str">
        <f>'14U BOYS GOLD-26 TEAMS'!C80&amp;""</f>
        <v>ESPERANZA HS</v>
      </c>
      <c r="D210" s="396" t="str">
        <f>'14U BOYS GOLD-26 TEAMS'!D80&amp;""</f>
        <v>14Bau32</v>
      </c>
      <c r="E210" s="397" t="str">
        <f>'14U BOYS GOLD-26 TEAMS'!E80&amp;""</f>
        <v>L2(2ndB)-DAVIS</v>
      </c>
      <c r="F210" s="397" t="str">
        <f>'14U BOYS GOLD-26 TEAMS'!F80&amp;""</f>
        <v>5</v>
      </c>
      <c r="G210" s="398" t="str">
        <f>'14U BOYS GOLD-26 TEAMS'!G80&amp;""</f>
        <v>L3(2ndC)-LAWPC</v>
      </c>
      <c r="H210" s="397" t="str">
        <f>'14U BOYS GOLD-26 TEAMS'!H80&amp;""</f>
        <v>7</v>
      </c>
      <c r="I210" s="396" t="str">
        <f>'14U BOYS GOLD-26 TEAMS'!I80&amp;""</f>
        <v>9th16th</v>
      </c>
      <c r="J210" s="397" t="str">
        <f>'14U BOYS GOLD-26 TEAMS'!J80&amp;""</f>
        <v>14U_BOYS_GOLD</v>
      </c>
      <c r="K210" s="397" t="str">
        <f t="shared" si="6"/>
        <v>202602010930</v>
      </c>
    </row>
    <row r="211" spans="1:11">
      <c r="A211" s="394">
        <f>'14U BOYS GOLD-26 TEAMS'!A81</f>
        <v>46054</v>
      </c>
      <c r="B211" s="395">
        <f>'14U BOYS GOLD-26 TEAMS'!B81</f>
        <v>0.43055555555555602</v>
      </c>
      <c r="C211" s="396" t="str">
        <f>'14U BOYS GOLD-26 TEAMS'!C81&amp;""</f>
        <v>ESPERANZA HS</v>
      </c>
      <c r="D211" s="396" t="str">
        <f>'14U BOYS GOLD-26 TEAMS'!D81&amp;""</f>
        <v>14Bau33</v>
      </c>
      <c r="E211" s="396" t="str">
        <f>'14U BOYS GOLD-26 TEAMS'!E81&amp;""</f>
        <v>M1(2ndE)-CC UNITED BLUE</v>
      </c>
      <c r="F211" s="396" t="str">
        <f>'14U BOYS GOLD-26 TEAMS'!F81&amp;""</f>
        <v>9</v>
      </c>
      <c r="G211" s="396" t="str">
        <f>'14U BOYS GOLD-26 TEAMS'!G81&amp;""</f>
        <v>M4(2ndH)-SHAQ WHITE</v>
      </c>
      <c r="H211" s="396" t="str">
        <f>'14U BOYS GOLD-26 TEAMS'!H81&amp;""</f>
        <v>4</v>
      </c>
      <c r="I211" s="396" t="str">
        <f>'14U BOYS GOLD-26 TEAMS'!I81&amp;""</f>
        <v>9th16th</v>
      </c>
      <c r="J211" s="397" t="str">
        <f>'14U BOYS GOLD-26 TEAMS'!J81&amp;""</f>
        <v>14U_BOYS_GOLD</v>
      </c>
      <c r="K211" s="397" t="str">
        <f t="shared" si="6"/>
        <v>202602011020</v>
      </c>
    </row>
    <row r="212" spans="1:11">
      <c r="A212" s="394">
        <f>'14U BOYS GOLD-26 TEAMS'!A82</f>
        <v>46054</v>
      </c>
      <c r="B212" s="395">
        <f>'14U BOYS GOLD-26 TEAMS'!B82</f>
        <v>0.46527777777777801</v>
      </c>
      <c r="C212" s="396" t="str">
        <f>'14U BOYS GOLD-26 TEAMS'!C82&amp;""</f>
        <v>ESPERANZA HS</v>
      </c>
      <c r="D212" s="396" t="str">
        <f>'14U BOYS GOLD-26 TEAMS'!D82&amp;""</f>
        <v>14Bau34</v>
      </c>
      <c r="E212" s="397" t="str">
        <f>'14U BOYS GOLD-26 TEAMS'!E82&amp;""</f>
        <v>M2(2ndF)-CT PREMIER</v>
      </c>
      <c r="F212" s="397" t="str">
        <f>'14U BOYS GOLD-26 TEAMS'!F82&amp;""</f>
        <v>12</v>
      </c>
      <c r="G212" s="398" t="str">
        <f>'14U BOYS GOLD-26 TEAMS'!G82&amp;""</f>
        <v xml:space="preserve">M3(2ndG)-LAMORINDA B	</v>
      </c>
      <c r="H212" s="397" t="str">
        <f>'14U BOYS GOLD-26 TEAMS'!H82&amp;""</f>
        <v>14</v>
      </c>
      <c r="I212" s="396" t="str">
        <f>'14U BOYS GOLD-26 TEAMS'!I82&amp;""</f>
        <v>9th16th</v>
      </c>
      <c r="J212" s="397" t="str">
        <f>'14U BOYS GOLD-26 TEAMS'!J82&amp;""</f>
        <v>14U_BOYS_GOLD</v>
      </c>
      <c r="K212" s="397" t="str">
        <f t="shared" si="6"/>
        <v>202602011110</v>
      </c>
    </row>
    <row r="213" spans="1:11">
      <c r="A213" s="432">
        <f>'19U BOYS GOLD-16 TEAMS'!A31</f>
        <v>46054</v>
      </c>
      <c r="B213" s="433">
        <f>'19U BOYS GOLD-16 TEAMS'!B31</f>
        <v>0.5</v>
      </c>
      <c r="C213" s="433" t="str">
        <f>'19U BOYS GOLD-16 TEAMS'!C31&amp;""</f>
        <v>ESPERANZA HS</v>
      </c>
      <c r="D213" s="434" t="str">
        <f>'19U BOYS GOLD-16 TEAMS'!D31&amp;""</f>
        <v>19Bau27</v>
      </c>
      <c r="E213" s="434" t="str">
        <f>'19U BOYS GOLD-16 TEAMS'!E31&amp;""</f>
        <v>3rdA-VANGUARD SILVER</v>
      </c>
      <c r="F213" s="434" t="str">
        <f>'19U BOYS GOLD-16 TEAMS'!F31&amp;""</f>
        <v>10</v>
      </c>
      <c r="G213" s="434" t="str">
        <f>'19U BOYS GOLD-16 TEAMS'!G31&amp;""</f>
        <v>3rdD-SET</v>
      </c>
      <c r="H213" s="434" t="str">
        <f>'19U BOYS GOLD-16 TEAMS'!H31&amp;""</f>
        <v>17</v>
      </c>
      <c r="I213" s="434" t="str">
        <f>'19U BOYS GOLD-16 TEAMS'!I31&amp;""</f>
        <v>9-12 semi 3A/3D</v>
      </c>
      <c r="J213" s="434" t="str">
        <f>'19U BOYS GOLD-16 TEAMS'!J31&amp;""</f>
        <v>19U_BOYS_GOLD</v>
      </c>
      <c r="K213" s="434" t="str">
        <f t="shared" si="6"/>
        <v>202602011200</v>
      </c>
    </row>
    <row r="214" spans="1:11">
      <c r="A214" s="432">
        <f>'19U BOYS GOLD-16 TEAMS'!A34</f>
        <v>46054</v>
      </c>
      <c r="B214" s="433">
        <f>'19U BOYS GOLD-16 TEAMS'!B34</f>
        <v>0.54166666666666663</v>
      </c>
      <c r="C214" s="433" t="str">
        <f>'19U BOYS GOLD-16 TEAMS'!C34&amp;""</f>
        <v>ESPERANZA HS</v>
      </c>
      <c r="D214" s="434" t="str">
        <f>'19U BOYS GOLD-16 TEAMS'!D34&amp;""</f>
        <v>19Bau28</v>
      </c>
      <c r="E214" s="434" t="str">
        <f>'19U BOYS GOLD-16 TEAMS'!E34&amp;""</f>
        <v>3rdB-FARALLON</v>
      </c>
      <c r="F214" s="434" t="str">
        <f>'19U BOYS GOLD-16 TEAMS'!F34&amp;""</f>
        <v>9</v>
      </c>
      <c r="G214" s="434" t="str">
        <f>'19U BOYS GOLD-16 TEAMS'!G34&amp;""</f>
        <v>3rdC-NORTHWEST</v>
      </c>
      <c r="H214" s="434" t="str">
        <f>'19U BOYS GOLD-16 TEAMS'!H34&amp;""</f>
        <v>10</v>
      </c>
      <c r="I214" s="434" t="str">
        <f>'19U BOYS GOLD-16 TEAMS'!I34&amp;""</f>
        <v>9-12 semi 3B/3C</v>
      </c>
      <c r="J214" s="434" t="str">
        <f>'19U BOYS GOLD-16 TEAMS'!J34&amp;""</f>
        <v>19U_BOYS_GOLD</v>
      </c>
      <c r="K214" s="434" t="str">
        <f t="shared" si="6"/>
        <v>202602011300</v>
      </c>
    </row>
    <row r="215" spans="1:11">
      <c r="A215" s="394">
        <f>'14U BOYS GOLD-26 TEAMS'!A84</f>
        <v>46054</v>
      </c>
      <c r="B215" s="395">
        <f>'14U BOYS GOLD-26 TEAMS'!B84</f>
        <v>0.58333333333333337</v>
      </c>
      <c r="C215" s="396" t="str">
        <f>'14U BOYS GOLD-26 TEAMS'!C84&amp;""</f>
        <v>ESPERANZA HS</v>
      </c>
      <c r="D215" s="396" t="str">
        <f>'14U BOYS GOLD-26 TEAMS'!D84&amp;""</f>
        <v>14Bau51</v>
      </c>
      <c r="E215" s="396" t="str">
        <f>'14U BOYS GOLD-26 TEAMS'!E84&amp;""</f>
        <v>W#31-NORTH IRVINE RED</v>
      </c>
      <c r="F215" s="396" t="str">
        <f>'14U BOYS GOLD-26 TEAMS'!F84&amp;""</f>
        <v>5</v>
      </c>
      <c r="G215" s="396" t="str">
        <f>'14U BOYS GOLD-26 TEAMS'!G84&amp;""</f>
        <v>W#32-LAWPC</v>
      </c>
      <c r="H215" s="396" t="str">
        <f>'14U BOYS GOLD-26 TEAMS'!H84&amp;""</f>
        <v>11</v>
      </c>
      <c r="I215" s="396" t="str">
        <f>'14U BOYS GOLD-26 TEAMS'!I84&amp;""</f>
        <v>1st/2ndL</v>
      </c>
      <c r="J215" s="397" t="str">
        <f>'14U BOYS GOLD-26 TEAMS'!J84&amp;""</f>
        <v>14U_BOYS_GOLD</v>
      </c>
      <c r="K215" s="397" t="str">
        <f t="shared" si="6"/>
        <v>202602011400</v>
      </c>
    </row>
    <row r="216" spans="1:11">
      <c r="A216" s="394">
        <f>'14U BOYS GOLD-26 TEAMS'!A85</f>
        <v>46054</v>
      </c>
      <c r="B216" s="395">
        <f>'14U BOYS GOLD-26 TEAMS'!B85</f>
        <v>0.61805555555555558</v>
      </c>
      <c r="C216" s="396" t="str">
        <f>'14U BOYS GOLD-26 TEAMS'!C85&amp;""</f>
        <v>ESPERANZA HS</v>
      </c>
      <c r="D216" s="396" t="str">
        <f>'14U BOYS GOLD-26 TEAMS'!D85&amp;""</f>
        <v>14Bau52</v>
      </c>
      <c r="E216" s="397" t="str">
        <f>'14U BOYS GOLD-26 TEAMS'!E85&amp;""</f>
        <v>L#31-PRIDE RED</v>
      </c>
      <c r="F216" s="397" t="str">
        <f>'14U BOYS GOLD-26 TEAMS'!F85&amp;""</f>
        <v>8</v>
      </c>
      <c r="G216" s="398" t="str">
        <f>'14U BOYS GOLD-26 TEAMS'!G85&amp;""</f>
        <v>L#32-DAVIS</v>
      </c>
      <c r="H216" s="397" t="str">
        <f>'14U BOYS GOLD-26 TEAMS'!H85&amp;""</f>
        <v>13</v>
      </c>
      <c r="I216" s="396" t="str">
        <f>'14U BOYS GOLD-26 TEAMS'!I85&amp;""</f>
        <v>3rd/4thL</v>
      </c>
      <c r="J216" s="397" t="str">
        <f>'14U BOYS GOLD-26 TEAMS'!J85&amp;""</f>
        <v>14U_BOYS_GOLD</v>
      </c>
      <c r="K216" s="397" t="str">
        <f t="shared" si="6"/>
        <v>202602011450</v>
      </c>
    </row>
    <row r="217" spans="1:11">
      <c r="A217" s="394">
        <f>'14U BOYS GOLD-26 TEAMS'!A86</f>
        <v>46054</v>
      </c>
      <c r="B217" s="395">
        <f>'14U BOYS GOLD-26 TEAMS'!B86</f>
        <v>0.65277777777777779</v>
      </c>
      <c r="C217" s="396" t="str">
        <f>'14U BOYS GOLD-26 TEAMS'!C86&amp;""</f>
        <v>ESPERANZA HS</v>
      </c>
      <c r="D217" s="396" t="str">
        <f>'14U BOYS GOLD-26 TEAMS'!D86&amp;""</f>
        <v>14Bau53</v>
      </c>
      <c r="E217" s="396" t="str">
        <f>'14U BOYS GOLD-26 TEAMS'!E86&amp;""</f>
        <v>W#33-CC UNITED BLUE</v>
      </c>
      <c r="F217" s="396" t="str">
        <f>'14U BOYS GOLD-26 TEAMS'!F86&amp;""</f>
        <v>13</v>
      </c>
      <c r="G217" s="396" t="str">
        <f>'14U BOYS GOLD-26 TEAMS'!G86&amp;""</f>
        <v xml:space="preserve">W#34-LAMORINDA B	</v>
      </c>
      <c r="H217" s="396" t="str">
        <f>'14U BOYS GOLD-26 TEAMS'!H86&amp;""</f>
        <v>14</v>
      </c>
      <c r="I217" s="396" t="str">
        <f>'14U BOYS GOLD-26 TEAMS'!I86&amp;""</f>
        <v>1st/2ndM</v>
      </c>
      <c r="J217" s="397" t="str">
        <f>'14U BOYS GOLD-26 TEAMS'!J86&amp;""</f>
        <v>14U_BOYS_GOLD</v>
      </c>
      <c r="K217" s="397" t="str">
        <f t="shared" si="6"/>
        <v>202602011540</v>
      </c>
    </row>
    <row r="218" spans="1:11">
      <c r="A218" s="394">
        <f>'14U BOYS GOLD-26 TEAMS'!A87</f>
        <v>46054</v>
      </c>
      <c r="B218" s="395">
        <f>'14U BOYS GOLD-26 TEAMS'!B87</f>
        <v>0.6875</v>
      </c>
      <c r="C218" s="396" t="str">
        <f>'14U BOYS GOLD-26 TEAMS'!C87&amp;""</f>
        <v>ESPERANZA HS</v>
      </c>
      <c r="D218" s="396" t="str">
        <f>'14U BOYS GOLD-26 TEAMS'!D87&amp;""</f>
        <v>14Bau54</v>
      </c>
      <c r="E218" s="397" t="str">
        <f>'14U BOYS GOLD-26 TEAMS'!E87&amp;""</f>
        <v>L#33-SHAQ WHITE</v>
      </c>
      <c r="F218" s="397" t="str">
        <f>'14U BOYS GOLD-26 TEAMS'!F87&amp;""</f>
        <v>13.4</v>
      </c>
      <c r="G218" s="398" t="str">
        <f>'14U BOYS GOLD-26 TEAMS'!G87&amp;""</f>
        <v>L#34-CT PREMIER</v>
      </c>
      <c r="H218" s="397" t="str">
        <f>'14U BOYS GOLD-26 TEAMS'!H87&amp;""</f>
        <v>13.2</v>
      </c>
      <c r="I218" s="396" t="str">
        <f>'14U BOYS GOLD-26 TEAMS'!I87&amp;""</f>
        <v>3rd/4thM</v>
      </c>
      <c r="J218" s="397" t="str">
        <f>'14U BOYS GOLD-26 TEAMS'!J87&amp;""</f>
        <v>14U_BOYS_GOLD</v>
      </c>
      <c r="K218" s="397" t="str">
        <f t="shared" si="6"/>
        <v>202602011630</v>
      </c>
    </row>
    <row r="219" spans="1:11">
      <c r="A219" s="406">
        <f>'16U BOYS SILVER-20 TEAMS'!A21</f>
        <v>46053</v>
      </c>
      <c r="B219" s="407">
        <f>'16U BOYS SILVER-20 TEAMS'!B21</f>
        <v>0.33333333333333298</v>
      </c>
      <c r="C219" s="407" t="str">
        <f>'16U BOYS SILVER-20 TEAMS'!C21&amp;""</f>
        <v>ESTANCIA HS 1</v>
      </c>
      <c r="D219" s="408" t="str">
        <f>'16U BOYS SILVER-20 TEAMS'!D21&amp;""</f>
        <v>16Bag07</v>
      </c>
      <c r="E219" s="406" t="str">
        <f>'16U BOYS SILVER-20 TEAMS'!E21&amp;""</f>
        <v>6-HIELAND</v>
      </c>
      <c r="F219" s="408" t="str">
        <f>'16U BOYS SILVER-20 TEAMS'!F21&amp;""</f>
        <v>9</v>
      </c>
      <c r="G219" s="408" t="str">
        <f>'16U BOYS SILVER-20 TEAMS'!G21&amp;""</f>
        <v>19-SAN JOSE EXPRESS GOLD</v>
      </c>
      <c r="H219" s="408" t="str">
        <f>'16U BOYS SILVER-20 TEAMS'!H21&amp;""</f>
        <v>8</v>
      </c>
      <c r="I219" s="408" t="str">
        <f>'16U BOYS SILVER-20 TEAMS'!I21&amp;""</f>
        <v>W/L F</v>
      </c>
      <c r="J219" s="408" t="str">
        <f>'16U BOYS SILVER-20 TEAMS'!J21&amp;""</f>
        <v>16U_BOYS_SILVER</v>
      </c>
      <c r="K219" s="408" t="str">
        <f t="shared" si="6"/>
        <v>202601310800</v>
      </c>
    </row>
    <row r="220" spans="1:11">
      <c r="A220" s="406">
        <f>'16U BOYS SILVER-20 TEAMS'!A22</f>
        <v>46053</v>
      </c>
      <c r="B220" s="407">
        <f>'16U BOYS SILVER-20 TEAMS'!B22</f>
        <v>0.375</v>
      </c>
      <c r="C220" s="407" t="str">
        <f>'16U BOYS SILVER-20 TEAMS'!C22&amp;""</f>
        <v>ESTANCIA HS 1</v>
      </c>
      <c r="D220" s="408" t="str">
        <f>'16U BOYS SILVER-20 TEAMS'!D22&amp;""</f>
        <v>16Bag08</v>
      </c>
      <c r="E220" s="406" t="str">
        <f>'16U BOYS SILVER-20 TEAMS'!E22&amp;""</f>
        <v>7-WCAC UNITED</v>
      </c>
      <c r="F220" s="408" t="str">
        <f>'16U BOYS SILVER-20 TEAMS'!F22&amp;""</f>
        <v>10</v>
      </c>
      <c r="G220" s="408" t="str">
        <f>'16U BOYS SILVER-20 TEAMS'!G22&amp;""</f>
        <v>18-SAN CLEMENTE BLACK</v>
      </c>
      <c r="H220" s="408" t="str">
        <f>'16U BOYS SILVER-20 TEAMS'!H22&amp;""</f>
        <v>7</v>
      </c>
      <c r="I220" s="408" t="str">
        <f>'16U BOYS SILVER-20 TEAMS'!I22&amp;""</f>
        <v>W/L F</v>
      </c>
      <c r="J220" s="408" t="str">
        <f>'16U BOYS SILVER-20 TEAMS'!J22&amp;""</f>
        <v>16U_BOYS_SILVER</v>
      </c>
      <c r="K220" s="408" t="str">
        <f t="shared" si="6"/>
        <v>202601310900</v>
      </c>
    </row>
    <row r="221" spans="1:11">
      <c r="A221" s="406">
        <f>'16U BOYS SILVER-20 TEAMS'!A24</f>
        <v>46053</v>
      </c>
      <c r="B221" s="407">
        <f>'16U BOYS SILVER-20 TEAMS'!B24</f>
        <v>0.41666666666666702</v>
      </c>
      <c r="C221" s="407" t="str">
        <f>'16U BOYS SILVER-20 TEAMS'!C24&amp;""</f>
        <v>ESTANCIA HS 1</v>
      </c>
      <c r="D221" s="408" t="str">
        <f>'16U BOYS SILVER-20 TEAMS'!D24&amp;""</f>
        <v>16Bag01</v>
      </c>
      <c r="E221" s="406" t="str">
        <f>'16U BOYS SILVER-20 TEAMS'!E24&amp;""</f>
        <v>3-SHORE AQUATICS</v>
      </c>
      <c r="F221" s="408" t="str">
        <f>'16U BOYS SILVER-20 TEAMS'!F24&amp;""</f>
        <v>3</v>
      </c>
      <c r="G221" s="406" t="str">
        <f>'16U BOYS SILVER-20 TEAMS'!G24&amp;""</f>
        <v>20-LA JOLLA UNITED WHITE</v>
      </c>
      <c r="H221" s="408" t="str">
        <f>'16U BOYS SILVER-20 TEAMS'!H24&amp;""</f>
        <v>22</v>
      </c>
      <c r="I221" s="408" t="str">
        <f>'16U BOYS SILVER-20 TEAMS'!I24&amp;""</f>
        <v>W/L E</v>
      </c>
      <c r="J221" s="408" t="str">
        <f>'16U BOYS SILVER-20 TEAMS'!J24&amp;""</f>
        <v>16U_BOYS_SILVER</v>
      </c>
      <c r="K221" s="408" t="str">
        <f t="shared" si="6"/>
        <v>202601311000</v>
      </c>
    </row>
    <row r="222" spans="1:11">
      <c r="A222" s="406">
        <f>'16U BOYS SILVER-20 TEAMS'!A25</f>
        <v>46053</v>
      </c>
      <c r="B222" s="407">
        <f>'16U BOYS SILVER-20 TEAMS'!B25</f>
        <v>0.45833333333333298</v>
      </c>
      <c r="C222" s="407" t="str">
        <f>'16U BOYS SILVER-20 TEAMS'!C25&amp;""</f>
        <v>ESTANCIA HS 1</v>
      </c>
      <c r="D222" s="408" t="str">
        <f>'16U BOYS SILVER-20 TEAMS'!D25&amp;""</f>
        <v>16Bag02</v>
      </c>
      <c r="E222" s="408" t="str">
        <f>'16U BOYS SILVER-20 TEAMS'!E25&amp;""</f>
        <v>10-STANFORD WHITE</v>
      </c>
      <c r="F222" s="408" t="str">
        <f>'16U BOYS SILVER-20 TEAMS'!F25&amp;""</f>
        <v>13</v>
      </c>
      <c r="G222" s="408" t="str">
        <f>'16U BOYS SILVER-20 TEAMS'!G25&amp;""</f>
        <v>15-LV LEGENDS</v>
      </c>
      <c r="H222" s="408" t="str">
        <f>'16U BOYS SILVER-20 TEAMS'!H25&amp;""</f>
        <v>4</v>
      </c>
      <c r="I222" s="408" t="str">
        <f>'16U BOYS SILVER-20 TEAMS'!I25&amp;""</f>
        <v>W/L E</v>
      </c>
      <c r="J222" s="408" t="str">
        <f>'16U BOYS SILVER-20 TEAMS'!J25&amp;""</f>
        <v>16U_BOYS_SILVER</v>
      </c>
      <c r="K222" s="408" t="str">
        <f t="shared" si="6"/>
        <v>202601311100</v>
      </c>
    </row>
    <row r="223" spans="1:11">
      <c r="A223" s="406">
        <f>'16U BOYS SILVER-20 TEAMS'!A40</f>
        <v>46053</v>
      </c>
      <c r="B223" s="407">
        <f>'16U BOYS SILVER-20 TEAMS'!B40</f>
        <v>0.5</v>
      </c>
      <c r="C223" s="407" t="str">
        <f>'16U BOYS SILVER-20 TEAMS'!C40&amp;""</f>
        <v>ESTANCIA HS 1</v>
      </c>
      <c r="D223" s="408" t="str">
        <f>'16U BOYS SILVER-20 TEAMS'!D40&amp;""</f>
        <v>16Bag16</v>
      </c>
      <c r="E223" s="408" t="str">
        <f>'16U BOYS SILVER-20 TEAMS'!E40&amp;""</f>
        <v>B2-NORTH IRVINE</v>
      </c>
      <c r="F223" s="408" t="str">
        <f>'16U BOYS SILVER-20 TEAMS'!F40&amp;""</f>
        <v>3</v>
      </c>
      <c r="G223" s="408" t="str">
        <f>'16U BOYS SILVER-20 TEAMS'!G40&amp;""</f>
        <v>B3-LA JOLLA UNITED SILVER</v>
      </c>
      <c r="H223" s="408" t="str">
        <f>'16U BOYS SILVER-20 TEAMS'!H40&amp;""</f>
        <v>10</v>
      </c>
      <c r="I223" s="408" t="str">
        <f>'16U BOYS SILVER-20 TEAMS'!I40&amp;""</f>
        <v>B bracket</v>
      </c>
      <c r="J223" s="408" t="str">
        <f>'16U BOYS SILVER-20 TEAMS'!J40&amp;""</f>
        <v>16U_BOYS_SILVER</v>
      </c>
      <c r="K223" s="408" t="str">
        <f t="shared" si="6"/>
        <v>202601311200</v>
      </c>
    </row>
    <row r="224" spans="1:11">
      <c r="A224" s="406">
        <f>'16U BOYS SILVER-20 TEAMS'!A28</f>
        <v>46053</v>
      </c>
      <c r="B224" s="407">
        <f>'16U BOYS SILVER-20 TEAMS'!B28</f>
        <v>0.54166666666666696</v>
      </c>
      <c r="C224" s="407" t="str">
        <f>'16U BOYS SILVER-20 TEAMS'!C28&amp;""</f>
        <v>ESTANCIA HS 1</v>
      </c>
      <c r="D224" s="408" t="str">
        <f>'16U BOYS SILVER-20 TEAMS'!D28&amp;""</f>
        <v>16Bag10</v>
      </c>
      <c r="E224" s="408" t="str">
        <f>'16U BOYS SILVER-20 TEAMS'!E28&amp;""</f>
        <v>W#7-HIELAND</v>
      </c>
      <c r="F224" s="408" t="str">
        <f>'16U BOYS SILVER-20 TEAMS'!F28&amp;""</f>
        <v>13</v>
      </c>
      <c r="G224" s="408" t="str">
        <f>'16U BOYS SILVER-20 TEAMS'!G28&amp;""</f>
        <v>W#8-WCAC UNITED</v>
      </c>
      <c r="H224" s="408" t="str">
        <f>'16U BOYS SILVER-20 TEAMS'!H28&amp;""</f>
        <v>4</v>
      </c>
      <c r="I224" s="408" t="str">
        <f>'16U BOYS SILVER-20 TEAMS'!I28&amp;""</f>
        <v>1st/2ndF</v>
      </c>
      <c r="J224" s="408" t="str">
        <f>'16U BOYS SILVER-20 TEAMS'!J28&amp;""</f>
        <v>16U_BOYS_SILVER</v>
      </c>
      <c r="K224" s="408" t="str">
        <f t="shared" si="6"/>
        <v>202601311300</v>
      </c>
    </row>
    <row r="225" spans="1:11">
      <c r="A225" s="406">
        <f>'16U BOYS SILVER-20 TEAMS'!A29</f>
        <v>46053</v>
      </c>
      <c r="B225" s="407">
        <f>'16U BOYS SILVER-20 TEAMS'!B29</f>
        <v>0.58333333333333304</v>
      </c>
      <c r="C225" s="407" t="str">
        <f>'16U BOYS SILVER-20 TEAMS'!C29&amp;""</f>
        <v>ESTANCIA HS 1</v>
      </c>
      <c r="D225" s="408" t="str">
        <f>'16U BOYS SILVER-20 TEAMS'!D29&amp;""</f>
        <v>16Bag11</v>
      </c>
      <c r="E225" s="408" t="str">
        <f>'16U BOYS SILVER-20 TEAMS'!E29&amp;""</f>
        <v>L#7-SAN JOSE EXPRESS GOLD</v>
      </c>
      <c r="F225" s="408" t="str">
        <f>'16U BOYS SILVER-20 TEAMS'!F29&amp;""</f>
        <v>12</v>
      </c>
      <c r="G225" s="408" t="str">
        <f>'16U BOYS SILVER-20 TEAMS'!G29&amp;""</f>
        <v>L#8-SAN CLEMENTE BLACK</v>
      </c>
      <c r="H225" s="408" t="str">
        <f>'16U BOYS SILVER-20 TEAMS'!H29&amp;""</f>
        <v>7</v>
      </c>
      <c r="I225" s="408" t="str">
        <f>'16U BOYS SILVER-20 TEAMS'!I29&amp;""</f>
        <v>3rd/4thF</v>
      </c>
      <c r="J225" s="408" t="str">
        <f>'16U BOYS SILVER-20 TEAMS'!J29&amp;""</f>
        <v>16U_BOYS_SILVER</v>
      </c>
      <c r="K225" s="408" t="str">
        <f t="shared" si="6"/>
        <v>202601311400</v>
      </c>
    </row>
    <row r="226" spans="1:11">
      <c r="A226" s="406">
        <f>'16U BOYS SILVER-20 TEAMS'!A30</f>
        <v>46053</v>
      </c>
      <c r="B226" s="407">
        <f>'16U BOYS SILVER-20 TEAMS'!B30</f>
        <v>0.625</v>
      </c>
      <c r="C226" s="407" t="str">
        <f>'16U BOYS SILVER-20 TEAMS'!C30&amp;""</f>
        <v>ESTANCIA HS 1</v>
      </c>
      <c r="D226" s="408" t="str">
        <f>'16U BOYS SILVER-20 TEAMS'!D30&amp;""</f>
        <v>16Bag04</v>
      </c>
      <c r="E226" s="408" t="str">
        <f>'16U BOYS SILVER-20 TEAMS'!E30&amp;""</f>
        <v>L#1-SHORE AQUATICS</v>
      </c>
      <c r="F226" s="408" t="str">
        <f>'16U BOYS SILVER-20 TEAMS'!F30&amp;""</f>
        <v>10</v>
      </c>
      <c r="G226" s="408" t="str">
        <f>'16U BOYS SILVER-20 TEAMS'!G30&amp;""</f>
        <v>L#2-LV LEGENDS</v>
      </c>
      <c r="H226" s="408" t="str">
        <f>'16U BOYS SILVER-20 TEAMS'!H30&amp;""</f>
        <v>12</v>
      </c>
      <c r="I226" s="408" t="str">
        <f>'16U BOYS SILVER-20 TEAMS'!I30&amp;""</f>
        <v>3rd/4thE</v>
      </c>
      <c r="J226" s="408" t="str">
        <f>'16U BOYS SILVER-20 TEAMS'!J30&amp;""</f>
        <v>16U_BOYS_SILVER</v>
      </c>
      <c r="K226" s="408" t="str">
        <f t="shared" si="6"/>
        <v>202601311500</v>
      </c>
    </row>
    <row r="227" spans="1:11">
      <c r="A227" s="406">
        <f>'16U BOYS SILVER-20 TEAMS'!A31</f>
        <v>46053</v>
      </c>
      <c r="B227" s="407">
        <f>'16U BOYS SILVER-20 TEAMS'!B31</f>
        <v>0.66666666666666696</v>
      </c>
      <c r="C227" s="407" t="str">
        <f>'16U BOYS SILVER-20 TEAMS'!C31&amp;""</f>
        <v>ESTANCIA HS 1</v>
      </c>
      <c r="D227" s="408" t="str">
        <f>'16U BOYS SILVER-20 TEAMS'!D31&amp;""</f>
        <v>16Bag05</v>
      </c>
      <c r="E227" s="408" t="str">
        <f>'16U BOYS SILVER-20 TEAMS'!E31&amp;""</f>
        <v>W#1-LA JOLLA UNITED WHITE</v>
      </c>
      <c r="F227" s="408" t="str">
        <f>'16U BOYS SILVER-20 TEAMS'!F31&amp;""</f>
        <v>12</v>
      </c>
      <c r="G227" s="408" t="str">
        <f>'16U BOYS SILVER-20 TEAMS'!G31&amp;""</f>
        <v>W#2-STANFORD WHITE</v>
      </c>
      <c r="H227" s="408" t="str">
        <f>'16U BOYS SILVER-20 TEAMS'!H31&amp;""</f>
        <v>11</v>
      </c>
      <c r="I227" s="408" t="str">
        <f>'16U BOYS SILVER-20 TEAMS'!I31&amp;""</f>
        <v>1st/2ndE</v>
      </c>
      <c r="J227" s="408" t="str">
        <f>'16U BOYS SILVER-20 TEAMS'!J31&amp;""</f>
        <v>16U_BOYS_SILVER</v>
      </c>
      <c r="K227" s="408" t="str">
        <f t="shared" si="6"/>
        <v>202601311600</v>
      </c>
    </row>
    <row r="228" spans="1:11">
      <c r="A228" s="406">
        <f>'16U BOYS SILVER-20 TEAMS'!A32</f>
        <v>46053</v>
      </c>
      <c r="B228" s="407">
        <f>'16U BOYS SILVER-20 TEAMS'!B32</f>
        <v>0.70833333333333304</v>
      </c>
      <c r="C228" s="407" t="str">
        <f>'16U BOYS SILVER-20 TEAMS'!C32&amp;""</f>
        <v>ESTANCIA HS 1</v>
      </c>
      <c r="D228" s="408" t="str">
        <f>'16U BOYS SILVER-20 TEAMS'!D32&amp;""</f>
        <v>16Bag21</v>
      </c>
      <c r="E228" s="408" t="str">
        <f>'16U BOYS SILVER-20 TEAMS'!E32&amp;""</f>
        <v>J1(1stD)-CC UNITED WHITE</v>
      </c>
      <c r="F228" s="408" t="str">
        <f>'16U BOYS SILVER-20 TEAMS'!F32&amp;""</f>
        <v>8</v>
      </c>
      <c r="G228" s="408" t="str">
        <f>'16U BOYS SILVER-20 TEAMS'!G32&amp;""</f>
        <v>J3(1stF)-HIELAND</v>
      </c>
      <c r="H228" s="408" t="str">
        <f>'16U BOYS SILVER-20 TEAMS'!H32&amp;""</f>
        <v>7</v>
      </c>
      <c r="I228" s="408" t="str">
        <f>'16U BOYS SILVER-20 TEAMS'!I32&amp;""</f>
        <v>J bracket</v>
      </c>
      <c r="J228" s="408" t="str">
        <f>'16U BOYS SILVER-20 TEAMS'!J32&amp;""</f>
        <v>16U_BOYS_SILVER</v>
      </c>
      <c r="K228" s="408" t="str">
        <f t="shared" si="6"/>
        <v>202601311700</v>
      </c>
    </row>
    <row r="229" spans="1:11">
      <c r="A229" s="428">
        <f>'19U BOYS SILVER-6 TEAMS CUST'!A19</f>
        <v>46054</v>
      </c>
      <c r="B229" s="429">
        <f>'19U BOYS SILVER-6 TEAMS CUST'!B19</f>
        <v>0.33333333333333298</v>
      </c>
      <c r="C229" s="429" t="str">
        <f>'19U BOYS SILVER-6 TEAMS CUST'!C19&amp;""</f>
        <v>ESTANCIA HS 1</v>
      </c>
      <c r="D229" s="430" t="str">
        <f>'19U BOYS SILVER-6 TEAMS CUST'!D19&amp;""</f>
        <v>19Bag07</v>
      </c>
      <c r="E229" s="430" t="str">
        <f>'19U BOYS SILVER-6 TEAMS CUST'!E19&amp;""</f>
        <v>A1-SHORE AQUATICS</v>
      </c>
      <c r="F229" s="430" t="str">
        <f>'19U BOYS SILVER-6 TEAMS CUST'!F19&amp;""</f>
        <v>7</v>
      </c>
      <c r="G229" s="430" t="str">
        <f>'19U BOYS SILVER-6 TEAMS CUST'!G19&amp;""</f>
        <v>B2-SAN JOSE EXPRESS GOLD</v>
      </c>
      <c r="H229" s="430" t="str">
        <f>'19U BOYS SILVER-6 TEAMS CUST'!H19&amp;""</f>
        <v>8</v>
      </c>
      <c r="I229" s="430" t="str">
        <f>'19U BOYS SILVER-6 TEAMS CUST'!I19&amp;""</f>
        <v>A1,B2</v>
      </c>
      <c r="J229" s="430" t="str">
        <f>'19U BOYS SILVER-6 TEAMS CUST'!J19&amp;""</f>
        <v>19U_BOYS_SILVER</v>
      </c>
      <c r="K229" s="430" t="str">
        <f t="shared" si="6"/>
        <v>202602010800</v>
      </c>
    </row>
    <row r="230" spans="1:11">
      <c r="A230" s="428">
        <f>'19U BOYS SILVER-6 TEAMS CUST'!A20</f>
        <v>46054</v>
      </c>
      <c r="B230" s="429">
        <f>'19U BOYS SILVER-6 TEAMS CUST'!B20</f>
        <v>0.375</v>
      </c>
      <c r="C230" s="429" t="str">
        <f>'19U BOYS SILVER-6 TEAMS CUST'!C20&amp;""</f>
        <v>ESTANCIA HS 1</v>
      </c>
      <c r="D230" s="430" t="str">
        <f>'19U BOYS SILVER-6 TEAMS CUST'!D20&amp;""</f>
        <v>19Bag08</v>
      </c>
      <c r="E230" s="430" t="str">
        <f>'19U BOYS SILVER-6 TEAMS CUST'!E20&amp;""</f>
        <v>A2-OPA</v>
      </c>
      <c r="F230" s="430" t="str">
        <f>'19U BOYS SILVER-6 TEAMS CUST'!F20&amp;""</f>
        <v>7</v>
      </c>
      <c r="G230" s="430" t="str">
        <f>'19U BOYS SILVER-6 TEAMS CUST'!G20&amp;""</f>
        <v>B3-OHANA</v>
      </c>
      <c r="H230" s="430" t="str">
        <f>'19U BOYS SILVER-6 TEAMS CUST'!H20&amp;""</f>
        <v>10</v>
      </c>
      <c r="I230" s="430" t="str">
        <f>'19U BOYS SILVER-6 TEAMS CUST'!I20&amp;""</f>
        <v>A2,B3</v>
      </c>
      <c r="J230" s="430" t="str">
        <f>'19U BOYS SILVER-6 TEAMS CUST'!J20&amp;""</f>
        <v>19U_BOYS_SILVER</v>
      </c>
      <c r="K230" s="430" t="str">
        <f t="shared" si="6"/>
        <v>202602010900</v>
      </c>
    </row>
    <row r="231" spans="1:11">
      <c r="A231" s="432">
        <f>'19U BOYS GOLD-16 TEAMS'!A28</f>
        <v>46054</v>
      </c>
      <c r="B231" s="433">
        <f>'19U BOYS GOLD-16 TEAMS'!B28</f>
        <v>0.41666666666666702</v>
      </c>
      <c r="C231" s="433" t="str">
        <f>'19U BOYS GOLD-16 TEAMS'!C28&amp;""</f>
        <v>ESTANCIA HS 1</v>
      </c>
      <c r="D231" s="434" t="str">
        <f>'19U BOYS GOLD-16 TEAMS'!D28&amp;""</f>
        <v>19Bau29</v>
      </c>
      <c r="E231" s="434" t="str">
        <f>'19U BOYS GOLD-16 TEAMS'!E28&amp;""</f>
        <v>4thD-WCAC UNITED</v>
      </c>
      <c r="F231" s="434" t="str">
        <f>'19U BOYS GOLD-16 TEAMS'!F28&amp;""</f>
        <v>13</v>
      </c>
      <c r="G231" s="434" t="str">
        <f>'19U BOYS GOLD-16 TEAMS'!G28&amp;""</f>
        <v>4thA-LA JOLLA UNITED GOLD</v>
      </c>
      <c r="H231" s="434" t="str">
        <f>'19U BOYS GOLD-16 TEAMS'!H28&amp;""</f>
        <v>10</v>
      </c>
      <c r="I231" s="434" t="str">
        <f>'19U BOYS GOLD-16 TEAMS'!I28&amp;""</f>
        <v>13-16 semi</v>
      </c>
      <c r="J231" s="434" t="str">
        <f>'19U BOYS GOLD-16 TEAMS'!J28&amp;""</f>
        <v>19U_BOYS_GOLD</v>
      </c>
      <c r="K231" s="434" t="str">
        <f t="shared" si="6"/>
        <v>202602011000</v>
      </c>
    </row>
    <row r="232" spans="1:11">
      <c r="A232" s="432">
        <f>'19U BOYS GOLD-16 TEAMS'!A29</f>
        <v>46054</v>
      </c>
      <c r="B232" s="433">
        <f>'19U BOYS GOLD-16 TEAMS'!B29</f>
        <v>0.45833333333333298</v>
      </c>
      <c r="C232" s="433" t="str">
        <f>'19U BOYS GOLD-16 TEAMS'!C29&amp;""</f>
        <v>ESTANCIA HS 1</v>
      </c>
      <c r="D232" s="434" t="str">
        <f>'19U BOYS GOLD-16 TEAMS'!D29&amp;""</f>
        <v>19Bau30</v>
      </c>
      <c r="E232" s="434" t="str">
        <f>'19U BOYS GOLD-16 TEAMS'!E29&amp;""</f>
        <v>4thC-MARIN</v>
      </c>
      <c r="F232" s="434" t="str">
        <f>'19U BOYS GOLD-16 TEAMS'!F29&amp;""</f>
        <v>11</v>
      </c>
      <c r="G232" s="434" t="str">
        <f>'19U BOYS GOLD-16 TEAMS'!G29&amp;""</f>
        <v>4thB-PASADENA AC</v>
      </c>
      <c r="H232" s="434" t="str">
        <f>'19U BOYS GOLD-16 TEAMS'!H29&amp;""</f>
        <v>13</v>
      </c>
      <c r="I232" s="434" t="str">
        <f>'19U BOYS GOLD-16 TEAMS'!I29&amp;""</f>
        <v>13-16 semi</v>
      </c>
      <c r="J232" s="434" t="str">
        <f>'19U BOYS GOLD-16 TEAMS'!J29&amp;""</f>
        <v>19U_BOYS_GOLD</v>
      </c>
      <c r="K232" s="434" t="str">
        <f t="shared" si="6"/>
        <v>202602011100</v>
      </c>
    </row>
    <row r="233" spans="1:11">
      <c r="A233" s="428">
        <f>'19U BOYS SILVER-6 TEAMS CUST'!A22</f>
        <v>46054</v>
      </c>
      <c r="B233" s="429">
        <f>'19U BOYS SILVER-6 TEAMS CUST'!B22</f>
        <v>0.5</v>
      </c>
      <c r="C233" s="429" t="str">
        <f>'19U BOYS SILVER-6 TEAMS CUST'!C22&amp;""</f>
        <v>ESTANCIA HS 1</v>
      </c>
      <c r="D233" s="430" t="str">
        <f>'19U BOYS SILVER-6 TEAMS CUST'!D22&amp;""</f>
        <v>19Bag09</v>
      </c>
      <c r="E233" s="430" t="str">
        <f>'19U BOYS SILVER-6 TEAMS CUST'!E22&amp;""</f>
        <v>A3-SD ECA</v>
      </c>
      <c r="F233" s="430" t="str">
        <f>'19U BOYS SILVER-6 TEAMS CUST'!F22&amp;""</f>
        <v>15</v>
      </c>
      <c r="G233" s="430" t="str">
        <f>'19U BOYS SILVER-6 TEAMS CUST'!G22&amp;""</f>
        <v>B2-SAN JOSE EXPRESS GOLD</v>
      </c>
      <c r="H233" s="430" t="str">
        <f>'19U BOYS SILVER-6 TEAMS CUST'!H22&amp;""</f>
        <v>5</v>
      </c>
      <c r="I233" s="430" t="str">
        <f>'19U BOYS SILVER-6 TEAMS CUST'!I22&amp;""</f>
        <v>A3,B2</v>
      </c>
      <c r="J233" s="430" t="str">
        <f>'19U BOYS SILVER-6 TEAMS CUST'!J22&amp;""</f>
        <v>19U_BOYS_SILVER</v>
      </c>
      <c r="K233" s="430" t="str">
        <f t="shared" si="6"/>
        <v>202602011200</v>
      </c>
    </row>
    <row r="234" spans="1:11">
      <c r="A234" s="428">
        <f>'19U BOYS SILVER-6 TEAMS CUST'!A23</f>
        <v>46054</v>
      </c>
      <c r="B234" s="429">
        <f>'19U BOYS SILVER-6 TEAMS CUST'!B23</f>
        <v>0.54166666666666696</v>
      </c>
      <c r="C234" s="429" t="str">
        <f>'19U BOYS SILVER-6 TEAMS CUST'!C23&amp;""</f>
        <v>ESTANCIA HS 1</v>
      </c>
      <c r="D234" s="430" t="str">
        <f>'19U BOYS SILVER-6 TEAMS CUST'!D23&amp;""</f>
        <v>19Bag10</v>
      </c>
      <c r="E234" s="430" t="str">
        <f>'19U BOYS SILVER-6 TEAMS CUST'!E23&amp;""</f>
        <v>A1-SHORE AQUATICS</v>
      </c>
      <c r="F234" s="430" t="str">
        <f>'19U BOYS SILVER-6 TEAMS CUST'!F23&amp;""</f>
        <v>5</v>
      </c>
      <c r="G234" s="430" t="str">
        <f>'19U BOYS SILVER-6 TEAMS CUST'!G23&amp;""</f>
        <v>B1-CHARGERS WHITE</v>
      </c>
      <c r="H234" s="430" t="str">
        <f>'19U BOYS SILVER-6 TEAMS CUST'!H23&amp;""</f>
        <v>9</v>
      </c>
      <c r="I234" s="430" t="str">
        <f>'19U BOYS SILVER-6 TEAMS CUST'!I23&amp;""</f>
        <v>A1,B1</v>
      </c>
      <c r="J234" s="430" t="str">
        <f>'19U BOYS SILVER-6 TEAMS CUST'!J23&amp;""</f>
        <v>19U_BOYS_SILVER</v>
      </c>
      <c r="K234" s="430" t="str">
        <f t="shared" si="6"/>
        <v>202602011300</v>
      </c>
    </row>
    <row r="235" spans="1:11">
      <c r="A235" s="432">
        <f>'19U BOYS GOLD-16 TEAMS'!A36</f>
        <v>46054</v>
      </c>
      <c r="B235" s="433">
        <f>'19U BOYS GOLD-16 TEAMS'!B36</f>
        <v>0.58333333333333304</v>
      </c>
      <c r="C235" s="433" t="str">
        <f>'19U BOYS GOLD-16 TEAMS'!C36&amp;""</f>
        <v>ESTANCIA HS 1</v>
      </c>
      <c r="D235" s="434" t="str">
        <f>'19U BOYS GOLD-16 TEAMS'!D36&amp;""</f>
        <v>19Bau34</v>
      </c>
      <c r="E235" s="434" t="str">
        <f>'19U BOYS GOLD-16 TEAMS'!E36&amp;""</f>
        <v>W#29-WCAC UNITED</v>
      </c>
      <c r="F235" s="434" t="str">
        <f>'19U BOYS GOLD-16 TEAMS'!F36&amp;""</f>
        <v>20</v>
      </c>
      <c r="G235" s="434" t="str">
        <f>'19U BOYS GOLD-16 TEAMS'!G36&amp;""</f>
        <v>W#30-PASADENA AC</v>
      </c>
      <c r="H235" s="434" t="str">
        <f>'19U BOYS GOLD-16 TEAMS'!H36&amp;""</f>
        <v>9</v>
      </c>
      <c r="I235" s="434" t="str">
        <f>'19U BOYS GOLD-16 TEAMS'!I36&amp;""</f>
        <v>13th</v>
      </c>
      <c r="J235" s="434" t="str">
        <f>'19U BOYS GOLD-16 TEAMS'!J36&amp;""</f>
        <v>19U_BOYS_GOLD</v>
      </c>
      <c r="K235" s="434" t="str">
        <f t="shared" si="6"/>
        <v>202602011400</v>
      </c>
    </row>
    <row r="236" spans="1:11">
      <c r="A236" s="432">
        <f>'19U BOYS GOLD-16 TEAMS'!A37</f>
        <v>46054</v>
      </c>
      <c r="B236" s="433">
        <f>'19U BOYS GOLD-16 TEAMS'!B37</f>
        <v>0.625</v>
      </c>
      <c r="C236" s="433" t="str">
        <f>'19U BOYS GOLD-16 TEAMS'!C37&amp;""</f>
        <v>ESTANCIA HS 1</v>
      </c>
      <c r="D236" s="434" t="str">
        <f>'19U BOYS GOLD-16 TEAMS'!D37&amp;""</f>
        <v>19Bau33</v>
      </c>
      <c r="E236" s="434" t="str">
        <f>'19U BOYS GOLD-16 TEAMS'!E37&amp;""</f>
        <v>L#29-LA JOLLA UNITED GOLD</v>
      </c>
      <c r="F236" s="434" t="str">
        <f>'19U BOYS GOLD-16 TEAMS'!F37&amp;""</f>
        <v>25</v>
      </c>
      <c r="G236" s="434" t="str">
        <f>'19U BOYS GOLD-16 TEAMS'!G37&amp;""</f>
        <v>L#30-MARIN</v>
      </c>
      <c r="H236" s="434" t="str">
        <f>'19U BOYS GOLD-16 TEAMS'!H37&amp;""</f>
        <v>11</v>
      </c>
      <c r="I236" s="434" t="str">
        <f>'19U BOYS GOLD-16 TEAMS'!I37&amp;""</f>
        <v>15th</v>
      </c>
      <c r="J236" s="434" t="str">
        <f>'19U BOYS GOLD-16 TEAMS'!J37&amp;""</f>
        <v>19U_BOYS_GOLD</v>
      </c>
      <c r="K236" s="434" t="str">
        <f t="shared" si="6"/>
        <v>202602011500</v>
      </c>
    </row>
    <row r="237" spans="1:11">
      <c r="A237" s="428">
        <f>'19U BOYS SILVER-6 TEAMS CUST'!A25</f>
        <v>46054</v>
      </c>
      <c r="B237" s="429">
        <f>'19U BOYS SILVER-6 TEAMS CUST'!B25</f>
        <v>0.66666666666666696</v>
      </c>
      <c r="C237" s="429" t="str">
        <f>'19U BOYS SILVER-6 TEAMS CUST'!C25&amp;""</f>
        <v>ESTANCIA HS 1</v>
      </c>
      <c r="D237" s="430" t="str">
        <f>'19U BOYS SILVER-6 TEAMS CUST'!D25&amp;""</f>
        <v>19Bag11</v>
      </c>
      <c r="E237" s="430" t="str">
        <f>'19U BOYS SILVER-6 TEAMS CUST'!E25&amp;""</f>
        <v>A2-OPA</v>
      </c>
      <c r="F237" s="430" t="str">
        <f>'19U BOYS SILVER-6 TEAMS CUST'!F25&amp;""</f>
        <v>5</v>
      </c>
      <c r="G237" s="430" t="str">
        <f>'19U BOYS SILVER-6 TEAMS CUST'!G25&amp;""</f>
        <v>B1-CHARGERS WHITE</v>
      </c>
      <c r="H237" s="430" t="str">
        <f>'19U BOYS SILVER-6 TEAMS CUST'!H25&amp;""</f>
        <v>16</v>
      </c>
      <c r="I237" s="430" t="str">
        <f>'19U BOYS SILVER-6 TEAMS CUST'!I25&amp;""</f>
        <v>A2,B1</v>
      </c>
      <c r="J237" s="430" t="str">
        <f>'19U BOYS SILVER-6 TEAMS CUST'!J25&amp;""</f>
        <v>19U_BOYS_SILVER</v>
      </c>
      <c r="K237" s="430" t="str">
        <f t="shared" si="6"/>
        <v>202602011600</v>
      </c>
    </row>
    <row r="238" spans="1:11">
      <c r="A238" s="428">
        <f>'19U BOYS SILVER-6 TEAMS CUST'!A26</f>
        <v>46054</v>
      </c>
      <c r="B238" s="429">
        <f>'19U BOYS SILVER-6 TEAMS CUST'!B26</f>
        <v>0.70833333333333304</v>
      </c>
      <c r="C238" s="429" t="str">
        <f>'19U BOYS SILVER-6 TEAMS CUST'!C26&amp;""</f>
        <v>ESTANCIA HS 1</v>
      </c>
      <c r="D238" s="430" t="str">
        <f>'19U BOYS SILVER-6 TEAMS CUST'!D26&amp;""</f>
        <v>19Bag12</v>
      </c>
      <c r="E238" s="430" t="str">
        <f>'19U BOYS SILVER-6 TEAMS CUST'!E26&amp;""</f>
        <v>A3-SD ECA</v>
      </c>
      <c r="F238" s="430" t="str">
        <f>'19U BOYS SILVER-6 TEAMS CUST'!F26&amp;""</f>
        <v>17</v>
      </c>
      <c r="G238" s="430" t="str">
        <f>'19U BOYS SILVER-6 TEAMS CUST'!G26&amp;""</f>
        <v>B3-OHANA</v>
      </c>
      <c r="H238" s="430" t="str">
        <f>'19U BOYS SILVER-6 TEAMS CUST'!H26&amp;""</f>
        <v>12</v>
      </c>
      <c r="I238" s="430" t="str">
        <f>'19U BOYS SILVER-6 TEAMS CUST'!I26&amp;""</f>
        <v>A3,B3</v>
      </c>
      <c r="J238" s="430" t="str">
        <f>'19U BOYS SILVER-6 TEAMS CUST'!J26&amp;""</f>
        <v>19U_BOYS_SILVER</v>
      </c>
      <c r="K238" s="430" t="str">
        <f t="shared" si="6"/>
        <v>202602011700</v>
      </c>
    </row>
    <row r="239" spans="1:11">
      <c r="A239" s="394">
        <f>'14U BOYS GOLD-26 TEAMS'!A42</f>
        <v>46053</v>
      </c>
      <c r="B239" s="395">
        <f>'14U BOYS GOLD-26 TEAMS'!B42</f>
        <v>0.3263888888888889</v>
      </c>
      <c r="C239" s="396" t="str">
        <f>'14U BOYS GOLD-26 TEAMS'!C42&amp;""</f>
        <v>ESTANCIA HS 2</v>
      </c>
      <c r="D239" s="396" t="str">
        <f>'14U BOYS GOLD-26 TEAMS'!D42&amp;""</f>
        <v>14Bau14</v>
      </c>
      <c r="E239" s="397" t="str">
        <f>'14U BOYS GOLD-26 TEAMS'!E42&amp;""</f>
        <v>G1(6)-SD ECA</v>
      </c>
      <c r="F239" s="397" t="str">
        <f>'14U BOYS GOLD-26 TEAMS'!F42&amp;""</f>
        <v>8</v>
      </c>
      <c r="G239" s="397" t="str">
        <f>'14U BOYS GOLD-26 TEAMS'!G42&amp;""</f>
        <v>G3(22)-VANGUARD SILVER</v>
      </c>
      <c r="H239" s="397" t="str">
        <f>'14U BOYS GOLD-26 TEAMS'!H42&amp;""</f>
        <v>13</v>
      </c>
      <c r="I239" s="396" t="str">
        <f>'14U BOYS GOLD-26 TEAMS'!I42&amp;""</f>
        <v>G bracket G1,G3</v>
      </c>
      <c r="J239" s="397" t="str">
        <f>'14U BOYS GOLD-26 TEAMS'!J42&amp;""</f>
        <v>14U_BOYS_GOLD</v>
      </c>
      <c r="K239" s="397" t="str">
        <f t="shared" si="6"/>
        <v>202601310750</v>
      </c>
    </row>
    <row r="240" spans="1:11">
      <c r="A240" s="394">
        <f>'14U BOYS GOLD-26 TEAMS'!A43</f>
        <v>46053</v>
      </c>
      <c r="B240" s="395">
        <f>'14U BOYS GOLD-26 TEAMS'!B43</f>
        <v>0.36111111111111099</v>
      </c>
      <c r="C240" s="396" t="str">
        <f>'14U BOYS GOLD-26 TEAMS'!C43&amp;""</f>
        <v>ESTANCIA HS 2</v>
      </c>
      <c r="D240" s="396" t="str">
        <f>'14U BOYS GOLD-26 TEAMS'!D43&amp;""</f>
        <v>14Bau21</v>
      </c>
      <c r="E240" s="397" t="str">
        <f>'14U BOYS GOLD-26 TEAMS'!E43&amp;""</f>
        <v>E1(2)-FOOTHILL RED</v>
      </c>
      <c r="F240" s="397" t="str">
        <f>'14U BOYS GOLD-26 TEAMS'!F43&amp;""</f>
        <v>10.6</v>
      </c>
      <c r="G240" s="397" t="str">
        <f>'14U BOYS GOLD-26 TEAMS'!G43&amp;""</f>
        <v>E3(18)-CC UNITED BLUE</v>
      </c>
      <c r="H240" s="397" t="str">
        <f>'14U BOYS GOLD-26 TEAMS'!H43&amp;""</f>
        <v>10.7</v>
      </c>
      <c r="I240" s="396" t="str">
        <f>'14U BOYS GOLD-26 TEAMS'!I43&amp;""</f>
        <v>E bracket E1,E3</v>
      </c>
      <c r="J240" s="397" t="str">
        <f>'14U BOYS GOLD-26 TEAMS'!J43&amp;""</f>
        <v>14U_BOYS_GOLD</v>
      </c>
      <c r="K240" s="397" t="str">
        <f t="shared" si="6"/>
        <v>202601310840</v>
      </c>
    </row>
    <row r="241" spans="1:11">
      <c r="A241" s="394">
        <f>'14U BOYS GOLD-26 TEAMS'!A44</f>
        <v>46053</v>
      </c>
      <c r="B241" s="395">
        <f>'14U BOYS GOLD-26 TEAMS'!B44</f>
        <v>0.39583333333333398</v>
      </c>
      <c r="C241" s="396" t="str">
        <f>'14U BOYS GOLD-26 TEAMS'!C44&amp;""</f>
        <v>ESTANCIA HS 2</v>
      </c>
      <c r="D241" s="396" t="str">
        <f>'14U BOYS GOLD-26 TEAMS'!D44&amp;""</f>
        <v>14Bau22</v>
      </c>
      <c r="E241" s="396" t="str">
        <f>'14U BOYS GOLD-26 TEAMS'!E44&amp;""</f>
        <v>F2(14)-BOA</v>
      </c>
      <c r="F241" s="396" t="str">
        <f>'14U BOYS GOLD-26 TEAMS'!F44&amp;""</f>
        <v>6</v>
      </c>
      <c r="G241" s="396" t="str">
        <f>'14U BOYS GOLD-26 TEAMS'!G44&amp;""</f>
        <v>F3(19)-680 BLUE</v>
      </c>
      <c r="H241" s="396" t="str">
        <f>'14U BOYS GOLD-26 TEAMS'!H44&amp;""</f>
        <v>17</v>
      </c>
      <c r="I241" s="396" t="str">
        <f>'14U BOYS GOLD-26 TEAMS'!I44&amp;""</f>
        <v>F bracket F2,F3</v>
      </c>
      <c r="J241" s="397" t="str">
        <f>'14U BOYS GOLD-26 TEAMS'!J44&amp;""</f>
        <v>14U_BOYS_GOLD</v>
      </c>
      <c r="K241" s="397" t="str">
        <f t="shared" si="6"/>
        <v>202601310930</v>
      </c>
    </row>
    <row r="242" spans="1:11">
      <c r="A242" s="394">
        <f>'14U BOYS GOLD-26 TEAMS'!A45</f>
        <v>46053</v>
      </c>
      <c r="B242" s="395">
        <f>'14U BOYS GOLD-26 TEAMS'!B45</f>
        <v>0.43055555555555602</v>
      </c>
      <c r="C242" s="396" t="str">
        <f>'14U BOYS GOLD-26 TEAMS'!C45&amp;""</f>
        <v>ESTANCIA HS 2</v>
      </c>
      <c r="D242" s="396" t="str">
        <f>'14U BOYS GOLD-26 TEAMS'!D45&amp;""</f>
        <v>14Bau18</v>
      </c>
      <c r="E242" s="397" t="str">
        <f>'14U BOYS GOLD-26 TEAMS'!E45&amp;""</f>
        <v>L#15-SOUTH COAST WHITE (B)</v>
      </c>
      <c r="F242" s="397" t="str">
        <f>'14U BOYS GOLD-26 TEAMS'!F45&amp;""</f>
        <v>7</v>
      </c>
      <c r="G242" s="397" t="str">
        <f>'14U BOYS GOLD-26 TEAMS'!G45&amp;""</f>
        <v>L#16-PATRIOT RED</v>
      </c>
      <c r="H242" s="397" t="str">
        <f>'14U BOYS GOLD-26 TEAMS'!H45&amp;""</f>
        <v>8</v>
      </c>
      <c r="I242" s="396" t="str">
        <f>'14U BOYS GOLD-26 TEAMS'!I45&amp;""</f>
        <v>3rd/4th H</v>
      </c>
      <c r="J242" s="397" t="str">
        <f>'14U BOYS GOLD-26 TEAMS'!J45&amp;""</f>
        <v>14U_BOYS_GOLD</v>
      </c>
      <c r="K242" s="397" t="str">
        <f t="shared" ref="K242:K305" si="7">TEXT(DATE(2026, MONTH(A242), DAY(A242)) + TIME(HOUR(B242), MINUTE(B242), 0), "yyyymmddhhmm")</f>
        <v>202601311020</v>
      </c>
    </row>
    <row r="243" spans="1:11">
      <c r="A243" s="394">
        <f>'14U BOYS GOLD-26 TEAMS'!A46</f>
        <v>46053</v>
      </c>
      <c r="B243" s="395">
        <f>'14U BOYS GOLD-26 TEAMS'!B46</f>
        <v>0.46527777777777801</v>
      </c>
      <c r="C243" s="396" t="str">
        <f>'14U BOYS GOLD-26 TEAMS'!C46&amp;""</f>
        <v>ESTANCIA HS 2</v>
      </c>
      <c r="D243" s="396" t="str">
        <f>'14U BOYS GOLD-26 TEAMS'!D46&amp;""</f>
        <v>14Bau19</v>
      </c>
      <c r="E243" s="397" t="str">
        <f>'14U BOYS GOLD-26 TEAMS'!E46&amp;""</f>
        <v>W#15-HIELAND</v>
      </c>
      <c r="F243" s="397" t="str">
        <f>'14U BOYS GOLD-26 TEAMS'!F46&amp;""</f>
        <v>16</v>
      </c>
      <c r="G243" s="397" t="str">
        <f>'14U BOYS GOLD-26 TEAMS'!G46&amp;""</f>
        <v>W#16-SHAQ WHITE</v>
      </c>
      <c r="H243" s="397" t="str">
        <f>'14U BOYS GOLD-26 TEAMS'!H46&amp;""</f>
        <v>10</v>
      </c>
      <c r="I243" s="396" t="str">
        <f>'14U BOYS GOLD-26 TEAMS'!I46&amp;""</f>
        <v>1st/2nd H</v>
      </c>
      <c r="J243" s="397" t="str">
        <f>'14U BOYS GOLD-26 TEAMS'!J46&amp;""</f>
        <v>14U_BOYS_GOLD</v>
      </c>
      <c r="K243" s="397" t="str">
        <f t="shared" si="7"/>
        <v>202601311110</v>
      </c>
    </row>
    <row r="244" spans="1:11">
      <c r="A244" s="394">
        <f>'14U BOYS GOLD-26 TEAMS'!A47</f>
        <v>46053</v>
      </c>
      <c r="B244" s="395">
        <f>'14U BOYS GOLD-26 TEAMS'!B47</f>
        <v>0.5</v>
      </c>
      <c r="C244" s="396" t="str">
        <f>'14U BOYS GOLD-26 TEAMS'!C47&amp;""</f>
        <v>ESTANCIA HS 2</v>
      </c>
      <c r="D244" s="396" t="str">
        <f>'14U BOYS GOLD-26 TEAMS'!D47&amp;""</f>
        <v>14Bau17</v>
      </c>
      <c r="E244" s="397" t="str">
        <f>'14U BOYS GOLD-26 TEAMS'!E47&amp;""</f>
        <v>G1(6)-SD ECA</v>
      </c>
      <c r="F244" s="397" t="str">
        <f>'14U BOYS GOLD-26 TEAMS'!F47&amp;""</f>
        <v>10</v>
      </c>
      <c r="G244" s="397" t="str">
        <f>'14U BOYS GOLD-26 TEAMS'!G47&amp;""</f>
        <v>G2(11)-LAMORINDA B</v>
      </c>
      <c r="H244" s="397" t="str">
        <f>'14U BOYS GOLD-26 TEAMS'!H47&amp;""</f>
        <v>12</v>
      </c>
      <c r="I244" s="396" t="str">
        <f>'14U BOYS GOLD-26 TEAMS'!I47&amp;""</f>
        <v>G bracket G1,G2</v>
      </c>
      <c r="J244" s="397" t="str">
        <f>'14U BOYS GOLD-26 TEAMS'!J47&amp;""</f>
        <v>14U_BOYS_GOLD</v>
      </c>
      <c r="K244" s="397" t="str">
        <f t="shared" si="7"/>
        <v>202601311200</v>
      </c>
    </row>
    <row r="245" spans="1:11">
      <c r="A245" s="394">
        <f>'14U BOYS GOLD-26 TEAMS'!A48</f>
        <v>46053</v>
      </c>
      <c r="B245" s="395">
        <f>'14U BOYS GOLD-26 TEAMS'!B48</f>
        <v>0.53472222222222199</v>
      </c>
      <c r="C245" s="396" t="str">
        <f>'14U BOYS GOLD-26 TEAMS'!C48&amp;""</f>
        <v>ESTANCIA HS 2</v>
      </c>
      <c r="D245" s="396" t="str">
        <f>'14U BOYS GOLD-26 TEAMS'!D48&amp;""</f>
        <v>14Bau23</v>
      </c>
      <c r="E245" s="396" t="str">
        <f>'14U BOYS GOLD-26 TEAMS'!E48&amp;""</f>
        <v>E2(15)-MISSION WPC B</v>
      </c>
      <c r="F245" s="396" t="str">
        <f>'14U BOYS GOLD-26 TEAMS'!F48&amp;""</f>
        <v>12</v>
      </c>
      <c r="G245" s="396" t="str">
        <f>'14U BOYS GOLD-26 TEAMS'!G48&amp;""</f>
        <v>E3(18)-CC UNITED BLUE</v>
      </c>
      <c r="H245" s="396" t="str">
        <f>'14U BOYS GOLD-26 TEAMS'!H48&amp;""</f>
        <v>6</v>
      </c>
      <c r="I245" s="396" t="str">
        <f>'14U BOYS GOLD-26 TEAMS'!I48&amp;""</f>
        <v>E bracket E2,E3</v>
      </c>
      <c r="J245" s="397" t="str">
        <f>'14U BOYS GOLD-26 TEAMS'!J48&amp;""</f>
        <v>14U_BOYS_GOLD</v>
      </c>
      <c r="K245" s="397" t="str">
        <f t="shared" si="7"/>
        <v>202601311250</v>
      </c>
    </row>
    <row r="246" spans="1:11">
      <c r="A246" s="394">
        <f>'14U BOYS GOLD-26 TEAMS'!A49</f>
        <v>46053</v>
      </c>
      <c r="B246" s="395">
        <f>'14U BOYS GOLD-26 TEAMS'!B49</f>
        <v>0.56944444444444497</v>
      </c>
      <c r="C246" s="396" t="str">
        <f>'14U BOYS GOLD-26 TEAMS'!C49&amp;""</f>
        <v>ESTANCIA HS 2</v>
      </c>
      <c r="D246" s="396" t="str">
        <f>'14U BOYS GOLD-26 TEAMS'!D49&amp;""</f>
        <v>14Bau24</v>
      </c>
      <c r="E246" s="397" t="str">
        <f>'14U BOYS GOLD-26 TEAMS'!E49&amp;""</f>
        <v>F1(3)-CT PREMIER</v>
      </c>
      <c r="F246" s="397" t="str">
        <f>'14U BOYS GOLD-26 TEAMS'!F49&amp;""</f>
        <v>19</v>
      </c>
      <c r="G246" s="397" t="str">
        <f>'14U BOYS GOLD-26 TEAMS'!G49&amp;""</f>
        <v>F2(14)-BOA</v>
      </c>
      <c r="H246" s="397" t="str">
        <f>'14U BOYS GOLD-26 TEAMS'!H49&amp;""</f>
        <v>8</v>
      </c>
      <c r="I246" s="396" t="str">
        <f>'14U BOYS GOLD-26 TEAMS'!I49&amp;""</f>
        <v>F bracket F1,F2</v>
      </c>
      <c r="J246" s="397" t="str">
        <f>'14U BOYS GOLD-26 TEAMS'!J49&amp;""</f>
        <v>14U_BOYS_GOLD</v>
      </c>
      <c r="K246" s="397" t="str">
        <f t="shared" si="7"/>
        <v>202601311340</v>
      </c>
    </row>
    <row r="247" spans="1:11">
      <c r="A247" s="394">
        <f>'14U BOYS GOLD-26 TEAMS'!A50</f>
        <v>46053</v>
      </c>
      <c r="B247" s="395">
        <f>'14U BOYS GOLD-26 TEAMS'!B50</f>
        <v>0.60416666666666696</v>
      </c>
      <c r="C247" s="396" t="str">
        <f>'14U BOYS GOLD-26 TEAMS'!C50&amp;""</f>
        <v>ESTANCIA HS 2</v>
      </c>
      <c r="D247" s="396" t="str">
        <f>'14U BOYS GOLD-26 TEAMS'!D50&amp;""</f>
        <v>14Bau20</v>
      </c>
      <c r="E247" s="397" t="str">
        <f>'14U BOYS GOLD-26 TEAMS'!E50&amp;""</f>
        <v>G2(11)-LAMORINDA B</v>
      </c>
      <c r="F247" s="397" t="str">
        <f>'14U BOYS GOLD-26 TEAMS'!F50&amp;""</f>
        <v>9</v>
      </c>
      <c r="G247" s="397" t="str">
        <f>'14U BOYS GOLD-26 TEAMS'!G50&amp;""</f>
        <v>G3(22)-VANGUARD SILVER</v>
      </c>
      <c r="H247" s="397" t="str">
        <f>'14U BOYS GOLD-26 TEAMS'!H50&amp;""</f>
        <v>10</v>
      </c>
      <c r="I247" s="396" t="str">
        <f>'14U BOYS GOLD-26 TEAMS'!I50&amp;""</f>
        <v>G bracket G2,G3</v>
      </c>
      <c r="J247" s="397" t="str">
        <f>'14U BOYS GOLD-26 TEAMS'!J50&amp;""</f>
        <v>14U_BOYS_GOLD</v>
      </c>
      <c r="K247" s="397" t="str">
        <f t="shared" si="7"/>
        <v>202601311430</v>
      </c>
    </row>
    <row r="248" spans="1:11">
      <c r="A248" s="394">
        <f>'14U BOYS GOLD-26 TEAMS'!A51</f>
        <v>46053</v>
      </c>
      <c r="B248" s="395">
        <f>'14U BOYS GOLD-26 TEAMS'!B51</f>
        <v>0.63888888888888895</v>
      </c>
      <c r="C248" s="396" t="str">
        <f>'14U BOYS GOLD-26 TEAMS'!C51&amp;""</f>
        <v>ESTANCIA HS 2</v>
      </c>
      <c r="D248" s="396" t="str">
        <f>'14U BOYS GOLD-26 TEAMS'!D51&amp;""</f>
        <v>14Bau25</v>
      </c>
      <c r="E248" s="396" t="str">
        <f>'14U BOYS GOLD-26 TEAMS'!E51&amp;""</f>
        <v>E1(2)-FOOTHILL RED</v>
      </c>
      <c r="F248" s="396" t="str">
        <f>'14U BOYS GOLD-26 TEAMS'!F51&amp;""</f>
        <v>9</v>
      </c>
      <c r="G248" s="396" t="str">
        <f>'14U BOYS GOLD-26 TEAMS'!G51&amp;""</f>
        <v>E2(15)-MISSION WPC B</v>
      </c>
      <c r="H248" s="396" t="str">
        <f>'14U BOYS GOLD-26 TEAMS'!H51&amp;""</f>
        <v>16</v>
      </c>
      <c r="I248" s="396" t="str">
        <f>'14U BOYS GOLD-26 TEAMS'!I51&amp;""</f>
        <v>E bracket E1,E2</v>
      </c>
      <c r="J248" s="397" t="str">
        <f>'14U BOYS GOLD-26 TEAMS'!J51&amp;""</f>
        <v>14U_BOYS_GOLD</v>
      </c>
      <c r="K248" s="397" t="str">
        <f t="shared" si="7"/>
        <v>202601311520</v>
      </c>
    </row>
    <row r="249" spans="1:11">
      <c r="A249" s="394">
        <f>'14U BOYS GOLD-26 TEAMS'!A52</f>
        <v>46053</v>
      </c>
      <c r="B249" s="395">
        <f>'14U BOYS GOLD-26 TEAMS'!B52</f>
        <v>0.67361111111111105</v>
      </c>
      <c r="C249" s="396" t="str">
        <f>'14U BOYS GOLD-26 TEAMS'!C52&amp;""</f>
        <v>ESTANCIA HS 2</v>
      </c>
      <c r="D249" s="396" t="str">
        <f>'14U BOYS GOLD-26 TEAMS'!D52&amp;""</f>
        <v>14Bau26</v>
      </c>
      <c r="E249" s="397" t="str">
        <f>'14U BOYS GOLD-26 TEAMS'!E52&amp;""</f>
        <v>F1(3)-CT PREMIER</v>
      </c>
      <c r="F249" s="397" t="str">
        <f>'14U BOYS GOLD-26 TEAMS'!F52&amp;""</f>
        <v>9</v>
      </c>
      <c r="G249" s="397" t="str">
        <f>'14U BOYS GOLD-26 TEAMS'!G52&amp;""</f>
        <v>F3(19)-680 BLUE</v>
      </c>
      <c r="H249" s="397" t="str">
        <f>'14U BOYS GOLD-26 TEAMS'!H52&amp;""</f>
        <v>11</v>
      </c>
      <c r="I249" s="396" t="str">
        <f>'14U BOYS GOLD-26 TEAMS'!I52&amp;""</f>
        <v>F bracket F1,F3</v>
      </c>
      <c r="J249" s="397" t="str">
        <f>'14U BOYS GOLD-26 TEAMS'!J52&amp;""</f>
        <v>14U_BOYS_GOLD</v>
      </c>
      <c r="K249" s="397" t="str">
        <f t="shared" si="7"/>
        <v>202601311610</v>
      </c>
    </row>
    <row r="250" spans="1:11">
      <c r="A250" s="394">
        <f>'14U BOYS GOLD-26 TEAMS'!A56</f>
        <v>46054</v>
      </c>
      <c r="B250" s="395">
        <f>'14U BOYS GOLD-26 TEAMS'!B56</f>
        <v>0.3263888888888889</v>
      </c>
      <c r="C250" s="396" t="str">
        <f>'14U BOYS GOLD-26 TEAMS'!C56&amp;""</f>
        <v>ESTANCIA HS 2</v>
      </c>
      <c r="D250" s="396" t="str">
        <f>'14U BOYS GOLD-26 TEAMS'!D56&amp;""</f>
        <v>14Bau27</v>
      </c>
      <c r="E250" s="397" t="str">
        <f>'14U BOYS GOLD-26 TEAMS'!E56&amp;""</f>
        <v>J1(1stA)-SHORE AQUATICS</v>
      </c>
      <c r="F250" s="397" t="str">
        <f>'14U BOYS GOLD-26 TEAMS'!F56&amp;""</f>
        <v>10</v>
      </c>
      <c r="G250" s="397" t="str">
        <f>'14U BOYS GOLD-26 TEAMS'!G56&amp;""</f>
        <v>J4(1stD)-SAN CLEMENTE RED</v>
      </c>
      <c r="H250" s="397" t="str">
        <f>'14U BOYS GOLD-26 TEAMS'!H56&amp;""</f>
        <v>9</v>
      </c>
      <c r="I250" s="396" t="str">
        <f>'14U BOYS GOLD-26 TEAMS'!I56&amp;""</f>
        <v>1st-8th</v>
      </c>
      <c r="J250" s="397" t="str">
        <f>'14U BOYS GOLD-26 TEAMS'!J56&amp;""</f>
        <v>14U_BOYS_GOLD</v>
      </c>
      <c r="K250" s="397" t="str">
        <f t="shared" si="7"/>
        <v>202602010750</v>
      </c>
    </row>
    <row r="251" spans="1:11">
      <c r="A251" s="394">
        <f>'14U BOYS GOLD-26 TEAMS'!A57</f>
        <v>46054</v>
      </c>
      <c r="B251" s="395">
        <f>'14U BOYS GOLD-26 TEAMS'!B57</f>
        <v>0.36111111111111099</v>
      </c>
      <c r="C251" s="396" t="str">
        <f>'14U BOYS GOLD-26 TEAMS'!C57&amp;""</f>
        <v>ESTANCIA HS 2</v>
      </c>
      <c r="D251" s="396" t="str">
        <f>'14U BOYS GOLD-26 TEAMS'!D57&amp;""</f>
        <v>14Bau28</v>
      </c>
      <c r="E251" s="397" t="str">
        <f>'14U BOYS GOLD-26 TEAMS'!E57&amp;""</f>
        <v>J2(1stB)-BACK BAY</v>
      </c>
      <c r="F251" s="397" t="str">
        <f>'14U BOYS GOLD-26 TEAMS'!F57&amp;""</f>
        <v>8</v>
      </c>
      <c r="G251" s="397" t="str">
        <f>'14U BOYS GOLD-26 TEAMS'!G57&amp;""</f>
        <v>J3(1stC)-NORTHWEST</v>
      </c>
      <c r="H251" s="397" t="str">
        <f>'14U BOYS GOLD-26 TEAMS'!H57&amp;""</f>
        <v>10</v>
      </c>
      <c r="I251" s="396" t="str">
        <f>'14U BOYS GOLD-26 TEAMS'!I57&amp;""</f>
        <v>1st-8th</v>
      </c>
      <c r="J251" s="397" t="str">
        <f>'14U BOYS GOLD-26 TEAMS'!J57&amp;""</f>
        <v>14U_BOYS_GOLD</v>
      </c>
      <c r="K251" s="397" t="str">
        <f t="shared" si="7"/>
        <v>202602010840</v>
      </c>
    </row>
    <row r="252" spans="1:11">
      <c r="A252" s="394">
        <f>'14U BOYS GOLD-26 TEAMS'!A58</f>
        <v>46054</v>
      </c>
      <c r="B252" s="395">
        <f>'14U BOYS GOLD-26 TEAMS'!B58</f>
        <v>0.39583333333333398</v>
      </c>
      <c r="C252" s="396" t="str">
        <f>'14U BOYS GOLD-26 TEAMS'!C58&amp;""</f>
        <v>ESTANCIA HS 2</v>
      </c>
      <c r="D252" s="396" t="str">
        <f>'14U BOYS GOLD-26 TEAMS'!D58&amp;""</f>
        <v>14Bau29</v>
      </c>
      <c r="E252" s="396" t="str">
        <f>'14U BOYS GOLD-26 TEAMS'!E58&amp;""</f>
        <v>K1(1stE)-MISSION WPC B</v>
      </c>
      <c r="F252" s="396" t="str">
        <f>'14U BOYS GOLD-26 TEAMS'!F58&amp;""</f>
        <v>16</v>
      </c>
      <c r="G252" s="396" t="str">
        <f>'14U BOYS GOLD-26 TEAMS'!G58&amp;""</f>
        <v>K4(1stH)-HIELAND</v>
      </c>
      <c r="H252" s="396" t="str">
        <f>'14U BOYS GOLD-26 TEAMS'!H58&amp;""</f>
        <v>9</v>
      </c>
      <c r="I252" s="396" t="str">
        <f>'14U BOYS GOLD-26 TEAMS'!I58&amp;""</f>
        <v>1st-8th</v>
      </c>
      <c r="J252" s="397" t="str">
        <f>'14U BOYS GOLD-26 TEAMS'!J58&amp;""</f>
        <v>14U_BOYS_GOLD</v>
      </c>
      <c r="K252" s="397" t="str">
        <f t="shared" si="7"/>
        <v>202602010930</v>
      </c>
    </row>
    <row r="253" spans="1:11">
      <c r="A253" s="394">
        <f>'14U BOYS GOLD-26 TEAMS'!A59</f>
        <v>46054</v>
      </c>
      <c r="B253" s="395">
        <f>'14U BOYS GOLD-26 TEAMS'!B59</f>
        <v>0.43055555555555602</v>
      </c>
      <c r="C253" s="396" t="str">
        <f>'14U BOYS GOLD-26 TEAMS'!C59&amp;""</f>
        <v>ESTANCIA HS 2</v>
      </c>
      <c r="D253" s="396" t="str">
        <f>'14U BOYS GOLD-26 TEAMS'!D59&amp;""</f>
        <v>14Bau30</v>
      </c>
      <c r="E253" s="397" t="str">
        <f>'14U BOYS GOLD-26 TEAMS'!E59&amp;""</f>
        <v>K2(1stF)-680 BLUE</v>
      </c>
      <c r="F253" s="397" t="str">
        <f>'14U BOYS GOLD-26 TEAMS'!F59&amp;""</f>
        <v>12</v>
      </c>
      <c r="G253" s="398" t="str">
        <f>'14U BOYS GOLD-26 TEAMS'!G59&amp;""</f>
        <v>K3(1stG)-VANGUARD SILVER</v>
      </c>
      <c r="H253" s="397" t="str">
        <f>'14U BOYS GOLD-26 TEAMS'!H59&amp;""</f>
        <v>15</v>
      </c>
      <c r="I253" s="396" t="str">
        <f>'14U BOYS GOLD-26 TEAMS'!I59&amp;""</f>
        <v>1st-8th</v>
      </c>
      <c r="J253" s="397" t="str">
        <f>'14U BOYS GOLD-26 TEAMS'!J59&amp;""</f>
        <v>14U_BOYS_GOLD</v>
      </c>
      <c r="K253" s="397" t="str">
        <f t="shared" si="7"/>
        <v>202602011020</v>
      </c>
    </row>
    <row r="254" spans="1:11">
      <c r="A254" s="394">
        <f>'14U BOYS GOLD-26 TEAMS'!A60</f>
        <v>46054</v>
      </c>
      <c r="B254" s="395">
        <f>'14U BOYS GOLD-26 TEAMS'!B60</f>
        <v>0.46527777777777801</v>
      </c>
      <c r="C254" s="396" t="str">
        <f>'14U BOYS GOLD-26 TEAMS'!C60&amp;""</f>
        <v>ESTANCIA HS 2</v>
      </c>
      <c r="D254" s="396" t="str">
        <f>'14U BOYS GOLD-26 TEAMS'!D60&amp;""</f>
        <v>14Bau37</v>
      </c>
      <c r="E254" s="397" t="str">
        <f>'14U BOYS GOLD-26 TEAMS'!E60&amp;""</f>
        <v>W#27-SHORE AQUATICS</v>
      </c>
      <c r="F254" s="397" t="str">
        <f>'14U BOYS GOLD-26 TEAMS'!F60&amp;""</f>
        <v>14</v>
      </c>
      <c r="G254" s="397" t="str">
        <f>'14U BOYS GOLD-26 TEAMS'!G60&amp;""</f>
        <v>W#28-NORTHWEST</v>
      </c>
      <c r="H254" s="397" t="str">
        <f>'14U BOYS GOLD-26 TEAMS'!H60&amp;""</f>
        <v>3</v>
      </c>
      <c r="I254" s="396" t="str">
        <f>'14U BOYS GOLD-26 TEAMS'!I60&amp;""</f>
        <v>1st/2ndJ</v>
      </c>
      <c r="J254" s="397" t="str">
        <f>'14U BOYS GOLD-26 TEAMS'!J60&amp;""</f>
        <v>14U_BOYS_GOLD</v>
      </c>
      <c r="K254" s="397" t="str">
        <f t="shared" si="7"/>
        <v>202602011110</v>
      </c>
    </row>
    <row r="255" spans="1:11">
      <c r="A255" s="394">
        <f>'14U BOYS GOLD-26 TEAMS'!A61</f>
        <v>46054</v>
      </c>
      <c r="B255" s="395">
        <f>'14U BOYS GOLD-26 TEAMS'!B61</f>
        <v>0.5</v>
      </c>
      <c r="C255" s="396" t="str">
        <f>'14U BOYS GOLD-26 TEAMS'!C61&amp;""</f>
        <v>ESTANCIA HS 2</v>
      </c>
      <c r="D255" s="396" t="str">
        <f>'14U BOYS GOLD-26 TEAMS'!D61&amp;""</f>
        <v>14Bau38</v>
      </c>
      <c r="E255" s="397" t="str">
        <f>'14U BOYS GOLD-26 TEAMS'!E61&amp;""</f>
        <v>W#29-MISSION WPC B</v>
      </c>
      <c r="F255" s="397" t="str">
        <f>'14U BOYS GOLD-26 TEAMS'!F61&amp;""</f>
        <v>10</v>
      </c>
      <c r="G255" s="397" t="str">
        <f>'14U BOYS GOLD-26 TEAMS'!G61&amp;""</f>
        <v>W#30-VANGUARD SILVER</v>
      </c>
      <c r="H255" s="397" t="str">
        <f>'14U BOYS GOLD-26 TEAMS'!H61&amp;""</f>
        <v>3</v>
      </c>
      <c r="I255" s="396" t="str">
        <f>'14U BOYS GOLD-26 TEAMS'!I61&amp;""</f>
        <v>1st/2ndK</v>
      </c>
      <c r="J255" s="397" t="str">
        <f>'14U BOYS GOLD-26 TEAMS'!J61&amp;""</f>
        <v>14U_BOYS_GOLD</v>
      </c>
      <c r="K255" s="397" t="str">
        <f t="shared" si="7"/>
        <v>202602011200</v>
      </c>
    </row>
    <row r="256" spans="1:11">
      <c r="A256" s="394">
        <f>'14U BOYS GOLD-26 TEAMS'!A62</f>
        <v>46054</v>
      </c>
      <c r="B256" s="395">
        <f>'14U BOYS GOLD-26 TEAMS'!B62</f>
        <v>0.53472222222222199</v>
      </c>
      <c r="C256" s="396" t="str">
        <f>'14U BOYS GOLD-26 TEAMS'!C62&amp;""</f>
        <v>ESTANCIA HS 2</v>
      </c>
      <c r="D256" s="396" t="str">
        <f>'14U BOYS GOLD-26 TEAMS'!D62&amp;""</f>
        <v>14Bau39</v>
      </c>
      <c r="E256" s="398" t="str">
        <f>'14U BOYS GOLD-26 TEAMS'!E62&amp;""</f>
        <v>L#27-SAN CLEMENTE RED</v>
      </c>
      <c r="F256" s="397" t="str">
        <f>'14U BOYS GOLD-26 TEAMS'!F62&amp;""</f>
        <v>13</v>
      </c>
      <c r="G256" s="397" t="str">
        <f>'14U BOYS GOLD-26 TEAMS'!G62&amp;""</f>
        <v>L#28-BACK BAY</v>
      </c>
      <c r="H256" s="397" t="str">
        <f>'14U BOYS GOLD-26 TEAMS'!H62&amp;""</f>
        <v>11</v>
      </c>
      <c r="I256" s="396" t="str">
        <f>'14U BOYS GOLD-26 TEAMS'!I62&amp;""</f>
        <v>3rd/4thJ</v>
      </c>
      <c r="J256" s="397" t="str">
        <f>'14U BOYS GOLD-26 TEAMS'!J62&amp;""</f>
        <v>14U_BOYS_GOLD</v>
      </c>
      <c r="K256" s="397" t="str">
        <f t="shared" si="7"/>
        <v>202602011250</v>
      </c>
    </row>
    <row r="257" spans="1:11">
      <c r="A257" s="394">
        <f>'14U BOYS GOLD-26 TEAMS'!A63</f>
        <v>46054</v>
      </c>
      <c r="B257" s="395">
        <f>'14U BOYS GOLD-26 TEAMS'!B63</f>
        <v>0.56944444444444497</v>
      </c>
      <c r="C257" s="396" t="str">
        <f>'14U BOYS GOLD-26 TEAMS'!C63&amp;""</f>
        <v>ESTANCIA HS 2</v>
      </c>
      <c r="D257" s="396" t="str">
        <f>'14U BOYS GOLD-26 TEAMS'!D63&amp;""</f>
        <v>14Bau40</v>
      </c>
      <c r="E257" s="397" t="str">
        <f>'14U BOYS GOLD-26 TEAMS'!E63&amp;""</f>
        <v>L#29-HIELAND</v>
      </c>
      <c r="F257" s="397" t="str">
        <f>'14U BOYS GOLD-26 TEAMS'!F63&amp;""</f>
        <v>4</v>
      </c>
      <c r="G257" s="397" t="str">
        <f>'14U BOYS GOLD-26 TEAMS'!G63&amp;""</f>
        <v>L#30-680 BLUE</v>
      </c>
      <c r="H257" s="397" t="str">
        <f>'14U BOYS GOLD-26 TEAMS'!H63&amp;""</f>
        <v>11</v>
      </c>
      <c r="I257" s="396" t="str">
        <f>'14U BOYS GOLD-26 TEAMS'!I63&amp;""</f>
        <v>3rd/4thK</v>
      </c>
      <c r="J257" s="397" t="str">
        <f>'14U BOYS GOLD-26 TEAMS'!J63&amp;""</f>
        <v>14U_BOYS_GOLD</v>
      </c>
      <c r="K257" s="397" t="str">
        <f t="shared" si="7"/>
        <v>202602011340</v>
      </c>
    </row>
    <row r="258" spans="1:11">
      <c r="A258" s="394">
        <f>'14U BOYS GOLD-26 TEAMS'!A64</f>
        <v>46054</v>
      </c>
      <c r="B258" s="395">
        <f>'14U BOYS GOLD-26 TEAMS'!B64</f>
        <v>0.60416666666666696</v>
      </c>
      <c r="C258" s="396" t="str">
        <f>'14U BOYS GOLD-26 TEAMS'!C64&amp;""</f>
        <v>ESTANCIA HS 2</v>
      </c>
      <c r="D258" s="396" t="str">
        <f>'14U BOYS GOLD-26 TEAMS'!D64&amp;""</f>
        <v>14Bau35</v>
      </c>
      <c r="E258" s="396" t="str">
        <f>'14U BOYS GOLD-26 TEAMS'!E64&amp;""</f>
        <v>Q1(2ndJ)-NORTHWEST</v>
      </c>
      <c r="F258" s="396" t="str">
        <f>'14U BOYS GOLD-26 TEAMS'!F64&amp;""</f>
        <v>13</v>
      </c>
      <c r="G258" s="396" t="str">
        <f>'14U BOYS GOLD-26 TEAMS'!G64&amp;""</f>
        <v>Q2(2ndK)-VANGUARD SILVER</v>
      </c>
      <c r="H258" s="396" t="str">
        <f>'14U BOYS GOLD-26 TEAMS'!H64&amp;""</f>
        <v>14</v>
      </c>
      <c r="I258" s="396" t="str">
        <f>'14U BOYS GOLD-26 TEAMS'!I64&amp;""</f>
        <v>overall 3rd</v>
      </c>
      <c r="J258" s="397" t="str">
        <f>'14U BOYS GOLD-26 TEAMS'!J64&amp;""</f>
        <v>14U_BOYS_GOLD</v>
      </c>
      <c r="K258" s="397" t="str">
        <f t="shared" si="7"/>
        <v>202602011430</v>
      </c>
    </row>
    <row r="259" spans="1:11">
      <c r="A259" s="394">
        <f>'14U BOYS GOLD-26 TEAMS'!A65</f>
        <v>46054</v>
      </c>
      <c r="B259" s="395">
        <f>'14U BOYS GOLD-26 TEAMS'!B65</f>
        <v>0.63888888888888895</v>
      </c>
      <c r="C259" s="396" t="str">
        <f>'14U BOYS GOLD-26 TEAMS'!C65&amp;""</f>
        <v>ESTANCIA HS 2</v>
      </c>
      <c r="D259" s="396" t="str">
        <f>'14U BOYS GOLD-26 TEAMS'!D65&amp;""</f>
        <v>14Bau36</v>
      </c>
      <c r="E259" s="397" t="str">
        <f>'14U BOYS GOLD-26 TEAMS'!E65&amp;""</f>
        <v>R1(1stJ)-SHORE AQUATICS</v>
      </c>
      <c r="F259" s="397" t="str">
        <f>'14U BOYS GOLD-26 TEAMS'!F65&amp;""</f>
        <v>6</v>
      </c>
      <c r="G259" s="398" t="str">
        <f>'14U BOYS GOLD-26 TEAMS'!G65&amp;""</f>
        <v>R2(1stK)-MISSION WPC B</v>
      </c>
      <c r="H259" s="397" t="str">
        <f>'14U BOYS GOLD-26 TEAMS'!H65&amp;""</f>
        <v>7</v>
      </c>
      <c r="I259" s="396" t="str">
        <f>'14U BOYS GOLD-26 TEAMS'!I65&amp;""</f>
        <v>overall 1st</v>
      </c>
      <c r="J259" s="397" t="str">
        <f>'14U BOYS GOLD-26 TEAMS'!J65&amp;""</f>
        <v>14U_BOYS_GOLD</v>
      </c>
      <c r="K259" s="397" t="str">
        <f t="shared" si="7"/>
        <v>202602011520</v>
      </c>
    </row>
    <row r="260" spans="1:11">
      <c r="A260" s="354">
        <f>'12U BOYS GOLD-24 TEAMS'!A56</f>
        <v>46054</v>
      </c>
      <c r="B260" s="355">
        <f>'12U BOYS GOLD-24 TEAMS'!B56</f>
        <v>0.67361111111111105</v>
      </c>
      <c r="C260" s="355" t="str">
        <f>'12U BOYS GOLD-24 TEAMS'!C56&amp;""</f>
        <v>ESTANCIA HS 2</v>
      </c>
      <c r="D260" s="356" t="str">
        <f>'12U BOYS GOLD-24 TEAMS'!D56&amp;""</f>
        <v>12Bau21</v>
      </c>
      <c r="E260" s="362" t="str">
        <f>'12U BOYS GOLD-24 TEAMS'!E56&amp;""</f>
        <v>L#15-GOLD COAST</v>
      </c>
      <c r="F260" s="362" t="str">
        <f>'12U BOYS GOLD-24 TEAMS'!F56&amp;""</f>
        <v>13</v>
      </c>
      <c r="G260" s="362" t="str">
        <f>'12U BOYS GOLD-24 TEAMS'!G56&amp;""</f>
        <v>L#16-MARIN</v>
      </c>
      <c r="H260" s="362" t="str">
        <f>'12U BOYS GOLD-24 TEAMS'!H56&amp;""</f>
        <v>10</v>
      </c>
      <c r="I260" s="356" t="str">
        <f>'12U BOYS GOLD-24 TEAMS'!I56&amp;""</f>
        <v>tie 13th</v>
      </c>
      <c r="J260" s="356" t="str">
        <f>'12U BOYS GOLD-24 TEAMS'!J56&amp;""</f>
        <v>12U_BOYS_GOLD</v>
      </c>
      <c r="K260" s="356" t="str">
        <f t="shared" si="7"/>
        <v>202602011610</v>
      </c>
    </row>
    <row r="261" spans="1:11">
      <c r="A261" s="406">
        <f>'16U BOYS SILVER-20 TEAMS'!A41</f>
        <v>46053</v>
      </c>
      <c r="B261" s="407">
        <f>'16U BOYS SILVER-20 TEAMS'!B41</f>
        <v>0.54166666666666696</v>
      </c>
      <c r="C261" s="407" t="str">
        <f>'16U BOYS SILVER-20 TEAMS'!C41&amp;""</f>
        <v>FULLERTON COLLEGE</v>
      </c>
      <c r="D261" s="408" t="str">
        <f>'16U BOYS SILVER-20 TEAMS'!D41&amp;""</f>
        <v>16Bag17</v>
      </c>
      <c r="E261" s="408" t="str">
        <f>'16U BOYS SILVER-20 TEAMS'!E41&amp;""</f>
        <v>C2-DAVIS WHITE</v>
      </c>
      <c r="F261" s="408" t="str">
        <f>'16U BOYS SILVER-20 TEAMS'!F41&amp;""</f>
        <v>7</v>
      </c>
      <c r="G261" s="408" t="str">
        <f>'16U BOYS SILVER-20 TEAMS'!G41&amp;""</f>
        <v>C3-LAMORINDA B</v>
      </c>
      <c r="H261" s="408" t="str">
        <f>'16U BOYS SILVER-20 TEAMS'!H41&amp;""</f>
        <v>11</v>
      </c>
      <c r="I261" s="408" t="str">
        <f>'16U BOYS SILVER-20 TEAMS'!I41&amp;""</f>
        <v>C bracket</v>
      </c>
      <c r="J261" s="408" t="str">
        <f>'16U BOYS SILVER-20 TEAMS'!J41&amp;""</f>
        <v>16U_BOYS_SILVER</v>
      </c>
      <c r="K261" s="408" t="str">
        <f t="shared" si="7"/>
        <v>202601311300</v>
      </c>
    </row>
    <row r="262" spans="1:11">
      <c r="A262" s="406">
        <f>'16U BOYS SILVER-20 TEAMS'!A42</f>
        <v>46053</v>
      </c>
      <c r="B262" s="407">
        <f>'16U BOYS SILVER-20 TEAMS'!B42</f>
        <v>0.58333333333333304</v>
      </c>
      <c r="C262" s="407" t="str">
        <f>'16U BOYS SILVER-20 TEAMS'!C42&amp;""</f>
        <v>FULLERTON COLLEGE</v>
      </c>
      <c r="D262" s="408" t="str">
        <f>'16U BOYS SILVER-20 TEAMS'!D42&amp;""</f>
        <v>16Bag18</v>
      </c>
      <c r="E262" s="408" t="str">
        <f>'16U BOYS SILVER-20 TEAMS'!E42&amp;""</f>
        <v>D1-SD ECA</v>
      </c>
      <c r="F262" s="408" t="str">
        <f>'16U BOYS SILVER-20 TEAMS'!F42&amp;""</f>
        <v>10</v>
      </c>
      <c r="G262" s="408" t="str">
        <f>'16U BOYS SILVER-20 TEAMS'!G42&amp;""</f>
        <v>D2-LOYOLA WPC</v>
      </c>
      <c r="H262" s="408" t="str">
        <f>'16U BOYS SILVER-20 TEAMS'!H42&amp;""</f>
        <v>6</v>
      </c>
      <c r="I262" s="408" t="str">
        <f>'16U BOYS SILVER-20 TEAMS'!I42&amp;""</f>
        <v>D bracket</v>
      </c>
      <c r="J262" s="408" t="str">
        <f>'16U BOYS SILVER-20 TEAMS'!J42&amp;""</f>
        <v>16U_BOYS_SILVER</v>
      </c>
      <c r="K262" s="408" t="str">
        <f t="shared" si="7"/>
        <v>202601311400</v>
      </c>
    </row>
    <row r="263" spans="1:11">
      <c r="A263" s="406">
        <f>'16U BOYS SILVER-20 TEAMS'!A43</f>
        <v>46053</v>
      </c>
      <c r="B263" s="407">
        <f>'16U BOYS SILVER-20 TEAMS'!B43</f>
        <v>0.625</v>
      </c>
      <c r="C263" s="407" t="str">
        <f>'16U BOYS SILVER-20 TEAMS'!C43&amp;""</f>
        <v>FULLERTON COLLEGE</v>
      </c>
      <c r="D263" s="408" t="str">
        <f>'16U BOYS SILVER-20 TEAMS'!D43&amp;""</f>
        <v>16Bag19</v>
      </c>
      <c r="E263" s="408" t="str">
        <f>'16U BOYS SILVER-20 TEAMS'!E43&amp;""</f>
        <v>B1-SANTA CRUZ</v>
      </c>
      <c r="F263" s="408" t="str">
        <f>'16U BOYS SILVER-20 TEAMS'!F43&amp;""</f>
        <v>10</v>
      </c>
      <c r="G263" s="408" t="str">
        <f>'16U BOYS SILVER-20 TEAMS'!G43&amp;""</f>
        <v>B2-NORTH IRVINE</v>
      </c>
      <c r="H263" s="408" t="str">
        <f>'16U BOYS SILVER-20 TEAMS'!H43&amp;""</f>
        <v>4</v>
      </c>
      <c r="I263" s="408" t="str">
        <f>'16U BOYS SILVER-20 TEAMS'!I43&amp;""</f>
        <v>B bracket</v>
      </c>
      <c r="J263" s="408" t="str">
        <f>'16U BOYS SILVER-20 TEAMS'!J43&amp;""</f>
        <v>16U_BOYS_SILVER</v>
      </c>
      <c r="K263" s="408" t="str">
        <f t="shared" si="7"/>
        <v>202601311500</v>
      </c>
    </row>
    <row r="264" spans="1:11">
      <c r="A264" s="406">
        <f>'16U BOYS SILVER-20 TEAMS'!A44</f>
        <v>46053</v>
      </c>
      <c r="B264" s="407">
        <f>'16U BOYS SILVER-20 TEAMS'!B44</f>
        <v>0.66666666666666696</v>
      </c>
      <c r="C264" s="407" t="str">
        <f>'16U BOYS SILVER-20 TEAMS'!C44&amp;""</f>
        <v>FULLERTON COLLEGE</v>
      </c>
      <c r="D264" s="408" t="str">
        <f>'16U BOYS SILVER-20 TEAMS'!D44&amp;""</f>
        <v>16Bag20</v>
      </c>
      <c r="E264" s="408" t="str">
        <f>'16U BOYS SILVER-20 TEAMS'!E44&amp;""</f>
        <v>C1-SET</v>
      </c>
      <c r="F264" s="408" t="str">
        <f>'16U BOYS SILVER-20 TEAMS'!F44&amp;""</f>
        <v>7</v>
      </c>
      <c r="G264" s="408" t="str">
        <f>'16U BOYS SILVER-20 TEAMS'!G44&amp;""</f>
        <v>C2-DAVIS WHITE</v>
      </c>
      <c r="H264" s="408" t="str">
        <f>'16U BOYS SILVER-20 TEAMS'!H44&amp;""</f>
        <v>9</v>
      </c>
      <c r="I264" s="408" t="str">
        <f>'16U BOYS SILVER-20 TEAMS'!I44&amp;""</f>
        <v>C bracket</v>
      </c>
      <c r="J264" s="408" t="str">
        <f>'16U BOYS SILVER-20 TEAMS'!J44&amp;""</f>
        <v>16U_BOYS_SILVER</v>
      </c>
      <c r="K264" s="408" t="str">
        <f t="shared" si="7"/>
        <v>202601311600</v>
      </c>
    </row>
    <row r="265" spans="1:11">
      <c r="A265" s="406">
        <f>'16U BOYS SILVER-20 TEAMS'!A45</f>
        <v>46053</v>
      </c>
      <c r="B265" s="407">
        <f>'16U BOYS SILVER-20 TEAMS'!B45</f>
        <v>0.70833333333333304</v>
      </c>
      <c r="C265" s="407" t="str">
        <f>'16U BOYS SILVER-20 TEAMS'!C45&amp;""</f>
        <v>FULLERTON COLLEGE</v>
      </c>
      <c r="D265" s="409" t="str">
        <f>'16U BOYS SILVER-20 TEAMS'!D45&amp;""</f>
        <v>16Bag23</v>
      </c>
      <c r="E265" s="408" t="str">
        <f>'16U BOYS SILVER-20 TEAMS'!E45&amp;""</f>
        <v>K1(2ndD)-SD ECA</v>
      </c>
      <c r="F265" s="408" t="str">
        <f>'16U BOYS SILVER-20 TEAMS'!F45&amp;""</f>
        <v>11</v>
      </c>
      <c r="G265" s="408" t="str">
        <f>'16U BOYS SILVER-20 TEAMS'!G45&amp;""</f>
        <v>K3(2ndF)-WCAC UNITED</v>
      </c>
      <c r="H265" s="408" t="str">
        <f>'16U BOYS SILVER-20 TEAMS'!H45&amp;""</f>
        <v>4</v>
      </c>
      <c r="I265" s="408" t="str">
        <f>'16U BOYS SILVER-20 TEAMS'!I45&amp;""</f>
        <v>K bracket</v>
      </c>
      <c r="J265" s="408" t="str">
        <f>'16U BOYS SILVER-20 TEAMS'!J45&amp;""</f>
        <v>16U_BOYS_SILVER</v>
      </c>
      <c r="K265" s="408" t="str">
        <f t="shared" si="7"/>
        <v>202601311700</v>
      </c>
    </row>
    <row r="266" spans="1:11">
      <c r="A266" s="406">
        <f>'16U BOYS SILVER-20 TEAMS'!A46</f>
        <v>46053</v>
      </c>
      <c r="B266" s="407">
        <f>'16U BOYS SILVER-20 TEAMS'!B46</f>
        <v>0.75</v>
      </c>
      <c r="C266" s="407" t="str">
        <f>'16U BOYS SILVER-20 TEAMS'!C46&amp;""</f>
        <v>FULLERTON COLLEGE</v>
      </c>
      <c r="D266" s="408" t="str">
        <f>'16U BOYS SILVER-20 TEAMS'!D46&amp;""</f>
        <v>16Bag22</v>
      </c>
      <c r="E266" s="409" t="str">
        <f>'16U BOYS SILVER-20 TEAMS'!E46&amp;""</f>
        <v>H2(2ndB)-LA JOLLA UNITED SILVER</v>
      </c>
      <c r="F266" s="408" t="str">
        <f>'16U BOYS SILVER-20 TEAMS'!F46&amp;""</f>
        <v>5</v>
      </c>
      <c r="G266" s="408" t="str">
        <f>'16U BOYS SILVER-20 TEAMS'!G46&amp;""</f>
        <v>H3(2ndC)-DAVIS WHITE</v>
      </c>
      <c r="H266" s="408" t="str">
        <f>'16U BOYS SILVER-20 TEAMS'!H46&amp;""</f>
        <v>9</v>
      </c>
      <c r="I266" s="408" t="str">
        <f>'16U BOYS SILVER-20 TEAMS'!I46&amp;""</f>
        <v>H bracket</v>
      </c>
      <c r="J266" s="408" t="str">
        <f>'16U BOYS SILVER-20 TEAMS'!J46&amp;""</f>
        <v>16U_BOYS_SILVER</v>
      </c>
      <c r="K266" s="408" t="str">
        <f t="shared" si="7"/>
        <v>202601311800</v>
      </c>
    </row>
    <row r="267" spans="1:11">
      <c r="A267" s="406">
        <f>'16U BOYS SILVER-20 TEAMS'!A47</f>
        <v>46053</v>
      </c>
      <c r="B267" s="407">
        <f>'16U BOYS SILVER-20 TEAMS'!B47</f>
        <v>0.79166666666666696</v>
      </c>
      <c r="C267" s="407" t="str">
        <f>'16U BOYS SILVER-20 TEAMS'!C47&amp;""</f>
        <v>FULLERTON COLLEGE</v>
      </c>
      <c r="D267" s="408" t="str">
        <f>'16U BOYS SILVER-20 TEAMS'!D47&amp;""</f>
        <v>16Bag34</v>
      </c>
      <c r="E267" s="408" t="str">
        <f>'16U BOYS SILVER-20 TEAMS'!E47&amp;""</f>
        <v>G2(1stB)-SANTA CRUZ</v>
      </c>
      <c r="F267" s="408" t="str">
        <f>'16U BOYS SILVER-20 TEAMS'!F47&amp;""</f>
        <v>7</v>
      </c>
      <c r="G267" s="408" t="str">
        <f>'16U BOYS SILVER-20 TEAMS'!G47&amp;""</f>
        <v>G3(1stC)-LAMORINDA B</v>
      </c>
      <c r="H267" s="408" t="str">
        <f>'16U BOYS SILVER-20 TEAMS'!H47&amp;""</f>
        <v>16</v>
      </c>
      <c r="I267" s="408" t="str">
        <f>'16U BOYS SILVER-20 TEAMS'!I47&amp;""</f>
        <v>G bracket</v>
      </c>
      <c r="J267" s="408" t="str">
        <f>'16U BOYS SILVER-20 TEAMS'!J47&amp;""</f>
        <v>16U_BOYS_SILVER</v>
      </c>
      <c r="K267" s="408" t="str">
        <f t="shared" si="7"/>
        <v>202601311900</v>
      </c>
    </row>
    <row r="268" spans="1:11">
      <c r="A268" s="432">
        <f>'19U BOYS GOLD-16 TEAMS'!A32</f>
        <v>46054</v>
      </c>
      <c r="B268" s="433">
        <f>'19U BOYS GOLD-16 TEAMS'!B32</f>
        <v>0.54166666666666696</v>
      </c>
      <c r="C268" s="433" t="str">
        <f>'19U BOYS GOLD-16 TEAMS'!C32&amp;""</f>
        <v>FULLERTON COLLEGE</v>
      </c>
      <c r="D268" s="434" t="str">
        <f>'19U BOYS GOLD-16 TEAMS'!D32&amp;""</f>
        <v>19Bau21</v>
      </c>
      <c r="E268" s="434" t="str">
        <f>'19U BOYS GOLD-16 TEAMS'!E32&amp;""</f>
        <v>2ndD-BIG VALLEY</v>
      </c>
      <c r="F268" s="434" t="str">
        <f>'19U BOYS GOLD-16 TEAMS'!F32&amp;""</f>
        <v>12</v>
      </c>
      <c r="G268" s="434" t="str">
        <f>'19U BOYS GOLD-16 TEAMS'!G32&amp;""</f>
        <v>2ndA-CLOVIS BLACK</v>
      </c>
      <c r="H268" s="434" t="str">
        <f>'19U BOYS GOLD-16 TEAMS'!H32&amp;""</f>
        <v>6</v>
      </c>
      <c r="I268" s="434" t="str">
        <f>'19U BOYS GOLD-16 TEAMS'!I32&amp;""</f>
        <v>5-8 semi 2D/2A</v>
      </c>
      <c r="J268" s="434" t="str">
        <f>'19U BOYS GOLD-16 TEAMS'!J32&amp;""</f>
        <v>19U_BOYS_GOLD</v>
      </c>
      <c r="K268" s="434" t="str">
        <f t="shared" si="7"/>
        <v>202602011300</v>
      </c>
    </row>
    <row r="269" spans="1:11">
      <c r="A269" s="432">
        <f>'19U BOYS GOLD-16 TEAMS'!A35</f>
        <v>46054</v>
      </c>
      <c r="B269" s="433">
        <f>'19U BOYS GOLD-16 TEAMS'!B35</f>
        <v>0.58333333333333304</v>
      </c>
      <c r="C269" s="433" t="str">
        <f>'19U BOYS GOLD-16 TEAMS'!C35&amp;""</f>
        <v>FULLERTON COLLEGE</v>
      </c>
      <c r="D269" s="434" t="str">
        <f>'19U BOYS GOLD-16 TEAMS'!D35&amp;""</f>
        <v>19Bau19</v>
      </c>
      <c r="E269" s="434" t="str">
        <f>'19U BOYS GOLD-16 TEAMS'!E35&amp;""</f>
        <v>1stA-HIELAND</v>
      </c>
      <c r="F269" s="434" t="str">
        <f>'19U BOYS GOLD-16 TEAMS'!F35&amp;""</f>
        <v>2</v>
      </c>
      <c r="G269" s="434" t="str">
        <f>'19U BOYS GOLD-16 TEAMS'!G35&amp;""</f>
        <v>1stD-LONGHORN</v>
      </c>
      <c r="H269" s="434" t="str">
        <f>'19U BOYS GOLD-16 TEAMS'!H35&amp;""</f>
        <v>14</v>
      </c>
      <c r="I269" s="434" t="str">
        <f>'19U BOYS GOLD-16 TEAMS'!I35&amp;""</f>
        <v>1-4 semi 1A/1D</v>
      </c>
      <c r="J269" s="434" t="str">
        <f>'19U BOYS GOLD-16 TEAMS'!J35&amp;""</f>
        <v>19U_BOYS_GOLD</v>
      </c>
      <c r="K269" s="434" t="str">
        <f t="shared" si="7"/>
        <v>202602011400</v>
      </c>
    </row>
    <row r="270" spans="1:11">
      <c r="A270" s="432">
        <f>'19U BOYS GOLD-16 TEAMS'!A38</f>
        <v>46054</v>
      </c>
      <c r="B270" s="433">
        <f>'19U BOYS GOLD-16 TEAMS'!B38</f>
        <v>0.625</v>
      </c>
      <c r="C270" s="433" t="str">
        <f>'19U BOYS GOLD-16 TEAMS'!C38&amp;""</f>
        <v>FULLERTON COLLEGE</v>
      </c>
      <c r="D270" s="434" t="str">
        <f>'19U BOYS GOLD-16 TEAMS'!D38&amp;""</f>
        <v>19Bau20</v>
      </c>
      <c r="E270" s="434" t="str">
        <f>'19U BOYS GOLD-16 TEAMS'!E38&amp;""</f>
        <v>1stB-ORANGE COUNTY WPC BLUE</v>
      </c>
      <c r="F270" s="434" t="str">
        <f>'19U BOYS GOLD-16 TEAMS'!F38&amp;""</f>
        <v>6.5</v>
      </c>
      <c r="G270" s="434" t="str">
        <f>'19U BOYS GOLD-16 TEAMS'!G38&amp;""</f>
        <v>1stC-MISSON WPC</v>
      </c>
      <c r="H270" s="434" t="str">
        <f>'19U BOYS GOLD-16 TEAMS'!H38&amp;""</f>
        <v>6.6</v>
      </c>
      <c r="I270" s="434" t="str">
        <f>'19U BOYS GOLD-16 TEAMS'!I38&amp;""</f>
        <v>1-4 semi 1B/1C</v>
      </c>
      <c r="J270" s="434" t="str">
        <f>'19U BOYS GOLD-16 TEAMS'!J38&amp;""</f>
        <v>19U_BOYS_GOLD</v>
      </c>
      <c r="K270" s="434" t="str">
        <f t="shared" si="7"/>
        <v>202602011500</v>
      </c>
    </row>
    <row r="271" spans="1:11">
      <c r="A271" s="432">
        <f>'19U BOYS GOLD-16 TEAMS'!A39</f>
        <v>46054</v>
      </c>
      <c r="B271" s="433">
        <f>'19U BOYS GOLD-16 TEAMS'!B39</f>
        <v>0.66666666666666696</v>
      </c>
      <c r="C271" s="433" t="str">
        <f>'19U BOYS GOLD-16 TEAMS'!C39&amp;""</f>
        <v>FULLERTON COLLEGE</v>
      </c>
      <c r="D271" s="434" t="str">
        <f>'19U BOYS GOLD-16 TEAMS'!D39&amp;""</f>
        <v>19Bau25</v>
      </c>
      <c r="E271" s="434" t="str">
        <f>'19U BOYS GOLD-16 TEAMS'!E39&amp;""</f>
        <v>W#21-BIG VALLEY</v>
      </c>
      <c r="F271" s="434" t="str">
        <f>'19U BOYS GOLD-16 TEAMS'!F39&amp;""</f>
        <v>18</v>
      </c>
      <c r="G271" s="434" t="str">
        <f>'19U BOYS GOLD-16 TEAMS'!G39&amp;""</f>
        <v>W#22-AMERICAN RIVER GOLD</v>
      </c>
      <c r="H271" s="434" t="str">
        <f>'19U BOYS GOLD-16 TEAMS'!H39&amp;""</f>
        <v>6</v>
      </c>
      <c r="I271" s="434" t="str">
        <f>'19U BOYS GOLD-16 TEAMS'!I39&amp;""</f>
        <v>5th</v>
      </c>
      <c r="J271" s="434" t="str">
        <f>'19U BOYS GOLD-16 TEAMS'!J39&amp;""</f>
        <v>19U_BOYS_GOLD</v>
      </c>
      <c r="K271" s="434" t="str">
        <f t="shared" si="7"/>
        <v>202602011600</v>
      </c>
    </row>
    <row r="272" spans="1:11">
      <c r="A272" s="432">
        <f>'19U BOYS GOLD-16 TEAMS'!A40</f>
        <v>46054</v>
      </c>
      <c r="B272" s="433">
        <f>'19U BOYS GOLD-16 TEAMS'!B40</f>
        <v>0.70833333333333304</v>
      </c>
      <c r="C272" s="433" t="str">
        <f>'19U BOYS GOLD-16 TEAMS'!C40&amp;""</f>
        <v>FULLERTON COLLEGE</v>
      </c>
      <c r="D272" s="434" t="str">
        <f>'19U BOYS GOLD-16 TEAMS'!D40&amp;""</f>
        <v>19Bau26</v>
      </c>
      <c r="E272" s="434" t="str">
        <f>'19U BOYS GOLD-16 TEAMS'!E40&amp;""</f>
        <v>L#21-CLOVIS BLACK</v>
      </c>
      <c r="F272" s="434" t="str">
        <f>'19U BOYS GOLD-16 TEAMS'!F40&amp;""</f>
        <v>8</v>
      </c>
      <c r="G272" s="434" t="str">
        <f>'19U BOYS GOLD-16 TEAMS'!G40&amp;""</f>
        <v>L#22-MID PEN</v>
      </c>
      <c r="H272" s="434" t="str">
        <f>'19U BOYS GOLD-16 TEAMS'!H40&amp;""</f>
        <v>6</v>
      </c>
      <c r="I272" s="434" t="str">
        <f>'19U BOYS GOLD-16 TEAMS'!I40&amp;""</f>
        <v>7th</v>
      </c>
      <c r="J272" s="434" t="str">
        <f>'19U BOYS GOLD-16 TEAMS'!J40&amp;""</f>
        <v>19U_BOYS_GOLD</v>
      </c>
      <c r="K272" s="434" t="str">
        <f t="shared" si="7"/>
        <v>202602011700</v>
      </c>
    </row>
    <row r="273" spans="1:11">
      <c r="A273" s="378">
        <f>'14U GIRLS GOLD-14 TEAMS'!A11</f>
        <v>46053</v>
      </c>
      <c r="B273" s="379">
        <f>'14U GIRLS GOLD-14 TEAMS'!B11</f>
        <v>0.29166666666666669</v>
      </c>
      <c r="C273" s="379" t="str">
        <f>'14U GIRLS GOLD-14 TEAMS'!C11&amp;""</f>
        <v>LAGUNA HILLS HS</v>
      </c>
      <c r="D273" s="380" t="str">
        <f>'14U GIRLS GOLD-14 TEAMS'!D11&amp;""</f>
        <v>14Gau03</v>
      </c>
      <c r="E273" s="380" t="str">
        <f>'14U GIRLS GOLD-14 TEAMS'!E11&amp;""</f>
        <v>D1-NORTHWEST</v>
      </c>
      <c r="F273" s="380" t="str">
        <f>'14U GIRLS GOLD-14 TEAMS'!F11&amp;""</f>
        <v>10</v>
      </c>
      <c r="G273" s="380" t="str">
        <f>'14U GIRLS GOLD-14 TEAMS'!G11&amp;""</f>
        <v>D4-NORTH IRVINE</v>
      </c>
      <c r="H273" s="380" t="str">
        <f>'14U GIRLS GOLD-14 TEAMS'!H11&amp;""</f>
        <v>11</v>
      </c>
      <c r="I273" s="380" t="str">
        <f>'14U GIRLS GOLD-14 TEAMS'!I11&amp;""</f>
        <v>W/L D1/D4</v>
      </c>
      <c r="J273" s="380" t="str">
        <f>'14U GIRLS GOLD-14 TEAMS'!J11&amp;""</f>
        <v>14U_GIRLS_GOLD</v>
      </c>
      <c r="K273" s="380" t="str">
        <f t="shared" si="7"/>
        <v>202601310700</v>
      </c>
    </row>
    <row r="274" spans="1:11">
      <c r="A274" s="378">
        <f>'14U GIRLS GOLD-14 TEAMS'!A12</f>
        <v>46053</v>
      </c>
      <c r="B274" s="379">
        <f>'14U GIRLS GOLD-14 TEAMS'!B12</f>
        <v>0.3263888888888889</v>
      </c>
      <c r="C274" s="379" t="str">
        <f>'14U GIRLS GOLD-14 TEAMS'!C12&amp;""</f>
        <v>LAGUNA HILLS HS</v>
      </c>
      <c r="D274" s="380" t="str">
        <f>'14U GIRLS GOLD-14 TEAMS'!D12&amp;""</f>
        <v>14Gau04</v>
      </c>
      <c r="E274" s="380" t="str">
        <f>'14U GIRLS GOLD-14 TEAMS'!E12&amp;""</f>
        <v>D2-SD ECA</v>
      </c>
      <c r="F274" s="380" t="str">
        <f>'14U GIRLS GOLD-14 TEAMS'!F12&amp;""</f>
        <v>8</v>
      </c>
      <c r="G274" s="380" t="str">
        <f>'14U GIRLS GOLD-14 TEAMS'!G12&amp;""</f>
        <v>D3-LAMORINDA C</v>
      </c>
      <c r="H274" s="380" t="str">
        <f>'14U GIRLS GOLD-14 TEAMS'!H12&amp;""</f>
        <v>6</v>
      </c>
      <c r="I274" s="380" t="str">
        <f>'14U GIRLS GOLD-14 TEAMS'!I12&amp;""</f>
        <v>W/L D2/D3</v>
      </c>
      <c r="J274" s="380" t="str">
        <f>'14U GIRLS GOLD-14 TEAMS'!J12&amp;""</f>
        <v>14U_GIRLS_GOLD</v>
      </c>
      <c r="K274" s="380" t="str">
        <f t="shared" si="7"/>
        <v>202601310750</v>
      </c>
    </row>
    <row r="275" spans="1:11">
      <c r="A275" s="378">
        <f>'14U GIRLS GOLD-14 TEAMS'!A13</f>
        <v>46053</v>
      </c>
      <c r="B275" s="379">
        <f>'14U GIRLS GOLD-14 TEAMS'!B13</f>
        <v>0.36111111111111099</v>
      </c>
      <c r="C275" s="379" t="str">
        <f>'14U GIRLS GOLD-14 TEAMS'!C13&amp;""</f>
        <v>LAGUNA HILLS HS</v>
      </c>
      <c r="D275" s="380" t="str">
        <f>'14U GIRLS GOLD-14 TEAMS'!D13&amp;""</f>
        <v>14Gau09</v>
      </c>
      <c r="E275" s="380" t="str">
        <f>'14U GIRLS GOLD-14 TEAMS'!E13&amp;""</f>
        <v>B2-ROGUE 619</v>
      </c>
      <c r="F275" s="380" t="str">
        <f>'14U GIRLS GOLD-14 TEAMS'!F13&amp;""</f>
        <v>10</v>
      </c>
      <c r="G275" s="380" t="str">
        <f>'14U GIRLS GOLD-14 TEAMS'!G13&amp;""</f>
        <v>B3-BACK BAY</v>
      </c>
      <c r="H275" s="380" t="str">
        <f>'14U GIRLS GOLD-14 TEAMS'!H13&amp;""</f>
        <v>4</v>
      </c>
      <c r="I275" s="380" t="str">
        <f>'14U GIRLS GOLD-14 TEAMS'!I13&amp;""</f>
        <v>B bracket B2,B3</v>
      </c>
      <c r="J275" s="380" t="str">
        <f>'14U GIRLS GOLD-14 TEAMS'!J13&amp;""</f>
        <v>14U_GIRLS_GOLD</v>
      </c>
      <c r="K275" s="380" t="str">
        <f t="shared" si="7"/>
        <v>202601310840</v>
      </c>
    </row>
    <row r="276" spans="1:11">
      <c r="A276" s="378">
        <f>'14U GIRLS GOLD-14 TEAMS'!A14</f>
        <v>46053</v>
      </c>
      <c r="B276" s="379">
        <f>'14U GIRLS GOLD-14 TEAMS'!B14</f>
        <v>0.39583333333333398</v>
      </c>
      <c r="C276" s="379" t="str">
        <f>'14U GIRLS GOLD-14 TEAMS'!C14&amp;""</f>
        <v>LAGUNA HILLS HS</v>
      </c>
      <c r="D276" s="380" t="str">
        <f>'14U GIRLS GOLD-14 TEAMS'!D14&amp;""</f>
        <v>14Gau01</v>
      </c>
      <c r="E276" s="380" t="str">
        <f>'14U GIRLS GOLD-14 TEAMS'!E14&amp;""</f>
        <v>C2-GOLD COAST</v>
      </c>
      <c r="F276" s="380" t="str">
        <f>'14U GIRLS GOLD-14 TEAMS'!F14&amp;""</f>
        <v>8</v>
      </c>
      <c r="G276" s="380" t="str">
        <f>'14U GIRLS GOLD-14 TEAMS'!G14&amp;""</f>
        <v>C3-PALOS VERDES</v>
      </c>
      <c r="H276" s="380" t="str">
        <f>'14U GIRLS GOLD-14 TEAMS'!H14&amp;""</f>
        <v>4</v>
      </c>
      <c r="I276" s="380" t="str">
        <f>'14U GIRLS GOLD-14 TEAMS'!I14&amp;""</f>
        <v>W/L C2/C3</v>
      </c>
      <c r="J276" s="380" t="str">
        <f>'14U GIRLS GOLD-14 TEAMS'!J14&amp;""</f>
        <v>14U_GIRLS_GOLD</v>
      </c>
      <c r="K276" s="380" t="str">
        <f t="shared" si="7"/>
        <v>202601310930</v>
      </c>
    </row>
    <row r="277" spans="1:11">
      <c r="A277" s="378">
        <f>'14U GIRLS GOLD-14 TEAMS'!A15</f>
        <v>46053</v>
      </c>
      <c r="B277" s="379">
        <f>'14U GIRLS GOLD-14 TEAMS'!B15</f>
        <v>0.43055555555555602</v>
      </c>
      <c r="C277" s="379" t="str">
        <f>'14U GIRLS GOLD-14 TEAMS'!C15&amp;""</f>
        <v>LAGUNA HILLS HS</v>
      </c>
      <c r="D277" s="380" t="str">
        <f>'14U GIRLS GOLD-14 TEAMS'!D15&amp;""</f>
        <v>14Gau02</v>
      </c>
      <c r="E277" s="380" t="str">
        <f>'14U GIRLS GOLD-14 TEAMS'!E15&amp;""</f>
        <v>C1-SHAQ</v>
      </c>
      <c r="F277" s="380" t="str">
        <f>'14U GIRLS GOLD-14 TEAMS'!F15&amp;""</f>
        <v>9</v>
      </c>
      <c r="G277" s="380" t="str">
        <f>'14U GIRLS GOLD-14 TEAMS'!G15&amp;""</f>
        <v>C4-CDM NAVY</v>
      </c>
      <c r="H277" s="380" t="str">
        <f>'14U GIRLS GOLD-14 TEAMS'!H15&amp;""</f>
        <v>5</v>
      </c>
      <c r="I277" s="380" t="str">
        <f>'14U GIRLS GOLD-14 TEAMS'!I15&amp;""</f>
        <v>W/L C1/C4</v>
      </c>
      <c r="J277" s="380" t="str">
        <f>'14U GIRLS GOLD-14 TEAMS'!J15&amp;""</f>
        <v>14U_GIRLS_GOLD</v>
      </c>
      <c r="K277" s="380" t="str">
        <f t="shared" si="7"/>
        <v>202601311020</v>
      </c>
    </row>
    <row r="278" spans="1:11">
      <c r="A278" s="378">
        <f>'14U GIRLS GOLD-14 TEAMS'!A17</f>
        <v>46053</v>
      </c>
      <c r="B278" s="379">
        <f>'14U GIRLS GOLD-14 TEAMS'!B17</f>
        <v>0.46527777777777801</v>
      </c>
      <c r="C278" s="379" t="str">
        <f>'14U GIRLS GOLD-14 TEAMS'!C17&amp;""</f>
        <v>LAGUNA HILLS HS</v>
      </c>
      <c r="D278" s="380" t="str">
        <f>'14U GIRLS GOLD-14 TEAMS'!D17&amp;""</f>
        <v>14Gau11</v>
      </c>
      <c r="E278" s="380" t="str">
        <f>'14U GIRLS GOLD-14 TEAMS'!E17&amp;""</f>
        <v>B1-HONOLULU</v>
      </c>
      <c r="F278" s="380" t="str">
        <f>'14U GIRLS GOLD-14 TEAMS'!F17&amp;""</f>
        <v>2</v>
      </c>
      <c r="G278" s="380" t="str">
        <f>'14U GIRLS GOLD-14 TEAMS'!G17&amp;""</f>
        <v>B2-ROGUE 619</v>
      </c>
      <c r="H278" s="380" t="str">
        <f>'14U GIRLS GOLD-14 TEAMS'!H17&amp;""</f>
        <v>12</v>
      </c>
      <c r="I278" s="380" t="str">
        <f>'14U GIRLS GOLD-14 TEAMS'!I17&amp;""</f>
        <v>B bracket B1,B2</v>
      </c>
      <c r="J278" s="380" t="str">
        <f>'14U GIRLS GOLD-14 TEAMS'!J17&amp;""</f>
        <v>14U_GIRLS_GOLD</v>
      </c>
      <c r="K278" s="380" t="str">
        <f t="shared" si="7"/>
        <v>202601311110</v>
      </c>
    </row>
    <row r="279" spans="1:11">
      <c r="A279" s="378">
        <f>'14U GIRLS GOLD-14 TEAMS'!A18</f>
        <v>46053</v>
      </c>
      <c r="B279" s="379">
        <f>'14U GIRLS GOLD-14 TEAMS'!B18</f>
        <v>0.5</v>
      </c>
      <c r="C279" s="379" t="str">
        <f>'14U GIRLS GOLD-14 TEAMS'!C18&amp;""</f>
        <v>LAGUNA HILLS HS</v>
      </c>
      <c r="D279" s="380" t="str">
        <f>'14U GIRLS GOLD-14 TEAMS'!D18&amp;""</f>
        <v>14Gau08</v>
      </c>
      <c r="E279" s="380" t="str">
        <f>'14U GIRLS GOLD-14 TEAMS'!E18&amp;""</f>
        <v>L#3-NORTHWEST</v>
      </c>
      <c r="F279" s="380" t="str">
        <f>'14U GIRLS GOLD-14 TEAMS'!F18&amp;""</f>
        <v>9</v>
      </c>
      <c r="G279" s="380" t="str">
        <f>'14U GIRLS GOLD-14 TEAMS'!G18&amp;""</f>
        <v>L#4-LAMORINDA C</v>
      </c>
      <c r="H279" s="380" t="str">
        <f>'14U GIRLS GOLD-14 TEAMS'!H18&amp;""</f>
        <v>8</v>
      </c>
      <c r="I279" s="380" t="str">
        <f>'14U GIRLS GOLD-14 TEAMS'!I18&amp;""</f>
        <v>3rd/4thD</v>
      </c>
      <c r="J279" s="380" t="str">
        <f>'14U GIRLS GOLD-14 TEAMS'!J18&amp;""</f>
        <v>14U_GIRLS_GOLD</v>
      </c>
      <c r="K279" s="380" t="str">
        <f t="shared" si="7"/>
        <v>202601311200</v>
      </c>
    </row>
    <row r="280" spans="1:11">
      <c r="A280" s="378">
        <f>'14U GIRLS GOLD-14 TEAMS'!A19</f>
        <v>46053</v>
      </c>
      <c r="B280" s="379">
        <f>'14U GIRLS GOLD-14 TEAMS'!B19</f>
        <v>0.53472222222222199</v>
      </c>
      <c r="C280" s="379" t="str">
        <f>'14U GIRLS GOLD-14 TEAMS'!C19&amp;""</f>
        <v>LAGUNA HILLS HS</v>
      </c>
      <c r="D280" s="380" t="str">
        <f>'14U GIRLS GOLD-14 TEAMS'!D19&amp;""</f>
        <v>14Gau07</v>
      </c>
      <c r="E280" s="380" t="str">
        <f>'14U GIRLS GOLD-14 TEAMS'!E19&amp;""</f>
        <v>W#3-NORTH IRVINE</v>
      </c>
      <c r="F280" s="380" t="str">
        <f>'14U GIRLS GOLD-14 TEAMS'!F19&amp;""</f>
        <v>13</v>
      </c>
      <c r="G280" s="380" t="str">
        <f>'14U GIRLS GOLD-14 TEAMS'!G19&amp;""</f>
        <v>W#4-SD ECA</v>
      </c>
      <c r="H280" s="380" t="str">
        <f>'14U GIRLS GOLD-14 TEAMS'!H19&amp;""</f>
        <v>11</v>
      </c>
      <c r="I280" s="380" t="str">
        <f>'14U GIRLS GOLD-14 TEAMS'!I19&amp;""</f>
        <v>1st/2ndD</v>
      </c>
      <c r="J280" s="380" t="str">
        <f>'14U GIRLS GOLD-14 TEAMS'!J19&amp;""</f>
        <v>14U_GIRLS_GOLD</v>
      </c>
      <c r="K280" s="380" t="str">
        <f t="shared" si="7"/>
        <v>202601311250</v>
      </c>
    </row>
    <row r="281" spans="1:11">
      <c r="A281" s="378">
        <f>'14U GIRLS GOLD-14 TEAMS'!A21</f>
        <v>46053</v>
      </c>
      <c r="B281" s="379">
        <f>'14U GIRLS GOLD-14 TEAMS'!B21</f>
        <v>0.56944444444444497</v>
      </c>
      <c r="C281" s="379" t="str">
        <f>'14U GIRLS GOLD-14 TEAMS'!C21&amp;""</f>
        <v>LAGUNA HILLS HS</v>
      </c>
      <c r="D281" s="380" t="str">
        <f>'14U GIRLS GOLD-14 TEAMS'!D21&amp;""</f>
        <v>14Gau13</v>
      </c>
      <c r="E281" s="380" t="str">
        <f>'14U GIRLS GOLD-14 TEAMS'!E21&amp;""</f>
        <v>B1-HONOLULU</v>
      </c>
      <c r="F281" s="380" t="str">
        <f>'14U GIRLS GOLD-14 TEAMS'!F21&amp;""</f>
        <v>5</v>
      </c>
      <c r="G281" s="380" t="str">
        <f>'14U GIRLS GOLD-14 TEAMS'!G21&amp;""</f>
        <v>B3-BACK BAY</v>
      </c>
      <c r="H281" s="380" t="str">
        <f>'14U GIRLS GOLD-14 TEAMS'!H21&amp;""</f>
        <v>8</v>
      </c>
      <c r="I281" s="380" t="str">
        <f>'14U GIRLS GOLD-14 TEAMS'!I21&amp;""</f>
        <v>B bracket B1,B3</v>
      </c>
      <c r="J281" s="380" t="str">
        <f>'14U GIRLS GOLD-14 TEAMS'!J21&amp;""</f>
        <v>14U_GIRLS_GOLD</v>
      </c>
      <c r="K281" s="380" t="str">
        <f t="shared" si="7"/>
        <v>202601311340</v>
      </c>
    </row>
    <row r="282" spans="1:11">
      <c r="A282" s="378">
        <f>'14U GIRLS GOLD-14 TEAMS'!A22</f>
        <v>46053</v>
      </c>
      <c r="B282" s="379">
        <f>'14U GIRLS GOLD-14 TEAMS'!B22</f>
        <v>0.60416666666666696</v>
      </c>
      <c r="C282" s="379" t="str">
        <f>'14U GIRLS GOLD-14 TEAMS'!C22&amp;""</f>
        <v>LAGUNA HILLS HS</v>
      </c>
      <c r="D282" s="380" t="str">
        <f>'14U GIRLS GOLD-14 TEAMS'!D22&amp;""</f>
        <v>14Gau05</v>
      </c>
      <c r="E282" s="380" t="str">
        <f>'14U GIRLS GOLD-14 TEAMS'!E22&amp;""</f>
        <v>W#1-GOLD COAST</v>
      </c>
      <c r="F282" s="380" t="str">
        <f>'14U GIRLS GOLD-14 TEAMS'!F22&amp;""</f>
        <v>8</v>
      </c>
      <c r="G282" s="380" t="str">
        <f>'14U GIRLS GOLD-14 TEAMS'!G22&amp;""</f>
        <v>W#2-SHAQ</v>
      </c>
      <c r="H282" s="380" t="str">
        <f>'14U GIRLS GOLD-14 TEAMS'!H22&amp;""</f>
        <v>4</v>
      </c>
      <c r="I282" s="380" t="str">
        <f>'14U GIRLS GOLD-14 TEAMS'!I22&amp;""</f>
        <v>1st/2ndC</v>
      </c>
      <c r="J282" s="380" t="str">
        <f>'14U GIRLS GOLD-14 TEAMS'!J22&amp;""</f>
        <v>14U_GIRLS_GOLD</v>
      </c>
      <c r="K282" s="380" t="str">
        <f t="shared" si="7"/>
        <v>202601311430</v>
      </c>
    </row>
    <row r="283" spans="1:11">
      <c r="A283" s="378">
        <f>'14U GIRLS GOLD-14 TEAMS'!A23</f>
        <v>46053</v>
      </c>
      <c r="B283" s="379">
        <f>'14U GIRLS GOLD-14 TEAMS'!B23</f>
        <v>0.63888888888888895</v>
      </c>
      <c r="C283" s="379" t="str">
        <f>'14U GIRLS GOLD-14 TEAMS'!C23&amp;""</f>
        <v>LAGUNA HILLS HS</v>
      </c>
      <c r="D283" s="380" t="str">
        <f>'14U GIRLS GOLD-14 TEAMS'!D23&amp;""</f>
        <v>14Gau06</v>
      </c>
      <c r="E283" s="380" t="str">
        <f>'14U GIRLS GOLD-14 TEAMS'!E23&amp;""</f>
        <v>L#1-PALOS VERDES</v>
      </c>
      <c r="F283" s="380" t="str">
        <f>'14U GIRLS GOLD-14 TEAMS'!F23&amp;""</f>
        <v>12</v>
      </c>
      <c r="G283" s="380" t="str">
        <f>'14U GIRLS GOLD-14 TEAMS'!G23&amp;""</f>
        <v>L#2-CDM NAVY</v>
      </c>
      <c r="H283" s="380" t="str">
        <f>'14U GIRLS GOLD-14 TEAMS'!H23&amp;""</f>
        <v>2</v>
      </c>
      <c r="I283" s="380" t="str">
        <f>'14U GIRLS GOLD-14 TEAMS'!I23&amp;""</f>
        <v>3rd/4thC</v>
      </c>
      <c r="J283" s="380" t="str">
        <f>'14U GIRLS GOLD-14 TEAMS'!J23&amp;""</f>
        <v>14U_GIRLS_GOLD</v>
      </c>
      <c r="K283" s="380" t="str">
        <f t="shared" si="7"/>
        <v>202601311520</v>
      </c>
    </row>
    <row r="284" spans="1:11">
      <c r="A284" s="387">
        <f>'14U BOYS SILVER-18 TEAMS'!A58</f>
        <v>46054</v>
      </c>
      <c r="B284" s="388">
        <f>'14U BOYS SILVER-18 TEAMS'!B58</f>
        <v>0.29166666666666669</v>
      </c>
      <c r="C284" s="388" t="str">
        <f>'14U BOYS SILVER-18 TEAMS'!C58&amp;""</f>
        <v>LAGUNA HILLS HS</v>
      </c>
      <c r="D284" s="389" t="str">
        <f>'14U BOYS SILVER-18 TEAMS'!D58&amp;""</f>
        <v>14Bag30</v>
      </c>
      <c r="E284" s="388" t="str">
        <f>'14U BOYS SILVER-18 TEAMS'!E58&amp;""</f>
        <v>N1(3rdD)-AMERICAN RIVER GOLD</v>
      </c>
      <c r="F284" s="392" t="str">
        <f>'14U BOYS SILVER-18 TEAMS'!F58&amp;""</f>
        <v>5.1</v>
      </c>
      <c r="G284" s="388" t="str">
        <f>'14U BOYS SILVER-18 TEAMS'!G58&amp;""</f>
        <v>N3(3rdF)-SET</v>
      </c>
      <c r="H284" s="391" t="str">
        <f>'14U BOYS SILVER-18 TEAMS'!H58&amp;""</f>
        <v>5.3</v>
      </c>
      <c r="I284" s="392" t="str">
        <f>'14U BOYS SILVER-18 TEAMS'!I58&amp;""</f>
        <v>13th-18th</v>
      </c>
      <c r="J284" s="389" t="str">
        <f>'14U BOYS SILVER-18 TEAMS'!J58&amp;""</f>
        <v>14U_BOYS_SILVER</v>
      </c>
      <c r="K284" s="389" t="str">
        <f t="shared" si="7"/>
        <v>202602010700</v>
      </c>
    </row>
    <row r="285" spans="1:11">
      <c r="A285" s="394">
        <f>'14U BOYS GOLD-26 TEAMS'!A67</f>
        <v>46054</v>
      </c>
      <c r="B285" s="395">
        <f>'14U BOYS GOLD-26 TEAMS'!B67</f>
        <v>0.3263888888888889</v>
      </c>
      <c r="C285" s="396" t="str">
        <f>'14U BOYS GOLD-26 TEAMS'!C67&amp;""</f>
        <v>LAGUNA HILLS HS</v>
      </c>
      <c r="D285" s="396" t="str">
        <f>'14U BOYS GOLD-26 TEAMS'!D67&amp;""</f>
        <v>14Bau41</v>
      </c>
      <c r="E285" s="396" t="str">
        <f>'14U BOYS GOLD-26 TEAMS'!E67&amp;""</f>
        <v>N1(3rdA)-HONOLULU BLUE</v>
      </c>
      <c r="F285" s="396" t="str">
        <f>'14U BOYS GOLD-26 TEAMS'!F67&amp;""</f>
        <v>7</v>
      </c>
      <c r="G285" s="396" t="str">
        <f>'14U BOYS GOLD-26 TEAMS'!G67&amp;""</f>
        <v>N3(3rdH)-PATRIOT RED</v>
      </c>
      <c r="H285" s="396" t="str">
        <f>'14U BOYS GOLD-26 TEAMS'!H67&amp;""</f>
        <v>14</v>
      </c>
      <c r="I285" s="396" t="str">
        <f>'14U BOYS GOLD-26 TEAMS'!I67&amp;""</f>
        <v>N bracket</v>
      </c>
      <c r="J285" s="397" t="str">
        <f>'14U BOYS GOLD-26 TEAMS'!J67&amp;""</f>
        <v>14U_BOYS_GOLD</v>
      </c>
      <c r="K285" s="397" t="str">
        <f t="shared" si="7"/>
        <v>202602010750</v>
      </c>
    </row>
    <row r="286" spans="1:11">
      <c r="A286" s="394">
        <f>'14U BOYS GOLD-26 TEAMS'!A68</f>
        <v>46054</v>
      </c>
      <c r="B286" s="395">
        <f>'14U BOYS GOLD-26 TEAMS'!B68</f>
        <v>0.36111111111111099</v>
      </c>
      <c r="C286" s="396" t="str">
        <f>'14U BOYS GOLD-26 TEAMS'!C68&amp;""</f>
        <v>LAGUNA HILLS HS</v>
      </c>
      <c r="D286" s="396" t="str">
        <f>'14U BOYS GOLD-26 TEAMS'!D68&amp;""</f>
        <v>14Bau42</v>
      </c>
      <c r="E286" s="397" t="str">
        <f>'14U BOYS GOLD-26 TEAMS'!E68&amp;""</f>
        <v>O1(3rdE)-FOOTHILL RED</v>
      </c>
      <c r="F286" s="397" t="str">
        <f>'14U BOYS GOLD-26 TEAMS'!F68&amp;""</f>
        <v>8</v>
      </c>
      <c r="G286" s="398" t="str">
        <f>'14U BOYS GOLD-26 TEAMS'!G68&amp;""</f>
        <v>O3(3rdD)-AMERICAN RIVER BLUE</v>
      </c>
      <c r="H286" s="397" t="str">
        <f>'14U BOYS GOLD-26 TEAMS'!H68&amp;""</f>
        <v>4</v>
      </c>
      <c r="I286" s="396" t="str">
        <f>'14U BOYS GOLD-26 TEAMS'!I68&amp;""</f>
        <v>O bracket</v>
      </c>
      <c r="J286" s="397" t="str">
        <f>'14U BOYS GOLD-26 TEAMS'!J68&amp;""</f>
        <v>14U_BOYS_GOLD</v>
      </c>
      <c r="K286" s="397" t="str">
        <f t="shared" si="7"/>
        <v>202602010840</v>
      </c>
    </row>
    <row r="287" spans="1:11">
      <c r="A287" s="387">
        <f>'14U BOYS SILVER-18 TEAMS'!A62</f>
        <v>46054</v>
      </c>
      <c r="B287" s="388">
        <f>'14U BOYS SILVER-18 TEAMS'!B62</f>
        <v>0.39583333333333398</v>
      </c>
      <c r="C287" s="388" t="str">
        <f>'14U BOYS SILVER-18 TEAMS'!C62&amp;""</f>
        <v>LAGUNA HILLS HS</v>
      </c>
      <c r="D287" s="389" t="str">
        <f>'14U BOYS SILVER-18 TEAMS'!D62&amp;""</f>
        <v>14Bag36</v>
      </c>
      <c r="E287" s="388" t="str">
        <f>'14U BOYS SILVER-18 TEAMS'!E62&amp;""</f>
        <v>N2(3rdE)-CC UNITED WHITE</v>
      </c>
      <c r="F287" s="392" t="str">
        <f>'14U BOYS SILVER-18 TEAMS'!F62&amp;""</f>
        <v>7</v>
      </c>
      <c r="G287" s="388" t="str">
        <f>'14U BOYS SILVER-18 TEAMS'!G62&amp;""</f>
        <v>N3(3rdF)-SET</v>
      </c>
      <c r="H287" s="391" t="str">
        <f>'14U BOYS SILVER-18 TEAMS'!H62&amp;""</f>
        <v>6</v>
      </c>
      <c r="I287" s="392" t="str">
        <f>'14U BOYS SILVER-18 TEAMS'!I62&amp;""</f>
        <v>13th-18th</v>
      </c>
      <c r="J287" s="389" t="str">
        <f>'14U BOYS SILVER-18 TEAMS'!J62&amp;""</f>
        <v>14U_BOYS_SILVER</v>
      </c>
      <c r="K287" s="389" t="str">
        <f t="shared" si="7"/>
        <v>202602010930</v>
      </c>
    </row>
    <row r="288" spans="1:11">
      <c r="A288" s="394">
        <f>'14U BOYS GOLD-26 TEAMS'!A70</f>
        <v>46054</v>
      </c>
      <c r="B288" s="395">
        <f>'14U BOYS GOLD-26 TEAMS'!B70</f>
        <v>0.43055555555555602</v>
      </c>
      <c r="C288" s="396" t="str">
        <f>'14U BOYS GOLD-26 TEAMS'!C70&amp;""</f>
        <v>LAGUNA HILLS HS</v>
      </c>
      <c r="D288" s="396" t="str">
        <f>'14U BOYS GOLD-26 TEAMS'!D70&amp;""</f>
        <v>14Bau43</v>
      </c>
      <c r="E288" s="396" t="str">
        <f>'14U BOYS GOLD-26 TEAMS'!E70&amp;""</f>
        <v>P1(3rdF)-BOA</v>
      </c>
      <c r="F288" s="396" t="str">
        <f>'14U BOYS GOLD-26 TEAMS'!F70&amp;""</f>
        <v>6</v>
      </c>
      <c r="G288" s="396" t="str">
        <f>'14U BOYS GOLD-26 TEAMS'!G70&amp;""</f>
        <v>P4(4thH)-SOUTH COAST WHITE (B)</v>
      </c>
      <c r="H288" s="396" t="str">
        <f>'14U BOYS GOLD-26 TEAMS'!H70&amp;""</f>
        <v>11</v>
      </c>
      <c r="I288" s="396" t="str">
        <f>'14U BOYS GOLD-26 TEAMS'!I70&amp;""</f>
        <v>W/L P</v>
      </c>
      <c r="J288" s="397" t="str">
        <f>'14U BOYS GOLD-26 TEAMS'!J70&amp;""</f>
        <v>14U_BOYS_GOLD</v>
      </c>
      <c r="K288" s="397" t="str">
        <f t="shared" si="7"/>
        <v>202602011020</v>
      </c>
    </row>
    <row r="289" spans="1:11">
      <c r="A289" s="394">
        <f>'14U BOYS GOLD-26 TEAMS'!A71</f>
        <v>46054</v>
      </c>
      <c r="B289" s="395">
        <f>'14U BOYS GOLD-26 TEAMS'!B71</f>
        <v>0.46527777777777801</v>
      </c>
      <c r="C289" s="396" t="str">
        <f>'14U BOYS GOLD-26 TEAMS'!C71&amp;""</f>
        <v>LAGUNA HILLS HS</v>
      </c>
      <c r="D289" s="396" t="str">
        <f>'14U BOYS GOLD-26 TEAMS'!D71&amp;""</f>
        <v>14Bau44</v>
      </c>
      <c r="E289" s="397" t="str">
        <f>'14U BOYS GOLD-26 TEAMS'!E71&amp;""</f>
        <v>P2(3rdB)-LA JOLLA UNITED GOLD</v>
      </c>
      <c r="F289" s="397" t="str">
        <f>'14U BOYS GOLD-26 TEAMS'!F71&amp;""</f>
        <v>14</v>
      </c>
      <c r="G289" s="398" t="str">
        <f>'14U BOYS GOLD-26 TEAMS'!G71&amp;""</f>
        <v>P3(4thD)-STANFORD BLACK</v>
      </c>
      <c r="H289" s="397" t="str">
        <f>'14U BOYS GOLD-26 TEAMS'!H71&amp;""</f>
        <v>3</v>
      </c>
      <c r="I289" s="396" t="str">
        <f>'14U BOYS GOLD-26 TEAMS'!I71&amp;""</f>
        <v>W/L P</v>
      </c>
      <c r="J289" s="397" t="str">
        <f>'14U BOYS GOLD-26 TEAMS'!J71&amp;""</f>
        <v>14U_BOYS_GOLD</v>
      </c>
      <c r="K289" s="397" t="str">
        <f t="shared" si="7"/>
        <v>202602011110</v>
      </c>
    </row>
    <row r="290" spans="1:11">
      <c r="A290" s="394">
        <f>'14U BOYS GOLD-26 TEAMS'!A72</f>
        <v>46054</v>
      </c>
      <c r="B290" s="395">
        <f>'14U BOYS GOLD-26 TEAMS'!B72</f>
        <v>0.5</v>
      </c>
      <c r="C290" s="396" t="str">
        <f>'14U BOYS GOLD-26 TEAMS'!C72&amp;""</f>
        <v>LAGUNA HILLS HS</v>
      </c>
      <c r="D290" s="396" t="str">
        <f>'14U BOYS GOLD-26 TEAMS'!D72&amp;""</f>
        <v>14Bau49</v>
      </c>
      <c r="E290" s="396" t="str">
        <f>'14U BOYS GOLD-26 TEAMS'!E72&amp;""</f>
        <v>N1(3rdA)-HONOLULU BLUE</v>
      </c>
      <c r="F290" s="396" t="str">
        <f>'14U BOYS GOLD-26 TEAMS'!F72&amp;""</f>
        <v>6</v>
      </c>
      <c r="G290" s="396" t="str">
        <f>'14U BOYS GOLD-26 TEAMS'!G72&amp;""</f>
        <v>N2(3rdG)-SD ECA</v>
      </c>
      <c r="H290" s="396" t="str">
        <f>'14U BOYS GOLD-26 TEAMS'!H72&amp;""</f>
        <v>9</v>
      </c>
      <c r="I290" s="396" t="str">
        <f>'14U BOYS GOLD-26 TEAMS'!I72&amp;""</f>
        <v>N bracket</v>
      </c>
      <c r="J290" s="397" t="str">
        <f>'14U BOYS GOLD-26 TEAMS'!J72&amp;""</f>
        <v>14U_BOYS_GOLD</v>
      </c>
      <c r="K290" s="397" t="str">
        <f t="shared" si="7"/>
        <v>202602011200</v>
      </c>
    </row>
    <row r="291" spans="1:11">
      <c r="A291" s="394">
        <f>'14U BOYS GOLD-26 TEAMS'!A73</f>
        <v>46054</v>
      </c>
      <c r="B291" s="395">
        <f>'14U BOYS GOLD-26 TEAMS'!B73</f>
        <v>0.53472222222222199</v>
      </c>
      <c r="C291" s="396" t="str">
        <f>'14U BOYS GOLD-26 TEAMS'!C73&amp;""</f>
        <v>LAGUNA HILLS HS</v>
      </c>
      <c r="D291" s="396" t="str">
        <f>'14U BOYS GOLD-26 TEAMS'!D73&amp;""</f>
        <v>14Bau46</v>
      </c>
      <c r="E291" s="397" t="str">
        <f>'14U BOYS GOLD-26 TEAMS'!E73&amp;""</f>
        <v>O1(3rdE)-FOOTHILL RED</v>
      </c>
      <c r="F291" s="397" t="str">
        <f>'14U BOYS GOLD-26 TEAMS'!F73&amp;""</f>
        <v>10</v>
      </c>
      <c r="G291" s="398" t="str">
        <f>'14U BOYS GOLD-26 TEAMS'!G73&amp;""</f>
        <v>O2(3rdC)-STANFORD 13</v>
      </c>
      <c r="H291" s="397" t="str">
        <f>'14U BOYS GOLD-26 TEAMS'!H73&amp;""</f>
        <v>3</v>
      </c>
      <c r="I291" s="396" t="str">
        <f>'14U BOYS GOLD-26 TEAMS'!I73&amp;""</f>
        <v>O bracket</v>
      </c>
      <c r="J291" s="397" t="str">
        <f>'14U BOYS GOLD-26 TEAMS'!J73&amp;""</f>
        <v>14U_BOYS_GOLD</v>
      </c>
      <c r="K291" s="397" t="str">
        <f t="shared" si="7"/>
        <v>202602011250</v>
      </c>
    </row>
    <row r="292" spans="1:11">
      <c r="A292" s="394">
        <f>'14U BOYS GOLD-26 TEAMS'!A74</f>
        <v>46054</v>
      </c>
      <c r="B292" s="395">
        <f>'14U BOYS GOLD-26 TEAMS'!B74</f>
        <v>0.56944444444444497</v>
      </c>
      <c r="C292" s="396" t="str">
        <f>'14U BOYS GOLD-26 TEAMS'!C74&amp;""</f>
        <v>LAGUNA HILLS HS</v>
      </c>
      <c r="D292" s="396" t="str">
        <f>'14U BOYS GOLD-26 TEAMS'!D74&amp;""</f>
        <v>14Bau47</v>
      </c>
      <c r="E292" s="396" t="str">
        <f>'14U BOYS GOLD-26 TEAMS'!E74&amp;""</f>
        <v>W#43-SOUTH COAST WHITE (B)</v>
      </c>
      <c r="F292" s="396" t="str">
        <f>'14U BOYS GOLD-26 TEAMS'!F74&amp;""</f>
        <v>5.2</v>
      </c>
      <c r="G292" s="396" t="str">
        <f>'14U BOYS GOLD-26 TEAMS'!G74&amp;""</f>
        <v>W#44-LA JOLLA UNITED GOLD</v>
      </c>
      <c r="H292" s="396" t="str">
        <f>'14U BOYS GOLD-26 TEAMS'!H74&amp;""</f>
        <v>5</v>
      </c>
      <c r="I292" s="396" t="str">
        <f>'14U BOYS GOLD-26 TEAMS'!I74&amp;""</f>
        <v>1st/2ndP</v>
      </c>
      <c r="J292" s="397" t="str">
        <f>'14U BOYS GOLD-26 TEAMS'!J74&amp;""</f>
        <v>14U_BOYS_GOLD</v>
      </c>
      <c r="K292" s="397" t="str">
        <f t="shared" si="7"/>
        <v>202602011340</v>
      </c>
    </row>
    <row r="293" spans="1:11">
      <c r="A293" s="394">
        <f>'14U BOYS GOLD-26 TEAMS'!A75</f>
        <v>46054</v>
      </c>
      <c r="B293" s="395">
        <f>'14U BOYS GOLD-26 TEAMS'!B75</f>
        <v>0.60416666666666696</v>
      </c>
      <c r="C293" s="396" t="str">
        <f>'14U BOYS GOLD-26 TEAMS'!C75&amp;""</f>
        <v>LAGUNA HILLS HS</v>
      </c>
      <c r="D293" s="396" t="str">
        <f>'14U BOYS GOLD-26 TEAMS'!D75&amp;""</f>
        <v>14Bau48</v>
      </c>
      <c r="E293" s="397" t="str">
        <f>'14U BOYS GOLD-26 TEAMS'!E75&amp;""</f>
        <v>L#43-BOA</v>
      </c>
      <c r="F293" s="397" t="str">
        <f>'14U BOYS GOLD-26 TEAMS'!F75&amp;""</f>
        <v>11</v>
      </c>
      <c r="G293" s="398" t="str">
        <f>'14U BOYS GOLD-26 TEAMS'!G75&amp;""</f>
        <v>L#44-STANFORD BLACK</v>
      </c>
      <c r="H293" s="397" t="str">
        <f>'14U BOYS GOLD-26 TEAMS'!H75&amp;""</f>
        <v>12</v>
      </c>
      <c r="I293" s="396" t="str">
        <f>'14U BOYS GOLD-26 TEAMS'!I75&amp;""</f>
        <v>3rd/4thP</v>
      </c>
      <c r="J293" s="397" t="str">
        <f>'14U BOYS GOLD-26 TEAMS'!J75&amp;""</f>
        <v>14U_BOYS_GOLD</v>
      </c>
      <c r="K293" s="397" t="str">
        <f t="shared" si="7"/>
        <v>202602011430</v>
      </c>
    </row>
    <row r="294" spans="1:11">
      <c r="A294" s="394">
        <f>'14U BOYS GOLD-26 TEAMS'!A76</f>
        <v>46054</v>
      </c>
      <c r="B294" s="395">
        <f>'14U BOYS GOLD-26 TEAMS'!B76</f>
        <v>0.63888888888888895</v>
      </c>
      <c r="C294" s="396" t="str">
        <f>'14U BOYS GOLD-26 TEAMS'!C76&amp;""</f>
        <v>LAGUNA HILLS HS</v>
      </c>
      <c r="D294" s="396" t="str">
        <f>'14U BOYS GOLD-26 TEAMS'!D76&amp;""</f>
        <v>14Bau45</v>
      </c>
      <c r="E294" s="396" t="str">
        <f>'14U BOYS GOLD-26 TEAMS'!E76&amp;""</f>
        <v>N2(3rdG)-SD ECA</v>
      </c>
      <c r="F294" s="396" t="str">
        <f>'14U BOYS GOLD-26 TEAMS'!F76&amp;""</f>
        <v>8</v>
      </c>
      <c r="G294" s="396" t="str">
        <f>'14U BOYS GOLD-26 TEAMS'!G76&amp;""</f>
        <v>N3(3rdH)-PATRIOT RED</v>
      </c>
      <c r="H294" s="396" t="str">
        <f>'14U BOYS GOLD-26 TEAMS'!H76&amp;""</f>
        <v>9</v>
      </c>
      <c r="I294" s="396" t="str">
        <f>'14U BOYS GOLD-26 TEAMS'!I76&amp;""</f>
        <v>N bracket</v>
      </c>
      <c r="J294" s="397" t="str">
        <f>'14U BOYS GOLD-26 TEAMS'!J76&amp;""</f>
        <v>14U_BOYS_GOLD</v>
      </c>
      <c r="K294" s="397" t="str">
        <f t="shared" si="7"/>
        <v>202602011520</v>
      </c>
    </row>
    <row r="295" spans="1:11">
      <c r="A295" s="394">
        <f>'14U BOYS GOLD-26 TEAMS'!A77</f>
        <v>46054</v>
      </c>
      <c r="B295" s="395">
        <f>'14U BOYS GOLD-26 TEAMS'!B77</f>
        <v>0.67361111111111105</v>
      </c>
      <c r="C295" s="396" t="str">
        <f>'14U BOYS GOLD-26 TEAMS'!C77&amp;""</f>
        <v>LAGUNA HILLS HS</v>
      </c>
      <c r="D295" s="396" t="str">
        <f>'14U BOYS GOLD-26 TEAMS'!D77&amp;""</f>
        <v>14Bau50</v>
      </c>
      <c r="E295" s="397" t="str">
        <f>'14U BOYS GOLD-26 TEAMS'!E77&amp;""</f>
        <v>O2(3rdC)-STANFORD 13</v>
      </c>
      <c r="F295" s="397" t="str">
        <f>'14U BOYS GOLD-26 TEAMS'!F77&amp;""</f>
        <v>7</v>
      </c>
      <c r="G295" s="398" t="str">
        <f>'14U BOYS GOLD-26 TEAMS'!G77&amp;""</f>
        <v>O3(3rdD)-AMERICAN RIVER BLUE</v>
      </c>
      <c r="H295" s="397" t="str">
        <f>'14U BOYS GOLD-26 TEAMS'!H77&amp;""</f>
        <v>9</v>
      </c>
      <c r="I295" s="396" t="str">
        <f>'14U BOYS GOLD-26 TEAMS'!I77&amp;""</f>
        <v>O bracket</v>
      </c>
      <c r="J295" s="397" t="str">
        <f>'14U BOYS GOLD-26 TEAMS'!J77&amp;""</f>
        <v>14U_BOYS_GOLD</v>
      </c>
      <c r="K295" s="397" t="str">
        <f t="shared" si="7"/>
        <v>202602011610</v>
      </c>
    </row>
    <row r="296" spans="1:11">
      <c r="A296" s="428">
        <f>'19U BOYS SILVER-6 TEAMS CUST'!A10</f>
        <v>46053</v>
      </c>
      <c r="B296" s="429">
        <f>'19U BOYS SILVER-6 TEAMS CUST'!B10</f>
        <v>0.52083333333333337</v>
      </c>
      <c r="C296" s="429" t="str">
        <f>'19U BOYS SILVER-6 TEAMS CUST'!C10&amp;""</f>
        <v>SADDLEBACK COLLEGE</v>
      </c>
      <c r="D296" s="430" t="str">
        <f>'19U BOYS SILVER-6 TEAMS CUST'!D10&amp;""</f>
        <v>19Bag01</v>
      </c>
      <c r="E296" s="430" t="str">
        <f>'19U BOYS SILVER-6 TEAMS CUST'!E10&amp;""</f>
        <v>A1-SHORE AQUATICS</v>
      </c>
      <c r="F296" s="430" t="str">
        <f>'19U BOYS SILVER-6 TEAMS CUST'!F10&amp;""</f>
        <v>9</v>
      </c>
      <c r="G296" s="430" t="str">
        <f>'19U BOYS SILVER-6 TEAMS CUST'!G10&amp;""</f>
        <v>A3-SD ECA</v>
      </c>
      <c r="H296" s="430" t="str">
        <f>'19U BOYS SILVER-6 TEAMS CUST'!H10&amp;""</f>
        <v>11</v>
      </c>
      <c r="I296" s="430" t="str">
        <f>'19U BOYS SILVER-6 TEAMS CUST'!I10&amp;""</f>
        <v>A bracket A1,A3</v>
      </c>
      <c r="J296" s="430" t="str">
        <f>'19U BOYS SILVER-6 TEAMS CUST'!J10&amp;""</f>
        <v>19U_BOYS_SILVER</v>
      </c>
      <c r="K296" s="430" t="str">
        <f t="shared" si="7"/>
        <v>202601311230</v>
      </c>
    </row>
    <row r="297" spans="1:11">
      <c r="A297" s="428">
        <f>'19U BOYS SILVER-6 TEAMS CUST'!A11</f>
        <v>46053</v>
      </c>
      <c r="B297" s="429">
        <f>'19U BOYS SILVER-6 TEAMS CUST'!B11</f>
        <v>0.5625</v>
      </c>
      <c r="C297" s="429" t="str">
        <f>'19U BOYS SILVER-6 TEAMS CUST'!C11&amp;""</f>
        <v>SADDLEBACK COLLEGE</v>
      </c>
      <c r="D297" s="430" t="str">
        <f>'19U BOYS SILVER-6 TEAMS CUST'!D11&amp;""</f>
        <v>19Bag02</v>
      </c>
      <c r="E297" s="431" t="str">
        <f>'19U BOYS SILVER-6 TEAMS CUST'!E11&amp;""</f>
        <v>B1-CHARGERS WHITE</v>
      </c>
      <c r="F297" s="430" t="str">
        <f>'19U BOYS SILVER-6 TEAMS CUST'!F11&amp;""</f>
        <v>9</v>
      </c>
      <c r="G297" s="430" t="str">
        <f>'19U BOYS SILVER-6 TEAMS CUST'!G11&amp;""</f>
        <v>B3-OHANA</v>
      </c>
      <c r="H297" s="430" t="str">
        <f>'19U BOYS SILVER-6 TEAMS CUST'!H11&amp;""</f>
        <v>6</v>
      </c>
      <c r="I297" s="430" t="str">
        <f>'19U BOYS SILVER-6 TEAMS CUST'!I11&amp;""</f>
        <v>B bracket B1,B3</v>
      </c>
      <c r="J297" s="430" t="str">
        <f>'19U BOYS SILVER-6 TEAMS CUST'!J11&amp;""</f>
        <v>19U_BOYS_SILVER</v>
      </c>
      <c r="K297" s="430" t="str">
        <f t="shared" si="7"/>
        <v>202601311330</v>
      </c>
    </row>
    <row r="298" spans="1:11">
      <c r="A298" s="428">
        <f>'19U BOYS SILVER-6 TEAMS CUST'!A12</f>
        <v>46053</v>
      </c>
      <c r="B298" s="429">
        <f>'19U BOYS SILVER-6 TEAMS CUST'!B12</f>
        <v>0.60416666666666696</v>
      </c>
      <c r="C298" s="429" t="str">
        <f>'19U BOYS SILVER-6 TEAMS CUST'!C12&amp;""</f>
        <v>SADDLEBACK COLLEGE</v>
      </c>
      <c r="D298" s="430" t="str">
        <f>'19U BOYS SILVER-6 TEAMS CUST'!D12&amp;""</f>
        <v>19Bag03</v>
      </c>
      <c r="E298" s="430" t="str">
        <f>'19U BOYS SILVER-6 TEAMS CUST'!E12&amp;""</f>
        <v>A2-OPA</v>
      </c>
      <c r="F298" s="430" t="str">
        <f>'19U BOYS SILVER-6 TEAMS CUST'!F12&amp;""</f>
        <v>6</v>
      </c>
      <c r="G298" s="430" t="str">
        <f>'19U BOYS SILVER-6 TEAMS CUST'!G12&amp;""</f>
        <v>A3-SD ECA</v>
      </c>
      <c r="H298" s="430" t="str">
        <f>'19U BOYS SILVER-6 TEAMS CUST'!H12&amp;""</f>
        <v>14</v>
      </c>
      <c r="I298" s="430" t="str">
        <f>'19U BOYS SILVER-6 TEAMS CUST'!I12&amp;""</f>
        <v>A bracket A2,A3</v>
      </c>
      <c r="J298" s="430" t="str">
        <f>'19U BOYS SILVER-6 TEAMS CUST'!J12&amp;""</f>
        <v>19U_BOYS_SILVER</v>
      </c>
      <c r="K298" s="430" t="str">
        <f t="shared" si="7"/>
        <v>202601311430</v>
      </c>
    </row>
    <row r="299" spans="1:11">
      <c r="A299" s="428">
        <f>'19U BOYS SILVER-6 TEAMS CUST'!A13</f>
        <v>46053</v>
      </c>
      <c r="B299" s="429">
        <f>'19U BOYS SILVER-6 TEAMS CUST'!B13</f>
        <v>0.64583333333333304</v>
      </c>
      <c r="C299" s="429" t="str">
        <f>'19U BOYS SILVER-6 TEAMS CUST'!C13&amp;""</f>
        <v>SADDLEBACK COLLEGE</v>
      </c>
      <c r="D299" s="430" t="str">
        <f>'19U BOYS SILVER-6 TEAMS CUST'!D13&amp;""</f>
        <v>19Bag04</v>
      </c>
      <c r="E299" s="431" t="str">
        <f>'19U BOYS SILVER-6 TEAMS CUST'!E13&amp;""</f>
        <v>B1-CHARGERS WHITE</v>
      </c>
      <c r="F299" s="430" t="str">
        <f>'19U BOYS SILVER-6 TEAMS CUST'!F13&amp;""</f>
        <v>10</v>
      </c>
      <c r="G299" s="430" t="str">
        <f>'19U BOYS SILVER-6 TEAMS CUST'!G13&amp;""</f>
        <v>B2-SAN JOSE EXPRESS GOLD</v>
      </c>
      <c r="H299" s="430" t="str">
        <f>'19U BOYS SILVER-6 TEAMS CUST'!H13&amp;""</f>
        <v>8</v>
      </c>
      <c r="I299" s="430" t="str">
        <f>'19U BOYS SILVER-6 TEAMS CUST'!I13&amp;""</f>
        <v>B bracket B1,B2</v>
      </c>
      <c r="J299" s="430" t="str">
        <f>'19U BOYS SILVER-6 TEAMS CUST'!J13&amp;""</f>
        <v>19U_BOYS_SILVER</v>
      </c>
      <c r="K299" s="430" t="str">
        <f t="shared" si="7"/>
        <v>202601311530</v>
      </c>
    </row>
    <row r="300" spans="1:11">
      <c r="A300" s="428">
        <f>'19U BOYS SILVER-6 TEAMS CUST'!A14</f>
        <v>46053</v>
      </c>
      <c r="B300" s="429">
        <f>'19U BOYS SILVER-6 TEAMS CUST'!B14</f>
        <v>0.6875</v>
      </c>
      <c r="C300" s="429" t="str">
        <f>'19U BOYS SILVER-6 TEAMS CUST'!C14&amp;""</f>
        <v>SADDLEBACK COLLEGE</v>
      </c>
      <c r="D300" s="430" t="str">
        <f>'19U BOYS SILVER-6 TEAMS CUST'!D14&amp;""</f>
        <v>19Bag05</v>
      </c>
      <c r="E300" s="430" t="str">
        <f>'19U BOYS SILVER-6 TEAMS CUST'!E14&amp;""</f>
        <v>A1-SHORE AQUATICS</v>
      </c>
      <c r="F300" s="430" t="str">
        <f>'19U BOYS SILVER-6 TEAMS CUST'!F14&amp;""</f>
        <v>10</v>
      </c>
      <c r="G300" s="430" t="str">
        <f>'19U BOYS SILVER-6 TEAMS CUST'!G14&amp;""</f>
        <v>A2-OPA</v>
      </c>
      <c r="H300" s="430" t="str">
        <f>'19U BOYS SILVER-6 TEAMS CUST'!H14&amp;""</f>
        <v>8</v>
      </c>
      <c r="I300" s="430" t="str">
        <f>'19U BOYS SILVER-6 TEAMS CUST'!I14&amp;""</f>
        <v>A bracket A1,A2</v>
      </c>
      <c r="J300" s="430" t="str">
        <f>'19U BOYS SILVER-6 TEAMS CUST'!J14&amp;""</f>
        <v>19U_BOYS_SILVER</v>
      </c>
      <c r="K300" s="430" t="str">
        <f t="shared" si="7"/>
        <v>202601311630</v>
      </c>
    </row>
    <row r="301" spans="1:11">
      <c r="A301" s="428">
        <f>'19U BOYS SILVER-6 TEAMS CUST'!A15</f>
        <v>46053</v>
      </c>
      <c r="B301" s="429">
        <f>'19U BOYS SILVER-6 TEAMS CUST'!B15</f>
        <v>0.72916666666666696</v>
      </c>
      <c r="C301" s="429" t="str">
        <f>'19U BOYS SILVER-6 TEAMS CUST'!C15&amp;""</f>
        <v>SADDLEBACK COLLEGE</v>
      </c>
      <c r="D301" s="430" t="str">
        <f>'19U BOYS SILVER-6 TEAMS CUST'!D15&amp;""</f>
        <v>19Bag06</v>
      </c>
      <c r="E301" s="430" t="str">
        <f>'19U BOYS SILVER-6 TEAMS CUST'!E15&amp;""</f>
        <v>B2-SAN JOSE EXPRESS GOLD</v>
      </c>
      <c r="F301" s="430" t="str">
        <f>'19U BOYS SILVER-6 TEAMS CUST'!F15&amp;""</f>
        <v>5</v>
      </c>
      <c r="G301" s="430" t="str">
        <f>'19U BOYS SILVER-6 TEAMS CUST'!G15&amp;""</f>
        <v>B3-OHANA</v>
      </c>
      <c r="H301" s="430" t="str">
        <f>'19U BOYS SILVER-6 TEAMS CUST'!H15&amp;""</f>
        <v>15</v>
      </c>
      <c r="I301" s="430" t="str">
        <f>'19U BOYS SILVER-6 TEAMS CUST'!I15&amp;""</f>
        <v>B bracket B2,B3</v>
      </c>
      <c r="J301" s="430" t="str">
        <f>'19U BOYS SILVER-6 TEAMS CUST'!J15&amp;""</f>
        <v>19U_BOYS_SILVER</v>
      </c>
      <c r="K301" s="430" t="str">
        <f t="shared" si="7"/>
        <v>202601311730</v>
      </c>
    </row>
    <row r="302" spans="1:11">
      <c r="A302" s="413">
        <f>'16U BOYS GOLD-19 TEAMS'!A60</f>
        <v>46054</v>
      </c>
      <c r="B302" s="414">
        <f>'16U BOYS GOLD-19 TEAMS'!B60</f>
        <v>0.29166666666666669</v>
      </c>
      <c r="C302" s="414" t="str">
        <f>'16U BOYS GOLD-19 TEAMS'!C60&amp;""</f>
        <v>SADDLEBACK COLLEGE</v>
      </c>
      <c r="D302" s="415" t="str">
        <f>'16U BOYS GOLD-19 TEAMS'!D60&amp;""</f>
        <v>16Bau31</v>
      </c>
      <c r="E302" s="416" t="str">
        <f>'16U BOYS GOLD-19 TEAMS'!E60&amp;""</f>
        <v>J1(2ndD)-POWAY VALLEY BLACK</v>
      </c>
      <c r="F302" s="417" t="str">
        <f>'16U BOYS GOLD-19 TEAMS'!F60&amp;""</f>
        <v>6</v>
      </c>
      <c r="G302" s="416" t="str">
        <f>'16U BOYS GOLD-19 TEAMS'!G60&amp;""</f>
        <v>J3(2ndF)-680 BLUE</v>
      </c>
      <c r="H302" s="417" t="str">
        <f>'16U BOYS GOLD-19 TEAMS'!H60&amp;""</f>
        <v>12</v>
      </c>
      <c r="I302" s="418" t="str">
        <f>'16U BOYS GOLD-19 TEAMS'!I60&amp;""</f>
        <v>J bracket J1,J3</v>
      </c>
      <c r="J302" s="415" t="str">
        <f>'16U BOYS GOLD-19 TEAMS'!J60&amp;""</f>
        <v>16U_BOYS_GOLD</v>
      </c>
      <c r="K302" s="415" t="str">
        <f t="shared" si="7"/>
        <v>202602010700</v>
      </c>
    </row>
    <row r="303" spans="1:11">
      <c r="A303" s="413">
        <f>'16U BOYS GOLD-19 TEAMS'!A61</f>
        <v>46054</v>
      </c>
      <c r="B303" s="414">
        <f>'16U BOYS GOLD-19 TEAMS'!B61</f>
        <v>0.33333333333333298</v>
      </c>
      <c r="C303" s="414" t="str">
        <f>'16U BOYS GOLD-19 TEAMS'!C61&amp;""</f>
        <v>SADDLEBACK COLLEGE</v>
      </c>
      <c r="D303" s="415" t="str">
        <f>'16U BOYS GOLD-19 TEAMS'!D61&amp;""</f>
        <v>16Bau32</v>
      </c>
      <c r="E303" s="414" t="str">
        <f>'16U BOYS GOLD-19 TEAMS'!E61&amp;""</f>
        <v>K1(3rdA)-AMERICAN RIVER GOLD</v>
      </c>
      <c r="F303" s="418" t="str">
        <f>'16U BOYS GOLD-19 TEAMS'!F61&amp;""</f>
        <v>4</v>
      </c>
      <c r="G303" s="414" t="str">
        <f>'16U BOYS GOLD-19 TEAMS'!G61&amp;""</f>
        <v>K3(3rdC)-ST LOUIS AREA POLO</v>
      </c>
      <c r="H303" s="417" t="str">
        <f>'16U BOYS GOLD-19 TEAMS'!H61&amp;""</f>
        <v>10</v>
      </c>
      <c r="I303" s="418" t="str">
        <f>'16U BOYS GOLD-19 TEAMS'!I61&amp;""</f>
        <v>K bracket K1,K3</v>
      </c>
      <c r="J303" s="415" t="str">
        <f>'16U BOYS GOLD-19 TEAMS'!J61&amp;""</f>
        <v>16U_BOYS_GOLD</v>
      </c>
      <c r="K303" s="415" t="str">
        <f t="shared" si="7"/>
        <v>202602010800</v>
      </c>
    </row>
    <row r="304" spans="1:11">
      <c r="A304" s="413">
        <f>'16U BOYS GOLD-19 TEAMS'!A62</f>
        <v>46054</v>
      </c>
      <c r="B304" s="414">
        <f>'16U BOYS GOLD-19 TEAMS'!B62</f>
        <v>0.375</v>
      </c>
      <c r="C304" s="414" t="str">
        <f>'16U BOYS GOLD-19 TEAMS'!C62&amp;""</f>
        <v>SADDLEBACK COLLEGE</v>
      </c>
      <c r="D304" s="415" t="str">
        <f>'16U BOYS GOLD-19 TEAMS'!D62&amp;""</f>
        <v>16Bau33</v>
      </c>
      <c r="E304" s="416" t="str">
        <f>'16U BOYS GOLD-19 TEAMS'!E62&amp;""</f>
        <v>L1(3rdD)-BOA BLUE</v>
      </c>
      <c r="F304" s="417" t="str">
        <f>'16U BOYS GOLD-19 TEAMS'!F62&amp;""</f>
        <v>11</v>
      </c>
      <c r="G304" s="416" t="str">
        <f>'16U BOYS GOLD-19 TEAMS'!G62&amp;""</f>
        <v>L4(4thF)-BIG VALLEY</v>
      </c>
      <c r="H304" s="417" t="str">
        <f>'16U BOYS GOLD-19 TEAMS'!H62&amp;""</f>
        <v>18</v>
      </c>
      <c r="I304" s="418" t="str">
        <f>'16U BOYS GOLD-19 TEAMS'!I62&amp;""</f>
        <v>W/L L1/L4</v>
      </c>
      <c r="J304" s="415" t="str">
        <f>'16U BOYS GOLD-19 TEAMS'!J62&amp;""</f>
        <v>16U_BOYS_GOLD</v>
      </c>
      <c r="K304" s="415" t="str">
        <f t="shared" si="7"/>
        <v>202602010900</v>
      </c>
    </row>
    <row r="305" spans="1:11">
      <c r="A305" s="413">
        <f>'16U BOYS GOLD-19 TEAMS'!A63</f>
        <v>46054</v>
      </c>
      <c r="B305" s="414">
        <f>'16U BOYS GOLD-19 TEAMS'!B63</f>
        <v>0.41666666666666702</v>
      </c>
      <c r="C305" s="414" t="str">
        <f>'16U BOYS GOLD-19 TEAMS'!C63&amp;""</f>
        <v>SADDLEBACK COLLEGE</v>
      </c>
      <c r="D305" s="415" t="str">
        <f>'16U BOYS GOLD-19 TEAMS'!D63&amp;""</f>
        <v>16Bau34</v>
      </c>
      <c r="E305" s="414" t="str">
        <f>'16U BOYS GOLD-19 TEAMS'!E63&amp;""</f>
        <v>L2(3rdE)-ORANGE COUNTY WPC BLUE</v>
      </c>
      <c r="F305" s="418" t="str">
        <f>'16U BOYS GOLD-19 TEAMS'!F63&amp;""</f>
        <v>3</v>
      </c>
      <c r="G305" s="414" t="str">
        <f>'16U BOYS GOLD-19 TEAMS'!G63&amp;""</f>
        <v>L3(3rdF)-VANGUARD SILVER</v>
      </c>
      <c r="H305" s="417" t="str">
        <f>'16U BOYS GOLD-19 TEAMS'!H63&amp;""</f>
        <v>18</v>
      </c>
      <c r="I305" s="418" t="str">
        <f>'16U BOYS GOLD-19 TEAMS'!I63&amp;""</f>
        <v>W/L L2/L3</v>
      </c>
      <c r="J305" s="415" t="str">
        <f>'16U BOYS GOLD-19 TEAMS'!J63&amp;""</f>
        <v>16U_BOYS_GOLD</v>
      </c>
      <c r="K305" s="415" t="str">
        <f t="shared" si="7"/>
        <v>202602011000</v>
      </c>
    </row>
    <row r="306" spans="1:11">
      <c r="A306" s="413">
        <f>'16U BOYS GOLD-19 TEAMS'!A64</f>
        <v>46054</v>
      </c>
      <c r="B306" s="414">
        <f>'16U BOYS GOLD-19 TEAMS'!B64</f>
        <v>0.45833333333333298</v>
      </c>
      <c r="C306" s="414" t="str">
        <f>'16U BOYS GOLD-19 TEAMS'!C64&amp;""</f>
        <v>SADDLEBACK COLLEGE</v>
      </c>
      <c r="D306" s="415" t="str">
        <f>'16U BOYS GOLD-19 TEAMS'!D64&amp;""</f>
        <v>16Bau35</v>
      </c>
      <c r="E306" s="416" t="str">
        <f>'16U BOYS GOLD-19 TEAMS'!E64&amp;""</f>
        <v>J2(2ndE)-STANFORD BLACK</v>
      </c>
      <c r="F306" s="417" t="str">
        <f>'16U BOYS GOLD-19 TEAMS'!F64&amp;""</f>
        <v>10</v>
      </c>
      <c r="G306" s="416" t="str">
        <f>'16U BOYS GOLD-19 TEAMS'!G64&amp;""</f>
        <v>J3(2ndF)-680 BLUE</v>
      </c>
      <c r="H306" s="417" t="str">
        <f>'16U BOYS GOLD-19 TEAMS'!H64&amp;""</f>
        <v>3</v>
      </c>
      <c r="I306" s="418" t="str">
        <f>'16U BOYS GOLD-19 TEAMS'!I64&amp;""</f>
        <v>J bracket J2,J3</v>
      </c>
      <c r="J306" s="415" t="str">
        <f>'16U BOYS GOLD-19 TEAMS'!J64&amp;""</f>
        <v>16U_BOYS_GOLD</v>
      </c>
      <c r="K306" s="415" t="str">
        <f t="shared" ref="K306:K369" si="8">TEXT(DATE(2026, MONTH(A306), DAY(A306)) + TIME(HOUR(B306), MINUTE(B306), 0), "yyyymmddhhmm")</f>
        <v>202602011100</v>
      </c>
    </row>
    <row r="307" spans="1:11">
      <c r="A307" s="413">
        <f>'16U BOYS GOLD-19 TEAMS'!A65</f>
        <v>46054</v>
      </c>
      <c r="B307" s="414">
        <f>'16U BOYS GOLD-19 TEAMS'!B65</f>
        <v>0.5</v>
      </c>
      <c r="C307" s="414" t="str">
        <f>'16U BOYS GOLD-19 TEAMS'!C65&amp;""</f>
        <v>SADDLEBACK COLLEGE</v>
      </c>
      <c r="D307" s="415" t="str">
        <f>'16U BOYS GOLD-19 TEAMS'!D65&amp;""</f>
        <v>16Bau36</v>
      </c>
      <c r="E307" s="414" t="str">
        <f>'16U BOYS GOLD-19 TEAMS'!E65&amp;""</f>
        <v>K2(3rdB)-CMAC</v>
      </c>
      <c r="F307" s="418" t="str">
        <f>'16U BOYS GOLD-19 TEAMS'!F65&amp;""</f>
        <v>6</v>
      </c>
      <c r="G307" s="414" t="str">
        <f>'16U BOYS GOLD-19 TEAMS'!G65&amp;""</f>
        <v>K3(3rdC)-ST LOUIS AREA POLO</v>
      </c>
      <c r="H307" s="417" t="str">
        <f>'16U BOYS GOLD-19 TEAMS'!H65&amp;""</f>
        <v>9</v>
      </c>
      <c r="I307" s="418" t="str">
        <f>'16U BOYS GOLD-19 TEAMS'!I65&amp;""</f>
        <v>K bracket K2,K3</v>
      </c>
      <c r="J307" s="415" t="str">
        <f>'16U BOYS GOLD-19 TEAMS'!J65&amp;""</f>
        <v>16U_BOYS_GOLD</v>
      </c>
      <c r="K307" s="415" t="str">
        <f t="shared" si="8"/>
        <v>202602011200</v>
      </c>
    </row>
    <row r="308" spans="1:11">
      <c r="A308" s="413">
        <f>'16U BOYS GOLD-19 TEAMS'!A66</f>
        <v>46054</v>
      </c>
      <c r="B308" s="414">
        <f>'16U BOYS GOLD-19 TEAMS'!B66</f>
        <v>0.54166666666666696</v>
      </c>
      <c r="C308" s="414" t="str">
        <f>'16U BOYS GOLD-19 TEAMS'!C66&amp;""</f>
        <v>SADDLEBACK COLLEGE</v>
      </c>
      <c r="D308" s="415" t="str">
        <f>'16U BOYS GOLD-19 TEAMS'!D66&amp;""</f>
        <v>16Bau37</v>
      </c>
      <c r="E308" s="416" t="str">
        <f>'16U BOYS GOLD-19 TEAMS'!E66&amp;""</f>
        <v>L#33-BOA BLUE</v>
      </c>
      <c r="F308" s="417" t="str">
        <f>'16U BOYS GOLD-19 TEAMS'!F66&amp;""</f>
        <v>7</v>
      </c>
      <c r="G308" s="416" t="str">
        <f>'16U BOYS GOLD-19 TEAMS'!G66&amp;""</f>
        <v>L#34-ORANGE COUNTY WPC BLUE</v>
      </c>
      <c r="H308" s="417" t="str">
        <f>'16U BOYS GOLD-19 TEAMS'!H66&amp;""</f>
        <v>5</v>
      </c>
      <c r="I308" s="418" t="str">
        <f>'16U BOYS GOLD-19 TEAMS'!I66&amp;""</f>
        <v>3rd/4thL</v>
      </c>
      <c r="J308" s="415" t="str">
        <f>'16U BOYS GOLD-19 TEAMS'!J66&amp;""</f>
        <v>16U_BOYS_GOLD</v>
      </c>
      <c r="K308" s="415" t="str">
        <f t="shared" si="8"/>
        <v>202602011300</v>
      </c>
    </row>
    <row r="309" spans="1:11">
      <c r="A309" s="413">
        <f>'16U BOYS GOLD-19 TEAMS'!A67</f>
        <v>46054</v>
      </c>
      <c r="B309" s="414">
        <f>'16U BOYS GOLD-19 TEAMS'!B67</f>
        <v>0.58333333333333304</v>
      </c>
      <c r="C309" s="414" t="str">
        <f>'16U BOYS GOLD-19 TEAMS'!C67&amp;""</f>
        <v>SADDLEBACK COLLEGE</v>
      </c>
      <c r="D309" s="415" t="str">
        <f>'16U BOYS GOLD-19 TEAMS'!D67&amp;""</f>
        <v>16Bau38</v>
      </c>
      <c r="E309" s="414" t="str">
        <f>'16U BOYS GOLD-19 TEAMS'!E67&amp;""</f>
        <v>W#33-BIG VALLEY</v>
      </c>
      <c r="F309" s="418" t="str">
        <f>'16U BOYS GOLD-19 TEAMS'!F67&amp;""</f>
        <v>6</v>
      </c>
      <c r="G309" s="414" t="str">
        <f>'16U BOYS GOLD-19 TEAMS'!G67&amp;""</f>
        <v>W#34-VANGUARD SILVER</v>
      </c>
      <c r="H309" s="417" t="str">
        <f>'16U BOYS GOLD-19 TEAMS'!H67&amp;""</f>
        <v>14</v>
      </c>
      <c r="I309" s="418" t="str">
        <f>'16U BOYS GOLD-19 TEAMS'!I67&amp;""</f>
        <v>1st/2ndL</v>
      </c>
      <c r="J309" s="415" t="str">
        <f>'16U BOYS GOLD-19 TEAMS'!J67&amp;""</f>
        <v>16U_BOYS_GOLD</v>
      </c>
      <c r="K309" s="415" t="str">
        <f t="shared" si="8"/>
        <v>202602011400</v>
      </c>
    </row>
    <row r="310" spans="1:11">
      <c r="A310" s="413">
        <f>'16U BOYS GOLD-19 TEAMS'!A68</f>
        <v>46054</v>
      </c>
      <c r="B310" s="414">
        <f>'16U BOYS GOLD-19 TEAMS'!B68</f>
        <v>0.625</v>
      </c>
      <c r="C310" s="414" t="str">
        <f>'16U BOYS GOLD-19 TEAMS'!C68&amp;""</f>
        <v>SADDLEBACK COLLEGE</v>
      </c>
      <c r="D310" s="415" t="str">
        <f>'16U BOYS GOLD-19 TEAMS'!D68&amp;""</f>
        <v>16Bau39</v>
      </c>
      <c r="E310" s="416" t="str">
        <f>'16U BOYS GOLD-19 TEAMS'!E68&amp;""</f>
        <v>J1(2ndD)-POWAY VALLEY BLACK</v>
      </c>
      <c r="F310" s="417" t="str">
        <f>'16U BOYS GOLD-19 TEAMS'!F68&amp;""</f>
        <v>6</v>
      </c>
      <c r="G310" s="416" t="str">
        <f>'16U BOYS GOLD-19 TEAMS'!G68&amp;""</f>
        <v>J2(2ndE)-STANFORD BLACK</v>
      </c>
      <c r="H310" s="417" t="str">
        <f>'16U BOYS GOLD-19 TEAMS'!H68&amp;""</f>
        <v>12</v>
      </c>
      <c r="I310" s="418" t="str">
        <f>'16U BOYS GOLD-19 TEAMS'!I68&amp;""</f>
        <v>J bracket J1,J2</v>
      </c>
      <c r="J310" s="415" t="str">
        <f>'16U BOYS GOLD-19 TEAMS'!J68&amp;""</f>
        <v>16U_BOYS_GOLD</v>
      </c>
      <c r="K310" s="415" t="str">
        <f t="shared" si="8"/>
        <v>202602011500</v>
      </c>
    </row>
    <row r="311" spans="1:11">
      <c r="A311" s="413">
        <f>'16U BOYS GOLD-19 TEAMS'!A69</f>
        <v>46054</v>
      </c>
      <c r="B311" s="414">
        <f>'16U BOYS GOLD-19 TEAMS'!B69</f>
        <v>0.66666666666666696</v>
      </c>
      <c r="C311" s="414" t="str">
        <f>'16U BOYS GOLD-19 TEAMS'!C69&amp;""</f>
        <v>SADDLEBACK COLLEGE</v>
      </c>
      <c r="D311" s="420" t="str">
        <f>'16U BOYS GOLD-19 TEAMS'!D69&amp;""</f>
        <v>16Bau40</v>
      </c>
      <c r="E311" s="414" t="str">
        <f>'16U BOYS GOLD-19 TEAMS'!E69&amp;""</f>
        <v>K1(3rdA)-AMERICAN RIVER GOLD</v>
      </c>
      <c r="F311" s="418" t="str">
        <f>'16U BOYS GOLD-19 TEAMS'!F69&amp;""</f>
        <v>10</v>
      </c>
      <c r="G311" s="414" t="str">
        <f>'16U BOYS GOLD-19 TEAMS'!G69&amp;""</f>
        <v>K2(3rdB)-CMAC</v>
      </c>
      <c r="H311" s="417" t="str">
        <f>'16U BOYS GOLD-19 TEAMS'!H69&amp;""</f>
        <v>8</v>
      </c>
      <c r="I311" s="418" t="str">
        <f>'16U BOYS GOLD-19 TEAMS'!I69&amp;""</f>
        <v>K bracket K1,K2</v>
      </c>
      <c r="J311" s="415" t="str">
        <f>'16U BOYS GOLD-19 TEAMS'!J69&amp;""</f>
        <v>16U_BOYS_GOLD</v>
      </c>
      <c r="K311" s="415" t="str">
        <f t="shared" si="8"/>
        <v>202602011600</v>
      </c>
    </row>
    <row r="312" spans="1:11">
      <c r="A312" s="378">
        <f>'14U GIRLS GOLD-14 TEAMS'!A10</f>
        <v>46053</v>
      </c>
      <c r="B312" s="379">
        <f>'14U GIRLS GOLD-14 TEAMS'!B10</f>
        <v>0.29166666666666669</v>
      </c>
      <c r="C312" s="379" t="str">
        <f>'14U GIRLS GOLD-14 TEAMS'!C10&amp;""</f>
        <v>SAN CLEMENTE HS</v>
      </c>
      <c r="D312" s="380" t="str">
        <f>'14U GIRLS GOLD-14 TEAMS'!D10&amp;""</f>
        <v>14Gau12</v>
      </c>
      <c r="E312" s="380" t="str">
        <f>'14U GIRLS GOLD-14 TEAMS'!E10&amp;""</f>
        <v>A1-LA JOLLA UNITED</v>
      </c>
      <c r="F312" s="380" t="str">
        <f>'14U GIRLS GOLD-14 TEAMS'!F10&amp;""</f>
        <v>18</v>
      </c>
      <c r="G312" s="380" t="str">
        <f>'14U GIRLS GOLD-14 TEAMS'!G10&amp;""</f>
        <v>A2-SANTA CRUZ BLUE</v>
      </c>
      <c r="H312" s="380" t="str">
        <f>'14U GIRLS GOLD-14 TEAMS'!H10&amp;""</f>
        <v>4</v>
      </c>
      <c r="I312" s="380" t="str">
        <f>'14U GIRLS GOLD-14 TEAMS'!I10&amp;""</f>
        <v>A bracket A1,A2</v>
      </c>
      <c r="J312" s="380" t="str">
        <f>'14U GIRLS GOLD-14 TEAMS'!J10&amp;""</f>
        <v>14U_GIRLS_GOLD</v>
      </c>
      <c r="K312" s="380" t="str">
        <f t="shared" si="8"/>
        <v>202601310700</v>
      </c>
    </row>
    <row r="313" spans="1:11">
      <c r="A313" s="387">
        <f>'14U BOYS SILVER-18 TEAMS'!A20</f>
        <v>46053</v>
      </c>
      <c r="B313" s="388">
        <f>'14U BOYS SILVER-18 TEAMS'!B20</f>
        <v>0.3263888888888889</v>
      </c>
      <c r="C313" s="388" t="str">
        <f>'14U BOYS SILVER-18 TEAMS'!C20&amp;""</f>
        <v>SAN CLEMENTE HS</v>
      </c>
      <c r="D313" s="389" t="str">
        <f>'14U BOYS SILVER-18 TEAMS'!D20&amp;""</f>
        <v>14Bag01</v>
      </c>
      <c r="E313" s="390" t="str">
        <f>'14U BOYS SILVER-18 TEAMS'!E20&amp;""</f>
        <v>A1-POWAY VALLEY BLACK</v>
      </c>
      <c r="F313" s="391" t="str">
        <f>'14U BOYS SILVER-18 TEAMS'!F20&amp;""</f>
        <v>11</v>
      </c>
      <c r="G313" s="390" t="str">
        <f>'14U BOYS SILVER-18 TEAMS'!G20&amp;""</f>
        <v>A3-SAN CLEMENTE BLACK</v>
      </c>
      <c r="H313" s="391" t="str">
        <f>'14U BOYS SILVER-18 TEAMS'!H20&amp;""</f>
        <v>8</v>
      </c>
      <c r="I313" s="392" t="str">
        <f>'14U BOYS SILVER-18 TEAMS'!I20&amp;""</f>
        <v>A bracket A1,A3</v>
      </c>
      <c r="J313" s="389" t="str">
        <f>'14U BOYS SILVER-18 TEAMS'!J20&amp;""</f>
        <v>14U_BOYS_SILVER</v>
      </c>
      <c r="K313" s="389" t="str">
        <f t="shared" si="8"/>
        <v>202601310750</v>
      </c>
    </row>
    <row r="314" spans="1:11">
      <c r="A314" s="387">
        <f>'14U BOYS SILVER-18 TEAMS'!A21</f>
        <v>46053</v>
      </c>
      <c r="B314" s="388">
        <f>'14U BOYS SILVER-18 TEAMS'!B21</f>
        <v>0.36111111111111099</v>
      </c>
      <c r="C314" s="388" t="str">
        <f>'14U BOYS SILVER-18 TEAMS'!C21&amp;""</f>
        <v>SAN CLEMENTE HS</v>
      </c>
      <c r="D314" s="389" t="str">
        <f>'14U BOYS SILVER-18 TEAMS'!D21&amp;""</f>
        <v>14Bag03</v>
      </c>
      <c r="E314" s="390" t="str">
        <f>'14U BOYS SILVER-18 TEAMS'!E21&amp;""</f>
        <v>B1-SAN FRANCISCO</v>
      </c>
      <c r="F314" s="391" t="str">
        <f>'14U BOYS SILVER-18 TEAMS'!F21&amp;""</f>
        <v>14</v>
      </c>
      <c r="G314" s="390" t="str">
        <f>'14U BOYS SILVER-18 TEAMS'!G21&amp;""</f>
        <v>B3-SOUTH COAST BLUE (C)</v>
      </c>
      <c r="H314" s="391" t="str">
        <f>'14U BOYS SILVER-18 TEAMS'!H21&amp;""</f>
        <v>3</v>
      </c>
      <c r="I314" s="392" t="str">
        <f>'14U BOYS SILVER-18 TEAMS'!I21&amp;""</f>
        <v>B bracket B1,B3</v>
      </c>
      <c r="J314" s="389" t="str">
        <f>'14U BOYS SILVER-18 TEAMS'!J21&amp;""</f>
        <v>14U_BOYS_SILVER</v>
      </c>
      <c r="K314" s="389" t="str">
        <f t="shared" si="8"/>
        <v>202601310840</v>
      </c>
    </row>
    <row r="315" spans="1:11">
      <c r="A315" s="387">
        <f>'14U BOYS SILVER-18 TEAMS'!A22</f>
        <v>46053</v>
      </c>
      <c r="B315" s="388">
        <f>'14U BOYS SILVER-18 TEAMS'!B22</f>
        <v>0.39583333333333398</v>
      </c>
      <c r="C315" s="388" t="str">
        <f>'14U BOYS SILVER-18 TEAMS'!C22&amp;""</f>
        <v>SAN CLEMENTE HS</v>
      </c>
      <c r="D315" s="389" t="str">
        <f>'14U BOYS SILVER-18 TEAMS'!D22&amp;""</f>
        <v>14Bag05</v>
      </c>
      <c r="E315" s="388" t="str">
        <f>'14U BOYS SILVER-18 TEAMS'!E22&amp;""</f>
        <v>C1-PASADENA AC</v>
      </c>
      <c r="F315" s="392" t="str">
        <f>'14U BOYS SILVER-18 TEAMS'!F22&amp;""</f>
        <v>8</v>
      </c>
      <c r="G315" s="388" t="str">
        <f>'14U BOYS SILVER-18 TEAMS'!G22&amp;""</f>
        <v>C3-ORANGE COUNTY WPC RED</v>
      </c>
      <c r="H315" s="391" t="str">
        <f>'14U BOYS SILVER-18 TEAMS'!H22&amp;""</f>
        <v>5</v>
      </c>
      <c r="I315" s="392" t="str">
        <f>'14U BOYS SILVER-18 TEAMS'!I22&amp;""</f>
        <v>C bracket C1,C3</v>
      </c>
      <c r="J315" s="389" t="str">
        <f>'14U BOYS SILVER-18 TEAMS'!J22&amp;""</f>
        <v>14U_BOYS_SILVER</v>
      </c>
      <c r="K315" s="389" t="str">
        <f t="shared" si="8"/>
        <v>202601310930</v>
      </c>
    </row>
    <row r="316" spans="1:11">
      <c r="A316" s="378">
        <f>'14U GIRLS GOLD-14 TEAMS'!A16</f>
        <v>46053</v>
      </c>
      <c r="B316" s="379">
        <f>'14U GIRLS GOLD-14 TEAMS'!B16</f>
        <v>0.43055555555555602</v>
      </c>
      <c r="C316" s="379" t="str">
        <f>'14U GIRLS GOLD-14 TEAMS'!C16&amp;""</f>
        <v>SAN CLEMENTE HS</v>
      </c>
      <c r="D316" s="380" t="str">
        <f>'14U GIRLS GOLD-14 TEAMS'!D16&amp;""</f>
        <v>14Gau10</v>
      </c>
      <c r="E316" s="380" t="str">
        <f>'14U GIRLS GOLD-14 TEAMS'!E16&amp;""</f>
        <v>A2-SANTA CRUZ BLUE</v>
      </c>
      <c r="F316" s="380" t="str">
        <f>'14U GIRLS GOLD-14 TEAMS'!F16&amp;""</f>
        <v>2</v>
      </c>
      <c r="G316" s="380" t="str">
        <f>'14U GIRLS GOLD-14 TEAMS'!G16&amp;""</f>
        <v>A3-PASADENA AC</v>
      </c>
      <c r="H316" s="380" t="str">
        <f>'14U GIRLS GOLD-14 TEAMS'!H16&amp;""</f>
        <v>16</v>
      </c>
      <c r="I316" s="380" t="str">
        <f>'14U GIRLS GOLD-14 TEAMS'!I16&amp;""</f>
        <v>A bracket A2,A3</v>
      </c>
      <c r="J316" s="380" t="str">
        <f>'14U GIRLS GOLD-14 TEAMS'!J16&amp;""</f>
        <v>14U_GIRLS_GOLD</v>
      </c>
      <c r="K316" s="380" t="str">
        <f t="shared" si="8"/>
        <v>202601311020</v>
      </c>
    </row>
    <row r="317" spans="1:11">
      <c r="A317" s="387">
        <f>'14U BOYS SILVER-18 TEAMS'!A24</f>
        <v>46053</v>
      </c>
      <c r="B317" s="393">
        <f>'14U BOYS SILVER-18 TEAMS'!B24</f>
        <v>0.46527777777777801</v>
      </c>
      <c r="C317" s="388" t="str">
        <f>'14U BOYS SILVER-18 TEAMS'!C24&amp;""</f>
        <v>SAN CLEMENTE HS</v>
      </c>
      <c r="D317" s="389" t="str">
        <f>'14U BOYS SILVER-18 TEAMS'!D24&amp;""</f>
        <v>14Bag07</v>
      </c>
      <c r="E317" s="390" t="str">
        <f>'14U BOYS SILVER-18 TEAMS'!E24&amp;""</f>
        <v>A2-LOYOLA WPC</v>
      </c>
      <c r="F317" s="391" t="str">
        <f>'14U BOYS SILVER-18 TEAMS'!F24&amp;""</f>
        <v>11</v>
      </c>
      <c r="G317" s="390" t="str">
        <f>'14U BOYS SILVER-18 TEAMS'!G24&amp;""</f>
        <v>A3-SAN CLEMENTE BLACK</v>
      </c>
      <c r="H317" s="391" t="str">
        <f>'14U BOYS SILVER-18 TEAMS'!H24&amp;""</f>
        <v>4</v>
      </c>
      <c r="I317" s="392" t="str">
        <f>'14U BOYS SILVER-18 TEAMS'!I24&amp;""</f>
        <v>A bracket A2,A3</v>
      </c>
      <c r="J317" s="389" t="str">
        <f>'14U BOYS SILVER-18 TEAMS'!J24&amp;""</f>
        <v>14U_BOYS_SILVER</v>
      </c>
      <c r="K317" s="389" t="str">
        <f t="shared" si="8"/>
        <v>202601311110</v>
      </c>
    </row>
    <row r="318" spans="1:11">
      <c r="A318" s="387">
        <f>'14U BOYS SILVER-18 TEAMS'!A25</f>
        <v>46053</v>
      </c>
      <c r="B318" s="393">
        <f>'14U BOYS SILVER-18 TEAMS'!B25</f>
        <v>0.5</v>
      </c>
      <c r="C318" s="388" t="str">
        <f>'14U BOYS SILVER-18 TEAMS'!C25&amp;""</f>
        <v>SAN CLEMENTE HS</v>
      </c>
      <c r="D318" s="389" t="str">
        <f>'14U BOYS SILVER-18 TEAMS'!D25&amp;""</f>
        <v>14Bag09</v>
      </c>
      <c r="E318" s="390" t="str">
        <f>'14U BOYS SILVER-18 TEAMS'!E25&amp;""</f>
        <v>B2-TROJAN GOLD</v>
      </c>
      <c r="F318" s="391" t="str">
        <f>'14U BOYS SILVER-18 TEAMS'!F25&amp;""</f>
        <v>5</v>
      </c>
      <c r="G318" s="390" t="str">
        <f>'14U BOYS SILVER-18 TEAMS'!G25&amp;""</f>
        <v>B3-SOUTH COAST BLUE (C)</v>
      </c>
      <c r="H318" s="391" t="str">
        <f>'14U BOYS SILVER-18 TEAMS'!H25&amp;""</f>
        <v>7</v>
      </c>
      <c r="I318" s="392" t="str">
        <f>'14U BOYS SILVER-18 TEAMS'!I25&amp;""</f>
        <v>B bracket B2,B3</v>
      </c>
      <c r="J318" s="389" t="str">
        <f>'14U BOYS SILVER-18 TEAMS'!J25&amp;""</f>
        <v>14U_BOYS_SILVER</v>
      </c>
      <c r="K318" s="389" t="str">
        <f t="shared" si="8"/>
        <v>202601311200</v>
      </c>
    </row>
    <row r="319" spans="1:11">
      <c r="A319" s="387">
        <f>'14U BOYS SILVER-18 TEAMS'!A26</f>
        <v>46053</v>
      </c>
      <c r="B319" s="393">
        <f>'14U BOYS SILVER-18 TEAMS'!B26</f>
        <v>0.53472222222222199</v>
      </c>
      <c r="C319" s="388" t="str">
        <f>'14U BOYS SILVER-18 TEAMS'!C26&amp;""</f>
        <v>SAN CLEMENTE HS</v>
      </c>
      <c r="D319" s="389" t="str">
        <f>'14U BOYS SILVER-18 TEAMS'!D26&amp;""</f>
        <v>14Bag11</v>
      </c>
      <c r="E319" s="388" t="str">
        <f>'14U BOYS SILVER-18 TEAMS'!E26&amp;""</f>
        <v>C2-TRITON GOLD</v>
      </c>
      <c r="F319" s="392" t="str">
        <f>'14U BOYS SILVER-18 TEAMS'!F26&amp;""</f>
        <v>1</v>
      </c>
      <c r="G319" s="388" t="str">
        <f>'14U BOYS SILVER-18 TEAMS'!G26&amp;""</f>
        <v>C3-ORANGE COUNTY WPC RED</v>
      </c>
      <c r="H319" s="391" t="str">
        <f>'14U BOYS SILVER-18 TEAMS'!H26&amp;""</f>
        <v>9</v>
      </c>
      <c r="I319" s="392" t="str">
        <f>'14U BOYS SILVER-18 TEAMS'!I26&amp;""</f>
        <v>C bracket C2,C3</v>
      </c>
      <c r="J319" s="389" t="str">
        <f>'14U BOYS SILVER-18 TEAMS'!J26&amp;""</f>
        <v>14U_BOYS_SILVER</v>
      </c>
      <c r="K319" s="389" t="str">
        <f t="shared" si="8"/>
        <v>202601311250</v>
      </c>
    </row>
    <row r="320" spans="1:11">
      <c r="A320" s="378">
        <f>'14U GIRLS GOLD-14 TEAMS'!A20</f>
        <v>46053</v>
      </c>
      <c r="B320" s="379">
        <f>'14U GIRLS GOLD-14 TEAMS'!B20</f>
        <v>0.56944444444444497</v>
      </c>
      <c r="C320" s="379" t="str">
        <f>'14U GIRLS GOLD-14 TEAMS'!C20&amp;""</f>
        <v>SAN CLEMENTE HS</v>
      </c>
      <c r="D320" s="380" t="str">
        <f>'14U GIRLS GOLD-14 TEAMS'!D20&amp;""</f>
        <v>14Gau14</v>
      </c>
      <c r="E320" s="380" t="str">
        <f>'14U GIRLS GOLD-14 TEAMS'!E20&amp;""</f>
        <v>A1-LA JOLLA UNITED</v>
      </c>
      <c r="F320" s="380" t="str">
        <f>'14U GIRLS GOLD-14 TEAMS'!F20&amp;""</f>
        <v>11</v>
      </c>
      <c r="G320" s="380" t="str">
        <f>'14U GIRLS GOLD-14 TEAMS'!G20&amp;""</f>
        <v>A3-PASADENA AC</v>
      </c>
      <c r="H320" s="380" t="str">
        <f>'14U GIRLS GOLD-14 TEAMS'!H20&amp;""</f>
        <v>14</v>
      </c>
      <c r="I320" s="380" t="str">
        <f>'14U GIRLS GOLD-14 TEAMS'!I20&amp;""</f>
        <v>A bracket A1,A3</v>
      </c>
      <c r="J320" s="380" t="str">
        <f>'14U GIRLS GOLD-14 TEAMS'!J20&amp;""</f>
        <v>14U_GIRLS_GOLD</v>
      </c>
      <c r="K320" s="380" t="str">
        <f t="shared" si="8"/>
        <v>202601311340</v>
      </c>
    </row>
    <row r="321" spans="1:11">
      <c r="A321" s="387">
        <f>'14U BOYS SILVER-18 TEAMS'!A28</f>
        <v>46053</v>
      </c>
      <c r="B321" s="388">
        <f>'14U BOYS SILVER-18 TEAMS'!B28</f>
        <v>0.60416666666666696</v>
      </c>
      <c r="C321" s="388" t="str">
        <f>'14U BOYS SILVER-18 TEAMS'!C28&amp;""</f>
        <v>SAN CLEMENTE HS</v>
      </c>
      <c r="D321" s="389" t="str">
        <f>'14U BOYS SILVER-18 TEAMS'!D28&amp;""</f>
        <v>14Bag13</v>
      </c>
      <c r="E321" s="390" t="str">
        <f>'14U BOYS SILVER-18 TEAMS'!E28&amp;""</f>
        <v>A1-POWAY VALLEY BLACK</v>
      </c>
      <c r="F321" s="391" t="str">
        <f>'14U BOYS SILVER-18 TEAMS'!F28&amp;""</f>
        <v>14</v>
      </c>
      <c r="G321" s="390" t="str">
        <f>'14U BOYS SILVER-18 TEAMS'!G28&amp;""</f>
        <v>A2-LOYOLA WPC</v>
      </c>
      <c r="H321" s="391" t="str">
        <f>'14U BOYS SILVER-18 TEAMS'!H28&amp;""</f>
        <v>4</v>
      </c>
      <c r="I321" s="392" t="str">
        <f>'14U BOYS SILVER-18 TEAMS'!I28&amp;""</f>
        <v>A bracket A1,A2</v>
      </c>
      <c r="J321" s="389" t="str">
        <f>'14U BOYS SILVER-18 TEAMS'!J28&amp;""</f>
        <v>14U_BOYS_SILVER</v>
      </c>
      <c r="K321" s="389" t="str">
        <f t="shared" si="8"/>
        <v>202601311430</v>
      </c>
    </row>
    <row r="322" spans="1:11">
      <c r="A322" s="387">
        <f>'14U BOYS SILVER-18 TEAMS'!A29</f>
        <v>46053</v>
      </c>
      <c r="B322" s="388">
        <f>'14U BOYS SILVER-18 TEAMS'!B29</f>
        <v>0.63888888888888895</v>
      </c>
      <c r="C322" s="388" t="str">
        <f>'14U BOYS SILVER-18 TEAMS'!C29&amp;""</f>
        <v>SAN CLEMENTE HS</v>
      </c>
      <c r="D322" s="389" t="str">
        <f>'14U BOYS SILVER-18 TEAMS'!D29&amp;""</f>
        <v>14Bag15</v>
      </c>
      <c r="E322" s="388" t="str">
        <f>'14U BOYS SILVER-18 TEAMS'!E29&amp;""</f>
        <v>B1-SAN FRANCISCO</v>
      </c>
      <c r="F322" s="392" t="str">
        <f>'14U BOYS SILVER-18 TEAMS'!F29&amp;""</f>
        <v>18</v>
      </c>
      <c r="G322" s="388" t="str">
        <f>'14U BOYS SILVER-18 TEAMS'!G29&amp;""</f>
        <v>B2-TROJAN GOLD</v>
      </c>
      <c r="H322" s="391" t="str">
        <f>'14U BOYS SILVER-18 TEAMS'!H29&amp;""</f>
        <v>5</v>
      </c>
      <c r="I322" s="392" t="str">
        <f>'14U BOYS SILVER-18 TEAMS'!I29&amp;""</f>
        <v>B bracket B1,B2</v>
      </c>
      <c r="J322" s="389" t="str">
        <f>'14U BOYS SILVER-18 TEAMS'!J29&amp;""</f>
        <v>14U_BOYS_SILVER</v>
      </c>
      <c r="K322" s="389" t="str">
        <f t="shared" si="8"/>
        <v>202601311520</v>
      </c>
    </row>
    <row r="323" spans="1:11">
      <c r="A323" s="387">
        <f>'14U BOYS SILVER-18 TEAMS'!A30</f>
        <v>46053</v>
      </c>
      <c r="B323" s="388">
        <f>'14U BOYS SILVER-18 TEAMS'!B30</f>
        <v>0.67361111111111105</v>
      </c>
      <c r="C323" s="388" t="str">
        <f>'14U BOYS SILVER-18 TEAMS'!C30&amp;""</f>
        <v>SAN CLEMENTE HS</v>
      </c>
      <c r="D323" s="389" t="str">
        <f>'14U BOYS SILVER-18 TEAMS'!D30&amp;""</f>
        <v>14Bag17</v>
      </c>
      <c r="E323" s="390" t="str">
        <f>'14U BOYS SILVER-18 TEAMS'!E30&amp;""</f>
        <v>C1-PASADENA AC</v>
      </c>
      <c r="F323" s="391" t="str">
        <f>'14U BOYS SILVER-18 TEAMS'!F30&amp;""</f>
        <v>16</v>
      </c>
      <c r="G323" s="390" t="str">
        <f>'14U BOYS SILVER-18 TEAMS'!G30&amp;""</f>
        <v>C2-TRITON GOLD</v>
      </c>
      <c r="H323" s="391" t="str">
        <f>'14U BOYS SILVER-18 TEAMS'!H30&amp;""</f>
        <v>3</v>
      </c>
      <c r="I323" s="392" t="str">
        <f>'14U BOYS SILVER-18 TEAMS'!I30&amp;""</f>
        <v>C bracket C1,C2</v>
      </c>
      <c r="J323" s="389" t="str">
        <f>'14U BOYS SILVER-18 TEAMS'!J30&amp;""</f>
        <v>14U_BOYS_SILVER</v>
      </c>
      <c r="K323" s="389" t="str">
        <f t="shared" si="8"/>
        <v>202601311610</v>
      </c>
    </row>
    <row r="324" spans="1:11">
      <c r="A324" s="378">
        <f>'14U GIRLS GOLD-14 TEAMS'!A27</f>
        <v>46054</v>
      </c>
      <c r="B324" s="379">
        <f>'14U GIRLS GOLD-14 TEAMS'!B27</f>
        <v>0.29166666666666669</v>
      </c>
      <c r="C324" s="379" t="str">
        <f>'14U GIRLS GOLD-14 TEAMS'!C27&amp;""</f>
        <v>SAN CLEMENTE HS</v>
      </c>
      <c r="D324" s="380" t="str">
        <f>'14U GIRLS GOLD-14 TEAMS'!D27&amp;""</f>
        <v>14Gau24</v>
      </c>
      <c r="E324" s="380" t="str">
        <f>'14U GIRLS GOLD-14 TEAMS'!E27&amp;""</f>
        <v>2ndB-BACK BAY</v>
      </c>
      <c r="F324" s="380" t="str">
        <f>'14U GIRLS GOLD-14 TEAMS'!F27&amp;""</f>
        <v>3</v>
      </c>
      <c r="G324" s="380" t="str">
        <f>'14U GIRLS GOLD-14 TEAMS'!G27&amp;""</f>
        <v>2ndC-SHAQ</v>
      </c>
      <c r="H324" s="380" t="str">
        <f>'14U GIRLS GOLD-14 TEAMS'!H27&amp;""</f>
        <v>11</v>
      </c>
      <c r="I324" s="380" t="str">
        <f>'14U GIRLS GOLD-14 TEAMS'!I27&amp;""</f>
        <v>5-8 semi</v>
      </c>
      <c r="J324" s="380" t="str">
        <f>'14U GIRLS GOLD-14 TEAMS'!J27&amp;""</f>
        <v>14U_GIRLS_GOLD</v>
      </c>
      <c r="K324" s="380" t="str">
        <f t="shared" si="8"/>
        <v>202602010700</v>
      </c>
    </row>
    <row r="325" spans="1:11">
      <c r="A325" s="378">
        <f>'14U GIRLS GOLD-14 TEAMS'!A29</f>
        <v>46054</v>
      </c>
      <c r="B325" s="379">
        <f>'14U GIRLS GOLD-14 TEAMS'!B29</f>
        <v>0.3263888888888889</v>
      </c>
      <c r="C325" s="379" t="str">
        <f>'14U GIRLS GOLD-14 TEAMS'!C29&amp;""</f>
        <v>SAN CLEMENTE HS</v>
      </c>
      <c r="D325" s="380" t="str">
        <f>'14U GIRLS GOLD-14 TEAMS'!D29&amp;""</f>
        <v>14Gau23</v>
      </c>
      <c r="E325" s="380" t="str">
        <f>'14U GIRLS GOLD-14 TEAMS'!E29&amp;""</f>
        <v>2ndA-LA JOLLA UNITED</v>
      </c>
      <c r="F325" s="380" t="str">
        <f>'14U GIRLS GOLD-14 TEAMS'!F29&amp;""</f>
        <v>13</v>
      </c>
      <c r="G325" s="380" t="str">
        <f>'14U GIRLS GOLD-14 TEAMS'!G29&amp;""</f>
        <v>2ndD-SD ECA</v>
      </c>
      <c r="H325" s="380" t="str">
        <f>'14U GIRLS GOLD-14 TEAMS'!H29&amp;""</f>
        <v>6</v>
      </c>
      <c r="I325" s="380" t="str">
        <f>'14U GIRLS GOLD-14 TEAMS'!I29&amp;""</f>
        <v>5-8 semi</v>
      </c>
      <c r="J325" s="380" t="str">
        <f>'14U GIRLS GOLD-14 TEAMS'!J29&amp;""</f>
        <v>14U_GIRLS_GOLD</v>
      </c>
      <c r="K325" s="380" t="str">
        <f t="shared" si="8"/>
        <v>202602010750</v>
      </c>
    </row>
    <row r="326" spans="1:11">
      <c r="A326" s="378">
        <f>'14U GIRLS GOLD-14 TEAMS'!A31</f>
        <v>46054</v>
      </c>
      <c r="B326" s="379">
        <f>'14U GIRLS GOLD-14 TEAMS'!B31</f>
        <v>0.36111111111111099</v>
      </c>
      <c r="C326" s="379" t="str">
        <f>'14U GIRLS GOLD-14 TEAMS'!C31&amp;""</f>
        <v>SAN CLEMENTE HS</v>
      </c>
      <c r="D326" s="380" t="str">
        <f>'14U GIRLS GOLD-14 TEAMS'!D31&amp;""</f>
        <v>14Gau15</v>
      </c>
      <c r="E326" s="380" t="str">
        <f>'14U GIRLS GOLD-14 TEAMS'!E31&amp;""</f>
        <v>1stA-PASADENA AC</v>
      </c>
      <c r="F326" s="380" t="str">
        <f>'14U GIRLS GOLD-14 TEAMS'!F31&amp;""</f>
        <v>12</v>
      </c>
      <c r="G326" s="381" t="str">
        <f>'14U GIRLS GOLD-14 TEAMS'!G31&amp;""</f>
        <v>1stD-NORTH IRVINE</v>
      </c>
      <c r="H326" s="380" t="str">
        <f>'14U GIRLS GOLD-14 TEAMS'!H31&amp;""</f>
        <v>6</v>
      </c>
      <c r="I326" s="380" t="str">
        <f>'14U GIRLS GOLD-14 TEAMS'!I31&amp;""</f>
        <v>1-4 semi</v>
      </c>
      <c r="J326" s="380" t="str">
        <f>'14U GIRLS GOLD-14 TEAMS'!J31&amp;""</f>
        <v>14U_GIRLS_GOLD</v>
      </c>
      <c r="K326" s="380" t="str">
        <f t="shared" si="8"/>
        <v>202602010840</v>
      </c>
    </row>
    <row r="327" spans="1:11">
      <c r="A327" s="378">
        <f>'14U GIRLS GOLD-14 TEAMS'!A32</f>
        <v>46054</v>
      </c>
      <c r="B327" s="379">
        <f>'14U GIRLS GOLD-14 TEAMS'!B32</f>
        <v>0.39583333333333398</v>
      </c>
      <c r="C327" s="379" t="str">
        <f>'14U GIRLS GOLD-14 TEAMS'!C32&amp;""</f>
        <v>SAN CLEMENTE HS</v>
      </c>
      <c r="D327" s="380" t="str">
        <f>'14U GIRLS GOLD-14 TEAMS'!D32&amp;""</f>
        <v>14Gau17</v>
      </c>
      <c r="E327" s="380" t="str">
        <f>'14U GIRLS GOLD-14 TEAMS'!E32&amp;""</f>
        <v>1stB-ROGUE 619</v>
      </c>
      <c r="F327" s="380" t="str">
        <f>'14U GIRLS GOLD-14 TEAMS'!F32&amp;""</f>
        <v>8</v>
      </c>
      <c r="G327" s="380" t="str">
        <f>'14U GIRLS GOLD-14 TEAMS'!G32&amp;""</f>
        <v>1stC-GOLD COAST</v>
      </c>
      <c r="H327" s="380" t="str">
        <f>'14U GIRLS GOLD-14 TEAMS'!H32&amp;""</f>
        <v>9</v>
      </c>
      <c r="I327" s="380" t="str">
        <f>'14U GIRLS GOLD-14 TEAMS'!I32&amp;""</f>
        <v>1-4 semi</v>
      </c>
      <c r="J327" s="380" t="str">
        <f>'14U GIRLS GOLD-14 TEAMS'!J32&amp;""</f>
        <v>14U_GIRLS_GOLD</v>
      </c>
      <c r="K327" s="380" t="str">
        <f t="shared" si="8"/>
        <v>202602010930</v>
      </c>
    </row>
    <row r="328" spans="1:11">
      <c r="A328" s="378">
        <f>'14U GIRLS GOLD-14 TEAMS'!A33</f>
        <v>46054</v>
      </c>
      <c r="B328" s="379">
        <f>'14U GIRLS GOLD-14 TEAMS'!B33</f>
        <v>0.43055555555555602</v>
      </c>
      <c r="C328" s="379" t="str">
        <f>'14U GIRLS GOLD-14 TEAMS'!C33&amp;""</f>
        <v>SAN CLEMENTE HS</v>
      </c>
      <c r="D328" s="380" t="str">
        <f>'14U GIRLS GOLD-14 TEAMS'!D33&amp;""</f>
        <v>14Gau26</v>
      </c>
      <c r="E328" s="380" t="str">
        <f>'14U GIRLS GOLD-14 TEAMS'!E33&amp;""</f>
        <v>4thC-CDM NAVY</v>
      </c>
      <c r="F328" s="380" t="str">
        <f>'14U GIRLS GOLD-14 TEAMS'!F33&amp;""</f>
        <v>9</v>
      </c>
      <c r="G328" s="380" t="str">
        <f>'14U GIRLS GOLD-14 TEAMS'!G33&amp;""</f>
        <v>4thD-LAMORINDA C</v>
      </c>
      <c r="H328" s="380" t="str">
        <f>'14U GIRLS GOLD-14 TEAMS'!H33&amp;""</f>
        <v>8</v>
      </c>
      <c r="I328" s="380" t="str">
        <f>'14U GIRLS GOLD-14 TEAMS'!I33&amp;""</f>
        <v>9th-14th 4C,4D</v>
      </c>
      <c r="J328" s="380" t="str">
        <f>'14U GIRLS GOLD-14 TEAMS'!J33&amp;""</f>
        <v>14U_GIRLS_GOLD</v>
      </c>
      <c r="K328" s="380" t="str">
        <f t="shared" si="8"/>
        <v>202602011020</v>
      </c>
    </row>
    <row r="329" spans="1:11">
      <c r="A329" s="378">
        <f>'14U GIRLS GOLD-14 TEAMS'!A34</f>
        <v>46054</v>
      </c>
      <c r="B329" s="379">
        <f>'14U GIRLS GOLD-14 TEAMS'!B34</f>
        <v>0.46527777777777801</v>
      </c>
      <c r="C329" s="379" t="str">
        <f>'14U GIRLS GOLD-14 TEAMS'!C34&amp;""</f>
        <v>SAN CLEMENTE HS</v>
      </c>
      <c r="D329" s="380" t="str">
        <f>'14U GIRLS GOLD-14 TEAMS'!D34&amp;""</f>
        <v>14Gau20</v>
      </c>
      <c r="E329" s="380" t="str">
        <f>'14U GIRLS GOLD-14 TEAMS'!E34&amp;""</f>
        <v>3rdC-PALOS VERDES</v>
      </c>
      <c r="F329" s="380" t="str">
        <f>'14U GIRLS GOLD-14 TEAMS'!F34&amp;""</f>
        <v>10</v>
      </c>
      <c r="G329" s="380" t="str">
        <f>'14U GIRLS GOLD-14 TEAMS'!G34&amp;""</f>
        <v>3rdD-NORTHWEST</v>
      </c>
      <c r="H329" s="380" t="str">
        <f>'14U GIRLS GOLD-14 TEAMS'!H34&amp;""</f>
        <v>3</v>
      </c>
      <c r="I329" s="380" t="str">
        <f>'14U GIRLS GOLD-14 TEAMS'!I34&amp;""</f>
        <v>9th-14th 3C,3D</v>
      </c>
      <c r="J329" s="380" t="str">
        <f>'14U GIRLS GOLD-14 TEAMS'!J34&amp;""</f>
        <v>14U_GIRLS_GOLD</v>
      </c>
      <c r="K329" s="380" t="str">
        <f t="shared" si="8"/>
        <v>202602011110</v>
      </c>
    </row>
    <row r="330" spans="1:11">
      <c r="A330" s="378">
        <f>'14U GIRLS GOLD-14 TEAMS'!A35</f>
        <v>46054</v>
      </c>
      <c r="B330" s="379">
        <f>'14U GIRLS GOLD-14 TEAMS'!B35</f>
        <v>0.5</v>
      </c>
      <c r="C330" s="379" t="str">
        <f>'14U GIRLS GOLD-14 TEAMS'!C35&amp;""</f>
        <v>SAN CLEMENTE HS</v>
      </c>
      <c r="D330" s="380" t="str">
        <f>'14U GIRLS GOLD-14 TEAMS'!D35&amp;""</f>
        <v>14Gau19</v>
      </c>
      <c r="E330" s="380" t="str">
        <f>'14U GIRLS GOLD-14 TEAMS'!E35&amp;""</f>
        <v>4thC-CDM NAVY</v>
      </c>
      <c r="F330" s="380" t="str">
        <f>'14U GIRLS GOLD-14 TEAMS'!F35&amp;""</f>
        <v>6</v>
      </c>
      <c r="G330" s="380" t="str">
        <f>'14U GIRLS GOLD-14 TEAMS'!G35&amp;""</f>
        <v>3rdB-HONOLULU</v>
      </c>
      <c r="H330" s="380" t="str">
        <f>'14U GIRLS GOLD-14 TEAMS'!H35&amp;""</f>
        <v>13</v>
      </c>
      <c r="I330" s="380" t="str">
        <f>'14U GIRLS GOLD-14 TEAMS'!I35&amp;""</f>
        <v>9th-14th 4C,3B</v>
      </c>
      <c r="J330" s="380" t="str">
        <f>'14U GIRLS GOLD-14 TEAMS'!J35&amp;""</f>
        <v>14U_GIRLS_GOLD</v>
      </c>
      <c r="K330" s="380" t="str">
        <f t="shared" si="8"/>
        <v>202602011200</v>
      </c>
    </row>
    <row r="331" spans="1:11">
      <c r="A331" s="378">
        <f>'14U GIRLS GOLD-14 TEAMS'!A36</f>
        <v>46054</v>
      </c>
      <c r="B331" s="379">
        <f>'14U GIRLS GOLD-14 TEAMS'!B36</f>
        <v>0.53472222222222199</v>
      </c>
      <c r="C331" s="379" t="str">
        <f>'14U GIRLS GOLD-14 TEAMS'!C36&amp;""</f>
        <v>SAN CLEMENTE HS</v>
      </c>
      <c r="D331" s="380" t="str">
        <f>'14U GIRLS GOLD-14 TEAMS'!D36&amp;""</f>
        <v>14Gau27</v>
      </c>
      <c r="E331" s="380" t="str">
        <f>'14U GIRLS GOLD-14 TEAMS'!E36&amp;""</f>
        <v>W#23-LA JOLLA UNITED</v>
      </c>
      <c r="F331" s="380" t="str">
        <f>'14U GIRLS GOLD-14 TEAMS'!F36&amp;""</f>
        <v>10.3</v>
      </c>
      <c r="G331" s="380" t="str">
        <f>'14U GIRLS GOLD-14 TEAMS'!G36&amp;""</f>
        <v>W#24-SHAQ</v>
      </c>
      <c r="H331" s="380" t="str">
        <f>'14U GIRLS GOLD-14 TEAMS'!H36&amp;""</f>
        <v>10.2</v>
      </c>
      <c r="I331" s="380" t="str">
        <f>'14U GIRLS GOLD-14 TEAMS'!I36&amp;""</f>
        <v>5th</v>
      </c>
      <c r="J331" s="380" t="str">
        <f>'14U GIRLS GOLD-14 TEAMS'!J36&amp;""</f>
        <v>14U_GIRLS_GOLD</v>
      </c>
      <c r="K331" s="380" t="str">
        <f t="shared" si="8"/>
        <v>202602011250</v>
      </c>
    </row>
    <row r="332" spans="1:11">
      <c r="A332" s="378">
        <f>'14U GIRLS GOLD-14 TEAMS'!A37</f>
        <v>46054</v>
      </c>
      <c r="B332" s="379">
        <f>'14U GIRLS GOLD-14 TEAMS'!B37</f>
        <v>0.56944444444444497</v>
      </c>
      <c r="C332" s="379" t="str">
        <f>'14U GIRLS GOLD-14 TEAMS'!C37&amp;""</f>
        <v>SAN CLEMENTE HS</v>
      </c>
      <c r="D332" s="380" t="str">
        <f>'14U GIRLS GOLD-14 TEAMS'!D37&amp;""</f>
        <v>14Gau28</v>
      </c>
      <c r="E332" s="380" t="str">
        <f>'14U GIRLS GOLD-14 TEAMS'!E37&amp;""</f>
        <v>L#23-SD ECA</v>
      </c>
      <c r="F332" s="380" t="str">
        <f>'14U GIRLS GOLD-14 TEAMS'!F37&amp;""</f>
        <v>8</v>
      </c>
      <c r="G332" s="380" t="str">
        <f>'14U GIRLS GOLD-14 TEAMS'!G37&amp;""</f>
        <v>L#24-BACK BAY</v>
      </c>
      <c r="H332" s="380" t="str">
        <f>'14U GIRLS GOLD-14 TEAMS'!H37&amp;""</f>
        <v>10</v>
      </c>
      <c r="I332" s="380" t="str">
        <f>'14U GIRLS GOLD-14 TEAMS'!I37&amp;""</f>
        <v>7th</v>
      </c>
      <c r="J332" s="380" t="str">
        <f>'14U GIRLS GOLD-14 TEAMS'!J37&amp;""</f>
        <v>14U_GIRLS_GOLD</v>
      </c>
      <c r="K332" s="380" t="str">
        <f t="shared" si="8"/>
        <v>202602011340</v>
      </c>
    </row>
    <row r="333" spans="1:11">
      <c r="A333" s="378">
        <f>'14U GIRLS GOLD-14 TEAMS'!A38</f>
        <v>46054</v>
      </c>
      <c r="B333" s="379">
        <f>'14U GIRLS GOLD-14 TEAMS'!B38</f>
        <v>0.60416666666666696</v>
      </c>
      <c r="C333" s="379" t="str">
        <f>'14U GIRLS GOLD-14 TEAMS'!C38&amp;""</f>
        <v>SAN CLEMENTE HS</v>
      </c>
      <c r="D333" s="380" t="str">
        <f>'14U GIRLS GOLD-14 TEAMS'!D38&amp;""</f>
        <v>14Gau25</v>
      </c>
      <c r="E333" s="380" t="str">
        <f>'14U GIRLS GOLD-14 TEAMS'!E38&amp;""</f>
        <v>3rdA-SANTA CRUZ BLUE</v>
      </c>
      <c r="F333" s="380" t="str">
        <f>'14U GIRLS GOLD-14 TEAMS'!F38&amp;""</f>
        <v>3</v>
      </c>
      <c r="G333" s="380" t="str">
        <f>'14U GIRLS GOLD-14 TEAMS'!G38&amp;""</f>
        <v>3rdC-PALOS VERDES</v>
      </c>
      <c r="H333" s="380" t="str">
        <f>'14U GIRLS GOLD-14 TEAMS'!H38&amp;""</f>
        <v>13</v>
      </c>
      <c r="I333" s="380" t="str">
        <f>'14U GIRLS GOLD-14 TEAMS'!I38&amp;""</f>
        <v>9th-14th 3A,3C</v>
      </c>
      <c r="J333" s="380" t="str">
        <f>'14U GIRLS GOLD-14 TEAMS'!J38&amp;""</f>
        <v>14U_GIRLS_GOLD</v>
      </c>
      <c r="K333" s="380" t="str">
        <f t="shared" si="8"/>
        <v>202602011430</v>
      </c>
    </row>
    <row r="334" spans="1:11">
      <c r="A334" s="378">
        <f>'14U GIRLS GOLD-14 TEAMS'!A39</f>
        <v>46054</v>
      </c>
      <c r="B334" s="379">
        <f>'14U GIRLS GOLD-14 TEAMS'!B39</f>
        <v>0.63888888888888895</v>
      </c>
      <c r="C334" s="379" t="str">
        <f>'14U GIRLS GOLD-14 TEAMS'!C39&amp;""</f>
        <v>SAN CLEMENTE HS</v>
      </c>
      <c r="D334" s="380" t="str">
        <f>'14U GIRLS GOLD-14 TEAMS'!D39&amp;""</f>
        <v>14Gau21</v>
      </c>
      <c r="E334" s="380" t="str">
        <f>'14U GIRLS GOLD-14 TEAMS'!E39&amp;""</f>
        <v>L#15-NORTH IRVINE</v>
      </c>
      <c r="F334" s="380" t="str">
        <f>'14U GIRLS GOLD-14 TEAMS'!F39&amp;""</f>
        <v>9</v>
      </c>
      <c r="G334" s="380" t="str">
        <f>'14U GIRLS GOLD-14 TEAMS'!G39&amp;""</f>
        <v>L#17-ROGUE 619</v>
      </c>
      <c r="H334" s="380" t="str">
        <f>'14U GIRLS GOLD-14 TEAMS'!H39&amp;""</f>
        <v>18</v>
      </c>
      <c r="I334" s="380" t="str">
        <f>'14U GIRLS GOLD-14 TEAMS'!I39&amp;""</f>
        <v>3rd</v>
      </c>
      <c r="J334" s="380" t="str">
        <f>'14U GIRLS GOLD-14 TEAMS'!J39&amp;""</f>
        <v>14U_GIRLS_GOLD</v>
      </c>
      <c r="K334" s="380" t="str">
        <f t="shared" si="8"/>
        <v>202602011520</v>
      </c>
    </row>
    <row r="335" spans="1:11">
      <c r="A335" s="378">
        <f>'14U GIRLS GOLD-14 TEAMS'!A40</f>
        <v>46054</v>
      </c>
      <c r="B335" s="379">
        <f>'14U GIRLS GOLD-14 TEAMS'!B40</f>
        <v>0.67361111111111105</v>
      </c>
      <c r="C335" s="379" t="str">
        <f>'14U GIRLS GOLD-14 TEAMS'!C40&amp;""</f>
        <v>SAN CLEMENTE HS</v>
      </c>
      <c r="D335" s="380" t="str">
        <f>'14U GIRLS GOLD-14 TEAMS'!D40&amp;""</f>
        <v>14Gau22</v>
      </c>
      <c r="E335" s="380" t="str">
        <f>'14U GIRLS GOLD-14 TEAMS'!E40&amp;""</f>
        <v>W#15-PASADENA AC</v>
      </c>
      <c r="F335" s="380" t="str">
        <f>'14U GIRLS GOLD-14 TEAMS'!F40&amp;""</f>
        <v>9</v>
      </c>
      <c r="G335" s="380" t="str">
        <f>'14U GIRLS GOLD-14 TEAMS'!G40&amp;""</f>
        <v>W#17-GOLD COAST</v>
      </c>
      <c r="H335" s="380" t="str">
        <f>'14U GIRLS GOLD-14 TEAMS'!H40&amp;""</f>
        <v>16</v>
      </c>
      <c r="I335" s="380" t="str">
        <f>'14U GIRLS GOLD-14 TEAMS'!I40&amp;""</f>
        <v>1st</v>
      </c>
      <c r="J335" s="380" t="str">
        <f>'14U GIRLS GOLD-14 TEAMS'!J40&amp;""</f>
        <v>14U_GIRLS_GOLD</v>
      </c>
      <c r="K335" s="380" t="str">
        <f t="shared" si="8"/>
        <v>202602011610</v>
      </c>
    </row>
    <row r="336" spans="1:11">
      <c r="A336" s="435">
        <f>'19U BOYS PLATINUM-27 TEAMS'!A27</f>
        <v>46053</v>
      </c>
      <c r="B336" s="436">
        <f>'19U BOYS PLATINUM-27 TEAMS'!B27</f>
        <v>0.29166666666666669</v>
      </c>
      <c r="C336" s="437" t="str">
        <f>'19U BOYS PLATINUM-27 TEAMS'!C27&amp;""</f>
        <v>SAN JUAN HILLS HS</v>
      </c>
      <c r="D336" s="437" t="str">
        <f>'19U BOYS PLATINUM-27 TEAMS'!D27&amp;""</f>
        <v>19Bpt01</v>
      </c>
      <c r="E336" s="438" t="str">
        <f>'19U BOYS PLATINUM-27 TEAMS'!E27&amp;""</f>
        <v>A1(1)-CC UNITED BLACK</v>
      </c>
      <c r="F336" s="438" t="str">
        <f>'19U BOYS PLATINUM-27 TEAMS'!F27&amp;""</f>
        <v>19</v>
      </c>
      <c r="G336" s="438" t="str">
        <f>'19U BOYS PLATINUM-27 TEAMS'!G27&amp;""</f>
        <v>A3(17)-LV LEGENDS</v>
      </c>
      <c r="H336" s="438" t="str">
        <f>'19U BOYS PLATINUM-27 TEAMS'!H27&amp;""</f>
        <v>4</v>
      </c>
      <c r="I336" s="437" t="str">
        <f>'19U BOYS PLATINUM-27 TEAMS'!I27&amp;""</f>
        <v>A bracket A1,A3</v>
      </c>
      <c r="J336" s="438" t="str">
        <f>'19U BOYS PLATINUM-27 TEAMS'!J27&amp;""</f>
        <v>19U_BOYS_PLATINUM</v>
      </c>
      <c r="K336" s="438" t="str">
        <f t="shared" si="8"/>
        <v>202601310700</v>
      </c>
    </row>
    <row r="337" spans="1:11">
      <c r="A337" s="432">
        <f>'19U BOYS GOLD-16 TEAMS'!A10</f>
        <v>46053</v>
      </c>
      <c r="B337" s="433">
        <f>'19U BOYS GOLD-16 TEAMS'!B10</f>
        <v>0.33333333333333298</v>
      </c>
      <c r="C337" s="433" t="str">
        <f>'19U BOYS GOLD-16 TEAMS'!C10&amp;""</f>
        <v>SAN JUAN HILLS HS</v>
      </c>
      <c r="D337" s="434" t="str">
        <f>'19U BOYS GOLD-16 TEAMS'!D10&amp;""</f>
        <v>19Bau01</v>
      </c>
      <c r="E337" s="434" t="str">
        <f>'19U BOYS GOLD-16 TEAMS'!E10&amp;""</f>
        <v>A2-CLOVIS BLACK</v>
      </c>
      <c r="F337" s="434" t="str">
        <f>'19U BOYS GOLD-16 TEAMS'!F10&amp;""</f>
        <v>14</v>
      </c>
      <c r="G337" s="434" t="str">
        <f>'19U BOYS GOLD-16 TEAMS'!G10&amp;""</f>
        <v>A3-LA JOLLA UNITED GOLD</v>
      </c>
      <c r="H337" s="434" t="str">
        <f>'19U BOYS GOLD-16 TEAMS'!H10&amp;""</f>
        <v>12</v>
      </c>
      <c r="I337" s="434" t="str">
        <f>'19U BOYS GOLD-16 TEAMS'!I10&amp;""</f>
        <v>W/L A2/A3</v>
      </c>
      <c r="J337" s="434" t="str">
        <f>'19U BOYS GOLD-16 TEAMS'!J10&amp;""</f>
        <v>19U_BOYS_GOLD</v>
      </c>
      <c r="K337" s="434" t="str">
        <f t="shared" si="8"/>
        <v>202601310800</v>
      </c>
    </row>
    <row r="338" spans="1:11">
      <c r="A338" s="432">
        <f>'19U BOYS GOLD-16 TEAMS'!A11</f>
        <v>46053</v>
      </c>
      <c r="B338" s="433">
        <f>'19U BOYS GOLD-16 TEAMS'!B11</f>
        <v>0.375</v>
      </c>
      <c r="C338" s="433" t="str">
        <f>'19U BOYS GOLD-16 TEAMS'!C11&amp;""</f>
        <v>SAN JUAN HILLS HS</v>
      </c>
      <c r="D338" s="434" t="str">
        <f>'19U BOYS GOLD-16 TEAMS'!D11&amp;""</f>
        <v>19Bau02</v>
      </c>
      <c r="E338" s="434" t="str">
        <f>'19U BOYS GOLD-16 TEAMS'!E11&amp;""</f>
        <v>A1-HIELAND</v>
      </c>
      <c r="F338" s="434" t="str">
        <f>'19U BOYS GOLD-16 TEAMS'!F11&amp;""</f>
        <v>7</v>
      </c>
      <c r="G338" s="434" t="str">
        <f>'19U BOYS GOLD-16 TEAMS'!G11&amp;""</f>
        <v>A4-VANGUARD SILVER</v>
      </c>
      <c r="H338" s="434" t="str">
        <f>'19U BOYS GOLD-16 TEAMS'!H11&amp;""</f>
        <v>6</v>
      </c>
      <c r="I338" s="434" t="str">
        <f>'19U BOYS GOLD-16 TEAMS'!I11&amp;""</f>
        <v>W/L A1/A4</v>
      </c>
      <c r="J338" s="434" t="str">
        <f>'19U BOYS GOLD-16 TEAMS'!J11&amp;""</f>
        <v>19U_BOYS_GOLD</v>
      </c>
      <c r="K338" s="434" t="str">
        <f t="shared" si="8"/>
        <v>202601310900</v>
      </c>
    </row>
    <row r="339" spans="1:11">
      <c r="A339" s="432">
        <f>'19U BOYS GOLD-16 TEAMS'!A12</f>
        <v>46053</v>
      </c>
      <c r="B339" s="433">
        <f>'19U BOYS GOLD-16 TEAMS'!B12</f>
        <v>0.41666666666666702</v>
      </c>
      <c r="C339" s="433" t="str">
        <f>'19U BOYS GOLD-16 TEAMS'!C12&amp;""</f>
        <v>SAN JUAN HILLS HS</v>
      </c>
      <c r="D339" s="434" t="str">
        <f>'19U BOYS GOLD-16 TEAMS'!D12&amp;""</f>
        <v>19Bau03</v>
      </c>
      <c r="E339" s="434" t="str">
        <f>'19U BOYS GOLD-16 TEAMS'!E12&amp;""</f>
        <v>C2-MISSON WPC</v>
      </c>
      <c r="F339" s="434" t="str">
        <f>'19U BOYS GOLD-16 TEAMS'!F12&amp;""</f>
        <v>16</v>
      </c>
      <c r="G339" s="434" t="str">
        <f>'19U BOYS GOLD-16 TEAMS'!G12&amp;""</f>
        <v>C3-MARIN</v>
      </c>
      <c r="H339" s="434" t="str">
        <f>'19U BOYS GOLD-16 TEAMS'!H12&amp;""</f>
        <v>5</v>
      </c>
      <c r="I339" s="434" t="str">
        <f>'19U BOYS GOLD-16 TEAMS'!I12&amp;""</f>
        <v>W/L C2/C3</v>
      </c>
      <c r="J339" s="434" t="str">
        <f>'19U BOYS GOLD-16 TEAMS'!J12&amp;""</f>
        <v>19U_BOYS_GOLD</v>
      </c>
      <c r="K339" s="434" t="str">
        <f t="shared" si="8"/>
        <v>202601311000</v>
      </c>
    </row>
    <row r="340" spans="1:11">
      <c r="A340" s="432">
        <f>'19U BOYS GOLD-16 TEAMS'!A13</f>
        <v>46053</v>
      </c>
      <c r="B340" s="433">
        <f>'19U BOYS GOLD-16 TEAMS'!B13</f>
        <v>0.45833333333333298</v>
      </c>
      <c r="C340" s="433" t="str">
        <f>'19U BOYS GOLD-16 TEAMS'!C13&amp;""</f>
        <v>SAN JUAN HILLS HS</v>
      </c>
      <c r="D340" s="434" t="str">
        <f>'19U BOYS GOLD-16 TEAMS'!D13&amp;""</f>
        <v>19Bau04</v>
      </c>
      <c r="E340" s="434" t="str">
        <f>'19U BOYS GOLD-16 TEAMS'!E13&amp;""</f>
        <v>C1-NORTHWEST</v>
      </c>
      <c r="F340" s="434" t="str">
        <f>'19U BOYS GOLD-16 TEAMS'!F13&amp;""</f>
        <v>6.2</v>
      </c>
      <c r="G340" s="434" t="str">
        <f>'19U BOYS GOLD-16 TEAMS'!G13&amp;""</f>
        <v>C4-AMERICAN RIVER GOLD</v>
      </c>
      <c r="H340" s="434" t="str">
        <f>'19U BOYS GOLD-16 TEAMS'!H13&amp;""</f>
        <v>6.3</v>
      </c>
      <c r="I340" s="434" t="str">
        <f>'19U BOYS GOLD-16 TEAMS'!I13&amp;""</f>
        <v>W/L C1/C4</v>
      </c>
      <c r="J340" s="434" t="str">
        <f>'19U BOYS GOLD-16 TEAMS'!J13&amp;""</f>
        <v>19U_BOYS_GOLD</v>
      </c>
      <c r="K340" s="434" t="str">
        <f t="shared" si="8"/>
        <v>202601311100</v>
      </c>
    </row>
    <row r="341" spans="1:11">
      <c r="A341" s="432">
        <f>'19U BOYS GOLD-16 TEAMS'!A14</f>
        <v>46053</v>
      </c>
      <c r="B341" s="433">
        <f>'19U BOYS GOLD-16 TEAMS'!B14</f>
        <v>0.5</v>
      </c>
      <c r="C341" s="433" t="str">
        <f>'19U BOYS GOLD-16 TEAMS'!C14&amp;""</f>
        <v>SAN JUAN HILLS HS</v>
      </c>
      <c r="D341" s="434" t="str">
        <f>'19U BOYS GOLD-16 TEAMS'!D14&amp;""</f>
        <v>19Bau05</v>
      </c>
      <c r="E341" s="434" t="str">
        <f>'19U BOYS GOLD-16 TEAMS'!E14&amp;""</f>
        <v>L#1-LA JOLLA UNITED GOLD</v>
      </c>
      <c r="F341" s="434" t="str">
        <f>'19U BOYS GOLD-16 TEAMS'!F14&amp;""</f>
        <v>10</v>
      </c>
      <c r="G341" s="434" t="str">
        <f>'19U BOYS GOLD-16 TEAMS'!G14&amp;""</f>
        <v>L#2-VANGUARD SILVER</v>
      </c>
      <c r="H341" s="434" t="str">
        <f>'19U BOYS GOLD-16 TEAMS'!H14&amp;""</f>
        <v>12</v>
      </c>
      <c r="I341" s="434" t="str">
        <f>'19U BOYS GOLD-16 TEAMS'!I14&amp;""</f>
        <v>3rd/4thA</v>
      </c>
      <c r="J341" s="434" t="str">
        <f>'19U BOYS GOLD-16 TEAMS'!J14&amp;""</f>
        <v>19U_BOYS_GOLD</v>
      </c>
      <c r="K341" s="434" t="str">
        <f t="shared" si="8"/>
        <v>202601311200</v>
      </c>
    </row>
    <row r="342" spans="1:11">
      <c r="A342" s="432">
        <f>'19U BOYS GOLD-16 TEAMS'!A15</f>
        <v>46053</v>
      </c>
      <c r="B342" s="433">
        <f>'19U BOYS GOLD-16 TEAMS'!B15</f>
        <v>0.54166666666666696</v>
      </c>
      <c r="C342" s="433" t="str">
        <f>'19U BOYS GOLD-16 TEAMS'!C15&amp;""</f>
        <v>SAN JUAN HILLS HS</v>
      </c>
      <c r="D342" s="434" t="str">
        <f>'19U BOYS GOLD-16 TEAMS'!D15&amp;""</f>
        <v>19Bau06</v>
      </c>
      <c r="E342" s="434" t="str">
        <f>'19U BOYS GOLD-16 TEAMS'!E15&amp;""</f>
        <v>W#1-CLOVIS BLACK</v>
      </c>
      <c r="F342" s="434" t="str">
        <f>'19U BOYS GOLD-16 TEAMS'!F15&amp;""</f>
        <v>9</v>
      </c>
      <c r="G342" s="434" t="str">
        <f>'19U BOYS GOLD-16 TEAMS'!G15&amp;""</f>
        <v>W#2-HIELAND</v>
      </c>
      <c r="H342" s="434" t="str">
        <f>'19U BOYS GOLD-16 TEAMS'!H15&amp;""</f>
        <v>13</v>
      </c>
      <c r="I342" s="434" t="str">
        <f>'19U BOYS GOLD-16 TEAMS'!I15&amp;""</f>
        <v>1st/2ndA</v>
      </c>
      <c r="J342" s="434" t="str">
        <f>'19U BOYS GOLD-16 TEAMS'!J15&amp;""</f>
        <v>19U_BOYS_GOLD</v>
      </c>
      <c r="K342" s="434" t="str">
        <f t="shared" si="8"/>
        <v>202601311300</v>
      </c>
    </row>
    <row r="343" spans="1:11">
      <c r="A343" s="432">
        <f>'19U BOYS GOLD-16 TEAMS'!A18</f>
        <v>46053</v>
      </c>
      <c r="B343" s="433">
        <f>'19U BOYS GOLD-16 TEAMS'!B18</f>
        <v>0.58333333333333304</v>
      </c>
      <c r="C343" s="433" t="str">
        <f>'19U BOYS GOLD-16 TEAMS'!C18&amp;""</f>
        <v>SAN JUAN HILLS HS</v>
      </c>
      <c r="D343" s="434" t="str">
        <f>'19U BOYS GOLD-16 TEAMS'!D18&amp;""</f>
        <v>19Bau11</v>
      </c>
      <c r="E343" s="434" t="str">
        <f>'19U BOYS GOLD-16 TEAMS'!E18&amp;""</f>
        <v>B2-ORANGE COUNTY WPC BLUE</v>
      </c>
      <c r="F343" s="434" t="str">
        <f>'19U BOYS GOLD-16 TEAMS'!F18&amp;""</f>
        <v>11</v>
      </c>
      <c r="G343" s="434" t="str">
        <f>'19U BOYS GOLD-16 TEAMS'!G18&amp;""</f>
        <v>B3-FARALLON</v>
      </c>
      <c r="H343" s="434" t="str">
        <f>'19U BOYS GOLD-16 TEAMS'!H18&amp;""</f>
        <v>4</v>
      </c>
      <c r="I343" s="434" t="str">
        <f>'19U BOYS GOLD-16 TEAMS'!I18&amp;""</f>
        <v>W/L B2/B3</v>
      </c>
      <c r="J343" s="434" t="str">
        <f>'19U BOYS GOLD-16 TEAMS'!J18&amp;""</f>
        <v>19U_BOYS_GOLD</v>
      </c>
      <c r="K343" s="434" t="str">
        <f t="shared" si="8"/>
        <v>202601311400</v>
      </c>
    </row>
    <row r="344" spans="1:11">
      <c r="A344" s="432">
        <f>'19U BOYS GOLD-16 TEAMS'!A19</f>
        <v>46053</v>
      </c>
      <c r="B344" s="433">
        <f>'19U BOYS GOLD-16 TEAMS'!B19</f>
        <v>0.625</v>
      </c>
      <c r="C344" s="433" t="str">
        <f>'19U BOYS GOLD-16 TEAMS'!C19&amp;""</f>
        <v>SAN JUAN HILLS HS</v>
      </c>
      <c r="D344" s="434" t="str">
        <f>'19U BOYS GOLD-16 TEAMS'!D19&amp;""</f>
        <v>19Bau12</v>
      </c>
      <c r="E344" s="434" t="str">
        <f>'19U BOYS GOLD-16 TEAMS'!E19&amp;""</f>
        <v>B1-MID PEN</v>
      </c>
      <c r="F344" s="434" t="str">
        <f>'19U BOYS GOLD-16 TEAMS'!F19&amp;""</f>
        <v>12</v>
      </c>
      <c r="G344" s="434" t="str">
        <f>'19U BOYS GOLD-16 TEAMS'!G19&amp;""</f>
        <v>B4-PASADENA AC</v>
      </c>
      <c r="H344" s="434" t="str">
        <f>'19U BOYS GOLD-16 TEAMS'!H19&amp;""</f>
        <v>5</v>
      </c>
      <c r="I344" s="434" t="str">
        <f>'19U BOYS GOLD-16 TEAMS'!I19&amp;""</f>
        <v>W/L B1/B4</v>
      </c>
      <c r="J344" s="434" t="str">
        <f>'19U BOYS GOLD-16 TEAMS'!J19&amp;""</f>
        <v>19U_BOYS_GOLD</v>
      </c>
      <c r="K344" s="434" t="str">
        <f t="shared" si="8"/>
        <v>202601311500</v>
      </c>
    </row>
    <row r="345" spans="1:11">
      <c r="A345" s="432">
        <f>'19U BOYS GOLD-16 TEAMS'!A20</f>
        <v>46053</v>
      </c>
      <c r="B345" s="433">
        <f>'19U BOYS GOLD-16 TEAMS'!B20</f>
        <v>0.66666666666666696</v>
      </c>
      <c r="C345" s="433" t="str">
        <f>'19U BOYS GOLD-16 TEAMS'!C20&amp;""</f>
        <v>SAN JUAN HILLS HS</v>
      </c>
      <c r="D345" s="434" t="str">
        <f>'19U BOYS GOLD-16 TEAMS'!D20&amp;""</f>
        <v>19Bau07</v>
      </c>
      <c r="E345" s="434" t="str">
        <f>'19U BOYS GOLD-16 TEAMS'!E20&amp;""</f>
        <v>L#3-MARIN</v>
      </c>
      <c r="F345" s="434" t="str">
        <f>'19U BOYS GOLD-16 TEAMS'!F20&amp;""</f>
        <v>6</v>
      </c>
      <c r="G345" s="434" t="str">
        <f>'19U BOYS GOLD-16 TEAMS'!G20&amp;""</f>
        <v>L#4-NORTHWEST</v>
      </c>
      <c r="H345" s="434" t="str">
        <f>'19U BOYS GOLD-16 TEAMS'!H20&amp;""</f>
        <v>10</v>
      </c>
      <c r="I345" s="434" t="str">
        <f>'19U BOYS GOLD-16 TEAMS'!I20&amp;""</f>
        <v>3rd/4thC</v>
      </c>
      <c r="J345" s="434" t="str">
        <f>'19U BOYS GOLD-16 TEAMS'!J20&amp;""</f>
        <v>19U_BOYS_GOLD</v>
      </c>
      <c r="K345" s="434" t="str">
        <f t="shared" si="8"/>
        <v>202601311600</v>
      </c>
    </row>
    <row r="346" spans="1:11">
      <c r="A346" s="432">
        <f>'19U BOYS GOLD-16 TEAMS'!A21</f>
        <v>46053</v>
      </c>
      <c r="B346" s="433">
        <f>'19U BOYS GOLD-16 TEAMS'!B21</f>
        <v>0.70833333333333304</v>
      </c>
      <c r="C346" s="433" t="str">
        <f>'19U BOYS GOLD-16 TEAMS'!C21&amp;""</f>
        <v>SAN JUAN HILLS HS</v>
      </c>
      <c r="D346" s="434" t="str">
        <f>'19U BOYS GOLD-16 TEAMS'!D21&amp;""</f>
        <v>19Bau08</v>
      </c>
      <c r="E346" s="434" t="str">
        <f>'19U BOYS GOLD-16 TEAMS'!E21&amp;""</f>
        <v>W#3-MISSON WPC</v>
      </c>
      <c r="F346" s="434" t="str">
        <f>'19U BOYS GOLD-16 TEAMS'!F21&amp;""</f>
        <v>8</v>
      </c>
      <c r="G346" s="434" t="str">
        <f>'19U BOYS GOLD-16 TEAMS'!G21&amp;""</f>
        <v>W#4-AMERICAN RIVER GOLD</v>
      </c>
      <c r="H346" s="434" t="str">
        <f>'19U BOYS GOLD-16 TEAMS'!H21&amp;""</f>
        <v>6</v>
      </c>
      <c r="I346" s="434" t="str">
        <f>'19U BOYS GOLD-16 TEAMS'!I21&amp;""</f>
        <v>1st/2ndC</v>
      </c>
      <c r="J346" s="434" t="str">
        <f>'19U BOYS GOLD-16 TEAMS'!J21&amp;""</f>
        <v>19U_BOYS_GOLD</v>
      </c>
      <c r="K346" s="434" t="str">
        <f t="shared" si="8"/>
        <v>202601311700</v>
      </c>
    </row>
    <row r="347" spans="1:11">
      <c r="A347" s="432">
        <f>'19U BOYS GOLD-16 TEAMS'!A24</f>
        <v>46053</v>
      </c>
      <c r="B347" s="433">
        <f>'19U BOYS GOLD-16 TEAMS'!B24</f>
        <v>0.75</v>
      </c>
      <c r="C347" s="433" t="str">
        <f>'19U BOYS GOLD-16 TEAMS'!C24&amp;""</f>
        <v>SAN JUAN HILLS HS</v>
      </c>
      <c r="D347" s="434" t="str">
        <f>'19U BOYS GOLD-16 TEAMS'!D24&amp;""</f>
        <v>19Bau15</v>
      </c>
      <c r="E347" s="434" t="str">
        <f>'19U BOYS GOLD-16 TEAMS'!E24&amp;""</f>
        <v>L#11-FARALLON</v>
      </c>
      <c r="F347" s="434" t="str">
        <f>'19U BOYS GOLD-16 TEAMS'!F24&amp;""</f>
        <v>12</v>
      </c>
      <c r="G347" s="434" t="str">
        <f>'19U BOYS GOLD-16 TEAMS'!G24&amp;""</f>
        <v>L#12-PASADENA AC</v>
      </c>
      <c r="H347" s="434" t="str">
        <f>'19U BOYS GOLD-16 TEAMS'!H24&amp;""</f>
        <v>7</v>
      </c>
      <c r="I347" s="434" t="str">
        <f>'19U BOYS GOLD-16 TEAMS'!I24&amp;""</f>
        <v>3rd/4thB</v>
      </c>
      <c r="J347" s="434" t="str">
        <f>'19U BOYS GOLD-16 TEAMS'!J24&amp;""</f>
        <v>19U_BOYS_GOLD</v>
      </c>
      <c r="K347" s="434" t="str">
        <f t="shared" si="8"/>
        <v>202601311800</v>
      </c>
    </row>
    <row r="348" spans="1:11">
      <c r="A348" s="432">
        <f>'19U BOYS GOLD-16 TEAMS'!A25</f>
        <v>46053</v>
      </c>
      <c r="B348" s="433">
        <f>'19U BOYS GOLD-16 TEAMS'!B25</f>
        <v>0.79166666666666696</v>
      </c>
      <c r="C348" s="433" t="str">
        <f>'19U BOYS GOLD-16 TEAMS'!C25&amp;""</f>
        <v>SAN JUAN HILLS HS</v>
      </c>
      <c r="D348" s="434" t="str">
        <f>'19U BOYS GOLD-16 TEAMS'!D25&amp;""</f>
        <v>19Bau16</v>
      </c>
      <c r="E348" s="434" t="str">
        <f>'19U BOYS GOLD-16 TEAMS'!E25&amp;""</f>
        <v>W#11-ORANGE COUNTY WPC BLUE</v>
      </c>
      <c r="F348" s="434" t="str">
        <f>'19U BOYS GOLD-16 TEAMS'!F25&amp;""</f>
        <v>10</v>
      </c>
      <c r="G348" s="434" t="str">
        <f>'19U BOYS GOLD-16 TEAMS'!G25&amp;""</f>
        <v>W#12-MID PEN</v>
      </c>
      <c r="H348" s="434" t="str">
        <f>'19U BOYS GOLD-16 TEAMS'!H25&amp;""</f>
        <v>7</v>
      </c>
      <c r="I348" s="434" t="str">
        <f>'19U BOYS GOLD-16 TEAMS'!I25&amp;""</f>
        <v>1st/2ndB</v>
      </c>
      <c r="J348" s="434" t="str">
        <f>'19U BOYS GOLD-16 TEAMS'!J25&amp;""</f>
        <v>19U_BOYS_GOLD</v>
      </c>
      <c r="K348" s="434" t="str">
        <f t="shared" si="8"/>
        <v>202601311900</v>
      </c>
    </row>
    <row r="349" spans="1:11">
      <c r="A349" s="410">
        <f>'16U BOYS GOLD-19 TEAMS'!A48</f>
        <v>46054</v>
      </c>
      <c r="B349" s="411">
        <f>'16U BOYS GOLD-19 TEAMS'!B48</f>
        <v>0.29166666666666669</v>
      </c>
      <c r="C349" s="411" t="str">
        <f>'16U BOYS GOLD-19 TEAMS'!C48&amp;""</f>
        <v>SAN JUAN HILLS HS</v>
      </c>
      <c r="D349" s="412" t="str">
        <f>'16U BOYS GOLD-19 TEAMS'!D48&amp;""</f>
        <v>16Bau20</v>
      </c>
      <c r="E349" s="412" t="str">
        <f>'16U BOYS GOLD-19 TEAMS'!E48&amp;""</f>
        <v>G1(1stA)-SAN JOSE EXPRESS BLUE</v>
      </c>
      <c r="F349" s="412" t="str">
        <f>'16U BOYS GOLD-19 TEAMS'!F48&amp;""</f>
        <v>10</v>
      </c>
      <c r="G349" s="412" t="str">
        <f>'16U BOYS GOLD-19 TEAMS'!G48&amp;""</f>
        <v>G3(1stC)-CAL REPUBLIC</v>
      </c>
      <c r="H349" s="412" t="str">
        <f>'16U BOYS GOLD-19 TEAMS'!H48&amp;""</f>
        <v>4</v>
      </c>
      <c r="I349" s="412" t="str">
        <f>'16U BOYS GOLD-19 TEAMS'!I48&amp;""</f>
        <v>G bracket G1,G3</v>
      </c>
      <c r="J349" s="412" t="str">
        <f>'16U BOYS GOLD-19 TEAMS'!J48&amp;""</f>
        <v>16U_BOYS_GOLD</v>
      </c>
      <c r="K349" s="412" t="str">
        <f t="shared" si="8"/>
        <v>202602010700</v>
      </c>
    </row>
    <row r="350" spans="1:11">
      <c r="A350" s="410">
        <f>'16U BOYS GOLD-19 TEAMS'!A49</f>
        <v>46054</v>
      </c>
      <c r="B350" s="411">
        <f>'16U BOYS GOLD-19 TEAMS'!B49</f>
        <v>0.33333333333333298</v>
      </c>
      <c r="C350" s="411" t="str">
        <f>'16U BOYS GOLD-19 TEAMS'!C49&amp;""</f>
        <v>SAN JUAN HILLS HS</v>
      </c>
      <c r="D350" s="412" t="str">
        <f>'16U BOYS GOLD-19 TEAMS'!D49&amp;""</f>
        <v>16Bau21</v>
      </c>
      <c r="E350" s="412" t="str">
        <f>'16U BOYS GOLD-19 TEAMS'!E49&amp;""</f>
        <v>H1(1stD)-CC UNITED BLUE</v>
      </c>
      <c r="F350" s="412" t="str">
        <f>'16U BOYS GOLD-19 TEAMS'!F49&amp;""</f>
        <v>8</v>
      </c>
      <c r="G350" s="412" t="str">
        <f>'16U BOYS GOLD-19 TEAMS'!G49&amp;""</f>
        <v>H3(1stF)-LA JOLLA UNITED GOLD</v>
      </c>
      <c r="H350" s="412" t="str">
        <f>'16U BOYS GOLD-19 TEAMS'!H49&amp;""</f>
        <v>7</v>
      </c>
      <c r="I350" s="412" t="str">
        <f>'16U BOYS GOLD-19 TEAMS'!I49&amp;""</f>
        <v>H bracket H1,H3</v>
      </c>
      <c r="J350" s="412" t="str">
        <f>'16U BOYS GOLD-19 TEAMS'!J49&amp;""</f>
        <v>16U_BOYS_GOLD</v>
      </c>
      <c r="K350" s="412" t="str">
        <f t="shared" si="8"/>
        <v>202602010800</v>
      </c>
    </row>
    <row r="351" spans="1:11">
      <c r="A351" s="410">
        <f>'16U BOYS GOLD-19 TEAMS'!A50</f>
        <v>46054</v>
      </c>
      <c r="B351" s="411">
        <f>'16U BOYS GOLD-19 TEAMS'!B50</f>
        <v>0.375</v>
      </c>
      <c r="C351" s="411" t="str">
        <f>'16U BOYS GOLD-19 TEAMS'!C50&amp;""</f>
        <v>SAN JUAN HILLS HS</v>
      </c>
      <c r="D351" s="412" t="str">
        <f>'16U BOYS GOLD-19 TEAMS'!D50&amp;""</f>
        <v>16Bau22</v>
      </c>
      <c r="E351" s="412" t="str">
        <f>'16U BOYS GOLD-19 TEAMS'!E50&amp;""</f>
        <v>I1(2ndA)-CHANNEL ISLANDS UNITED BLUE</v>
      </c>
      <c r="F351" s="412" t="str">
        <f>'16U BOYS GOLD-19 TEAMS'!F50&amp;""</f>
        <v>2</v>
      </c>
      <c r="G351" s="412" t="str">
        <f>'16U BOYS GOLD-19 TEAMS'!G50&amp;""</f>
        <v>I3(2ndC)-TROJAN GOLD</v>
      </c>
      <c r="H351" s="412" t="str">
        <f>'16U BOYS GOLD-19 TEAMS'!H50&amp;""</f>
        <v>10</v>
      </c>
      <c r="I351" s="412" t="str">
        <f>'16U BOYS GOLD-19 TEAMS'!I50&amp;""</f>
        <v>I bracket I1,I3</v>
      </c>
      <c r="J351" s="412" t="str">
        <f>'16U BOYS GOLD-19 TEAMS'!J50&amp;""</f>
        <v>16U_BOYS_GOLD</v>
      </c>
      <c r="K351" s="412" t="str">
        <f t="shared" si="8"/>
        <v>202602010900</v>
      </c>
    </row>
    <row r="352" spans="1:11">
      <c r="A352" s="410">
        <f>'16U BOYS GOLD-19 TEAMS'!A51</f>
        <v>46054</v>
      </c>
      <c r="B352" s="411">
        <f>'16U BOYS GOLD-19 TEAMS'!B51</f>
        <v>0.41666666666666702</v>
      </c>
      <c r="C352" s="411" t="str">
        <f>'16U BOYS GOLD-19 TEAMS'!C51&amp;""</f>
        <v>SAN JUAN HILLS HS</v>
      </c>
      <c r="D352" s="412" t="str">
        <f>'16U BOYS GOLD-19 TEAMS'!D51&amp;""</f>
        <v>16Bau23</v>
      </c>
      <c r="E352" s="412" t="str">
        <f>'16U BOYS GOLD-19 TEAMS'!E51&amp;""</f>
        <v>G2(1stB)-SOUTH COAST WHITE (B)</v>
      </c>
      <c r="F352" s="412" t="str">
        <f>'16U BOYS GOLD-19 TEAMS'!F51&amp;""</f>
        <v>7</v>
      </c>
      <c r="G352" s="412" t="str">
        <f>'16U BOYS GOLD-19 TEAMS'!G51&amp;""</f>
        <v>G3(1stC)-CAL REPUBLIC</v>
      </c>
      <c r="H352" s="412" t="str">
        <f>'16U BOYS GOLD-19 TEAMS'!H51&amp;""</f>
        <v>3</v>
      </c>
      <c r="I352" s="412" t="str">
        <f>'16U BOYS GOLD-19 TEAMS'!I51&amp;""</f>
        <v>G bracket G2,G3</v>
      </c>
      <c r="J352" s="412" t="str">
        <f>'16U BOYS GOLD-19 TEAMS'!J51&amp;""</f>
        <v>16U_BOYS_GOLD</v>
      </c>
      <c r="K352" s="412" t="str">
        <f t="shared" si="8"/>
        <v>202602011000</v>
      </c>
    </row>
    <row r="353" spans="1:11">
      <c r="A353" s="410">
        <f>'16U BOYS GOLD-19 TEAMS'!A52</f>
        <v>46054</v>
      </c>
      <c r="B353" s="411">
        <f>'16U BOYS GOLD-19 TEAMS'!B52</f>
        <v>0.45833333333333298</v>
      </c>
      <c r="C353" s="411" t="str">
        <f>'16U BOYS GOLD-19 TEAMS'!C52&amp;""</f>
        <v>SAN JUAN HILLS HS</v>
      </c>
      <c r="D353" s="412" t="str">
        <f>'16U BOYS GOLD-19 TEAMS'!D52&amp;""</f>
        <v>16Bau24</v>
      </c>
      <c r="E353" s="412" t="str">
        <f>'16U BOYS GOLD-19 TEAMS'!E52&amp;""</f>
        <v>H1(1stD)-CC UNITED BLUE</v>
      </c>
      <c r="F353" s="412" t="str">
        <f>'16U BOYS GOLD-19 TEAMS'!F52&amp;""</f>
        <v>11</v>
      </c>
      <c r="G353" s="412" t="str">
        <f>'16U BOYS GOLD-19 TEAMS'!G52&amp;""</f>
        <v>H2(1stE)-CT PREMIER</v>
      </c>
      <c r="H353" s="412" t="str">
        <f>'16U BOYS GOLD-19 TEAMS'!H52&amp;""</f>
        <v>13</v>
      </c>
      <c r="I353" s="412" t="str">
        <f>'16U BOYS GOLD-19 TEAMS'!I52&amp;""</f>
        <v>H bracket H1,H2</v>
      </c>
      <c r="J353" s="412" t="str">
        <f>'16U BOYS GOLD-19 TEAMS'!J52&amp;""</f>
        <v>16U_BOYS_GOLD</v>
      </c>
      <c r="K353" s="412" t="str">
        <f t="shared" si="8"/>
        <v>202602011100</v>
      </c>
    </row>
    <row r="354" spans="1:11">
      <c r="A354" s="410">
        <f>'16U BOYS GOLD-19 TEAMS'!A53</f>
        <v>46054</v>
      </c>
      <c r="B354" s="411">
        <f>'16U BOYS GOLD-19 TEAMS'!B53</f>
        <v>0.5</v>
      </c>
      <c r="C354" s="411" t="str">
        <f>'16U BOYS GOLD-19 TEAMS'!C53&amp;""</f>
        <v>SAN JUAN HILLS HS</v>
      </c>
      <c r="D354" s="412" t="str">
        <f>'16U BOYS GOLD-19 TEAMS'!D53&amp;""</f>
        <v>16Bau25</v>
      </c>
      <c r="E354" s="412" t="str">
        <f>'16U BOYS GOLD-19 TEAMS'!E53&amp;""</f>
        <v>I2(2ndB)-DAVIS BLUE</v>
      </c>
      <c r="F354" s="412" t="str">
        <f>'16U BOYS GOLD-19 TEAMS'!F53&amp;""</f>
        <v>13</v>
      </c>
      <c r="G354" s="412" t="str">
        <f>'16U BOYS GOLD-19 TEAMS'!G53&amp;""</f>
        <v>I3(2ndC)-TROJAN GOLD</v>
      </c>
      <c r="H354" s="412" t="str">
        <f>'16U BOYS GOLD-19 TEAMS'!H53&amp;""</f>
        <v>10</v>
      </c>
      <c r="I354" s="412" t="str">
        <f>'16U BOYS GOLD-19 TEAMS'!I53&amp;""</f>
        <v>I bracket I2,I3</v>
      </c>
      <c r="J354" s="412" t="str">
        <f>'16U BOYS GOLD-19 TEAMS'!J53&amp;""</f>
        <v>16U_BOYS_GOLD</v>
      </c>
      <c r="K354" s="412" t="str">
        <f t="shared" si="8"/>
        <v>202602011200</v>
      </c>
    </row>
    <row r="355" spans="1:11">
      <c r="A355" s="410">
        <f>'16U BOYS GOLD-19 TEAMS'!A54</f>
        <v>46054</v>
      </c>
      <c r="B355" s="411">
        <f>'16U BOYS GOLD-19 TEAMS'!B54</f>
        <v>0.54166666666666696</v>
      </c>
      <c r="C355" s="411" t="str">
        <f>'16U BOYS GOLD-19 TEAMS'!C54&amp;""</f>
        <v>SAN JUAN HILLS HS</v>
      </c>
      <c r="D355" s="412" t="str">
        <f>'16U BOYS GOLD-19 TEAMS'!D54&amp;""</f>
        <v>16Bau26</v>
      </c>
      <c r="E355" s="412" t="str">
        <f>'16U BOYS GOLD-19 TEAMS'!E54&amp;""</f>
        <v>G1(1stA)-SAN JOSE EXPRESS BLUE</v>
      </c>
      <c r="F355" s="412" t="str">
        <f>'16U BOYS GOLD-19 TEAMS'!F54&amp;""</f>
        <v>5</v>
      </c>
      <c r="G355" s="412" t="str">
        <f>'16U BOYS GOLD-19 TEAMS'!G54&amp;""</f>
        <v>G2(1stB)-SOUTH COAST WHITE (B)</v>
      </c>
      <c r="H355" s="412" t="str">
        <f>'16U BOYS GOLD-19 TEAMS'!H54&amp;""</f>
        <v>6</v>
      </c>
      <c r="I355" s="412" t="str">
        <f>'16U BOYS GOLD-19 TEAMS'!I54&amp;""</f>
        <v>G bracket G1,G2</v>
      </c>
      <c r="J355" s="412" t="str">
        <f>'16U BOYS GOLD-19 TEAMS'!J54&amp;""</f>
        <v>16U_BOYS_GOLD</v>
      </c>
      <c r="K355" s="412" t="str">
        <f t="shared" si="8"/>
        <v>202602011300</v>
      </c>
    </row>
    <row r="356" spans="1:11">
      <c r="A356" s="410">
        <f>'16U BOYS GOLD-19 TEAMS'!A55</f>
        <v>46054</v>
      </c>
      <c r="B356" s="411">
        <f>'16U BOYS GOLD-19 TEAMS'!B55</f>
        <v>0.58333333333333304</v>
      </c>
      <c r="C356" s="411" t="str">
        <f>'16U BOYS GOLD-19 TEAMS'!C55&amp;""</f>
        <v>SAN JUAN HILLS HS</v>
      </c>
      <c r="D356" s="412" t="str">
        <f>'16U BOYS GOLD-19 TEAMS'!D55&amp;""</f>
        <v>16Bau27</v>
      </c>
      <c r="E356" s="412" t="str">
        <f>'16U BOYS GOLD-19 TEAMS'!E55&amp;""</f>
        <v>H2(1stE)-CT PREMIER</v>
      </c>
      <c r="F356" s="412" t="str">
        <f>'16U BOYS GOLD-19 TEAMS'!F55&amp;""</f>
        <v>11</v>
      </c>
      <c r="G356" s="412" t="str">
        <f>'16U BOYS GOLD-19 TEAMS'!G55&amp;""</f>
        <v>H3(1stF)-LA JOLLA UNITED GOLD</v>
      </c>
      <c r="H356" s="412" t="str">
        <f>'16U BOYS GOLD-19 TEAMS'!H55&amp;""</f>
        <v>14</v>
      </c>
      <c r="I356" s="412" t="str">
        <f>'16U BOYS GOLD-19 TEAMS'!I55&amp;""</f>
        <v>H bracket H2,H3</v>
      </c>
      <c r="J356" s="412" t="str">
        <f>'16U BOYS GOLD-19 TEAMS'!J55&amp;""</f>
        <v>16U_BOYS_GOLD</v>
      </c>
      <c r="K356" s="412" t="str">
        <f t="shared" si="8"/>
        <v>202602011400</v>
      </c>
    </row>
    <row r="357" spans="1:11">
      <c r="A357" s="410">
        <f>'16U BOYS GOLD-19 TEAMS'!A56</f>
        <v>46054</v>
      </c>
      <c r="B357" s="411">
        <f>'16U BOYS GOLD-19 TEAMS'!B56</f>
        <v>0.625</v>
      </c>
      <c r="C357" s="411" t="str">
        <f>'16U BOYS GOLD-19 TEAMS'!C56&amp;""</f>
        <v>SAN JUAN HILLS HS</v>
      </c>
      <c r="D357" s="412" t="str">
        <f>'16U BOYS GOLD-19 TEAMS'!D56&amp;""</f>
        <v>16Bau28</v>
      </c>
      <c r="E357" s="412" t="str">
        <f>'16U BOYS GOLD-19 TEAMS'!E56&amp;""</f>
        <v>I1(2ndA)-CHANNEL ISLANDS UNITED BLUE</v>
      </c>
      <c r="F357" s="412" t="str">
        <f>'16U BOYS GOLD-19 TEAMS'!F56&amp;""</f>
        <v>8</v>
      </c>
      <c r="G357" s="412" t="str">
        <f>'16U BOYS GOLD-19 TEAMS'!G56&amp;""</f>
        <v>I2(2ndB)-DAVIS BLUE</v>
      </c>
      <c r="H357" s="412" t="str">
        <f>'16U BOYS GOLD-19 TEAMS'!H56&amp;""</f>
        <v>15</v>
      </c>
      <c r="I357" s="412" t="str">
        <f>'16U BOYS GOLD-19 TEAMS'!I56&amp;""</f>
        <v>I bracket I1,I2</v>
      </c>
      <c r="J357" s="412" t="str">
        <f>'16U BOYS GOLD-19 TEAMS'!J56&amp;""</f>
        <v>16U_BOYS_GOLD</v>
      </c>
      <c r="K357" s="412" t="str">
        <f t="shared" si="8"/>
        <v>202602011500</v>
      </c>
    </row>
    <row r="358" spans="1:11">
      <c r="A358" s="410">
        <f>'16U BOYS GOLD-19 TEAMS'!A57</f>
        <v>46054</v>
      </c>
      <c r="B358" s="411">
        <f>'16U BOYS GOLD-19 TEAMS'!B57</f>
        <v>0.66666666666666696</v>
      </c>
      <c r="C358" s="411" t="str">
        <f>'16U BOYS GOLD-19 TEAMS'!C57&amp;""</f>
        <v>SAN JUAN HILLS HS</v>
      </c>
      <c r="D358" s="412" t="str">
        <f>'16U BOYS GOLD-19 TEAMS'!D57&amp;""</f>
        <v>16Bau29</v>
      </c>
      <c r="E358" s="412" t="str">
        <f>'16U BOYS GOLD-19 TEAMS'!E57&amp;""</f>
        <v>N1(2ndG)-SAN JOSE EXPRESS BLUE</v>
      </c>
      <c r="F358" s="412" t="str">
        <f>'16U BOYS GOLD-19 TEAMS'!F57&amp;""</f>
        <v>8</v>
      </c>
      <c r="G358" s="412" t="str">
        <f>'16U BOYS GOLD-19 TEAMS'!G57&amp;""</f>
        <v>N2(2ndH)-CT PREMIER</v>
      </c>
      <c r="H358" s="412" t="str">
        <f>'16U BOYS GOLD-19 TEAMS'!H57&amp;""</f>
        <v>10</v>
      </c>
      <c r="I358" s="412" t="str">
        <f>'16U BOYS GOLD-19 TEAMS'!I57&amp;""</f>
        <v>3rd 2ndG/2ndH</v>
      </c>
      <c r="J358" s="412" t="str">
        <f>'16U BOYS GOLD-19 TEAMS'!J57&amp;""</f>
        <v>16U_BOYS_GOLD</v>
      </c>
      <c r="K358" s="412" t="str">
        <f t="shared" si="8"/>
        <v>202602011600</v>
      </c>
    </row>
    <row r="359" spans="1:11">
      <c r="A359" s="410">
        <f>'16U BOYS GOLD-19 TEAMS'!A58</f>
        <v>46054</v>
      </c>
      <c r="B359" s="411">
        <f>'16U BOYS GOLD-19 TEAMS'!B58</f>
        <v>0.70833333333333304</v>
      </c>
      <c r="C359" s="411" t="str">
        <f>'16U BOYS GOLD-19 TEAMS'!C58&amp;""</f>
        <v>SAN JUAN HILLS HS</v>
      </c>
      <c r="D359" s="412" t="str">
        <f>'16U BOYS GOLD-19 TEAMS'!D58&amp;""</f>
        <v>16Bau30</v>
      </c>
      <c r="E359" s="412" t="str">
        <f>'16U BOYS GOLD-19 TEAMS'!E58&amp;""</f>
        <v>O1(1stG)-SOUTH COAST WHITE (B)</v>
      </c>
      <c r="F359" s="412" t="str">
        <f>'16U BOYS GOLD-19 TEAMS'!F58&amp;""</f>
        <v>4</v>
      </c>
      <c r="G359" s="412" t="str">
        <f>'16U BOYS GOLD-19 TEAMS'!G58&amp;""</f>
        <v>O2(1stH)-LA JOLLA UNITED GOLD</v>
      </c>
      <c r="H359" s="412" t="str">
        <f>'16U BOYS GOLD-19 TEAMS'!H58&amp;""</f>
        <v>10</v>
      </c>
      <c r="I359" s="412" t="str">
        <f>'16U BOYS GOLD-19 TEAMS'!I58&amp;""</f>
        <v>1st 1stG/1stH</v>
      </c>
      <c r="J359" s="412" t="str">
        <f>'16U BOYS GOLD-19 TEAMS'!J58&amp;""</f>
        <v>16U_BOYS_GOLD</v>
      </c>
      <c r="K359" s="412" t="str">
        <f t="shared" si="8"/>
        <v>202602011700</v>
      </c>
    </row>
    <row r="360" spans="1:11">
      <c r="A360" s="406">
        <f>'16U BOYS SILVER-20 TEAMS'!A20</f>
        <v>46053</v>
      </c>
      <c r="B360" s="407">
        <f>'16U BOYS SILVER-20 TEAMS'!B20</f>
        <v>0.29166666666666669</v>
      </c>
      <c r="C360" s="407" t="str">
        <f>'16U BOYS SILVER-20 TEAMS'!C20&amp;""</f>
        <v>SONORA HS</v>
      </c>
      <c r="D360" s="408" t="str">
        <f>'16U BOYS SILVER-20 TEAMS'!D20&amp;""</f>
        <v>16Bag03</v>
      </c>
      <c r="E360" s="406" t="str">
        <f>'16U BOYS SILVER-20 TEAMS'!E20&amp;""</f>
        <v>A1-MID PEN</v>
      </c>
      <c r="F360" s="408" t="str">
        <f>'16U BOYS SILVER-20 TEAMS'!F20&amp;""</f>
        <v>22</v>
      </c>
      <c r="G360" s="406" t="str">
        <f>'16U BOYS SILVER-20 TEAMS'!G20&amp;""</f>
        <v>A2-BOA WHITE</v>
      </c>
      <c r="H360" s="408" t="str">
        <f>'16U BOYS SILVER-20 TEAMS'!H20&amp;""</f>
        <v>7</v>
      </c>
      <c r="I360" s="408" t="str">
        <f>'16U BOYS SILVER-20 TEAMS'!I20&amp;""</f>
        <v>A bracket</v>
      </c>
      <c r="J360" s="408" t="str">
        <f>'16U BOYS SILVER-20 TEAMS'!J20&amp;""</f>
        <v>16U_BOYS_SILVER</v>
      </c>
      <c r="K360" s="408" t="str">
        <f t="shared" si="8"/>
        <v>202601310700</v>
      </c>
    </row>
    <row r="361" spans="1:11">
      <c r="A361" s="421">
        <f>'16U BOYS PLATINUM-18 TEAMS'!A20</f>
        <v>46053</v>
      </c>
      <c r="B361" s="422">
        <f>'16U BOYS PLATINUM-18 TEAMS'!B20</f>
        <v>0.33333333333333298</v>
      </c>
      <c r="C361" s="422" t="str">
        <f>'16U BOYS PLATINUM-18 TEAMS'!C20&amp;""</f>
        <v>SONORA HS</v>
      </c>
      <c r="D361" s="423" t="str">
        <f>'16U BOYS PLATINUM-18 TEAMS'!D20&amp;""</f>
        <v>16Bpt01</v>
      </c>
      <c r="E361" s="424" t="str">
        <f>'16U BOYS PLATINUM-18 TEAMS'!E20&amp;""</f>
        <v>A1-CC UNITED BLACK</v>
      </c>
      <c r="F361" s="425" t="str">
        <f>'16U BOYS PLATINUM-18 TEAMS'!F20&amp;""</f>
        <v>18</v>
      </c>
      <c r="G361" s="424" t="str">
        <f>'16U BOYS PLATINUM-18 TEAMS'!G20&amp;""</f>
        <v>A3-CAPITAL</v>
      </c>
      <c r="H361" s="425" t="str">
        <f>'16U BOYS PLATINUM-18 TEAMS'!H20&amp;""</f>
        <v>6</v>
      </c>
      <c r="I361" s="426" t="str">
        <f>'16U BOYS PLATINUM-18 TEAMS'!I20&amp;""</f>
        <v>A bracket A1,A3</v>
      </c>
      <c r="J361" s="423" t="str">
        <f>'16U BOYS PLATINUM-18 TEAMS'!J20&amp;""</f>
        <v>16U_BOYS_PLATINUM</v>
      </c>
      <c r="K361" s="423" t="str">
        <f t="shared" si="8"/>
        <v>202601310800</v>
      </c>
    </row>
    <row r="362" spans="1:11">
      <c r="A362" s="421">
        <f>'16U BOYS PLATINUM-18 TEAMS'!A21</f>
        <v>46053</v>
      </c>
      <c r="B362" s="422">
        <f>'16U BOYS PLATINUM-18 TEAMS'!B21</f>
        <v>0.375</v>
      </c>
      <c r="C362" s="422" t="str">
        <f>'16U BOYS PLATINUM-18 TEAMS'!C21&amp;""</f>
        <v>SONORA HS</v>
      </c>
      <c r="D362" s="423" t="str">
        <f>'16U BOYS PLATINUM-18 TEAMS'!D21&amp;""</f>
        <v>16Bpt03</v>
      </c>
      <c r="E362" s="424" t="str">
        <f>'16U BOYS PLATINUM-18 TEAMS'!E21&amp;""</f>
        <v>B2-AMERICAN RIVER BLUE</v>
      </c>
      <c r="F362" s="425" t="str">
        <f>'16U BOYS PLATINUM-18 TEAMS'!F21&amp;""</f>
        <v>12</v>
      </c>
      <c r="G362" s="424" t="str">
        <f>'16U BOYS PLATINUM-18 TEAMS'!G21&amp;""</f>
        <v>B3-IMPERIAL WPC</v>
      </c>
      <c r="H362" s="425" t="str">
        <f>'16U BOYS PLATINUM-18 TEAMS'!H21&amp;""</f>
        <v>15</v>
      </c>
      <c r="I362" s="426" t="str">
        <f>'16U BOYS PLATINUM-18 TEAMS'!I21&amp;""</f>
        <v>B bracket B2,B3</v>
      </c>
      <c r="J362" s="423" t="str">
        <f>'16U BOYS PLATINUM-18 TEAMS'!J21&amp;""</f>
        <v>16U_BOYS_PLATINUM</v>
      </c>
      <c r="K362" s="423" t="str">
        <f t="shared" si="8"/>
        <v>202601310900</v>
      </c>
    </row>
    <row r="363" spans="1:11">
      <c r="A363" s="406">
        <f>'16U BOYS SILVER-20 TEAMS'!A23</f>
        <v>46053</v>
      </c>
      <c r="B363" s="407">
        <f>'16U BOYS SILVER-20 TEAMS'!B23</f>
        <v>0.41666666666666702</v>
      </c>
      <c r="C363" s="407" t="str">
        <f>'16U BOYS SILVER-20 TEAMS'!C23&amp;""</f>
        <v>SONORA HS</v>
      </c>
      <c r="D363" s="408" t="str">
        <f>'16U BOYS SILVER-20 TEAMS'!D23&amp;""</f>
        <v>16Bag06</v>
      </c>
      <c r="E363" s="406" t="str">
        <f>'16U BOYS SILVER-20 TEAMS'!E23&amp;""</f>
        <v>A1-MID PEN</v>
      </c>
      <c r="F363" s="408" t="str">
        <f>'16U BOYS SILVER-20 TEAMS'!F23&amp;""</f>
        <v>12</v>
      </c>
      <c r="G363" s="406" t="str">
        <f>'16U BOYS SILVER-20 TEAMS'!G23&amp;""</f>
        <v>A3-TRITON GOLD</v>
      </c>
      <c r="H363" s="408" t="str">
        <f>'16U BOYS SILVER-20 TEAMS'!H23&amp;""</f>
        <v>3</v>
      </c>
      <c r="I363" s="408" t="str">
        <f>'16U BOYS SILVER-20 TEAMS'!I23&amp;""</f>
        <v>A bracket</v>
      </c>
      <c r="J363" s="408" t="str">
        <f>'16U BOYS SILVER-20 TEAMS'!J23&amp;""</f>
        <v>16U_BOYS_SILVER</v>
      </c>
      <c r="K363" s="408" t="str">
        <f t="shared" si="8"/>
        <v>202601311000</v>
      </c>
    </row>
    <row r="364" spans="1:11">
      <c r="A364" s="421">
        <f>'16U BOYS PLATINUM-18 TEAMS'!A23</f>
        <v>46053</v>
      </c>
      <c r="B364" s="422">
        <f>'16U BOYS PLATINUM-18 TEAMS'!B23</f>
        <v>0.45833333333333298</v>
      </c>
      <c r="C364" s="422" t="str">
        <f>'16U BOYS PLATINUM-18 TEAMS'!C23&amp;""</f>
        <v>SONORA HS</v>
      </c>
      <c r="D364" s="423" t="str">
        <f>'16U BOYS PLATINUM-18 TEAMS'!D23&amp;""</f>
        <v>16Bpt05</v>
      </c>
      <c r="E364" s="422" t="str">
        <f>'16U BOYS PLATINUM-18 TEAMS'!E23&amp;""</f>
        <v>C1-680 RED</v>
      </c>
      <c r="F364" s="426" t="str">
        <f>'16U BOYS PLATINUM-18 TEAMS'!F23&amp;""</f>
        <v>19</v>
      </c>
      <c r="G364" s="422" t="str">
        <f>'16U BOYS PLATINUM-18 TEAMS'!G23&amp;""</f>
        <v>C3-FOOTHILL RED</v>
      </c>
      <c r="H364" s="425" t="str">
        <f>'16U BOYS PLATINUM-18 TEAMS'!H23&amp;""</f>
        <v>3</v>
      </c>
      <c r="I364" s="426" t="str">
        <f>'16U BOYS PLATINUM-18 TEAMS'!I23&amp;""</f>
        <v>C bracket C1,C3</v>
      </c>
      <c r="J364" s="423" t="str">
        <f>'16U BOYS PLATINUM-18 TEAMS'!J23&amp;""</f>
        <v>16U_BOYS_PLATINUM</v>
      </c>
      <c r="K364" s="423" t="str">
        <f t="shared" si="8"/>
        <v>202601311100</v>
      </c>
    </row>
    <row r="365" spans="1:11">
      <c r="A365" s="421">
        <f>'16U BOYS PLATINUM-18 TEAMS'!A24</f>
        <v>46053</v>
      </c>
      <c r="B365" s="422">
        <f>'16U BOYS PLATINUM-18 TEAMS'!B24</f>
        <v>0.5</v>
      </c>
      <c r="C365" s="422" t="str">
        <f>'16U BOYS PLATINUM-18 TEAMS'!C24&amp;""</f>
        <v>SONORA HS</v>
      </c>
      <c r="D365" s="423" t="str">
        <f>'16U BOYS PLATINUM-18 TEAMS'!D24&amp;""</f>
        <v>16Bpt07</v>
      </c>
      <c r="E365" s="424" t="str">
        <f>'16U BOYS PLATINUM-18 TEAMS'!E24&amp;""</f>
        <v>A1-CC UNITED BLACK</v>
      </c>
      <c r="F365" s="425" t="str">
        <f>'16U BOYS PLATINUM-18 TEAMS'!F24&amp;""</f>
        <v>12.5</v>
      </c>
      <c r="G365" s="424" t="str">
        <f>'16U BOYS PLATINUM-18 TEAMS'!G24&amp;""</f>
        <v>A2-SAND CANYON</v>
      </c>
      <c r="H365" s="425" t="str">
        <f>'16U BOYS PLATINUM-18 TEAMS'!H24&amp;""</f>
        <v>12.3</v>
      </c>
      <c r="I365" s="426" t="str">
        <f>'16U BOYS PLATINUM-18 TEAMS'!I24&amp;""</f>
        <v>A bracket A1,A2</v>
      </c>
      <c r="J365" s="423" t="str">
        <f>'16U BOYS PLATINUM-18 TEAMS'!J24&amp;""</f>
        <v>16U_BOYS_PLATINUM</v>
      </c>
      <c r="K365" s="423" t="str">
        <f t="shared" si="8"/>
        <v>202601311200</v>
      </c>
    </row>
    <row r="366" spans="1:11">
      <c r="A366" s="406">
        <f>'16U BOYS SILVER-20 TEAMS'!A27</f>
        <v>46053</v>
      </c>
      <c r="B366" s="407">
        <f>'16U BOYS SILVER-20 TEAMS'!B27</f>
        <v>0.54166666666666696</v>
      </c>
      <c r="C366" s="407" t="str">
        <f>'16U BOYS SILVER-20 TEAMS'!C27&amp;""</f>
        <v>SONORA HS</v>
      </c>
      <c r="D366" s="408" t="str">
        <f>'16U BOYS SILVER-20 TEAMS'!D27&amp;""</f>
        <v>16Bag09</v>
      </c>
      <c r="E366" s="406" t="str">
        <f>'16U BOYS SILVER-20 TEAMS'!E27&amp;""</f>
        <v>A2-BOA WHITE</v>
      </c>
      <c r="F366" s="408" t="str">
        <f>'16U BOYS SILVER-20 TEAMS'!F27&amp;""</f>
        <v>3</v>
      </c>
      <c r="G366" s="406" t="str">
        <f>'16U BOYS SILVER-20 TEAMS'!G27&amp;""</f>
        <v>A3-TRITON GOLD</v>
      </c>
      <c r="H366" s="408" t="str">
        <f>'16U BOYS SILVER-20 TEAMS'!H27&amp;""</f>
        <v>11</v>
      </c>
      <c r="I366" s="408" t="str">
        <f>'16U BOYS SILVER-20 TEAMS'!I27&amp;""</f>
        <v>A bracket</v>
      </c>
      <c r="J366" s="408" t="str">
        <f>'16U BOYS SILVER-20 TEAMS'!J27&amp;""</f>
        <v>16U_BOYS_SILVER</v>
      </c>
      <c r="K366" s="408" t="str">
        <f t="shared" si="8"/>
        <v>202601311300</v>
      </c>
    </row>
    <row r="367" spans="1:11">
      <c r="A367" s="421">
        <f>'16U BOYS PLATINUM-18 TEAMS'!A26</f>
        <v>46053</v>
      </c>
      <c r="B367" s="422">
        <f>'16U BOYS PLATINUM-18 TEAMS'!B26</f>
        <v>0.58333333333333304</v>
      </c>
      <c r="C367" s="422" t="str">
        <f>'16U BOYS PLATINUM-18 TEAMS'!C26&amp;""</f>
        <v>SONORA HS</v>
      </c>
      <c r="D367" s="423" t="str">
        <f>'16U BOYS PLATINUM-18 TEAMS'!D26&amp;""</f>
        <v>16Bpt09</v>
      </c>
      <c r="E367" s="424" t="str">
        <f>'16U BOYS PLATINUM-18 TEAMS'!E26&amp;""</f>
        <v>B1-LA JOLLA UNITED NAVY</v>
      </c>
      <c r="F367" s="425" t="str">
        <f>'16U BOYS PLATINUM-18 TEAMS'!F26&amp;""</f>
        <v>7</v>
      </c>
      <c r="G367" s="424" t="str">
        <f>'16U BOYS PLATINUM-18 TEAMS'!G26&amp;""</f>
        <v>B3-IMPERIAL WPC</v>
      </c>
      <c r="H367" s="425" t="str">
        <f>'16U BOYS PLATINUM-18 TEAMS'!H26&amp;""</f>
        <v>11</v>
      </c>
      <c r="I367" s="426" t="str">
        <f>'16U BOYS PLATINUM-18 TEAMS'!I26&amp;""</f>
        <v>B bracket B1,B3</v>
      </c>
      <c r="J367" s="423" t="str">
        <f>'16U BOYS PLATINUM-18 TEAMS'!J26&amp;""</f>
        <v>16U_BOYS_PLATINUM</v>
      </c>
      <c r="K367" s="423" t="str">
        <f t="shared" si="8"/>
        <v>202601311400</v>
      </c>
    </row>
    <row r="368" spans="1:11">
      <c r="A368" s="421">
        <f>'16U BOYS PLATINUM-18 TEAMS'!A27</f>
        <v>46053</v>
      </c>
      <c r="B368" s="422">
        <f>'16U BOYS PLATINUM-18 TEAMS'!B27</f>
        <v>0.625</v>
      </c>
      <c r="C368" s="422" t="str">
        <f>'16U BOYS PLATINUM-18 TEAMS'!C27&amp;""</f>
        <v>SONORA HS</v>
      </c>
      <c r="D368" s="423" t="str">
        <f>'16U BOYS PLATINUM-18 TEAMS'!D27&amp;""</f>
        <v>16Bpt11</v>
      </c>
      <c r="E368" s="422" t="str">
        <f>'16U BOYS PLATINUM-18 TEAMS'!E27&amp;""</f>
        <v>C2-VANGUARD BLUE</v>
      </c>
      <c r="F368" s="426" t="str">
        <f>'16U BOYS PLATINUM-18 TEAMS'!F27&amp;""</f>
        <v>7</v>
      </c>
      <c r="G368" s="422" t="str">
        <f>'16U BOYS PLATINUM-18 TEAMS'!G27&amp;""</f>
        <v>C3-FOOTHILL RED</v>
      </c>
      <c r="H368" s="425" t="str">
        <f>'16U BOYS PLATINUM-18 TEAMS'!H27&amp;""</f>
        <v>3</v>
      </c>
      <c r="I368" s="426" t="str">
        <f>'16U BOYS PLATINUM-18 TEAMS'!I27&amp;""</f>
        <v>C bracket C2,C3</v>
      </c>
      <c r="J368" s="423" t="str">
        <f>'16U BOYS PLATINUM-18 TEAMS'!J27&amp;""</f>
        <v>16U_BOYS_PLATINUM</v>
      </c>
      <c r="K368" s="423" t="str">
        <f t="shared" si="8"/>
        <v>202601311500</v>
      </c>
    </row>
    <row r="369" spans="1:11">
      <c r="A369" s="421">
        <f>'16U BOYS PLATINUM-18 TEAMS'!A28</f>
        <v>46053</v>
      </c>
      <c r="B369" s="422">
        <f>'16U BOYS PLATINUM-18 TEAMS'!B28</f>
        <v>0.66666666666666696</v>
      </c>
      <c r="C369" s="422" t="str">
        <f>'16U BOYS PLATINUM-18 TEAMS'!C28&amp;""</f>
        <v>SONORA HS</v>
      </c>
      <c r="D369" s="423" t="str">
        <f>'16U BOYS PLATINUM-18 TEAMS'!D28&amp;""</f>
        <v>16Bpt13</v>
      </c>
      <c r="E369" s="424" t="str">
        <f>'16U BOYS PLATINUM-18 TEAMS'!E28&amp;""</f>
        <v>A2-SAND CANYON</v>
      </c>
      <c r="F369" s="425" t="str">
        <f>'16U BOYS PLATINUM-18 TEAMS'!F28&amp;""</f>
        <v>14</v>
      </c>
      <c r="G369" s="424" t="str">
        <f>'16U BOYS PLATINUM-18 TEAMS'!G28&amp;""</f>
        <v>A3-CAPITAL</v>
      </c>
      <c r="H369" s="425" t="str">
        <f>'16U BOYS PLATINUM-18 TEAMS'!H28&amp;""</f>
        <v>11</v>
      </c>
      <c r="I369" s="426" t="str">
        <f>'16U BOYS PLATINUM-18 TEAMS'!I28&amp;""</f>
        <v>A bracket A2,A3</v>
      </c>
      <c r="J369" s="423" t="str">
        <f>'16U BOYS PLATINUM-18 TEAMS'!J28&amp;""</f>
        <v>16U_BOYS_PLATINUM</v>
      </c>
      <c r="K369" s="423" t="str">
        <f t="shared" si="8"/>
        <v>202601311600</v>
      </c>
    </row>
    <row r="370" spans="1:11">
      <c r="A370" s="421">
        <f>'16U BOYS PLATINUM-18 TEAMS'!A29</f>
        <v>46053</v>
      </c>
      <c r="B370" s="422">
        <f>'16U BOYS PLATINUM-18 TEAMS'!B29</f>
        <v>0.70833333333333304</v>
      </c>
      <c r="C370" s="422" t="str">
        <f>'16U BOYS PLATINUM-18 TEAMS'!C29&amp;""</f>
        <v>SONORA HS</v>
      </c>
      <c r="D370" s="423" t="str">
        <f>'16U BOYS PLATINUM-18 TEAMS'!D29&amp;""</f>
        <v>16Bpt15</v>
      </c>
      <c r="E370" s="422" t="str">
        <f>'16U BOYS PLATINUM-18 TEAMS'!E29&amp;""</f>
        <v>B1-LA JOLLA UNITED NAVY</v>
      </c>
      <c r="F370" s="426" t="str">
        <f>'16U BOYS PLATINUM-18 TEAMS'!F29&amp;""</f>
        <v>8</v>
      </c>
      <c r="G370" s="422" t="str">
        <f>'16U BOYS PLATINUM-18 TEAMS'!G29&amp;""</f>
        <v>B2-AMERICAN RIVER BLUE</v>
      </c>
      <c r="H370" s="425" t="str">
        <f>'16U BOYS PLATINUM-18 TEAMS'!H29&amp;""</f>
        <v>10</v>
      </c>
      <c r="I370" s="426" t="str">
        <f>'16U BOYS PLATINUM-18 TEAMS'!I29&amp;""</f>
        <v>B bracket B1,B2</v>
      </c>
      <c r="J370" s="423" t="str">
        <f>'16U BOYS PLATINUM-18 TEAMS'!J29&amp;""</f>
        <v>16U_BOYS_PLATINUM</v>
      </c>
      <c r="K370" s="423" t="str">
        <f t="shared" ref="K370:K433" si="9">TEXT(DATE(2026, MONTH(A370), DAY(A370)) + TIME(HOUR(B370), MINUTE(B370), 0), "yyyymmddhhmm")</f>
        <v>202601311700</v>
      </c>
    </row>
    <row r="371" spans="1:11">
      <c r="A371" s="421">
        <f>'16U BOYS PLATINUM-18 TEAMS'!A30</f>
        <v>46053</v>
      </c>
      <c r="B371" s="422">
        <f>'16U BOYS PLATINUM-18 TEAMS'!B30</f>
        <v>0.75</v>
      </c>
      <c r="C371" s="422" t="str">
        <f>'16U BOYS PLATINUM-18 TEAMS'!C30&amp;""</f>
        <v>SONORA HS</v>
      </c>
      <c r="D371" s="423" t="str">
        <f>'16U BOYS PLATINUM-18 TEAMS'!D30&amp;""</f>
        <v>16Bpt17</v>
      </c>
      <c r="E371" s="424" t="str">
        <f>'16U BOYS PLATINUM-18 TEAMS'!E30&amp;""</f>
        <v>C1-680 RED</v>
      </c>
      <c r="F371" s="425" t="str">
        <f>'16U BOYS PLATINUM-18 TEAMS'!F30&amp;""</f>
        <v>9</v>
      </c>
      <c r="G371" s="424" t="str">
        <f>'16U BOYS PLATINUM-18 TEAMS'!G30&amp;""</f>
        <v>C2-VANGUARD BLUE</v>
      </c>
      <c r="H371" s="425" t="str">
        <f>'16U BOYS PLATINUM-18 TEAMS'!H30&amp;""</f>
        <v>8</v>
      </c>
      <c r="I371" s="426" t="str">
        <f>'16U BOYS PLATINUM-18 TEAMS'!I30&amp;""</f>
        <v>C bracket C1,C2</v>
      </c>
      <c r="J371" s="423" t="str">
        <f>'16U BOYS PLATINUM-18 TEAMS'!J30&amp;""</f>
        <v>16U_BOYS_PLATINUM</v>
      </c>
      <c r="K371" s="423" t="str">
        <f t="shared" si="9"/>
        <v>202601311800</v>
      </c>
    </row>
    <row r="372" spans="1:11">
      <c r="A372" s="406">
        <f>'16U BOYS SILVER-20 TEAMS'!A51</f>
        <v>46054</v>
      </c>
      <c r="B372" s="407">
        <f>'16U BOYS SILVER-20 TEAMS'!B51</f>
        <v>0.29166666666666669</v>
      </c>
      <c r="C372" s="407" t="str">
        <f>'16U BOYS SILVER-20 TEAMS'!C51&amp;""</f>
        <v>SONORA HS</v>
      </c>
      <c r="D372" s="408" t="str">
        <f>'16U BOYS SILVER-20 TEAMS'!D51&amp;""</f>
        <v>16Bag24</v>
      </c>
      <c r="E372" s="408" t="str">
        <f>'16U BOYS SILVER-20 TEAMS'!E51&amp;""</f>
        <v>H1(2ndA)-TRITON GOLD</v>
      </c>
      <c r="F372" s="408" t="str">
        <f>'16U BOYS SILVER-20 TEAMS'!F51&amp;""</f>
        <v>10</v>
      </c>
      <c r="G372" s="408" t="str">
        <f>'16U BOYS SILVER-20 TEAMS'!G51&amp;""</f>
        <v>H3(2ndC)-DAVIS WHITE</v>
      </c>
      <c r="H372" s="408" t="str">
        <f>'16U BOYS SILVER-20 TEAMS'!H51&amp;""</f>
        <v>15</v>
      </c>
      <c r="I372" s="408" t="str">
        <f>'16U BOYS SILVER-20 TEAMS'!I51&amp;""</f>
        <v>H bracket</v>
      </c>
      <c r="J372" s="408" t="str">
        <f>'16U BOYS SILVER-20 TEAMS'!J51&amp;""</f>
        <v>16U_BOYS_SILVER</v>
      </c>
      <c r="K372" s="408" t="str">
        <f t="shared" si="9"/>
        <v>202602010700</v>
      </c>
    </row>
    <row r="373" spans="1:11">
      <c r="A373" s="406">
        <f>'16U BOYS SILVER-20 TEAMS'!A52</f>
        <v>46054</v>
      </c>
      <c r="B373" s="407">
        <f>'16U BOYS SILVER-20 TEAMS'!B52</f>
        <v>0.33333333333333298</v>
      </c>
      <c r="C373" s="407" t="str">
        <f>'16U BOYS SILVER-20 TEAMS'!C52&amp;""</f>
        <v>SONORA HS</v>
      </c>
      <c r="D373" s="408" t="str">
        <f>'16U BOYS SILVER-20 TEAMS'!D52&amp;""</f>
        <v>16Bag25</v>
      </c>
      <c r="E373" s="408" t="str">
        <f>'16U BOYS SILVER-20 TEAMS'!E52&amp;""</f>
        <v>G1(1stA)-MID PEN</v>
      </c>
      <c r="F373" s="408" t="str">
        <f>'16U BOYS SILVER-20 TEAMS'!F52&amp;""</f>
        <v>8</v>
      </c>
      <c r="G373" s="409" t="str">
        <f>'16U BOYS SILVER-20 TEAMS'!G52&amp;""</f>
        <v>G3(1stC)-LAMORINDA B</v>
      </c>
      <c r="H373" s="408" t="str">
        <f>'16U BOYS SILVER-20 TEAMS'!H52&amp;""</f>
        <v>13</v>
      </c>
      <c r="I373" s="408" t="str">
        <f>'16U BOYS SILVER-20 TEAMS'!I52&amp;""</f>
        <v>G bracket</v>
      </c>
      <c r="J373" s="408" t="str">
        <f>'16U BOYS SILVER-20 TEAMS'!J52&amp;""</f>
        <v>16U_BOYS_SILVER</v>
      </c>
      <c r="K373" s="408" t="str">
        <f t="shared" si="9"/>
        <v>202602010800</v>
      </c>
    </row>
    <row r="374" spans="1:11">
      <c r="A374" s="406">
        <f>'16U BOYS SILVER-20 TEAMS'!A53</f>
        <v>46054</v>
      </c>
      <c r="B374" s="407">
        <f>'16U BOYS SILVER-20 TEAMS'!B53</f>
        <v>0.375</v>
      </c>
      <c r="C374" s="407" t="str">
        <f>'16U BOYS SILVER-20 TEAMS'!C53&amp;""</f>
        <v>SONORA HS</v>
      </c>
      <c r="D374" s="408" t="str">
        <f>'16U BOYS SILVER-20 TEAMS'!D53&amp;""</f>
        <v>16Bag26</v>
      </c>
      <c r="E374" s="408" t="str">
        <f>'16U BOYS SILVER-20 TEAMS'!E53&amp;""</f>
        <v>J2(1stE)-LA JOLLA UNITED WHITE</v>
      </c>
      <c r="F374" s="408" t="str">
        <f>'16U BOYS SILVER-20 TEAMS'!F53&amp;""</f>
        <v>12</v>
      </c>
      <c r="G374" s="408" t="str">
        <f>'16U BOYS SILVER-20 TEAMS'!G53&amp;""</f>
        <v>J3(1stF)-HIELAND</v>
      </c>
      <c r="H374" s="408" t="str">
        <f>'16U BOYS SILVER-20 TEAMS'!H53&amp;""</f>
        <v>7</v>
      </c>
      <c r="I374" s="408" t="str">
        <f>'16U BOYS SILVER-20 TEAMS'!I53&amp;""</f>
        <v>J bracket</v>
      </c>
      <c r="J374" s="408" t="str">
        <f>'16U BOYS SILVER-20 TEAMS'!J53&amp;""</f>
        <v>16U_BOYS_SILVER</v>
      </c>
      <c r="K374" s="408" t="str">
        <f t="shared" si="9"/>
        <v>202602010900</v>
      </c>
    </row>
    <row r="375" spans="1:11">
      <c r="A375" s="406">
        <f>'16U BOYS SILVER-20 TEAMS'!A54</f>
        <v>46054</v>
      </c>
      <c r="B375" s="407">
        <f>'16U BOYS SILVER-20 TEAMS'!B54</f>
        <v>0.41666666666666702</v>
      </c>
      <c r="C375" s="407" t="str">
        <f>'16U BOYS SILVER-20 TEAMS'!C54&amp;""</f>
        <v>SONORA HS</v>
      </c>
      <c r="D375" s="408" t="str">
        <f>'16U BOYS SILVER-20 TEAMS'!D54&amp;""</f>
        <v>16Bag27</v>
      </c>
      <c r="E375" s="408" t="str">
        <f>'16U BOYS SILVER-20 TEAMS'!E54&amp;""</f>
        <v>K2(2ndE)-STANFORD WHITE</v>
      </c>
      <c r="F375" s="408" t="str">
        <f>'16U BOYS SILVER-20 TEAMS'!F54&amp;""</f>
        <v>16</v>
      </c>
      <c r="G375" s="408" t="str">
        <f>'16U BOYS SILVER-20 TEAMS'!G54&amp;""</f>
        <v>K3(2ndF)-WCAC UNITED</v>
      </c>
      <c r="H375" s="408" t="str">
        <f>'16U BOYS SILVER-20 TEAMS'!H54&amp;""</f>
        <v>4</v>
      </c>
      <c r="I375" s="408" t="str">
        <f>'16U BOYS SILVER-20 TEAMS'!I54&amp;""</f>
        <v>K bracket</v>
      </c>
      <c r="J375" s="408" t="str">
        <f>'16U BOYS SILVER-20 TEAMS'!J54&amp;""</f>
        <v>16U_BOYS_SILVER</v>
      </c>
      <c r="K375" s="408" t="str">
        <f t="shared" si="9"/>
        <v>202602011000</v>
      </c>
    </row>
    <row r="376" spans="1:11">
      <c r="A376" s="406">
        <f>'16U BOYS SILVER-20 TEAMS'!A55</f>
        <v>46054</v>
      </c>
      <c r="B376" s="407">
        <f>'16U BOYS SILVER-20 TEAMS'!B55</f>
        <v>0.45833333333333298</v>
      </c>
      <c r="C376" s="407" t="str">
        <f>'16U BOYS SILVER-20 TEAMS'!C55&amp;""</f>
        <v>SONORA HS</v>
      </c>
      <c r="D376" s="408" t="str">
        <f>'16U BOYS SILVER-20 TEAMS'!D55&amp;""</f>
        <v>16Bag28</v>
      </c>
      <c r="E376" s="408" t="str">
        <f>'16U BOYS SILVER-20 TEAMS'!E55&amp;""</f>
        <v>G1(1stA)-MID PEN</v>
      </c>
      <c r="F376" s="408" t="str">
        <f>'16U BOYS SILVER-20 TEAMS'!F55&amp;""</f>
        <v>6</v>
      </c>
      <c r="G376" s="408" t="str">
        <f>'16U BOYS SILVER-20 TEAMS'!G55&amp;""</f>
        <v>G2(1stB)-SANTA CRUZ</v>
      </c>
      <c r="H376" s="408" t="str">
        <f>'16U BOYS SILVER-20 TEAMS'!H55&amp;""</f>
        <v>11</v>
      </c>
      <c r="I376" s="408" t="str">
        <f>'16U BOYS SILVER-20 TEAMS'!I55&amp;""</f>
        <v>G bracket</v>
      </c>
      <c r="J376" s="408" t="str">
        <f>'16U BOYS SILVER-20 TEAMS'!J55&amp;""</f>
        <v>16U_BOYS_SILVER</v>
      </c>
      <c r="K376" s="408" t="str">
        <f t="shared" si="9"/>
        <v>202602011100</v>
      </c>
    </row>
    <row r="377" spans="1:11">
      <c r="A377" s="406">
        <f>'16U BOYS SILVER-20 TEAMS'!A56</f>
        <v>46054</v>
      </c>
      <c r="B377" s="407">
        <f>'16U BOYS SILVER-20 TEAMS'!B56</f>
        <v>0.5</v>
      </c>
      <c r="C377" s="407" t="str">
        <f>'16U BOYS SILVER-20 TEAMS'!C56&amp;""</f>
        <v>SONORA HS</v>
      </c>
      <c r="D377" s="408" t="str">
        <f>'16U BOYS SILVER-20 TEAMS'!D56&amp;""</f>
        <v>16Bag29</v>
      </c>
      <c r="E377" s="408" t="str">
        <f>'16U BOYS SILVER-20 TEAMS'!E56&amp;""</f>
        <v>J1(1stD)-CC UNITED WHITE</v>
      </c>
      <c r="F377" s="408" t="str">
        <f>'16U BOYS SILVER-20 TEAMS'!F56&amp;""</f>
        <v>6</v>
      </c>
      <c r="G377" s="408" t="str">
        <f>'16U BOYS SILVER-20 TEAMS'!G56&amp;""</f>
        <v>J2(1stE)-LA JOLLA UNITED WHITE</v>
      </c>
      <c r="H377" s="408" t="str">
        <f>'16U BOYS SILVER-20 TEAMS'!H56&amp;""</f>
        <v>14</v>
      </c>
      <c r="I377" s="408" t="str">
        <f>'16U BOYS SILVER-20 TEAMS'!I56&amp;""</f>
        <v>J bracket</v>
      </c>
      <c r="J377" s="408" t="str">
        <f>'16U BOYS SILVER-20 TEAMS'!J56&amp;""</f>
        <v>16U_BOYS_SILVER</v>
      </c>
      <c r="K377" s="408" t="str">
        <f t="shared" si="9"/>
        <v>202602011200</v>
      </c>
    </row>
    <row r="378" spans="1:11">
      <c r="A378" s="406">
        <f>'16U BOYS SILVER-20 TEAMS'!A57</f>
        <v>46054</v>
      </c>
      <c r="B378" s="407">
        <f>'16U BOYS SILVER-20 TEAMS'!B57</f>
        <v>0.54166666666666696</v>
      </c>
      <c r="C378" s="407" t="str">
        <f>'16U BOYS SILVER-20 TEAMS'!C57&amp;""</f>
        <v>SONORA HS</v>
      </c>
      <c r="D378" s="408" t="str">
        <f>'16U BOYS SILVER-20 TEAMS'!D57&amp;""</f>
        <v>16Bag30</v>
      </c>
      <c r="E378" s="408" t="str">
        <f>'16U BOYS SILVER-20 TEAMS'!E57&amp;""</f>
        <v>K1(2ndD)-SD ECA</v>
      </c>
      <c r="F378" s="408" t="str">
        <f>'16U BOYS SILVER-20 TEAMS'!F57&amp;""</f>
        <v>3</v>
      </c>
      <c r="G378" s="408" t="str">
        <f>'16U BOYS SILVER-20 TEAMS'!G57&amp;""</f>
        <v>K2(2ndE)-STANFORD WHITE</v>
      </c>
      <c r="H378" s="408" t="str">
        <f>'16U BOYS SILVER-20 TEAMS'!H57&amp;""</f>
        <v>15</v>
      </c>
      <c r="I378" s="408" t="str">
        <f>'16U BOYS SILVER-20 TEAMS'!I57&amp;""</f>
        <v>K bracket</v>
      </c>
      <c r="J378" s="408" t="str">
        <f>'16U BOYS SILVER-20 TEAMS'!J57&amp;""</f>
        <v>16U_BOYS_SILVER</v>
      </c>
      <c r="K378" s="408" t="str">
        <f t="shared" si="9"/>
        <v>202602011300</v>
      </c>
    </row>
    <row r="379" spans="1:11">
      <c r="A379" s="406">
        <f>'16U BOYS SILVER-20 TEAMS'!A58</f>
        <v>46054</v>
      </c>
      <c r="B379" s="407">
        <f>'16U BOYS SILVER-20 TEAMS'!B58</f>
        <v>0.58333333333333304</v>
      </c>
      <c r="C379" s="407" t="str">
        <f>'16U BOYS SILVER-20 TEAMS'!C58&amp;""</f>
        <v>SONORA HS</v>
      </c>
      <c r="D379" s="408" t="str">
        <f>'16U BOYS SILVER-20 TEAMS'!D58&amp;""</f>
        <v>16Bag40</v>
      </c>
      <c r="E379" s="408" t="str">
        <f>'16U BOYS SILVER-20 TEAMS'!E58&amp;""</f>
        <v>H1(2ndA)-TRITON GOLD</v>
      </c>
      <c r="F379" s="408" t="str">
        <f>'16U BOYS SILVER-20 TEAMS'!F58&amp;""</f>
        <v>8.3</v>
      </c>
      <c r="G379" s="409" t="str">
        <f>'16U BOYS SILVER-20 TEAMS'!G58&amp;""</f>
        <v>H2(2ndB)-LA JOLLA UNITED SILVER</v>
      </c>
      <c r="H379" s="408" t="str">
        <f>'16U BOYS SILVER-20 TEAMS'!H58&amp;""</f>
        <v>8.4</v>
      </c>
      <c r="I379" s="408" t="str">
        <f>'16U BOYS SILVER-20 TEAMS'!I58&amp;""</f>
        <v>H bracket</v>
      </c>
      <c r="J379" s="408" t="str">
        <f>'16U BOYS SILVER-20 TEAMS'!J58&amp;""</f>
        <v>16U_BOYS_SILVER</v>
      </c>
      <c r="K379" s="408" t="str">
        <f t="shared" si="9"/>
        <v>202602011400</v>
      </c>
    </row>
    <row r="380" spans="1:11">
      <c r="A380" s="406">
        <f>'16U BOYS SILVER-20 TEAMS'!A59</f>
        <v>46054</v>
      </c>
      <c r="B380" s="407">
        <f>'16U BOYS SILVER-20 TEAMS'!B59</f>
        <v>0.625</v>
      </c>
      <c r="C380" s="407" t="str">
        <f>'16U BOYS SILVER-20 TEAMS'!C59&amp;""</f>
        <v>SONORA HS</v>
      </c>
      <c r="D380" s="408" t="str">
        <f>'16U BOYS SILVER-20 TEAMS'!D59&amp;""</f>
        <v>16Bag43</v>
      </c>
      <c r="E380" s="408" t="str">
        <f>'16U BOYS SILVER-20 TEAMS'!E59&amp;""</f>
        <v>3rdG-MID PEN</v>
      </c>
      <c r="F380" s="408" t="str">
        <f>'16U BOYS SILVER-20 TEAMS'!F59&amp;""</f>
        <v>8</v>
      </c>
      <c r="G380" s="408" t="str">
        <f>'16U BOYS SILVER-20 TEAMS'!G59&amp;""</f>
        <v>3rdJ-HIELAND</v>
      </c>
      <c r="H380" s="408" t="str">
        <f>'16U BOYS SILVER-20 TEAMS'!H59&amp;""</f>
        <v>9</v>
      </c>
      <c r="I380" s="408" t="str">
        <f>'16U BOYS SILVER-20 TEAMS'!I59&amp;""</f>
        <v>5th</v>
      </c>
      <c r="J380" s="408" t="str">
        <f>'16U BOYS SILVER-20 TEAMS'!J59&amp;""</f>
        <v>16U_BOYS_SILVER</v>
      </c>
      <c r="K380" s="408" t="str">
        <f t="shared" si="9"/>
        <v>202602011500</v>
      </c>
    </row>
    <row r="381" spans="1:11">
      <c r="A381" s="406">
        <f>'16U BOYS SILVER-20 TEAMS'!A60</f>
        <v>46054</v>
      </c>
      <c r="B381" s="407">
        <f>'16U BOYS SILVER-20 TEAMS'!B60</f>
        <v>0.66666666666666696</v>
      </c>
      <c r="C381" s="407" t="str">
        <f>'16U BOYS SILVER-20 TEAMS'!C60&amp;""</f>
        <v>SONORA HS</v>
      </c>
      <c r="D381" s="408" t="str">
        <f>'16U BOYS SILVER-20 TEAMS'!D60&amp;""</f>
        <v>16Bag31</v>
      </c>
      <c r="E381" s="408" t="str">
        <f>'16U BOYS SILVER-20 TEAMS'!E60&amp;""</f>
        <v>2ndG-SANTA CRUZ</v>
      </c>
      <c r="F381" s="408" t="str">
        <f>'16U BOYS SILVER-20 TEAMS'!F60&amp;""</f>
        <v>5</v>
      </c>
      <c r="G381" s="408" t="str">
        <f>'16U BOYS SILVER-20 TEAMS'!G60&amp;""</f>
        <v>2ndJ-CC UNITED WHITE</v>
      </c>
      <c r="H381" s="408" t="str">
        <f>'16U BOYS SILVER-20 TEAMS'!H60&amp;""</f>
        <v>4</v>
      </c>
      <c r="I381" s="408" t="str">
        <f>'16U BOYS SILVER-20 TEAMS'!I60&amp;""</f>
        <v>3rd</v>
      </c>
      <c r="J381" s="408" t="str">
        <f>'16U BOYS SILVER-20 TEAMS'!J60&amp;""</f>
        <v>16U_BOYS_SILVER</v>
      </c>
      <c r="K381" s="408" t="str">
        <f t="shared" si="9"/>
        <v>202602011600</v>
      </c>
    </row>
    <row r="382" spans="1:11">
      <c r="A382" s="406">
        <f>'16U BOYS SILVER-20 TEAMS'!A61</f>
        <v>46054</v>
      </c>
      <c r="B382" s="407">
        <f>'16U BOYS SILVER-20 TEAMS'!B61</f>
        <v>0.70833333333333304</v>
      </c>
      <c r="C382" s="407" t="str">
        <f>'16U BOYS SILVER-20 TEAMS'!C61&amp;""</f>
        <v>SONORA HS</v>
      </c>
      <c r="D382" s="408" t="str">
        <f>'16U BOYS SILVER-20 TEAMS'!D61&amp;""</f>
        <v>16Bag32</v>
      </c>
      <c r="E382" s="408" t="str">
        <f>'16U BOYS SILVER-20 TEAMS'!E61&amp;""</f>
        <v>1stG-LAMORINDA B</v>
      </c>
      <c r="F382" s="408" t="str">
        <f>'16U BOYS SILVER-20 TEAMS'!F61&amp;""</f>
        <v>12</v>
      </c>
      <c r="G382" s="408" t="str">
        <f>'16U BOYS SILVER-20 TEAMS'!G61&amp;""</f>
        <v xml:space="preserve">1stJ-LA JOLLA UNITED WHITE	</v>
      </c>
      <c r="H382" s="408" t="str">
        <f>'16U BOYS SILVER-20 TEAMS'!H61&amp;""</f>
        <v>15</v>
      </c>
      <c r="I382" s="408" t="str">
        <f>'16U BOYS SILVER-20 TEAMS'!I61&amp;""</f>
        <v>1st</v>
      </c>
      <c r="J382" s="408" t="str">
        <f>'16U BOYS SILVER-20 TEAMS'!J61&amp;""</f>
        <v>16U_BOYS_SILVER</v>
      </c>
      <c r="K382" s="408" t="str">
        <f t="shared" si="9"/>
        <v>202602011700</v>
      </c>
    </row>
    <row r="383" spans="1:11">
      <c r="A383" s="399">
        <f>'14U BOYS PLATINUM-20 TEAMS'!A35</f>
        <v>46053</v>
      </c>
      <c r="B383" s="400">
        <f>'14U BOYS PLATINUM-20 TEAMS'!B35</f>
        <v>0.46527777777777801</v>
      </c>
      <c r="C383" s="400" t="str">
        <f>'14U BOYS PLATINUM-20 TEAMS'!C35&amp;""</f>
        <v>TUSTIN HS 1</v>
      </c>
      <c r="D383" s="401" t="str">
        <f>'14U BOYS PLATINUM-20 TEAMS'!D35&amp;""</f>
        <v>14Bpt14</v>
      </c>
      <c r="E383" s="401" t="str">
        <f>'14U BOYS PLATINUM-20 TEAMS'!E35&amp;""</f>
        <v>C1-VANGUARD BLUE</v>
      </c>
      <c r="F383" s="401" t="str">
        <f>'14U BOYS PLATINUM-20 TEAMS'!F35&amp;""</f>
        <v>9</v>
      </c>
      <c r="G383" s="401" t="str">
        <f>'14U BOYS PLATINUM-20 TEAMS'!G35&amp;""</f>
        <v>C3-SOUTH COAST RED (A)</v>
      </c>
      <c r="H383" s="401" t="str">
        <f>'14U BOYS PLATINUM-20 TEAMS'!H35&amp;""</f>
        <v>7</v>
      </c>
      <c r="I383" s="401" t="str">
        <f>'14U BOYS PLATINUM-20 TEAMS'!I35&amp;""</f>
        <v>C bracket</v>
      </c>
      <c r="J383" s="401" t="str">
        <f>'14U BOYS PLATINUM-20 TEAMS'!J35&amp;""</f>
        <v>14U_BOYS_PLATINUM</v>
      </c>
      <c r="K383" s="401" t="str">
        <f t="shared" si="9"/>
        <v>202601311110</v>
      </c>
    </row>
    <row r="384" spans="1:11">
      <c r="A384" s="399">
        <f>'14U BOYS PLATINUM-20 TEAMS'!A36</f>
        <v>46053</v>
      </c>
      <c r="B384" s="400">
        <f>'14U BOYS PLATINUM-20 TEAMS'!B36</f>
        <v>0.5</v>
      </c>
      <c r="C384" s="400" t="str">
        <f>'14U BOYS PLATINUM-20 TEAMS'!C36&amp;""</f>
        <v>TUSTIN HS 1</v>
      </c>
      <c r="D384" s="401" t="str">
        <f>'14U BOYS PLATINUM-20 TEAMS'!D36&amp;""</f>
        <v>14Bpt15</v>
      </c>
      <c r="E384" s="401" t="str">
        <f>'14U BOYS PLATINUM-20 TEAMS'!E36&amp;""</f>
        <v>D2-PRIDE BLACK</v>
      </c>
      <c r="F384" s="401" t="str">
        <f>'14U BOYS PLATINUM-20 TEAMS'!F36&amp;""</f>
        <v>9</v>
      </c>
      <c r="G384" s="401" t="str">
        <f>'14U BOYS PLATINUM-20 TEAMS'!G36&amp;""</f>
        <v>D3-STANFORD RED</v>
      </c>
      <c r="H384" s="401" t="str">
        <f>'14U BOYS PLATINUM-20 TEAMS'!H36&amp;""</f>
        <v>8</v>
      </c>
      <c r="I384" s="401" t="str">
        <f>'14U BOYS PLATINUM-20 TEAMS'!I36&amp;""</f>
        <v>D bracket</v>
      </c>
      <c r="J384" s="401" t="str">
        <f>'14U BOYS PLATINUM-20 TEAMS'!J36&amp;""</f>
        <v>14U_BOYS_PLATINUM</v>
      </c>
      <c r="K384" s="401" t="str">
        <f t="shared" si="9"/>
        <v>202601311200</v>
      </c>
    </row>
    <row r="385" spans="1:11">
      <c r="A385" s="399">
        <f>'14U BOYS PLATINUM-20 TEAMS'!A37</f>
        <v>46053</v>
      </c>
      <c r="B385" s="400">
        <f>'14U BOYS PLATINUM-20 TEAMS'!B37</f>
        <v>0.53472222222222199</v>
      </c>
      <c r="C385" s="400" t="str">
        <f>'14U BOYS PLATINUM-20 TEAMS'!C37&amp;""</f>
        <v>TUSTIN HS 1</v>
      </c>
      <c r="D385" s="401" t="str">
        <f>'14U BOYS PLATINUM-20 TEAMS'!D37&amp;""</f>
        <v>14Bpt16</v>
      </c>
      <c r="E385" s="401" t="str">
        <f>'14U BOYS PLATINUM-20 TEAMS'!E37&amp;""</f>
        <v>B2-PALOS VERDES A</v>
      </c>
      <c r="F385" s="401" t="str">
        <f>'14U BOYS PLATINUM-20 TEAMS'!F37&amp;""</f>
        <v>9</v>
      </c>
      <c r="G385" s="401" t="str">
        <f>'14U BOYS PLATINUM-20 TEAMS'!G37&amp;""</f>
        <v>B3-NORTH IRVINE BLACK</v>
      </c>
      <c r="H385" s="401" t="str">
        <f>'14U BOYS PLATINUM-20 TEAMS'!H37&amp;""</f>
        <v>4</v>
      </c>
      <c r="I385" s="401" t="str">
        <f>'14U BOYS PLATINUM-20 TEAMS'!I37&amp;""</f>
        <v>B bracket</v>
      </c>
      <c r="J385" s="401" t="str">
        <f>'14U BOYS PLATINUM-20 TEAMS'!J37&amp;""</f>
        <v>14U_BOYS_PLATINUM</v>
      </c>
      <c r="K385" s="401" t="str">
        <f t="shared" si="9"/>
        <v>202601311250</v>
      </c>
    </row>
    <row r="386" spans="1:11">
      <c r="A386" s="399">
        <f>'14U BOYS PLATINUM-20 TEAMS'!A38</f>
        <v>46053</v>
      </c>
      <c r="B386" s="400">
        <f>'14U BOYS PLATINUM-20 TEAMS'!B38</f>
        <v>0.56944444444444497</v>
      </c>
      <c r="C386" s="400" t="str">
        <f>'14U BOYS PLATINUM-20 TEAMS'!C38&amp;""</f>
        <v>TUSTIN HS 1</v>
      </c>
      <c r="D386" s="401" t="str">
        <f>'14U BOYS PLATINUM-20 TEAMS'!D38&amp;""</f>
        <v>14Bpt17</v>
      </c>
      <c r="E386" s="401" t="str">
        <f>'14U BOYS PLATINUM-20 TEAMS'!E38&amp;""</f>
        <v>C2-LAMORINDA A</v>
      </c>
      <c r="F386" s="401" t="str">
        <f>'14U BOYS PLATINUM-20 TEAMS'!F38&amp;""</f>
        <v>8.2</v>
      </c>
      <c r="G386" s="401" t="str">
        <f>'14U BOYS PLATINUM-20 TEAMS'!G38&amp;""</f>
        <v>C3-SOUTH COAST RED (A)</v>
      </c>
      <c r="H386" s="401" t="str">
        <f>'14U BOYS PLATINUM-20 TEAMS'!H38&amp;""</f>
        <v>8.4</v>
      </c>
      <c r="I386" s="401" t="str">
        <f>'14U BOYS PLATINUM-20 TEAMS'!I38&amp;""</f>
        <v>C bracket</v>
      </c>
      <c r="J386" s="401" t="str">
        <f>'14U BOYS PLATINUM-20 TEAMS'!J38&amp;""</f>
        <v>14U_BOYS_PLATINUM</v>
      </c>
      <c r="K386" s="401" t="str">
        <f t="shared" si="9"/>
        <v>202601311340</v>
      </c>
    </row>
    <row r="387" spans="1:11">
      <c r="A387" s="399">
        <f>'14U BOYS PLATINUM-20 TEAMS'!A39</f>
        <v>46053</v>
      </c>
      <c r="B387" s="400">
        <f>'14U BOYS PLATINUM-20 TEAMS'!B39</f>
        <v>0.60416666666666696</v>
      </c>
      <c r="C387" s="400" t="str">
        <f>'14U BOYS PLATINUM-20 TEAMS'!C39&amp;""</f>
        <v>TUSTIN HS 1</v>
      </c>
      <c r="D387" s="401" t="str">
        <f>'14U BOYS PLATINUM-20 TEAMS'!D39&amp;""</f>
        <v>14Bpt18</v>
      </c>
      <c r="E387" s="401" t="str">
        <f>'14U BOYS PLATINUM-20 TEAMS'!E39&amp;""</f>
        <v>D1-LA JOLLA UNITED NAVY</v>
      </c>
      <c r="F387" s="401" t="str">
        <f>'14U BOYS PLATINUM-20 TEAMS'!F39&amp;""</f>
        <v>10</v>
      </c>
      <c r="G387" s="401" t="str">
        <f>'14U BOYS PLATINUM-20 TEAMS'!G39&amp;""</f>
        <v>D2-PRIDE BLACK</v>
      </c>
      <c r="H387" s="401" t="str">
        <f>'14U BOYS PLATINUM-20 TEAMS'!H39&amp;""</f>
        <v>3</v>
      </c>
      <c r="I387" s="401" t="str">
        <f>'14U BOYS PLATINUM-20 TEAMS'!I39&amp;""</f>
        <v>D bracket</v>
      </c>
      <c r="J387" s="401" t="str">
        <f>'14U BOYS PLATINUM-20 TEAMS'!J39&amp;""</f>
        <v>14U_BOYS_PLATINUM</v>
      </c>
      <c r="K387" s="401" t="str">
        <f t="shared" si="9"/>
        <v>202601311430</v>
      </c>
    </row>
    <row r="388" spans="1:11">
      <c r="A388" s="399">
        <f>'14U BOYS PLATINUM-20 TEAMS'!A40</f>
        <v>46053</v>
      </c>
      <c r="B388" s="400">
        <f>'14U BOYS PLATINUM-20 TEAMS'!B40</f>
        <v>0.63888888888888895</v>
      </c>
      <c r="C388" s="400" t="str">
        <f>'14U BOYS PLATINUM-20 TEAMS'!C40&amp;""</f>
        <v>TUSTIN HS 1</v>
      </c>
      <c r="D388" s="401" t="str">
        <f>'14U BOYS PLATINUM-20 TEAMS'!D40&amp;""</f>
        <v>14Bpt19</v>
      </c>
      <c r="E388" s="401" t="str">
        <f>'14U BOYS PLATINUM-20 TEAMS'!E40&amp;""</f>
        <v>B1-NORCAL</v>
      </c>
      <c r="F388" s="401" t="str">
        <f>'14U BOYS PLATINUM-20 TEAMS'!F40&amp;""</f>
        <v>8.1</v>
      </c>
      <c r="G388" s="401" t="str">
        <f>'14U BOYS PLATINUM-20 TEAMS'!G40&amp;""</f>
        <v>B2-PALOS VERDES A</v>
      </c>
      <c r="H388" s="401" t="str">
        <f>'14U BOYS PLATINUM-20 TEAMS'!H40&amp;""</f>
        <v>8.4</v>
      </c>
      <c r="I388" s="401" t="str">
        <f>'14U BOYS PLATINUM-20 TEAMS'!I40&amp;""</f>
        <v>B bracket</v>
      </c>
      <c r="J388" s="401" t="str">
        <f>'14U BOYS PLATINUM-20 TEAMS'!J40&amp;""</f>
        <v>14U_BOYS_PLATINUM</v>
      </c>
      <c r="K388" s="401" t="str">
        <f t="shared" si="9"/>
        <v>202601311520</v>
      </c>
    </row>
    <row r="389" spans="1:11">
      <c r="A389" s="399">
        <f>'14U BOYS PLATINUM-20 TEAMS'!A41</f>
        <v>46053</v>
      </c>
      <c r="B389" s="400">
        <f>'14U BOYS PLATINUM-20 TEAMS'!B41</f>
        <v>0.67361111111111105</v>
      </c>
      <c r="C389" s="400" t="str">
        <f>'14U BOYS PLATINUM-20 TEAMS'!C41&amp;""</f>
        <v>TUSTIN HS 1</v>
      </c>
      <c r="D389" s="401" t="str">
        <f>'14U BOYS PLATINUM-20 TEAMS'!D41&amp;""</f>
        <v>14Bpt20</v>
      </c>
      <c r="E389" s="401" t="str">
        <f>'14U BOYS PLATINUM-20 TEAMS'!E41&amp;""</f>
        <v>C1-VANGUARD BLUE</v>
      </c>
      <c r="F389" s="401" t="str">
        <f>'14U BOYS PLATINUM-20 TEAMS'!F41&amp;""</f>
        <v>11.4</v>
      </c>
      <c r="G389" s="401" t="str">
        <f>'14U BOYS PLATINUM-20 TEAMS'!G41&amp;""</f>
        <v>C2-LAMORINDA A</v>
      </c>
      <c r="H389" s="401" t="str">
        <f>'14U BOYS PLATINUM-20 TEAMS'!H41&amp;""</f>
        <v>11.3</v>
      </c>
      <c r="I389" s="401" t="str">
        <f>'14U BOYS PLATINUM-20 TEAMS'!I41&amp;""</f>
        <v>C bracket</v>
      </c>
      <c r="J389" s="401" t="str">
        <f>'14U BOYS PLATINUM-20 TEAMS'!J41&amp;""</f>
        <v>14U_BOYS_PLATINUM</v>
      </c>
      <c r="K389" s="401" t="str">
        <f t="shared" si="9"/>
        <v>202601311610</v>
      </c>
    </row>
    <row r="390" spans="1:11">
      <c r="A390" s="399">
        <f>'14U BOYS PLATINUM-20 TEAMS'!A42</f>
        <v>46053</v>
      </c>
      <c r="B390" s="400">
        <f>'14U BOYS PLATINUM-20 TEAMS'!B42</f>
        <v>0.70833333333333404</v>
      </c>
      <c r="C390" s="400" t="str">
        <f>'14U BOYS PLATINUM-20 TEAMS'!C42&amp;""</f>
        <v>TUSTIN HS 1</v>
      </c>
      <c r="D390" s="403" t="str">
        <f>'14U BOYS PLATINUM-20 TEAMS'!D42&amp;""</f>
        <v>14Bpt05</v>
      </c>
      <c r="E390" s="401" t="str">
        <f>'14U BOYS PLATINUM-20 TEAMS'!E42&amp;""</f>
        <v>W#1-CHANNEL ISLANDS UNITED GOLD</v>
      </c>
      <c r="F390" s="401" t="str">
        <f>'14U BOYS PLATINUM-20 TEAMS'!F42&amp;""</f>
        <v>14</v>
      </c>
      <c r="G390" s="401" t="str">
        <f>'14U BOYS PLATINUM-20 TEAMS'!G42&amp;""</f>
        <v>W#2-ORANGE COUNTY WPC BLUE</v>
      </c>
      <c r="H390" s="401" t="str">
        <f>'14U BOYS PLATINUM-20 TEAMS'!H42&amp;""</f>
        <v>6</v>
      </c>
      <c r="I390" s="401" t="str">
        <f>'14U BOYS PLATINUM-20 TEAMS'!I42&amp;""</f>
        <v>1st/2ndE</v>
      </c>
      <c r="J390" s="401" t="str">
        <f>'14U BOYS PLATINUM-20 TEAMS'!J42&amp;""</f>
        <v>14U_BOYS_PLATINUM</v>
      </c>
      <c r="K390" s="401" t="str">
        <f t="shared" si="9"/>
        <v>202601311700</v>
      </c>
    </row>
    <row r="391" spans="1:11">
      <c r="A391" s="399">
        <f>'14U BOYS PLATINUM-20 TEAMS'!A43</f>
        <v>46053</v>
      </c>
      <c r="B391" s="400">
        <f>'14U BOYS PLATINUM-20 TEAMS'!B43</f>
        <v>0.74305555555555602</v>
      </c>
      <c r="C391" s="400" t="str">
        <f>'14U BOYS PLATINUM-20 TEAMS'!C43&amp;""</f>
        <v>TUSTIN HS 1</v>
      </c>
      <c r="D391" s="401" t="str">
        <f>'14U BOYS PLATINUM-20 TEAMS'!D43&amp;""</f>
        <v>14Bpt22</v>
      </c>
      <c r="E391" s="401" t="str">
        <f>'14U BOYS PLATINUM-20 TEAMS'!E43&amp;""</f>
        <v>H2(2ndB)-NORCAL</v>
      </c>
      <c r="F391" s="401" t="str">
        <f>'14U BOYS PLATINUM-20 TEAMS'!F43&amp;""</f>
        <v>13</v>
      </c>
      <c r="G391" s="401" t="str">
        <f>'14U BOYS PLATINUM-20 TEAMS'!G43&amp;""</f>
        <v>H3(2ndC)-SOUTH COAST RED (A)</v>
      </c>
      <c r="H391" s="401" t="str">
        <f>'14U BOYS PLATINUM-20 TEAMS'!H43&amp;""</f>
        <v>7</v>
      </c>
      <c r="I391" s="401" t="str">
        <f>'14U BOYS PLATINUM-20 TEAMS'!I43&amp;""</f>
        <v>H bracket</v>
      </c>
      <c r="J391" s="401" t="str">
        <f>'14U BOYS PLATINUM-20 TEAMS'!J43&amp;""</f>
        <v>14U_BOYS_PLATINUM</v>
      </c>
      <c r="K391" s="401" t="str">
        <f t="shared" si="9"/>
        <v>202601311750</v>
      </c>
    </row>
    <row r="392" spans="1:11">
      <c r="A392" s="399">
        <f>'14U BOYS PLATINUM-20 TEAMS'!A44</f>
        <v>46053</v>
      </c>
      <c r="B392" s="400">
        <f>'14U BOYS PLATINUM-20 TEAMS'!B44</f>
        <v>0.77777777777777801</v>
      </c>
      <c r="C392" s="400" t="str">
        <f>'14U BOYS PLATINUM-20 TEAMS'!C44&amp;""</f>
        <v>TUSTIN HS 1</v>
      </c>
      <c r="D392" s="401" t="str">
        <f>'14U BOYS PLATINUM-20 TEAMS'!D44&amp;""</f>
        <v>14Bpt34</v>
      </c>
      <c r="E392" s="401" t="str">
        <f>'14U BOYS PLATINUM-20 TEAMS'!E44&amp;""</f>
        <v>G2(1stB)-PALOS VERDES A</v>
      </c>
      <c r="F392" s="401" t="str">
        <f>'14U BOYS PLATINUM-20 TEAMS'!F44&amp;""</f>
        <v>9.3</v>
      </c>
      <c r="G392" s="401" t="str">
        <f>'14U BOYS PLATINUM-20 TEAMS'!G44&amp;""</f>
        <v>G3(1stC)-VANGUARD BLUE</v>
      </c>
      <c r="H392" s="401" t="str">
        <f>'14U BOYS PLATINUM-20 TEAMS'!H44&amp;""</f>
        <v>9.4</v>
      </c>
      <c r="I392" s="401" t="str">
        <f>'14U BOYS PLATINUM-20 TEAMS'!I44&amp;""</f>
        <v>G bracket</v>
      </c>
      <c r="J392" s="401" t="str">
        <f>'14U BOYS PLATINUM-20 TEAMS'!J44&amp;""</f>
        <v>14U_BOYS_PLATINUM</v>
      </c>
      <c r="K392" s="401" t="str">
        <f t="shared" si="9"/>
        <v>202601311840</v>
      </c>
    </row>
    <row r="393" spans="1:11">
      <c r="A393" s="387">
        <f>'14U BOYS SILVER-18 TEAMS'!A56</f>
        <v>46054</v>
      </c>
      <c r="B393" s="388">
        <f>'14U BOYS SILVER-18 TEAMS'!B56</f>
        <v>0.29166666666666669</v>
      </c>
      <c r="C393" s="388" t="str">
        <f>'14U BOYS SILVER-18 TEAMS'!C56&amp;""</f>
        <v>TUSTIN HS 1</v>
      </c>
      <c r="D393" s="389" t="str">
        <f>'14U BOYS SILVER-18 TEAMS'!D56&amp;""</f>
        <v>14Bag26</v>
      </c>
      <c r="E393" s="388" t="str">
        <f>'14U BOYS SILVER-18 TEAMS'!E56&amp;""</f>
        <v>K1(2ndC)-ORANGE COUNTY WPC RED</v>
      </c>
      <c r="F393" s="392" t="str">
        <f>'14U BOYS SILVER-18 TEAMS'!F56&amp;""</f>
        <v>3</v>
      </c>
      <c r="G393" s="388" t="str">
        <f>'14U BOYS SILVER-18 TEAMS'!G56&amp;""</f>
        <v>K3(2ndA)-LOYOLA WPC</v>
      </c>
      <c r="H393" s="391" t="str">
        <f>'14U BOYS SILVER-18 TEAMS'!H56&amp;""</f>
        <v>7</v>
      </c>
      <c r="I393" s="392" t="str">
        <f>'14U BOYS SILVER-18 TEAMS'!I56&amp;""</f>
        <v>7th-12th</v>
      </c>
      <c r="J393" s="389" t="str">
        <f>'14U BOYS SILVER-18 TEAMS'!J56&amp;""</f>
        <v>14U_BOYS_SILVER</v>
      </c>
      <c r="K393" s="389" t="str">
        <f t="shared" si="9"/>
        <v>202602010700</v>
      </c>
    </row>
    <row r="394" spans="1:11">
      <c r="A394" s="399">
        <f>'14U BOYS PLATINUM-20 TEAMS'!A61</f>
        <v>46054</v>
      </c>
      <c r="B394" s="400">
        <f>'14U BOYS PLATINUM-20 TEAMS'!B61</f>
        <v>0.3263888888888889</v>
      </c>
      <c r="C394" s="400" t="str">
        <f>'14U BOYS PLATINUM-20 TEAMS'!C61&amp;""</f>
        <v>TUSTIN HS 1</v>
      </c>
      <c r="D394" s="401" t="str">
        <f>'14U BOYS PLATINUM-20 TEAMS'!D61&amp;""</f>
        <v>14Bpt33</v>
      </c>
      <c r="E394" s="401" t="str">
        <f>'14U BOYS PLATINUM-20 TEAMS'!E61&amp;""</f>
        <v>L1(3rdD)-STANFORD RED</v>
      </c>
      <c r="F394" s="401" t="str">
        <f>'14U BOYS PLATINUM-20 TEAMS'!F61&amp;""</f>
        <v>10</v>
      </c>
      <c r="G394" s="401" t="str">
        <f>'14U BOYS PLATINUM-20 TEAMS'!G61&amp;""</f>
        <v>L4(4thF)-ROUTE 66 AQUATICS</v>
      </c>
      <c r="H394" s="401" t="str">
        <f>'14U BOYS PLATINUM-20 TEAMS'!H61&amp;""</f>
        <v>6</v>
      </c>
      <c r="I394" s="401" t="str">
        <f>'14U BOYS PLATINUM-20 TEAMS'!I61&amp;""</f>
        <v>W/L L</v>
      </c>
      <c r="J394" s="401" t="str">
        <f>'14U BOYS PLATINUM-20 TEAMS'!J61&amp;""</f>
        <v>14U_BOYS_PLATINUM</v>
      </c>
      <c r="K394" s="401" t="str">
        <f t="shared" si="9"/>
        <v>202602010750</v>
      </c>
    </row>
    <row r="395" spans="1:11">
      <c r="A395" s="399">
        <f>'14U BOYS PLATINUM-20 TEAMS'!A62</f>
        <v>46054</v>
      </c>
      <c r="B395" s="400">
        <f>'14U BOYS PLATINUM-20 TEAMS'!B62</f>
        <v>0.36111111111111099</v>
      </c>
      <c r="C395" s="400" t="str">
        <f>'14U BOYS PLATINUM-20 TEAMS'!C62&amp;""</f>
        <v>TUSTIN HS 1</v>
      </c>
      <c r="D395" s="401" t="str">
        <f>'14U BOYS PLATINUM-20 TEAMS'!D62&amp;""</f>
        <v>14Bpt35</v>
      </c>
      <c r="E395" s="401" t="str">
        <f>'14U BOYS PLATINUM-20 TEAMS'!E62&amp;""</f>
        <v>L2(3rdE)-DEVIL'S GATE</v>
      </c>
      <c r="F395" s="401" t="str">
        <f>'14U BOYS PLATINUM-20 TEAMS'!F62&amp;""</f>
        <v>13</v>
      </c>
      <c r="G395" s="401" t="str">
        <f>'14U BOYS PLATINUM-20 TEAMS'!G62&amp;""</f>
        <v>L3(3rdC)-LAMORINDA A</v>
      </c>
      <c r="H395" s="401" t="str">
        <f>'14U BOYS PLATINUM-20 TEAMS'!H62&amp;""</f>
        <v>8</v>
      </c>
      <c r="I395" s="401" t="str">
        <f>'14U BOYS PLATINUM-20 TEAMS'!I62&amp;""</f>
        <v>W/L L</v>
      </c>
      <c r="J395" s="401" t="str">
        <f>'14U BOYS PLATINUM-20 TEAMS'!J62&amp;""</f>
        <v>14U_BOYS_PLATINUM</v>
      </c>
      <c r="K395" s="401" t="str">
        <f t="shared" si="9"/>
        <v>202602010840</v>
      </c>
    </row>
    <row r="396" spans="1:11">
      <c r="A396" s="387">
        <f>'14U BOYS SILVER-18 TEAMS'!A60</f>
        <v>46054</v>
      </c>
      <c r="B396" s="388">
        <f>'14U BOYS SILVER-18 TEAMS'!B60</f>
        <v>0.39583333333333398</v>
      </c>
      <c r="C396" s="388" t="str">
        <f>'14U BOYS SILVER-18 TEAMS'!C60&amp;""</f>
        <v>TUSTIN HS 1</v>
      </c>
      <c r="D396" s="389" t="str">
        <f>'14U BOYS SILVER-18 TEAMS'!D60&amp;""</f>
        <v>14Bag32</v>
      </c>
      <c r="E396" s="388" t="str">
        <f>'14U BOYS SILVER-18 TEAMS'!E60&amp;""</f>
        <v>K2(2ndB)-SOUTH COAST BLUE (C)</v>
      </c>
      <c r="F396" s="392" t="str">
        <f>'14U BOYS SILVER-18 TEAMS'!F60&amp;""</f>
        <v>2</v>
      </c>
      <c r="G396" s="388" t="str">
        <f>'14U BOYS SILVER-18 TEAMS'!G60&amp;""</f>
        <v>K3(2ndA)-LOYOLA WPC</v>
      </c>
      <c r="H396" s="391" t="str">
        <f>'14U BOYS SILVER-18 TEAMS'!H60&amp;""</f>
        <v>8</v>
      </c>
      <c r="I396" s="392" t="str">
        <f>'14U BOYS SILVER-18 TEAMS'!I60&amp;""</f>
        <v>7th-12th</v>
      </c>
      <c r="J396" s="389" t="str">
        <f>'14U BOYS SILVER-18 TEAMS'!J60&amp;""</f>
        <v>14U_BOYS_SILVER</v>
      </c>
      <c r="K396" s="389" t="str">
        <f t="shared" si="9"/>
        <v>202602010930</v>
      </c>
    </row>
    <row r="397" spans="1:11">
      <c r="A397" s="399">
        <f>'14U BOYS PLATINUM-20 TEAMS'!A64</f>
        <v>46054</v>
      </c>
      <c r="B397" s="400">
        <f>'14U BOYS PLATINUM-20 TEAMS'!B64</f>
        <v>0.43055555555555602</v>
      </c>
      <c r="C397" s="400" t="str">
        <f>'14U BOYS PLATINUM-20 TEAMS'!C64&amp;""</f>
        <v>TUSTIN HS 1</v>
      </c>
      <c r="D397" s="401" t="str">
        <f>'14U BOYS PLATINUM-20 TEAMS'!D64&amp;""</f>
        <v>14Bpt36</v>
      </c>
      <c r="E397" s="401" t="str">
        <f>'14U BOYS PLATINUM-20 TEAMS'!E64&amp;""</f>
        <v>I1(3rdA)-680 RED</v>
      </c>
      <c r="F397" s="401" t="str">
        <f>'14U BOYS PLATINUM-20 TEAMS'!F64&amp;""</f>
        <v>10</v>
      </c>
      <c r="G397" s="401" t="str">
        <f>'14U BOYS PLATINUM-20 TEAMS'!G64&amp;""</f>
        <v>I4(4thE)-CC UNITED BLACK</v>
      </c>
      <c r="H397" s="401" t="str">
        <f>'14U BOYS PLATINUM-20 TEAMS'!H64&amp;""</f>
        <v>7</v>
      </c>
      <c r="I397" s="401" t="str">
        <f>'14U BOYS PLATINUM-20 TEAMS'!I64&amp;""</f>
        <v>W/L I</v>
      </c>
      <c r="J397" s="401" t="str">
        <f>'14U BOYS PLATINUM-20 TEAMS'!J64&amp;""</f>
        <v>14U_BOYS_PLATINUM</v>
      </c>
      <c r="K397" s="401" t="str">
        <f t="shared" si="9"/>
        <v>202602011020</v>
      </c>
    </row>
    <row r="398" spans="1:11">
      <c r="A398" s="399">
        <f>'14U BOYS PLATINUM-20 TEAMS'!A65</f>
        <v>46054</v>
      </c>
      <c r="B398" s="400">
        <f>'14U BOYS PLATINUM-20 TEAMS'!B65</f>
        <v>0.46527777777777801</v>
      </c>
      <c r="C398" s="400" t="str">
        <f>'14U BOYS PLATINUM-20 TEAMS'!C65&amp;""</f>
        <v>TUSTIN HS 1</v>
      </c>
      <c r="D398" s="401" t="str">
        <f>'14U BOYS PLATINUM-20 TEAMS'!D65&amp;""</f>
        <v>14Bpt37</v>
      </c>
      <c r="E398" s="401" t="str">
        <f>'14U BOYS PLATINUM-20 TEAMS'!E65&amp;""</f>
        <v>I2(3rdB)-NORTH IRVINE BLACK</v>
      </c>
      <c r="F398" s="401" t="str">
        <f>'14U BOYS PLATINUM-20 TEAMS'!F65&amp;""</f>
        <v>9</v>
      </c>
      <c r="G398" s="401" t="str">
        <f>'14U BOYS PLATINUM-20 TEAMS'!G65&amp;""</f>
        <v>I3(3rdF)-SHAQ BLUE</v>
      </c>
      <c r="H398" s="401" t="str">
        <f>'14U BOYS PLATINUM-20 TEAMS'!H65&amp;""</f>
        <v>6</v>
      </c>
      <c r="I398" s="401" t="str">
        <f>'14U BOYS PLATINUM-20 TEAMS'!I65&amp;""</f>
        <v>W/L I</v>
      </c>
      <c r="J398" s="401" t="str">
        <f>'14U BOYS PLATINUM-20 TEAMS'!J65&amp;""</f>
        <v>14U_BOYS_PLATINUM</v>
      </c>
      <c r="K398" s="401" t="str">
        <f t="shared" si="9"/>
        <v>202602011110</v>
      </c>
    </row>
    <row r="399" spans="1:11">
      <c r="A399" s="387">
        <f>'14U BOYS SILVER-18 TEAMS'!A64</f>
        <v>46054</v>
      </c>
      <c r="B399" s="388">
        <f>'14U BOYS SILVER-18 TEAMS'!B64</f>
        <v>0.5</v>
      </c>
      <c r="C399" s="388" t="str">
        <f>'14U BOYS SILVER-18 TEAMS'!C64&amp;""</f>
        <v>TUSTIN HS 1</v>
      </c>
      <c r="D399" s="389" t="str">
        <f>'14U BOYS SILVER-18 TEAMS'!D64&amp;""</f>
        <v>14Bag20</v>
      </c>
      <c r="E399" s="388" t="str">
        <f>'14U BOYS SILVER-18 TEAMS'!E64&amp;""</f>
        <v>K1(2ndC)-ORANGE COUNTY WPC RED</v>
      </c>
      <c r="F399" s="392" t="str">
        <f>'14U BOYS SILVER-18 TEAMS'!F64&amp;""</f>
        <v>9</v>
      </c>
      <c r="G399" s="388" t="str">
        <f>'14U BOYS SILVER-18 TEAMS'!G64&amp;""</f>
        <v>K2(2ndB)-SOUTH COAST BLUE (C)</v>
      </c>
      <c r="H399" s="391" t="str">
        <f>'14U BOYS SILVER-18 TEAMS'!H64&amp;""</f>
        <v>3</v>
      </c>
      <c r="I399" s="392" t="str">
        <f>'14U BOYS SILVER-18 TEAMS'!I64&amp;""</f>
        <v>7th-12th</v>
      </c>
      <c r="J399" s="389" t="str">
        <f>'14U BOYS SILVER-18 TEAMS'!J64&amp;""</f>
        <v>14U_BOYS_SILVER</v>
      </c>
      <c r="K399" s="389" t="str">
        <f t="shared" si="9"/>
        <v>202602011200</v>
      </c>
    </row>
    <row r="400" spans="1:11">
      <c r="A400" s="399">
        <f>'14U BOYS PLATINUM-20 TEAMS'!A67</f>
        <v>46054</v>
      </c>
      <c r="B400" s="400">
        <f>'14U BOYS PLATINUM-20 TEAMS'!B67</f>
        <v>0.53472222222222199</v>
      </c>
      <c r="C400" s="400" t="str">
        <f>'14U BOYS PLATINUM-20 TEAMS'!C67&amp;""</f>
        <v>TUSTIN HS 1</v>
      </c>
      <c r="D400" s="401" t="str">
        <f>'14U BOYS PLATINUM-20 TEAMS'!D67&amp;""</f>
        <v>14Bpt40</v>
      </c>
      <c r="E400" s="401" t="str">
        <f>'14U BOYS PLATINUM-20 TEAMS'!E67&amp;""</f>
        <v>H1(2ndA)-TROJAN CARDINAL</v>
      </c>
      <c r="F400" s="401" t="str">
        <f>'14U BOYS PLATINUM-20 TEAMS'!F67&amp;""</f>
        <v>7</v>
      </c>
      <c r="G400" s="401" t="str">
        <f>'14U BOYS PLATINUM-20 TEAMS'!G67&amp;""</f>
        <v>H2(2ndB)-NORCAL</v>
      </c>
      <c r="H400" s="401" t="str">
        <f>'14U BOYS PLATINUM-20 TEAMS'!H67&amp;""</f>
        <v>12</v>
      </c>
      <c r="I400" s="401" t="str">
        <f>'14U BOYS PLATINUM-20 TEAMS'!I67&amp;""</f>
        <v>H bracket</v>
      </c>
      <c r="J400" s="401" t="str">
        <f>'14U BOYS PLATINUM-20 TEAMS'!J67&amp;""</f>
        <v>14U_BOYS_PLATINUM</v>
      </c>
      <c r="K400" s="401" t="str">
        <f t="shared" si="9"/>
        <v>202602011250</v>
      </c>
    </row>
    <row r="401" spans="1:11">
      <c r="A401" s="399">
        <f>'14U BOYS PLATINUM-20 TEAMS'!A68</f>
        <v>46054</v>
      </c>
      <c r="B401" s="400">
        <f>'14U BOYS PLATINUM-20 TEAMS'!B68</f>
        <v>0.56944444444444497</v>
      </c>
      <c r="C401" s="400" t="str">
        <f>'14U BOYS PLATINUM-20 TEAMS'!C68&amp;""</f>
        <v>TUSTIN HS 1</v>
      </c>
      <c r="D401" s="401" t="str">
        <f>'14U BOYS PLATINUM-20 TEAMS'!D68&amp;""</f>
        <v>14Bpt41</v>
      </c>
      <c r="E401" s="401" t="str">
        <f>'14U BOYS PLATINUM-20 TEAMS'!E68&amp;""</f>
        <v>W#33-STANFORD RED</v>
      </c>
      <c r="F401" s="401" t="str">
        <f>'14U BOYS PLATINUM-20 TEAMS'!F68&amp;""</f>
        <v>12</v>
      </c>
      <c r="G401" s="401" t="str">
        <f>'14U BOYS PLATINUM-20 TEAMS'!G68&amp;""</f>
        <v>W#35-DEVIL'S GATE</v>
      </c>
      <c r="H401" s="401" t="str">
        <f>'14U BOYS PLATINUM-20 TEAMS'!H68&amp;""</f>
        <v>7</v>
      </c>
      <c r="I401" s="401" t="str">
        <f>'14U BOYS PLATINUM-20 TEAMS'!I68&amp;""</f>
        <v>1st/2ndL</v>
      </c>
      <c r="J401" s="401" t="str">
        <f>'14U BOYS PLATINUM-20 TEAMS'!J68&amp;""</f>
        <v>14U_BOYS_PLATINUM</v>
      </c>
      <c r="K401" s="401" t="str">
        <f t="shared" si="9"/>
        <v>202602011340</v>
      </c>
    </row>
    <row r="402" spans="1:11">
      <c r="A402" s="399">
        <f>'14U BOYS PLATINUM-20 TEAMS'!A69</f>
        <v>46054</v>
      </c>
      <c r="B402" s="400">
        <f>'14U BOYS PLATINUM-20 TEAMS'!B69</f>
        <v>0.60416666666666696</v>
      </c>
      <c r="C402" s="400" t="str">
        <f>'14U BOYS PLATINUM-20 TEAMS'!C69&amp;""</f>
        <v>TUSTIN HS 1</v>
      </c>
      <c r="D402" s="401" t="str">
        <f>'14U BOYS PLATINUM-20 TEAMS'!D69&amp;""</f>
        <v>14Bpt38</v>
      </c>
      <c r="E402" s="401" t="str">
        <f>'14U BOYS PLATINUM-20 TEAMS'!E69&amp;""</f>
        <v>W#36-680 RED</v>
      </c>
      <c r="F402" s="401" t="str">
        <f>'14U BOYS PLATINUM-20 TEAMS'!F69&amp;""</f>
        <v>7</v>
      </c>
      <c r="G402" s="401" t="str">
        <f>'14U BOYS PLATINUM-20 TEAMS'!G69&amp;""</f>
        <v>W#37-NORTH IRVINE BLACK</v>
      </c>
      <c r="H402" s="401" t="str">
        <f>'14U BOYS PLATINUM-20 TEAMS'!H69&amp;""</f>
        <v>10</v>
      </c>
      <c r="I402" s="401" t="str">
        <f>'14U BOYS PLATINUM-20 TEAMS'!I69&amp;""</f>
        <v>1st/2ndI</v>
      </c>
      <c r="J402" s="401" t="str">
        <f>'14U BOYS PLATINUM-20 TEAMS'!J69&amp;""</f>
        <v>14U_BOYS_PLATINUM</v>
      </c>
      <c r="K402" s="401" t="str">
        <f t="shared" si="9"/>
        <v>202602011430</v>
      </c>
    </row>
    <row r="403" spans="1:11">
      <c r="A403" s="399">
        <f>'14U BOYS PLATINUM-20 TEAMS'!A70</f>
        <v>46054</v>
      </c>
      <c r="B403" s="400">
        <f>'14U BOYS PLATINUM-20 TEAMS'!B70</f>
        <v>0.63888888888888895</v>
      </c>
      <c r="C403" s="400" t="str">
        <f>'14U BOYS PLATINUM-20 TEAMS'!C70&amp;""</f>
        <v>TUSTIN HS 1</v>
      </c>
      <c r="D403" s="401" t="str">
        <f>'14U BOYS PLATINUM-20 TEAMS'!D70&amp;""</f>
        <v>14Bpt39</v>
      </c>
      <c r="E403" s="401" t="str">
        <f>'14U BOYS PLATINUM-20 TEAMS'!E70&amp;""</f>
        <v>L#33-ROUTE 66 AQUATICS</v>
      </c>
      <c r="F403" s="401" t="str">
        <f>'14U BOYS PLATINUM-20 TEAMS'!F70&amp;""</f>
        <v>10</v>
      </c>
      <c r="G403" s="401" t="str">
        <f>'14U BOYS PLATINUM-20 TEAMS'!G70&amp;""</f>
        <v>L#35-LAMORINDA A</v>
      </c>
      <c r="H403" s="401" t="str">
        <f>'14U BOYS PLATINUM-20 TEAMS'!H70&amp;""</f>
        <v>14</v>
      </c>
      <c r="I403" s="401" t="str">
        <f>'14U BOYS PLATINUM-20 TEAMS'!I70&amp;""</f>
        <v>3rd/4thL</v>
      </c>
      <c r="J403" s="401" t="str">
        <f>'14U BOYS PLATINUM-20 TEAMS'!J70&amp;""</f>
        <v>14U_BOYS_PLATINUM</v>
      </c>
      <c r="K403" s="401" t="str">
        <f t="shared" si="9"/>
        <v>202602011520</v>
      </c>
    </row>
    <row r="404" spans="1:11">
      <c r="A404" s="399">
        <f>'14U BOYS PLATINUM-20 TEAMS'!A71</f>
        <v>46054</v>
      </c>
      <c r="B404" s="400">
        <f>'14U BOYS PLATINUM-20 TEAMS'!B71</f>
        <v>0.67361111111111105</v>
      </c>
      <c r="C404" s="400" t="str">
        <f>'14U BOYS PLATINUM-20 TEAMS'!C71&amp;""</f>
        <v>TUSTIN HS 1</v>
      </c>
      <c r="D404" s="401" t="str">
        <f>'14U BOYS PLATINUM-20 TEAMS'!D71&amp;""</f>
        <v>14Bpt42</v>
      </c>
      <c r="E404" s="401" t="str">
        <f>'14U BOYS PLATINUM-20 TEAMS'!E71&amp;""</f>
        <v>L#36-CC UNITED BLACK</v>
      </c>
      <c r="F404" s="401" t="str">
        <f>'14U BOYS PLATINUM-20 TEAMS'!F71&amp;""</f>
        <v>14</v>
      </c>
      <c r="G404" s="401" t="str">
        <f>'14U BOYS PLATINUM-20 TEAMS'!G71&amp;""</f>
        <v>L#37-SHAQ BLUE</v>
      </c>
      <c r="H404" s="401" t="str">
        <f>'14U BOYS PLATINUM-20 TEAMS'!H71&amp;""</f>
        <v>9</v>
      </c>
      <c r="I404" s="401" t="str">
        <f>'14U BOYS PLATINUM-20 TEAMS'!I71&amp;""</f>
        <v>3rd/4thI</v>
      </c>
      <c r="J404" s="401" t="str">
        <f>'14U BOYS PLATINUM-20 TEAMS'!J71&amp;""</f>
        <v>14U_BOYS_PLATINUM</v>
      </c>
      <c r="K404" s="401" t="str">
        <f t="shared" si="9"/>
        <v>202602011610</v>
      </c>
    </row>
    <row r="405" spans="1:11">
      <c r="A405" s="432">
        <f>'19U BOYS GOLD-16 TEAMS'!A42</f>
        <v>46054</v>
      </c>
      <c r="B405" s="433">
        <f>'19U BOYS GOLD-16 TEAMS'!B42</f>
        <v>0.70833333333333404</v>
      </c>
      <c r="C405" s="433" t="str">
        <f>'19U BOYS GOLD-16 TEAMS'!C42&amp;""</f>
        <v>TUSTIN HS 1</v>
      </c>
      <c r="D405" s="434" t="str">
        <f>'19U BOYS GOLD-16 TEAMS'!D42&amp;""</f>
        <v>19Bau32</v>
      </c>
      <c r="E405" s="434" t="str">
        <f>'19U BOYS GOLD-16 TEAMS'!E42&amp;""</f>
        <v>L#27-VANGUARD SILVER</v>
      </c>
      <c r="F405" s="434" t="str">
        <f>'19U BOYS GOLD-16 TEAMS'!F42&amp;""</f>
        <v>7</v>
      </c>
      <c r="G405" s="434" t="str">
        <f>'19U BOYS GOLD-16 TEAMS'!G42&amp;""</f>
        <v>L#28-FARALLON</v>
      </c>
      <c r="H405" s="434" t="str">
        <f>'19U BOYS GOLD-16 TEAMS'!H42&amp;""</f>
        <v>6</v>
      </c>
      <c r="I405" s="434" t="str">
        <f>'19U BOYS GOLD-16 TEAMS'!I42&amp;""</f>
        <v>11th</v>
      </c>
      <c r="J405" s="434" t="str">
        <f>'19U BOYS GOLD-16 TEAMS'!J42&amp;""</f>
        <v>19U_BOYS_GOLD</v>
      </c>
      <c r="K405" s="434" t="str">
        <f t="shared" si="9"/>
        <v>202602011700</v>
      </c>
    </row>
    <row r="406" spans="1:11">
      <c r="A406" s="354">
        <f>'12U BOYS GOLD-24 TEAMS'!A17</f>
        <v>46053</v>
      </c>
      <c r="B406" s="355">
        <f>'12U BOYS GOLD-24 TEAMS'!B17</f>
        <v>0.46527777777777801</v>
      </c>
      <c r="C406" s="355" t="str">
        <f>'12U BOYS GOLD-24 TEAMS'!C17&amp;""</f>
        <v>TUSTIN HS 2</v>
      </c>
      <c r="D406" s="356" t="str">
        <f>'12U BOYS GOLD-24 TEAMS'!D17&amp;""</f>
        <v>12Bau03</v>
      </c>
      <c r="E406" s="356" t="str">
        <f>'12U BOYS GOLD-24 TEAMS'!E17&amp;""</f>
        <v>D1(8)-GOLD COAST</v>
      </c>
      <c r="F406" s="356" t="str">
        <f>'12U BOYS GOLD-24 TEAMS'!F17&amp;""</f>
        <v>12.3</v>
      </c>
      <c r="G406" s="356" t="str">
        <f>'12U BOYS GOLD-24 TEAMS'!G17&amp;""</f>
        <v>D3(24)-LAMORINDA B</v>
      </c>
      <c r="H406" s="356" t="str">
        <f>'12U BOYS GOLD-24 TEAMS'!H17&amp;""</f>
        <v>12.4</v>
      </c>
      <c r="I406" s="356" t="str">
        <f>'12U BOYS GOLD-24 TEAMS'!I17&amp;""</f>
        <v>D bracket D1,D3</v>
      </c>
      <c r="J406" s="356" t="str">
        <f>'12U BOYS GOLD-24 TEAMS'!J17&amp;""</f>
        <v>12U_BOYS_GOLD</v>
      </c>
      <c r="K406" s="356" t="str">
        <f t="shared" si="9"/>
        <v>202601311110</v>
      </c>
    </row>
    <row r="407" spans="1:11">
      <c r="A407" s="354">
        <f>'12U BOYS GOLD-24 TEAMS'!A18</f>
        <v>46053</v>
      </c>
      <c r="B407" s="355">
        <f>'12U BOYS GOLD-24 TEAMS'!B18</f>
        <v>0.5</v>
      </c>
      <c r="C407" s="355" t="str">
        <f>'12U BOYS GOLD-24 TEAMS'!C18&amp;""</f>
        <v>TUSTIN HS 2</v>
      </c>
      <c r="D407" s="356" t="str">
        <f>'12U BOYS GOLD-24 TEAMS'!D18&amp;""</f>
        <v>12Bau04</v>
      </c>
      <c r="E407" s="356" t="str">
        <f>'12U BOYS GOLD-24 TEAMS'!E18&amp;""</f>
        <v>B1(4)-MARIN</v>
      </c>
      <c r="F407" s="356" t="str">
        <f>'12U BOYS GOLD-24 TEAMS'!F18&amp;""</f>
        <v>12</v>
      </c>
      <c r="G407" s="356" t="str">
        <f>'12U BOYS GOLD-24 TEAMS'!G18&amp;""</f>
        <v>B3(20)-LAMORINDA C</v>
      </c>
      <c r="H407" s="356" t="str">
        <f>'12U BOYS GOLD-24 TEAMS'!H18&amp;""</f>
        <v>0</v>
      </c>
      <c r="I407" s="356" t="str">
        <f>'12U BOYS GOLD-24 TEAMS'!I18&amp;""</f>
        <v>B bracket B1,B3</v>
      </c>
      <c r="J407" s="356" t="str">
        <f>'12U BOYS GOLD-24 TEAMS'!J18&amp;""</f>
        <v>12U_BOYS_GOLD</v>
      </c>
      <c r="K407" s="356" t="str">
        <f t="shared" si="9"/>
        <v>202601311200</v>
      </c>
    </row>
    <row r="408" spans="1:11">
      <c r="A408" s="354">
        <f>'12U BOYS GOLD-24 TEAMS'!A19</f>
        <v>46053</v>
      </c>
      <c r="B408" s="355">
        <f>'12U BOYS GOLD-24 TEAMS'!B19</f>
        <v>0.53472222222222199</v>
      </c>
      <c r="C408" s="355" t="str">
        <f>'12U BOYS GOLD-24 TEAMS'!C19&amp;""</f>
        <v>TUSTIN HS 2</v>
      </c>
      <c r="D408" s="356" t="str">
        <f>'12U BOYS GOLD-24 TEAMS'!D19&amp;""</f>
        <v>12Bau05</v>
      </c>
      <c r="E408" s="354" t="str">
        <f>'12U BOYS GOLD-24 TEAMS'!E19&amp;""</f>
        <v>A1(1)-ORANGE COUNTY WPC BLUE</v>
      </c>
      <c r="F408" s="356" t="str">
        <f>'12U BOYS GOLD-24 TEAMS'!F19&amp;""</f>
        <v>18</v>
      </c>
      <c r="G408" s="361" t="str">
        <f>'12U BOYS GOLD-24 TEAMS'!G19&amp;""</f>
        <v>A3(17)-680 WHITE</v>
      </c>
      <c r="H408" s="356" t="str">
        <f>'12U BOYS GOLD-24 TEAMS'!H19&amp;""</f>
        <v>1</v>
      </c>
      <c r="I408" s="356" t="str">
        <f>'12U BOYS GOLD-24 TEAMS'!I19&amp;""</f>
        <v>A bracket A1,A3</v>
      </c>
      <c r="J408" s="356" t="str">
        <f>'12U BOYS GOLD-24 TEAMS'!J19&amp;""</f>
        <v>12U_BOYS_GOLD</v>
      </c>
      <c r="K408" s="356" t="str">
        <f t="shared" si="9"/>
        <v>202601311250</v>
      </c>
    </row>
    <row r="409" spans="1:11">
      <c r="A409" s="354">
        <f>'12U BOYS GOLD-24 TEAMS'!A20</f>
        <v>46053</v>
      </c>
      <c r="B409" s="355">
        <f>'12U BOYS GOLD-24 TEAMS'!B20</f>
        <v>0.56944444444444497</v>
      </c>
      <c r="C409" s="355" t="str">
        <f>'12U BOYS GOLD-24 TEAMS'!C20&amp;""</f>
        <v>TUSTIN HS 2</v>
      </c>
      <c r="D409" s="356" t="str">
        <f>'12U BOYS GOLD-24 TEAMS'!D20&amp;""</f>
        <v>12Bau06</v>
      </c>
      <c r="E409" s="356" t="str">
        <f>'12U BOYS GOLD-24 TEAMS'!E20&amp;""</f>
        <v>C2(12)-CC UNITED BLUE</v>
      </c>
      <c r="F409" s="356" t="str">
        <f>'12U BOYS GOLD-24 TEAMS'!F20&amp;""</f>
        <v>5</v>
      </c>
      <c r="G409" s="356" t="str">
        <f>'12U BOYS GOLD-24 TEAMS'!G20&amp;""</f>
        <v>C3(21)-MISSION WPC B</v>
      </c>
      <c r="H409" s="356" t="str">
        <f>'12U BOYS GOLD-24 TEAMS'!H20&amp;""</f>
        <v>8</v>
      </c>
      <c r="I409" s="356" t="str">
        <f>'12U BOYS GOLD-24 TEAMS'!I20&amp;""</f>
        <v>C bracket C2,C3</v>
      </c>
      <c r="J409" s="356" t="str">
        <f>'12U BOYS GOLD-24 TEAMS'!J20&amp;""</f>
        <v>12U_BOYS_GOLD</v>
      </c>
      <c r="K409" s="356" t="str">
        <f t="shared" si="9"/>
        <v>202601311340</v>
      </c>
    </row>
    <row r="410" spans="1:11">
      <c r="A410" s="354">
        <f>'12U BOYS GOLD-24 TEAMS'!A21</f>
        <v>46053</v>
      </c>
      <c r="B410" s="355">
        <f>'12U BOYS GOLD-24 TEAMS'!B21</f>
        <v>0.60416666666666696</v>
      </c>
      <c r="C410" s="355" t="str">
        <f>'12U BOYS GOLD-24 TEAMS'!C21&amp;""</f>
        <v>TUSTIN HS 2</v>
      </c>
      <c r="D410" s="356" t="str">
        <f>'12U BOYS GOLD-24 TEAMS'!D21&amp;""</f>
        <v>12Bau07</v>
      </c>
      <c r="E410" s="356" t="str">
        <f>'12U BOYS GOLD-24 TEAMS'!E21&amp;""</f>
        <v>D2(9)-NORTH IRVINE RED</v>
      </c>
      <c r="F410" s="356" t="str">
        <f>'12U BOYS GOLD-24 TEAMS'!F21&amp;""</f>
        <v>5</v>
      </c>
      <c r="G410" s="356" t="str">
        <f>'12U BOYS GOLD-24 TEAMS'!G21&amp;""</f>
        <v>D3(24)-LAMORINDA B</v>
      </c>
      <c r="H410" s="356" t="str">
        <f>'12U BOYS GOLD-24 TEAMS'!H21&amp;""</f>
        <v>9</v>
      </c>
      <c r="I410" s="356" t="str">
        <f>'12U BOYS GOLD-24 TEAMS'!I21&amp;""</f>
        <v>D bracket D2,D3</v>
      </c>
      <c r="J410" s="356" t="str">
        <f>'12U BOYS GOLD-24 TEAMS'!J21&amp;""</f>
        <v>12U_BOYS_GOLD</v>
      </c>
      <c r="K410" s="356" t="str">
        <f t="shared" si="9"/>
        <v>202601311430</v>
      </c>
    </row>
    <row r="411" spans="1:11">
      <c r="A411" s="354">
        <f>'12U BOYS GOLD-24 TEAMS'!A22</f>
        <v>46053</v>
      </c>
      <c r="B411" s="355">
        <f>'12U BOYS GOLD-24 TEAMS'!B22</f>
        <v>0.63888888888888895</v>
      </c>
      <c r="C411" s="355" t="str">
        <f>'12U BOYS GOLD-24 TEAMS'!C22&amp;""</f>
        <v>TUSTIN HS 2</v>
      </c>
      <c r="D411" s="356" t="str">
        <f>'12U BOYS GOLD-24 TEAMS'!D22&amp;""</f>
        <v>12Bau08</v>
      </c>
      <c r="E411" s="356" t="str">
        <f>'12U BOYS GOLD-24 TEAMS'!E22&amp;""</f>
        <v>B2(13)-SAN CLEMENTE BLACK</v>
      </c>
      <c r="F411" s="356" t="str">
        <f>'12U BOYS GOLD-24 TEAMS'!F22&amp;""</f>
        <v>18</v>
      </c>
      <c r="G411" s="356" t="str">
        <f>'12U BOYS GOLD-24 TEAMS'!G22&amp;""</f>
        <v>B3(20)-LAMORINDA C</v>
      </c>
      <c r="H411" s="356" t="str">
        <f>'12U BOYS GOLD-24 TEAMS'!H22&amp;""</f>
        <v>1</v>
      </c>
      <c r="I411" s="356" t="str">
        <f>'12U BOYS GOLD-24 TEAMS'!I22&amp;""</f>
        <v>B bracket B2,B3</v>
      </c>
      <c r="J411" s="356" t="str">
        <f>'12U BOYS GOLD-24 TEAMS'!J22&amp;""</f>
        <v>12U_BOYS_GOLD</v>
      </c>
      <c r="K411" s="356" t="str">
        <f t="shared" si="9"/>
        <v>202601311520</v>
      </c>
    </row>
    <row r="412" spans="1:11">
      <c r="A412" s="354">
        <f>'12U BOYS GOLD-24 TEAMS'!A23</f>
        <v>46053</v>
      </c>
      <c r="B412" s="355">
        <f>'12U BOYS GOLD-24 TEAMS'!B23</f>
        <v>0.67361111111111105</v>
      </c>
      <c r="C412" s="355" t="str">
        <f>'12U BOYS GOLD-24 TEAMS'!C23&amp;""</f>
        <v>TUSTIN HS 2</v>
      </c>
      <c r="D412" s="356" t="str">
        <f>'12U BOYS GOLD-24 TEAMS'!D23&amp;""</f>
        <v>12Bau09</v>
      </c>
      <c r="E412" s="354" t="str">
        <f>'12U BOYS GOLD-24 TEAMS'!E23&amp;""</f>
        <v>A2(16)-STANFORD BLACK</v>
      </c>
      <c r="F412" s="356" t="str">
        <f>'12U BOYS GOLD-24 TEAMS'!F23&amp;""</f>
        <v>16</v>
      </c>
      <c r="G412" s="354" t="str">
        <f>'12U BOYS GOLD-24 TEAMS'!G23&amp;""</f>
        <v>A3(17)-680 WHITE</v>
      </c>
      <c r="H412" s="356" t="str">
        <f>'12U BOYS GOLD-24 TEAMS'!H23&amp;""</f>
        <v>2</v>
      </c>
      <c r="I412" s="356" t="str">
        <f>'12U BOYS GOLD-24 TEAMS'!I23&amp;""</f>
        <v>A bracket A2,A3</v>
      </c>
      <c r="J412" s="356" t="str">
        <f>'12U BOYS GOLD-24 TEAMS'!J23&amp;""</f>
        <v>12U_BOYS_GOLD</v>
      </c>
      <c r="K412" s="356" t="str">
        <f t="shared" si="9"/>
        <v>202601311610</v>
      </c>
    </row>
    <row r="413" spans="1:11">
      <c r="A413" s="354">
        <f>'12U BOYS GOLD-24 TEAMS'!A24</f>
        <v>46053</v>
      </c>
      <c r="B413" s="355">
        <f>'12U BOYS GOLD-24 TEAMS'!B24</f>
        <v>0.70833333333333404</v>
      </c>
      <c r="C413" s="355" t="str">
        <f>'12U BOYS GOLD-24 TEAMS'!C24&amp;""</f>
        <v>TUSTIN HS 2</v>
      </c>
      <c r="D413" s="356" t="str">
        <f>'12U BOYS GOLD-24 TEAMS'!D24&amp;""</f>
        <v>12Bau10</v>
      </c>
      <c r="E413" s="362" t="str">
        <f>'12U BOYS GOLD-24 TEAMS'!E24&amp;""</f>
        <v>C1(5)-BACK BAY</v>
      </c>
      <c r="F413" s="362" t="str">
        <f>'12U BOYS GOLD-24 TEAMS'!F24&amp;""</f>
        <v>17</v>
      </c>
      <c r="G413" s="362" t="str">
        <f>'12U BOYS GOLD-24 TEAMS'!G24&amp;""</f>
        <v>C2(12)-CC UNITED BLUE</v>
      </c>
      <c r="H413" s="356" t="str">
        <f>'12U BOYS GOLD-24 TEAMS'!H24&amp;""</f>
        <v>4</v>
      </c>
      <c r="I413" s="356" t="str">
        <f>'12U BOYS GOLD-24 TEAMS'!I24&amp;""</f>
        <v>C bracket C1,C2</v>
      </c>
      <c r="J413" s="356" t="str">
        <f>'12U BOYS GOLD-24 TEAMS'!J24&amp;""</f>
        <v>12U_BOYS_GOLD</v>
      </c>
      <c r="K413" s="356" t="str">
        <f t="shared" si="9"/>
        <v>202601311700</v>
      </c>
    </row>
    <row r="414" spans="1:11">
      <c r="A414" s="354">
        <f>'12U BOYS GOLD-24 TEAMS'!A25</f>
        <v>46053</v>
      </c>
      <c r="B414" s="355">
        <f>'12U BOYS GOLD-24 TEAMS'!B25</f>
        <v>0.74305555555555602</v>
      </c>
      <c r="C414" s="355" t="str">
        <f>'12U BOYS GOLD-24 TEAMS'!C25&amp;""</f>
        <v>TUSTIN HS 2</v>
      </c>
      <c r="D414" s="356" t="str">
        <f>'12U BOYS GOLD-24 TEAMS'!D25&amp;""</f>
        <v>12Bau11</v>
      </c>
      <c r="E414" s="362" t="str">
        <f>'12U BOYS GOLD-24 TEAMS'!E25&amp;""</f>
        <v>D1(8)-GOLD COAST</v>
      </c>
      <c r="F414" s="362" t="str">
        <f>'12U BOYS GOLD-24 TEAMS'!F25&amp;""</f>
        <v>8</v>
      </c>
      <c r="G414" s="362" t="str">
        <f>'12U BOYS GOLD-24 TEAMS'!G25&amp;""</f>
        <v>D2(9)-NORTH IRVINE RED</v>
      </c>
      <c r="H414" s="356" t="str">
        <f>'12U BOYS GOLD-24 TEAMS'!H25&amp;""</f>
        <v>6</v>
      </c>
      <c r="I414" s="356" t="str">
        <f>'12U BOYS GOLD-24 TEAMS'!I25&amp;""</f>
        <v>D bracket D1,D2</v>
      </c>
      <c r="J414" s="356" t="str">
        <f>'12U BOYS GOLD-24 TEAMS'!J25&amp;""</f>
        <v>12U_BOYS_GOLD</v>
      </c>
      <c r="K414" s="356" t="str">
        <f t="shared" si="9"/>
        <v>202601311750</v>
      </c>
    </row>
    <row r="415" spans="1:11">
      <c r="A415" s="354">
        <f>'12U BOYS GOLD-24 TEAMS'!A26</f>
        <v>46053</v>
      </c>
      <c r="B415" s="355">
        <f>'12U BOYS GOLD-24 TEAMS'!B26</f>
        <v>0.77777777777777801</v>
      </c>
      <c r="C415" s="355" t="str">
        <f>'12U BOYS GOLD-24 TEAMS'!C26&amp;""</f>
        <v>TUSTIN HS 2</v>
      </c>
      <c r="D415" s="356" t="str">
        <f>'12U BOYS GOLD-24 TEAMS'!D26&amp;""</f>
        <v>12Bau12</v>
      </c>
      <c r="E415" s="362" t="str">
        <f>'12U BOYS GOLD-24 TEAMS'!E26&amp;""</f>
        <v>B1(4)-MARIN</v>
      </c>
      <c r="F415" s="362" t="str">
        <f>'12U BOYS GOLD-24 TEAMS'!F26&amp;""</f>
        <v>2</v>
      </c>
      <c r="G415" s="362" t="str">
        <f>'12U BOYS GOLD-24 TEAMS'!G26&amp;""</f>
        <v>B2(13)-SAN CLEMENTE BLACK</v>
      </c>
      <c r="H415" s="356" t="str">
        <f>'12U BOYS GOLD-24 TEAMS'!H26&amp;""</f>
        <v>15</v>
      </c>
      <c r="I415" s="356" t="str">
        <f>'12U BOYS GOLD-24 TEAMS'!I26&amp;""</f>
        <v>B bracket B1,B2</v>
      </c>
      <c r="J415" s="356" t="str">
        <f>'12U BOYS GOLD-24 TEAMS'!J26&amp;""</f>
        <v>12U_BOYS_GOLD</v>
      </c>
      <c r="K415" s="356" t="str">
        <f t="shared" si="9"/>
        <v>202601311840</v>
      </c>
    </row>
    <row r="416" spans="1:11">
      <c r="A416" s="375">
        <f>'12U COED-7 TEAMS'!A22</f>
        <v>46054</v>
      </c>
      <c r="B416" s="376">
        <f>'12U COED-7 TEAMS'!B22</f>
        <v>0.29166666666666669</v>
      </c>
      <c r="C416" s="377" t="str">
        <f>'12U COED-7 TEAMS'!C22&amp;""</f>
        <v>TUSTIN HS 2</v>
      </c>
      <c r="D416" s="377" t="str">
        <f>'12U COED-7 TEAMS'!D22&amp;""</f>
        <v>12C08</v>
      </c>
      <c r="E416" s="377" t="str">
        <f>'12U COED-7 TEAMS'!E22&amp;""</f>
        <v>B3-YOLO BLACK</v>
      </c>
      <c r="F416" s="377" t="str">
        <f>'12U COED-7 TEAMS'!F22&amp;""</f>
        <v>16</v>
      </c>
      <c r="G416" s="377" t="str">
        <f>'12U COED-7 TEAMS'!G22&amp;""</f>
        <v>B4-LA CITY UNITED</v>
      </c>
      <c r="H416" s="377" t="str">
        <f>'12U COED-7 TEAMS'!H22&amp;""</f>
        <v>4</v>
      </c>
      <c r="I416" s="377" t="str">
        <f>'12U COED-7 TEAMS'!I22&amp;""</f>
        <v>B bracket B3,B4</v>
      </c>
      <c r="J416" s="377" t="str">
        <f>'12U COED-7 TEAMS'!J22&amp;""</f>
        <v>12U_COED</v>
      </c>
      <c r="K416" s="377" t="str">
        <f t="shared" si="9"/>
        <v>202602010700</v>
      </c>
    </row>
    <row r="417" spans="1:11">
      <c r="A417" s="375">
        <f>'12U COED-7 TEAMS'!A23</f>
        <v>46054</v>
      </c>
      <c r="B417" s="376">
        <f>'12U COED-7 TEAMS'!B23</f>
        <v>0.3263888888888889</v>
      </c>
      <c r="C417" s="377" t="str">
        <f>'12U COED-7 TEAMS'!C23&amp;""</f>
        <v>TUSTIN HS 2</v>
      </c>
      <c r="D417" s="377" t="str">
        <f>'12U COED-7 TEAMS'!D23&amp;""</f>
        <v>12C09</v>
      </c>
      <c r="E417" s="377" t="str">
        <f>'12U COED-7 TEAMS'!E23&amp;""</f>
        <v>B1-POWAY VALLEY</v>
      </c>
      <c r="F417" s="377" t="str">
        <f>'12U COED-7 TEAMS'!F23&amp;""</f>
        <v>12</v>
      </c>
      <c r="G417" s="377" t="str">
        <f>'12U COED-7 TEAMS'!G23&amp;""</f>
        <v>B2-LOYOLA WPC</v>
      </c>
      <c r="H417" s="377" t="str">
        <f>'12U COED-7 TEAMS'!H23&amp;""</f>
        <v>3</v>
      </c>
      <c r="I417" s="377" t="str">
        <f>'12U COED-7 TEAMS'!I23&amp;""</f>
        <v>B bracket B1,B2</v>
      </c>
      <c r="J417" s="377" t="str">
        <f>'12U COED-7 TEAMS'!J23&amp;""</f>
        <v>12U_COED</v>
      </c>
      <c r="K417" s="377" t="str">
        <f t="shared" si="9"/>
        <v>202602010750</v>
      </c>
    </row>
    <row r="418" spans="1:11">
      <c r="A418" s="357">
        <f>'12U BOYS GOLD-24 TEAMS'!A60</f>
        <v>46054</v>
      </c>
      <c r="B418" s="358">
        <f>'12U BOYS GOLD-24 TEAMS'!B60</f>
        <v>0.36111111111111099</v>
      </c>
      <c r="C418" s="358" t="str">
        <f>'12U BOYS GOLD-24 TEAMS'!C60&amp;""</f>
        <v>TUSTIN HS 2</v>
      </c>
      <c r="D418" s="359" t="str">
        <f>'12U BOYS GOLD-24 TEAMS'!D60&amp;""</f>
        <v>12Bau17A</v>
      </c>
      <c r="E418" s="359" t="str">
        <f>'12U BOYS GOLD-24 TEAMS'!E60&amp;""</f>
        <v>1stE-TROJAN</v>
      </c>
      <c r="F418" s="359" t="str">
        <f>'12U BOYS GOLD-24 TEAMS'!F60&amp;""</f>
        <v>7</v>
      </c>
      <c r="G418" s="359" t="str">
        <f>'12U BOYS GOLD-24 TEAMS'!G60&amp;""</f>
        <v>1stH-FOOTHILL RED</v>
      </c>
      <c r="H418" s="360" t="str">
        <f>'12U BOYS GOLD-24 TEAMS'!H60&amp;""</f>
        <v>9</v>
      </c>
      <c r="I418" s="359" t="str">
        <f>'12U BOYS GOLD-24 TEAMS'!I60&amp;""</f>
        <v>1-8 cross 1E/1H</v>
      </c>
      <c r="J418" s="359" t="str">
        <f>'12U BOYS GOLD-24 TEAMS'!J60&amp;""</f>
        <v>12U_BOYS_GOLD</v>
      </c>
      <c r="K418" s="359" t="str">
        <f t="shared" si="9"/>
        <v>202602010840</v>
      </c>
    </row>
    <row r="419" spans="1:11">
      <c r="A419" s="357">
        <f>'12U BOYS GOLD-24 TEAMS'!A61</f>
        <v>46054</v>
      </c>
      <c r="B419" s="358">
        <f>'12U BOYS GOLD-24 TEAMS'!B61</f>
        <v>0.39583333333333398</v>
      </c>
      <c r="C419" s="358" t="str">
        <f>'12U BOYS GOLD-24 TEAMS'!C61&amp;""</f>
        <v>TUSTIN HS 2</v>
      </c>
      <c r="D419" s="359" t="str">
        <f>'12U BOYS GOLD-24 TEAMS'!D61&amp;""</f>
        <v>12Bau18A</v>
      </c>
      <c r="E419" s="359" t="str">
        <f>'12U BOYS GOLD-24 TEAMS'!E61&amp;""</f>
        <v>1stF-680 BLUE</v>
      </c>
      <c r="F419" s="359" t="str">
        <f>'12U BOYS GOLD-24 TEAMS'!F61&amp;""</f>
        <v>6</v>
      </c>
      <c r="G419" s="359" t="str">
        <f>'12U BOYS GOLD-24 TEAMS'!G61&amp;""</f>
        <v>1stG-SAN MATEO</v>
      </c>
      <c r="H419" s="359" t="str">
        <f>'12U BOYS GOLD-24 TEAMS'!H61&amp;""</f>
        <v>5</v>
      </c>
      <c r="I419" s="359" t="str">
        <f>'12U BOYS GOLD-24 TEAMS'!I61&amp;""</f>
        <v>1-8 cross 1F/1G</v>
      </c>
      <c r="J419" s="359" t="str">
        <f>'12U BOYS GOLD-24 TEAMS'!J61&amp;""</f>
        <v>12U_BOYS_GOLD</v>
      </c>
      <c r="K419" s="359" t="str">
        <f t="shared" si="9"/>
        <v>202602010930</v>
      </c>
    </row>
    <row r="420" spans="1:11">
      <c r="A420" s="357">
        <f>'12U BOYS GOLD-24 TEAMS'!A62</f>
        <v>46054</v>
      </c>
      <c r="B420" s="358">
        <f>'12U BOYS GOLD-24 TEAMS'!B62</f>
        <v>0.43055555555555602</v>
      </c>
      <c r="C420" s="358" t="str">
        <f>'12U BOYS GOLD-24 TEAMS'!C62&amp;""</f>
        <v>TUSTIN HS 2</v>
      </c>
      <c r="D420" s="359" t="str">
        <f>'12U BOYS GOLD-24 TEAMS'!D62&amp;""</f>
        <v>12Bau13A</v>
      </c>
      <c r="E420" s="360" t="str">
        <f>'12U BOYS GOLD-24 TEAMS'!E62&amp;""</f>
        <v>3rdE-CC UNITED WHITE</v>
      </c>
      <c r="F420" s="360" t="str">
        <f>'12U BOYS GOLD-24 TEAMS'!F62&amp;""</f>
        <v>3</v>
      </c>
      <c r="G420" s="359" t="str">
        <f>'12U BOYS GOLD-24 TEAMS'!G62&amp;""</f>
        <v>3rdH-AMERICAN RIVER BLUE</v>
      </c>
      <c r="H420" s="359" t="str">
        <f>'12U BOYS GOLD-24 TEAMS'!H62&amp;""</f>
        <v>5</v>
      </c>
      <c r="I420" s="359" t="str">
        <f>'12U BOYS GOLD-24 TEAMS'!I62&amp;""</f>
        <v>17-24 cross 3E/3H</v>
      </c>
      <c r="J420" s="359" t="str">
        <f>'12U BOYS GOLD-24 TEAMS'!J62&amp;""</f>
        <v>12U_BOYS_GOLD</v>
      </c>
      <c r="K420" s="359" t="str">
        <f t="shared" si="9"/>
        <v>202602011020</v>
      </c>
    </row>
    <row r="421" spans="1:11">
      <c r="A421" s="375">
        <f>'12U COED-7 TEAMS'!A25</f>
        <v>46054</v>
      </c>
      <c r="B421" s="376">
        <f>'12U COED-7 TEAMS'!B25</f>
        <v>0.46527777777777801</v>
      </c>
      <c r="C421" s="377" t="str">
        <f>'12U COED-7 TEAMS'!C25&amp;""</f>
        <v>TUSTIN HS 2</v>
      </c>
      <c r="D421" s="377" t="str">
        <f>'12U COED-7 TEAMS'!D25&amp;""</f>
        <v>12C10</v>
      </c>
      <c r="E421" s="377" t="str">
        <f>'12U COED-7 TEAMS'!E25&amp;""</f>
        <v>3rdA-CMAC</v>
      </c>
      <c r="F421" s="377" t="str">
        <f>'12U COED-7 TEAMS'!F25&amp;""</f>
        <v>16</v>
      </c>
      <c r="G421" s="377" t="str">
        <f>'12U COED-7 TEAMS'!G25&amp;""</f>
        <v>4thB-LOYOLA WPC</v>
      </c>
      <c r="H421" s="377" t="str">
        <f>'12U COED-7 TEAMS'!H25&amp;""</f>
        <v>1</v>
      </c>
      <c r="I421" s="377" t="str">
        <f>'12U COED-7 TEAMS'!I25&amp;""</f>
        <v>5th-7th</v>
      </c>
      <c r="J421" s="377" t="str">
        <f>'12U COED-7 TEAMS'!J25&amp;""</f>
        <v>12U_COED</v>
      </c>
      <c r="K421" s="377" t="str">
        <f t="shared" si="9"/>
        <v>202602011110</v>
      </c>
    </row>
    <row r="422" spans="1:11">
      <c r="A422" s="375">
        <f>'12U COED-7 TEAMS'!A26</f>
        <v>46054</v>
      </c>
      <c r="B422" s="376">
        <f>'12U COED-7 TEAMS'!B26</f>
        <v>0.5</v>
      </c>
      <c r="C422" s="377" t="str">
        <f>'12U COED-7 TEAMS'!C26&amp;""</f>
        <v>TUSTIN HS 2</v>
      </c>
      <c r="D422" s="377" t="str">
        <f>'12U COED-7 TEAMS'!D26&amp;""</f>
        <v>12C11</v>
      </c>
      <c r="E422" s="377" t="str">
        <f>'12U COED-7 TEAMS'!E26&amp;""</f>
        <v>1stA-SET</v>
      </c>
      <c r="F422" s="377" t="str">
        <f>'12U COED-7 TEAMS'!F26&amp;""</f>
        <v>8</v>
      </c>
      <c r="G422" s="377" t="str">
        <f>'12U COED-7 TEAMS'!G26&amp;""</f>
        <v>2ndB-LA CITY UNITED</v>
      </c>
      <c r="H422" s="377" t="str">
        <f>'12U COED-7 TEAMS'!H26&amp;""</f>
        <v>6</v>
      </c>
      <c r="I422" s="377" t="str">
        <f>'12U COED-7 TEAMS'!I26&amp;""</f>
        <v>1-4 semi</v>
      </c>
      <c r="J422" s="377" t="str">
        <f>'12U COED-7 TEAMS'!J26&amp;""</f>
        <v>12U_COED</v>
      </c>
      <c r="K422" s="377" t="str">
        <f t="shared" si="9"/>
        <v>202602011200</v>
      </c>
    </row>
    <row r="423" spans="1:11">
      <c r="A423" s="375">
        <f>'12U COED-7 TEAMS'!A27</f>
        <v>46054</v>
      </c>
      <c r="B423" s="376">
        <f>'12U COED-7 TEAMS'!B27</f>
        <v>0.53472222222222199</v>
      </c>
      <c r="C423" s="377" t="str">
        <f>'12U COED-7 TEAMS'!C27&amp;""</f>
        <v>TUSTIN HS 2</v>
      </c>
      <c r="D423" s="377" t="str">
        <f>'12U COED-7 TEAMS'!D27&amp;""</f>
        <v>12C12</v>
      </c>
      <c r="E423" s="377" t="str">
        <f>'12U COED-7 TEAMS'!E27&amp;""</f>
        <v>1stB-YOLO BLACK</v>
      </c>
      <c r="F423" s="377" t="str">
        <f>'12U COED-7 TEAMS'!F27&amp;""</f>
        <v>20</v>
      </c>
      <c r="G423" s="377" t="str">
        <f>'12U COED-7 TEAMS'!G27&amp;""</f>
        <v>2ndA-PALOS VERDES</v>
      </c>
      <c r="H423" s="377" t="str">
        <f>'12U COED-7 TEAMS'!H27&amp;""</f>
        <v>1</v>
      </c>
      <c r="I423" s="377" t="str">
        <f>'12U COED-7 TEAMS'!I27&amp;""</f>
        <v>1-4 semi</v>
      </c>
      <c r="J423" s="377" t="str">
        <f>'12U COED-7 TEAMS'!J27&amp;""</f>
        <v>12U_COED</v>
      </c>
      <c r="K423" s="377" t="str">
        <f t="shared" si="9"/>
        <v>202602011250</v>
      </c>
    </row>
    <row r="424" spans="1:11">
      <c r="A424" s="375">
        <f>'12U COED-7 TEAMS'!A28</f>
        <v>46054</v>
      </c>
      <c r="B424" s="376">
        <f>'12U COED-7 TEAMS'!B28</f>
        <v>0.56944444444444497</v>
      </c>
      <c r="C424" s="377" t="str">
        <f>'12U COED-7 TEAMS'!C28&amp;""</f>
        <v>TUSTIN HS 2</v>
      </c>
      <c r="D424" s="377" t="str">
        <f>'12U COED-7 TEAMS'!D28&amp;""</f>
        <v>12C13</v>
      </c>
      <c r="E424" s="377" t="str">
        <f>'12U COED-7 TEAMS'!E28&amp;""</f>
        <v>3rdA-CMAC</v>
      </c>
      <c r="F424" s="377" t="str">
        <f>'12U COED-7 TEAMS'!F28&amp;""</f>
        <v>2</v>
      </c>
      <c r="G424" s="377" t="str">
        <f>'12U COED-7 TEAMS'!G28&amp;""</f>
        <v>3rdB-POWAY VALLEY</v>
      </c>
      <c r="H424" s="377" t="str">
        <f>'12U COED-7 TEAMS'!H28&amp;""</f>
        <v>9</v>
      </c>
      <c r="I424" s="377" t="str">
        <f>'12U COED-7 TEAMS'!I28&amp;""</f>
        <v>5th-7th</v>
      </c>
      <c r="J424" s="377" t="str">
        <f>'12U COED-7 TEAMS'!J28&amp;""</f>
        <v>12U_COED</v>
      </c>
      <c r="K424" s="377" t="str">
        <f t="shared" si="9"/>
        <v>202602011340</v>
      </c>
    </row>
    <row r="425" spans="1:11">
      <c r="A425" s="357">
        <f>'12U BOYS GOLD-24 TEAMS'!A64</f>
        <v>46054</v>
      </c>
      <c r="B425" s="358">
        <f>'12U BOYS GOLD-24 TEAMS'!B64</f>
        <v>0.60416666666666696</v>
      </c>
      <c r="C425" s="358" t="str">
        <f>'12U BOYS GOLD-24 TEAMS'!C64&amp;""</f>
        <v>TUSTIN HS 2</v>
      </c>
      <c r="D425" s="359" t="str">
        <f>'12U BOYS GOLD-24 TEAMS'!D64&amp;""</f>
        <v>12Bau15A</v>
      </c>
      <c r="E425" s="360" t="str">
        <f>'12U BOYS GOLD-24 TEAMS'!E64&amp;""</f>
        <v>2ndE-LA JOLLA UNITED GOLD</v>
      </c>
      <c r="F425" s="360" t="str">
        <f>'12U BOYS GOLD-24 TEAMS'!F64&amp;""</f>
        <v>10</v>
      </c>
      <c r="G425" s="360" t="str">
        <f>'12U BOYS GOLD-24 TEAMS'!G64&amp;""</f>
        <v>2ndH-STANFORD WHITE</v>
      </c>
      <c r="H425" s="360" t="str">
        <f>'12U BOYS GOLD-24 TEAMS'!H64&amp;""</f>
        <v>7</v>
      </c>
      <c r="I425" s="360" t="str">
        <f>'12U BOYS GOLD-24 TEAMS'!I64&amp;""</f>
        <v>9-16 cross 2E/2H</v>
      </c>
      <c r="J425" s="359" t="str">
        <f>'12U BOYS GOLD-24 TEAMS'!J64&amp;""</f>
        <v>12U_BOYS_GOLD</v>
      </c>
      <c r="K425" s="359" t="str">
        <f t="shared" si="9"/>
        <v>202602011430</v>
      </c>
    </row>
    <row r="426" spans="1:11">
      <c r="A426" s="357">
        <f>'12U BOYS GOLD-24 TEAMS'!A65</f>
        <v>46054</v>
      </c>
      <c r="B426" s="358">
        <f>'12U BOYS GOLD-24 TEAMS'!B65</f>
        <v>0.63888888888888895</v>
      </c>
      <c r="C426" s="358" t="str">
        <f>'12U BOYS GOLD-24 TEAMS'!C65&amp;""</f>
        <v>TUSTIN HS 2</v>
      </c>
      <c r="D426" s="359" t="str">
        <f>'12U BOYS GOLD-24 TEAMS'!D65&amp;""</f>
        <v>12Bau16A</v>
      </c>
      <c r="E426" s="359" t="str">
        <f>'12U BOYS GOLD-24 TEAMS'!E65&amp;""</f>
        <v>2ndF-CMAC</v>
      </c>
      <c r="F426" s="359" t="str">
        <f>'12U BOYS GOLD-24 TEAMS'!F65&amp;""</f>
        <v>10.4</v>
      </c>
      <c r="G426" s="359" t="str">
        <f>'12U BOYS GOLD-24 TEAMS'!G65&amp;""</f>
        <v>2ndG-SOUTH COAST RED</v>
      </c>
      <c r="H426" s="359" t="str">
        <f>'12U BOYS GOLD-24 TEAMS'!H65&amp;""</f>
        <v>10.1</v>
      </c>
      <c r="I426" s="359" t="str">
        <f>'12U BOYS GOLD-24 TEAMS'!I65&amp;""</f>
        <v>9-16 cross 2F/2G</v>
      </c>
      <c r="J426" s="359" t="str">
        <f>'12U BOYS GOLD-24 TEAMS'!J65&amp;""</f>
        <v>12U_BOYS_GOLD</v>
      </c>
      <c r="K426" s="359" t="str">
        <f t="shared" si="9"/>
        <v>202602011520</v>
      </c>
    </row>
    <row r="427" spans="1:11">
      <c r="A427" s="357">
        <f>'12U BOYS GOLD-24 TEAMS'!A66</f>
        <v>46054</v>
      </c>
      <c r="B427" s="358">
        <f>'12U BOYS GOLD-24 TEAMS'!B66</f>
        <v>0.67361111111111105</v>
      </c>
      <c r="C427" s="358" t="str">
        <f>'12U BOYS GOLD-24 TEAMS'!C66&amp;""</f>
        <v>TUSTIN HS 2</v>
      </c>
      <c r="D427" s="359" t="str">
        <f>'12U BOYS GOLD-24 TEAMS'!D66&amp;""</f>
        <v>12Bau19A</v>
      </c>
      <c r="E427" s="360" t="str">
        <f>'12U BOYS GOLD-24 TEAMS'!E66&amp;""</f>
        <v>L#13A-CC UNITED WHITE</v>
      </c>
      <c r="F427" s="360" t="str">
        <f>'12U BOYS GOLD-24 TEAMS'!F66&amp;""</f>
        <v>18</v>
      </c>
      <c r="G427" s="360" t="str">
        <f>'12U BOYS GOLD-24 TEAMS'!G66&amp;""</f>
        <v>L#14A-NORTH IRVINE WHITE</v>
      </c>
      <c r="H427" s="359" t="str">
        <f>'12U BOYS GOLD-24 TEAMS'!H66&amp;""</f>
        <v>0</v>
      </c>
      <c r="I427" s="359" t="str">
        <f>'12U BOYS GOLD-24 TEAMS'!I66&amp;""</f>
        <v>tie 21st</v>
      </c>
      <c r="J427" s="359" t="str">
        <f>'12U BOYS GOLD-24 TEAMS'!J66&amp;""</f>
        <v>12U_BOYS_GOLD</v>
      </c>
      <c r="K427" s="359" t="str">
        <f t="shared" si="9"/>
        <v>202602011610</v>
      </c>
    </row>
    <row r="428" spans="1:11">
      <c r="A428" s="357">
        <f>'12U BOYS GOLD-24 TEAMS'!A70</f>
        <v>46054</v>
      </c>
      <c r="B428" s="358">
        <f>'12U BOYS GOLD-24 TEAMS'!B70</f>
        <v>0.70833333333333404</v>
      </c>
      <c r="C428" s="358" t="str">
        <f>'12U BOYS GOLD-24 TEAMS'!C70&amp;""</f>
        <v>TUSTIN HS 2</v>
      </c>
      <c r="D428" s="359" t="str">
        <f>'12U BOYS GOLD-24 TEAMS'!D70&amp;""</f>
        <v>12Bau22A</v>
      </c>
      <c r="E428" s="360" t="str">
        <f>'12U BOYS GOLD-24 TEAMS'!E70&amp;""</f>
        <v>W#15A-LA JOLLA UNITED GOLD</v>
      </c>
      <c r="F428" s="360" t="str">
        <f>'12U BOYS GOLD-24 TEAMS'!F70&amp;""</f>
        <v>6</v>
      </c>
      <c r="G428" s="360" t="str">
        <f>'12U BOYS GOLD-24 TEAMS'!G70&amp;""</f>
        <v>W#16A-CMAC</v>
      </c>
      <c r="H428" s="360" t="str">
        <f>'12U BOYS GOLD-24 TEAMS'!H70&amp;""</f>
        <v>13</v>
      </c>
      <c r="I428" s="360" t="str">
        <f>'12U BOYS GOLD-24 TEAMS'!I70&amp;""</f>
        <v>tie 9th</v>
      </c>
      <c r="J428" s="359" t="str">
        <f>'12U BOYS GOLD-24 TEAMS'!J70&amp;""</f>
        <v>12U_BOYS_GOLD</v>
      </c>
      <c r="K428" s="359" t="str">
        <f t="shared" si="9"/>
        <v>202602011700</v>
      </c>
    </row>
    <row r="429" spans="1:11">
      <c r="A429" s="357">
        <f>'12U BOYS GOLD-24 TEAMS'!A69</f>
        <v>46054</v>
      </c>
      <c r="B429" s="358">
        <f>'12U BOYS GOLD-24 TEAMS'!B69</f>
        <v>0.70833333333333404</v>
      </c>
      <c r="C429" s="358" t="str">
        <f>'12U BOYS GOLD-24 TEAMS'!C69&amp;""</f>
        <v>TUSTIN HS 2</v>
      </c>
      <c r="D429" s="359" t="str">
        <f>'12U BOYS GOLD-24 TEAMS'!D69&amp;""</f>
        <v>12Bau23A</v>
      </c>
      <c r="E429" s="360" t="str">
        <f>'12U BOYS GOLD-24 TEAMS'!E69&amp;""</f>
        <v>L#17A-TROJAN</v>
      </c>
      <c r="F429" s="360" t="str">
        <f>'12U BOYS GOLD-24 TEAMS'!F69&amp;""</f>
        <v>5</v>
      </c>
      <c r="G429" s="360" t="str">
        <f>'12U BOYS GOLD-24 TEAMS'!G69&amp;""</f>
        <v>L#18A-SAN MATEO</v>
      </c>
      <c r="H429" s="360" t="str">
        <f>'12U BOYS GOLD-24 TEAMS'!H69&amp;""</f>
        <v>0</v>
      </c>
      <c r="I429" s="360" t="str">
        <f>'12U BOYS GOLD-24 TEAMS'!I69&amp;""</f>
        <v>tie 5th</v>
      </c>
      <c r="J429" s="359" t="str">
        <f>'12U BOYS GOLD-24 TEAMS'!J69&amp;""</f>
        <v>12U_BOYS_GOLD</v>
      </c>
      <c r="K429" s="359" t="str">
        <f t="shared" si="9"/>
        <v>202602011700</v>
      </c>
    </row>
    <row r="430" spans="1:11">
      <c r="A430" s="410">
        <f>'16U BOYS GOLD-19 TEAMS'!A24</f>
        <v>46053</v>
      </c>
      <c r="B430" s="411">
        <f>'16U BOYS GOLD-19 TEAMS'!B24</f>
        <v>0.29166666666666669</v>
      </c>
      <c r="C430" s="411" t="str">
        <f>'16U BOYS GOLD-19 TEAMS'!C24&amp;""</f>
        <v>WESTMINSTER HS</v>
      </c>
      <c r="D430" s="412" t="str">
        <f>'16U BOYS GOLD-19 TEAMS'!D24&amp;""</f>
        <v>16Bau01</v>
      </c>
      <c r="E430" s="412" t="str">
        <f>'16U BOYS GOLD-19 TEAMS'!E24&amp;""</f>
        <v>A1-SAN JOSE EXPRESS BLUE</v>
      </c>
      <c r="F430" s="412" t="str">
        <f>'16U BOYS GOLD-19 TEAMS'!F24&amp;""</f>
        <v>11</v>
      </c>
      <c r="G430" s="412" t="str">
        <f>'16U BOYS GOLD-19 TEAMS'!G24&amp;""</f>
        <v>A3-AMERICAN RIVER GOLD</v>
      </c>
      <c r="H430" s="412" t="str">
        <f>'16U BOYS GOLD-19 TEAMS'!H24&amp;""</f>
        <v>7</v>
      </c>
      <c r="I430" s="412" t="str">
        <f>'16U BOYS GOLD-19 TEAMS'!I24&amp;""</f>
        <v>A bracket</v>
      </c>
      <c r="J430" s="412" t="str">
        <f>'16U BOYS GOLD-19 TEAMS'!J24&amp;""</f>
        <v>16U_BOYS_GOLD</v>
      </c>
      <c r="K430" s="412" t="str">
        <f t="shared" si="9"/>
        <v>202601310700</v>
      </c>
    </row>
    <row r="431" spans="1:11">
      <c r="A431" s="410">
        <f>'16U BOYS GOLD-19 TEAMS'!A25</f>
        <v>46053</v>
      </c>
      <c r="B431" s="411">
        <f>'16U BOYS GOLD-19 TEAMS'!B25</f>
        <v>0.33333333333333298</v>
      </c>
      <c r="C431" s="411" t="str">
        <f>'16U BOYS GOLD-19 TEAMS'!C25&amp;""</f>
        <v>WESTMINSTER HS</v>
      </c>
      <c r="D431" s="412" t="str">
        <f>'16U BOYS GOLD-19 TEAMS'!D25&amp;""</f>
        <v>16Bau02</v>
      </c>
      <c r="E431" s="412" t="str">
        <f>'16U BOYS GOLD-19 TEAMS'!E25&amp;""</f>
        <v>B1-CMAC</v>
      </c>
      <c r="F431" s="412" t="str">
        <f>'16U BOYS GOLD-19 TEAMS'!F25&amp;""</f>
        <v>6</v>
      </c>
      <c r="G431" s="412" t="str">
        <f>'16U BOYS GOLD-19 TEAMS'!G25&amp;""</f>
        <v>B3-SOUTH COAST WHITE (B)</v>
      </c>
      <c r="H431" s="412" t="str">
        <f>'16U BOYS GOLD-19 TEAMS'!H25&amp;""</f>
        <v>14</v>
      </c>
      <c r="I431" s="412" t="str">
        <f>'16U BOYS GOLD-19 TEAMS'!I25&amp;""</f>
        <v>B bracket</v>
      </c>
      <c r="J431" s="412" t="str">
        <f>'16U BOYS GOLD-19 TEAMS'!J25&amp;""</f>
        <v>16U_BOYS_GOLD</v>
      </c>
      <c r="K431" s="412" t="str">
        <f t="shared" si="9"/>
        <v>202601310800</v>
      </c>
    </row>
    <row r="432" spans="1:11">
      <c r="A432" s="410">
        <f>'16U BOYS GOLD-19 TEAMS'!A26</f>
        <v>46053</v>
      </c>
      <c r="B432" s="411">
        <f>'16U BOYS GOLD-19 TEAMS'!B26</f>
        <v>0.375</v>
      </c>
      <c r="C432" s="411" t="str">
        <f>'16U BOYS GOLD-19 TEAMS'!C26&amp;""</f>
        <v>WESTMINSTER HS</v>
      </c>
      <c r="D432" s="412" t="str">
        <f>'16U BOYS GOLD-19 TEAMS'!D26&amp;""</f>
        <v>16Bau03</v>
      </c>
      <c r="E432" s="412" t="str">
        <f>'16U BOYS GOLD-19 TEAMS'!E26&amp;""</f>
        <v>C1-ST LOUIS AREA POLO</v>
      </c>
      <c r="F432" s="412" t="str">
        <f>'16U BOYS GOLD-19 TEAMS'!F26&amp;""</f>
        <v>5</v>
      </c>
      <c r="G432" s="412" t="str">
        <f>'16U BOYS GOLD-19 TEAMS'!G26&amp;""</f>
        <v>C3-TROJAN GOLD</v>
      </c>
      <c r="H432" s="412" t="str">
        <f>'16U BOYS GOLD-19 TEAMS'!H26&amp;""</f>
        <v>6</v>
      </c>
      <c r="I432" s="412" t="str">
        <f>'16U BOYS GOLD-19 TEAMS'!I26&amp;""</f>
        <v>C bracket</v>
      </c>
      <c r="J432" s="412" t="str">
        <f>'16U BOYS GOLD-19 TEAMS'!J26&amp;""</f>
        <v>16U_BOYS_GOLD</v>
      </c>
      <c r="K432" s="412" t="str">
        <f t="shared" si="9"/>
        <v>202601310900</v>
      </c>
    </row>
    <row r="433" spans="1:11">
      <c r="A433" s="410">
        <f>'16U BOYS GOLD-19 TEAMS'!A27</f>
        <v>46053</v>
      </c>
      <c r="B433" s="411">
        <f>'16U BOYS GOLD-19 TEAMS'!B27</f>
        <v>0.41666666666666702</v>
      </c>
      <c r="C433" s="411" t="str">
        <f>'16U BOYS GOLD-19 TEAMS'!C27&amp;""</f>
        <v>WESTMINSTER HS</v>
      </c>
      <c r="D433" s="412" t="str">
        <f>'16U BOYS GOLD-19 TEAMS'!D27&amp;""</f>
        <v>16Bau04</v>
      </c>
      <c r="E433" s="412" t="str">
        <f>'16U BOYS GOLD-19 TEAMS'!E27&amp;""</f>
        <v>A2-CHANNEL ISLANDS UNITED BLUE</v>
      </c>
      <c r="F433" s="412" t="str">
        <f>'16U BOYS GOLD-19 TEAMS'!F27&amp;""</f>
        <v>8.4</v>
      </c>
      <c r="G433" s="412" t="str">
        <f>'16U BOYS GOLD-19 TEAMS'!G27&amp;""</f>
        <v>A3-AMERICAN RIVER GOLD</v>
      </c>
      <c r="H433" s="412" t="str">
        <f>'16U BOYS GOLD-19 TEAMS'!H27&amp;""</f>
        <v>8.1</v>
      </c>
      <c r="I433" s="412" t="str">
        <f>'16U BOYS GOLD-19 TEAMS'!I27&amp;""</f>
        <v>A bracket</v>
      </c>
      <c r="J433" s="412" t="str">
        <f>'16U BOYS GOLD-19 TEAMS'!J27&amp;""</f>
        <v>16U_BOYS_GOLD</v>
      </c>
      <c r="K433" s="412" t="str">
        <f t="shared" si="9"/>
        <v>202601311000</v>
      </c>
    </row>
    <row r="434" spans="1:11">
      <c r="A434" s="410">
        <f>'16U BOYS GOLD-19 TEAMS'!A28</f>
        <v>46053</v>
      </c>
      <c r="B434" s="411">
        <f>'16U BOYS GOLD-19 TEAMS'!B28</f>
        <v>0.45833333333333298</v>
      </c>
      <c r="C434" s="411" t="str">
        <f>'16U BOYS GOLD-19 TEAMS'!C28&amp;""</f>
        <v>WESTMINSTER HS</v>
      </c>
      <c r="D434" s="412" t="str">
        <f>'16U BOYS GOLD-19 TEAMS'!D28&amp;""</f>
        <v>16Bau05</v>
      </c>
      <c r="E434" s="412" t="str">
        <f>'16U BOYS GOLD-19 TEAMS'!E28&amp;""</f>
        <v>B2-DAVIS BLUE</v>
      </c>
      <c r="F434" s="412" t="str">
        <f>'16U BOYS GOLD-19 TEAMS'!F28&amp;""</f>
        <v>12</v>
      </c>
      <c r="G434" s="412" t="str">
        <f>'16U BOYS GOLD-19 TEAMS'!G28&amp;""</f>
        <v>B3-SOUTH COAST WHITE (B)</v>
      </c>
      <c r="H434" s="412" t="str">
        <f>'16U BOYS GOLD-19 TEAMS'!H28&amp;""</f>
        <v>18</v>
      </c>
      <c r="I434" s="412" t="str">
        <f>'16U BOYS GOLD-19 TEAMS'!I28&amp;""</f>
        <v>B bracket</v>
      </c>
      <c r="J434" s="412" t="str">
        <f>'16U BOYS GOLD-19 TEAMS'!J28&amp;""</f>
        <v>16U_BOYS_GOLD</v>
      </c>
      <c r="K434" s="412" t="str">
        <f t="shared" ref="K434:K497" si="10">TEXT(DATE(2026, MONTH(A434), DAY(A434)) + TIME(HOUR(B434), MINUTE(B434), 0), "yyyymmddhhmm")</f>
        <v>202601311100</v>
      </c>
    </row>
    <row r="435" spans="1:11">
      <c r="A435" s="410">
        <f>'16U BOYS GOLD-19 TEAMS'!A29</f>
        <v>46053</v>
      </c>
      <c r="B435" s="411">
        <f>'16U BOYS GOLD-19 TEAMS'!B29</f>
        <v>0.5</v>
      </c>
      <c r="C435" s="411" t="str">
        <f>'16U BOYS GOLD-19 TEAMS'!C29&amp;""</f>
        <v>WESTMINSTER HS</v>
      </c>
      <c r="D435" s="412" t="str">
        <f>'16U BOYS GOLD-19 TEAMS'!D29&amp;""</f>
        <v>16Bau06</v>
      </c>
      <c r="E435" s="412" t="str">
        <f>'16U BOYS GOLD-19 TEAMS'!E29&amp;""</f>
        <v>C2-CAL REPUBLIC</v>
      </c>
      <c r="F435" s="412" t="str">
        <f>'16U BOYS GOLD-19 TEAMS'!F29&amp;""</f>
        <v>12</v>
      </c>
      <c r="G435" s="412" t="str">
        <f>'16U BOYS GOLD-19 TEAMS'!G29&amp;""</f>
        <v>C3-TROJAN GOLD</v>
      </c>
      <c r="H435" s="412" t="str">
        <f>'16U BOYS GOLD-19 TEAMS'!H29&amp;""</f>
        <v>8</v>
      </c>
      <c r="I435" s="412" t="str">
        <f>'16U BOYS GOLD-19 TEAMS'!I29&amp;""</f>
        <v>C bracket</v>
      </c>
      <c r="J435" s="412" t="str">
        <f>'16U BOYS GOLD-19 TEAMS'!J29&amp;""</f>
        <v>16U_BOYS_GOLD</v>
      </c>
      <c r="K435" s="412" t="str">
        <f t="shared" si="10"/>
        <v>202601311200</v>
      </c>
    </row>
    <row r="436" spans="1:11">
      <c r="A436" s="432">
        <f>'19U BOYS GOLD-16 TEAMS'!A16</f>
        <v>46053</v>
      </c>
      <c r="B436" s="433">
        <f>'19U BOYS GOLD-16 TEAMS'!B16</f>
        <v>0.54166666666666696</v>
      </c>
      <c r="C436" s="433" t="str">
        <f>'19U BOYS GOLD-16 TEAMS'!C16&amp;""</f>
        <v>WESTMINSTER HS</v>
      </c>
      <c r="D436" s="434" t="str">
        <f>'19U BOYS GOLD-16 TEAMS'!D16&amp;""</f>
        <v>19Bau09</v>
      </c>
      <c r="E436" s="434" t="str">
        <f>'19U BOYS GOLD-16 TEAMS'!E16&amp;""</f>
        <v>D1-BIG VALLEY</v>
      </c>
      <c r="F436" s="434" t="str">
        <f>'19U BOYS GOLD-16 TEAMS'!F16&amp;""</f>
        <v>17</v>
      </c>
      <c r="G436" s="434" t="str">
        <f>'19U BOYS GOLD-16 TEAMS'!G16&amp;""</f>
        <v>D4-WCAC UNITED</v>
      </c>
      <c r="H436" s="434" t="str">
        <f>'19U BOYS GOLD-16 TEAMS'!H16&amp;""</f>
        <v>16</v>
      </c>
      <c r="I436" s="434" t="str">
        <f>'19U BOYS GOLD-16 TEAMS'!I16&amp;""</f>
        <v>W/L D1/D4</v>
      </c>
      <c r="J436" s="434" t="str">
        <f>'19U BOYS GOLD-16 TEAMS'!J16&amp;""</f>
        <v>19U_BOYS_GOLD</v>
      </c>
      <c r="K436" s="434" t="str">
        <f t="shared" si="10"/>
        <v>202601311300</v>
      </c>
    </row>
    <row r="437" spans="1:11">
      <c r="A437" s="432">
        <f>'19U BOYS GOLD-16 TEAMS'!A17</f>
        <v>46053</v>
      </c>
      <c r="B437" s="433">
        <f>'19U BOYS GOLD-16 TEAMS'!B17</f>
        <v>0.58333333333333304</v>
      </c>
      <c r="C437" s="433" t="str">
        <f>'19U BOYS GOLD-16 TEAMS'!C17&amp;""</f>
        <v>WESTMINSTER HS</v>
      </c>
      <c r="D437" s="434" t="str">
        <f>'19U BOYS GOLD-16 TEAMS'!D17&amp;""</f>
        <v>19Bau10</v>
      </c>
      <c r="E437" s="434" t="str">
        <f>'19U BOYS GOLD-16 TEAMS'!E17&amp;""</f>
        <v>D2-SET</v>
      </c>
      <c r="F437" s="434" t="str">
        <f>'19U BOYS GOLD-16 TEAMS'!F17&amp;""</f>
        <v>7</v>
      </c>
      <c r="G437" s="434" t="str">
        <f>'19U BOYS GOLD-16 TEAMS'!G17&amp;""</f>
        <v>D3-LONGHORN</v>
      </c>
      <c r="H437" s="434" t="str">
        <f>'19U BOYS GOLD-16 TEAMS'!H17&amp;""</f>
        <v>13</v>
      </c>
      <c r="I437" s="434" t="str">
        <f>'19U BOYS GOLD-16 TEAMS'!I17&amp;""</f>
        <v>W/L D2/D3</v>
      </c>
      <c r="J437" s="434" t="str">
        <f>'19U BOYS GOLD-16 TEAMS'!J17&amp;""</f>
        <v>19U_BOYS_GOLD</v>
      </c>
      <c r="K437" s="434" t="str">
        <f t="shared" si="10"/>
        <v>202601311400</v>
      </c>
    </row>
    <row r="438" spans="1:11">
      <c r="A438" s="410">
        <f>'16U BOYS GOLD-19 TEAMS'!A31</f>
        <v>46053</v>
      </c>
      <c r="B438" s="411">
        <f>'16U BOYS GOLD-19 TEAMS'!B31</f>
        <v>0.625</v>
      </c>
      <c r="C438" s="411" t="str">
        <f>'16U BOYS GOLD-19 TEAMS'!C31&amp;""</f>
        <v>WESTMINSTER HS</v>
      </c>
      <c r="D438" s="412" t="str">
        <f>'16U BOYS GOLD-19 TEAMS'!D31&amp;""</f>
        <v>16Bau07</v>
      </c>
      <c r="E438" s="412" t="str">
        <f>'16U BOYS GOLD-19 TEAMS'!E31&amp;""</f>
        <v>A1-SAN JOSE EXPRESS BLUE</v>
      </c>
      <c r="F438" s="412" t="str">
        <f>'16U BOYS GOLD-19 TEAMS'!F31&amp;""</f>
        <v>20</v>
      </c>
      <c r="G438" s="412" t="str">
        <f>'16U BOYS GOLD-19 TEAMS'!G31&amp;""</f>
        <v>A2-CHANNEL ISLANDS UNITED BLUE</v>
      </c>
      <c r="H438" s="412" t="str">
        <f>'16U BOYS GOLD-19 TEAMS'!H31&amp;""</f>
        <v>3</v>
      </c>
      <c r="I438" s="412" t="str">
        <f>'16U BOYS GOLD-19 TEAMS'!I31&amp;""</f>
        <v>A bracket</v>
      </c>
      <c r="J438" s="412" t="str">
        <f>'16U BOYS GOLD-19 TEAMS'!J31&amp;""</f>
        <v>16U_BOYS_GOLD</v>
      </c>
      <c r="K438" s="412" t="str">
        <f t="shared" si="10"/>
        <v>202601311500</v>
      </c>
    </row>
    <row r="439" spans="1:11">
      <c r="A439" s="410">
        <f>'16U BOYS GOLD-19 TEAMS'!A32</f>
        <v>46053</v>
      </c>
      <c r="B439" s="411">
        <f>'16U BOYS GOLD-19 TEAMS'!B32</f>
        <v>0.66666666666666696</v>
      </c>
      <c r="C439" s="411" t="str">
        <f>'16U BOYS GOLD-19 TEAMS'!C32&amp;""</f>
        <v>WESTMINSTER HS</v>
      </c>
      <c r="D439" s="412" t="str">
        <f>'16U BOYS GOLD-19 TEAMS'!D32&amp;""</f>
        <v>16Bau08</v>
      </c>
      <c r="E439" s="412" t="str">
        <f>'16U BOYS GOLD-19 TEAMS'!E32&amp;""</f>
        <v>B1-CMAC</v>
      </c>
      <c r="F439" s="412" t="str">
        <f>'16U BOYS GOLD-19 TEAMS'!F32&amp;""</f>
        <v>11</v>
      </c>
      <c r="G439" s="412" t="str">
        <f>'16U BOYS GOLD-19 TEAMS'!G32&amp;""</f>
        <v>B2-DAVIS BLUE</v>
      </c>
      <c r="H439" s="412" t="str">
        <f>'16U BOYS GOLD-19 TEAMS'!H32&amp;""</f>
        <v>13</v>
      </c>
      <c r="I439" s="412" t="str">
        <f>'16U BOYS GOLD-19 TEAMS'!I32&amp;""</f>
        <v>B bracket</v>
      </c>
      <c r="J439" s="412" t="str">
        <f>'16U BOYS GOLD-19 TEAMS'!J32&amp;""</f>
        <v>16U_BOYS_GOLD</v>
      </c>
      <c r="K439" s="412" t="str">
        <f t="shared" si="10"/>
        <v>202601311600</v>
      </c>
    </row>
    <row r="440" spans="1:11">
      <c r="A440" s="410">
        <f>'16U BOYS GOLD-19 TEAMS'!A33</f>
        <v>46053</v>
      </c>
      <c r="B440" s="411">
        <f>'16U BOYS GOLD-19 TEAMS'!B33</f>
        <v>0.70833333333333304</v>
      </c>
      <c r="C440" s="411" t="str">
        <f>'16U BOYS GOLD-19 TEAMS'!C33&amp;""</f>
        <v>WESTMINSTER HS</v>
      </c>
      <c r="D440" s="412" t="str">
        <f>'16U BOYS GOLD-19 TEAMS'!D33&amp;""</f>
        <v>16Bau09</v>
      </c>
      <c r="E440" s="412" t="str">
        <f>'16U BOYS GOLD-19 TEAMS'!E33&amp;""</f>
        <v>C1-ST LOUIS AREA POLO</v>
      </c>
      <c r="F440" s="412" t="str">
        <f>'16U BOYS GOLD-19 TEAMS'!F33&amp;""</f>
        <v>10</v>
      </c>
      <c r="G440" s="412" t="str">
        <f>'16U BOYS GOLD-19 TEAMS'!G33&amp;""</f>
        <v>C2-CAL REPUBLIC</v>
      </c>
      <c r="H440" s="412" t="str">
        <f>'16U BOYS GOLD-19 TEAMS'!H33&amp;""</f>
        <v>11</v>
      </c>
      <c r="I440" s="412" t="str">
        <f>'16U BOYS GOLD-19 TEAMS'!I33&amp;""</f>
        <v>C bracket</v>
      </c>
      <c r="J440" s="412" t="str">
        <f>'16U BOYS GOLD-19 TEAMS'!J33&amp;""</f>
        <v>16U_BOYS_GOLD</v>
      </c>
      <c r="K440" s="412" t="str">
        <f t="shared" si="10"/>
        <v>202601311700</v>
      </c>
    </row>
    <row r="441" spans="1:11">
      <c r="A441" s="406">
        <f>'16U BOYS SILVER-20 TEAMS'!A64</f>
        <v>46054</v>
      </c>
      <c r="B441" s="407">
        <f>'16U BOYS SILVER-20 TEAMS'!B64</f>
        <v>0.29166666666666669</v>
      </c>
      <c r="C441" s="407" t="str">
        <f>'16U BOYS SILVER-20 TEAMS'!C64&amp;""</f>
        <v>WESTMINSTER HS</v>
      </c>
      <c r="D441" s="408" t="str">
        <f>'16U BOYS SILVER-20 TEAMS'!D64&amp;""</f>
        <v>16Bag37</v>
      </c>
      <c r="E441" s="408" t="str">
        <f>'16U BOYS SILVER-20 TEAMS'!E64&amp;""</f>
        <v>I2(3rdB)-NORTH IRVINE</v>
      </c>
      <c r="F441" s="408" t="str">
        <f>'16U BOYS SILVER-20 TEAMS'!F64&amp;""</f>
        <v>6</v>
      </c>
      <c r="G441" s="408" t="str">
        <f>'16U BOYS SILVER-20 TEAMS'!G64&amp;""</f>
        <v>I3(3rdF)-SAN JOSE EXPRESS GOLD</v>
      </c>
      <c r="H441" s="408" t="str">
        <f>'16U BOYS SILVER-20 TEAMS'!H64&amp;""</f>
        <v>11</v>
      </c>
      <c r="I441" s="408" t="str">
        <f>'16U BOYS SILVER-20 TEAMS'!I64&amp;""</f>
        <v>W/L I</v>
      </c>
      <c r="J441" s="408" t="str">
        <f>'16U BOYS SILVER-20 TEAMS'!J64&amp;""</f>
        <v>16U_BOYS_SILVER</v>
      </c>
      <c r="K441" s="408" t="str">
        <f t="shared" si="10"/>
        <v>202602010700</v>
      </c>
    </row>
    <row r="442" spans="1:11">
      <c r="A442" s="421">
        <f>'16U BOYS PLATINUM-18 TEAMS'!A56</f>
        <v>46054</v>
      </c>
      <c r="B442" s="422">
        <f>'16U BOYS PLATINUM-18 TEAMS'!B56</f>
        <v>0.33333333333333298</v>
      </c>
      <c r="C442" s="422" t="str">
        <f>'16U BOYS PLATINUM-18 TEAMS'!C56&amp;""</f>
        <v>WESTMINSTER HS</v>
      </c>
      <c r="D442" s="422" t="str">
        <f>'16U BOYS PLATINUM-18 TEAMS'!D56&amp;""</f>
        <v>16Bpt26</v>
      </c>
      <c r="E442" s="423" t="str">
        <f>'16U BOYS PLATINUM-18 TEAMS'!E56&amp;""</f>
        <v>K1(2ndC)-VANGUARD BLUE</v>
      </c>
      <c r="F442" s="424" t="str">
        <f>'16U BOYS PLATINUM-18 TEAMS'!F56&amp;""</f>
        <v>14</v>
      </c>
      <c r="G442" s="425" t="str">
        <f>'16U BOYS PLATINUM-18 TEAMS'!G56&amp;""</f>
        <v xml:space="preserve">K3(2ndA)-SAND CANYON	</v>
      </c>
      <c r="H442" s="427" t="str">
        <f>'16U BOYS PLATINUM-18 TEAMS'!H56&amp;""</f>
        <v>8</v>
      </c>
      <c r="I442" s="425" t="str">
        <f>'16U BOYS PLATINUM-18 TEAMS'!I56&amp;""</f>
        <v>7th-12th</v>
      </c>
      <c r="J442" s="426" t="str">
        <f>'16U BOYS PLATINUM-18 TEAMS'!J56&amp;""</f>
        <v>16U_BOYS_PLATINUM</v>
      </c>
      <c r="K442" s="426" t="str">
        <f t="shared" si="10"/>
        <v>202602010800</v>
      </c>
    </row>
    <row r="443" spans="1:11">
      <c r="A443" s="421">
        <f>'16U BOYS PLATINUM-18 TEAMS'!A57</f>
        <v>46054</v>
      </c>
      <c r="B443" s="422">
        <f>'16U BOYS PLATINUM-18 TEAMS'!B57</f>
        <v>0.375</v>
      </c>
      <c r="C443" s="422" t="str">
        <f>'16U BOYS PLATINUM-18 TEAMS'!C57&amp;""</f>
        <v>WESTMINSTER HS</v>
      </c>
      <c r="D443" s="422" t="str">
        <f>'16U BOYS PLATINUM-18 TEAMS'!D57&amp;""</f>
        <v>16Bpt28</v>
      </c>
      <c r="E443" s="423" t="str">
        <f>'16U BOYS PLATINUM-18 TEAMS'!E57&amp;""</f>
        <v>M1(3rdA)-CAPITAL</v>
      </c>
      <c r="F443" s="424" t="str">
        <f>'16U BOYS PLATINUM-18 TEAMS'!F57&amp;""</f>
        <v>17</v>
      </c>
      <c r="G443" s="425" t="str">
        <f>'16U BOYS PLATINUM-18 TEAMS'!G57&amp;""</f>
        <v>M3(3rdC)-FOOTHILL RED</v>
      </c>
      <c r="H443" s="424" t="str">
        <f>'16U BOYS PLATINUM-18 TEAMS'!H57&amp;""</f>
        <v>6</v>
      </c>
      <c r="I443" s="425" t="str">
        <f>'16U BOYS PLATINUM-18 TEAMS'!I57&amp;""</f>
        <v>13th-18th</v>
      </c>
      <c r="J443" s="426" t="str">
        <f>'16U BOYS PLATINUM-18 TEAMS'!J57&amp;""</f>
        <v>16U_BOYS_PLATINUM</v>
      </c>
      <c r="K443" s="426" t="str">
        <f t="shared" si="10"/>
        <v>202602010900</v>
      </c>
    </row>
    <row r="444" spans="1:11">
      <c r="A444" s="421">
        <f>'16U BOYS PLATINUM-18 TEAMS'!A58</f>
        <v>46054</v>
      </c>
      <c r="B444" s="422">
        <f>'16U BOYS PLATINUM-18 TEAMS'!B58</f>
        <v>0.41666666666666702</v>
      </c>
      <c r="C444" s="422" t="str">
        <f>'16U BOYS PLATINUM-18 TEAMS'!C58&amp;""</f>
        <v>WESTMINSTER HS</v>
      </c>
      <c r="D444" s="422" t="str">
        <f>'16U BOYS PLATINUM-18 TEAMS'!D58&amp;""</f>
        <v>16Bpt30</v>
      </c>
      <c r="E444" s="423" t="str">
        <f>'16U BOYS PLATINUM-18 TEAMS'!E58&amp;""</f>
        <v>N1(3rdD)-SANTA CRUZ</v>
      </c>
      <c r="F444" s="422" t="str">
        <f>'16U BOYS PLATINUM-18 TEAMS'!F58&amp;""</f>
        <v>12</v>
      </c>
      <c r="G444" s="426" t="str">
        <f>'16U BOYS PLATINUM-18 TEAMS'!G58&amp;""</f>
        <v>N3(3rdF)-ASPHALT GREEN</v>
      </c>
      <c r="H444" s="422" t="str">
        <f>'16U BOYS PLATINUM-18 TEAMS'!H58&amp;""</f>
        <v>14</v>
      </c>
      <c r="I444" s="425" t="str">
        <f>'16U BOYS PLATINUM-18 TEAMS'!I58&amp;""</f>
        <v>13th-18th</v>
      </c>
      <c r="J444" s="426" t="str">
        <f>'16U BOYS PLATINUM-18 TEAMS'!J58&amp;""</f>
        <v>16U_BOYS_PLATINUM</v>
      </c>
      <c r="K444" s="426" t="str">
        <f t="shared" si="10"/>
        <v>202602011000</v>
      </c>
    </row>
    <row r="445" spans="1:11">
      <c r="A445" s="406">
        <f>'16U BOYS SILVER-20 TEAMS'!A68</f>
        <v>46054</v>
      </c>
      <c r="B445" s="407">
        <f>'16U BOYS SILVER-20 TEAMS'!B68</f>
        <v>0.45833333333333298</v>
      </c>
      <c r="C445" s="407" t="str">
        <f>'16U BOYS SILVER-20 TEAMS'!C68&amp;""</f>
        <v>WESTMINSTER HS</v>
      </c>
      <c r="D445" s="408" t="str">
        <f>'16U BOYS SILVER-20 TEAMS'!D68&amp;""</f>
        <v>16Bag38</v>
      </c>
      <c r="E445" s="408" t="str">
        <f>'16U BOYS SILVER-20 TEAMS'!E68&amp;""</f>
        <v>W#36-SHORE AQUATICS</v>
      </c>
      <c r="F445" s="408" t="str">
        <f>'16U BOYS SILVER-20 TEAMS'!F68&amp;""</f>
        <v>8</v>
      </c>
      <c r="G445" s="408" t="str">
        <f>'16U BOYS SILVER-20 TEAMS'!G68&amp;""</f>
        <v>W#37-SAN JOSE EXPRESS GOLD</v>
      </c>
      <c r="H445" s="408" t="str">
        <f>'16U BOYS SILVER-20 TEAMS'!H68&amp;""</f>
        <v>11</v>
      </c>
      <c r="I445" s="408" t="str">
        <f>'16U BOYS SILVER-20 TEAMS'!I68&amp;""</f>
        <v>1st/2ndI</v>
      </c>
      <c r="J445" s="408" t="str">
        <f>'16U BOYS SILVER-20 TEAMS'!J68&amp;""</f>
        <v>16U_BOYS_SILVER</v>
      </c>
      <c r="K445" s="408" t="str">
        <f t="shared" si="10"/>
        <v>202602011100</v>
      </c>
    </row>
    <row r="446" spans="1:11">
      <c r="A446" s="406">
        <f>'16U BOYS SILVER-20 TEAMS'!A71</f>
        <v>46054</v>
      </c>
      <c r="B446" s="407">
        <f>'16U BOYS SILVER-20 TEAMS'!B71</f>
        <v>0.5</v>
      </c>
      <c r="C446" s="407" t="str">
        <f>'16U BOYS SILVER-20 TEAMS'!C71&amp;""</f>
        <v>WESTMINSTER HS</v>
      </c>
      <c r="D446" s="408" t="str">
        <f>'16U BOYS SILVER-20 TEAMS'!D71&amp;""</f>
        <v>16Bag42</v>
      </c>
      <c r="E446" s="408" t="str">
        <f>'16U BOYS SILVER-20 TEAMS'!E71&amp;""</f>
        <v>L#36-BOA WHITE</v>
      </c>
      <c r="F446" s="408" t="str">
        <f>'16U BOYS SILVER-20 TEAMS'!F71&amp;""</f>
        <v>3</v>
      </c>
      <c r="G446" s="408" t="str">
        <f>'16U BOYS SILVER-20 TEAMS'!G71&amp;""</f>
        <v>L#37-NORTH IRVINE</v>
      </c>
      <c r="H446" s="408" t="str">
        <f>'16U BOYS SILVER-20 TEAMS'!H71&amp;""</f>
        <v>21</v>
      </c>
      <c r="I446" s="408" t="str">
        <f>'16U BOYS SILVER-20 TEAMS'!I71&amp;""</f>
        <v>3rd/4thI</v>
      </c>
      <c r="J446" s="408" t="str">
        <f>'16U BOYS SILVER-20 TEAMS'!J71&amp;""</f>
        <v>16U_BOYS_SILVER</v>
      </c>
      <c r="K446" s="408" t="str">
        <f t="shared" si="10"/>
        <v>202602011200</v>
      </c>
    </row>
    <row r="447" spans="1:11">
      <c r="A447" s="421">
        <f>'16U BOYS PLATINUM-18 TEAMS'!A60</f>
        <v>46054</v>
      </c>
      <c r="B447" s="422">
        <f>'16U BOYS PLATINUM-18 TEAMS'!B60</f>
        <v>0.54166666666666696</v>
      </c>
      <c r="C447" s="422" t="str">
        <f>'16U BOYS PLATINUM-18 TEAMS'!C60&amp;""</f>
        <v>WESTMINSTER HS</v>
      </c>
      <c r="D447" s="422" t="str">
        <f>'16U BOYS PLATINUM-18 TEAMS'!D60&amp;""</f>
        <v>16Bpt32</v>
      </c>
      <c r="E447" s="423" t="str">
        <f>'16U BOYS PLATINUM-18 TEAMS'!E60&amp;""</f>
        <v>K2(2ndB)-AMERICAN RIVER BLUE</v>
      </c>
      <c r="F447" s="424" t="str">
        <f>'16U BOYS PLATINUM-18 TEAMS'!F60&amp;""</f>
        <v>10</v>
      </c>
      <c r="G447" s="425" t="str">
        <f>'16U BOYS PLATINUM-18 TEAMS'!G60&amp;""</f>
        <v xml:space="preserve">K3(2ndA)-SAND CANYON	</v>
      </c>
      <c r="H447" s="424" t="str">
        <f>'16U BOYS PLATINUM-18 TEAMS'!H60&amp;""</f>
        <v>6</v>
      </c>
      <c r="I447" s="425" t="str">
        <f>'16U BOYS PLATINUM-18 TEAMS'!I60&amp;""</f>
        <v>7th-12th</v>
      </c>
      <c r="J447" s="426" t="str">
        <f>'16U BOYS PLATINUM-18 TEAMS'!J60&amp;""</f>
        <v>16U_BOYS_PLATINUM</v>
      </c>
      <c r="K447" s="426" t="str">
        <f t="shared" si="10"/>
        <v>202602011300</v>
      </c>
    </row>
    <row r="448" spans="1:11">
      <c r="A448" s="421">
        <f>'16U BOYS PLATINUM-18 TEAMS'!A61</f>
        <v>46054</v>
      </c>
      <c r="B448" s="422">
        <f>'16U BOYS PLATINUM-18 TEAMS'!B61</f>
        <v>0.58333333333333304</v>
      </c>
      <c r="C448" s="422" t="str">
        <f>'16U BOYS PLATINUM-18 TEAMS'!C61&amp;""</f>
        <v>WESTMINSTER HS</v>
      </c>
      <c r="D448" s="422" t="str">
        <f>'16U BOYS PLATINUM-18 TEAMS'!D61&amp;""</f>
        <v>16Bpt34</v>
      </c>
      <c r="E448" s="423" t="str">
        <f>'16U BOYS PLATINUM-18 TEAMS'!E61&amp;""</f>
        <v>M2(3rdB)-LA JOLLA UNITED NAVY</v>
      </c>
      <c r="F448" s="424" t="str">
        <f>'16U BOYS PLATINUM-18 TEAMS'!F61&amp;""</f>
        <v>18</v>
      </c>
      <c r="G448" s="425" t="str">
        <f>'16U BOYS PLATINUM-18 TEAMS'!G61&amp;""</f>
        <v>M3(3rdC)-FOOTHILL RED</v>
      </c>
      <c r="H448" s="427" t="str">
        <f>'16U BOYS PLATINUM-18 TEAMS'!H61&amp;""</f>
        <v>4</v>
      </c>
      <c r="I448" s="425" t="str">
        <f>'16U BOYS PLATINUM-18 TEAMS'!I61&amp;""</f>
        <v>13th-18th</v>
      </c>
      <c r="J448" s="426" t="str">
        <f>'16U BOYS PLATINUM-18 TEAMS'!J61&amp;""</f>
        <v>16U_BOYS_PLATINUM</v>
      </c>
      <c r="K448" s="426" t="str">
        <f t="shared" si="10"/>
        <v>202602011400</v>
      </c>
    </row>
    <row r="449" spans="1:11">
      <c r="A449" s="421">
        <f>'16U BOYS PLATINUM-18 TEAMS'!A62</f>
        <v>46054</v>
      </c>
      <c r="B449" s="422">
        <f>'16U BOYS PLATINUM-18 TEAMS'!B62</f>
        <v>0.625</v>
      </c>
      <c r="C449" s="422" t="str">
        <f>'16U BOYS PLATINUM-18 TEAMS'!C62&amp;""</f>
        <v>WESTMINSTER HS</v>
      </c>
      <c r="D449" s="422" t="str">
        <f>'16U BOYS PLATINUM-18 TEAMS'!D62&amp;""</f>
        <v>16Bpt36</v>
      </c>
      <c r="E449" s="423" t="str">
        <f>'16U BOYS PLATINUM-18 TEAMS'!E62&amp;""</f>
        <v>N2(3rdE)-TROJAN CARDINAL</v>
      </c>
      <c r="F449" s="424" t="str">
        <f>'16U BOYS PLATINUM-18 TEAMS'!F62&amp;""</f>
        <v>8</v>
      </c>
      <c r="G449" s="425" t="str">
        <f>'16U BOYS PLATINUM-18 TEAMS'!G62&amp;""</f>
        <v>N3(3rdF)-ASPHALT GREEN</v>
      </c>
      <c r="H449" s="427" t="str">
        <f>'16U BOYS PLATINUM-18 TEAMS'!H62&amp;""</f>
        <v>7</v>
      </c>
      <c r="I449" s="425" t="str">
        <f>'16U BOYS PLATINUM-18 TEAMS'!I62&amp;""</f>
        <v>13th-18th</v>
      </c>
      <c r="J449" s="426" t="str">
        <f>'16U BOYS PLATINUM-18 TEAMS'!J62&amp;""</f>
        <v>16U_BOYS_PLATINUM</v>
      </c>
      <c r="K449" s="426" t="str">
        <f t="shared" si="10"/>
        <v>202602011500</v>
      </c>
    </row>
    <row r="450" spans="1:11">
      <c r="A450" s="421">
        <f>'16U BOYS PLATINUM-18 TEAMS'!A63</f>
        <v>46054</v>
      </c>
      <c r="B450" s="422">
        <f>'16U BOYS PLATINUM-18 TEAMS'!B63</f>
        <v>0.66666666666666696</v>
      </c>
      <c r="C450" s="422" t="str">
        <f>'16U BOYS PLATINUM-18 TEAMS'!C63&amp;""</f>
        <v>WESTMINSTER HS</v>
      </c>
      <c r="D450" s="422" t="str">
        <f>'16U BOYS PLATINUM-18 TEAMS'!D63&amp;""</f>
        <v>16Bpt20</v>
      </c>
      <c r="E450" s="423" t="str">
        <f>'16U BOYS PLATINUM-18 TEAMS'!E63&amp;""</f>
        <v>K1(2ndC)-VANGUARD BLUE</v>
      </c>
      <c r="F450" s="424" t="str">
        <f>'16U BOYS PLATINUM-18 TEAMS'!F63&amp;""</f>
        <v>14</v>
      </c>
      <c r="G450" s="425" t="str">
        <f>'16U BOYS PLATINUM-18 TEAMS'!G63&amp;""</f>
        <v>K2(2ndB)-AMERICAN RIVER BLUE</v>
      </c>
      <c r="H450" s="424" t="str">
        <f>'16U BOYS PLATINUM-18 TEAMS'!H63&amp;""</f>
        <v>6</v>
      </c>
      <c r="I450" s="425" t="str">
        <f>'16U BOYS PLATINUM-18 TEAMS'!I63&amp;""</f>
        <v>7th-12th</v>
      </c>
      <c r="J450" s="426" t="str">
        <f>'16U BOYS PLATINUM-18 TEAMS'!J63&amp;""</f>
        <v>16U_BOYS_PLATINUM</v>
      </c>
      <c r="K450" s="426" t="str">
        <f t="shared" si="10"/>
        <v>202602011600</v>
      </c>
    </row>
    <row r="451" spans="1:11">
      <c r="A451" s="421">
        <f>'16U BOYS PLATINUM-18 TEAMS'!A64</f>
        <v>46054</v>
      </c>
      <c r="B451" s="422">
        <f>'16U BOYS PLATINUM-18 TEAMS'!B64</f>
        <v>0.70833333333333304</v>
      </c>
      <c r="C451" s="422" t="str">
        <f>'16U BOYS PLATINUM-18 TEAMS'!C64&amp;""</f>
        <v>WESTMINSTER HS</v>
      </c>
      <c r="D451" s="422" t="str">
        <f>'16U BOYS PLATINUM-18 TEAMS'!D64&amp;""</f>
        <v>16Bpt22</v>
      </c>
      <c r="E451" s="423" t="str">
        <f>'16U BOYS PLATINUM-18 TEAMS'!E64&amp;""</f>
        <v>M1(3rdA)-CAPITAL</v>
      </c>
      <c r="F451" s="422" t="str">
        <f>'16U BOYS PLATINUM-18 TEAMS'!F64&amp;""</f>
        <v>6</v>
      </c>
      <c r="G451" s="426" t="str">
        <f>'16U BOYS PLATINUM-18 TEAMS'!G64&amp;""</f>
        <v>M2(3rdB)-LA JOLLA UNITED NAVY</v>
      </c>
      <c r="H451" s="422" t="str">
        <f>'16U BOYS PLATINUM-18 TEAMS'!H64&amp;""</f>
        <v>16</v>
      </c>
      <c r="I451" s="425" t="str">
        <f>'16U BOYS PLATINUM-18 TEAMS'!I64&amp;""</f>
        <v>13th-18th</v>
      </c>
      <c r="J451" s="426" t="str">
        <f>'16U BOYS PLATINUM-18 TEAMS'!J64&amp;""</f>
        <v>16U_BOYS_PLATINUM</v>
      </c>
      <c r="K451" s="426" t="str">
        <f t="shared" si="10"/>
        <v>202602011700</v>
      </c>
    </row>
    <row r="452" spans="1:11">
      <c r="A452" s="421">
        <f>'16U BOYS PLATINUM-18 TEAMS'!A65</f>
        <v>46054</v>
      </c>
      <c r="B452" s="422">
        <f>'16U BOYS PLATINUM-18 TEAMS'!B65</f>
        <v>0.75</v>
      </c>
      <c r="C452" s="422" t="str">
        <f>'16U BOYS PLATINUM-18 TEAMS'!C65&amp;""</f>
        <v>WESTMINSTER HS</v>
      </c>
      <c r="D452" s="422" t="str">
        <f>'16U BOYS PLATINUM-18 TEAMS'!D65&amp;""</f>
        <v>16Bpt24</v>
      </c>
      <c r="E452" s="423" t="str">
        <f>'16U BOYS PLATINUM-18 TEAMS'!E65&amp;""</f>
        <v>N1(3rdD)-SANTA CRUZ</v>
      </c>
      <c r="F452" s="424" t="str">
        <f>'16U BOYS PLATINUM-18 TEAMS'!F65&amp;""</f>
        <v>8</v>
      </c>
      <c r="G452" s="425" t="str">
        <f>'16U BOYS PLATINUM-18 TEAMS'!G65&amp;""</f>
        <v>N2(3rdE)-TROJAN CARDINAL</v>
      </c>
      <c r="H452" s="424" t="str">
        <f>'16U BOYS PLATINUM-18 TEAMS'!H65&amp;""</f>
        <v>12</v>
      </c>
      <c r="I452" s="425" t="str">
        <f>'16U BOYS PLATINUM-18 TEAMS'!I65&amp;""</f>
        <v>13th-18th</v>
      </c>
      <c r="J452" s="426" t="str">
        <f>'16U BOYS PLATINUM-18 TEAMS'!J65&amp;""</f>
        <v>16U_BOYS_PLATINUM</v>
      </c>
      <c r="K452" s="426" t="str">
        <f t="shared" si="10"/>
        <v>202602011800</v>
      </c>
    </row>
    <row r="453" spans="1:11">
      <c r="A453" s="341">
        <f>'10U COED PLATINUM-8 TEAMS'!A10</f>
        <v>46053</v>
      </c>
      <c r="B453" s="342">
        <f>'10U COED PLATINUM-8 TEAMS'!B10</f>
        <v>0.33333333333333331</v>
      </c>
      <c r="C453" s="343" t="str">
        <f>'10U COED PLATINUM-8 TEAMS'!C10&amp;""</f>
        <v>WOOLLETT FAR LEFT</v>
      </c>
      <c r="D453" s="343" t="str">
        <f>'10U COED PLATINUM-8 TEAMS'!D10&amp;""</f>
        <v>10Cpt01</v>
      </c>
      <c r="E453" s="343" t="str">
        <f>'10U COED PLATINUM-8 TEAMS'!E10&amp;""</f>
        <v>B1-ORANGE COUNTY WPC BLUE</v>
      </c>
      <c r="F453" s="344" t="str">
        <f>'10U COED PLATINUM-8 TEAMS'!F10&amp;""</f>
        <v>15</v>
      </c>
      <c r="G453" s="343" t="str">
        <f>'10U COED PLATINUM-8 TEAMS'!G10&amp;""</f>
        <v>B3-PATRIOT RED</v>
      </c>
      <c r="H453" s="343" t="str">
        <f>'10U COED PLATINUM-8 TEAMS'!H10&amp;""</f>
        <v>3</v>
      </c>
      <c r="I453" s="343" t="str">
        <f>'10U COED PLATINUM-8 TEAMS'!I10&amp;""</f>
        <v>bracket, B1/B3</v>
      </c>
      <c r="J453" s="343" t="str">
        <f>'10U COED PLATINUM-8 TEAMS'!J10&amp;""</f>
        <v>10U_COED_PLATINUM</v>
      </c>
      <c r="K453" s="343" t="str">
        <f t="shared" si="10"/>
        <v>202601310800</v>
      </c>
    </row>
    <row r="454" spans="1:11">
      <c r="A454" s="341">
        <f>'10U COED PLATINUM-8 TEAMS'!A11</f>
        <v>46053</v>
      </c>
      <c r="B454" s="342">
        <f>'10U COED PLATINUM-8 TEAMS'!B11</f>
        <v>0.36458333333333331</v>
      </c>
      <c r="C454" s="343" t="str">
        <f>'10U COED PLATINUM-8 TEAMS'!C11&amp;""</f>
        <v>WOOLLETT FAR LEFT</v>
      </c>
      <c r="D454" s="343" t="str">
        <f>'10U COED PLATINUM-8 TEAMS'!D11&amp;""</f>
        <v>10Cpt02</v>
      </c>
      <c r="E454" s="343" t="str">
        <f>'10U COED PLATINUM-8 TEAMS'!E11&amp;""</f>
        <v>B2-CHULA VISTA PREMIER</v>
      </c>
      <c r="F454" s="343" t="str">
        <f>'10U COED PLATINUM-8 TEAMS'!F11&amp;""</f>
        <v>17</v>
      </c>
      <c r="G454" s="343" t="str">
        <f>'10U COED PLATINUM-8 TEAMS'!G11&amp;""</f>
        <v>B4-LAMORINDA GOLD (B)</v>
      </c>
      <c r="H454" s="343" t="str">
        <f>'10U COED PLATINUM-8 TEAMS'!H11&amp;""</f>
        <v>2</v>
      </c>
      <c r="I454" s="343" t="str">
        <f>'10U COED PLATINUM-8 TEAMS'!I11&amp;""</f>
        <v>bracket, B2/B4</v>
      </c>
      <c r="J454" s="343" t="str">
        <f>'10U COED PLATINUM-8 TEAMS'!J11&amp;""</f>
        <v>10U_COED_PLATINUM</v>
      </c>
      <c r="K454" s="343" t="str">
        <f t="shared" si="10"/>
        <v>202601310845</v>
      </c>
    </row>
    <row r="455" spans="1:11">
      <c r="A455" s="341">
        <f>'10U COED PLATINUM-8 TEAMS'!A12</f>
        <v>46053</v>
      </c>
      <c r="B455" s="342">
        <f>'10U COED PLATINUM-8 TEAMS'!B12</f>
        <v>0.39583333333333298</v>
      </c>
      <c r="C455" s="343" t="str">
        <f>'10U COED PLATINUM-8 TEAMS'!C12&amp;""</f>
        <v>WOOLLETT FAR LEFT</v>
      </c>
      <c r="D455" s="343" t="str">
        <f>'10U COED PLATINUM-8 TEAMS'!D12&amp;""</f>
        <v>10Cpt03</v>
      </c>
      <c r="E455" s="343" t="str">
        <f>'10U COED PLATINUM-8 TEAMS'!E12&amp;""</f>
        <v>A1-CHANNEL ISLANDS UNITED</v>
      </c>
      <c r="F455" s="343" t="str">
        <f>'10U COED PLATINUM-8 TEAMS'!F12&amp;""</f>
        <v>10</v>
      </c>
      <c r="G455" s="343" t="str">
        <f>'10U COED PLATINUM-8 TEAMS'!G12&amp;""</f>
        <v>A3-YOLO BLACK</v>
      </c>
      <c r="H455" s="343" t="str">
        <f>'10U COED PLATINUM-8 TEAMS'!H12&amp;""</f>
        <v>9</v>
      </c>
      <c r="I455" s="343" t="str">
        <f>'10U COED PLATINUM-8 TEAMS'!I12&amp;""</f>
        <v>bracket, A1/A3</v>
      </c>
      <c r="J455" s="343" t="str">
        <f>'10U COED PLATINUM-8 TEAMS'!J12&amp;""</f>
        <v>10U_COED_PLATINUM</v>
      </c>
      <c r="K455" s="343" t="str">
        <f t="shared" si="10"/>
        <v>202601310930</v>
      </c>
    </row>
    <row r="456" spans="1:11">
      <c r="A456" s="341">
        <f>'10U COED PLATINUM-8 TEAMS'!A13</f>
        <v>46053</v>
      </c>
      <c r="B456" s="342">
        <f>'10U COED PLATINUM-8 TEAMS'!B13</f>
        <v>0.42708333333333298</v>
      </c>
      <c r="C456" s="343" t="str">
        <f>'10U COED PLATINUM-8 TEAMS'!C13&amp;""</f>
        <v>WOOLLETT FAR LEFT</v>
      </c>
      <c r="D456" s="343" t="str">
        <f>'10U COED PLATINUM-8 TEAMS'!D13&amp;""</f>
        <v>10Cpt04</v>
      </c>
      <c r="E456" s="343" t="str">
        <f>'10U COED PLATINUM-8 TEAMS'!E13&amp;""</f>
        <v>A2-FOOTHILL RED</v>
      </c>
      <c r="F456" s="343" t="str">
        <f>'10U COED PLATINUM-8 TEAMS'!F13&amp;""</f>
        <v>2</v>
      </c>
      <c r="G456" s="343" t="str">
        <f>'10U COED PLATINUM-8 TEAMS'!G13&amp;""</f>
        <v>A4-NORTH IRVINE BLACK</v>
      </c>
      <c r="H456" s="343" t="str">
        <f>'10U COED PLATINUM-8 TEAMS'!H13&amp;""</f>
        <v>15</v>
      </c>
      <c r="I456" s="343" t="str">
        <f>'10U COED PLATINUM-8 TEAMS'!I13&amp;""</f>
        <v>bracket, A2/A4</v>
      </c>
      <c r="J456" s="343" t="str">
        <f>'10U COED PLATINUM-8 TEAMS'!J13&amp;""</f>
        <v>10U_COED_PLATINUM</v>
      </c>
      <c r="K456" s="343" t="str">
        <f t="shared" si="10"/>
        <v>202601311015</v>
      </c>
    </row>
    <row r="457" spans="1:11">
      <c r="A457" s="337">
        <f>'10U COED GOLD-16 TEAMS CUSTOM'!A14</f>
        <v>46053</v>
      </c>
      <c r="B457" s="338">
        <f>'10U COED GOLD-16 TEAMS CUSTOM'!B14</f>
        <v>0.45833333333333298</v>
      </c>
      <c r="C457" s="338" t="str">
        <f>'10U COED GOLD-16 TEAMS CUSTOM'!C14&amp;""</f>
        <v>WOOLLETT FAR LEFT</v>
      </c>
      <c r="D457" s="340" t="str">
        <f>'10U COED GOLD-16 TEAMS CUSTOM'!D14&amp;""</f>
        <v>10Cau05</v>
      </c>
      <c r="E457" s="340" t="str">
        <f>'10U COED GOLD-16 TEAMS CUSTOM'!E14&amp;""</f>
        <v>G1-LAMORINDA BLUE (A) (girls)</v>
      </c>
      <c r="F457" s="340" t="str">
        <f>'10U COED GOLD-16 TEAMS CUSTOM'!F14&amp;""</f>
        <v>19</v>
      </c>
      <c r="G457" s="340" t="str">
        <f>'10U COED GOLD-16 TEAMS CUSTOM'!G14&amp;""</f>
        <v>G4-SAN CLEMENTE RED (girls)</v>
      </c>
      <c r="H457" s="339" t="str">
        <f>'10U COED GOLD-16 TEAMS CUSTOM'!H14&amp;""</f>
        <v>1</v>
      </c>
      <c r="I457" s="340" t="str">
        <f>'10U COED GOLD-16 TEAMS CUSTOM'!I14&amp;""</f>
        <v>girls 1st-4th</v>
      </c>
      <c r="J457" s="339" t="str">
        <f>'10U COED GOLD-16 TEAMS CUSTOM'!J14&amp;""</f>
        <v>10U_COED_GOLD</v>
      </c>
      <c r="K457" s="339" t="str">
        <f t="shared" si="10"/>
        <v>202601311100</v>
      </c>
    </row>
    <row r="458" spans="1:11">
      <c r="A458" s="337">
        <f>'10U COED GOLD-16 TEAMS CUSTOM'!A16</f>
        <v>46053</v>
      </c>
      <c r="B458" s="338">
        <f>'10U COED GOLD-16 TEAMS CUSTOM'!B16</f>
        <v>0.48958333333333298</v>
      </c>
      <c r="C458" s="338" t="str">
        <f>'10U COED GOLD-16 TEAMS CUSTOM'!C16&amp;""</f>
        <v>WOOLLETT FAR LEFT</v>
      </c>
      <c r="D458" s="340" t="str">
        <f>'10U COED GOLD-16 TEAMS CUSTOM'!D16&amp;""</f>
        <v>10Cau06</v>
      </c>
      <c r="E458" s="340" t="str">
        <f>'10U COED GOLD-16 TEAMS CUSTOM'!E16&amp;""</f>
        <v>G2-DEL MAR BLUE (girls)</v>
      </c>
      <c r="F458" s="340" t="str">
        <f>'10U COED GOLD-16 TEAMS CUSTOM'!F16&amp;""</f>
        <v>12</v>
      </c>
      <c r="G458" s="340" t="str">
        <f>'10U COED GOLD-16 TEAMS CUSTOM'!G16&amp;""</f>
        <v>G3-680 RED (girls)</v>
      </c>
      <c r="H458" s="339" t="str">
        <f>'10U COED GOLD-16 TEAMS CUSTOM'!H16&amp;""</f>
        <v>5</v>
      </c>
      <c r="I458" s="340" t="str">
        <f>'10U COED GOLD-16 TEAMS CUSTOM'!I16&amp;""</f>
        <v>girls 1st-4th</v>
      </c>
      <c r="J458" s="339" t="str">
        <f>'10U COED GOLD-16 TEAMS CUSTOM'!J16&amp;""</f>
        <v>10U_COED_GOLD</v>
      </c>
      <c r="K458" s="339" t="str">
        <f t="shared" si="10"/>
        <v>202601311145</v>
      </c>
    </row>
    <row r="459" spans="1:11">
      <c r="A459" s="341">
        <f>'10U COED PLATINUM-8 TEAMS'!A15</f>
        <v>46053</v>
      </c>
      <c r="B459" s="342">
        <f>'10U COED PLATINUM-8 TEAMS'!B15</f>
        <v>0.52083333333333304</v>
      </c>
      <c r="C459" s="343" t="str">
        <f>'10U COED PLATINUM-8 TEAMS'!C15&amp;""</f>
        <v>WOOLLETT FAR LEFT</v>
      </c>
      <c r="D459" s="343" t="str">
        <f>'10U COED PLATINUM-8 TEAMS'!D15&amp;""</f>
        <v>10Cpt05</v>
      </c>
      <c r="E459" s="343" t="str">
        <f>'10U COED PLATINUM-8 TEAMS'!E15&amp;""</f>
        <v>B1-ORANGE COUNTY WPC BLUE</v>
      </c>
      <c r="F459" s="343" t="str">
        <f>'10U COED PLATINUM-8 TEAMS'!F15&amp;""</f>
        <v>16</v>
      </c>
      <c r="G459" s="343" t="str">
        <f>'10U COED PLATINUM-8 TEAMS'!G15&amp;""</f>
        <v>B4-LAMORINDA GOLD (B)</v>
      </c>
      <c r="H459" s="343" t="str">
        <f>'10U COED PLATINUM-8 TEAMS'!H15&amp;""</f>
        <v>3</v>
      </c>
      <c r="I459" s="343" t="str">
        <f>'10U COED PLATINUM-8 TEAMS'!I15&amp;""</f>
        <v>bracket, B1/B4</v>
      </c>
      <c r="J459" s="343" t="str">
        <f>'10U COED PLATINUM-8 TEAMS'!J15&amp;""</f>
        <v>10U_COED_PLATINUM</v>
      </c>
      <c r="K459" s="343" t="str">
        <f t="shared" si="10"/>
        <v>202601311230</v>
      </c>
    </row>
    <row r="460" spans="1:11">
      <c r="A460" s="341">
        <f>'10U COED PLATINUM-8 TEAMS'!A16</f>
        <v>46053</v>
      </c>
      <c r="B460" s="342">
        <f>'10U COED PLATINUM-8 TEAMS'!B16</f>
        <v>0.55208333333333304</v>
      </c>
      <c r="C460" s="343" t="str">
        <f>'10U COED PLATINUM-8 TEAMS'!C16&amp;""</f>
        <v>WOOLLETT FAR LEFT</v>
      </c>
      <c r="D460" s="343" t="str">
        <f>'10U COED PLATINUM-8 TEAMS'!D16&amp;""</f>
        <v>10Cpt06</v>
      </c>
      <c r="E460" s="343" t="str">
        <f>'10U COED PLATINUM-8 TEAMS'!E16&amp;""</f>
        <v>B2-CHULA VISTA PREMIER</v>
      </c>
      <c r="F460" s="343" t="str">
        <f>'10U COED PLATINUM-8 TEAMS'!F16&amp;""</f>
        <v>18</v>
      </c>
      <c r="G460" s="343" t="str">
        <f>'10U COED PLATINUM-8 TEAMS'!G16&amp;""</f>
        <v>B3-PATRIOT RED</v>
      </c>
      <c r="H460" s="343" t="str">
        <f>'10U COED PLATINUM-8 TEAMS'!H16&amp;""</f>
        <v>8</v>
      </c>
      <c r="I460" s="343" t="str">
        <f>'10U COED PLATINUM-8 TEAMS'!I16&amp;""</f>
        <v>bracket, B2/B3</v>
      </c>
      <c r="J460" s="343" t="str">
        <f>'10U COED PLATINUM-8 TEAMS'!J16&amp;""</f>
        <v>10U_COED_PLATINUM</v>
      </c>
      <c r="K460" s="343" t="str">
        <f t="shared" si="10"/>
        <v>202601311315</v>
      </c>
    </row>
    <row r="461" spans="1:11">
      <c r="A461" s="341">
        <f>'10U COED PLATINUM-8 TEAMS'!A17</f>
        <v>46053</v>
      </c>
      <c r="B461" s="342">
        <f>'10U COED PLATINUM-8 TEAMS'!B17</f>
        <v>0.58333333333333304</v>
      </c>
      <c r="C461" s="343" t="str">
        <f>'10U COED PLATINUM-8 TEAMS'!C17&amp;""</f>
        <v>WOOLLETT FAR LEFT</v>
      </c>
      <c r="D461" s="343" t="str">
        <f>'10U COED PLATINUM-8 TEAMS'!D17&amp;""</f>
        <v>10Cpt07</v>
      </c>
      <c r="E461" s="343" t="str">
        <f>'10U COED PLATINUM-8 TEAMS'!E17&amp;""</f>
        <v>A1-CHANNEL ISLANDS UNITED</v>
      </c>
      <c r="F461" s="343" t="str">
        <f>'10U COED PLATINUM-8 TEAMS'!F17&amp;""</f>
        <v>11</v>
      </c>
      <c r="G461" s="343" t="str">
        <f>'10U COED PLATINUM-8 TEAMS'!G17&amp;""</f>
        <v>A4-NORTH IRVINE BLACK</v>
      </c>
      <c r="H461" s="343" t="str">
        <f>'10U COED PLATINUM-8 TEAMS'!H17&amp;""</f>
        <v>12</v>
      </c>
      <c r="I461" s="343" t="str">
        <f>'10U COED PLATINUM-8 TEAMS'!I17&amp;""</f>
        <v>bracket, A1/A4</v>
      </c>
      <c r="J461" s="343" t="str">
        <f>'10U COED PLATINUM-8 TEAMS'!J17&amp;""</f>
        <v>10U_COED_PLATINUM</v>
      </c>
      <c r="K461" s="343" t="str">
        <f t="shared" si="10"/>
        <v>202601311400</v>
      </c>
    </row>
    <row r="462" spans="1:11">
      <c r="A462" s="341">
        <f>'10U COED PLATINUM-8 TEAMS'!A18</f>
        <v>46053</v>
      </c>
      <c r="B462" s="342">
        <f>'10U COED PLATINUM-8 TEAMS'!B18</f>
        <v>0.61458333333333304</v>
      </c>
      <c r="C462" s="343" t="str">
        <f>'10U COED PLATINUM-8 TEAMS'!C18&amp;""</f>
        <v>WOOLLETT FAR LEFT</v>
      </c>
      <c r="D462" s="343" t="str">
        <f>'10U COED PLATINUM-8 TEAMS'!D18&amp;""</f>
        <v>10Cpt08</v>
      </c>
      <c r="E462" s="343" t="str">
        <f>'10U COED PLATINUM-8 TEAMS'!E18&amp;""</f>
        <v>A2-FOOTHILL RED</v>
      </c>
      <c r="F462" s="343" t="str">
        <f>'10U COED PLATINUM-8 TEAMS'!F18&amp;""</f>
        <v>5</v>
      </c>
      <c r="G462" s="343" t="str">
        <f>'10U COED PLATINUM-8 TEAMS'!G18&amp;""</f>
        <v>A3-YOLO BLACK</v>
      </c>
      <c r="H462" s="343" t="str">
        <f>'10U COED PLATINUM-8 TEAMS'!H18&amp;""</f>
        <v>11</v>
      </c>
      <c r="I462" s="343" t="str">
        <f>'10U COED PLATINUM-8 TEAMS'!I18&amp;""</f>
        <v>bracket, A2/A3</v>
      </c>
      <c r="J462" s="343" t="str">
        <f>'10U COED PLATINUM-8 TEAMS'!J18&amp;""</f>
        <v>10U_COED_PLATINUM</v>
      </c>
      <c r="K462" s="343" t="str">
        <f t="shared" si="10"/>
        <v>202601311445</v>
      </c>
    </row>
    <row r="463" spans="1:11">
      <c r="A463" s="337">
        <f>'10U COED GOLD-16 TEAMS CUSTOM'!A22</f>
        <v>46053</v>
      </c>
      <c r="B463" s="338">
        <f>'10U COED GOLD-16 TEAMS CUSTOM'!B22</f>
        <v>0.64583333333333304</v>
      </c>
      <c r="C463" s="338" t="str">
        <f>'10U COED GOLD-16 TEAMS CUSTOM'!C22&amp;""</f>
        <v>WOOLLETT FAR LEFT</v>
      </c>
      <c r="D463" s="340" t="str">
        <f>'10U COED GOLD-16 TEAMS CUSTOM'!D22&amp;""</f>
        <v>10Cau11</v>
      </c>
      <c r="E463" s="340" t="str">
        <f>'10U COED GOLD-16 TEAMS CUSTOM'!E22&amp;""</f>
        <v>G1-LAMORINDA BLUE (A) (girls)</v>
      </c>
      <c r="F463" s="340" t="str">
        <f>'10U COED GOLD-16 TEAMS CUSTOM'!F22&amp;""</f>
        <v>17</v>
      </c>
      <c r="G463" s="340" t="str">
        <f>'10U COED GOLD-16 TEAMS CUSTOM'!G22&amp;""</f>
        <v>G3-680 RED (girls)</v>
      </c>
      <c r="H463" s="339" t="str">
        <f>'10U COED GOLD-16 TEAMS CUSTOM'!H22&amp;""</f>
        <v>3</v>
      </c>
      <c r="I463" s="340" t="str">
        <f>'10U COED GOLD-16 TEAMS CUSTOM'!I22&amp;""</f>
        <v>girls 1st-4th</v>
      </c>
      <c r="J463" s="339" t="str">
        <f>'10U COED GOLD-16 TEAMS CUSTOM'!J22&amp;""</f>
        <v>10U_COED_GOLD</v>
      </c>
      <c r="K463" s="339" t="str">
        <f t="shared" si="10"/>
        <v>202601311530</v>
      </c>
    </row>
    <row r="464" spans="1:11">
      <c r="A464" s="337">
        <f>'10U COED GOLD-16 TEAMS CUSTOM'!A24</f>
        <v>46053</v>
      </c>
      <c r="B464" s="338">
        <f>'10U COED GOLD-16 TEAMS CUSTOM'!B24</f>
        <v>0.67708333333333304</v>
      </c>
      <c r="C464" s="338" t="str">
        <f>'10U COED GOLD-16 TEAMS CUSTOM'!C24&amp;""</f>
        <v>WOOLLETT FAR LEFT</v>
      </c>
      <c r="D464" s="340" t="str">
        <f>'10U COED GOLD-16 TEAMS CUSTOM'!D24&amp;""</f>
        <v>10Cau12</v>
      </c>
      <c r="E464" s="340" t="str">
        <f>'10U COED GOLD-16 TEAMS CUSTOM'!E24&amp;""</f>
        <v>G2-DEL MAR BLUE (girls)</v>
      </c>
      <c r="F464" s="340" t="str">
        <f>'10U COED GOLD-16 TEAMS CUSTOM'!F24&amp;""</f>
        <v>17</v>
      </c>
      <c r="G464" s="340" t="str">
        <f>'10U COED GOLD-16 TEAMS CUSTOM'!G24&amp;""</f>
        <v>G4-SAN CLEMENTE RED (girls)</v>
      </c>
      <c r="H464" s="339" t="str">
        <f>'10U COED GOLD-16 TEAMS CUSTOM'!H24&amp;""</f>
        <v>4</v>
      </c>
      <c r="I464" s="340" t="str">
        <f>'10U COED GOLD-16 TEAMS CUSTOM'!I24&amp;""</f>
        <v>girls 1st-4th</v>
      </c>
      <c r="J464" s="339" t="str">
        <f>'10U COED GOLD-16 TEAMS CUSTOM'!J24&amp;""</f>
        <v>10U_COED_GOLD</v>
      </c>
      <c r="K464" s="339" t="str">
        <f t="shared" si="10"/>
        <v>202601311615</v>
      </c>
    </row>
    <row r="465" spans="1:11">
      <c r="A465" s="337">
        <f>'10U COED GOLD-16 TEAMS CUSTOM'!A29</f>
        <v>46054</v>
      </c>
      <c r="B465" s="338">
        <f>'10U COED GOLD-16 TEAMS CUSTOM'!B29</f>
        <v>0.33333333333333331</v>
      </c>
      <c r="C465" s="338" t="str">
        <f>'10U COED GOLD-16 TEAMS CUSTOM'!C29&amp;""</f>
        <v>WOOLLETT FAR LEFT</v>
      </c>
      <c r="D465" s="340" t="str">
        <f>'10U COED GOLD-16 TEAMS CUSTOM'!D29&amp;""</f>
        <v>10Cau17</v>
      </c>
      <c r="E465" s="340" t="str">
        <f>'10U COED GOLD-16 TEAMS CUSTOM'!E29&amp;""</f>
        <v>G1-LAMORINDA BLUE (A) (girls)</v>
      </c>
      <c r="F465" s="340" t="str">
        <f>'10U COED GOLD-16 TEAMS CUSTOM'!F29&amp;""</f>
        <v>8</v>
      </c>
      <c r="G465" s="340" t="str">
        <f>'10U COED GOLD-16 TEAMS CUSTOM'!G29&amp;""</f>
        <v>G2-DEL MAR BLUE (girls)</v>
      </c>
      <c r="H465" s="339" t="str">
        <f>'10U COED GOLD-16 TEAMS CUSTOM'!H29&amp;""</f>
        <v>2</v>
      </c>
      <c r="I465" s="340" t="str">
        <f>'10U COED GOLD-16 TEAMS CUSTOM'!I29&amp;""</f>
        <v>girls 1st-4th</v>
      </c>
      <c r="J465" s="339" t="str">
        <f>'10U COED GOLD-16 TEAMS CUSTOM'!J29&amp;""</f>
        <v>10U_COED_GOLD</v>
      </c>
      <c r="K465" s="339" t="str">
        <f t="shared" si="10"/>
        <v>202602010800</v>
      </c>
    </row>
    <row r="466" spans="1:11">
      <c r="A466" s="337">
        <f>'10U COED GOLD-16 TEAMS CUSTOM'!A31</f>
        <v>46054</v>
      </c>
      <c r="B466" s="338">
        <f>'10U COED GOLD-16 TEAMS CUSTOM'!B31</f>
        <v>0.36458333333333331</v>
      </c>
      <c r="C466" s="338" t="str">
        <f>'10U COED GOLD-16 TEAMS CUSTOM'!C31&amp;""</f>
        <v>WOOLLETT FAR LEFT</v>
      </c>
      <c r="D466" s="340" t="str">
        <f>'10U COED GOLD-16 TEAMS CUSTOM'!D31&amp;""</f>
        <v>10Cau18</v>
      </c>
      <c r="E466" s="340" t="str">
        <f>'10U COED GOLD-16 TEAMS CUSTOM'!E31&amp;""</f>
        <v>G3-680 RED (girls)</v>
      </c>
      <c r="F466" s="340" t="str">
        <f>'10U COED GOLD-16 TEAMS CUSTOM'!F31&amp;""</f>
        <v>11</v>
      </c>
      <c r="G466" s="340" t="str">
        <f>'10U COED GOLD-16 TEAMS CUSTOM'!G31&amp;""</f>
        <v>G4-SAN CLEMENTE RED (girls)</v>
      </c>
      <c r="H466" s="339" t="str">
        <f>'10U COED GOLD-16 TEAMS CUSTOM'!H31&amp;""</f>
        <v>8</v>
      </c>
      <c r="I466" s="340" t="str">
        <f>'10U COED GOLD-16 TEAMS CUSTOM'!I31&amp;""</f>
        <v>girls 1st-4th</v>
      </c>
      <c r="J466" s="339" t="str">
        <f>'10U COED GOLD-16 TEAMS CUSTOM'!J31&amp;""</f>
        <v>10U_COED_GOLD</v>
      </c>
      <c r="K466" s="339" t="str">
        <f t="shared" si="10"/>
        <v>202602010845</v>
      </c>
    </row>
    <row r="467" spans="1:11">
      <c r="A467" s="341">
        <f>'10U COED PLATINUM-8 TEAMS'!A22</f>
        <v>46054</v>
      </c>
      <c r="B467" s="342">
        <f>'10U COED PLATINUM-8 TEAMS'!B22</f>
        <v>0.39583333333333298</v>
      </c>
      <c r="C467" s="343" t="str">
        <f>'10U COED PLATINUM-8 TEAMS'!C22&amp;""</f>
        <v>WOOLLETT FAR LEFT</v>
      </c>
      <c r="D467" s="343" t="str">
        <f>'10U COED PLATINUM-8 TEAMS'!D22&amp;""</f>
        <v>10Cpt09</v>
      </c>
      <c r="E467" s="343" t="str">
        <f>'10U COED PLATINUM-8 TEAMS'!E22&amp;""</f>
        <v>B3-PATRIOT RED</v>
      </c>
      <c r="F467" s="343" t="str">
        <f>'10U COED PLATINUM-8 TEAMS'!F22&amp;""</f>
        <v>21</v>
      </c>
      <c r="G467" s="343" t="str">
        <f>'10U COED PLATINUM-8 TEAMS'!G22&amp;""</f>
        <v>B4-LAMORINDA GOLD (B)</v>
      </c>
      <c r="H467" s="343" t="str">
        <f>'10U COED PLATINUM-8 TEAMS'!H22&amp;""</f>
        <v>6</v>
      </c>
      <c r="I467" s="343" t="str">
        <f>'10U COED PLATINUM-8 TEAMS'!I22&amp;""</f>
        <v>bracket, B3/B4</v>
      </c>
      <c r="J467" s="343" t="str">
        <f>'10U COED PLATINUM-8 TEAMS'!J22&amp;""</f>
        <v>10U_COED_PLATINUM</v>
      </c>
      <c r="K467" s="343" t="str">
        <f t="shared" si="10"/>
        <v>202602010930</v>
      </c>
    </row>
    <row r="468" spans="1:11">
      <c r="A468" s="341">
        <f>'10U COED PLATINUM-8 TEAMS'!A23</f>
        <v>46054</v>
      </c>
      <c r="B468" s="342">
        <f>'10U COED PLATINUM-8 TEAMS'!B23</f>
        <v>0.42708333333333298</v>
      </c>
      <c r="C468" s="343" t="str">
        <f>'10U COED PLATINUM-8 TEAMS'!C23&amp;""</f>
        <v>WOOLLETT FAR LEFT</v>
      </c>
      <c r="D468" s="343" t="str">
        <f>'10U COED PLATINUM-8 TEAMS'!D23&amp;""</f>
        <v>10Cpt10</v>
      </c>
      <c r="E468" s="343" t="str">
        <f>'10U COED PLATINUM-8 TEAMS'!E23&amp;""</f>
        <v>A3-YOLO BLACK</v>
      </c>
      <c r="F468" s="343" t="str">
        <f>'10U COED PLATINUM-8 TEAMS'!F23&amp;""</f>
        <v>7</v>
      </c>
      <c r="G468" s="343" t="str">
        <f>'10U COED PLATINUM-8 TEAMS'!G23&amp;""</f>
        <v>A4-NORTH IRVINE BLACK</v>
      </c>
      <c r="H468" s="343" t="str">
        <f>'10U COED PLATINUM-8 TEAMS'!H23&amp;""</f>
        <v>12</v>
      </c>
      <c r="I468" s="343" t="str">
        <f>'10U COED PLATINUM-8 TEAMS'!I23&amp;""</f>
        <v>bracket, A3/A4</v>
      </c>
      <c r="J468" s="343" t="str">
        <f>'10U COED PLATINUM-8 TEAMS'!J23&amp;""</f>
        <v>10U_COED_PLATINUM</v>
      </c>
      <c r="K468" s="343" t="str">
        <f t="shared" si="10"/>
        <v>202602011015</v>
      </c>
    </row>
    <row r="469" spans="1:11">
      <c r="A469" s="341">
        <f>'10U COED PLATINUM-8 TEAMS'!A24</f>
        <v>46054</v>
      </c>
      <c r="B469" s="342">
        <f>'10U COED PLATINUM-8 TEAMS'!B24</f>
        <v>0.45833333333333298</v>
      </c>
      <c r="C469" s="343" t="str">
        <f>'10U COED PLATINUM-8 TEAMS'!C24&amp;""</f>
        <v>WOOLLETT FAR LEFT</v>
      </c>
      <c r="D469" s="343" t="str">
        <f>'10U COED PLATINUM-8 TEAMS'!D24&amp;""</f>
        <v>10Cpt11</v>
      </c>
      <c r="E469" s="343" t="str">
        <f>'10U COED PLATINUM-8 TEAMS'!E24&amp;""</f>
        <v>B1-ORANGE COUNTY WPC BLUE</v>
      </c>
      <c r="F469" s="343" t="str">
        <f>'10U COED PLATINUM-8 TEAMS'!F24&amp;""</f>
        <v>18</v>
      </c>
      <c r="G469" s="343" t="str">
        <f>'10U COED PLATINUM-8 TEAMS'!G24&amp;""</f>
        <v>B2-CHULA VISTA PREMIER</v>
      </c>
      <c r="H469" s="343" t="str">
        <f>'10U COED PLATINUM-8 TEAMS'!H24&amp;""</f>
        <v>10</v>
      </c>
      <c r="I469" s="343" t="str">
        <f>'10U COED PLATINUM-8 TEAMS'!I24&amp;""</f>
        <v>bracket, B1/B2</v>
      </c>
      <c r="J469" s="343" t="str">
        <f>'10U COED PLATINUM-8 TEAMS'!J24&amp;""</f>
        <v>10U_COED_PLATINUM</v>
      </c>
      <c r="K469" s="343" t="str">
        <f t="shared" si="10"/>
        <v>202602011100</v>
      </c>
    </row>
    <row r="470" spans="1:11">
      <c r="A470" s="341">
        <f>'10U COED PLATINUM-8 TEAMS'!A25</f>
        <v>46054</v>
      </c>
      <c r="B470" s="342">
        <f>'10U COED PLATINUM-8 TEAMS'!B25</f>
        <v>0.48958333333333298</v>
      </c>
      <c r="C470" s="343" t="str">
        <f>'10U COED PLATINUM-8 TEAMS'!C25&amp;""</f>
        <v>WOOLLETT FAR LEFT</v>
      </c>
      <c r="D470" s="343" t="str">
        <f>'10U COED PLATINUM-8 TEAMS'!D25&amp;""</f>
        <v>10Cpt12</v>
      </c>
      <c r="E470" s="343" t="str">
        <f>'10U COED PLATINUM-8 TEAMS'!E25&amp;""</f>
        <v>A1-CHANNEL ISLANDS UNITED</v>
      </c>
      <c r="F470" s="343" t="str">
        <f>'10U COED PLATINUM-8 TEAMS'!F25&amp;""</f>
        <v>19</v>
      </c>
      <c r="G470" s="343" t="str">
        <f>'10U COED PLATINUM-8 TEAMS'!G25&amp;""</f>
        <v>A2-FOOTHILL RED</v>
      </c>
      <c r="H470" s="343" t="str">
        <f>'10U COED PLATINUM-8 TEAMS'!H25&amp;""</f>
        <v>6</v>
      </c>
      <c r="I470" s="343" t="str">
        <f>'10U COED PLATINUM-8 TEAMS'!I25&amp;""</f>
        <v>bracket, A1/A2</v>
      </c>
      <c r="J470" s="343" t="str">
        <f>'10U COED PLATINUM-8 TEAMS'!J25&amp;""</f>
        <v>10U_COED_PLATINUM</v>
      </c>
      <c r="K470" s="343" t="str">
        <f t="shared" si="10"/>
        <v>202602011145</v>
      </c>
    </row>
    <row r="471" spans="1:11">
      <c r="A471" s="337">
        <f>'10U COED GOLD-16 TEAMS CUSTOM'!A40</f>
        <v>46054</v>
      </c>
      <c r="B471" s="338">
        <f>'10U COED GOLD-16 TEAMS CUSTOM'!B40</f>
        <v>0.52083333333333304</v>
      </c>
      <c r="C471" s="338" t="str">
        <f>'10U COED GOLD-16 TEAMS CUSTOM'!C40&amp;""</f>
        <v>WOOLLETT FAR LEFT</v>
      </c>
      <c r="D471" s="339" t="str">
        <f>'10U COED GOLD-16 TEAMS CUSTOM'!D40&amp;""</f>
        <v>10Cau29</v>
      </c>
      <c r="E471" s="339" t="str">
        <f>'10U COED GOLD-16 TEAMS CUSTOM'!E40&amp;""</f>
        <v>L#21-YOLO YELLOW</v>
      </c>
      <c r="F471" s="339" t="str">
        <f>'10U COED GOLD-16 TEAMS CUSTOM'!F40&amp;""</f>
        <v>11.2</v>
      </c>
      <c r="G471" s="339" t="str">
        <f>'10U COED GOLD-16 TEAMS CUSTOM'!G40&amp;""</f>
        <v>L#22-SOUTH BAY UNITED</v>
      </c>
      <c r="H471" s="339" t="str">
        <f>'10U COED GOLD-16 TEAMS CUSTOM'!H40&amp;""</f>
        <v>11.1</v>
      </c>
      <c r="I471" s="339" t="str">
        <f>'10U COED GOLD-16 TEAMS CUSTOM'!I40&amp;""</f>
        <v>3rd Coed</v>
      </c>
      <c r="J471" s="339" t="str">
        <f>'10U COED GOLD-16 TEAMS CUSTOM'!J40&amp;""</f>
        <v>10U_COED_GOLD</v>
      </c>
      <c r="K471" s="339" t="str">
        <f t="shared" si="10"/>
        <v>202602011230</v>
      </c>
    </row>
    <row r="472" spans="1:11">
      <c r="A472" s="337">
        <f>'10U COED GOLD-16 TEAMS CUSTOM'!A42</f>
        <v>46054</v>
      </c>
      <c r="B472" s="338">
        <f>'10U COED GOLD-16 TEAMS CUSTOM'!B42</f>
        <v>0.55208333333333304</v>
      </c>
      <c r="C472" s="338" t="str">
        <f>'10U COED GOLD-16 TEAMS CUSTOM'!C42&amp;""</f>
        <v>WOOLLETT FAR LEFT</v>
      </c>
      <c r="D472" s="339" t="str">
        <f>'10U COED GOLD-16 TEAMS CUSTOM'!D42&amp;""</f>
        <v>10Cau30</v>
      </c>
      <c r="E472" s="339" t="str">
        <f>'10U COED GOLD-16 TEAMS CUSTOM'!E42&amp;""</f>
        <v>W#21-LA JOLLA UNITED</v>
      </c>
      <c r="F472" s="339" t="str">
        <f>'10U COED GOLD-16 TEAMS CUSTOM'!F42&amp;""</f>
        <v>7</v>
      </c>
      <c r="G472" s="339" t="str">
        <f>'10U COED GOLD-16 TEAMS CUSTOM'!G42&amp;""</f>
        <v>W#22-DAVIS</v>
      </c>
      <c r="H472" s="339" t="str">
        <f>'10U COED GOLD-16 TEAMS CUSTOM'!H42&amp;""</f>
        <v>13</v>
      </c>
      <c r="I472" s="339" t="str">
        <f>'10U COED GOLD-16 TEAMS CUSTOM'!I42&amp;""</f>
        <v>1st Coed</v>
      </c>
      <c r="J472" s="339" t="str">
        <f>'10U COED GOLD-16 TEAMS CUSTOM'!J42&amp;""</f>
        <v>10U_COED_GOLD</v>
      </c>
      <c r="K472" s="339" t="str">
        <f t="shared" si="10"/>
        <v>202602011315</v>
      </c>
    </row>
    <row r="473" spans="1:11">
      <c r="A473" s="346">
        <f>'10U BOYS-8 TEAMS'!A28</f>
        <v>46054</v>
      </c>
      <c r="B473" s="347">
        <f>'10U BOYS-8 TEAMS'!B28</f>
        <v>0.58333333333333304</v>
      </c>
      <c r="C473" s="348" t="str">
        <f>'10U BOYS-8 TEAMS'!C28&amp;""</f>
        <v>WOOLLETT FAR LEFT</v>
      </c>
      <c r="D473" s="348" t="str">
        <f>'10U BOYS-8 TEAMS'!D28&amp;""</f>
        <v>10B15</v>
      </c>
      <c r="E473" s="348" t="str">
        <f>'10U BOYS-8 TEAMS'!E28&amp;""</f>
        <v>2ndA-LAMORINDA BLUE (A)</v>
      </c>
      <c r="F473" s="348" t="str">
        <f>'10U BOYS-8 TEAMS'!F28&amp;""</f>
        <v>6</v>
      </c>
      <c r="G473" s="348" t="str">
        <f>'10U BOYS-8 TEAMS'!G28&amp;""</f>
        <v>2ndB-SAN CLEMENTE RED</v>
      </c>
      <c r="H473" s="348" t="str">
        <f>'10U BOYS-8 TEAMS'!H28&amp;""</f>
        <v>14</v>
      </c>
      <c r="I473" s="348" t="str">
        <f>'10U BOYS-8 TEAMS'!I28&amp;""</f>
        <v>3rd</v>
      </c>
      <c r="J473" s="348" t="str">
        <f>'10U BOYS-8 TEAMS'!J28&amp;""</f>
        <v>10U_BOYS</v>
      </c>
      <c r="K473" s="348" t="str">
        <f t="shared" si="10"/>
        <v>202602011400</v>
      </c>
    </row>
    <row r="474" spans="1:11">
      <c r="A474" s="346">
        <f>'10U BOYS-8 TEAMS'!A29</f>
        <v>46054</v>
      </c>
      <c r="B474" s="347">
        <f>'10U BOYS-8 TEAMS'!B29</f>
        <v>0.61458333333333304</v>
      </c>
      <c r="C474" s="348" t="str">
        <f>'10U BOYS-8 TEAMS'!C29&amp;""</f>
        <v>WOOLLETT FAR LEFT</v>
      </c>
      <c r="D474" s="348" t="str">
        <f>'10U BOYS-8 TEAMS'!D29&amp;""</f>
        <v>10B16</v>
      </c>
      <c r="E474" s="348" t="str">
        <f>'10U BOYS-8 TEAMS'!E29&amp;""</f>
        <v>1stA-680 RED</v>
      </c>
      <c r="F474" s="348" t="str">
        <f>'10U BOYS-8 TEAMS'!F29&amp;""</f>
        <v>6</v>
      </c>
      <c r="G474" s="348" t="str">
        <f>'10U BOYS-8 TEAMS'!G29&amp;""</f>
        <v>1stB-CC UNITED BLACK</v>
      </c>
      <c r="H474" s="348" t="str">
        <f>'10U BOYS-8 TEAMS'!H29&amp;""</f>
        <v>3</v>
      </c>
      <c r="I474" s="348" t="str">
        <f>'10U BOYS-8 TEAMS'!I29&amp;""</f>
        <v>1st</v>
      </c>
      <c r="J474" s="348" t="str">
        <f>'10U BOYS-8 TEAMS'!J29&amp;""</f>
        <v>10U_BOYS</v>
      </c>
      <c r="K474" s="348" t="str">
        <f t="shared" si="10"/>
        <v>202602011445</v>
      </c>
    </row>
    <row r="475" spans="1:11">
      <c r="A475" s="341">
        <f>'10U COED PLATINUM-8 TEAMS'!A29</f>
        <v>46054</v>
      </c>
      <c r="B475" s="342">
        <f>'10U COED PLATINUM-8 TEAMS'!B29</f>
        <v>0.64583333333333304</v>
      </c>
      <c r="C475" s="343" t="str">
        <f>'10U COED PLATINUM-8 TEAMS'!C29&amp;""</f>
        <v>WOOLLETT FAR LEFT</v>
      </c>
      <c r="D475" s="343" t="str">
        <f>'10U COED PLATINUM-8 TEAMS'!D29&amp;""</f>
        <v>10Cpt15</v>
      </c>
      <c r="E475" s="343" t="str">
        <f>'10U COED PLATINUM-8 TEAMS'!E29&amp;""</f>
        <v>2ndA-CHANNEL ISLANDS UNITED</v>
      </c>
      <c r="F475" s="343" t="str">
        <f>'10U COED PLATINUM-8 TEAMS'!F29&amp;""</f>
        <v>9</v>
      </c>
      <c r="G475" s="343" t="str">
        <f>'10U COED PLATINUM-8 TEAMS'!G29&amp;""</f>
        <v>2ndB-CHULA VISTA PREMIER</v>
      </c>
      <c r="H475" s="343" t="str">
        <f>'10U COED PLATINUM-8 TEAMS'!H29&amp;""</f>
        <v>8</v>
      </c>
      <c r="I475" s="343" t="str">
        <f>'10U COED PLATINUM-8 TEAMS'!I29&amp;""</f>
        <v>3rd</v>
      </c>
      <c r="J475" s="343" t="str">
        <f>'10U COED PLATINUM-8 TEAMS'!J29&amp;""</f>
        <v>10U_COED_PLATINUM</v>
      </c>
      <c r="K475" s="343" t="str">
        <f t="shared" si="10"/>
        <v>202602011530</v>
      </c>
    </row>
    <row r="476" spans="1:11">
      <c r="A476" s="341">
        <f>'10U COED PLATINUM-8 TEAMS'!A30</f>
        <v>46054</v>
      </c>
      <c r="B476" s="342">
        <f>'10U COED PLATINUM-8 TEAMS'!B30</f>
        <v>0.67708333333333304</v>
      </c>
      <c r="C476" s="343" t="str">
        <f>'10U COED PLATINUM-8 TEAMS'!C30&amp;""</f>
        <v>WOOLLETT FAR LEFT</v>
      </c>
      <c r="D476" s="343" t="str">
        <f>'10U COED PLATINUM-8 TEAMS'!D30&amp;""</f>
        <v>10Cpt16</v>
      </c>
      <c r="E476" s="343" t="str">
        <f>'10U COED PLATINUM-8 TEAMS'!E30&amp;""</f>
        <v>1stA-NORTH IRVINE BLACK</v>
      </c>
      <c r="F476" s="343" t="str">
        <f>'10U COED PLATINUM-8 TEAMS'!F30&amp;""</f>
        <v>8</v>
      </c>
      <c r="G476" s="343" t="str">
        <f>'10U COED PLATINUM-8 TEAMS'!G30&amp;""</f>
        <v>1stB-ORANGE COUNTY WPC BLUE</v>
      </c>
      <c r="H476" s="343" t="str">
        <f>'10U COED PLATINUM-8 TEAMS'!H30&amp;""</f>
        <v>4</v>
      </c>
      <c r="I476" s="343" t="str">
        <f>'10U COED PLATINUM-8 TEAMS'!I30&amp;""</f>
        <v>1st</v>
      </c>
      <c r="J476" s="343" t="str">
        <f>'10U COED PLATINUM-8 TEAMS'!J30&amp;""</f>
        <v>10U_COED_PLATINUM</v>
      </c>
      <c r="K476" s="343" t="str">
        <f t="shared" si="10"/>
        <v>202602011615</v>
      </c>
    </row>
    <row r="477" spans="1:11">
      <c r="A477" s="351">
        <f>'12U GIRLS PLATINUM-12 TEAMS'!A9</f>
        <v>46053</v>
      </c>
      <c r="B477" s="352">
        <f>'12U GIRLS PLATINUM-12 TEAMS'!B9</f>
        <v>0.29166666666666669</v>
      </c>
      <c r="C477" s="351" t="str">
        <f>'12U GIRLS PLATINUM-12 TEAMS'!C9&amp;""</f>
        <v>WOOLLETT FAR RIGHT</v>
      </c>
      <c r="D477" s="353" t="str">
        <f>'12U GIRLS PLATINUM-12 TEAMS'!D9&amp;""</f>
        <v>12Gpt01</v>
      </c>
      <c r="E477" s="351" t="str">
        <f>'12U GIRLS PLATINUM-12 TEAMS'!E9&amp;""</f>
        <v>A1-BACK BAY NAVY</v>
      </c>
      <c r="F477" s="353" t="str">
        <f>'12U GIRLS PLATINUM-12 TEAMS'!F9&amp;""</f>
        <v>18</v>
      </c>
      <c r="G477" s="351" t="str">
        <f>'12U GIRLS PLATINUM-12 TEAMS'!G9&amp;""</f>
        <v>A3-LAMORINDA C</v>
      </c>
      <c r="H477" s="353" t="str">
        <f>'12U GIRLS PLATINUM-12 TEAMS'!H9&amp;""</f>
        <v>10</v>
      </c>
      <c r="I477" s="353" t="str">
        <f>'12U GIRLS PLATINUM-12 TEAMS'!I9&amp;""</f>
        <v>A bracket A1,A3</v>
      </c>
      <c r="J477" s="353" t="str">
        <f>'12U GIRLS PLATINUM-12 TEAMS'!J9&amp;""</f>
        <v>12U_GIRLS_PLATINUM</v>
      </c>
      <c r="K477" s="353" t="str">
        <f t="shared" si="10"/>
        <v>202601310700</v>
      </c>
    </row>
    <row r="478" spans="1:11">
      <c r="A478" s="351">
        <f>'12U GIRLS PLATINUM-12 TEAMS'!A10</f>
        <v>46053</v>
      </c>
      <c r="B478" s="352">
        <f>'12U GIRLS PLATINUM-12 TEAMS'!B10</f>
        <v>0.3263888888888889</v>
      </c>
      <c r="C478" s="351" t="str">
        <f>'12U GIRLS PLATINUM-12 TEAMS'!C10&amp;""</f>
        <v>WOOLLETT FAR RIGHT</v>
      </c>
      <c r="D478" s="353" t="str">
        <f>'12U GIRLS PLATINUM-12 TEAMS'!D10&amp;""</f>
        <v>12Gpt02</v>
      </c>
      <c r="E478" s="351" t="str">
        <f>'12U GIRLS PLATINUM-12 TEAMS'!E10&amp;""</f>
        <v>D1-SHAQ</v>
      </c>
      <c r="F478" s="353" t="str">
        <f>'12U GIRLS PLATINUM-12 TEAMS'!F10&amp;""</f>
        <v>12</v>
      </c>
      <c r="G478" s="351" t="str">
        <f>'12U GIRLS PLATINUM-12 TEAMS'!G10&amp;""</f>
        <v>D3-NORTH IRVINE</v>
      </c>
      <c r="H478" s="353" t="str">
        <f>'12U GIRLS PLATINUM-12 TEAMS'!H10&amp;""</f>
        <v>9</v>
      </c>
      <c r="I478" s="353" t="str">
        <f>'12U GIRLS PLATINUM-12 TEAMS'!I10&amp;""</f>
        <v>D bracket D1,D3</v>
      </c>
      <c r="J478" s="353" t="str">
        <f>'12U GIRLS PLATINUM-12 TEAMS'!J10&amp;""</f>
        <v>12U_GIRLS_PLATINUM</v>
      </c>
      <c r="K478" s="353" t="str">
        <f t="shared" si="10"/>
        <v>202601310750</v>
      </c>
    </row>
    <row r="479" spans="1:11">
      <c r="A479" s="357">
        <f>'12U BOYS GOLD-24 TEAMS'!A28</f>
        <v>46053</v>
      </c>
      <c r="B479" s="358">
        <f>'12U BOYS GOLD-24 TEAMS'!B28</f>
        <v>0.36111111111111099</v>
      </c>
      <c r="C479" s="358" t="str">
        <f>'12U BOYS GOLD-24 TEAMS'!C28&amp;""</f>
        <v>WOOLLETT FAR RIGHT</v>
      </c>
      <c r="D479" s="359" t="str">
        <f>'12U BOYS GOLD-24 TEAMS'!D28&amp;""</f>
        <v>12Bau04A</v>
      </c>
      <c r="E479" s="359" t="str">
        <f>'12U BOYS GOLD-24 TEAMS'!E28&amp;""</f>
        <v>G1(6)-SAN MATEO</v>
      </c>
      <c r="F479" s="359" t="str">
        <f>'12U BOYS GOLD-24 TEAMS'!F28&amp;""</f>
        <v>22</v>
      </c>
      <c r="G479" s="359" t="str">
        <f>'12U BOYS GOLD-24 TEAMS'!G28&amp;""</f>
        <v>G3(22)-NORTH IRVINE WHITE</v>
      </c>
      <c r="H479" s="359" t="str">
        <f>'12U BOYS GOLD-24 TEAMS'!H28&amp;""</f>
        <v>2</v>
      </c>
      <c r="I479" s="359" t="str">
        <f>'12U BOYS GOLD-24 TEAMS'!I28&amp;""</f>
        <v>G bracket G1,G3</v>
      </c>
      <c r="J479" s="359" t="str">
        <f>'12U BOYS GOLD-24 TEAMS'!J28&amp;""</f>
        <v>12U_BOYS_GOLD</v>
      </c>
      <c r="K479" s="359" t="str">
        <f t="shared" si="10"/>
        <v>202601310840</v>
      </c>
    </row>
    <row r="480" spans="1:11">
      <c r="A480" s="351">
        <f>'12U GIRLS PLATINUM-12 TEAMS'!A12</f>
        <v>46053</v>
      </c>
      <c r="B480" s="352">
        <f>'12U GIRLS PLATINUM-12 TEAMS'!B12</f>
        <v>0.39583333333333398</v>
      </c>
      <c r="C480" s="351" t="str">
        <f>'12U GIRLS PLATINUM-12 TEAMS'!C12&amp;""</f>
        <v>WOOLLETT FAR RIGHT</v>
      </c>
      <c r="D480" s="353" t="str">
        <f>'12U GIRLS PLATINUM-12 TEAMS'!D12&amp;""</f>
        <v>12Gpt03</v>
      </c>
      <c r="E480" s="351" t="str">
        <f>'12U GIRLS PLATINUM-12 TEAMS'!E12&amp;""</f>
        <v>B1-680 RED</v>
      </c>
      <c r="F480" s="353" t="str">
        <f>'12U GIRLS PLATINUM-12 TEAMS'!F12&amp;""</f>
        <v>14</v>
      </c>
      <c r="G480" s="351" t="str">
        <f>'12U GIRLS PLATINUM-12 TEAMS'!G12&amp;""</f>
        <v>B2-SOUTH COAST RED</v>
      </c>
      <c r="H480" s="353" t="str">
        <f>'12U GIRLS PLATINUM-12 TEAMS'!H12&amp;""</f>
        <v>4</v>
      </c>
      <c r="I480" s="353" t="str">
        <f>'12U GIRLS PLATINUM-12 TEAMS'!I12&amp;""</f>
        <v>B bracket B1,B2</v>
      </c>
      <c r="J480" s="353" t="str">
        <f>'12U GIRLS PLATINUM-12 TEAMS'!J12&amp;""</f>
        <v>12U_GIRLS_PLATINUM</v>
      </c>
      <c r="K480" s="353" t="str">
        <f t="shared" si="10"/>
        <v>202601310930</v>
      </c>
    </row>
    <row r="481" spans="1:11">
      <c r="A481" s="351">
        <f>'12U GIRLS PLATINUM-12 TEAMS'!A13</f>
        <v>46053</v>
      </c>
      <c r="B481" s="352">
        <f>'12U GIRLS PLATINUM-12 TEAMS'!B13</f>
        <v>0.43055555555555602</v>
      </c>
      <c r="C481" s="351" t="str">
        <f>'12U GIRLS PLATINUM-12 TEAMS'!C13&amp;""</f>
        <v>WOOLLETT FAR RIGHT</v>
      </c>
      <c r="D481" s="353" t="str">
        <f>'12U GIRLS PLATINUM-12 TEAMS'!D13&amp;""</f>
        <v>12Gpt04</v>
      </c>
      <c r="E481" s="351" t="str">
        <f>'12U GIRLS PLATINUM-12 TEAMS'!E13&amp;""</f>
        <v>C2-DAVIS</v>
      </c>
      <c r="F481" s="353" t="str">
        <f>'12U GIRLS PLATINUM-12 TEAMS'!F13&amp;""</f>
        <v>1</v>
      </c>
      <c r="G481" s="351" t="str">
        <f>'12U GIRLS PLATINUM-12 TEAMS'!G13&amp;""</f>
        <v>C3-LAMORINDA B</v>
      </c>
      <c r="H481" s="353" t="str">
        <f>'12U GIRLS PLATINUM-12 TEAMS'!H13&amp;""</f>
        <v>16</v>
      </c>
      <c r="I481" s="353" t="str">
        <f>'12U GIRLS PLATINUM-12 TEAMS'!I13&amp;""</f>
        <v>C bracket C2,C3</v>
      </c>
      <c r="J481" s="353" t="str">
        <f>'12U GIRLS PLATINUM-12 TEAMS'!J13&amp;""</f>
        <v>12U_GIRLS_PLATINUM</v>
      </c>
      <c r="K481" s="353" t="str">
        <f t="shared" si="10"/>
        <v>202601311020</v>
      </c>
    </row>
    <row r="482" spans="1:11">
      <c r="A482" s="357">
        <f>'12U BOYS GOLD-24 TEAMS'!A31</f>
        <v>46053</v>
      </c>
      <c r="B482" s="358">
        <f>'12U BOYS GOLD-24 TEAMS'!B31</f>
        <v>0.46527777777777801</v>
      </c>
      <c r="C482" s="358" t="str">
        <f>'12U BOYS GOLD-24 TEAMS'!C31&amp;""</f>
        <v>WOOLLETT FAR RIGHT</v>
      </c>
      <c r="D482" s="359" t="str">
        <f>'12U BOYS GOLD-24 TEAMS'!D31&amp;""</f>
        <v>12Bau08A</v>
      </c>
      <c r="E482" s="360" t="str">
        <f>'12U BOYS GOLD-24 TEAMS'!E31&amp;""</f>
        <v>G1(6)-SAN MATEO</v>
      </c>
      <c r="F482" s="360" t="str">
        <f>'12U BOYS GOLD-24 TEAMS'!F31&amp;""</f>
        <v>8</v>
      </c>
      <c r="G482" s="360" t="str">
        <f>'12U BOYS GOLD-24 TEAMS'!G31&amp;""</f>
        <v>G2(11)-SOUTH COAST RED</v>
      </c>
      <c r="H482" s="359" t="str">
        <f>'12U BOYS GOLD-24 TEAMS'!H31&amp;""</f>
        <v>6</v>
      </c>
      <c r="I482" s="359" t="str">
        <f>'12U BOYS GOLD-24 TEAMS'!I31&amp;""</f>
        <v>G bracket G1,G2</v>
      </c>
      <c r="J482" s="359" t="str">
        <f>'12U BOYS GOLD-24 TEAMS'!J31&amp;""</f>
        <v>12U_BOYS_GOLD</v>
      </c>
      <c r="K482" s="359" t="str">
        <f t="shared" si="10"/>
        <v>202601311110</v>
      </c>
    </row>
    <row r="483" spans="1:11">
      <c r="A483" s="351">
        <f>'12U GIRLS PLATINUM-12 TEAMS'!A15</f>
        <v>46053</v>
      </c>
      <c r="B483" s="352">
        <f>'12U GIRLS PLATINUM-12 TEAMS'!B15</f>
        <v>0.5</v>
      </c>
      <c r="C483" s="351" t="str">
        <f>'12U GIRLS PLATINUM-12 TEAMS'!C15&amp;""</f>
        <v>WOOLLETT FAR RIGHT</v>
      </c>
      <c r="D483" s="353" t="str">
        <f>'12U GIRLS PLATINUM-12 TEAMS'!D15&amp;""</f>
        <v>12Gpt05</v>
      </c>
      <c r="E483" s="351" t="str">
        <f>'12U GIRLS PLATINUM-12 TEAMS'!E15&amp;""</f>
        <v>A1-BACK BAY NAVY</v>
      </c>
      <c r="F483" s="353" t="str">
        <f>'12U GIRLS PLATINUM-12 TEAMS'!F15&amp;""</f>
        <v>19</v>
      </c>
      <c r="G483" s="351" t="str">
        <f>'12U GIRLS PLATINUM-12 TEAMS'!G15&amp;""</f>
        <v>A2-GOLD COAST</v>
      </c>
      <c r="H483" s="353" t="str">
        <f>'12U GIRLS PLATINUM-12 TEAMS'!H15&amp;""</f>
        <v>2</v>
      </c>
      <c r="I483" s="353" t="str">
        <f>'12U GIRLS PLATINUM-12 TEAMS'!I15&amp;""</f>
        <v>A bracket A1,A2</v>
      </c>
      <c r="J483" s="353" t="str">
        <f>'12U GIRLS PLATINUM-12 TEAMS'!J15&amp;""</f>
        <v>12U_GIRLS_PLATINUM</v>
      </c>
      <c r="K483" s="353" t="str">
        <f t="shared" si="10"/>
        <v>202601311200</v>
      </c>
    </row>
    <row r="484" spans="1:11">
      <c r="A484" s="351">
        <f>'12U GIRLS PLATINUM-12 TEAMS'!A16</f>
        <v>46053</v>
      </c>
      <c r="B484" s="352">
        <f>'12U GIRLS PLATINUM-12 TEAMS'!B16</f>
        <v>0.53472222222222199</v>
      </c>
      <c r="C484" s="351" t="str">
        <f>'12U GIRLS PLATINUM-12 TEAMS'!C16&amp;""</f>
        <v>WOOLLETT FAR RIGHT</v>
      </c>
      <c r="D484" s="353" t="str">
        <f>'12U GIRLS PLATINUM-12 TEAMS'!D16&amp;""</f>
        <v>12Gpt06</v>
      </c>
      <c r="E484" s="351" t="str">
        <f>'12U GIRLS PLATINUM-12 TEAMS'!E16&amp;""</f>
        <v>D1-SHAQ</v>
      </c>
      <c r="F484" s="353" t="str">
        <f>'12U GIRLS PLATINUM-12 TEAMS'!F16&amp;""</f>
        <v>11</v>
      </c>
      <c r="G484" s="351" t="str">
        <f>'12U GIRLS PLATINUM-12 TEAMS'!G16&amp;""</f>
        <v>D2-LA JOLLA UNITED</v>
      </c>
      <c r="H484" s="353" t="str">
        <f>'12U GIRLS PLATINUM-12 TEAMS'!H16&amp;""</f>
        <v>2</v>
      </c>
      <c r="I484" s="353" t="str">
        <f>'12U GIRLS PLATINUM-12 TEAMS'!I16&amp;""</f>
        <v>D bracket D1,D2</v>
      </c>
      <c r="J484" s="353" t="str">
        <f>'12U GIRLS PLATINUM-12 TEAMS'!J16&amp;""</f>
        <v>12U_GIRLS_PLATINUM</v>
      </c>
      <c r="K484" s="353" t="str">
        <f t="shared" si="10"/>
        <v>202601311250</v>
      </c>
    </row>
    <row r="485" spans="1:11">
      <c r="A485" s="357">
        <f>'12U BOYS GOLD-24 TEAMS'!A35</f>
        <v>46053</v>
      </c>
      <c r="B485" s="358">
        <f>'12U BOYS GOLD-24 TEAMS'!B35</f>
        <v>0.56944444444444497</v>
      </c>
      <c r="C485" s="358" t="str">
        <f>'12U BOYS GOLD-24 TEAMS'!C35&amp;""</f>
        <v>WOOLLETT FAR RIGHT</v>
      </c>
      <c r="D485" s="359" t="str">
        <f>'12U BOYS GOLD-24 TEAMS'!D35&amp;""</f>
        <v>12Bau12A</v>
      </c>
      <c r="E485" s="359" t="str">
        <f>'12U BOYS GOLD-24 TEAMS'!E35&amp;""</f>
        <v>G2(11)-SOUTH COAST RED</v>
      </c>
      <c r="F485" s="359" t="str">
        <f>'12U BOYS GOLD-24 TEAMS'!F35&amp;""</f>
        <v>15</v>
      </c>
      <c r="G485" s="359" t="str">
        <f>'12U BOYS GOLD-24 TEAMS'!G35&amp;""</f>
        <v>G3(22)-NORTH IRVINE WHITE</v>
      </c>
      <c r="H485" s="359" t="str">
        <f>'12U BOYS GOLD-24 TEAMS'!H35&amp;""</f>
        <v>0</v>
      </c>
      <c r="I485" s="359" t="str">
        <f>'12U BOYS GOLD-24 TEAMS'!I35&amp;""</f>
        <v>G bracket G2,G3</v>
      </c>
      <c r="J485" s="359" t="str">
        <f>'12U BOYS GOLD-24 TEAMS'!J35&amp;""</f>
        <v>12U_BOYS_GOLD</v>
      </c>
      <c r="K485" s="359" t="str">
        <f t="shared" si="10"/>
        <v>202601311340</v>
      </c>
    </row>
    <row r="486" spans="1:11">
      <c r="A486" s="351">
        <f>'12U GIRLS PLATINUM-12 TEAMS'!A18</f>
        <v>46053</v>
      </c>
      <c r="B486" s="352">
        <f>'12U GIRLS PLATINUM-12 TEAMS'!B18</f>
        <v>0.60416666666666696</v>
      </c>
      <c r="C486" s="351" t="str">
        <f>'12U GIRLS PLATINUM-12 TEAMS'!C18&amp;""</f>
        <v>WOOLLETT FAR RIGHT</v>
      </c>
      <c r="D486" s="353" t="str">
        <f>'12U GIRLS PLATINUM-12 TEAMS'!D18&amp;""</f>
        <v>12Gpt07</v>
      </c>
      <c r="E486" s="351" t="str">
        <f>'12U GIRLS PLATINUM-12 TEAMS'!E18&amp;""</f>
        <v>B1-680 RED</v>
      </c>
      <c r="F486" s="353" t="str">
        <f>'12U GIRLS PLATINUM-12 TEAMS'!F18&amp;""</f>
        <v>12</v>
      </c>
      <c r="G486" s="351" t="str">
        <f>'12U GIRLS PLATINUM-12 TEAMS'!G18&amp;""</f>
        <v>B3-ORANGE COUNTY WPC BLUE</v>
      </c>
      <c r="H486" s="353" t="str">
        <f>'12U GIRLS PLATINUM-12 TEAMS'!H18&amp;""</f>
        <v>8</v>
      </c>
      <c r="I486" s="353" t="str">
        <f>'12U GIRLS PLATINUM-12 TEAMS'!I18&amp;""</f>
        <v>B bracket B1,B3</v>
      </c>
      <c r="J486" s="353" t="str">
        <f>'12U GIRLS PLATINUM-12 TEAMS'!J18&amp;""</f>
        <v>12U_GIRLS_PLATINUM</v>
      </c>
      <c r="K486" s="353" t="str">
        <f t="shared" si="10"/>
        <v>202601311430</v>
      </c>
    </row>
    <row r="487" spans="1:11">
      <c r="A487" s="351">
        <f>'12U GIRLS PLATINUM-12 TEAMS'!A19</f>
        <v>46053</v>
      </c>
      <c r="B487" s="352">
        <f>'12U GIRLS PLATINUM-12 TEAMS'!B19</f>
        <v>0.63888888888888895</v>
      </c>
      <c r="C487" s="351" t="str">
        <f>'12U GIRLS PLATINUM-12 TEAMS'!C19&amp;""</f>
        <v>WOOLLETT FAR RIGHT</v>
      </c>
      <c r="D487" s="353" t="str">
        <f>'12U GIRLS PLATINUM-12 TEAMS'!D19&amp;""</f>
        <v>12Gpt09</v>
      </c>
      <c r="E487" s="351" t="str">
        <f>'12U GIRLS PLATINUM-12 TEAMS'!E19&amp;""</f>
        <v>A2-GOLD COAST</v>
      </c>
      <c r="F487" s="353" t="str">
        <f>'12U GIRLS PLATINUM-12 TEAMS'!F19&amp;""</f>
        <v>6</v>
      </c>
      <c r="G487" s="351" t="str">
        <f>'12U GIRLS PLATINUM-12 TEAMS'!G19&amp;""</f>
        <v>A3-LAMORINDA C</v>
      </c>
      <c r="H487" s="353" t="str">
        <f>'12U GIRLS PLATINUM-12 TEAMS'!H19&amp;""</f>
        <v>15</v>
      </c>
      <c r="I487" s="353" t="str">
        <f>'12U GIRLS PLATINUM-12 TEAMS'!I19&amp;""</f>
        <v>A bracket A2,A3</v>
      </c>
      <c r="J487" s="353" t="str">
        <f>'12U GIRLS PLATINUM-12 TEAMS'!J19&amp;""</f>
        <v>12U_GIRLS_PLATINUM</v>
      </c>
      <c r="K487" s="353" t="str">
        <f t="shared" si="10"/>
        <v>202601311520</v>
      </c>
    </row>
    <row r="488" spans="1:11">
      <c r="A488" s="351">
        <f>'12U GIRLS PLATINUM-12 TEAMS'!A20</f>
        <v>46053</v>
      </c>
      <c r="B488" s="352">
        <f>'12U GIRLS PLATINUM-12 TEAMS'!B20</f>
        <v>0.67361111111111105</v>
      </c>
      <c r="C488" s="351" t="str">
        <f>'12U GIRLS PLATINUM-12 TEAMS'!C20&amp;""</f>
        <v>WOOLLETT FAR RIGHT</v>
      </c>
      <c r="D488" s="353" t="str">
        <f>'12U GIRLS PLATINUM-12 TEAMS'!D20&amp;""</f>
        <v>12Gpt08</v>
      </c>
      <c r="E488" s="351" t="str">
        <f>'12U GIRLS PLATINUM-12 TEAMS'!E20&amp;""</f>
        <v>C1-NEWPORT BEACH</v>
      </c>
      <c r="F488" s="353" t="str">
        <f>'12U GIRLS PLATINUM-12 TEAMS'!F20&amp;""</f>
        <v>8</v>
      </c>
      <c r="G488" s="351" t="str">
        <f>'12U GIRLS PLATINUM-12 TEAMS'!G20&amp;""</f>
        <v>C3-LAMORINDA B</v>
      </c>
      <c r="H488" s="353" t="str">
        <f>'12U GIRLS PLATINUM-12 TEAMS'!H20&amp;""</f>
        <v>7</v>
      </c>
      <c r="I488" s="353" t="str">
        <f>'12U GIRLS PLATINUM-12 TEAMS'!I20&amp;""</f>
        <v>C bracket C1,C3</v>
      </c>
      <c r="J488" s="353" t="str">
        <f>'12U GIRLS PLATINUM-12 TEAMS'!J20&amp;""</f>
        <v>12U_GIRLS_PLATINUM</v>
      </c>
      <c r="K488" s="353" t="str">
        <f t="shared" si="10"/>
        <v>202601311610</v>
      </c>
    </row>
    <row r="489" spans="1:11">
      <c r="A489" s="351">
        <f>'12U GIRLS PLATINUM-12 TEAMS'!A21</f>
        <v>46053</v>
      </c>
      <c r="B489" s="352">
        <f>'12U GIRLS PLATINUM-12 TEAMS'!B21</f>
        <v>0.70833333333333404</v>
      </c>
      <c r="C489" s="351" t="str">
        <f>'12U GIRLS PLATINUM-12 TEAMS'!C21&amp;""</f>
        <v>WOOLLETT FAR RIGHT</v>
      </c>
      <c r="D489" s="353" t="str">
        <f>'12U GIRLS PLATINUM-12 TEAMS'!D21&amp;""</f>
        <v>12Gpt10</v>
      </c>
      <c r="E489" s="351" t="str">
        <f>'12U GIRLS PLATINUM-12 TEAMS'!E21&amp;""</f>
        <v>D2-LA JOLLA UNITED</v>
      </c>
      <c r="F489" s="353" t="str">
        <f>'12U GIRLS PLATINUM-12 TEAMS'!F21&amp;""</f>
        <v>7</v>
      </c>
      <c r="G489" s="351" t="str">
        <f>'12U GIRLS PLATINUM-12 TEAMS'!G21&amp;""</f>
        <v>D3-NORTH IRVINE</v>
      </c>
      <c r="H489" s="353" t="str">
        <f>'12U GIRLS PLATINUM-12 TEAMS'!H21&amp;""</f>
        <v>2</v>
      </c>
      <c r="I489" s="353" t="str">
        <f>'12U GIRLS PLATINUM-12 TEAMS'!I21&amp;""</f>
        <v>D bracket D2,D3</v>
      </c>
      <c r="J489" s="353" t="str">
        <f>'12U GIRLS PLATINUM-12 TEAMS'!J21&amp;""</f>
        <v>12U_GIRLS_PLATINUM</v>
      </c>
      <c r="K489" s="353" t="str">
        <f t="shared" si="10"/>
        <v>202601311700</v>
      </c>
    </row>
    <row r="490" spans="1:11">
      <c r="A490" s="351">
        <f>'12U GIRLS PLATINUM-12 TEAMS'!A22</f>
        <v>46053</v>
      </c>
      <c r="B490" s="352">
        <f>'12U GIRLS PLATINUM-12 TEAMS'!B22</f>
        <v>0.74305555555555602</v>
      </c>
      <c r="C490" s="351" t="str">
        <f>'12U GIRLS PLATINUM-12 TEAMS'!C22&amp;""</f>
        <v>WOOLLETT FAR RIGHT</v>
      </c>
      <c r="D490" s="353" t="str">
        <f>'12U GIRLS PLATINUM-12 TEAMS'!D22&amp;""</f>
        <v>12Gpt11</v>
      </c>
      <c r="E490" s="351" t="str">
        <f>'12U GIRLS PLATINUM-12 TEAMS'!E22&amp;""</f>
        <v>B2-SOUTH COAST RED</v>
      </c>
      <c r="F490" s="353" t="str">
        <f>'12U GIRLS PLATINUM-12 TEAMS'!F22&amp;""</f>
        <v>11</v>
      </c>
      <c r="G490" s="351" t="str">
        <f>'12U GIRLS PLATINUM-12 TEAMS'!G22&amp;""</f>
        <v>B3-ORANGE COUNTY WPC BLUE</v>
      </c>
      <c r="H490" s="353" t="str">
        <f>'12U GIRLS PLATINUM-12 TEAMS'!H22&amp;""</f>
        <v>13</v>
      </c>
      <c r="I490" s="353" t="str">
        <f>'12U GIRLS PLATINUM-12 TEAMS'!I22&amp;""</f>
        <v>B bracket B2,B3</v>
      </c>
      <c r="J490" s="353" t="str">
        <f>'12U GIRLS PLATINUM-12 TEAMS'!J22&amp;""</f>
        <v>12U_GIRLS_PLATINUM</v>
      </c>
      <c r="K490" s="353" t="str">
        <f t="shared" si="10"/>
        <v>202601311750</v>
      </c>
    </row>
    <row r="491" spans="1:11">
      <c r="A491" s="351">
        <f>'12U GIRLS PLATINUM-12 TEAMS'!A23</f>
        <v>46053</v>
      </c>
      <c r="B491" s="352">
        <f>'12U GIRLS PLATINUM-12 TEAMS'!B23</f>
        <v>0.77777777777777801</v>
      </c>
      <c r="C491" s="351" t="str">
        <f>'12U GIRLS PLATINUM-12 TEAMS'!C23&amp;""</f>
        <v>WOOLLETT FAR RIGHT</v>
      </c>
      <c r="D491" s="353" t="str">
        <f>'12U GIRLS PLATINUM-12 TEAMS'!D23&amp;""</f>
        <v>12Gpt12</v>
      </c>
      <c r="E491" s="351" t="str">
        <f>'12U GIRLS PLATINUM-12 TEAMS'!E23&amp;""</f>
        <v>C1-NEWPORT BEACH</v>
      </c>
      <c r="F491" s="353" t="str">
        <f>'12U GIRLS PLATINUM-12 TEAMS'!F23&amp;""</f>
        <v>10</v>
      </c>
      <c r="G491" s="351" t="str">
        <f>'12U GIRLS PLATINUM-12 TEAMS'!G23&amp;""</f>
        <v>C2-DAVIS</v>
      </c>
      <c r="H491" s="353" t="str">
        <f>'12U GIRLS PLATINUM-12 TEAMS'!H23&amp;""</f>
        <v>1</v>
      </c>
      <c r="I491" s="353" t="str">
        <f>'12U GIRLS PLATINUM-12 TEAMS'!I23&amp;""</f>
        <v>C bracket C1,C2</v>
      </c>
      <c r="J491" s="353" t="str">
        <f>'12U GIRLS PLATINUM-12 TEAMS'!J23&amp;""</f>
        <v>12U_GIRLS_PLATINUM</v>
      </c>
      <c r="K491" s="353" t="str">
        <f t="shared" si="10"/>
        <v>202601311840</v>
      </c>
    </row>
    <row r="492" spans="1:11">
      <c r="A492" s="351">
        <f>'12U GIRLS PLATINUM-12 TEAMS'!A27</f>
        <v>46054</v>
      </c>
      <c r="B492" s="352">
        <f>'12U GIRLS PLATINUM-12 TEAMS'!B27</f>
        <v>0.29166666666666669</v>
      </c>
      <c r="C492" s="351" t="str">
        <f>'12U GIRLS PLATINUM-12 TEAMS'!C27&amp;""</f>
        <v>WOOLLETT FAR RIGHT</v>
      </c>
      <c r="D492" s="353" t="str">
        <f>'12U GIRLS PLATINUM-12 TEAMS'!D27&amp;""</f>
        <v>12Gpt15</v>
      </c>
      <c r="E492" s="351" t="str">
        <f>'12U GIRLS PLATINUM-12 TEAMS'!E27&amp;""</f>
        <v>2ndA-LAMORINDA C</v>
      </c>
      <c r="F492" s="353" t="str">
        <f>'12U GIRLS PLATINUM-12 TEAMS'!F27&amp;""</f>
        <v>3</v>
      </c>
      <c r="G492" s="351" t="str">
        <f>'12U GIRLS PLATINUM-12 TEAMS'!G27&amp;""</f>
        <v xml:space="preserve">2ndD-LA JOLLA UNITED	</v>
      </c>
      <c r="H492" s="353" t="str">
        <f>'12U GIRLS PLATINUM-12 TEAMS'!H27&amp;""</f>
        <v>7</v>
      </c>
      <c r="I492" s="353" t="str">
        <f>'12U GIRLS PLATINUM-12 TEAMS'!I27&amp;""</f>
        <v>5-8 semi 2A/2D</v>
      </c>
      <c r="J492" s="353" t="str">
        <f>'12U GIRLS PLATINUM-12 TEAMS'!J27&amp;""</f>
        <v>12U_GIRLS_PLATINUM</v>
      </c>
      <c r="K492" s="353" t="str">
        <f t="shared" si="10"/>
        <v>202602010700</v>
      </c>
    </row>
    <row r="493" spans="1:11">
      <c r="A493" s="351">
        <f>'12U GIRLS PLATINUM-12 TEAMS'!A28</f>
        <v>46054</v>
      </c>
      <c r="B493" s="352">
        <f>'12U GIRLS PLATINUM-12 TEAMS'!B28</f>
        <v>0.3263888888888889</v>
      </c>
      <c r="C493" s="351" t="str">
        <f>'12U GIRLS PLATINUM-12 TEAMS'!C28&amp;""</f>
        <v>WOOLLETT FAR RIGHT</v>
      </c>
      <c r="D493" s="353" t="str">
        <f>'12U GIRLS PLATINUM-12 TEAMS'!D28&amp;""</f>
        <v>12Gpt21</v>
      </c>
      <c r="E493" s="351" t="str">
        <f>'12U GIRLS PLATINUM-12 TEAMS'!E28&amp;""</f>
        <v>3rdA-GOLD COAST</v>
      </c>
      <c r="F493" s="353" t="str">
        <f>'12U GIRLS PLATINUM-12 TEAMS'!F28&amp;""</f>
        <v>0</v>
      </c>
      <c r="G493" s="351" t="str">
        <f>'12U GIRLS PLATINUM-12 TEAMS'!G28&amp;""</f>
        <v>3rdD-NORTH IRVINE</v>
      </c>
      <c r="H493" s="353" t="str">
        <f>'12U GIRLS PLATINUM-12 TEAMS'!H28&amp;""</f>
        <v>16</v>
      </c>
      <c r="I493" s="353" t="str">
        <f>'12U GIRLS PLATINUM-12 TEAMS'!I28&amp;""</f>
        <v>9-12 semi 3A/3D</v>
      </c>
      <c r="J493" s="353" t="str">
        <f>'12U GIRLS PLATINUM-12 TEAMS'!J28&amp;""</f>
        <v>12U_GIRLS_PLATINUM</v>
      </c>
      <c r="K493" s="353" t="str">
        <f t="shared" si="10"/>
        <v>202602010750</v>
      </c>
    </row>
    <row r="494" spans="1:11">
      <c r="A494" s="351">
        <f>'12U GIRLS PLATINUM-12 TEAMS'!A29</f>
        <v>46054</v>
      </c>
      <c r="B494" s="352">
        <f>'12U GIRLS PLATINUM-12 TEAMS'!B29</f>
        <v>0.36111111111111099</v>
      </c>
      <c r="C494" s="351" t="str">
        <f>'12U GIRLS PLATINUM-12 TEAMS'!C29&amp;""</f>
        <v>WOOLLETT FAR RIGHT</v>
      </c>
      <c r="D494" s="353" t="str">
        <f>'12U GIRLS PLATINUM-12 TEAMS'!D29&amp;""</f>
        <v>12Gpt22</v>
      </c>
      <c r="E494" s="351" t="str">
        <f>'12U GIRLS PLATINUM-12 TEAMS'!E29&amp;""</f>
        <v>3rdB-SOUTH COAST RED</v>
      </c>
      <c r="F494" s="353" t="str">
        <f>'12U GIRLS PLATINUM-12 TEAMS'!F29&amp;""</f>
        <v>12</v>
      </c>
      <c r="G494" s="351" t="str">
        <f>'12U GIRLS PLATINUM-12 TEAMS'!G29&amp;""</f>
        <v>3rdC-DAVIS</v>
      </c>
      <c r="H494" s="353" t="str">
        <f>'12U GIRLS PLATINUM-12 TEAMS'!H29&amp;""</f>
        <v>2</v>
      </c>
      <c r="I494" s="353" t="str">
        <f>'12U GIRLS PLATINUM-12 TEAMS'!I29&amp;""</f>
        <v>9-12 semi 3B/3C</v>
      </c>
      <c r="J494" s="353" t="str">
        <f>'12U GIRLS PLATINUM-12 TEAMS'!J29&amp;""</f>
        <v>12U_GIRLS_PLATINUM</v>
      </c>
      <c r="K494" s="353" t="str">
        <f t="shared" si="10"/>
        <v>202602010840</v>
      </c>
    </row>
    <row r="495" spans="1:11">
      <c r="A495" s="351">
        <f>'12U GIRLS PLATINUM-12 TEAMS'!A30</f>
        <v>46054</v>
      </c>
      <c r="B495" s="352">
        <f>'12U GIRLS PLATINUM-12 TEAMS'!B30</f>
        <v>0.39583333333333398</v>
      </c>
      <c r="C495" s="351" t="str">
        <f>'12U GIRLS PLATINUM-12 TEAMS'!C30&amp;""</f>
        <v>WOOLLETT FAR RIGHT</v>
      </c>
      <c r="D495" s="353" t="str">
        <f>'12U GIRLS PLATINUM-12 TEAMS'!D30&amp;""</f>
        <v>12Gpt16</v>
      </c>
      <c r="E495" s="351" t="str">
        <f>'12U GIRLS PLATINUM-12 TEAMS'!E30&amp;""</f>
        <v xml:space="preserve">2ndB-ORANGE COUNTY WPC BLUE	</v>
      </c>
      <c r="F495" s="353" t="str">
        <f>'12U GIRLS PLATINUM-12 TEAMS'!F30&amp;""</f>
        <v>13</v>
      </c>
      <c r="G495" s="351" t="str">
        <f>'12U GIRLS PLATINUM-12 TEAMS'!G30&amp;""</f>
        <v>2ndC-LAMORINDA B</v>
      </c>
      <c r="H495" s="353" t="str">
        <f>'12U GIRLS PLATINUM-12 TEAMS'!H30&amp;""</f>
        <v>9</v>
      </c>
      <c r="I495" s="353" t="str">
        <f>'12U GIRLS PLATINUM-12 TEAMS'!I30&amp;""</f>
        <v>5-8 semi 2B/2C</v>
      </c>
      <c r="J495" s="353" t="str">
        <f>'12U GIRLS PLATINUM-12 TEAMS'!J30&amp;""</f>
        <v>12U_GIRLS_PLATINUM</v>
      </c>
      <c r="K495" s="353" t="str">
        <f t="shared" si="10"/>
        <v>202602010930</v>
      </c>
    </row>
    <row r="496" spans="1:11">
      <c r="A496" s="351">
        <f>'12U GIRLS PLATINUM-12 TEAMS'!A31</f>
        <v>46054</v>
      </c>
      <c r="B496" s="352">
        <f>'12U GIRLS PLATINUM-12 TEAMS'!B31</f>
        <v>0.43055555555555602</v>
      </c>
      <c r="C496" s="351" t="str">
        <f>'12U GIRLS PLATINUM-12 TEAMS'!C31&amp;""</f>
        <v>WOOLLETT FAR RIGHT</v>
      </c>
      <c r="D496" s="353" t="str">
        <f>'12U GIRLS PLATINUM-12 TEAMS'!D31&amp;""</f>
        <v>12Gpt13</v>
      </c>
      <c r="E496" s="351" t="str">
        <f>'12U GIRLS PLATINUM-12 TEAMS'!E31&amp;""</f>
        <v>1stA-BACK BAY NAVY</v>
      </c>
      <c r="F496" s="353" t="str">
        <f>'12U GIRLS PLATINUM-12 TEAMS'!F31&amp;""</f>
        <v>7</v>
      </c>
      <c r="G496" s="351" t="str">
        <f>'12U GIRLS PLATINUM-12 TEAMS'!G31&amp;""</f>
        <v>1stD-SHAQ</v>
      </c>
      <c r="H496" s="353" t="str">
        <f>'12U GIRLS PLATINUM-12 TEAMS'!H31&amp;""</f>
        <v>2</v>
      </c>
      <c r="I496" s="353" t="str">
        <f>'12U GIRLS PLATINUM-12 TEAMS'!I31&amp;""</f>
        <v>1-4 semi 1A/1D</v>
      </c>
      <c r="J496" s="353" t="str">
        <f>'12U GIRLS PLATINUM-12 TEAMS'!J31&amp;""</f>
        <v>12U_GIRLS_PLATINUM</v>
      </c>
      <c r="K496" s="353" t="str">
        <f t="shared" si="10"/>
        <v>202602011020</v>
      </c>
    </row>
    <row r="497" spans="1:11">
      <c r="A497" s="351">
        <f>'12U GIRLS PLATINUM-12 TEAMS'!A32</f>
        <v>46054</v>
      </c>
      <c r="B497" s="352">
        <f>'12U GIRLS PLATINUM-12 TEAMS'!B32</f>
        <v>0.46527777777777801</v>
      </c>
      <c r="C497" s="351" t="str">
        <f>'12U GIRLS PLATINUM-12 TEAMS'!C32&amp;""</f>
        <v>WOOLLETT FAR RIGHT</v>
      </c>
      <c r="D497" s="353" t="str">
        <f>'12U GIRLS PLATINUM-12 TEAMS'!D32&amp;""</f>
        <v>12Gpt14</v>
      </c>
      <c r="E497" s="351" t="str">
        <f>'12U GIRLS PLATINUM-12 TEAMS'!E32&amp;""</f>
        <v>1stB-680 RED</v>
      </c>
      <c r="F497" s="353" t="str">
        <f>'12U GIRLS PLATINUM-12 TEAMS'!F32&amp;""</f>
        <v>4</v>
      </c>
      <c r="G497" s="351" t="str">
        <f>'12U GIRLS PLATINUM-12 TEAMS'!G32&amp;""</f>
        <v>1stC-NEWPORT BEACH</v>
      </c>
      <c r="H497" s="353" t="str">
        <f>'12U GIRLS PLATINUM-12 TEAMS'!H32&amp;""</f>
        <v>2</v>
      </c>
      <c r="I497" s="353" t="str">
        <f>'12U GIRLS PLATINUM-12 TEAMS'!I32&amp;""</f>
        <v>1-4 semi 1B/1C</v>
      </c>
      <c r="J497" s="353" t="str">
        <f>'12U GIRLS PLATINUM-12 TEAMS'!J32&amp;""</f>
        <v>12U_GIRLS_PLATINUM</v>
      </c>
      <c r="K497" s="353" t="str">
        <f t="shared" si="10"/>
        <v>202602011110</v>
      </c>
    </row>
    <row r="498" spans="1:11">
      <c r="A498" s="351">
        <f>'12U GIRLS PLATINUM-12 TEAMS'!A33</f>
        <v>46054</v>
      </c>
      <c r="B498" s="352">
        <f>'12U GIRLS PLATINUM-12 TEAMS'!B33</f>
        <v>0.5</v>
      </c>
      <c r="C498" s="351" t="str">
        <f>'12U GIRLS PLATINUM-12 TEAMS'!C33&amp;""</f>
        <v>WOOLLETT FAR RIGHT</v>
      </c>
      <c r="D498" s="353" t="str">
        <f>'12U GIRLS PLATINUM-12 TEAMS'!D33&amp;""</f>
        <v>12Gpt23</v>
      </c>
      <c r="E498" s="351" t="str">
        <f>'12U GIRLS PLATINUM-12 TEAMS'!E33&amp;""</f>
        <v>W#21-NORTH IRVINE</v>
      </c>
      <c r="F498" s="353" t="str">
        <f>'12U GIRLS PLATINUM-12 TEAMS'!F33&amp;""</f>
        <v>6</v>
      </c>
      <c r="G498" s="351" t="str">
        <f>'12U GIRLS PLATINUM-12 TEAMS'!G33&amp;""</f>
        <v>W#22-SOUTH COAST RED</v>
      </c>
      <c r="H498" s="353" t="str">
        <f>'12U GIRLS PLATINUM-12 TEAMS'!H33&amp;""</f>
        <v>10</v>
      </c>
      <c r="I498" s="353" t="str">
        <f>'12U GIRLS PLATINUM-12 TEAMS'!I33&amp;""</f>
        <v>9th</v>
      </c>
      <c r="J498" s="353" t="str">
        <f>'12U GIRLS PLATINUM-12 TEAMS'!J33&amp;""</f>
        <v>12U_GIRLS_PLATINUM</v>
      </c>
      <c r="K498" s="353" t="str">
        <f t="shared" ref="K498:K561" si="11">TEXT(DATE(2026, MONTH(A498), DAY(A498)) + TIME(HOUR(B498), MINUTE(B498), 0), "yyyymmddhhmm")</f>
        <v>202602011200</v>
      </c>
    </row>
    <row r="499" spans="1:11">
      <c r="A499" s="351">
        <f>'12U GIRLS PLATINUM-12 TEAMS'!A34</f>
        <v>46054</v>
      </c>
      <c r="B499" s="352">
        <f>'12U GIRLS PLATINUM-12 TEAMS'!B34</f>
        <v>0.53472222222222199</v>
      </c>
      <c r="C499" s="351" t="str">
        <f>'12U GIRLS PLATINUM-12 TEAMS'!C34&amp;""</f>
        <v>WOOLLETT FAR RIGHT</v>
      </c>
      <c r="D499" s="353" t="str">
        <f>'12U GIRLS PLATINUM-12 TEAMS'!D34&amp;""</f>
        <v>12Gpt19</v>
      </c>
      <c r="E499" s="351" t="str">
        <f>'12U GIRLS PLATINUM-12 TEAMS'!E34&amp;""</f>
        <v xml:space="preserve">W#15-LA JOLLA UNITED	</v>
      </c>
      <c r="F499" s="353" t="str">
        <f>'12U GIRLS PLATINUM-12 TEAMS'!F34&amp;""</f>
        <v>3</v>
      </c>
      <c r="G499" s="351" t="str">
        <f>'12U GIRLS PLATINUM-12 TEAMS'!G34&amp;""</f>
        <v xml:space="preserve">W#16-ORANGE COUNTY WPC BLUE	</v>
      </c>
      <c r="H499" s="353" t="str">
        <f>'12U GIRLS PLATINUM-12 TEAMS'!H34&amp;""</f>
        <v>13</v>
      </c>
      <c r="I499" s="353" t="str">
        <f>'12U GIRLS PLATINUM-12 TEAMS'!I34&amp;""</f>
        <v>5th</v>
      </c>
      <c r="J499" s="353" t="str">
        <f>'12U GIRLS PLATINUM-12 TEAMS'!J34&amp;""</f>
        <v>12U_GIRLS_PLATINUM</v>
      </c>
      <c r="K499" s="353" t="str">
        <f t="shared" si="11"/>
        <v>202602011250</v>
      </c>
    </row>
    <row r="500" spans="1:11">
      <c r="A500" s="351">
        <f>'12U GIRLS PLATINUM-12 TEAMS'!A35</f>
        <v>46054</v>
      </c>
      <c r="B500" s="352">
        <f>'12U GIRLS PLATINUM-12 TEAMS'!B35</f>
        <v>0.56944444444444497</v>
      </c>
      <c r="C500" s="351" t="str">
        <f>'12U GIRLS PLATINUM-12 TEAMS'!C35&amp;""</f>
        <v>WOOLLETT FAR RIGHT</v>
      </c>
      <c r="D500" s="353" t="str">
        <f>'12U GIRLS PLATINUM-12 TEAMS'!D35&amp;""</f>
        <v>12Gpt24</v>
      </c>
      <c r="E500" s="351" t="str">
        <f>'12U GIRLS PLATINUM-12 TEAMS'!E35&amp;""</f>
        <v>L#21-GOLD COAST</v>
      </c>
      <c r="F500" s="353" t="str">
        <f>'12U GIRLS PLATINUM-12 TEAMS'!F35&amp;""</f>
        <v>4</v>
      </c>
      <c r="G500" s="351" t="str">
        <f>'12U GIRLS PLATINUM-12 TEAMS'!G35&amp;""</f>
        <v>L#22-DAVIS</v>
      </c>
      <c r="H500" s="353" t="str">
        <f>'12U GIRLS PLATINUM-12 TEAMS'!H35&amp;""</f>
        <v>16</v>
      </c>
      <c r="I500" s="353" t="str">
        <f>'12U GIRLS PLATINUM-12 TEAMS'!I35&amp;""</f>
        <v>11th</v>
      </c>
      <c r="J500" s="353" t="str">
        <f>'12U GIRLS PLATINUM-12 TEAMS'!J35&amp;""</f>
        <v>12U_GIRLS_PLATINUM</v>
      </c>
      <c r="K500" s="353" t="str">
        <f t="shared" si="11"/>
        <v>202602011340</v>
      </c>
    </row>
    <row r="501" spans="1:11">
      <c r="A501" s="351">
        <f>'12U GIRLS PLATINUM-12 TEAMS'!A36</f>
        <v>46054</v>
      </c>
      <c r="B501" s="352">
        <f>'12U GIRLS PLATINUM-12 TEAMS'!B36</f>
        <v>0.60416666666666696</v>
      </c>
      <c r="C501" s="351" t="str">
        <f>'12U GIRLS PLATINUM-12 TEAMS'!C36&amp;""</f>
        <v>WOOLLETT FAR RIGHT</v>
      </c>
      <c r="D501" s="353" t="str">
        <f>'12U GIRLS PLATINUM-12 TEAMS'!D36&amp;""</f>
        <v>12Gpt20</v>
      </c>
      <c r="E501" s="351" t="str">
        <f>'12U GIRLS PLATINUM-12 TEAMS'!E36&amp;""</f>
        <v>L#15-LAMORINDA C</v>
      </c>
      <c r="F501" s="353" t="str">
        <f>'12U GIRLS PLATINUM-12 TEAMS'!F36&amp;""</f>
        <v>5</v>
      </c>
      <c r="G501" s="351" t="str">
        <f>'12U GIRLS PLATINUM-12 TEAMS'!G36&amp;""</f>
        <v>L#16-LAMORINDA B</v>
      </c>
      <c r="H501" s="353" t="str">
        <f>'12U GIRLS PLATINUM-12 TEAMS'!H36&amp;""</f>
        <v>18</v>
      </c>
      <c r="I501" s="353" t="str">
        <f>'12U GIRLS PLATINUM-12 TEAMS'!I36&amp;""</f>
        <v>7th</v>
      </c>
      <c r="J501" s="353" t="str">
        <f>'12U GIRLS PLATINUM-12 TEAMS'!J36&amp;""</f>
        <v>12U_GIRLS_PLATINUM</v>
      </c>
      <c r="K501" s="353" t="str">
        <f t="shared" si="11"/>
        <v>202602011430</v>
      </c>
    </row>
    <row r="502" spans="1:11">
      <c r="A502" s="351">
        <f>'12U GIRLS PLATINUM-12 TEAMS'!A37</f>
        <v>46054</v>
      </c>
      <c r="B502" s="352">
        <f>'12U GIRLS PLATINUM-12 TEAMS'!B37</f>
        <v>0.63888888888888895</v>
      </c>
      <c r="C502" s="351" t="str">
        <f>'12U GIRLS PLATINUM-12 TEAMS'!C37&amp;""</f>
        <v>WOOLLETT FAR RIGHT</v>
      </c>
      <c r="D502" s="353" t="str">
        <f>'12U GIRLS PLATINUM-12 TEAMS'!D37&amp;""</f>
        <v>12Gpt17</v>
      </c>
      <c r="E502" s="351" t="str">
        <f>'12U GIRLS PLATINUM-12 TEAMS'!E37&amp;""</f>
        <v>L#13-SHAQ</v>
      </c>
      <c r="F502" s="353" t="str">
        <f>'12U GIRLS PLATINUM-12 TEAMS'!F37&amp;""</f>
        <v>3</v>
      </c>
      <c r="G502" s="351" t="str">
        <f>'12U GIRLS PLATINUM-12 TEAMS'!G37&amp;""</f>
        <v>L#14-NEWPORT BEACH</v>
      </c>
      <c r="H502" s="353" t="str">
        <f>'12U GIRLS PLATINUM-12 TEAMS'!H37&amp;""</f>
        <v>2</v>
      </c>
      <c r="I502" s="353" t="str">
        <f>'12U GIRLS PLATINUM-12 TEAMS'!I37&amp;""</f>
        <v>3rd</v>
      </c>
      <c r="J502" s="353" t="str">
        <f>'12U GIRLS PLATINUM-12 TEAMS'!J37&amp;""</f>
        <v>12U_GIRLS_PLATINUM</v>
      </c>
      <c r="K502" s="353" t="str">
        <f t="shared" si="11"/>
        <v>202602011520</v>
      </c>
    </row>
    <row r="503" spans="1:11">
      <c r="A503" s="351">
        <f>'12U GIRLS PLATINUM-12 TEAMS'!A38</f>
        <v>46054</v>
      </c>
      <c r="B503" s="352">
        <f>'12U GIRLS PLATINUM-12 TEAMS'!B38</f>
        <v>0.67361111111111105</v>
      </c>
      <c r="C503" s="351" t="str">
        <f>'12U GIRLS PLATINUM-12 TEAMS'!C38&amp;""</f>
        <v>WOOLLETT FAR RIGHT</v>
      </c>
      <c r="D503" s="353" t="str">
        <f>'12U GIRLS PLATINUM-12 TEAMS'!D38&amp;""</f>
        <v>12Gpt18</v>
      </c>
      <c r="E503" s="351" t="str">
        <f>'12U GIRLS PLATINUM-12 TEAMS'!E38&amp;""</f>
        <v>W#13-BACK BAY NAVY</v>
      </c>
      <c r="F503" s="353" t="str">
        <f>'12U GIRLS PLATINUM-12 TEAMS'!F38&amp;""</f>
        <v>4</v>
      </c>
      <c r="G503" s="351" t="str">
        <f>'12U GIRLS PLATINUM-12 TEAMS'!G38&amp;""</f>
        <v>W#14-680 RED</v>
      </c>
      <c r="H503" s="353" t="str">
        <f>'12U GIRLS PLATINUM-12 TEAMS'!H38&amp;""</f>
        <v>13</v>
      </c>
      <c r="I503" s="353" t="str">
        <f>'12U GIRLS PLATINUM-12 TEAMS'!I38&amp;""</f>
        <v>1st</v>
      </c>
      <c r="J503" s="353" t="str">
        <f>'12U GIRLS PLATINUM-12 TEAMS'!J38&amp;""</f>
        <v>12U_GIRLS_PLATINUM</v>
      </c>
      <c r="K503" s="353" t="str">
        <f t="shared" si="11"/>
        <v>202602011610</v>
      </c>
    </row>
    <row r="504" spans="1:11">
      <c r="A504" s="375">
        <f>'12U COED-7 TEAMS'!A30</f>
        <v>46054</v>
      </c>
      <c r="B504" s="376">
        <f>'12U COED-7 TEAMS'!B30</f>
        <v>0.70833333333333404</v>
      </c>
      <c r="C504" s="377" t="str">
        <f>'12U COED-7 TEAMS'!C30&amp;""</f>
        <v>WOOLLETT FAR RIGHT</v>
      </c>
      <c r="D504" s="377" t="str">
        <f>'12U COED-7 TEAMS'!D30&amp;""</f>
        <v>12C15</v>
      </c>
      <c r="E504" s="377" t="str">
        <f>'12U COED-7 TEAMS'!E30&amp;""</f>
        <v>W#11-SET</v>
      </c>
      <c r="F504" s="377" t="str">
        <f>'12U COED-7 TEAMS'!F30&amp;""</f>
        <v>7</v>
      </c>
      <c r="G504" s="377" t="str">
        <f>'12U COED-7 TEAMS'!G30&amp;""</f>
        <v>W#12-YOLO BLACK</v>
      </c>
      <c r="H504" s="377" t="str">
        <f>'12U COED-7 TEAMS'!H30&amp;""</f>
        <v>21</v>
      </c>
      <c r="I504" s="377" t="str">
        <f>'12U COED-7 TEAMS'!I30&amp;""</f>
        <v>1st</v>
      </c>
      <c r="J504" s="377" t="str">
        <f>'12U COED-7 TEAMS'!J30&amp;""</f>
        <v>12U_COED</v>
      </c>
      <c r="K504" s="377" t="str">
        <f t="shared" si="11"/>
        <v>202602011700</v>
      </c>
    </row>
    <row r="505" spans="1:11">
      <c r="A505" s="375">
        <f>'12U COED-7 TEAMS'!A31</f>
        <v>46054</v>
      </c>
      <c r="B505" s="376">
        <f>'12U COED-7 TEAMS'!B31</f>
        <v>0.74305555555555602</v>
      </c>
      <c r="C505" s="377" t="str">
        <f>'12U COED-7 TEAMS'!C31&amp;""</f>
        <v>WOOLLETT FAR RIGHT</v>
      </c>
      <c r="D505" s="377" t="str">
        <f>'12U COED-7 TEAMS'!D31&amp;""</f>
        <v>12C14</v>
      </c>
      <c r="E505" s="377" t="str">
        <f>'12U COED-7 TEAMS'!E31&amp;""</f>
        <v>L#11-LA CITY UNITED</v>
      </c>
      <c r="F505" s="377" t="str">
        <f>'12U COED-7 TEAMS'!F31&amp;""</f>
        <v>15</v>
      </c>
      <c r="G505" s="377" t="str">
        <f>'12U COED-7 TEAMS'!G31&amp;""</f>
        <v>L#12-PALOS VERDES</v>
      </c>
      <c r="H505" s="377" t="str">
        <f>'12U COED-7 TEAMS'!H31&amp;""</f>
        <v>8</v>
      </c>
      <c r="I505" s="377" t="str">
        <f>'12U COED-7 TEAMS'!I31&amp;""</f>
        <v>3rd</v>
      </c>
      <c r="J505" s="377" t="str">
        <f>'12U COED-7 TEAMS'!J31&amp;""</f>
        <v>12U_COED</v>
      </c>
      <c r="K505" s="377" t="str">
        <f t="shared" si="11"/>
        <v>202602011750</v>
      </c>
    </row>
    <row r="506" spans="1:11">
      <c r="A506" s="435">
        <f>'19U BOYS PLATINUM-27 TEAMS'!A28</f>
        <v>46053</v>
      </c>
      <c r="B506" s="436">
        <f>'19U BOYS PLATINUM-27 TEAMS'!B28</f>
        <v>0.29166666666666669</v>
      </c>
      <c r="C506" s="437" t="str">
        <f>'19U BOYS PLATINUM-27 TEAMS'!C28&amp;""</f>
        <v>WOOLLETT NEAR LEFT</v>
      </c>
      <c r="D506" s="437" t="str">
        <f>'19U BOYS PLATINUM-27 TEAMS'!D28&amp;""</f>
        <v>19Bpt02</v>
      </c>
      <c r="E506" s="438" t="str">
        <f>'19U BOYS PLATINUM-27 TEAMS'!E28&amp;""</f>
        <v>8-AMERICAN RIVER BLUE</v>
      </c>
      <c r="F506" s="438" t="str">
        <f>'19U BOYS PLATINUM-27 TEAMS'!F28&amp;""</f>
        <v>15</v>
      </c>
      <c r="G506" s="438" t="str">
        <f>'19U BOYS PLATINUM-27 TEAMS'!G28&amp;""</f>
        <v>25-SUPREME</v>
      </c>
      <c r="H506" s="438" t="str">
        <f>'19U BOYS PLATINUM-27 TEAMS'!H28&amp;""</f>
        <v>8</v>
      </c>
      <c r="I506" s="437" t="str">
        <f>'19U BOYS PLATINUM-27 TEAMS'!I28&amp;""</f>
        <v>W/L D1/D4</v>
      </c>
      <c r="J506" s="438" t="str">
        <f>'19U BOYS PLATINUM-27 TEAMS'!J28&amp;""</f>
        <v>19U_BOYS_PLATINUM</v>
      </c>
      <c r="K506" s="438" t="str">
        <f t="shared" si="11"/>
        <v>202601310700</v>
      </c>
    </row>
    <row r="507" spans="1:11">
      <c r="A507" s="435">
        <f>'19U BOYS PLATINUM-27 TEAMS'!A29</f>
        <v>46053</v>
      </c>
      <c r="B507" s="436">
        <f>'19U BOYS PLATINUM-27 TEAMS'!B29</f>
        <v>0.33333333333333298</v>
      </c>
      <c r="C507" s="437" t="str">
        <f>'19U BOYS PLATINUM-27 TEAMS'!C29&amp;""</f>
        <v>WOOLLETT NEAR LEFT</v>
      </c>
      <c r="D507" s="437" t="str">
        <f>'19U BOYS PLATINUM-27 TEAMS'!D29&amp;""</f>
        <v>19Bpt14</v>
      </c>
      <c r="E507" s="439" t="str">
        <f>'19U BOYS PLATINUM-27 TEAMS'!E29&amp;""</f>
        <v>6-CHANNEL ISLANDS UNITED TEAL</v>
      </c>
      <c r="F507" s="438" t="str">
        <f>'19U BOYS PLATINUM-27 TEAMS'!F29&amp;""</f>
        <v>21</v>
      </c>
      <c r="G507" s="438" t="str">
        <f>'19U BOYS PLATINUM-27 TEAMS'!G29&amp;""</f>
        <v>27-CC UNITED BLUE</v>
      </c>
      <c r="H507" s="438" t="str">
        <f>'19U BOYS PLATINUM-27 TEAMS'!H29&amp;""</f>
        <v>5</v>
      </c>
      <c r="I507" s="437" t="str">
        <f>'19U BOYS PLATINUM-27 TEAMS'!I29&amp;""</f>
        <v>W/L G1/G4</v>
      </c>
      <c r="J507" s="438" t="str">
        <f>'19U BOYS PLATINUM-27 TEAMS'!J29&amp;""</f>
        <v>19U_BOYS_PLATINUM</v>
      </c>
      <c r="K507" s="438" t="str">
        <f t="shared" si="11"/>
        <v>202601310800</v>
      </c>
    </row>
    <row r="508" spans="1:11">
      <c r="A508" s="435">
        <f>'19U BOYS PLATINUM-27 TEAMS'!A30</f>
        <v>46053</v>
      </c>
      <c r="B508" s="436">
        <f>'19U BOYS PLATINUM-27 TEAMS'!B30</f>
        <v>0.375</v>
      </c>
      <c r="C508" s="437" t="str">
        <f>'19U BOYS PLATINUM-27 TEAMS'!C30&amp;""</f>
        <v>WOOLLETT NEAR LEFT</v>
      </c>
      <c r="D508" s="437" t="str">
        <f>'19U BOYS PLATINUM-27 TEAMS'!D30&amp;""</f>
        <v>19Bpt03</v>
      </c>
      <c r="E508" s="438" t="str">
        <f>'19U BOYS PLATINUM-27 TEAMS'!E30&amp;""</f>
        <v>9-SOUTH COAST RED (A)</v>
      </c>
      <c r="F508" s="438" t="str">
        <f>'19U BOYS PLATINUM-27 TEAMS'!F30&amp;""</f>
        <v>9.3</v>
      </c>
      <c r="G508" s="438" t="str">
        <f>'19U BOYS PLATINUM-27 TEAMS'!G30&amp;""</f>
        <v>24-SAND CANYON</v>
      </c>
      <c r="H508" s="438" t="str">
        <f>'19U BOYS PLATINUM-27 TEAMS'!H30&amp;""</f>
        <v>9.4</v>
      </c>
      <c r="I508" s="437" t="str">
        <f>'19U BOYS PLATINUM-27 TEAMS'!I30&amp;""</f>
        <v>W/L D2/D3</v>
      </c>
      <c r="J508" s="438" t="str">
        <f>'19U BOYS PLATINUM-27 TEAMS'!J30&amp;""</f>
        <v>19U_BOYS_PLATINUM</v>
      </c>
      <c r="K508" s="438" t="str">
        <f t="shared" si="11"/>
        <v>202601310900</v>
      </c>
    </row>
    <row r="509" spans="1:11">
      <c r="A509" s="435">
        <f>'19U BOYS PLATINUM-27 TEAMS'!A31</f>
        <v>46053</v>
      </c>
      <c r="B509" s="436">
        <f>'19U BOYS PLATINUM-27 TEAMS'!B31</f>
        <v>0.41666666666666702</v>
      </c>
      <c r="C509" s="437" t="str">
        <f>'19U BOYS PLATINUM-27 TEAMS'!C31&amp;""</f>
        <v>WOOLLETT NEAR LEFT</v>
      </c>
      <c r="D509" s="437" t="str">
        <f>'19U BOYS PLATINUM-27 TEAMS'!D31&amp;""</f>
        <v>19Bpt04</v>
      </c>
      <c r="E509" s="438" t="str">
        <f>'19U BOYS PLATINUM-27 TEAMS'!E31&amp;""</f>
        <v>A2(16)-POWAY VALLEY BLACK</v>
      </c>
      <c r="F509" s="438" t="str">
        <f>'19U BOYS PLATINUM-27 TEAMS'!F31&amp;""</f>
        <v>14</v>
      </c>
      <c r="G509" s="438" t="str">
        <f>'19U BOYS PLATINUM-27 TEAMS'!G31&amp;""</f>
        <v>A3(17)-LV LEGENDS</v>
      </c>
      <c r="H509" s="438" t="str">
        <f>'19U BOYS PLATINUM-27 TEAMS'!H31&amp;""</f>
        <v>7</v>
      </c>
      <c r="I509" s="437" t="str">
        <f>'19U BOYS PLATINUM-27 TEAMS'!I31&amp;""</f>
        <v>A bracket A2,A3</v>
      </c>
      <c r="J509" s="438" t="str">
        <f>'19U BOYS PLATINUM-27 TEAMS'!J31&amp;""</f>
        <v>19U_BOYS_PLATINUM</v>
      </c>
      <c r="K509" s="438" t="str">
        <f t="shared" si="11"/>
        <v>202601311000</v>
      </c>
    </row>
    <row r="510" spans="1:11">
      <c r="A510" s="435">
        <f>'19U BOYS PLATINUM-27 TEAMS'!A32</f>
        <v>46053</v>
      </c>
      <c r="B510" s="436">
        <f>'19U BOYS PLATINUM-27 TEAMS'!B32</f>
        <v>0.45833333333333298</v>
      </c>
      <c r="C510" s="437" t="str">
        <f>'19U BOYS PLATINUM-27 TEAMS'!C32&amp;""</f>
        <v>WOOLLETT NEAR LEFT</v>
      </c>
      <c r="D510" s="437" t="str">
        <f>'19U BOYS PLATINUM-27 TEAMS'!D32&amp;""</f>
        <v>19Bpt08</v>
      </c>
      <c r="E510" s="438" t="str">
        <f>'19U BOYS PLATINUM-27 TEAMS'!E32&amp;""</f>
        <v>B1(4)-SD SHORES BLACK</v>
      </c>
      <c r="F510" s="438" t="str">
        <f>'19U BOYS PLATINUM-27 TEAMS'!F32&amp;""</f>
        <v>9</v>
      </c>
      <c r="G510" s="438" t="str">
        <f>'19U BOYS PLATINUM-27 TEAMS'!G32&amp;""</f>
        <v>B3(20)-BERKELEY WPC</v>
      </c>
      <c r="H510" s="438" t="str">
        <f>'19U BOYS PLATINUM-27 TEAMS'!H32&amp;""</f>
        <v>10</v>
      </c>
      <c r="I510" s="437" t="str">
        <f>'19U BOYS PLATINUM-27 TEAMS'!I32&amp;""</f>
        <v>B bracket B1,B3</v>
      </c>
      <c r="J510" s="438" t="str">
        <f>'19U BOYS PLATINUM-27 TEAMS'!J32&amp;""</f>
        <v>19U_BOYS_PLATINUM</v>
      </c>
      <c r="K510" s="438" t="str">
        <f t="shared" si="11"/>
        <v>202601311100</v>
      </c>
    </row>
    <row r="511" spans="1:11">
      <c r="A511" s="435">
        <f>'19U BOYS PLATINUM-27 TEAMS'!A33</f>
        <v>46053</v>
      </c>
      <c r="B511" s="436">
        <f>'19U BOYS PLATINUM-27 TEAMS'!B33</f>
        <v>0.5</v>
      </c>
      <c r="C511" s="437" t="str">
        <f>'19U BOYS PLATINUM-27 TEAMS'!C33&amp;""</f>
        <v>WOOLLETT NEAR LEFT</v>
      </c>
      <c r="D511" s="437" t="str">
        <f>'19U BOYS PLATINUM-27 TEAMS'!D33&amp;""</f>
        <v>19Bpt09</v>
      </c>
      <c r="E511" s="438" t="str">
        <f>'19U BOYS PLATINUM-27 TEAMS'!E33&amp;""</f>
        <v>C1(5)-LA JOLLA UNITED NAVY</v>
      </c>
      <c r="F511" s="438" t="str">
        <f>'19U BOYS PLATINUM-27 TEAMS'!F33&amp;""</f>
        <v>13</v>
      </c>
      <c r="G511" s="438" t="str">
        <f>'19U BOYS PLATINUM-27 TEAMS'!G33&amp;""</f>
        <v>C3(21)-NORTH IRVINE BLACK</v>
      </c>
      <c r="H511" s="438" t="str">
        <f>'19U BOYS PLATINUM-27 TEAMS'!H33&amp;""</f>
        <v>7</v>
      </c>
      <c r="I511" s="437" t="str">
        <f>'19U BOYS PLATINUM-27 TEAMS'!I33&amp;""</f>
        <v>C bracket C1,C3</v>
      </c>
      <c r="J511" s="438" t="str">
        <f>'19U BOYS PLATINUM-27 TEAMS'!J33&amp;""</f>
        <v>19U_BOYS_PLATINUM</v>
      </c>
      <c r="K511" s="438" t="str">
        <f t="shared" si="11"/>
        <v>202601311200</v>
      </c>
    </row>
    <row r="512" spans="1:11">
      <c r="A512" s="435">
        <f>'19U BOYS PLATINUM-27 TEAMS'!A34</f>
        <v>46053</v>
      </c>
      <c r="B512" s="436">
        <f>'19U BOYS PLATINUM-27 TEAMS'!B34</f>
        <v>0.54166666666666696</v>
      </c>
      <c r="C512" s="437" t="str">
        <f>'19U BOYS PLATINUM-27 TEAMS'!C34&amp;""</f>
        <v>WOOLLETT NEAR LEFT</v>
      </c>
      <c r="D512" s="437" t="str">
        <f>'19U BOYS PLATINUM-27 TEAMS'!D34&amp;""</f>
        <v>19Bpt05</v>
      </c>
      <c r="E512" s="438" t="str">
        <f>'19U BOYS PLATINUM-27 TEAMS'!E34&amp;""</f>
        <v>L#2-SUPREME</v>
      </c>
      <c r="F512" s="438" t="str">
        <f>'19U BOYS PLATINUM-27 TEAMS'!F34&amp;""</f>
        <v>8</v>
      </c>
      <c r="G512" s="438" t="str">
        <f>'19U BOYS PLATINUM-27 TEAMS'!G34&amp;""</f>
        <v>L#3-SOUTH COAST RED (A)</v>
      </c>
      <c r="H512" s="438" t="str">
        <f>'19U BOYS PLATINUM-27 TEAMS'!H34&amp;""</f>
        <v>12</v>
      </c>
      <c r="I512" s="437" t="str">
        <f>'19U BOYS PLATINUM-27 TEAMS'!I34&amp;""</f>
        <v>3rd/4th D</v>
      </c>
      <c r="J512" s="438" t="str">
        <f>'19U BOYS PLATINUM-27 TEAMS'!J34&amp;""</f>
        <v>19U_BOYS_PLATINUM</v>
      </c>
      <c r="K512" s="438" t="str">
        <f t="shared" si="11"/>
        <v>202601311300</v>
      </c>
    </row>
    <row r="513" spans="1:11">
      <c r="A513" s="435">
        <f>'19U BOYS PLATINUM-27 TEAMS'!A35</f>
        <v>46053</v>
      </c>
      <c r="B513" s="436">
        <f>'19U BOYS PLATINUM-27 TEAMS'!B35</f>
        <v>0.58333333333333304</v>
      </c>
      <c r="C513" s="437" t="str">
        <f>'19U BOYS PLATINUM-27 TEAMS'!C35&amp;""</f>
        <v>WOOLLETT NEAR LEFT</v>
      </c>
      <c r="D513" s="437" t="str">
        <f>'19U BOYS PLATINUM-27 TEAMS'!D35&amp;""</f>
        <v>19Bpt06</v>
      </c>
      <c r="E513" s="438" t="str">
        <f>'19U BOYS PLATINUM-27 TEAMS'!E35&amp;""</f>
        <v>W#2-AMERICAN RIVER BLUE</v>
      </c>
      <c r="F513" s="438" t="str">
        <f>'19U BOYS PLATINUM-27 TEAMS'!F35&amp;""</f>
        <v>11.4</v>
      </c>
      <c r="G513" s="438" t="str">
        <f>'19U BOYS PLATINUM-27 TEAMS'!G35&amp;""</f>
        <v>W#3-SAND CANYON</v>
      </c>
      <c r="H513" s="438" t="str">
        <f>'19U BOYS PLATINUM-27 TEAMS'!H35&amp;""</f>
        <v>11.3</v>
      </c>
      <c r="I513" s="437" t="str">
        <f>'19U BOYS PLATINUM-27 TEAMS'!I35&amp;""</f>
        <v>1st/2nd D</v>
      </c>
      <c r="J513" s="438" t="str">
        <f>'19U BOYS PLATINUM-27 TEAMS'!J35&amp;""</f>
        <v>19U_BOYS_PLATINUM</v>
      </c>
      <c r="K513" s="438" t="str">
        <f t="shared" si="11"/>
        <v>202601311400</v>
      </c>
    </row>
    <row r="514" spans="1:11">
      <c r="A514" s="435">
        <f>'19U BOYS PLATINUM-27 TEAMS'!A36</f>
        <v>46053</v>
      </c>
      <c r="B514" s="436">
        <f>'19U BOYS PLATINUM-27 TEAMS'!B36</f>
        <v>0.625</v>
      </c>
      <c r="C514" s="437" t="str">
        <f>'19U BOYS PLATINUM-27 TEAMS'!C36&amp;""</f>
        <v>WOOLLETT NEAR LEFT</v>
      </c>
      <c r="D514" s="437" t="str">
        <f>'19U BOYS PLATINUM-27 TEAMS'!D36&amp;""</f>
        <v>19Bpt10</v>
      </c>
      <c r="E514" s="438" t="str">
        <f>'19U BOYS PLATINUM-27 TEAMS'!E36&amp;""</f>
        <v>B2(13)-IMPERIAL BLUE</v>
      </c>
      <c r="F514" s="438" t="str">
        <f>'19U BOYS PLATINUM-27 TEAMS'!F36&amp;""</f>
        <v>11.8</v>
      </c>
      <c r="G514" s="438" t="str">
        <f>'19U BOYS PLATINUM-27 TEAMS'!G36&amp;""</f>
        <v>B3(20)-BERKELEY WPC</v>
      </c>
      <c r="H514" s="438" t="str">
        <f>'19U BOYS PLATINUM-27 TEAMS'!H36&amp;""</f>
        <v>11.7</v>
      </c>
      <c r="I514" s="437" t="str">
        <f>'19U BOYS PLATINUM-27 TEAMS'!I36&amp;""</f>
        <v>B bracket B2,B3</v>
      </c>
      <c r="J514" s="438" t="str">
        <f>'19U BOYS PLATINUM-27 TEAMS'!J36&amp;""</f>
        <v>19U_BOYS_PLATINUM</v>
      </c>
      <c r="K514" s="438" t="str">
        <f t="shared" si="11"/>
        <v>202601311500</v>
      </c>
    </row>
    <row r="515" spans="1:11">
      <c r="A515" s="435">
        <f>'19U BOYS PLATINUM-27 TEAMS'!A37</f>
        <v>46053</v>
      </c>
      <c r="B515" s="436">
        <f>'19U BOYS PLATINUM-27 TEAMS'!B37</f>
        <v>0.66666666666666696</v>
      </c>
      <c r="C515" s="437" t="str">
        <f>'19U BOYS PLATINUM-27 TEAMS'!C37&amp;""</f>
        <v>WOOLLETT NEAR LEFT</v>
      </c>
      <c r="D515" s="437" t="str">
        <f>'19U BOYS PLATINUM-27 TEAMS'!D37&amp;""</f>
        <v>19Bpt11</v>
      </c>
      <c r="E515" s="438" t="str">
        <f>'19U BOYS PLATINUM-27 TEAMS'!E37&amp;""</f>
        <v>C1(5)-LA JOLLA UNITED NAVY</v>
      </c>
      <c r="F515" s="438" t="str">
        <f>'19U BOYS PLATINUM-27 TEAMS'!F37&amp;""</f>
        <v>12</v>
      </c>
      <c r="G515" s="438" t="str">
        <f>'19U BOYS PLATINUM-27 TEAMS'!G37&amp;""</f>
        <v>C2(12)-SANTA CRUZ</v>
      </c>
      <c r="H515" s="438" t="str">
        <f>'19U BOYS PLATINUM-27 TEAMS'!H37&amp;""</f>
        <v>3</v>
      </c>
      <c r="I515" s="437" t="str">
        <f>'19U BOYS PLATINUM-27 TEAMS'!I37&amp;""</f>
        <v>C bracket C1,C2</v>
      </c>
      <c r="J515" s="438" t="str">
        <f>'19U BOYS PLATINUM-27 TEAMS'!J37&amp;""</f>
        <v>19U_BOYS_PLATINUM</v>
      </c>
      <c r="K515" s="438" t="str">
        <f t="shared" si="11"/>
        <v>202601311600</v>
      </c>
    </row>
    <row r="516" spans="1:11">
      <c r="A516" s="435">
        <f>'19U BOYS PLATINUM-27 TEAMS'!A38</f>
        <v>46053</v>
      </c>
      <c r="B516" s="436">
        <f>'19U BOYS PLATINUM-27 TEAMS'!B38</f>
        <v>0.70833333333333304</v>
      </c>
      <c r="C516" s="437" t="str">
        <f>'19U BOYS PLATINUM-27 TEAMS'!C38&amp;""</f>
        <v>WOOLLETT NEAR LEFT</v>
      </c>
      <c r="D516" s="437" t="str">
        <f>'19U BOYS PLATINUM-27 TEAMS'!D38&amp;""</f>
        <v>19Bpt07</v>
      </c>
      <c r="E516" s="438" t="str">
        <f>'19U BOYS PLATINUM-27 TEAMS'!E38&amp;""</f>
        <v>A1(1)-CC UNITED BLACK</v>
      </c>
      <c r="F516" s="438" t="str">
        <f>'19U BOYS PLATINUM-27 TEAMS'!F38&amp;""</f>
        <v>21</v>
      </c>
      <c r="G516" s="438" t="str">
        <f>'19U BOYS PLATINUM-27 TEAMS'!G38&amp;""</f>
        <v>A2(16)-POWAY VALLEY BLACK</v>
      </c>
      <c r="H516" s="438" t="str">
        <f>'19U BOYS PLATINUM-27 TEAMS'!H38&amp;""</f>
        <v>14</v>
      </c>
      <c r="I516" s="437" t="str">
        <f>'19U BOYS PLATINUM-27 TEAMS'!I38&amp;""</f>
        <v>A bracket A1,A2</v>
      </c>
      <c r="J516" s="438" t="str">
        <f>'19U BOYS PLATINUM-27 TEAMS'!J38&amp;""</f>
        <v>19U_BOYS_PLATINUM</v>
      </c>
      <c r="K516" s="438" t="str">
        <f t="shared" si="11"/>
        <v>202601311700</v>
      </c>
    </row>
    <row r="517" spans="1:11">
      <c r="A517" s="435">
        <f>'19U BOYS PLATINUM-27 TEAMS'!A39</f>
        <v>46053</v>
      </c>
      <c r="B517" s="436">
        <f>'19U BOYS PLATINUM-27 TEAMS'!B39</f>
        <v>0.75</v>
      </c>
      <c r="C517" s="437" t="str">
        <f>'19U BOYS PLATINUM-27 TEAMS'!C39&amp;""</f>
        <v>WOOLLETT NEAR LEFT</v>
      </c>
      <c r="D517" s="437" t="str">
        <f>'19U BOYS PLATINUM-27 TEAMS'!D39&amp;""</f>
        <v>19Bpt12</v>
      </c>
      <c r="E517" s="438" t="str">
        <f>'19U BOYS PLATINUM-27 TEAMS'!E39&amp;""</f>
        <v>B1(4)-SD SHORES BLACK</v>
      </c>
      <c r="F517" s="438" t="str">
        <f>'19U BOYS PLATINUM-27 TEAMS'!F39&amp;""</f>
        <v>12</v>
      </c>
      <c r="G517" s="438" t="str">
        <f>'19U BOYS PLATINUM-27 TEAMS'!G39&amp;""</f>
        <v>B2(13)-IMPERIAL BLUE</v>
      </c>
      <c r="H517" s="438" t="str">
        <f>'19U BOYS PLATINUM-27 TEAMS'!H39&amp;""</f>
        <v>11</v>
      </c>
      <c r="I517" s="437" t="str">
        <f>'19U BOYS PLATINUM-27 TEAMS'!I39&amp;""</f>
        <v>B bracket B1,B2</v>
      </c>
      <c r="J517" s="438" t="str">
        <f>'19U BOYS PLATINUM-27 TEAMS'!J39&amp;""</f>
        <v>19U_BOYS_PLATINUM</v>
      </c>
      <c r="K517" s="438" t="str">
        <f t="shared" si="11"/>
        <v>202601311800</v>
      </c>
    </row>
    <row r="518" spans="1:11">
      <c r="A518" s="435">
        <f>'19U BOYS PLATINUM-27 TEAMS'!A40</f>
        <v>46053</v>
      </c>
      <c r="B518" s="436">
        <f>'19U BOYS PLATINUM-27 TEAMS'!B40</f>
        <v>0.79166666666666696</v>
      </c>
      <c r="C518" s="437" t="str">
        <f>'19U BOYS PLATINUM-27 TEAMS'!C40&amp;""</f>
        <v>WOOLLETT NEAR LEFT</v>
      </c>
      <c r="D518" s="437" t="str">
        <f>'19U BOYS PLATINUM-27 TEAMS'!D40&amp;""</f>
        <v>19Bpt13</v>
      </c>
      <c r="E518" s="438" t="str">
        <f>'19U BOYS PLATINUM-27 TEAMS'!E40&amp;""</f>
        <v>C2(12)-SANTA CRUZ</v>
      </c>
      <c r="F518" s="438" t="str">
        <f>'19U BOYS PLATINUM-27 TEAMS'!F40&amp;""</f>
        <v>11</v>
      </c>
      <c r="G518" s="438" t="str">
        <f>'19U BOYS PLATINUM-27 TEAMS'!G40&amp;""</f>
        <v>C3(21)-NORTH IRVINE BLACK</v>
      </c>
      <c r="H518" s="438" t="str">
        <f>'19U BOYS PLATINUM-27 TEAMS'!H40&amp;""</f>
        <v>9</v>
      </c>
      <c r="I518" s="437" t="str">
        <f>'19U BOYS PLATINUM-27 TEAMS'!I40&amp;""</f>
        <v>C bracket C2,C3</v>
      </c>
      <c r="J518" s="438" t="str">
        <f>'19U BOYS PLATINUM-27 TEAMS'!J40&amp;""</f>
        <v>19U_BOYS_PLATINUM</v>
      </c>
      <c r="K518" s="438" t="str">
        <f t="shared" si="11"/>
        <v>202601311900</v>
      </c>
    </row>
    <row r="519" spans="1:11">
      <c r="A519" s="435">
        <f>'19U BOYS PLATINUM-27 TEAMS'!A59</f>
        <v>46054</v>
      </c>
      <c r="B519" s="436">
        <f>'19U BOYS PLATINUM-27 TEAMS'!B59</f>
        <v>0.29166666666666669</v>
      </c>
      <c r="C519" s="437" t="str">
        <f>'19U BOYS PLATINUM-27 TEAMS'!C59&amp;""</f>
        <v>WOOLLETT NEAR LEFT</v>
      </c>
      <c r="D519" s="437" t="str">
        <f>'19U BOYS PLATINUM-27 TEAMS'!D59&amp;""</f>
        <v>19Bpt39</v>
      </c>
      <c r="E519" s="438" t="str">
        <f>'19U BOYS PLATINUM-27 TEAMS'!E59&amp;""</f>
        <v>O2(3rdC)-NORTH IRVINE BLACK</v>
      </c>
      <c r="F519" s="438" t="str">
        <f>'19U BOYS PLATINUM-27 TEAMS'!F59&amp;""</f>
        <v>16</v>
      </c>
      <c r="G519" s="438" t="str">
        <f>'19U BOYS PLATINUM-27 TEAMS'!G59&amp;""</f>
        <v>O2(3rdD)-SOUTH COAST RED (A)</v>
      </c>
      <c r="H519" s="438" t="str">
        <f>'19U BOYS PLATINUM-27 TEAMS'!H59&amp;""</f>
        <v>9</v>
      </c>
      <c r="I519" s="437" t="str">
        <f>'19U BOYS PLATINUM-27 TEAMS'!I59&amp;""</f>
        <v>W/L O</v>
      </c>
      <c r="J519" s="438" t="str">
        <f>'19U BOYS PLATINUM-27 TEAMS'!J59&amp;""</f>
        <v>19U_BOYS_PLATINUM</v>
      </c>
      <c r="K519" s="438" t="str">
        <f t="shared" si="11"/>
        <v>202602010700</v>
      </c>
    </row>
    <row r="520" spans="1:11">
      <c r="A520" s="435">
        <f>'19U BOYS PLATINUM-27 TEAMS'!A60</f>
        <v>46054</v>
      </c>
      <c r="B520" s="436">
        <f>'19U BOYS PLATINUM-27 TEAMS'!B60</f>
        <v>0.33333333333333298</v>
      </c>
      <c r="C520" s="437" t="str">
        <f>'19U BOYS PLATINUM-27 TEAMS'!C60&amp;""</f>
        <v>WOOLLETT NEAR LEFT</v>
      </c>
      <c r="D520" s="437" t="str">
        <f>'19U BOYS PLATINUM-27 TEAMS'!D60&amp;""</f>
        <v>19Bpt28</v>
      </c>
      <c r="E520" s="438" t="str">
        <f>'19U BOYS PLATINUM-27 TEAMS'!E60&amp;""</f>
        <v>J1(1stA)-CC UNITED BLACK</v>
      </c>
      <c r="F520" s="438" t="str">
        <f>'19U BOYS PLATINUM-27 TEAMS'!F60&amp;""</f>
        <v>12</v>
      </c>
      <c r="G520" s="438" t="str">
        <f>'19U BOYS PLATINUM-27 TEAMS'!G60&amp;""</f>
        <v>J4(1stD)-AMERICAN RIVER BLUE</v>
      </c>
      <c r="H520" s="438" t="str">
        <f>'19U BOYS PLATINUM-27 TEAMS'!H60&amp;""</f>
        <v>6</v>
      </c>
      <c r="I520" s="437" t="str">
        <f>'19U BOYS PLATINUM-27 TEAMS'!I60&amp;""</f>
        <v>1st-8th</v>
      </c>
      <c r="J520" s="438" t="str">
        <f>'19U BOYS PLATINUM-27 TEAMS'!J60&amp;""</f>
        <v>19U_BOYS_PLATINUM</v>
      </c>
      <c r="K520" s="438" t="str">
        <f t="shared" si="11"/>
        <v>202602010800</v>
      </c>
    </row>
    <row r="521" spans="1:11">
      <c r="A521" s="435">
        <f>'19U BOYS PLATINUM-27 TEAMS'!A61</f>
        <v>46054</v>
      </c>
      <c r="B521" s="436">
        <f>'19U BOYS PLATINUM-27 TEAMS'!B61</f>
        <v>0.375</v>
      </c>
      <c r="C521" s="437" t="str">
        <f>'19U BOYS PLATINUM-27 TEAMS'!C61&amp;""</f>
        <v>WOOLLETT NEAR LEFT</v>
      </c>
      <c r="D521" s="437" t="str">
        <f>'19U BOYS PLATINUM-27 TEAMS'!D61&amp;""</f>
        <v>19Bpt29</v>
      </c>
      <c r="E521" s="438" t="str">
        <f>'19U BOYS PLATINUM-27 TEAMS'!E61&amp;""</f>
        <v>J2(1stB)-BERKELEY WPC</v>
      </c>
      <c r="F521" s="438" t="str">
        <f>'19U BOYS PLATINUM-27 TEAMS'!F61&amp;""</f>
        <v>8</v>
      </c>
      <c r="G521" s="438" t="str">
        <f>'19U BOYS PLATINUM-27 TEAMS'!G61&amp;""</f>
        <v>J3(1stC)-LA JOLLA UNITED NAVY</v>
      </c>
      <c r="H521" s="438" t="str">
        <f>'19U BOYS PLATINUM-27 TEAMS'!H61&amp;""</f>
        <v>15</v>
      </c>
      <c r="I521" s="437" t="str">
        <f>'19U BOYS PLATINUM-27 TEAMS'!I61&amp;""</f>
        <v>1st-8th</v>
      </c>
      <c r="J521" s="438" t="str">
        <f>'19U BOYS PLATINUM-27 TEAMS'!J61&amp;""</f>
        <v>19U_BOYS_PLATINUM</v>
      </c>
      <c r="K521" s="438" t="str">
        <f t="shared" si="11"/>
        <v>202602010900</v>
      </c>
    </row>
    <row r="522" spans="1:11">
      <c r="A522" s="435">
        <f>'19U BOYS PLATINUM-27 TEAMS'!A62</f>
        <v>46054</v>
      </c>
      <c r="B522" s="436">
        <f>'19U BOYS PLATINUM-27 TEAMS'!B62</f>
        <v>0.41666666666666702</v>
      </c>
      <c r="C522" s="437" t="str">
        <f>'19U BOYS PLATINUM-27 TEAMS'!C62&amp;""</f>
        <v>WOOLLETT NEAR LEFT</v>
      </c>
      <c r="D522" s="437" t="str">
        <f>'19U BOYS PLATINUM-27 TEAMS'!D62&amp;""</f>
        <v>19Bpt30</v>
      </c>
      <c r="E522" s="438" t="str">
        <f>'19U BOYS PLATINUM-27 TEAMS'!E62&amp;""</f>
        <v>K1(1stE)-LAMORINDA A</v>
      </c>
      <c r="F522" s="438" t="str">
        <f>'19U BOYS PLATINUM-27 TEAMS'!F62&amp;""</f>
        <v>15</v>
      </c>
      <c r="G522" s="438" t="str">
        <f>'19U BOYS PLATINUM-27 TEAMS'!G62&amp;""</f>
        <v>K4(1stH)-RIVERSIDE</v>
      </c>
      <c r="H522" s="438" t="str">
        <f>'19U BOYS PLATINUM-27 TEAMS'!H62&amp;""</f>
        <v>11</v>
      </c>
      <c r="I522" s="437" t="str">
        <f>'19U BOYS PLATINUM-27 TEAMS'!I62&amp;""</f>
        <v>1st-8th</v>
      </c>
      <c r="J522" s="438" t="str">
        <f>'19U BOYS PLATINUM-27 TEAMS'!J62&amp;""</f>
        <v>19U_BOYS_PLATINUM</v>
      </c>
      <c r="K522" s="438" t="str">
        <f t="shared" si="11"/>
        <v>202602011000</v>
      </c>
    </row>
    <row r="523" spans="1:11">
      <c r="A523" s="435">
        <f>'19U BOYS PLATINUM-27 TEAMS'!A63</f>
        <v>46054</v>
      </c>
      <c r="B523" s="436">
        <f>'19U BOYS PLATINUM-27 TEAMS'!B63</f>
        <v>0.45833333333333298</v>
      </c>
      <c r="C523" s="437" t="str">
        <f>'19U BOYS PLATINUM-27 TEAMS'!C63&amp;""</f>
        <v>WOOLLETT NEAR LEFT</v>
      </c>
      <c r="D523" s="437" t="str">
        <f>'19U BOYS PLATINUM-27 TEAMS'!D63&amp;""</f>
        <v>19Bpt31</v>
      </c>
      <c r="E523" s="438" t="str">
        <f>'19U BOYS PLATINUM-27 TEAMS'!E63&amp;""</f>
        <v>K2(1stF)-FOOTHILL RED</v>
      </c>
      <c r="F523" s="438" t="str">
        <f>'19U BOYS PLATINUM-27 TEAMS'!F63&amp;""</f>
        <v>7</v>
      </c>
      <c r="G523" s="438" t="str">
        <f>'19U BOYS PLATINUM-27 TEAMS'!G63&amp;""</f>
        <v>K3(1stG)-CHANNEL ISLANDS UNITED TEAL</v>
      </c>
      <c r="H523" s="438" t="str">
        <f>'19U BOYS PLATINUM-27 TEAMS'!H63&amp;""</f>
        <v>15</v>
      </c>
      <c r="I523" s="437" t="str">
        <f>'19U BOYS PLATINUM-27 TEAMS'!I63&amp;""</f>
        <v>1st-8th</v>
      </c>
      <c r="J523" s="438" t="str">
        <f>'19U BOYS PLATINUM-27 TEAMS'!J63&amp;""</f>
        <v>19U_BOYS_PLATINUM</v>
      </c>
      <c r="K523" s="438" t="str">
        <f t="shared" si="11"/>
        <v>202602011100</v>
      </c>
    </row>
    <row r="524" spans="1:11">
      <c r="A524" s="435">
        <f>'19U BOYS PLATINUM-27 TEAMS'!A64</f>
        <v>46054</v>
      </c>
      <c r="B524" s="436">
        <f>'19U BOYS PLATINUM-27 TEAMS'!B64</f>
        <v>0.5</v>
      </c>
      <c r="C524" s="437" t="str">
        <f>'19U BOYS PLATINUM-27 TEAMS'!C64&amp;""</f>
        <v>WOOLLETT NEAR LEFT</v>
      </c>
      <c r="D524" s="437" t="str">
        <f>'19U BOYS PLATINUM-27 TEAMS'!D64&amp;""</f>
        <v>19Bpt32</v>
      </c>
      <c r="E524" s="438" t="str">
        <f>'19U BOYS PLATINUM-27 TEAMS'!E64&amp;""</f>
        <v>W#28-CC UNITED BLACK</v>
      </c>
      <c r="F524" s="438" t="str">
        <f>'19U BOYS PLATINUM-27 TEAMS'!F64&amp;""</f>
        <v>14</v>
      </c>
      <c r="G524" s="438" t="str">
        <f>'19U BOYS PLATINUM-27 TEAMS'!G64&amp;""</f>
        <v>W#29-LA JOLLA UNITED NAVY</v>
      </c>
      <c r="H524" s="438" t="str">
        <f>'19U BOYS PLATINUM-27 TEAMS'!H64&amp;""</f>
        <v>10</v>
      </c>
      <c r="I524" s="437" t="str">
        <f>'19U BOYS PLATINUM-27 TEAMS'!I64&amp;""</f>
        <v>1st/2ndJ</v>
      </c>
      <c r="J524" s="438" t="str">
        <f>'19U BOYS PLATINUM-27 TEAMS'!J64&amp;""</f>
        <v>19U_BOYS_PLATINUM</v>
      </c>
      <c r="K524" s="438" t="str">
        <f t="shared" si="11"/>
        <v>202602011200</v>
      </c>
    </row>
    <row r="525" spans="1:11">
      <c r="A525" s="435">
        <f>'19U BOYS PLATINUM-27 TEAMS'!A65</f>
        <v>46054</v>
      </c>
      <c r="B525" s="436">
        <f>'19U BOYS PLATINUM-27 TEAMS'!B65</f>
        <v>0.54166666666666696</v>
      </c>
      <c r="C525" s="437" t="str">
        <f>'19U BOYS PLATINUM-27 TEAMS'!C65&amp;""</f>
        <v>WOOLLETT NEAR LEFT</v>
      </c>
      <c r="D525" s="437" t="str">
        <f>'19U BOYS PLATINUM-27 TEAMS'!D65&amp;""</f>
        <v>19Bpt33</v>
      </c>
      <c r="E525" s="438" t="str">
        <f>'19U BOYS PLATINUM-27 TEAMS'!E65&amp;""</f>
        <v>W#30-LAMORINDA A</v>
      </c>
      <c r="F525" s="438" t="str">
        <f>'19U BOYS PLATINUM-27 TEAMS'!F65&amp;""</f>
        <v>9</v>
      </c>
      <c r="G525" s="438" t="str">
        <f>'19U BOYS PLATINUM-27 TEAMS'!G65&amp;""</f>
        <v>W#31-CHANNEL ISLANDS UNITED TEAL</v>
      </c>
      <c r="H525" s="438" t="str">
        <f>'19U BOYS PLATINUM-27 TEAMS'!H65&amp;""</f>
        <v>8</v>
      </c>
      <c r="I525" s="437" t="str">
        <f>'19U BOYS PLATINUM-27 TEAMS'!I65&amp;""</f>
        <v>1st/2ndK</v>
      </c>
      <c r="J525" s="438" t="str">
        <f>'19U BOYS PLATINUM-27 TEAMS'!J65&amp;""</f>
        <v>19U_BOYS_PLATINUM</v>
      </c>
      <c r="K525" s="438" t="str">
        <f t="shared" si="11"/>
        <v>202602011300</v>
      </c>
    </row>
    <row r="526" spans="1:11">
      <c r="A526" s="435">
        <f>'19U BOYS PLATINUM-27 TEAMS'!A66</f>
        <v>46054</v>
      </c>
      <c r="B526" s="436">
        <f>'19U BOYS PLATINUM-27 TEAMS'!B66</f>
        <v>0.58333333333333304</v>
      </c>
      <c r="C526" s="437" t="str">
        <f>'19U BOYS PLATINUM-27 TEAMS'!C66&amp;""</f>
        <v>WOOLLETT NEAR LEFT</v>
      </c>
      <c r="D526" s="437" t="str">
        <f>'19U BOYS PLATINUM-27 TEAMS'!D66&amp;""</f>
        <v>19Bpt34</v>
      </c>
      <c r="E526" s="438" t="str">
        <f>'19U BOYS PLATINUM-27 TEAMS'!E66&amp;""</f>
        <v>L#28-AMERICAN RIVER BLUE</v>
      </c>
      <c r="F526" s="438" t="str">
        <f>'19U BOYS PLATINUM-27 TEAMS'!F66&amp;""</f>
        <v>11</v>
      </c>
      <c r="G526" s="438" t="str">
        <f>'19U BOYS PLATINUM-27 TEAMS'!G66&amp;""</f>
        <v>L#29-BERKELEY WPC</v>
      </c>
      <c r="H526" s="438" t="str">
        <f>'19U BOYS PLATINUM-27 TEAMS'!H66&amp;""</f>
        <v>15</v>
      </c>
      <c r="I526" s="437" t="str">
        <f>'19U BOYS PLATINUM-27 TEAMS'!I66&amp;""</f>
        <v>3rd/4thJ</v>
      </c>
      <c r="J526" s="438" t="str">
        <f>'19U BOYS PLATINUM-27 TEAMS'!J66&amp;""</f>
        <v>19U_BOYS_PLATINUM</v>
      </c>
      <c r="K526" s="438" t="str">
        <f t="shared" si="11"/>
        <v>202602011400</v>
      </c>
    </row>
    <row r="527" spans="1:11">
      <c r="A527" s="435">
        <f>'19U BOYS PLATINUM-27 TEAMS'!A67</f>
        <v>46054</v>
      </c>
      <c r="B527" s="436">
        <f>'19U BOYS PLATINUM-27 TEAMS'!B67</f>
        <v>0.625</v>
      </c>
      <c r="C527" s="437" t="str">
        <f>'19U BOYS PLATINUM-27 TEAMS'!C67&amp;""</f>
        <v>WOOLLETT NEAR LEFT</v>
      </c>
      <c r="D527" s="437" t="str">
        <f>'19U BOYS PLATINUM-27 TEAMS'!D67&amp;""</f>
        <v>19Bpt35</v>
      </c>
      <c r="E527" s="438" t="str">
        <f>'19U BOYS PLATINUM-27 TEAMS'!E67&amp;""</f>
        <v>L#30-RIVERSIDE</v>
      </c>
      <c r="F527" s="438" t="str">
        <f>'19U BOYS PLATINUM-27 TEAMS'!F67&amp;""</f>
        <v>15</v>
      </c>
      <c r="G527" s="438" t="str">
        <f>'19U BOYS PLATINUM-27 TEAMS'!G67&amp;""</f>
        <v>L#31-FOOTHILL RED</v>
      </c>
      <c r="H527" s="438" t="str">
        <f>'19U BOYS PLATINUM-27 TEAMS'!H67&amp;""</f>
        <v>8</v>
      </c>
      <c r="I527" s="437" t="str">
        <f>'19U BOYS PLATINUM-27 TEAMS'!I67&amp;""</f>
        <v>3rd/4thK</v>
      </c>
      <c r="J527" s="438" t="str">
        <f>'19U BOYS PLATINUM-27 TEAMS'!J67&amp;""</f>
        <v>19U_BOYS_PLATINUM</v>
      </c>
      <c r="K527" s="438" t="str">
        <f t="shared" si="11"/>
        <v>202602011500</v>
      </c>
    </row>
    <row r="528" spans="1:11">
      <c r="A528" s="435">
        <f>'19U BOYS PLATINUM-27 TEAMS'!A68</f>
        <v>46054</v>
      </c>
      <c r="B528" s="436">
        <f>'19U BOYS PLATINUM-27 TEAMS'!B68</f>
        <v>0.66666666666666696</v>
      </c>
      <c r="C528" s="437" t="str">
        <f>'19U BOYS PLATINUM-27 TEAMS'!C68&amp;""</f>
        <v>WOOLLETT NEAR LEFT</v>
      </c>
      <c r="D528" s="437" t="str">
        <f>'19U BOYS PLATINUM-27 TEAMS'!D68&amp;""</f>
        <v>19Bpt37</v>
      </c>
      <c r="E528" s="438" t="str">
        <f>'19U BOYS PLATINUM-27 TEAMS'!E68&amp;""</f>
        <v>R1(1stJ)-CC UNITED BLACK</v>
      </c>
      <c r="F528" s="438" t="str">
        <f>'19U BOYS PLATINUM-27 TEAMS'!F68&amp;""</f>
        <v>12.4</v>
      </c>
      <c r="G528" s="438" t="str">
        <f>'19U BOYS PLATINUM-27 TEAMS'!G68&amp;""</f>
        <v>R2(1stK)-LAMORINDA A</v>
      </c>
      <c r="H528" s="438" t="str">
        <f>'19U BOYS PLATINUM-27 TEAMS'!H68&amp;""</f>
        <v>12.3</v>
      </c>
      <c r="I528" s="437" t="str">
        <f>'19U BOYS PLATINUM-27 TEAMS'!I68&amp;""</f>
        <v>overall 1st</v>
      </c>
      <c r="J528" s="438" t="str">
        <f>'19U BOYS PLATINUM-27 TEAMS'!J68&amp;""</f>
        <v>19U_BOYS_PLATINUM</v>
      </c>
      <c r="K528" s="438" t="str">
        <f t="shared" si="11"/>
        <v>202602011600</v>
      </c>
    </row>
    <row r="529" spans="1:11">
      <c r="A529" s="435">
        <f>'19U BOYS PLATINUM-27 TEAMS'!A69</f>
        <v>46054</v>
      </c>
      <c r="B529" s="436">
        <f>'19U BOYS PLATINUM-27 TEAMS'!B69</f>
        <v>0.70833333333333304</v>
      </c>
      <c r="C529" s="437" t="str">
        <f>'19U BOYS PLATINUM-27 TEAMS'!C69&amp;""</f>
        <v>WOOLLETT NEAR LEFT</v>
      </c>
      <c r="D529" s="437" t="str">
        <f>'19U BOYS PLATINUM-27 TEAMS'!D69&amp;""</f>
        <v>19Bpt36</v>
      </c>
      <c r="E529" s="438" t="str">
        <f>'19U BOYS PLATINUM-27 TEAMS'!E69&amp;""</f>
        <v>Q1(2ndJ)-LA JOLLA UNITED NAVY</v>
      </c>
      <c r="F529" s="438" t="str">
        <f>'19U BOYS PLATINUM-27 TEAMS'!F69&amp;""</f>
        <v>12</v>
      </c>
      <c r="G529" s="438" t="str">
        <f>'19U BOYS PLATINUM-27 TEAMS'!G69&amp;""</f>
        <v>Q2(2ndK)-CHANNEL ISLANDS UNITED TEAL</v>
      </c>
      <c r="H529" s="438" t="str">
        <f>'19U BOYS PLATINUM-27 TEAMS'!H69&amp;""</f>
        <v>11</v>
      </c>
      <c r="I529" s="437" t="str">
        <f>'19U BOYS PLATINUM-27 TEAMS'!I69&amp;""</f>
        <v>overall 3rd</v>
      </c>
      <c r="J529" s="438" t="str">
        <f>'19U BOYS PLATINUM-27 TEAMS'!J69&amp;""</f>
        <v>19U_BOYS_PLATINUM</v>
      </c>
      <c r="K529" s="438" t="str">
        <f t="shared" si="11"/>
        <v>202602011700</v>
      </c>
    </row>
    <row r="530" spans="1:11">
      <c r="A530" s="432">
        <f>'19U BOYS GOLD-16 TEAMS'!A44</f>
        <v>46054</v>
      </c>
      <c r="B530" s="433">
        <f>'19U BOYS GOLD-16 TEAMS'!B44</f>
        <v>0.75</v>
      </c>
      <c r="C530" s="433" t="str">
        <f>'19U BOYS GOLD-16 TEAMS'!C44&amp;""</f>
        <v>WOOLLETT NEAR LEFT</v>
      </c>
      <c r="D530" s="434" t="str">
        <f>'19U BOYS GOLD-16 TEAMS'!D44&amp;""</f>
        <v>19Bau24</v>
      </c>
      <c r="E530" s="434" t="str">
        <f>'19U BOYS GOLD-16 TEAMS'!E44&amp;""</f>
        <v>W#19-LONGHORN</v>
      </c>
      <c r="F530" s="434" t="str">
        <f>'19U BOYS GOLD-16 TEAMS'!F44&amp;""</f>
        <v>12</v>
      </c>
      <c r="G530" s="434" t="str">
        <f>'19U BOYS GOLD-16 TEAMS'!G44&amp;""</f>
        <v>W#20-MISSON WPC</v>
      </c>
      <c r="H530" s="434" t="str">
        <f>'19U BOYS GOLD-16 TEAMS'!H44&amp;""</f>
        <v>9</v>
      </c>
      <c r="I530" s="434" t="str">
        <f>'19U BOYS GOLD-16 TEAMS'!I44&amp;""</f>
        <v>1st</v>
      </c>
      <c r="J530" s="434" t="str">
        <f>'19U BOYS GOLD-16 TEAMS'!J44&amp;""</f>
        <v>19U_BOYS_GOLD</v>
      </c>
      <c r="K530" s="434" t="str">
        <f t="shared" si="11"/>
        <v>202602011800</v>
      </c>
    </row>
    <row r="531" spans="1:11">
      <c r="A531" s="435">
        <f>'19U BOYS PLATINUM-27 TEAMS'!A43</f>
        <v>46053</v>
      </c>
      <c r="B531" s="436">
        <f>'19U BOYS PLATINUM-27 TEAMS'!B43</f>
        <v>0.29166666666666669</v>
      </c>
      <c r="C531" s="437" t="str">
        <f>'19U BOYS PLATINUM-27 TEAMS'!C43&amp;""</f>
        <v>WOOLLETT NEAR RIGHT</v>
      </c>
      <c r="D531" s="437" t="str">
        <f>'19U BOYS PLATINUM-27 TEAMS'!D43&amp;""</f>
        <v>19Bpt15</v>
      </c>
      <c r="E531" s="438" t="str">
        <f>'19U BOYS PLATINUM-27 TEAMS'!E43&amp;""</f>
        <v>11-SAN JOSE EXPRESS BLUE</v>
      </c>
      <c r="F531" s="438" t="str">
        <f>'19U BOYS PLATINUM-27 TEAMS'!F43&amp;""</f>
        <v>11</v>
      </c>
      <c r="G531" s="438" t="str">
        <f>'19U BOYS PLATINUM-27 TEAMS'!G43&amp;""</f>
        <v>22-CT PREMIER</v>
      </c>
      <c r="H531" s="438" t="str">
        <f>'19U BOYS PLATINUM-27 TEAMS'!H43&amp;""</f>
        <v>13</v>
      </c>
      <c r="I531" s="437" t="str">
        <f>'19U BOYS PLATINUM-27 TEAMS'!I43&amp;""</f>
        <v>W/L G2/G3</v>
      </c>
      <c r="J531" s="438" t="str">
        <f>'19U BOYS PLATINUM-27 TEAMS'!J43&amp;""</f>
        <v>19U_BOYS_PLATINUM</v>
      </c>
      <c r="K531" s="438" t="str">
        <f t="shared" si="11"/>
        <v>202601310700</v>
      </c>
    </row>
    <row r="532" spans="1:11">
      <c r="A532" s="435">
        <f>'19U BOYS PLATINUM-27 TEAMS'!A44</f>
        <v>46053</v>
      </c>
      <c r="B532" s="436">
        <f>'19U BOYS PLATINUM-27 TEAMS'!B44</f>
        <v>0.33333333333333298</v>
      </c>
      <c r="C532" s="437" t="str">
        <f>'19U BOYS PLATINUM-27 TEAMS'!C44&amp;""</f>
        <v>WOOLLETT NEAR RIGHT</v>
      </c>
      <c r="D532" s="437" t="str">
        <f>'19U BOYS PLATINUM-27 TEAMS'!D44&amp;""</f>
        <v>19Bpt16</v>
      </c>
      <c r="E532" s="438" t="str">
        <f>'19U BOYS PLATINUM-27 TEAMS'!E44&amp;""</f>
        <v>7-TROJAN</v>
      </c>
      <c r="F532" s="438" t="str">
        <f>'19U BOYS PLATINUM-27 TEAMS'!F44&amp;""</f>
        <v>13</v>
      </c>
      <c r="G532" s="438" t="str">
        <f>'19U BOYS PLATINUM-27 TEAMS'!G44&amp;""</f>
        <v>26-FOOTHILL BLACK</v>
      </c>
      <c r="H532" s="438" t="str">
        <f>'19U BOYS PLATINUM-27 TEAMS'!H44&amp;""</f>
        <v>7</v>
      </c>
      <c r="I532" s="437" t="str">
        <f>'19U BOYS PLATINUM-27 TEAMS'!I44&amp;""</f>
        <v>W/L H</v>
      </c>
      <c r="J532" s="438" t="str">
        <f>'19U BOYS PLATINUM-27 TEAMS'!J44&amp;""</f>
        <v>19U_BOYS_PLATINUM</v>
      </c>
      <c r="K532" s="438" t="str">
        <f t="shared" si="11"/>
        <v>202601310800</v>
      </c>
    </row>
    <row r="533" spans="1:11">
      <c r="A533" s="435">
        <f>'19U BOYS PLATINUM-27 TEAMS'!A45</f>
        <v>46053</v>
      </c>
      <c r="B533" s="436">
        <f>'19U BOYS PLATINUM-27 TEAMS'!B45</f>
        <v>0.375</v>
      </c>
      <c r="C533" s="437" t="str">
        <f>'19U BOYS PLATINUM-27 TEAMS'!C45&amp;""</f>
        <v>WOOLLETT NEAR RIGHT</v>
      </c>
      <c r="D533" s="437" t="str">
        <f>'19U BOYS PLATINUM-27 TEAMS'!D45&amp;""</f>
        <v>19Bpt17</v>
      </c>
      <c r="E533" s="438" t="str">
        <f>'19U BOYS PLATINUM-27 TEAMS'!E45&amp;""</f>
        <v>10-SHAQ</v>
      </c>
      <c r="F533" s="438" t="str">
        <f>'19U BOYS PLATINUM-27 TEAMS'!F45&amp;""</f>
        <v>5</v>
      </c>
      <c r="G533" s="438" t="str">
        <f>'19U BOYS PLATINUM-27 TEAMS'!G45&amp;""</f>
        <v>23-RIVERSIDE</v>
      </c>
      <c r="H533" s="438" t="str">
        <f>'19U BOYS PLATINUM-27 TEAMS'!H45&amp;""</f>
        <v>12</v>
      </c>
      <c r="I533" s="437" t="str">
        <f>'19U BOYS PLATINUM-27 TEAMS'!I45&amp;""</f>
        <v>W/L H</v>
      </c>
      <c r="J533" s="438" t="str">
        <f>'19U BOYS PLATINUM-27 TEAMS'!J45&amp;""</f>
        <v>19U_BOYS_PLATINUM</v>
      </c>
      <c r="K533" s="438" t="str">
        <f t="shared" si="11"/>
        <v>202601310900</v>
      </c>
    </row>
    <row r="534" spans="1:11">
      <c r="A534" s="435">
        <f>'19U BOYS PLATINUM-27 TEAMS'!A46</f>
        <v>46053</v>
      </c>
      <c r="B534" s="436">
        <f>'19U BOYS PLATINUM-27 TEAMS'!B46</f>
        <v>0.41666666666666702</v>
      </c>
      <c r="C534" s="437" t="str">
        <f>'19U BOYS PLATINUM-27 TEAMS'!C46&amp;""</f>
        <v>WOOLLETT NEAR RIGHT</v>
      </c>
      <c r="D534" s="437" t="str">
        <f>'19U BOYS PLATINUM-27 TEAMS'!D46&amp;""</f>
        <v>19Bpt22</v>
      </c>
      <c r="E534" s="438" t="str">
        <f>'19U BOYS PLATINUM-27 TEAMS'!E46&amp;""</f>
        <v>E1(2)-LAMORINDA A</v>
      </c>
      <c r="F534" s="438" t="str">
        <f>'19U BOYS PLATINUM-27 TEAMS'!F46&amp;""</f>
        <v>16</v>
      </c>
      <c r="G534" s="438" t="str">
        <f>'19U BOYS PLATINUM-27 TEAMS'!G46&amp;""</f>
        <v>E3(18)-CHULA VISTA PREMIER</v>
      </c>
      <c r="H534" s="438" t="str">
        <f>'19U BOYS PLATINUM-27 TEAMS'!H46&amp;""</f>
        <v>7</v>
      </c>
      <c r="I534" s="437" t="str">
        <f>'19U BOYS PLATINUM-27 TEAMS'!I46&amp;""</f>
        <v>E bracket E1,E3</v>
      </c>
      <c r="J534" s="438" t="str">
        <f>'19U BOYS PLATINUM-27 TEAMS'!J46&amp;""</f>
        <v>19U_BOYS_PLATINUM</v>
      </c>
      <c r="K534" s="438" t="str">
        <f t="shared" si="11"/>
        <v>202601311000</v>
      </c>
    </row>
    <row r="535" spans="1:11">
      <c r="A535" s="435">
        <f>'19U BOYS PLATINUM-27 TEAMS'!A47</f>
        <v>46053</v>
      </c>
      <c r="B535" s="436">
        <f>'19U BOYS PLATINUM-27 TEAMS'!B47</f>
        <v>0.45833333333333298</v>
      </c>
      <c r="C535" s="437" t="str">
        <f>'19U BOYS PLATINUM-27 TEAMS'!C47&amp;""</f>
        <v>WOOLLETT NEAR RIGHT</v>
      </c>
      <c r="D535" s="437" t="str">
        <f>'19U BOYS PLATINUM-27 TEAMS'!D47&amp;""</f>
        <v>19Bpt23</v>
      </c>
      <c r="E535" s="438" t="str">
        <f>'19U BOYS PLATINUM-27 TEAMS'!E47&amp;""</f>
        <v>F1(3)-NORCAL</v>
      </c>
      <c r="F535" s="438" t="str">
        <f>'19U BOYS PLATINUM-27 TEAMS'!F47&amp;""</f>
        <v>8</v>
      </c>
      <c r="G535" s="438" t="str">
        <f>'19U BOYS PLATINUM-27 TEAMS'!G47&amp;""</f>
        <v>F3(19)-FOOTHILL RED</v>
      </c>
      <c r="H535" s="438" t="str">
        <f>'19U BOYS PLATINUM-27 TEAMS'!H47&amp;""</f>
        <v>9</v>
      </c>
      <c r="I535" s="437" t="str">
        <f>'19U BOYS PLATINUM-27 TEAMS'!I47&amp;""</f>
        <v>F bracket F1,F3</v>
      </c>
      <c r="J535" s="438" t="str">
        <f>'19U BOYS PLATINUM-27 TEAMS'!J47&amp;""</f>
        <v>19U_BOYS_PLATINUM</v>
      </c>
      <c r="K535" s="438" t="str">
        <f t="shared" si="11"/>
        <v>202601311100</v>
      </c>
    </row>
    <row r="536" spans="1:11">
      <c r="A536" s="435">
        <f>'19U BOYS PLATINUM-27 TEAMS'!A48</f>
        <v>46053</v>
      </c>
      <c r="B536" s="436">
        <f>'19U BOYS PLATINUM-27 TEAMS'!B48</f>
        <v>0.5</v>
      </c>
      <c r="C536" s="437" t="str">
        <f>'19U BOYS PLATINUM-27 TEAMS'!C48&amp;""</f>
        <v>WOOLLETT NEAR RIGHT</v>
      </c>
      <c r="D536" s="437" t="str">
        <f>'19U BOYS PLATINUM-27 TEAMS'!D48&amp;""</f>
        <v>19Bpt18</v>
      </c>
      <c r="E536" s="438" t="str">
        <f>'19U BOYS PLATINUM-27 TEAMS'!E48&amp;""</f>
        <v>W#14-CHANNEL ISLANDS UNITED TEAL</v>
      </c>
      <c r="F536" s="438" t="str">
        <f>'19U BOYS PLATINUM-27 TEAMS'!F48&amp;""</f>
        <v>12</v>
      </c>
      <c r="G536" s="438" t="str">
        <f>'19U BOYS PLATINUM-27 TEAMS'!G48&amp;""</f>
        <v>W#15-CT PREMIER</v>
      </c>
      <c r="H536" s="438" t="str">
        <f>'19U BOYS PLATINUM-27 TEAMS'!H48&amp;""</f>
        <v>10</v>
      </c>
      <c r="I536" s="437" t="str">
        <f>'19U BOYS PLATINUM-27 TEAMS'!I48&amp;""</f>
        <v>1st/2ndG</v>
      </c>
      <c r="J536" s="438" t="str">
        <f>'19U BOYS PLATINUM-27 TEAMS'!J48&amp;""</f>
        <v>19U_BOYS_PLATINUM</v>
      </c>
      <c r="K536" s="438" t="str">
        <f t="shared" si="11"/>
        <v>202601311200</v>
      </c>
    </row>
    <row r="537" spans="1:11">
      <c r="A537" s="435">
        <f>'19U BOYS PLATINUM-27 TEAMS'!A49</f>
        <v>46053</v>
      </c>
      <c r="B537" s="436">
        <f>'19U BOYS PLATINUM-27 TEAMS'!B49</f>
        <v>0.54166666666666696</v>
      </c>
      <c r="C537" s="437" t="str">
        <f>'19U BOYS PLATINUM-27 TEAMS'!C49&amp;""</f>
        <v>WOOLLETT NEAR RIGHT</v>
      </c>
      <c r="D537" s="437" t="str">
        <f>'19U BOYS PLATINUM-27 TEAMS'!D49&amp;""</f>
        <v>19Bpt19</v>
      </c>
      <c r="E537" s="438" t="str">
        <f>'19U BOYS PLATINUM-27 TEAMS'!E49&amp;""</f>
        <v>L#14-CC UNITED BLUE</v>
      </c>
      <c r="F537" s="438" t="str">
        <f>'19U BOYS PLATINUM-27 TEAMS'!F49&amp;""</f>
        <v>6</v>
      </c>
      <c r="G537" s="438" t="str">
        <f>'19U BOYS PLATINUM-27 TEAMS'!G49&amp;""</f>
        <v>L#15-SAN JOSE EXPRESS BLUE</v>
      </c>
      <c r="H537" s="438" t="str">
        <f>'19U BOYS PLATINUM-27 TEAMS'!H49&amp;""</f>
        <v>7</v>
      </c>
      <c r="I537" s="437" t="str">
        <f>'19U BOYS PLATINUM-27 TEAMS'!I49&amp;""</f>
        <v>3rd/4thG</v>
      </c>
      <c r="J537" s="438" t="str">
        <f>'19U BOYS PLATINUM-27 TEAMS'!J49&amp;""</f>
        <v>19U_BOYS_PLATINUM</v>
      </c>
      <c r="K537" s="438" t="str">
        <f t="shared" si="11"/>
        <v>202601311300</v>
      </c>
    </row>
    <row r="538" spans="1:11">
      <c r="A538" s="435">
        <f>'19U BOYS PLATINUM-27 TEAMS'!A50</f>
        <v>46053</v>
      </c>
      <c r="B538" s="436">
        <f>'19U BOYS PLATINUM-27 TEAMS'!B50</f>
        <v>0.58333333333333304</v>
      </c>
      <c r="C538" s="437" t="str">
        <f>'19U BOYS PLATINUM-27 TEAMS'!C50&amp;""</f>
        <v>WOOLLETT NEAR RIGHT</v>
      </c>
      <c r="D538" s="437" t="str">
        <f>'19U BOYS PLATINUM-27 TEAMS'!D50&amp;""</f>
        <v>19Bpt24</v>
      </c>
      <c r="E538" s="438" t="str">
        <f>'19U BOYS PLATINUM-27 TEAMS'!E50&amp;""</f>
        <v>E2(15)-VANGUARD BLUE</v>
      </c>
      <c r="F538" s="438" t="str">
        <f>'19U BOYS PLATINUM-27 TEAMS'!F50&amp;""</f>
        <v>14</v>
      </c>
      <c r="G538" s="438" t="str">
        <f>'19U BOYS PLATINUM-27 TEAMS'!G50&amp;""</f>
        <v>E3(18)-CHULA VISTA PREMIER</v>
      </c>
      <c r="H538" s="438" t="str">
        <f>'19U BOYS PLATINUM-27 TEAMS'!H50&amp;""</f>
        <v>7</v>
      </c>
      <c r="I538" s="437" t="str">
        <f>'19U BOYS PLATINUM-27 TEAMS'!I50&amp;""</f>
        <v>E bracket E2,E3</v>
      </c>
      <c r="J538" s="438" t="str">
        <f>'19U BOYS PLATINUM-27 TEAMS'!J50&amp;""</f>
        <v>19U_BOYS_PLATINUM</v>
      </c>
      <c r="K538" s="438" t="str">
        <f t="shared" si="11"/>
        <v>202601311400</v>
      </c>
    </row>
    <row r="539" spans="1:11">
      <c r="A539" s="435">
        <f>'19U BOYS PLATINUM-27 TEAMS'!A51</f>
        <v>46053</v>
      </c>
      <c r="B539" s="436">
        <f>'19U BOYS PLATINUM-27 TEAMS'!B51</f>
        <v>0.625</v>
      </c>
      <c r="C539" s="437" t="str">
        <f>'19U BOYS PLATINUM-27 TEAMS'!C51&amp;""</f>
        <v>WOOLLETT NEAR RIGHT</v>
      </c>
      <c r="D539" s="437" t="str">
        <f>'19U BOYS PLATINUM-27 TEAMS'!D51&amp;""</f>
        <v>19Bpt25</v>
      </c>
      <c r="E539" s="438" t="str">
        <f>'19U BOYS PLATINUM-27 TEAMS'!E51&amp;""</f>
        <v>F2(14)-SHADOW MEN</v>
      </c>
      <c r="F539" s="438" t="str">
        <f>'19U BOYS PLATINUM-27 TEAMS'!F51&amp;""</f>
        <v>8</v>
      </c>
      <c r="G539" s="438" t="str">
        <f>'19U BOYS PLATINUM-27 TEAMS'!G51&amp;""</f>
        <v>F3(19)-FOOTHILL RED</v>
      </c>
      <c r="H539" s="438" t="str">
        <f>'19U BOYS PLATINUM-27 TEAMS'!H51&amp;""</f>
        <v>16</v>
      </c>
      <c r="I539" s="437" t="str">
        <f>'19U BOYS PLATINUM-27 TEAMS'!I51&amp;""</f>
        <v>F bracket F2,F3</v>
      </c>
      <c r="J539" s="438" t="str">
        <f>'19U BOYS PLATINUM-27 TEAMS'!J51&amp;""</f>
        <v>19U_BOYS_PLATINUM</v>
      </c>
      <c r="K539" s="438" t="str">
        <f t="shared" si="11"/>
        <v>202601311500</v>
      </c>
    </row>
    <row r="540" spans="1:11">
      <c r="A540" s="435">
        <f>'19U BOYS PLATINUM-27 TEAMS'!A52</f>
        <v>46053</v>
      </c>
      <c r="B540" s="436">
        <f>'19U BOYS PLATINUM-27 TEAMS'!B52</f>
        <v>0.66666666666666696</v>
      </c>
      <c r="C540" s="437" t="str">
        <f>'19U BOYS PLATINUM-27 TEAMS'!C52&amp;""</f>
        <v>WOOLLETT NEAR RIGHT</v>
      </c>
      <c r="D540" s="437" t="str">
        <f>'19U BOYS PLATINUM-27 TEAMS'!D52&amp;""</f>
        <v>19Bpt20</v>
      </c>
      <c r="E540" s="438" t="str">
        <f>'19U BOYS PLATINUM-27 TEAMS'!E52&amp;""</f>
        <v>W#16-TROJAN</v>
      </c>
      <c r="F540" s="438" t="str">
        <f>'19U BOYS PLATINUM-27 TEAMS'!F52&amp;""</f>
        <v>4</v>
      </c>
      <c r="G540" s="438" t="str">
        <f>'19U BOYS PLATINUM-27 TEAMS'!G52&amp;""</f>
        <v>W#17-RIVERSIDE</v>
      </c>
      <c r="H540" s="438" t="str">
        <f>'19U BOYS PLATINUM-27 TEAMS'!H52&amp;""</f>
        <v>15</v>
      </c>
      <c r="I540" s="437" t="str">
        <f>'19U BOYS PLATINUM-27 TEAMS'!I52&amp;""</f>
        <v>1st/2nd H</v>
      </c>
      <c r="J540" s="438" t="str">
        <f>'19U BOYS PLATINUM-27 TEAMS'!J52&amp;""</f>
        <v>19U_BOYS_PLATINUM</v>
      </c>
      <c r="K540" s="438" t="str">
        <f t="shared" si="11"/>
        <v>202601311600</v>
      </c>
    </row>
    <row r="541" spans="1:11">
      <c r="A541" s="435">
        <f>'19U BOYS PLATINUM-27 TEAMS'!A53</f>
        <v>46053</v>
      </c>
      <c r="B541" s="436">
        <f>'19U BOYS PLATINUM-27 TEAMS'!B53</f>
        <v>0.70833333333333304</v>
      </c>
      <c r="C541" s="437" t="str">
        <f>'19U BOYS PLATINUM-27 TEAMS'!C53&amp;""</f>
        <v>WOOLLETT NEAR RIGHT</v>
      </c>
      <c r="D541" s="437" t="str">
        <f>'19U BOYS PLATINUM-27 TEAMS'!D53&amp;""</f>
        <v>19Bpt21</v>
      </c>
      <c r="E541" s="438" t="str">
        <f>'19U BOYS PLATINUM-27 TEAMS'!E53&amp;""</f>
        <v>L#16-FOOTHILL BLACK</v>
      </c>
      <c r="F541" s="438" t="str">
        <f>'19U BOYS PLATINUM-27 TEAMS'!F53&amp;""</f>
        <v>6</v>
      </c>
      <c r="G541" s="438" t="str">
        <f>'19U BOYS PLATINUM-27 TEAMS'!G53&amp;""</f>
        <v>L#17-SHAQ</v>
      </c>
      <c r="H541" s="438" t="str">
        <f>'19U BOYS PLATINUM-27 TEAMS'!H53&amp;""</f>
        <v>15</v>
      </c>
      <c r="I541" s="437" t="str">
        <f>'19U BOYS PLATINUM-27 TEAMS'!I53&amp;""</f>
        <v>3rd/4th H</v>
      </c>
      <c r="J541" s="438" t="str">
        <f>'19U BOYS PLATINUM-27 TEAMS'!J53&amp;""</f>
        <v>19U_BOYS_PLATINUM</v>
      </c>
      <c r="K541" s="438" t="str">
        <f t="shared" si="11"/>
        <v>202601311700</v>
      </c>
    </row>
    <row r="542" spans="1:11">
      <c r="A542" s="435">
        <f>'19U BOYS PLATINUM-27 TEAMS'!A54</f>
        <v>46053</v>
      </c>
      <c r="B542" s="436">
        <f>'19U BOYS PLATINUM-27 TEAMS'!B54</f>
        <v>0.75</v>
      </c>
      <c r="C542" s="437" t="str">
        <f>'19U BOYS PLATINUM-27 TEAMS'!C54&amp;""</f>
        <v>WOOLLETT NEAR RIGHT</v>
      </c>
      <c r="D542" s="437" t="str">
        <f>'19U BOYS PLATINUM-27 TEAMS'!D54&amp;""</f>
        <v>19Bpt26</v>
      </c>
      <c r="E542" s="438" t="str">
        <f>'19U BOYS PLATINUM-27 TEAMS'!E54&amp;""</f>
        <v>E1(2)-LAMORINDA A</v>
      </c>
      <c r="F542" s="438" t="str">
        <f>'19U BOYS PLATINUM-27 TEAMS'!F54&amp;""</f>
        <v>16</v>
      </c>
      <c r="G542" s="438" t="str">
        <f>'19U BOYS PLATINUM-27 TEAMS'!G54&amp;""</f>
        <v>E2(15)-VANGUARD BLUE</v>
      </c>
      <c r="H542" s="438" t="str">
        <f>'19U BOYS PLATINUM-27 TEAMS'!H54&amp;""</f>
        <v>8</v>
      </c>
      <c r="I542" s="437" t="str">
        <f>'19U BOYS PLATINUM-27 TEAMS'!I54&amp;""</f>
        <v>E bracket E1,E2</v>
      </c>
      <c r="J542" s="438" t="str">
        <f>'19U BOYS PLATINUM-27 TEAMS'!J54&amp;""</f>
        <v>19U_BOYS_PLATINUM</v>
      </c>
      <c r="K542" s="438" t="str">
        <f t="shared" si="11"/>
        <v>202601311800</v>
      </c>
    </row>
    <row r="543" spans="1:11">
      <c r="A543" s="435">
        <f>'19U BOYS PLATINUM-27 TEAMS'!A55</f>
        <v>46053</v>
      </c>
      <c r="B543" s="436">
        <f>'19U BOYS PLATINUM-27 TEAMS'!B55</f>
        <v>0.79166666666666696</v>
      </c>
      <c r="C543" s="437" t="str">
        <f>'19U BOYS PLATINUM-27 TEAMS'!C55&amp;""</f>
        <v>WOOLLETT NEAR RIGHT</v>
      </c>
      <c r="D543" s="437" t="str">
        <f>'19U BOYS PLATINUM-27 TEAMS'!D55&amp;""</f>
        <v>19Bpt27</v>
      </c>
      <c r="E543" s="438" t="str">
        <f>'19U BOYS PLATINUM-27 TEAMS'!E55&amp;""</f>
        <v>F1(3)-NORCAL</v>
      </c>
      <c r="F543" s="438" t="str">
        <f>'19U BOYS PLATINUM-27 TEAMS'!F55&amp;""</f>
        <v>15</v>
      </c>
      <c r="G543" s="438" t="str">
        <f>'19U BOYS PLATINUM-27 TEAMS'!G55&amp;""</f>
        <v>F2(14)-SHADOW MEN</v>
      </c>
      <c r="H543" s="438" t="str">
        <f>'19U BOYS PLATINUM-27 TEAMS'!H55&amp;""</f>
        <v>9</v>
      </c>
      <c r="I543" s="437" t="str">
        <f>'19U BOYS PLATINUM-27 TEAMS'!I55&amp;""</f>
        <v>F bracket F1,F2</v>
      </c>
      <c r="J543" s="438" t="str">
        <f>'19U BOYS PLATINUM-27 TEAMS'!J55&amp;""</f>
        <v>19U_BOYS_PLATINUM</v>
      </c>
      <c r="K543" s="438" t="str">
        <f t="shared" si="11"/>
        <v>202601311900</v>
      </c>
    </row>
    <row r="544" spans="1:11">
      <c r="A544" s="421">
        <f>'16U BOYS PLATINUM-18 TEAMS'!A44</f>
        <v>46054</v>
      </c>
      <c r="B544" s="422">
        <f>'16U BOYS PLATINUM-18 TEAMS'!B44</f>
        <v>0.29166666666666669</v>
      </c>
      <c r="C544" s="422" t="str">
        <f>'16U BOYS PLATINUM-18 TEAMS'!C44&amp;""</f>
        <v>WOOLLETT NEAR RIGHT</v>
      </c>
      <c r="D544" s="422" t="str">
        <f>'16U BOYS PLATINUM-18 TEAMS'!D44&amp;""</f>
        <v>16Bpt19</v>
      </c>
      <c r="E544" s="423" t="str">
        <f>'16U BOYS PLATINUM-18 TEAMS'!E44&amp;""</f>
        <v>G1(1stA)-CC UNITED BLACK</v>
      </c>
      <c r="F544" s="424" t="str">
        <f>'16U BOYS PLATINUM-18 TEAMS'!F44&amp;""</f>
        <v>7</v>
      </c>
      <c r="G544" s="425" t="str">
        <f>'16U BOYS PLATINUM-18 TEAMS'!G44&amp;""</f>
        <v>G2(1stB)-IMPERIAL WPC</v>
      </c>
      <c r="H544" s="427" t="str">
        <f>'16U BOYS PLATINUM-18 TEAMS'!H44&amp;""</f>
        <v>4</v>
      </c>
      <c r="I544" s="425" t="str">
        <f>'16U BOYS PLATINUM-18 TEAMS'!I44&amp;""</f>
        <v>1st-6th</v>
      </c>
      <c r="J544" s="426" t="str">
        <f>'16U BOYS PLATINUM-18 TEAMS'!J44&amp;""</f>
        <v>16U_BOYS_PLATINUM</v>
      </c>
      <c r="K544" s="426" t="str">
        <f t="shared" si="11"/>
        <v>202602010700</v>
      </c>
    </row>
    <row r="545" spans="1:11">
      <c r="A545" s="421">
        <f>'16U BOYS PLATINUM-18 TEAMS'!A45</f>
        <v>46054</v>
      </c>
      <c r="B545" s="422">
        <f>'16U BOYS PLATINUM-18 TEAMS'!B45</f>
        <v>0.33333333333333298</v>
      </c>
      <c r="C545" s="422" t="str">
        <f>'16U BOYS PLATINUM-18 TEAMS'!C45&amp;""</f>
        <v>WOOLLETT NEAR RIGHT</v>
      </c>
      <c r="D545" s="422" t="str">
        <f>'16U BOYS PLATINUM-18 TEAMS'!D45&amp;""</f>
        <v>16Bpt21</v>
      </c>
      <c r="E545" s="423" t="str">
        <f>'16U BOYS PLATINUM-18 TEAMS'!E45&amp;""</f>
        <v>H1(1stD)-LAMORINDA A</v>
      </c>
      <c r="F545" s="424" t="str">
        <f>'16U BOYS PLATINUM-18 TEAMS'!F45&amp;""</f>
        <v>8</v>
      </c>
      <c r="G545" s="425" t="str">
        <f>'16U BOYS PLATINUM-18 TEAMS'!G45&amp;""</f>
        <v>H2(1stE)-CHANNEL ISLANDS UNITED GOLD</v>
      </c>
      <c r="H545" s="424" t="str">
        <f>'16U BOYS PLATINUM-18 TEAMS'!H45&amp;""</f>
        <v>9</v>
      </c>
      <c r="I545" s="425" t="str">
        <f>'16U BOYS PLATINUM-18 TEAMS'!I45&amp;""</f>
        <v>1st-6th</v>
      </c>
      <c r="J545" s="426" t="str">
        <f>'16U BOYS PLATINUM-18 TEAMS'!J45&amp;""</f>
        <v>16U_BOYS_PLATINUM</v>
      </c>
      <c r="K545" s="426" t="str">
        <f t="shared" si="11"/>
        <v>202602010800</v>
      </c>
    </row>
    <row r="546" spans="1:11">
      <c r="A546" s="421">
        <f>'16U BOYS PLATINUM-18 TEAMS'!A46</f>
        <v>46054</v>
      </c>
      <c r="B546" s="422">
        <f>'16U BOYS PLATINUM-18 TEAMS'!B46</f>
        <v>0.375</v>
      </c>
      <c r="C546" s="422" t="str">
        <f>'16U BOYS PLATINUM-18 TEAMS'!C46&amp;""</f>
        <v>WOOLLETT NEAR RIGHT</v>
      </c>
      <c r="D546" s="422" t="str">
        <f>'16U BOYS PLATINUM-18 TEAMS'!D46&amp;""</f>
        <v>16Bpt23</v>
      </c>
      <c r="E546" s="423" t="str">
        <f>'16U BOYS PLATINUM-18 TEAMS'!E46&amp;""</f>
        <v>J1(2ndF)-SHAQ</v>
      </c>
      <c r="F546" s="422" t="str">
        <f>'16U BOYS PLATINUM-18 TEAMS'!F46&amp;""</f>
        <v>7</v>
      </c>
      <c r="G546" s="426" t="str">
        <f>'16U BOYS PLATINUM-18 TEAMS'!G46&amp;""</f>
        <v>J2(2ndE)-SAN CLEMENTE RED</v>
      </c>
      <c r="H546" s="422" t="str">
        <f>'16U BOYS PLATINUM-18 TEAMS'!H46&amp;""</f>
        <v>5</v>
      </c>
      <c r="I546" s="425" t="str">
        <f>'16U BOYS PLATINUM-18 TEAMS'!I46&amp;""</f>
        <v>7th-12th</v>
      </c>
      <c r="J546" s="426" t="str">
        <f>'16U BOYS PLATINUM-18 TEAMS'!J46&amp;""</f>
        <v>16U_BOYS_PLATINUM</v>
      </c>
      <c r="K546" s="426" t="str">
        <f t="shared" si="11"/>
        <v>202602010900</v>
      </c>
    </row>
    <row r="547" spans="1:11">
      <c r="A547" s="421">
        <f>'16U BOYS PLATINUM-18 TEAMS'!A47</f>
        <v>46054</v>
      </c>
      <c r="B547" s="422">
        <f>'16U BOYS PLATINUM-18 TEAMS'!B47</f>
        <v>0.41666666666666702</v>
      </c>
      <c r="C547" s="422" t="str">
        <f>'16U BOYS PLATINUM-18 TEAMS'!C47&amp;""</f>
        <v>WOOLLETT NEAR RIGHT</v>
      </c>
      <c r="D547" s="422" t="str">
        <f>'16U BOYS PLATINUM-18 TEAMS'!D47&amp;""</f>
        <v>16Bpt25</v>
      </c>
      <c r="E547" s="423" t="str">
        <f>'16U BOYS PLATINUM-18 TEAMS'!E47&amp;""</f>
        <v>G1(1stA)-CC UNITED BLACK</v>
      </c>
      <c r="F547" s="424" t="str">
        <f>'16U BOYS PLATINUM-18 TEAMS'!F47&amp;""</f>
        <v>12</v>
      </c>
      <c r="G547" s="425" t="str">
        <f>'16U BOYS PLATINUM-18 TEAMS'!G47&amp;""</f>
        <v>G3(1stC)-680 RED</v>
      </c>
      <c r="H547" s="424" t="str">
        <f>'16U BOYS PLATINUM-18 TEAMS'!H47&amp;""</f>
        <v>10</v>
      </c>
      <c r="I547" s="425" t="str">
        <f>'16U BOYS PLATINUM-18 TEAMS'!I47&amp;""</f>
        <v>1st-6th</v>
      </c>
      <c r="J547" s="426" t="str">
        <f>'16U BOYS PLATINUM-18 TEAMS'!J47&amp;""</f>
        <v>16U_BOYS_PLATINUM</v>
      </c>
      <c r="K547" s="426" t="str">
        <f t="shared" si="11"/>
        <v>202602011000</v>
      </c>
    </row>
    <row r="548" spans="1:11">
      <c r="A548" s="421">
        <f>'16U BOYS PLATINUM-18 TEAMS'!A48</f>
        <v>46054</v>
      </c>
      <c r="B548" s="422">
        <f>'16U BOYS PLATINUM-18 TEAMS'!B48</f>
        <v>0.45833333333333298</v>
      </c>
      <c r="C548" s="422" t="str">
        <f>'16U BOYS PLATINUM-18 TEAMS'!C48&amp;""</f>
        <v>WOOLLETT NEAR RIGHT</v>
      </c>
      <c r="D548" s="422" t="str">
        <f>'16U BOYS PLATINUM-18 TEAMS'!D48&amp;""</f>
        <v>16Bpt27</v>
      </c>
      <c r="E548" s="423" t="str">
        <f>'16U BOYS PLATINUM-18 TEAMS'!E48&amp;""</f>
        <v>H1(1stD)-LAMORINDA A</v>
      </c>
      <c r="F548" s="424" t="str">
        <f>'16U BOYS PLATINUM-18 TEAMS'!F48&amp;""</f>
        <v>18</v>
      </c>
      <c r="G548" s="425" t="str">
        <f>'16U BOYS PLATINUM-18 TEAMS'!G48&amp;""</f>
        <v>H3(1stF)-SD SHORES BLACK</v>
      </c>
      <c r="H548" s="427" t="str">
        <f>'16U BOYS PLATINUM-18 TEAMS'!H48&amp;""</f>
        <v>11</v>
      </c>
      <c r="I548" s="425" t="str">
        <f>'16U BOYS PLATINUM-18 TEAMS'!I48&amp;""</f>
        <v>1st-6th</v>
      </c>
      <c r="J548" s="426" t="str">
        <f>'16U BOYS PLATINUM-18 TEAMS'!J48&amp;""</f>
        <v>16U_BOYS_PLATINUM</v>
      </c>
      <c r="K548" s="426" t="str">
        <f t="shared" si="11"/>
        <v>202602011100</v>
      </c>
    </row>
    <row r="549" spans="1:11">
      <c r="A549" s="421">
        <f>'16U BOYS PLATINUM-18 TEAMS'!A49</f>
        <v>46054</v>
      </c>
      <c r="B549" s="422">
        <f>'16U BOYS PLATINUM-18 TEAMS'!B49</f>
        <v>0.5</v>
      </c>
      <c r="C549" s="422" t="str">
        <f>'16U BOYS PLATINUM-18 TEAMS'!C49&amp;""</f>
        <v>WOOLLETT NEAR RIGHT</v>
      </c>
      <c r="D549" s="422" t="str">
        <f>'16U BOYS PLATINUM-18 TEAMS'!D49&amp;""</f>
        <v>16Bpt29</v>
      </c>
      <c r="E549" s="423" t="str">
        <f>'16U BOYS PLATINUM-18 TEAMS'!E49&amp;""</f>
        <v>J1(2ndF)-SHAQ</v>
      </c>
      <c r="F549" s="424" t="str">
        <f>'16U BOYS PLATINUM-18 TEAMS'!F49&amp;""</f>
        <v>5</v>
      </c>
      <c r="G549" s="425" t="str">
        <f>'16U BOYS PLATINUM-18 TEAMS'!G49&amp;""</f>
        <v>J3(2ndD)-SOUTH COAST RED (A)</v>
      </c>
      <c r="H549" s="424" t="str">
        <f>'16U BOYS PLATINUM-18 TEAMS'!H49&amp;""</f>
        <v>12</v>
      </c>
      <c r="I549" s="425" t="str">
        <f>'16U BOYS PLATINUM-18 TEAMS'!I49&amp;""</f>
        <v>7th-12th</v>
      </c>
      <c r="J549" s="426" t="str">
        <f>'16U BOYS PLATINUM-18 TEAMS'!J49&amp;""</f>
        <v>16U_BOYS_PLATINUM</v>
      </c>
      <c r="K549" s="426" t="str">
        <f t="shared" si="11"/>
        <v>202602011200</v>
      </c>
    </row>
    <row r="550" spans="1:11">
      <c r="A550" s="421">
        <f>'16U BOYS PLATINUM-18 TEAMS'!A50</f>
        <v>46054</v>
      </c>
      <c r="B550" s="422">
        <f>'16U BOYS PLATINUM-18 TEAMS'!B50</f>
        <v>0.54166666666666696</v>
      </c>
      <c r="C550" s="422" t="str">
        <f>'16U BOYS PLATINUM-18 TEAMS'!C50&amp;""</f>
        <v>WOOLLETT NEAR RIGHT</v>
      </c>
      <c r="D550" s="422" t="str">
        <f>'16U BOYS PLATINUM-18 TEAMS'!D50&amp;""</f>
        <v>16Bpt31</v>
      </c>
      <c r="E550" s="423" t="str">
        <f>'16U BOYS PLATINUM-18 TEAMS'!E50&amp;""</f>
        <v>G2(1stB)-IMPERIAL WPC</v>
      </c>
      <c r="F550" s="422" t="str">
        <f>'16U BOYS PLATINUM-18 TEAMS'!F50&amp;""</f>
        <v>10</v>
      </c>
      <c r="G550" s="426" t="str">
        <f>'16U BOYS PLATINUM-18 TEAMS'!G50&amp;""</f>
        <v>G3(1stC)-680 RED</v>
      </c>
      <c r="H550" s="422" t="str">
        <f>'16U BOYS PLATINUM-18 TEAMS'!H50&amp;""</f>
        <v>9</v>
      </c>
      <c r="I550" s="425" t="str">
        <f>'16U BOYS PLATINUM-18 TEAMS'!I50&amp;""</f>
        <v>1st-6th</v>
      </c>
      <c r="J550" s="426" t="str">
        <f>'16U BOYS PLATINUM-18 TEAMS'!J50&amp;""</f>
        <v>16U_BOYS_PLATINUM</v>
      </c>
      <c r="K550" s="426" t="str">
        <f t="shared" si="11"/>
        <v>202602011300</v>
      </c>
    </row>
    <row r="551" spans="1:11">
      <c r="A551" s="421">
        <f>'16U BOYS PLATINUM-18 TEAMS'!A51</f>
        <v>46054</v>
      </c>
      <c r="B551" s="422">
        <f>'16U BOYS PLATINUM-18 TEAMS'!B51</f>
        <v>0.58333333333333304</v>
      </c>
      <c r="C551" s="422" t="str">
        <f>'16U BOYS PLATINUM-18 TEAMS'!C51&amp;""</f>
        <v>WOOLLETT NEAR RIGHT</v>
      </c>
      <c r="D551" s="422" t="str">
        <f>'16U BOYS PLATINUM-18 TEAMS'!D51&amp;""</f>
        <v>16Bpt33</v>
      </c>
      <c r="E551" s="423" t="str">
        <f>'16U BOYS PLATINUM-18 TEAMS'!E51&amp;""</f>
        <v>H2(1stE)-CHANNEL ISLANDS UNITED GOLD</v>
      </c>
      <c r="F551" s="424" t="str">
        <f>'16U BOYS PLATINUM-18 TEAMS'!F51&amp;""</f>
        <v>11</v>
      </c>
      <c r="G551" s="425" t="str">
        <f>'16U BOYS PLATINUM-18 TEAMS'!G51&amp;""</f>
        <v>H3(1stF)-SD SHORES BLACK</v>
      </c>
      <c r="H551" s="427" t="str">
        <f>'16U BOYS PLATINUM-18 TEAMS'!H51&amp;""</f>
        <v>9</v>
      </c>
      <c r="I551" s="425" t="str">
        <f>'16U BOYS PLATINUM-18 TEAMS'!I51&amp;""</f>
        <v>1st-6th</v>
      </c>
      <c r="J551" s="426" t="str">
        <f>'16U BOYS PLATINUM-18 TEAMS'!J51&amp;""</f>
        <v>16U_BOYS_PLATINUM</v>
      </c>
      <c r="K551" s="426" t="str">
        <f t="shared" si="11"/>
        <v>202602011400</v>
      </c>
    </row>
    <row r="552" spans="1:11">
      <c r="A552" s="421">
        <f>'16U BOYS PLATINUM-18 TEAMS'!A52</f>
        <v>46054</v>
      </c>
      <c r="B552" s="422">
        <f>'16U BOYS PLATINUM-18 TEAMS'!B52</f>
        <v>0.625</v>
      </c>
      <c r="C552" s="422" t="str">
        <f>'16U BOYS PLATINUM-18 TEAMS'!C52&amp;""</f>
        <v>WOOLLETT NEAR RIGHT</v>
      </c>
      <c r="D552" s="422" t="str">
        <f>'16U BOYS PLATINUM-18 TEAMS'!D52&amp;""</f>
        <v>16Bpt35</v>
      </c>
      <c r="E552" s="423" t="str">
        <f>'16U BOYS PLATINUM-18 TEAMS'!E52&amp;""</f>
        <v>J2(2ndE)-SAN CLEMENTE RED</v>
      </c>
      <c r="F552" s="424" t="str">
        <f>'16U BOYS PLATINUM-18 TEAMS'!F52&amp;""</f>
        <v>10.5</v>
      </c>
      <c r="G552" s="425" t="str">
        <f>'16U BOYS PLATINUM-18 TEAMS'!G52&amp;""</f>
        <v>J3(2ndD)-SOUTH COAST RED (A)</v>
      </c>
      <c r="H552" s="424" t="str">
        <f>'16U BOYS PLATINUM-18 TEAMS'!H52&amp;""</f>
        <v>10.6</v>
      </c>
      <c r="I552" s="425" t="str">
        <f>'16U BOYS PLATINUM-18 TEAMS'!I52&amp;""</f>
        <v>7th-12th</v>
      </c>
      <c r="J552" s="426" t="str">
        <f>'16U BOYS PLATINUM-18 TEAMS'!J52&amp;""</f>
        <v>16U_BOYS_PLATINUM</v>
      </c>
      <c r="K552" s="426" t="str">
        <f t="shared" si="11"/>
        <v>202602011500</v>
      </c>
    </row>
    <row r="553" spans="1:11">
      <c r="A553" s="421">
        <f>'16U BOYS PLATINUM-18 TEAMS'!A53</f>
        <v>46054</v>
      </c>
      <c r="B553" s="422">
        <f>'16U BOYS PLATINUM-18 TEAMS'!B53</f>
        <v>0.66666666666666696</v>
      </c>
      <c r="C553" s="422" t="str">
        <f>'16U BOYS PLATINUM-18 TEAMS'!C53&amp;""</f>
        <v>WOOLLETT NEAR RIGHT</v>
      </c>
      <c r="D553" s="422" t="str">
        <f>'16U BOYS PLATINUM-18 TEAMS'!D53&amp;""</f>
        <v>16Bpt37</v>
      </c>
      <c r="E553" s="423" t="str">
        <f>'16U BOYS PLATINUM-18 TEAMS'!E53&amp;""</f>
        <v>2ndG-IMPERIAL WPC</v>
      </c>
      <c r="F553" s="422" t="str">
        <f>'16U BOYS PLATINUM-18 TEAMS'!F53&amp;""</f>
        <v>13</v>
      </c>
      <c r="G553" s="426" t="str">
        <f>'16U BOYS PLATINUM-18 TEAMS'!G53&amp;""</f>
        <v>2ndH-LAMORINDA A</v>
      </c>
      <c r="H553" s="422" t="str">
        <f>'16U BOYS PLATINUM-18 TEAMS'!H53&amp;""</f>
        <v>10</v>
      </c>
      <c r="I553" s="425" t="str">
        <f>'16U BOYS PLATINUM-18 TEAMS'!I53&amp;""</f>
        <v>overall 3rd</v>
      </c>
      <c r="J553" s="426" t="str">
        <f>'16U BOYS PLATINUM-18 TEAMS'!J53&amp;""</f>
        <v>16U_BOYS_PLATINUM</v>
      </c>
      <c r="K553" s="426" t="str">
        <f t="shared" si="11"/>
        <v>202602011600</v>
      </c>
    </row>
    <row r="554" spans="1:11">
      <c r="A554" s="421">
        <f>'16U BOYS PLATINUM-18 TEAMS'!A54</f>
        <v>46054</v>
      </c>
      <c r="B554" s="422">
        <f>'16U BOYS PLATINUM-18 TEAMS'!B54</f>
        <v>0.70833333333333304</v>
      </c>
      <c r="C554" s="422" t="str">
        <f>'16U BOYS PLATINUM-18 TEAMS'!C54&amp;""</f>
        <v>WOOLLETT NEAR RIGHT</v>
      </c>
      <c r="D554" s="422" t="str">
        <f>'16U BOYS PLATINUM-18 TEAMS'!D54&amp;""</f>
        <v>16Bpt38</v>
      </c>
      <c r="E554" s="423" t="str">
        <f>'16U BOYS PLATINUM-18 TEAMS'!E54&amp;""</f>
        <v>1stG-CC UNITED BLACK</v>
      </c>
      <c r="F554" s="424" t="str">
        <f>'16U BOYS PLATINUM-18 TEAMS'!F54&amp;""</f>
        <v>11</v>
      </c>
      <c r="G554" s="425" t="str">
        <f>'16U BOYS PLATINUM-18 TEAMS'!G54&amp;""</f>
        <v>1stH-CHANNEL ISLANDS UNITED GOLD</v>
      </c>
      <c r="H554" s="424" t="str">
        <f>'16U BOYS PLATINUM-18 TEAMS'!H54&amp;""</f>
        <v>8</v>
      </c>
      <c r="I554" s="425" t="str">
        <f>'16U BOYS PLATINUM-18 TEAMS'!I54&amp;""</f>
        <v>overall 1st</v>
      </c>
      <c r="J554" s="426" t="str">
        <f>'16U BOYS PLATINUM-18 TEAMS'!J54&amp;""</f>
        <v>16U_BOYS_PLATINUM</v>
      </c>
      <c r="K554" s="426" t="str">
        <f t="shared" si="11"/>
        <v>202602011700</v>
      </c>
    </row>
    <row r="555" spans="1:11">
      <c r="A555" s="432">
        <f>'19U BOYS GOLD-16 TEAMS'!A43</f>
        <v>46054</v>
      </c>
      <c r="B555" s="433">
        <f>'19U BOYS GOLD-16 TEAMS'!B43</f>
        <v>0.75</v>
      </c>
      <c r="C555" s="433" t="str">
        <f>'19U BOYS GOLD-16 TEAMS'!C43&amp;""</f>
        <v>WOOLLETT NEAR RIGHT</v>
      </c>
      <c r="D555" s="434" t="str">
        <f>'19U BOYS GOLD-16 TEAMS'!D43&amp;""</f>
        <v>19Bau23</v>
      </c>
      <c r="E555" s="434" t="str">
        <f>'19U BOYS GOLD-16 TEAMS'!E43&amp;""</f>
        <v>L#19-HIELAND</v>
      </c>
      <c r="F555" s="434" t="str">
        <f>'19U BOYS GOLD-16 TEAMS'!F43&amp;""</f>
        <v>9</v>
      </c>
      <c r="G555" s="434" t="str">
        <f>'19U BOYS GOLD-16 TEAMS'!G43&amp;""</f>
        <v>L#20-ORANGE COUNTY WPC BLUE</v>
      </c>
      <c r="H555" s="434" t="str">
        <f>'19U BOYS GOLD-16 TEAMS'!H43&amp;""</f>
        <v>10</v>
      </c>
      <c r="I555" s="434" t="str">
        <f>'19U BOYS GOLD-16 TEAMS'!I43&amp;""</f>
        <v>3rd</v>
      </c>
      <c r="J555" s="434" t="str">
        <f>'19U BOYS GOLD-16 TEAMS'!J43&amp;""</f>
        <v>19U_BOYS_GOLD</v>
      </c>
      <c r="K555" s="434" t="str">
        <f t="shared" si="11"/>
        <v>202602011800</v>
      </c>
    </row>
    <row r="556" spans="1:11">
      <c r="A556" s="406">
        <f>'16U BOYS SILVER-20 TEAMS'!A35</f>
        <v>46053</v>
      </c>
      <c r="B556" s="407">
        <f>'16U BOYS SILVER-20 TEAMS'!B35</f>
        <v>0.29166666666666669</v>
      </c>
      <c r="C556" s="407" t="str">
        <f>'16U BOYS SILVER-20 TEAMS'!C35&amp;""</f>
        <v>YORBA LINDA HS</v>
      </c>
      <c r="D556" s="408" t="str">
        <f>'16U BOYS SILVER-20 TEAMS'!D35&amp;""</f>
        <v>16Bag12</v>
      </c>
      <c r="E556" s="408" t="str">
        <f>'16U BOYS SILVER-20 TEAMS'!E35&amp;""</f>
        <v>D2-LOYOLA WPC</v>
      </c>
      <c r="F556" s="408" t="str">
        <f>'16U BOYS SILVER-20 TEAMS'!F35&amp;""</f>
        <v>8.4</v>
      </c>
      <c r="G556" s="408" t="str">
        <f>'16U BOYS SILVER-20 TEAMS'!G35&amp;""</f>
        <v>D3-CC UNITED WHITE</v>
      </c>
      <c r="H556" s="408" t="str">
        <f>'16U BOYS SILVER-20 TEAMS'!H35&amp;""</f>
        <v>8.5</v>
      </c>
      <c r="I556" s="408" t="str">
        <f>'16U BOYS SILVER-20 TEAMS'!I35&amp;""</f>
        <v>D bracket</v>
      </c>
      <c r="J556" s="408" t="str">
        <f>'16U BOYS SILVER-20 TEAMS'!J35&amp;""</f>
        <v>16U_BOYS_SILVER</v>
      </c>
      <c r="K556" s="408" t="str">
        <f t="shared" si="11"/>
        <v>202601310700</v>
      </c>
    </row>
    <row r="557" spans="1:11">
      <c r="A557" s="406">
        <f>'16U BOYS SILVER-20 TEAMS'!A36</f>
        <v>46053</v>
      </c>
      <c r="B557" s="407">
        <f>'16U BOYS SILVER-20 TEAMS'!B36</f>
        <v>0.33333333333333298</v>
      </c>
      <c r="C557" s="407" t="str">
        <f>'16U BOYS SILVER-20 TEAMS'!C36&amp;""</f>
        <v>YORBA LINDA HS</v>
      </c>
      <c r="D557" s="408" t="str">
        <f>'16U BOYS SILVER-20 TEAMS'!D36&amp;""</f>
        <v>16Bag13</v>
      </c>
      <c r="E557" s="408" t="str">
        <f>'16U BOYS SILVER-20 TEAMS'!E36&amp;""</f>
        <v>B1-SANTA CRUZ</v>
      </c>
      <c r="F557" s="408" t="str">
        <f>'16U BOYS SILVER-20 TEAMS'!F36&amp;""</f>
        <v>7</v>
      </c>
      <c r="G557" s="408" t="str">
        <f>'16U BOYS SILVER-20 TEAMS'!G36&amp;""</f>
        <v>B3-LA JOLLA UNITED SILVER</v>
      </c>
      <c r="H557" s="408" t="str">
        <f>'16U BOYS SILVER-20 TEAMS'!H36&amp;""</f>
        <v>1</v>
      </c>
      <c r="I557" s="408" t="str">
        <f>'16U BOYS SILVER-20 TEAMS'!I36&amp;""</f>
        <v>B bracket</v>
      </c>
      <c r="J557" s="408" t="str">
        <f>'16U BOYS SILVER-20 TEAMS'!J36&amp;""</f>
        <v>16U_BOYS_SILVER</v>
      </c>
      <c r="K557" s="408" t="str">
        <f t="shared" si="11"/>
        <v>202601310800</v>
      </c>
    </row>
    <row r="558" spans="1:11">
      <c r="A558" s="406">
        <f>'16U BOYS SILVER-20 TEAMS'!A37</f>
        <v>46053</v>
      </c>
      <c r="B558" s="407">
        <f>'16U BOYS SILVER-20 TEAMS'!B37</f>
        <v>0.375</v>
      </c>
      <c r="C558" s="407" t="str">
        <f>'16U BOYS SILVER-20 TEAMS'!C37&amp;""</f>
        <v>YORBA LINDA HS</v>
      </c>
      <c r="D558" s="408" t="str">
        <f>'16U BOYS SILVER-20 TEAMS'!D37&amp;""</f>
        <v>16Bag14</v>
      </c>
      <c r="E558" s="408" t="str">
        <f>'16U BOYS SILVER-20 TEAMS'!E37&amp;""</f>
        <v>C1-SET</v>
      </c>
      <c r="F558" s="408" t="str">
        <f>'16U BOYS SILVER-20 TEAMS'!F37&amp;""</f>
        <v>11</v>
      </c>
      <c r="G558" s="408" t="str">
        <f>'16U BOYS SILVER-20 TEAMS'!G37&amp;""</f>
        <v>C3-LAMORINDA B</v>
      </c>
      <c r="H558" s="408" t="str">
        <f>'16U BOYS SILVER-20 TEAMS'!H37&amp;""</f>
        <v>12</v>
      </c>
      <c r="I558" s="408" t="str">
        <f>'16U BOYS SILVER-20 TEAMS'!I37&amp;""</f>
        <v>C bracket</v>
      </c>
      <c r="J558" s="408" t="str">
        <f>'16U BOYS SILVER-20 TEAMS'!J37&amp;""</f>
        <v>16U_BOYS_SILVER</v>
      </c>
      <c r="K558" s="408" t="str">
        <f t="shared" si="11"/>
        <v>202601310900</v>
      </c>
    </row>
    <row r="559" spans="1:11">
      <c r="A559" s="406">
        <f>'16U BOYS SILVER-20 TEAMS'!A38</f>
        <v>46053</v>
      </c>
      <c r="B559" s="407">
        <f>'16U BOYS SILVER-20 TEAMS'!B38</f>
        <v>0.41666666666666702</v>
      </c>
      <c r="C559" s="407" t="str">
        <f>'16U BOYS SILVER-20 TEAMS'!C38&amp;""</f>
        <v>YORBA LINDA HS</v>
      </c>
      <c r="D559" s="408" t="str">
        <f>'16U BOYS SILVER-20 TEAMS'!D38&amp;""</f>
        <v>16Bag15</v>
      </c>
      <c r="E559" s="408" t="str">
        <f>'16U BOYS SILVER-20 TEAMS'!E38&amp;""</f>
        <v>D1-SD ECA</v>
      </c>
      <c r="F559" s="408" t="str">
        <f>'16U BOYS SILVER-20 TEAMS'!F38&amp;""</f>
        <v>8</v>
      </c>
      <c r="G559" s="408" t="str">
        <f>'16U BOYS SILVER-20 TEAMS'!G38&amp;""</f>
        <v>D3-CC UNITED WHITE</v>
      </c>
      <c r="H559" s="408" t="str">
        <f>'16U BOYS SILVER-20 TEAMS'!H38&amp;""</f>
        <v>9</v>
      </c>
      <c r="I559" s="408" t="str">
        <f>'16U BOYS SILVER-20 TEAMS'!I38&amp;""</f>
        <v>D bracket</v>
      </c>
      <c r="J559" s="408" t="str">
        <f>'16U BOYS SILVER-20 TEAMS'!J38&amp;""</f>
        <v>16U_BOYS_SILVER</v>
      </c>
      <c r="K559" s="408" t="str">
        <f t="shared" si="11"/>
        <v>202601311000</v>
      </c>
    </row>
    <row r="560" spans="1:11">
      <c r="A560" s="421">
        <f>'16U BOYS PLATINUM-18 TEAMS'!A32</f>
        <v>46053</v>
      </c>
      <c r="B560" s="422">
        <f>'16U BOYS PLATINUM-18 TEAMS'!B32</f>
        <v>0.45833333333333298</v>
      </c>
      <c r="C560" s="422" t="str">
        <f>'16U BOYS PLATINUM-18 TEAMS'!C32&amp;""</f>
        <v>YORBA LINDA HS</v>
      </c>
      <c r="D560" s="422" t="str">
        <f>'16U BOYS PLATINUM-18 TEAMS'!D32&amp;""</f>
        <v>16Bpt02</v>
      </c>
      <c r="E560" s="423" t="str">
        <f>'16U BOYS PLATINUM-18 TEAMS'!E32&amp;""</f>
        <v>D1-LAMORINDA A</v>
      </c>
      <c r="F560" s="424" t="str">
        <f>'16U BOYS PLATINUM-18 TEAMS'!F32&amp;""</f>
        <v>15</v>
      </c>
      <c r="G560" s="425" t="str">
        <f>'16U BOYS PLATINUM-18 TEAMS'!G32&amp;""</f>
        <v>D3-SANTA CRUZ</v>
      </c>
      <c r="H560" s="427" t="str">
        <f>'16U BOYS PLATINUM-18 TEAMS'!H32&amp;""</f>
        <v>5</v>
      </c>
      <c r="I560" s="425" t="str">
        <f>'16U BOYS PLATINUM-18 TEAMS'!I32&amp;""</f>
        <v>D bracket D1,D3</v>
      </c>
      <c r="J560" s="426" t="str">
        <f>'16U BOYS PLATINUM-18 TEAMS'!J32&amp;""</f>
        <v>16U_BOYS_PLATINUM</v>
      </c>
      <c r="K560" s="426" t="str">
        <f t="shared" si="11"/>
        <v>202601311100</v>
      </c>
    </row>
    <row r="561" spans="1:11">
      <c r="A561" s="421">
        <f>'16U BOYS PLATINUM-18 TEAMS'!A33</f>
        <v>46053</v>
      </c>
      <c r="B561" s="422">
        <f>'16U BOYS PLATINUM-18 TEAMS'!B33</f>
        <v>0.5</v>
      </c>
      <c r="C561" s="422" t="str">
        <f>'16U BOYS PLATINUM-18 TEAMS'!C33&amp;""</f>
        <v>YORBA LINDA HS</v>
      </c>
      <c r="D561" s="422" t="str">
        <f>'16U BOYS PLATINUM-18 TEAMS'!D33&amp;""</f>
        <v>16Bpt04</v>
      </c>
      <c r="E561" s="423" t="str">
        <f>'16U BOYS PLATINUM-18 TEAMS'!E33&amp;""</f>
        <v>E1-CHANNEL ISLANDS UNITED GOLD</v>
      </c>
      <c r="F561" s="424" t="str">
        <f>'16U BOYS PLATINUM-18 TEAMS'!F33&amp;""</f>
        <v>13</v>
      </c>
      <c r="G561" s="425" t="str">
        <f>'16U BOYS PLATINUM-18 TEAMS'!G33&amp;""</f>
        <v>E3-SAN CLEMENTE RED</v>
      </c>
      <c r="H561" s="424" t="str">
        <f>'16U BOYS PLATINUM-18 TEAMS'!H33&amp;""</f>
        <v>9</v>
      </c>
      <c r="I561" s="425" t="str">
        <f>'16U BOYS PLATINUM-18 TEAMS'!I33&amp;""</f>
        <v>E bracket E1,E3</v>
      </c>
      <c r="J561" s="426" t="str">
        <f>'16U BOYS PLATINUM-18 TEAMS'!J33&amp;""</f>
        <v>16U_BOYS_PLATINUM</v>
      </c>
      <c r="K561" s="426" t="str">
        <f t="shared" si="11"/>
        <v>202601311200</v>
      </c>
    </row>
    <row r="562" spans="1:11">
      <c r="A562" s="421">
        <f>'16U BOYS PLATINUM-18 TEAMS'!A34</f>
        <v>46053</v>
      </c>
      <c r="B562" s="422">
        <f>'16U BOYS PLATINUM-18 TEAMS'!B34</f>
        <v>0.54166666666666696</v>
      </c>
      <c r="C562" s="422" t="str">
        <f>'16U BOYS PLATINUM-18 TEAMS'!C34&amp;""</f>
        <v>YORBA LINDA HS</v>
      </c>
      <c r="D562" s="422" t="str">
        <f>'16U BOYS PLATINUM-18 TEAMS'!D34&amp;""</f>
        <v>16Bpt06</v>
      </c>
      <c r="E562" s="423" t="str">
        <f>'16U BOYS PLATINUM-18 TEAMS'!E34&amp;""</f>
        <v>F1-SD SHORES BLACK</v>
      </c>
      <c r="F562" s="422" t="str">
        <f>'16U BOYS PLATINUM-18 TEAMS'!F34&amp;""</f>
        <v>13</v>
      </c>
      <c r="G562" s="426" t="str">
        <f>'16U BOYS PLATINUM-18 TEAMS'!G34&amp;""</f>
        <v>F3-ASPHALT GREEN</v>
      </c>
      <c r="H562" s="422" t="str">
        <f>'16U BOYS PLATINUM-18 TEAMS'!H34&amp;""</f>
        <v>10</v>
      </c>
      <c r="I562" s="425" t="str">
        <f>'16U BOYS PLATINUM-18 TEAMS'!I34&amp;""</f>
        <v>F bracket F1,F3</v>
      </c>
      <c r="J562" s="426" t="str">
        <f>'16U BOYS PLATINUM-18 TEAMS'!J34&amp;""</f>
        <v>16U_BOYS_PLATINUM</v>
      </c>
      <c r="K562" s="426" t="str">
        <f t="shared" ref="K562:K580" si="12">TEXT(DATE(2026, MONTH(A562), DAY(A562)) + TIME(HOUR(B562), MINUTE(B562), 0), "yyyymmddhhmm")</f>
        <v>202601311300</v>
      </c>
    </row>
    <row r="563" spans="1:11">
      <c r="A563" s="421">
        <f>'16U BOYS PLATINUM-18 TEAMS'!A35</f>
        <v>46053</v>
      </c>
      <c r="B563" s="422">
        <f>'16U BOYS PLATINUM-18 TEAMS'!B35</f>
        <v>0.58333333333333304</v>
      </c>
      <c r="C563" s="422" t="str">
        <f>'16U BOYS PLATINUM-18 TEAMS'!C35&amp;""</f>
        <v>YORBA LINDA HS</v>
      </c>
      <c r="D563" s="422" t="str">
        <f>'16U BOYS PLATINUM-18 TEAMS'!D35&amp;""</f>
        <v>16Bpt08</v>
      </c>
      <c r="E563" s="423" t="str">
        <f>'16U BOYS PLATINUM-18 TEAMS'!E35&amp;""</f>
        <v>D2-SOUTH COAST RED (A)</v>
      </c>
      <c r="F563" s="424" t="str">
        <f>'16U BOYS PLATINUM-18 TEAMS'!F35&amp;""</f>
        <v>9</v>
      </c>
      <c r="G563" s="425" t="str">
        <f>'16U BOYS PLATINUM-18 TEAMS'!G35&amp;""</f>
        <v>D3-SANTA CRUZ</v>
      </c>
      <c r="H563" s="424" t="str">
        <f>'16U BOYS PLATINUM-18 TEAMS'!H35&amp;""</f>
        <v>8</v>
      </c>
      <c r="I563" s="425" t="str">
        <f>'16U BOYS PLATINUM-18 TEAMS'!I35&amp;""</f>
        <v>D bracket D2,D3</v>
      </c>
      <c r="J563" s="426" t="str">
        <f>'16U BOYS PLATINUM-18 TEAMS'!J35&amp;""</f>
        <v>16U_BOYS_PLATINUM</v>
      </c>
      <c r="K563" s="426" t="str">
        <f t="shared" si="12"/>
        <v>202601311400</v>
      </c>
    </row>
    <row r="564" spans="1:11">
      <c r="A564" s="421">
        <f>'16U BOYS PLATINUM-18 TEAMS'!A36</f>
        <v>46053</v>
      </c>
      <c r="B564" s="422">
        <f>'16U BOYS PLATINUM-18 TEAMS'!B36</f>
        <v>0.625</v>
      </c>
      <c r="C564" s="422" t="str">
        <f>'16U BOYS PLATINUM-18 TEAMS'!C36&amp;""</f>
        <v>YORBA LINDA HS</v>
      </c>
      <c r="D564" s="422" t="str">
        <f>'16U BOYS PLATINUM-18 TEAMS'!D36&amp;""</f>
        <v>16Bpt10</v>
      </c>
      <c r="E564" s="423" t="str">
        <f>'16U BOYS PLATINUM-18 TEAMS'!E36&amp;""</f>
        <v>E1-CHANNEL ISLANDS UNITED GOLD</v>
      </c>
      <c r="F564" s="422" t="str">
        <f>'16U BOYS PLATINUM-18 TEAMS'!F36&amp;""</f>
        <v>10.4</v>
      </c>
      <c r="G564" s="426" t="str">
        <f>'16U BOYS PLATINUM-18 TEAMS'!G36&amp;""</f>
        <v>E2-TROJAN CARDINAL</v>
      </c>
      <c r="H564" s="422" t="str">
        <f>'16U BOYS PLATINUM-18 TEAMS'!H36&amp;""</f>
        <v>10.1</v>
      </c>
      <c r="I564" s="425" t="str">
        <f>'16U BOYS PLATINUM-18 TEAMS'!I36&amp;""</f>
        <v>E bracket E1,E2</v>
      </c>
      <c r="J564" s="426" t="str">
        <f>'16U BOYS PLATINUM-18 TEAMS'!J36&amp;""</f>
        <v>16U_BOYS_PLATINUM</v>
      </c>
      <c r="K564" s="426" t="str">
        <f t="shared" si="12"/>
        <v>202601311500</v>
      </c>
    </row>
    <row r="565" spans="1:11">
      <c r="A565" s="421">
        <f>'16U BOYS PLATINUM-18 TEAMS'!A37</f>
        <v>46053</v>
      </c>
      <c r="B565" s="422">
        <f>'16U BOYS PLATINUM-18 TEAMS'!B37</f>
        <v>0.66666666666666696</v>
      </c>
      <c r="C565" s="422" t="str">
        <f>'16U BOYS PLATINUM-18 TEAMS'!C37&amp;""</f>
        <v>YORBA LINDA HS</v>
      </c>
      <c r="D565" s="422" t="str">
        <f>'16U BOYS PLATINUM-18 TEAMS'!D37&amp;""</f>
        <v>16Bpt12</v>
      </c>
      <c r="E565" s="423" t="str">
        <f>'16U BOYS PLATINUM-18 TEAMS'!E37&amp;""</f>
        <v>F2-SHAQ</v>
      </c>
      <c r="F565" s="424" t="str">
        <f>'16U BOYS PLATINUM-18 TEAMS'!F37&amp;""</f>
        <v>11</v>
      </c>
      <c r="G565" s="425" t="str">
        <f>'16U BOYS PLATINUM-18 TEAMS'!G37&amp;""</f>
        <v>F3-ASPHALT GREEN</v>
      </c>
      <c r="H565" s="427" t="str">
        <f>'16U BOYS PLATINUM-18 TEAMS'!H37&amp;""</f>
        <v>9</v>
      </c>
      <c r="I565" s="425" t="str">
        <f>'16U BOYS PLATINUM-18 TEAMS'!I37&amp;""</f>
        <v>F bracket F2,F3</v>
      </c>
      <c r="J565" s="426" t="str">
        <f>'16U BOYS PLATINUM-18 TEAMS'!J37&amp;""</f>
        <v>16U_BOYS_PLATINUM</v>
      </c>
      <c r="K565" s="426" t="str">
        <f t="shared" si="12"/>
        <v>202601311600</v>
      </c>
    </row>
    <row r="566" spans="1:11">
      <c r="A566" s="421">
        <f>'16U BOYS PLATINUM-18 TEAMS'!A38</f>
        <v>46053</v>
      </c>
      <c r="B566" s="422">
        <f>'16U BOYS PLATINUM-18 TEAMS'!B38</f>
        <v>0.70833333333333304</v>
      </c>
      <c r="C566" s="422" t="str">
        <f>'16U BOYS PLATINUM-18 TEAMS'!C38&amp;""</f>
        <v>YORBA LINDA HS</v>
      </c>
      <c r="D566" s="422" t="str">
        <f>'16U BOYS PLATINUM-18 TEAMS'!D38&amp;""</f>
        <v>16Bpt14</v>
      </c>
      <c r="E566" s="423" t="str">
        <f>'16U BOYS PLATINUM-18 TEAMS'!E38&amp;""</f>
        <v>D1-LAMORINDA A</v>
      </c>
      <c r="F566" s="424" t="str">
        <f>'16U BOYS PLATINUM-18 TEAMS'!F38&amp;""</f>
        <v>15</v>
      </c>
      <c r="G566" s="425" t="str">
        <f>'16U BOYS PLATINUM-18 TEAMS'!G38&amp;""</f>
        <v>D2-SOUTH COAST RED (A)</v>
      </c>
      <c r="H566" s="424" t="str">
        <f>'16U BOYS PLATINUM-18 TEAMS'!H38&amp;""</f>
        <v>8</v>
      </c>
      <c r="I566" s="425" t="str">
        <f>'16U BOYS PLATINUM-18 TEAMS'!I38&amp;""</f>
        <v>D bracket D1,D2</v>
      </c>
      <c r="J566" s="426" t="str">
        <f>'16U BOYS PLATINUM-18 TEAMS'!J38&amp;""</f>
        <v>16U_BOYS_PLATINUM</v>
      </c>
      <c r="K566" s="426" t="str">
        <f t="shared" si="12"/>
        <v>202601311700</v>
      </c>
    </row>
    <row r="567" spans="1:11">
      <c r="A567" s="421">
        <f>'16U BOYS PLATINUM-18 TEAMS'!A39</f>
        <v>46053</v>
      </c>
      <c r="B567" s="422">
        <f>'16U BOYS PLATINUM-18 TEAMS'!B39</f>
        <v>0.75</v>
      </c>
      <c r="C567" s="422" t="str">
        <f>'16U BOYS PLATINUM-18 TEAMS'!C39&amp;""</f>
        <v>YORBA LINDA HS</v>
      </c>
      <c r="D567" s="422" t="str">
        <f>'16U BOYS PLATINUM-18 TEAMS'!D39&amp;""</f>
        <v>16Bpt16</v>
      </c>
      <c r="E567" s="423" t="str">
        <f>'16U BOYS PLATINUM-18 TEAMS'!E39&amp;""</f>
        <v>E2-TROJAN CARDINAL</v>
      </c>
      <c r="F567" s="424" t="str">
        <f>'16U BOYS PLATINUM-18 TEAMS'!F39&amp;""</f>
        <v>9.4</v>
      </c>
      <c r="G567" s="425" t="str">
        <f>'16U BOYS PLATINUM-18 TEAMS'!G39&amp;""</f>
        <v>E3-SAN CLEMENTE RED</v>
      </c>
      <c r="H567" s="427" t="str">
        <f>'16U BOYS PLATINUM-18 TEAMS'!H39&amp;""</f>
        <v>9.5</v>
      </c>
      <c r="I567" s="425" t="str">
        <f>'16U BOYS PLATINUM-18 TEAMS'!I39&amp;""</f>
        <v>E bracket E2,E3</v>
      </c>
      <c r="J567" s="426" t="str">
        <f>'16U BOYS PLATINUM-18 TEAMS'!J39&amp;""</f>
        <v>16U_BOYS_PLATINUM</v>
      </c>
      <c r="K567" s="426" t="str">
        <f t="shared" si="12"/>
        <v>202601311800</v>
      </c>
    </row>
    <row r="568" spans="1:11">
      <c r="A568" s="421">
        <f>'16U BOYS PLATINUM-18 TEAMS'!A40</f>
        <v>46053</v>
      </c>
      <c r="B568" s="422">
        <f>'16U BOYS PLATINUM-18 TEAMS'!B40</f>
        <v>0.79166666666666696</v>
      </c>
      <c r="C568" s="422" t="str">
        <f>'16U BOYS PLATINUM-18 TEAMS'!C40&amp;""</f>
        <v>YORBA LINDA HS</v>
      </c>
      <c r="D568" s="422" t="str">
        <f>'16U BOYS PLATINUM-18 TEAMS'!D40&amp;""</f>
        <v>16Bpt18</v>
      </c>
      <c r="E568" s="423" t="str">
        <f>'16U BOYS PLATINUM-18 TEAMS'!E40&amp;""</f>
        <v>F1-SD SHORES BLACK</v>
      </c>
      <c r="F568" s="424" t="str">
        <f>'16U BOYS PLATINUM-18 TEAMS'!F40&amp;""</f>
        <v>14</v>
      </c>
      <c r="G568" s="425" t="str">
        <f>'16U BOYS PLATINUM-18 TEAMS'!G40&amp;""</f>
        <v>F2-SHAQ</v>
      </c>
      <c r="H568" s="424" t="str">
        <f>'16U BOYS PLATINUM-18 TEAMS'!H40&amp;""</f>
        <v>10</v>
      </c>
      <c r="I568" s="425" t="str">
        <f>'16U BOYS PLATINUM-18 TEAMS'!I40&amp;""</f>
        <v>F bracket F1,F2</v>
      </c>
      <c r="J568" s="426" t="str">
        <f>'16U BOYS PLATINUM-18 TEAMS'!J40&amp;""</f>
        <v>16U_BOYS_PLATINUM</v>
      </c>
      <c r="K568" s="426" t="str">
        <f t="shared" si="12"/>
        <v>202601311900</v>
      </c>
    </row>
    <row r="569" spans="1:11">
      <c r="A569" s="406">
        <f>'16U BOYS SILVER-20 TEAMS'!A63</f>
        <v>46054</v>
      </c>
      <c r="B569" s="407">
        <f>'16U BOYS SILVER-20 TEAMS'!B63</f>
        <v>0.29166666666666669</v>
      </c>
      <c r="C569" s="407" t="str">
        <f>'16U BOYS SILVER-20 TEAMS'!C63&amp;""</f>
        <v>YORBA LINDA HS</v>
      </c>
      <c r="D569" s="408" t="str">
        <f>'16U BOYS SILVER-20 TEAMS'!D63&amp;""</f>
        <v>16Bag36</v>
      </c>
      <c r="E569" s="408" t="str">
        <f>'16U BOYS SILVER-20 TEAMS'!E63&amp;""</f>
        <v>I1(3rdA)-BOA WHITE</v>
      </c>
      <c r="F569" s="408" t="str">
        <f>'16U BOYS SILVER-20 TEAMS'!F63&amp;""</f>
        <v>5</v>
      </c>
      <c r="G569" s="408" t="str">
        <f>'16U BOYS SILVER-20 TEAMS'!G63&amp;""</f>
        <v>I4(4thE)-SHORE AQUATICS</v>
      </c>
      <c r="H569" s="408" t="str">
        <f>'16U BOYS SILVER-20 TEAMS'!H63&amp;""</f>
        <v>8</v>
      </c>
      <c r="I569" s="408" t="str">
        <f>'16U BOYS SILVER-20 TEAMS'!I63&amp;""</f>
        <v>W/L I</v>
      </c>
      <c r="J569" s="408" t="str">
        <f>'16U BOYS SILVER-20 TEAMS'!J63&amp;""</f>
        <v>16U_BOYS_SILVER</v>
      </c>
      <c r="K569" s="408" t="str">
        <f t="shared" si="12"/>
        <v>202602010700</v>
      </c>
    </row>
    <row r="570" spans="1:11">
      <c r="A570" s="435">
        <f>'19U BOYS PLATINUM-27 TEAMS'!A71</f>
        <v>46054</v>
      </c>
      <c r="B570" s="436">
        <f>'19U BOYS PLATINUM-27 TEAMS'!B71</f>
        <v>0.33333333333333298</v>
      </c>
      <c r="C570" s="437" t="str">
        <f>'19U BOYS PLATINUM-27 TEAMS'!C71&amp;""</f>
        <v>YORBA LINDA HS</v>
      </c>
      <c r="D570" s="437" t="str">
        <f>'19U BOYS PLATINUM-27 TEAMS'!D71&amp;""</f>
        <v>19Bpt48</v>
      </c>
      <c r="E570" s="438" t="str">
        <f>'19U BOYS PLATINUM-27 TEAMS'!E71&amp;""</f>
        <v>N1(3rdA)-LV LEGENDS</v>
      </c>
      <c r="F570" s="438" t="str">
        <f>'19U BOYS PLATINUM-27 TEAMS'!F71&amp;""</f>
        <v>11</v>
      </c>
      <c r="G570" s="438" t="str">
        <f>'19U BOYS PLATINUM-27 TEAMS'!G71&amp;""</f>
        <v>N2(3rdG)-SAN JOSE EXPRESS BLUE</v>
      </c>
      <c r="H570" s="438" t="str">
        <f>'19U BOYS PLATINUM-27 TEAMS'!H71&amp;""</f>
        <v>10</v>
      </c>
      <c r="I570" s="437" t="str">
        <f>'19U BOYS PLATINUM-27 TEAMS'!I71&amp;""</f>
        <v>N bracket</v>
      </c>
      <c r="J570" s="438" t="str">
        <f>'19U BOYS PLATINUM-27 TEAMS'!J71&amp;""</f>
        <v>19U_BOYS_PLATINUM</v>
      </c>
      <c r="K570" s="438" t="str">
        <f t="shared" si="12"/>
        <v>202602010800</v>
      </c>
    </row>
    <row r="571" spans="1:11">
      <c r="A571" s="435">
        <f>'19U BOYS PLATINUM-27 TEAMS'!A72</f>
        <v>46054</v>
      </c>
      <c r="B571" s="436">
        <f>'19U BOYS PLATINUM-27 TEAMS'!B72</f>
        <v>0.375</v>
      </c>
      <c r="C571" s="437" t="str">
        <f>'19U BOYS PLATINUM-27 TEAMS'!C72&amp;""</f>
        <v>YORBA LINDA HS</v>
      </c>
      <c r="D571" s="437" t="str">
        <f>'19U BOYS PLATINUM-27 TEAMS'!D72&amp;""</f>
        <v>19Bpt38</v>
      </c>
      <c r="E571" s="438" t="str">
        <f>'19U BOYS PLATINUM-27 TEAMS'!E72&amp;""</f>
        <v>O1(3rdE)-CHULA VISTA PREMIER</v>
      </c>
      <c r="F571" s="438" t="str">
        <f>'19U BOYS PLATINUM-27 TEAMS'!F72&amp;""</f>
        <v>8</v>
      </c>
      <c r="G571" s="438" t="str">
        <f>'19U BOYS PLATINUM-27 TEAMS'!G72&amp;""</f>
        <v>O3(4thG)-CC UNITED BLUE</v>
      </c>
      <c r="H571" s="438" t="str">
        <f>'19U BOYS PLATINUM-27 TEAMS'!H72&amp;""</f>
        <v>14</v>
      </c>
      <c r="I571" s="437" t="str">
        <f>'19U BOYS PLATINUM-27 TEAMS'!I72&amp;""</f>
        <v>W/L O</v>
      </c>
      <c r="J571" s="438" t="str">
        <f>'19U BOYS PLATINUM-27 TEAMS'!J72&amp;""</f>
        <v>19U_BOYS_PLATINUM</v>
      </c>
      <c r="K571" s="438" t="str">
        <f t="shared" si="12"/>
        <v>202602010900</v>
      </c>
    </row>
    <row r="572" spans="1:11">
      <c r="A572" s="435">
        <f>'19U BOYS PLATINUM-27 TEAMS'!A73</f>
        <v>46054</v>
      </c>
      <c r="B572" s="436">
        <f>'19U BOYS PLATINUM-27 TEAMS'!B73</f>
        <v>0.41666666666666702</v>
      </c>
      <c r="C572" s="437" t="str">
        <f>'19U BOYS PLATINUM-27 TEAMS'!C73&amp;""</f>
        <v>YORBA LINDA HS</v>
      </c>
      <c r="D572" s="437" t="str">
        <f>'19U BOYS PLATINUM-27 TEAMS'!D73&amp;""</f>
        <v>19Bpt40</v>
      </c>
      <c r="E572" s="438" t="str">
        <f>'19U BOYS PLATINUM-27 TEAMS'!E73&amp;""</f>
        <v>P1(3rdF)-SHADOW MEN</v>
      </c>
      <c r="F572" s="438" t="str">
        <f>'19U BOYS PLATINUM-27 TEAMS'!F73&amp;""</f>
        <v>20</v>
      </c>
      <c r="G572" s="438" t="str">
        <f>'19U BOYS PLATINUM-27 TEAMS'!G73&amp;""</f>
        <v>P3(4thH)-FOOTHILL BLACK</v>
      </c>
      <c r="H572" s="438" t="str">
        <f>'19U BOYS PLATINUM-27 TEAMS'!H73&amp;""</f>
        <v>14</v>
      </c>
      <c r="I572" s="437" t="str">
        <f>'19U BOYS PLATINUM-27 TEAMS'!I73&amp;""</f>
        <v>W/L P</v>
      </c>
      <c r="J572" s="438" t="str">
        <f>'19U BOYS PLATINUM-27 TEAMS'!J73&amp;""</f>
        <v>19U_BOYS_PLATINUM</v>
      </c>
      <c r="K572" s="438" t="str">
        <f t="shared" si="12"/>
        <v>202602011000</v>
      </c>
    </row>
    <row r="573" spans="1:11">
      <c r="A573" s="435">
        <f>'19U BOYS PLATINUM-27 TEAMS'!A74</f>
        <v>46054</v>
      </c>
      <c r="B573" s="436">
        <f>'19U BOYS PLATINUM-27 TEAMS'!B74</f>
        <v>0.45833333333333298</v>
      </c>
      <c r="C573" s="437" t="str">
        <f>'19U BOYS PLATINUM-27 TEAMS'!C74&amp;""</f>
        <v>YORBA LINDA HS</v>
      </c>
      <c r="D573" s="437" t="str">
        <f>'19U BOYS PLATINUM-27 TEAMS'!D74&amp;""</f>
        <v>19Bpt41</v>
      </c>
      <c r="E573" s="438" t="str">
        <f>'19U BOYS PLATINUM-27 TEAMS'!E74&amp;""</f>
        <v>P2(3rdB)-IMPERIAL BLUE</v>
      </c>
      <c r="F573" s="438" t="str">
        <f>'19U BOYS PLATINUM-27 TEAMS'!F74&amp;""</f>
        <v>13</v>
      </c>
      <c r="G573" s="438" t="str">
        <f>'19U BOYS PLATINUM-27 TEAMS'!G74&amp;""</f>
        <v>P3(4thD)-SUPREME</v>
      </c>
      <c r="H573" s="438" t="str">
        <f>'19U BOYS PLATINUM-27 TEAMS'!H74&amp;""</f>
        <v>9</v>
      </c>
      <c r="I573" s="437" t="str">
        <f>'19U BOYS PLATINUM-27 TEAMS'!I74&amp;""</f>
        <v>W/L P</v>
      </c>
      <c r="J573" s="438" t="str">
        <f>'19U BOYS PLATINUM-27 TEAMS'!J74&amp;""</f>
        <v>19U_BOYS_PLATINUM</v>
      </c>
      <c r="K573" s="438" t="str">
        <f t="shared" si="12"/>
        <v>202602011100</v>
      </c>
    </row>
    <row r="574" spans="1:11">
      <c r="A574" s="435">
        <f>'19U BOYS PLATINUM-27 TEAMS'!A75</f>
        <v>46054</v>
      </c>
      <c r="B574" s="436">
        <f>'19U BOYS PLATINUM-27 TEAMS'!B75</f>
        <v>0.5</v>
      </c>
      <c r="C574" s="437" t="str">
        <f>'19U BOYS PLATINUM-27 TEAMS'!C75&amp;""</f>
        <v>YORBA LINDA HS</v>
      </c>
      <c r="D574" s="437" t="str">
        <f>'19U BOYS PLATINUM-27 TEAMS'!D75&amp;""</f>
        <v>19Bpt42</v>
      </c>
      <c r="E574" s="438" t="str">
        <f>'19U BOYS PLATINUM-27 TEAMS'!E75&amp;""</f>
        <v>N1(3rdA)-LV LEGENDS</v>
      </c>
      <c r="F574" s="438" t="str">
        <f>'19U BOYS PLATINUM-27 TEAMS'!F75&amp;""</f>
        <v>3</v>
      </c>
      <c r="G574" s="438" t="str">
        <f>'19U BOYS PLATINUM-27 TEAMS'!G75&amp;""</f>
        <v>N3(3rdH)-SHAQ</v>
      </c>
      <c r="H574" s="438" t="str">
        <f>'19U BOYS PLATINUM-27 TEAMS'!H75&amp;""</f>
        <v>14</v>
      </c>
      <c r="I574" s="437" t="str">
        <f>'19U BOYS PLATINUM-27 TEAMS'!I75&amp;""</f>
        <v>N bracket</v>
      </c>
      <c r="J574" s="438" t="str">
        <f>'19U BOYS PLATINUM-27 TEAMS'!J75&amp;""</f>
        <v>19U_BOYS_PLATINUM</v>
      </c>
      <c r="K574" s="438" t="str">
        <f t="shared" si="12"/>
        <v>202602011200</v>
      </c>
    </row>
    <row r="575" spans="1:11">
      <c r="A575" s="432">
        <f>'19U BOYS GOLD-16 TEAMS'!A33</f>
        <v>46054</v>
      </c>
      <c r="B575" s="433">
        <f>'19U BOYS GOLD-16 TEAMS'!B33</f>
        <v>0.54166666666666696</v>
      </c>
      <c r="C575" s="433" t="str">
        <f>'19U BOYS GOLD-16 TEAMS'!C33&amp;""</f>
        <v>YORBA LINDA HS</v>
      </c>
      <c r="D575" s="434" t="str">
        <f>'19U BOYS GOLD-16 TEAMS'!D33&amp;""</f>
        <v>19Bau22</v>
      </c>
      <c r="E575" s="434" t="str">
        <f>'19U BOYS GOLD-16 TEAMS'!E33&amp;""</f>
        <v>2ndC-AMERICAN RIVER GOLD</v>
      </c>
      <c r="F575" s="434" t="str">
        <f>'19U BOYS GOLD-16 TEAMS'!F33&amp;""</f>
        <v>8</v>
      </c>
      <c r="G575" s="434" t="str">
        <f>'19U BOYS GOLD-16 TEAMS'!G33&amp;""</f>
        <v>2ndB-MID PEN</v>
      </c>
      <c r="H575" s="434" t="str">
        <f>'19U BOYS GOLD-16 TEAMS'!H33&amp;""</f>
        <v>6</v>
      </c>
      <c r="I575" s="434" t="str">
        <f>'19U BOYS GOLD-16 TEAMS'!I33&amp;""</f>
        <v>5-8 semi 2C/2B</v>
      </c>
      <c r="J575" s="434" t="str">
        <f>'19U BOYS GOLD-16 TEAMS'!J33&amp;""</f>
        <v>19U_BOYS_GOLD</v>
      </c>
      <c r="K575" s="434" t="str">
        <f t="shared" si="12"/>
        <v>202602011300</v>
      </c>
    </row>
    <row r="576" spans="1:11">
      <c r="A576" s="435">
        <f>'19U BOYS PLATINUM-27 TEAMS'!A77</f>
        <v>46054</v>
      </c>
      <c r="B576" s="436">
        <f>'19U BOYS PLATINUM-27 TEAMS'!B77</f>
        <v>0.58333333333333304</v>
      </c>
      <c r="C576" s="437" t="str">
        <f>'19U BOYS PLATINUM-27 TEAMS'!C77&amp;""</f>
        <v>YORBA LINDA HS</v>
      </c>
      <c r="D576" s="437" t="str">
        <f>'19U BOYS PLATINUM-27 TEAMS'!D77&amp;""</f>
        <v>19Bpt43</v>
      </c>
      <c r="E576" s="438" t="str">
        <f>'19U BOYS PLATINUM-27 TEAMS'!E77&amp;""</f>
        <v>W#38-CC UNITED BLUE</v>
      </c>
      <c r="F576" s="438" t="str">
        <f>'19U BOYS PLATINUM-27 TEAMS'!F77&amp;""</f>
        <v>10</v>
      </c>
      <c r="G576" s="438" t="str">
        <f>'19U BOYS PLATINUM-27 TEAMS'!G77&amp;""</f>
        <v>W#39-NORTH IRVINE BLACK</v>
      </c>
      <c r="H576" s="438" t="str">
        <f>'19U BOYS PLATINUM-27 TEAMS'!H77&amp;""</f>
        <v>18</v>
      </c>
      <c r="I576" s="437" t="str">
        <f>'19U BOYS PLATINUM-27 TEAMS'!I77&amp;""</f>
        <v>1st/2ndO</v>
      </c>
      <c r="J576" s="438" t="str">
        <f>'19U BOYS PLATINUM-27 TEAMS'!J77&amp;""</f>
        <v>19U_BOYS_PLATINUM</v>
      </c>
      <c r="K576" s="438" t="str">
        <f t="shared" si="12"/>
        <v>202602011400</v>
      </c>
    </row>
    <row r="577" spans="1:11">
      <c r="A577" s="435">
        <f>'19U BOYS PLATINUM-27 TEAMS'!A78</f>
        <v>46054</v>
      </c>
      <c r="B577" s="436">
        <f>'19U BOYS PLATINUM-27 TEAMS'!B78</f>
        <v>0.625</v>
      </c>
      <c r="C577" s="437" t="str">
        <f>'19U BOYS PLATINUM-27 TEAMS'!C78&amp;""</f>
        <v>YORBA LINDA HS</v>
      </c>
      <c r="D577" s="437" t="str">
        <f>'19U BOYS PLATINUM-27 TEAMS'!D78&amp;""</f>
        <v>19Bpt44</v>
      </c>
      <c r="E577" s="438" t="str">
        <f>'19U BOYS PLATINUM-27 TEAMS'!E78&amp;""</f>
        <v>L#38-CHULA VISTA PREMIER</v>
      </c>
      <c r="F577" s="438" t="str">
        <f>'19U BOYS PLATINUM-27 TEAMS'!F78&amp;""</f>
        <v>5</v>
      </c>
      <c r="G577" s="438" t="str">
        <f>'19U BOYS PLATINUM-27 TEAMS'!G78&amp;""</f>
        <v>L#39-SOUTH COAST RED (A)</v>
      </c>
      <c r="H577" s="438" t="str">
        <f>'19U BOYS PLATINUM-27 TEAMS'!H78&amp;""</f>
        <v>16</v>
      </c>
      <c r="I577" s="437" t="str">
        <f>'19U BOYS PLATINUM-27 TEAMS'!I78&amp;""</f>
        <v>3rd/4thO</v>
      </c>
      <c r="J577" s="438" t="str">
        <f>'19U BOYS PLATINUM-27 TEAMS'!J78&amp;""</f>
        <v>19U_BOYS_PLATINUM</v>
      </c>
      <c r="K577" s="438" t="str">
        <f t="shared" si="12"/>
        <v>202602011500</v>
      </c>
    </row>
    <row r="578" spans="1:11">
      <c r="A578" s="435">
        <f>'19U BOYS PLATINUM-27 TEAMS'!A79</f>
        <v>46054</v>
      </c>
      <c r="B578" s="436">
        <f>'19U BOYS PLATINUM-27 TEAMS'!B79</f>
        <v>0.66666666666666696</v>
      </c>
      <c r="C578" s="437" t="str">
        <f>'19U BOYS PLATINUM-27 TEAMS'!C79&amp;""</f>
        <v>YORBA LINDA HS</v>
      </c>
      <c r="D578" s="437" t="str">
        <f>'19U BOYS PLATINUM-27 TEAMS'!D79&amp;""</f>
        <v>19Bpt45</v>
      </c>
      <c r="E578" s="438" t="str">
        <f>'19U BOYS PLATINUM-27 TEAMS'!E79&amp;""</f>
        <v>N2(3rdG)-SAN JOSE EXPRESS BLUE</v>
      </c>
      <c r="F578" s="438" t="str">
        <f>'19U BOYS PLATINUM-27 TEAMS'!F79&amp;""</f>
        <v>11</v>
      </c>
      <c r="G578" s="438" t="str">
        <f>'19U BOYS PLATINUM-27 TEAMS'!G79&amp;""</f>
        <v>N3(3rdH)-SHAQ</v>
      </c>
      <c r="H578" s="438" t="str">
        <f>'19U BOYS PLATINUM-27 TEAMS'!H79&amp;""</f>
        <v>21</v>
      </c>
      <c r="I578" s="437" t="str">
        <f>'19U BOYS PLATINUM-27 TEAMS'!I79&amp;""</f>
        <v>N bracket</v>
      </c>
      <c r="J578" s="438" t="str">
        <f>'19U BOYS PLATINUM-27 TEAMS'!J79&amp;""</f>
        <v>19U_BOYS_PLATINUM</v>
      </c>
      <c r="K578" s="438" t="str">
        <f t="shared" si="12"/>
        <v>202602011600</v>
      </c>
    </row>
    <row r="579" spans="1:11">
      <c r="A579" s="435">
        <f>'19U BOYS PLATINUM-27 TEAMS'!A80</f>
        <v>46054</v>
      </c>
      <c r="B579" s="436">
        <f>'19U BOYS PLATINUM-27 TEAMS'!B80</f>
        <v>0.70833333333333304</v>
      </c>
      <c r="C579" s="437" t="str">
        <f>'19U BOYS PLATINUM-27 TEAMS'!C80&amp;""</f>
        <v>YORBA LINDA HS</v>
      </c>
      <c r="D579" s="437" t="str">
        <f>'19U BOYS PLATINUM-27 TEAMS'!D80&amp;""</f>
        <v>19Bpt46</v>
      </c>
      <c r="E579" s="438" t="str">
        <f>'19U BOYS PLATINUM-27 TEAMS'!E80&amp;""</f>
        <v>W#40-SHADOW MEN</v>
      </c>
      <c r="F579" s="438" t="str">
        <f>'19U BOYS PLATINUM-27 TEAMS'!F80&amp;""</f>
        <v>13</v>
      </c>
      <c r="G579" s="438" t="str">
        <f>'19U BOYS PLATINUM-27 TEAMS'!G80&amp;""</f>
        <v>W#41-IMPERIAL BLUE</v>
      </c>
      <c r="H579" s="438" t="str">
        <f>'19U BOYS PLATINUM-27 TEAMS'!H80&amp;""</f>
        <v>18</v>
      </c>
      <c r="I579" s="437" t="str">
        <f>'19U BOYS PLATINUM-27 TEAMS'!I80&amp;""</f>
        <v>1st/2ndP</v>
      </c>
      <c r="J579" s="438" t="str">
        <f>'19U BOYS PLATINUM-27 TEAMS'!J80&amp;""</f>
        <v>19U_BOYS_PLATINUM</v>
      </c>
      <c r="K579" s="438" t="str">
        <f t="shared" si="12"/>
        <v>202602011700</v>
      </c>
    </row>
    <row r="580" spans="1:11">
      <c r="A580" s="435">
        <f>'19U BOYS PLATINUM-27 TEAMS'!A81</f>
        <v>46054</v>
      </c>
      <c r="B580" s="436">
        <f>'19U BOYS PLATINUM-27 TEAMS'!B81</f>
        <v>0.75</v>
      </c>
      <c r="C580" s="437" t="str">
        <f>'19U BOYS PLATINUM-27 TEAMS'!C81&amp;""</f>
        <v>YORBA LINDA HS</v>
      </c>
      <c r="D580" s="437" t="str">
        <f>'19U BOYS PLATINUM-27 TEAMS'!D81&amp;""</f>
        <v>19Bpt47</v>
      </c>
      <c r="E580" s="438" t="str">
        <f>'19U BOYS PLATINUM-27 TEAMS'!E81&amp;""</f>
        <v>L#40-FOOTHILL BLACK</v>
      </c>
      <c r="F580" s="438" t="str">
        <f>'19U BOYS PLATINUM-27 TEAMS'!F81&amp;""</f>
        <v>9</v>
      </c>
      <c r="G580" s="438" t="str">
        <f>'19U BOYS PLATINUM-27 TEAMS'!G81&amp;""</f>
        <v>L#41-SUPREME</v>
      </c>
      <c r="H580" s="438" t="str">
        <f>'19U BOYS PLATINUM-27 TEAMS'!H81&amp;""</f>
        <v>14</v>
      </c>
      <c r="I580" s="437" t="str">
        <f>'19U BOYS PLATINUM-27 TEAMS'!I81&amp;""</f>
        <v>3rd/4thP</v>
      </c>
      <c r="J580" s="438" t="str">
        <f>'19U BOYS PLATINUM-27 TEAMS'!J81&amp;""</f>
        <v>19U_BOYS_PLATINUM</v>
      </c>
      <c r="K580" s="438" t="str">
        <f t="shared" si="12"/>
        <v>202602011800</v>
      </c>
    </row>
  </sheetData>
  <sortState xmlns:xlrd2="http://schemas.microsoft.com/office/spreadsheetml/2017/richdata2" ref="A1:K580">
    <sortCondition ref="C2:C580"/>
    <sortCondition ref="A2:A580"/>
    <sortCondition ref="B2:B580"/>
    <sortCondition ref="D2:D580"/>
  </sortState>
  <pageMargins left="0.7" right="0.7" top="0.75" bottom="0.75" header="0.3" footer="0.3"/>
  <pageSetup scale="51" fitToHeight="0" orientation="landscape" r:id="rId1"/>
  <rowBreaks count="24" manualBreakCount="24">
    <brk id="23" max="16383" man="1"/>
    <brk id="52" max="16383" man="1"/>
    <brk id="74" max="16383" man="1"/>
    <brk id="99" max="16383" man="1"/>
    <brk id="124" max="16383" man="1"/>
    <brk id="148" max="16383" man="1"/>
    <brk id="175" max="16383" man="1"/>
    <brk id="195" max="16383" man="1"/>
    <brk id="218" max="16383" man="1"/>
    <brk id="238" max="16383" man="1"/>
    <brk id="260" max="16383" man="1"/>
    <brk id="272" max="16383" man="1"/>
    <brk id="295" max="16383" man="1"/>
    <brk id="311" max="16383" man="1"/>
    <brk id="335" max="16383" man="1"/>
    <brk id="359" max="16383" man="1"/>
    <brk id="382" max="16383" man="1"/>
    <brk id="405" max="16383" man="1"/>
    <brk id="429" max="16383" man="1"/>
    <brk id="452" max="16383" man="1"/>
    <brk id="476" max="16383" man="1"/>
    <brk id="505" max="16383" man="1"/>
    <brk id="530" max="16383" man="1"/>
    <brk id="555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E6D7C-262E-4018-91E6-4F0A47914C31}">
  <sheetPr>
    <pageSetUpPr fitToPage="1"/>
  </sheetPr>
  <dimension ref="A1:K580"/>
  <sheetViews>
    <sheetView topLeftCell="A566" workbookViewId="0">
      <selection activeCell="I16" sqref="I16"/>
    </sheetView>
  </sheetViews>
  <sheetFormatPr defaultRowHeight="18"/>
  <cols>
    <col min="1" max="1" width="13.85546875" style="331" customWidth="1"/>
    <col min="2" max="2" width="15" style="331" customWidth="1"/>
    <col min="3" max="3" width="32.5703125" style="331" customWidth="1"/>
    <col min="4" max="4" width="15.42578125" style="331" customWidth="1"/>
    <col min="5" max="5" width="47.140625" style="331" customWidth="1"/>
    <col min="6" max="6" width="7.42578125" style="331" customWidth="1"/>
    <col min="7" max="7" width="45.28515625" style="331" customWidth="1"/>
    <col min="8" max="8" width="7.28515625" style="331" customWidth="1"/>
    <col min="9" max="9" width="25.5703125" style="331" customWidth="1"/>
    <col min="10" max="11" width="29.42578125" style="331" customWidth="1"/>
    <col min="12" max="16384" width="9.140625" style="331"/>
  </cols>
  <sheetData>
    <row r="1" spans="1:11">
      <c r="A1" s="335" t="str">
        <f>'10U COED GOLD-16 TEAMS CUSTOM'!A9</f>
        <v>DATE</v>
      </c>
      <c r="B1" s="336" t="str">
        <f>'10U COED GOLD-16 TEAMS CUSTOM'!B9</f>
        <v>TIME</v>
      </c>
      <c r="C1" s="335" t="str">
        <f>'10U COED GOLD-16 TEAMS CUSTOM'!C9&amp;""</f>
        <v>LOCATION</v>
      </c>
      <c r="D1" s="335" t="str">
        <f>'10U COED GOLD-16 TEAMS CUSTOM'!D9&amp;""</f>
        <v>GAME ID</v>
      </c>
      <c r="E1" s="335" t="str">
        <f>'10U COED GOLD-16 TEAMS CUSTOM'!E9&amp;""</f>
        <v>WHITE TEAM</v>
      </c>
      <c r="F1" s="335" t="str">
        <f>'10U COED GOLD-16 TEAMS CUSTOM'!F9&amp;""</f>
        <v>S</v>
      </c>
      <c r="G1" s="335" t="str">
        <f>'10U COED GOLD-16 TEAMS CUSTOM'!G9&amp;""</f>
        <v>DARK TEAM</v>
      </c>
      <c r="H1" s="335" t="str">
        <f>'10U COED GOLD-16 TEAMS CUSTOM'!H9&amp;""</f>
        <v>S</v>
      </c>
      <c r="I1" s="335" t="str">
        <f>'10U COED GOLD-16 TEAMS CUSTOM'!I9&amp;""</f>
        <v>COMMENTS</v>
      </c>
      <c r="J1" s="335" t="str">
        <f>'10U COED GOLD-16 TEAMS CUSTOM'!J9&amp;""</f>
        <v>DIVISION</v>
      </c>
      <c r="K1" s="335" t="s">
        <v>1185</v>
      </c>
    </row>
    <row r="2" spans="1:11">
      <c r="A2" s="382">
        <f>'14U GIRLS PLATINUM-10 TEAMS'!A10</f>
        <v>46053</v>
      </c>
      <c r="B2" s="383">
        <f>'14U GIRLS PLATINUM-10 TEAMS'!B10</f>
        <v>0.29166666666666669</v>
      </c>
      <c r="C2" s="383" t="str">
        <f>'14U GIRLS PLATINUM-10 TEAMS'!C10&amp;""</f>
        <v>ALISO NIGUEL HS</v>
      </c>
      <c r="D2" s="384" t="str">
        <f>'14U GIRLS PLATINUM-10 TEAMS'!D10&amp;""</f>
        <v>14Gpt01</v>
      </c>
      <c r="E2" s="384" t="str">
        <f>'14U GIRLS PLATINUM-10 TEAMS'!E10&amp;""</f>
        <v>A1-CDM PINK</v>
      </c>
      <c r="F2" s="384" t="str">
        <f>'14U GIRLS PLATINUM-10 TEAMS'!F10&amp;""</f>
        <v>10</v>
      </c>
      <c r="G2" s="384" t="str">
        <f>'14U GIRLS PLATINUM-10 TEAMS'!G10&amp;""</f>
        <v>A3-STANFORD</v>
      </c>
      <c r="H2" s="384" t="str">
        <f>'14U GIRLS PLATINUM-10 TEAMS'!H10&amp;""</f>
        <v>1</v>
      </c>
      <c r="I2" s="384" t="str">
        <f>'14U GIRLS PLATINUM-10 TEAMS'!I10&amp;""</f>
        <v>A bracket A1,A3</v>
      </c>
      <c r="J2" s="384" t="str">
        <f>'14U GIRLS PLATINUM-10 TEAMS'!J10&amp;""</f>
        <v>14U_GIRLS_PLATINUM</v>
      </c>
      <c r="K2" s="384" t="str">
        <f t="shared" ref="K2:K34" si="0">TEXT(DATE(2026, MONTH(A2), DAY(A2)) + TIME(HOUR(B2), MINUTE(B2), 0), "yyyymmddhhmm")</f>
        <v>202601310700</v>
      </c>
    </row>
    <row r="3" spans="1:11">
      <c r="A3" s="370">
        <f>'12U BOYS PLATINUM-10 TEAMS'!A10</f>
        <v>46053</v>
      </c>
      <c r="B3" s="371">
        <f>'12U BOYS PLATINUM-10 TEAMS'!B10</f>
        <v>0.29166666666666669</v>
      </c>
      <c r="C3" s="372" t="str">
        <f>'12U BOYS PLATINUM-10 TEAMS'!C10&amp;""</f>
        <v>BECKMAN HS 1</v>
      </c>
      <c r="D3" s="373" t="str">
        <f>'12U BOYS PLATINUM-10 TEAMS'!D10&amp;""</f>
        <v>12Bpt01</v>
      </c>
      <c r="E3" s="373" t="str">
        <f>'12U BOYS PLATINUM-10 TEAMS'!E10&amp;""</f>
        <v>A1-MISSION WPC A</v>
      </c>
      <c r="F3" s="373" t="str">
        <f>'12U BOYS PLATINUM-10 TEAMS'!F10&amp;""</f>
        <v>14</v>
      </c>
      <c r="G3" s="373" t="str">
        <f>'12U BOYS PLATINUM-10 TEAMS'!G10&amp;""</f>
        <v>A3-680 RED</v>
      </c>
      <c r="H3" s="373" t="str">
        <f>'12U BOYS PLATINUM-10 TEAMS'!H10&amp;""</f>
        <v>0</v>
      </c>
      <c r="I3" s="373" t="str">
        <f>'12U BOYS PLATINUM-10 TEAMS'!I10&amp;""</f>
        <v>A bracket A1,A3</v>
      </c>
      <c r="J3" s="373" t="str">
        <f>'12U BOYS PLATINUM-10 TEAMS'!J10&amp;""</f>
        <v>12U_BOYS_PLATINUM</v>
      </c>
      <c r="K3" s="373" t="str">
        <f t="shared" si="0"/>
        <v>202601310700</v>
      </c>
    </row>
    <row r="4" spans="1:11">
      <c r="A4" s="413">
        <f>'16U BOYS GOLD-19 TEAMS'!A35</f>
        <v>46053</v>
      </c>
      <c r="B4" s="414">
        <f>'16U BOYS GOLD-19 TEAMS'!B35</f>
        <v>0.29166666666666669</v>
      </c>
      <c r="C4" s="414" t="str">
        <f>'16U BOYS GOLD-19 TEAMS'!C35&amp;""</f>
        <v>EDISON HS</v>
      </c>
      <c r="D4" s="415" t="str">
        <f>'16U BOYS GOLD-19 TEAMS'!D35&amp;""</f>
        <v>16Bau10</v>
      </c>
      <c r="E4" s="416" t="str">
        <f>'16U BOYS GOLD-19 TEAMS'!E35&amp;""</f>
        <v>D2-CC UNITED BLUE</v>
      </c>
      <c r="F4" s="417" t="str">
        <f>'16U BOYS GOLD-19 TEAMS'!F35&amp;""</f>
        <v>15</v>
      </c>
      <c r="G4" s="416" t="str">
        <f>'16U BOYS GOLD-19 TEAMS'!G35&amp;""</f>
        <v>D3-BOA BLUE</v>
      </c>
      <c r="H4" s="417" t="str">
        <f>'16U BOYS GOLD-19 TEAMS'!H35&amp;""</f>
        <v>2</v>
      </c>
      <c r="I4" s="418" t="str">
        <f>'16U BOYS GOLD-19 TEAMS'!I35&amp;""</f>
        <v>D bracket</v>
      </c>
      <c r="J4" s="415" t="str">
        <f>'16U BOYS GOLD-19 TEAMS'!J35&amp;""</f>
        <v>16U_BOYS_GOLD</v>
      </c>
      <c r="K4" s="415" t="str">
        <f t="shared" si="0"/>
        <v>202601310700</v>
      </c>
    </row>
    <row r="5" spans="1:11">
      <c r="A5" s="399">
        <f>'14U BOYS PLATINUM-20 TEAMS'!A20</f>
        <v>46053</v>
      </c>
      <c r="B5" s="400">
        <f>'14U BOYS PLATINUM-20 TEAMS'!B20</f>
        <v>0.29166666666666669</v>
      </c>
      <c r="C5" s="400" t="str">
        <f>'14U BOYS PLATINUM-20 TEAMS'!C20&amp;""</f>
        <v>EL TORO HS 1</v>
      </c>
      <c r="D5" s="401" t="str">
        <f>'14U BOYS PLATINUM-20 TEAMS'!D20&amp;""</f>
        <v>14Bpt12</v>
      </c>
      <c r="E5" s="401" t="str">
        <f>'14U BOYS PLATINUM-20 TEAMS'!E20&amp;""</f>
        <v>D1-LA JOLLA UNITED NAVY</v>
      </c>
      <c r="F5" s="401" t="str">
        <f>'14U BOYS PLATINUM-20 TEAMS'!F20&amp;""</f>
        <v>16</v>
      </c>
      <c r="G5" s="401" t="str">
        <f>'14U BOYS PLATINUM-20 TEAMS'!G20&amp;""</f>
        <v>D3-STANFORD RED</v>
      </c>
      <c r="H5" s="401" t="str">
        <f>'14U BOYS PLATINUM-20 TEAMS'!H20&amp;""</f>
        <v>7</v>
      </c>
      <c r="I5" s="401" t="str">
        <f>'14U BOYS PLATINUM-20 TEAMS'!I20&amp;""</f>
        <v>D bracket</v>
      </c>
      <c r="J5" s="401" t="str">
        <f>'14U BOYS PLATINUM-20 TEAMS'!J20&amp;""</f>
        <v>14U_BOYS_PLATINUM</v>
      </c>
      <c r="K5" s="401" t="str">
        <f t="shared" si="0"/>
        <v>202601310700</v>
      </c>
    </row>
    <row r="6" spans="1:11">
      <c r="A6" s="394">
        <f>'14U BOYS GOLD-26 TEAMS'!A40</f>
        <v>46053</v>
      </c>
      <c r="B6" s="395">
        <f>'14U BOYS GOLD-26 TEAMS'!B40</f>
        <v>0.29166666666666669</v>
      </c>
      <c r="C6" s="396" t="str">
        <f>'14U BOYS GOLD-26 TEAMS'!C40&amp;""</f>
        <v>ESPERANZA HS</v>
      </c>
      <c r="D6" s="396" t="str">
        <f>'14U BOYS GOLD-26 TEAMS'!D40&amp;""</f>
        <v>14Bau15</v>
      </c>
      <c r="E6" s="397" t="str">
        <f>'14U BOYS GOLD-26 TEAMS'!E40&amp;""</f>
        <v>7-HIELAND</v>
      </c>
      <c r="F6" s="397" t="str">
        <f>'14U BOYS GOLD-26 TEAMS'!F40&amp;""</f>
        <v>11.6</v>
      </c>
      <c r="G6" s="397" t="str">
        <f>'14U BOYS GOLD-26 TEAMS'!G40&amp;""</f>
        <v>26-SOUTH COAST WHITE (B)</v>
      </c>
      <c r="H6" s="397" t="str">
        <f>'14U BOYS GOLD-26 TEAMS'!H40&amp;""</f>
        <v>11.5</v>
      </c>
      <c r="I6" s="396" t="str">
        <f>'14U BOYS GOLD-26 TEAMS'!I40&amp;""</f>
        <v>W/L H1/H4</v>
      </c>
      <c r="J6" s="397" t="str">
        <f>'14U BOYS GOLD-26 TEAMS'!J40&amp;""</f>
        <v>14U_BOYS_GOLD</v>
      </c>
      <c r="K6" s="397" t="str">
        <f t="shared" si="0"/>
        <v>202601310700</v>
      </c>
    </row>
    <row r="7" spans="1:11">
      <c r="A7" s="378">
        <f>'14U GIRLS GOLD-14 TEAMS'!A11</f>
        <v>46053</v>
      </c>
      <c r="B7" s="379">
        <f>'14U GIRLS GOLD-14 TEAMS'!B11</f>
        <v>0.29166666666666669</v>
      </c>
      <c r="C7" s="379" t="str">
        <f>'14U GIRLS GOLD-14 TEAMS'!C11&amp;""</f>
        <v>LAGUNA HILLS HS</v>
      </c>
      <c r="D7" s="380" t="str">
        <f>'14U GIRLS GOLD-14 TEAMS'!D11&amp;""</f>
        <v>14Gau03</v>
      </c>
      <c r="E7" s="380" t="str">
        <f>'14U GIRLS GOLD-14 TEAMS'!E11&amp;""</f>
        <v>D1-NORTHWEST</v>
      </c>
      <c r="F7" s="380" t="str">
        <f>'14U GIRLS GOLD-14 TEAMS'!F11&amp;""</f>
        <v>10</v>
      </c>
      <c r="G7" s="380" t="str">
        <f>'14U GIRLS GOLD-14 TEAMS'!G11&amp;""</f>
        <v>D4-NORTH IRVINE</v>
      </c>
      <c r="H7" s="380" t="str">
        <f>'14U GIRLS GOLD-14 TEAMS'!H11&amp;""</f>
        <v>11</v>
      </c>
      <c r="I7" s="380" t="str">
        <f>'14U GIRLS GOLD-14 TEAMS'!I11&amp;""</f>
        <v>W/L D1/D4</v>
      </c>
      <c r="J7" s="380" t="str">
        <f>'14U GIRLS GOLD-14 TEAMS'!J11&amp;""</f>
        <v>14U_GIRLS_GOLD</v>
      </c>
      <c r="K7" s="380" t="str">
        <f t="shared" si="0"/>
        <v>202601310700</v>
      </c>
    </row>
    <row r="8" spans="1:11">
      <c r="A8" s="378">
        <f>'14U GIRLS GOLD-14 TEAMS'!A10</f>
        <v>46053</v>
      </c>
      <c r="B8" s="379">
        <f>'14U GIRLS GOLD-14 TEAMS'!B10</f>
        <v>0.29166666666666669</v>
      </c>
      <c r="C8" s="379" t="str">
        <f>'14U GIRLS GOLD-14 TEAMS'!C10&amp;""</f>
        <v>SAN CLEMENTE HS</v>
      </c>
      <c r="D8" s="380" t="str">
        <f>'14U GIRLS GOLD-14 TEAMS'!D10&amp;""</f>
        <v>14Gau12</v>
      </c>
      <c r="E8" s="380" t="str">
        <f>'14U GIRLS GOLD-14 TEAMS'!E10&amp;""</f>
        <v>A1-LA JOLLA UNITED</v>
      </c>
      <c r="F8" s="380" t="str">
        <f>'14U GIRLS GOLD-14 TEAMS'!F10&amp;""</f>
        <v>18</v>
      </c>
      <c r="G8" s="380" t="str">
        <f>'14U GIRLS GOLD-14 TEAMS'!G10&amp;""</f>
        <v>A2-SANTA CRUZ BLUE</v>
      </c>
      <c r="H8" s="380" t="str">
        <f>'14U GIRLS GOLD-14 TEAMS'!H10&amp;""</f>
        <v>4</v>
      </c>
      <c r="I8" s="380" t="str">
        <f>'14U GIRLS GOLD-14 TEAMS'!I10&amp;""</f>
        <v>A bracket A1,A2</v>
      </c>
      <c r="J8" s="380" t="str">
        <f>'14U GIRLS GOLD-14 TEAMS'!J10&amp;""</f>
        <v>14U_GIRLS_GOLD</v>
      </c>
      <c r="K8" s="380" t="str">
        <f t="shared" si="0"/>
        <v>202601310700</v>
      </c>
    </row>
    <row r="9" spans="1:11">
      <c r="A9" s="435">
        <f>'19U BOYS PLATINUM-27 TEAMS'!A27</f>
        <v>46053</v>
      </c>
      <c r="B9" s="436">
        <f>'19U BOYS PLATINUM-27 TEAMS'!B27</f>
        <v>0.29166666666666669</v>
      </c>
      <c r="C9" s="437" t="str">
        <f>'19U BOYS PLATINUM-27 TEAMS'!C27&amp;""</f>
        <v>SAN JUAN HILLS HS</v>
      </c>
      <c r="D9" s="437" t="str">
        <f>'19U BOYS PLATINUM-27 TEAMS'!D27&amp;""</f>
        <v>19Bpt01</v>
      </c>
      <c r="E9" s="438" t="str">
        <f>'19U BOYS PLATINUM-27 TEAMS'!E27&amp;""</f>
        <v>A1(1)-CC UNITED BLACK</v>
      </c>
      <c r="F9" s="438" t="str">
        <f>'19U BOYS PLATINUM-27 TEAMS'!F27&amp;""</f>
        <v>19</v>
      </c>
      <c r="G9" s="438" t="str">
        <f>'19U BOYS PLATINUM-27 TEAMS'!G27&amp;""</f>
        <v>A3(17)-LV LEGENDS</v>
      </c>
      <c r="H9" s="438" t="str">
        <f>'19U BOYS PLATINUM-27 TEAMS'!H27&amp;""</f>
        <v>4</v>
      </c>
      <c r="I9" s="437" t="str">
        <f>'19U BOYS PLATINUM-27 TEAMS'!I27&amp;""</f>
        <v>A bracket A1,A3</v>
      </c>
      <c r="J9" s="438" t="str">
        <f>'19U BOYS PLATINUM-27 TEAMS'!J27&amp;""</f>
        <v>19U_BOYS_PLATINUM</v>
      </c>
      <c r="K9" s="438" t="str">
        <f t="shared" si="0"/>
        <v>202601310700</v>
      </c>
    </row>
    <row r="10" spans="1:11">
      <c r="A10" s="406">
        <f>'16U BOYS SILVER-20 TEAMS'!A20</f>
        <v>46053</v>
      </c>
      <c r="B10" s="407">
        <f>'16U BOYS SILVER-20 TEAMS'!B20</f>
        <v>0.29166666666666669</v>
      </c>
      <c r="C10" s="407" t="str">
        <f>'16U BOYS SILVER-20 TEAMS'!C20&amp;""</f>
        <v>SONORA HS</v>
      </c>
      <c r="D10" s="408" t="str">
        <f>'16U BOYS SILVER-20 TEAMS'!D20&amp;""</f>
        <v>16Bag03</v>
      </c>
      <c r="E10" s="406" t="str">
        <f>'16U BOYS SILVER-20 TEAMS'!E20&amp;""</f>
        <v>A1-MID PEN</v>
      </c>
      <c r="F10" s="408" t="str">
        <f>'16U BOYS SILVER-20 TEAMS'!F20&amp;""</f>
        <v>22</v>
      </c>
      <c r="G10" s="406" t="str">
        <f>'16U BOYS SILVER-20 TEAMS'!G20&amp;""</f>
        <v>A2-BOA WHITE</v>
      </c>
      <c r="H10" s="408" t="str">
        <f>'16U BOYS SILVER-20 TEAMS'!H20&amp;""</f>
        <v>7</v>
      </c>
      <c r="I10" s="408" t="str">
        <f>'16U BOYS SILVER-20 TEAMS'!I20&amp;""</f>
        <v>A bracket</v>
      </c>
      <c r="J10" s="408" t="str">
        <f>'16U BOYS SILVER-20 TEAMS'!J20&amp;""</f>
        <v>16U_BOYS_SILVER</v>
      </c>
      <c r="K10" s="408" t="str">
        <f t="shared" si="0"/>
        <v>202601310700</v>
      </c>
    </row>
    <row r="11" spans="1:11">
      <c r="A11" s="410">
        <f>'16U BOYS GOLD-19 TEAMS'!A24</f>
        <v>46053</v>
      </c>
      <c r="B11" s="411">
        <f>'16U BOYS GOLD-19 TEAMS'!B24</f>
        <v>0.29166666666666669</v>
      </c>
      <c r="C11" s="411" t="str">
        <f>'16U BOYS GOLD-19 TEAMS'!C24&amp;""</f>
        <v>WESTMINSTER HS</v>
      </c>
      <c r="D11" s="412" t="str">
        <f>'16U BOYS GOLD-19 TEAMS'!D24&amp;""</f>
        <v>16Bau01</v>
      </c>
      <c r="E11" s="412" t="str">
        <f>'16U BOYS GOLD-19 TEAMS'!E24&amp;""</f>
        <v>A1-SAN JOSE EXPRESS BLUE</v>
      </c>
      <c r="F11" s="412" t="str">
        <f>'16U BOYS GOLD-19 TEAMS'!F24&amp;""</f>
        <v>11</v>
      </c>
      <c r="G11" s="412" t="str">
        <f>'16U BOYS GOLD-19 TEAMS'!G24&amp;""</f>
        <v>A3-AMERICAN RIVER GOLD</v>
      </c>
      <c r="H11" s="412" t="str">
        <f>'16U BOYS GOLD-19 TEAMS'!H24&amp;""</f>
        <v>7</v>
      </c>
      <c r="I11" s="412" t="str">
        <f>'16U BOYS GOLD-19 TEAMS'!I24&amp;""</f>
        <v>A bracket</v>
      </c>
      <c r="J11" s="412" t="str">
        <f>'16U BOYS GOLD-19 TEAMS'!J24&amp;""</f>
        <v>16U_BOYS_GOLD</v>
      </c>
      <c r="K11" s="412" t="str">
        <f t="shared" si="0"/>
        <v>202601310700</v>
      </c>
    </row>
    <row r="12" spans="1:11">
      <c r="A12" s="351">
        <f>'12U GIRLS PLATINUM-12 TEAMS'!A9</f>
        <v>46053</v>
      </c>
      <c r="B12" s="352">
        <f>'12U GIRLS PLATINUM-12 TEAMS'!B9</f>
        <v>0.29166666666666669</v>
      </c>
      <c r="C12" s="351" t="str">
        <f>'12U GIRLS PLATINUM-12 TEAMS'!C9&amp;""</f>
        <v>WOOLLETT FAR RIGHT</v>
      </c>
      <c r="D12" s="353" t="str">
        <f>'12U GIRLS PLATINUM-12 TEAMS'!D9&amp;""</f>
        <v>12Gpt01</v>
      </c>
      <c r="E12" s="351" t="str">
        <f>'12U GIRLS PLATINUM-12 TEAMS'!E9&amp;""</f>
        <v>A1-BACK BAY NAVY</v>
      </c>
      <c r="F12" s="353" t="str">
        <f>'12U GIRLS PLATINUM-12 TEAMS'!F9&amp;""</f>
        <v>18</v>
      </c>
      <c r="G12" s="351" t="str">
        <f>'12U GIRLS PLATINUM-12 TEAMS'!G9&amp;""</f>
        <v>A3-LAMORINDA C</v>
      </c>
      <c r="H12" s="353" t="str">
        <f>'12U GIRLS PLATINUM-12 TEAMS'!H9&amp;""</f>
        <v>10</v>
      </c>
      <c r="I12" s="353" t="str">
        <f>'12U GIRLS PLATINUM-12 TEAMS'!I9&amp;""</f>
        <v>A bracket A1,A3</v>
      </c>
      <c r="J12" s="353" t="str">
        <f>'12U GIRLS PLATINUM-12 TEAMS'!J9&amp;""</f>
        <v>12U_GIRLS_PLATINUM</v>
      </c>
      <c r="K12" s="353" t="str">
        <f t="shared" si="0"/>
        <v>202601310700</v>
      </c>
    </row>
    <row r="13" spans="1:11">
      <c r="A13" s="435">
        <f>'19U BOYS PLATINUM-27 TEAMS'!A28</f>
        <v>46053</v>
      </c>
      <c r="B13" s="436">
        <f>'19U BOYS PLATINUM-27 TEAMS'!B28</f>
        <v>0.29166666666666669</v>
      </c>
      <c r="C13" s="437" t="str">
        <f>'19U BOYS PLATINUM-27 TEAMS'!C28&amp;""</f>
        <v>WOOLLETT NEAR LEFT</v>
      </c>
      <c r="D13" s="437" t="str">
        <f>'19U BOYS PLATINUM-27 TEAMS'!D28&amp;""</f>
        <v>19Bpt02</v>
      </c>
      <c r="E13" s="438" t="str">
        <f>'19U BOYS PLATINUM-27 TEAMS'!E28&amp;""</f>
        <v>8-AMERICAN RIVER BLUE</v>
      </c>
      <c r="F13" s="438" t="str">
        <f>'19U BOYS PLATINUM-27 TEAMS'!F28&amp;""</f>
        <v>15</v>
      </c>
      <c r="G13" s="438" t="str">
        <f>'19U BOYS PLATINUM-27 TEAMS'!G28&amp;""</f>
        <v>25-SUPREME</v>
      </c>
      <c r="H13" s="438" t="str">
        <f>'19U BOYS PLATINUM-27 TEAMS'!H28&amp;""</f>
        <v>8</v>
      </c>
      <c r="I13" s="437" t="str">
        <f>'19U BOYS PLATINUM-27 TEAMS'!I28&amp;""</f>
        <v>W/L D1/D4</v>
      </c>
      <c r="J13" s="438" t="str">
        <f>'19U BOYS PLATINUM-27 TEAMS'!J28&amp;""</f>
        <v>19U_BOYS_PLATINUM</v>
      </c>
      <c r="K13" s="438" t="str">
        <f t="shared" si="0"/>
        <v>202601310700</v>
      </c>
    </row>
    <row r="14" spans="1:11">
      <c r="A14" s="435">
        <f>'19U BOYS PLATINUM-27 TEAMS'!A43</f>
        <v>46053</v>
      </c>
      <c r="B14" s="436">
        <f>'19U BOYS PLATINUM-27 TEAMS'!B43</f>
        <v>0.29166666666666669</v>
      </c>
      <c r="C14" s="437" t="str">
        <f>'19U BOYS PLATINUM-27 TEAMS'!C43&amp;""</f>
        <v>WOOLLETT NEAR RIGHT</v>
      </c>
      <c r="D14" s="437" t="str">
        <f>'19U BOYS PLATINUM-27 TEAMS'!D43&amp;""</f>
        <v>19Bpt15</v>
      </c>
      <c r="E14" s="438" t="str">
        <f>'19U BOYS PLATINUM-27 TEAMS'!E43&amp;""</f>
        <v>11-SAN JOSE EXPRESS BLUE</v>
      </c>
      <c r="F14" s="438" t="str">
        <f>'19U BOYS PLATINUM-27 TEAMS'!F43&amp;""</f>
        <v>11</v>
      </c>
      <c r="G14" s="438" t="str">
        <f>'19U BOYS PLATINUM-27 TEAMS'!G43&amp;""</f>
        <v>22-CT PREMIER</v>
      </c>
      <c r="H14" s="438" t="str">
        <f>'19U BOYS PLATINUM-27 TEAMS'!H43&amp;""</f>
        <v>13</v>
      </c>
      <c r="I14" s="437" t="str">
        <f>'19U BOYS PLATINUM-27 TEAMS'!I43&amp;""</f>
        <v>W/L G2/G3</v>
      </c>
      <c r="J14" s="438" t="str">
        <f>'19U BOYS PLATINUM-27 TEAMS'!J43&amp;""</f>
        <v>19U_BOYS_PLATINUM</v>
      </c>
      <c r="K14" s="438" t="str">
        <f t="shared" si="0"/>
        <v>202601310700</v>
      </c>
    </row>
    <row r="15" spans="1:11">
      <c r="A15" s="406">
        <f>'16U BOYS SILVER-20 TEAMS'!A35</f>
        <v>46053</v>
      </c>
      <c r="B15" s="407">
        <f>'16U BOYS SILVER-20 TEAMS'!B35</f>
        <v>0.29166666666666669</v>
      </c>
      <c r="C15" s="407" t="str">
        <f>'16U BOYS SILVER-20 TEAMS'!C35&amp;""</f>
        <v>YORBA LINDA HS</v>
      </c>
      <c r="D15" s="408" t="str">
        <f>'16U BOYS SILVER-20 TEAMS'!D35&amp;""</f>
        <v>16Bag12</v>
      </c>
      <c r="E15" s="408" t="str">
        <f>'16U BOYS SILVER-20 TEAMS'!E35&amp;""</f>
        <v>D2-LOYOLA WPC</v>
      </c>
      <c r="F15" s="408" t="str">
        <f>'16U BOYS SILVER-20 TEAMS'!F35&amp;""</f>
        <v>8.4</v>
      </c>
      <c r="G15" s="408" t="str">
        <f>'16U BOYS SILVER-20 TEAMS'!G35&amp;""</f>
        <v>D3-CC UNITED WHITE</v>
      </c>
      <c r="H15" s="408" t="str">
        <f>'16U BOYS SILVER-20 TEAMS'!H35&amp;""</f>
        <v>8.5</v>
      </c>
      <c r="I15" s="408" t="str">
        <f>'16U BOYS SILVER-20 TEAMS'!I35&amp;""</f>
        <v>D bracket</v>
      </c>
      <c r="J15" s="408" t="str">
        <f>'16U BOYS SILVER-20 TEAMS'!J35&amp;""</f>
        <v>16U_BOYS_SILVER</v>
      </c>
      <c r="K15" s="408" t="str">
        <f t="shared" si="0"/>
        <v>202601310700</v>
      </c>
    </row>
    <row r="16" spans="1:11">
      <c r="A16" s="382">
        <f>'14U GIRLS PLATINUM-10 TEAMS'!A11</f>
        <v>46053</v>
      </c>
      <c r="B16" s="383">
        <f>'14U GIRLS PLATINUM-10 TEAMS'!B11</f>
        <v>0.3263888888888889</v>
      </c>
      <c r="C16" s="383" t="str">
        <f>'14U GIRLS PLATINUM-10 TEAMS'!C11&amp;""</f>
        <v>ALISO NIGUEL HS</v>
      </c>
      <c r="D16" s="384" t="str">
        <f>'14U GIRLS PLATINUM-10 TEAMS'!D11&amp;""</f>
        <v>14Gpt02</v>
      </c>
      <c r="E16" s="384" t="str">
        <f>'14U GIRLS PLATINUM-10 TEAMS'!E11&amp;""</f>
        <v>B1-CC UNITED BLACK</v>
      </c>
      <c r="F16" s="384" t="str">
        <f>'14U GIRLS PLATINUM-10 TEAMS'!F11&amp;""</f>
        <v>7</v>
      </c>
      <c r="G16" s="384" t="str">
        <f>'14U GIRLS PLATINUM-10 TEAMS'!G11&amp;""</f>
        <v>B3-PATRIOT RED</v>
      </c>
      <c r="H16" s="384" t="str">
        <f>'14U GIRLS PLATINUM-10 TEAMS'!H11&amp;""</f>
        <v>10</v>
      </c>
      <c r="I16" s="384" t="str">
        <f>'14U GIRLS PLATINUM-10 TEAMS'!I11&amp;""</f>
        <v>B bracket B1,B3</v>
      </c>
      <c r="J16" s="384" t="str">
        <f>'14U GIRLS PLATINUM-10 TEAMS'!J11&amp;""</f>
        <v>14U_GIRLS_PLATINUM</v>
      </c>
      <c r="K16" s="384" t="str">
        <f t="shared" si="0"/>
        <v>202601310750</v>
      </c>
    </row>
    <row r="17" spans="1:11">
      <c r="A17" s="370">
        <f>'12U BOYS PLATINUM-10 TEAMS'!A11</f>
        <v>46053</v>
      </c>
      <c r="B17" s="371">
        <f>'12U BOYS PLATINUM-10 TEAMS'!B11</f>
        <v>0.3263888888888889</v>
      </c>
      <c r="C17" s="372" t="str">
        <f>'12U BOYS PLATINUM-10 TEAMS'!C11&amp;""</f>
        <v>BECKMAN HS 1</v>
      </c>
      <c r="D17" s="373" t="str">
        <f>'12U BOYS PLATINUM-10 TEAMS'!D11&amp;""</f>
        <v>12Bpt02</v>
      </c>
      <c r="E17" s="373" t="str">
        <f>'12U BOYS PLATINUM-10 TEAMS'!E11&amp;""</f>
        <v>B1-CC UNITED BLACK</v>
      </c>
      <c r="F17" s="373" t="str">
        <f>'12U BOYS PLATINUM-10 TEAMS'!F11&amp;""</f>
        <v>7</v>
      </c>
      <c r="G17" s="373" t="str">
        <f>'12U BOYS PLATINUM-10 TEAMS'!G11&amp;""</f>
        <v>B2-NORTH IRVINE BLACK</v>
      </c>
      <c r="H17" s="373" t="str">
        <f>'12U BOYS PLATINUM-10 TEAMS'!H11&amp;""</f>
        <v>6</v>
      </c>
      <c r="I17" s="373" t="str">
        <f>'12U BOYS PLATINUM-10 TEAMS'!I11&amp;""</f>
        <v>B bracket B1,B2</v>
      </c>
      <c r="J17" s="373" t="str">
        <f>'12U BOYS PLATINUM-10 TEAMS'!J11&amp;""</f>
        <v>12U_BOYS_PLATINUM</v>
      </c>
      <c r="K17" s="373" t="str">
        <f t="shared" si="0"/>
        <v>202601310750</v>
      </c>
    </row>
    <row r="18" spans="1:11">
      <c r="A18" s="394">
        <f>'14U BOYS GOLD-26 TEAMS'!A26</f>
        <v>46053</v>
      </c>
      <c r="B18" s="395">
        <f>'14U BOYS GOLD-26 TEAMS'!B26</f>
        <v>0.3263888888888889</v>
      </c>
      <c r="C18" s="396" t="str">
        <f>'14U BOYS GOLD-26 TEAMS'!C26&amp;""</f>
        <v>COSTA MESA HS 1</v>
      </c>
      <c r="D18" s="396" t="str">
        <f>'14U BOYS GOLD-26 TEAMS'!D26&amp;""</f>
        <v>14Bau01</v>
      </c>
      <c r="E18" s="397" t="str">
        <f>'14U BOYS GOLD-26 TEAMS'!E26&amp;""</f>
        <v>A1(1)-HONOLULU BLUE</v>
      </c>
      <c r="F18" s="397" t="str">
        <f>'14U BOYS GOLD-26 TEAMS'!F26&amp;""</f>
        <v>2</v>
      </c>
      <c r="G18" s="397" t="str">
        <f>'14U BOYS GOLD-26 TEAMS'!G26&amp;""</f>
        <v>A2(16)-SHORE AQUATICS</v>
      </c>
      <c r="H18" s="397" t="str">
        <f>'14U BOYS GOLD-26 TEAMS'!H26&amp;""</f>
        <v>14</v>
      </c>
      <c r="I18" s="396" t="str">
        <f>'14U BOYS GOLD-26 TEAMS'!I26&amp;""</f>
        <v>A bracket A1,A2</v>
      </c>
      <c r="J18" s="397" t="str">
        <f>'14U BOYS GOLD-26 TEAMS'!J26&amp;""</f>
        <v>14U_BOYS_GOLD</v>
      </c>
      <c r="K18" s="397" t="str">
        <f t="shared" si="0"/>
        <v>202601310750</v>
      </c>
    </row>
    <row r="19" spans="1:11">
      <c r="A19" s="375">
        <f>'12U COED-7 TEAMS'!A10</f>
        <v>46053</v>
      </c>
      <c r="B19" s="376">
        <f>'12U COED-7 TEAMS'!B10</f>
        <v>0.3263888888888889</v>
      </c>
      <c r="C19" s="377" t="str">
        <f>'12U COED-7 TEAMS'!C10&amp;""</f>
        <v>COSTA MESA HS 2</v>
      </c>
      <c r="D19" s="377" t="str">
        <f>'12U COED-7 TEAMS'!D10&amp;""</f>
        <v>12C01</v>
      </c>
      <c r="E19" s="377" t="str">
        <f>'12U COED-7 TEAMS'!E10&amp;""</f>
        <v>A1-CMAC</v>
      </c>
      <c r="F19" s="377" t="str">
        <f>'12U COED-7 TEAMS'!F10&amp;""</f>
        <v>8</v>
      </c>
      <c r="G19" s="377" t="str">
        <f>'12U COED-7 TEAMS'!G10&amp;""</f>
        <v>A3-PALOS VERDES</v>
      </c>
      <c r="H19" s="377" t="str">
        <f>'12U COED-7 TEAMS'!H10&amp;""</f>
        <v>14</v>
      </c>
      <c r="I19" s="377" t="str">
        <f>'12U COED-7 TEAMS'!I10&amp;""</f>
        <v>A bracket A1,A3</v>
      </c>
      <c r="J19" s="377" t="str">
        <f>'12U COED-7 TEAMS'!J10&amp;""</f>
        <v>12U_COED</v>
      </c>
      <c r="K19" s="377" t="str">
        <f t="shared" si="0"/>
        <v>202601310750</v>
      </c>
    </row>
    <row r="20" spans="1:11">
      <c r="A20" s="399">
        <f>'14U BOYS PLATINUM-20 TEAMS'!A21</f>
        <v>46053</v>
      </c>
      <c r="B20" s="400">
        <f>'14U BOYS PLATINUM-20 TEAMS'!B21</f>
        <v>0.3263888888888889</v>
      </c>
      <c r="C20" s="400" t="str">
        <f>'14U BOYS PLATINUM-20 TEAMS'!C21&amp;""</f>
        <v>EL TORO HS 1</v>
      </c>
      <c r="D20" s="401" t="str">
        <f>'14U BOYS PLATINUM-20 TEAMS'!D21&amp;""</f>
        <v>14Bpt13</v>
      </c>
      <c r="E20" s="401" t="str">
        <f>'14U BOYS PLATINUM-20 TEAMS'!E21&amp;""</f>
        <v>B1-NORCAL</v>
      </c>
      <c r="F20" s="401" t="str">
        <f>'14U BOYS PLATINUM-20 TEAMS'!F21&amp;""</f>
        <v>11</v>
      </c>
      <c r="G20" s="401" t="str">
        <f>'14U BOYS PLATINUM-20 TEAMS'!G21&amp;""</f>
        <v>B3-NORTH IRVINE BLACK</v>
      </c>
      <c r="H20" s="401" t="str">
        <f>'14U BOYS PLATINUM-20 TEAMS'!H21&amp;""</f>
        <v>3</v>
      </c>
      <c r="I20" s="401" t="str">
        <f>'14U BOYS PLATINUM-20 TEAMS'!I21&amp;""</f>
        <v>B bracket</v>
      </c>
      <c r="J20" s="401" t="str">
        <f>'14U BOYS PLATINUM-20 TEAMS'!J21&amp;""</f>
        <v>14U_BOYS_PLATINUM</v>
      </c>
      <c r="K20" s="401" t="str">
        <f t="shared" si="0"/>
        <v>202601310750</v>
      </c>
    </row>
    <row r="21" spans="1:11">
      <c r="A21" s="394">
        <f>'14U BOYS GOLD-26 TEAMS'!A41</f>
        <v>46053</v>
      </c>
      <c r="B21" s="395">
        <f>'14U BOYS GOLD-26 TEAMS'!B41</f>
        <v>0.3263888888888889</v>
      </c>
      <c r="C21" s="396" t="str">
        <f>'14U BOYS GOLD-26 TEAMS'!C41&amp;""</f>
        <v>ESPERANZA HS</v>
      </c>
      <c r="D21" s="396" t="str">
        <f>'14U BOYS GOLD-26 TEAMS'!D41&amp;""</f>
        <v>14Bau16</v>
      </c>
      <c r="E21" s="397" t="str">
        <f>'14U BOYS GOLD-26 TEAMS'!E41&amp;""</f>
        <v>10-SHAQ WHITE</v>
      </c>
      <c r="F21" s="397" t="str">
        <f>'14U BOYS GOLD-26 TEAMS'!F41&amp;""</f>
        <v>8.3</v>
      </c>
      <c r="G21" s="397" t="str">
        <f>'14U BOYS GOLD-26 TEAMS'!G41&amp;""</f>
        <v>23-PATRIOT RED</v>
      </c>
      <c r="H21" s="397" t="str">
        <f>'14U BOYS GOLD-26 TEAMS'!H41&amp;""</f>
        <v>8.2</v>
      </c>
      <c r="I21" s="396" t="str">
        <f>'14U BOYS GOLD-26 TEAMS'!I41&amp;""</f>
        <v>W/L H2/H3</v>
      </c>
      <c r="J21" s="397" t="str">
        <f>'14U BOYS GOLD-26 TEAMS'!J41&amp;""</f>
        <v>14U_BOYS_GOLD</v>
      </c>
      <c r="K21" s="397" t="str">
        <f t="shared" si="0"/>
        <v>202601310750</v>
      </c>
    </row>
    <row r="22" spans="1:11">
      <c r="A22" s="394">
        <f>'14U BOYS GOLD-26 TEAMS'!A42</f>
        <v>46053</v>
      </c>
      <c r="B22" s="395">
        <f>'14U BOYS GOLD-26 TEAMS'!B42</f>
        <v>0.3263888888888889</v>
      </c>
      <c r="C22" s="396" t="str">
        <f>'14U BOYS GOLD-26 TEAMS'!C42&amp;""</f>
        <v>ESTANCIA HS 2</v>
      </c>
      <c r="D22" s="396" t="str">
        <f>'14U BOYS GOLD-26 TEAMS'!D42&amp;""</f>
        <v>14Bau14</v>
      </c>
      <c r="E22" s="397" t="str">
        <f>'14U BOYS GOLD-26 TEAMS'!E42&amp;""</f>
        <v>G1(6)-SD ECA</v>
      </c>
      <c r="F22" s="397" t="str">
        <f>'14U BOYS GOLD-26 TEAMS'!F42&amp;""</f>
        <v>8</v>
      </c>
      <c r="G22" s="397" t="str">
        <f>'14U BOYS GOLD-26 TEAMS'!G42&amp;""</f>
        <v>G3(22)-VANGUARD SILVER</v>
      </c>
      <c r="H22" s="397" t="str">
        <f>'14U BOYS GOLD-26 TEAMS'!H42&amp;""</f>
        <v>13</v>
      </c>
      <c r="I22" s="396" t="str">
        <f>'14U BOYS GOLD-26 TEAMS'!I42&amp;""</f>
        <v>G bracket G1,G3</v>
      </c>
      <c r="J22" s="397" t="str">
        <f>'14U BOYS GOLD-26 TEAMS'!J42&amp;""</f>
        <v>14U_BOYS_GOLD</v>
      </c>
      <c r="K22" s="397" t="str">
        <f t="shared" si="0"/>
        <v>202601310750</v>
      </c>
    </row>
    <row r="23" spans="1:11">
      <c r="A23" s="378">
        <f>'14U GIRLS GOLD-14 TEAMS'!A12</f>
        <v>46053</v>
      </c>
      <c r="B23" s="379">
        <f>'14U GIRLS GOLD-14 TEAMS'!B12</f>
        <v>0.3263888888888889</v>
      </c>
      <c r="C23" s="379" t="str">
        <f>'14U GIRLS GOLD-14 TEAMS'!C12&amp;""</f>
        <v>LAGUNA HILLS HS</v>
      </c>
      <c r="D23" s="380" t="str">
        <f>'14U GIRLS GOLD-14 TEAMS'!D12&amp;""</f>
        <v>14Gau04</v>
      </c>
      <c r="E23" s="380" t="str">
        <f>'14U GIRLS GOLD-14 TEAMS'!E12&amp;""</f>
        <v>D2-SD ECA</v>
      </c>
      <c r="F23" s="380" t="str">
        <f>'14U GIRLS GOLD-14 TEAMS'!F12&amp;""</f>
        <v>8</v>
      </c>
      <c r="G23" s="380" t="str">
        <f>'14U GIRLS GOLD-14 TEAMS'!G12&amp;""</f>
        <v>D3-LAMORINDA C</v>
      </c>
      <c r="H23" s="380" t="str">
        <f>'14U GIRLS GOLD-14 TEAMS'!H12&amp;""</f>
        <v>6</v>
      </c>
      <c r="I23" s="380" t="str">
        <f>'14U GIRLS GOLD-14 TEAMS'!I12&amp;""</f>
        <v>W/L D2/D3</v>
      </c>
      <c r="J23" s="380" t="str">
        <f>'14U GIRLS GOLD-14 TEAMS'!J12&amp;""</f>
        <v>14U_GIRLS_GOLD</v>
      </c>
      <c r="K23" s="380" t="str">
        <f t="shared" si="0"/>
        <v>202601310750</v>
      </c>
    </row>
    <row r="24" spans="1:11">
      <c r="A24" s="387">
        <f>'14U BOYS SILVER-18 TEAMS'!A20</f>
        <v>46053</v>
      </c>
      <c r="B24" s="388">
        <f>'14U BOYS SILVER-18 TEAMS'!B20</f>
        <v>0.3263888888888889</v>
      </c>
      <c r="C24" s="388" t="str">
        <f>'14U BOYS SILVER-18 TEAMS'!C20&amp;""</f>
        <v>SAN CLEMENTE HS</v>
      </c>
      <c r="D24" s="389" t="str">
        <f>'14U BOYS SILVER-18 TEAMS'!D20&amp;""</f>
        <v>14Bag01</v>
      </c>
      <c r="E24" s="390" t="str">
        <f>'14U BOYS SILVER-18 TEAMS'!E20&amp;""</f>
        <v>A1-POWAY VALLEY BLACK</v>
      </c>
      <c r="F24" s="391" t="str">
        <f>'14U BOYS SILVER-18 TEAMS'!F20&amp;""</f>
        <v>11</v>
      </c>
      <c r="G24" s="390" t="str">
        <f>'14U BOYS SILVER-18 TEAMS'!G20&amp;""</f>
        <v>A3-SAN CLEMENTE BLACK</v>
      </c>
      <c r="H24" s="391" t="str">
        <f>'14U BOYS SILVER-18 TEAMS'!H20&amp;""</f>
        <v>8</v>
      </c>
      <c r="I24" s="392" t="str">
        <f>'14U BOYS SILVER-18 TEAMS'!I20&amp;""</f>
        <v>A bracket A1,A3</v>
      </c>
      <c r="J24" s="389" t="str">
        <f>'14U BOYS SILVER-18 TEAMS'!J20&amp;""</f>
        <v>14U_BOYS_SILVER</v>
      </c>
      <c r="K24" s="389" t="str">
        <f t="shared" si="0"/>
        <v>202601310750</v>
      </c>
    </row>
    <row r="25" spans="1:11">
      <c r="A25" s="351">
        <f>'12U GIRLS PLATINUM-12 TEAMS'!A10</f>
        <v>46053</v>
      </c>
      <c r="B25" s="352">
        <f>'12U GIRLS PLATINUM-12 TEAMS'!B10</f>
        <v>0.3263888888888889</v>
      </c>
      <c r="C25" s="351" t="str">
        <f>'12U GIRLS PLATINUM-12 TEAMS'!C10&amp;""</f>
        <v>WOOLLETT FAR RIGHT</v>
      </c>
      <c r="D25" s="353" t="str">
        <f>'12U GIRLS PLATINUM-12 TEAMS'!D10&amp;""</f>
        <v>12Gpt02</v>
      </c>
      <c r="E25" s="351" t="str">
        <f>'12U GIRLS PLATINUM-12 TEAMS'!E10&amp;""</f>
        <v>D1-SHAQ</v>
      </c>
      <c r="F25" s="353" t="str">
        <f>'12U GIRLS PLATINUM-12 TEAMS'!F10&amp;""</f>
        <v>12</v>
      </c>
      <c r="G25" s="351" t="str">
        <f>'12U GIRLS PLATINUM-12 TEAMS'!G10&amp;""</f>
        <v>D3-NORTH IRVINE</v>
      </c>
      <c r="H25" s="353" t="str">
        <f>'12U GIRLS PLATINUM-12 TEAMS'!H10&amp;""</f>
        <v>9</v>
      </c>
      <c r="I25" s="353" t="str">
        <f>'12U GIRLS PLATINUM-12 TEAMS'!I10&amp;""</f>
        <v>D bracket D1,D3</v>
      </c>
      <c r="J25" s="353" t="str">
        <f>'12U GIRLS PLATINUM-12 TEAMS'!J10&amp;""</f>
        <v>12U_GIRLS_PLATINUM</v>
      </c>
      <c r="K25" s="353" t="str">
        <f t="shared" si="0"/>
        <v>202601310750</v>
      </c>
    </row>
    <row r="26" spans="1:11">
      <c r="A26" s="413">
        <f>'16U BOYS GOLD-19 TEAMS'!A36</f>
        <v>46053</v>
      </c>
      <c r="B26" s="414">
        <f>'16U BOYS GOLD-19 TEAMS'!B36</f>
        <v>0.33333333333333298</v>
      </c>
      <c r="C26" s="414" t="str">
        <f>'16U BOYS GOLD-19 TEAMS'!C36&amp;""</f>
        <v>EDISON HS</v>
      </c>
      <c r="D26" s="415" t="str">
        <f>'16U BOYS GOLD-19 TEAMS'!D36&amp;""</f>
        <v>16Bau11</v>
      </c>
      <c r="E26" s="414" t="str">
        <f>'16U BOYS GOLD-19 TEAMS'!E36&amp;""</f>
        <v>E1-CT PREMIER</v>
      </c>
      <c r="F26" s="418" t="str">
        <f>'16U BOYS GOLD-19 TEAMS'!F36&amp;""</f>
        <v>8</v>
      </c>
      <c r="G26" s="414" t="str">
        <f>'16U BOYS GOLD-19 TEAMS'!G36&amp;""</f>
        <v>E3-STANFORD BLACK</v>
      </c>
      <c r="H26" s="417" t="str">
        <f>'16U BOYS GOLD-19 TEAMS'!H36&amp;""</f>
        <v>6</v>
      </c>
      <c r="I26" s="418" t="str">
        <f>'16U BOYS GOLD-19 TEAMS'!I36&amp;""</f>
        <v>E bracket</v>
      </c>
      <c r="J26" s="415" t="str">
        <f>'16U BOYS GOLD-19 TEAMS'!J36&amp;""</f>
        <v>16U_BOYS_GOLD</v>
      </c>
      <c r="K26" s="415" t="str">
        <f t="shared" si="0"/>
        <v>202601310800</v>
      </c>
    </row>
    <row r="27" spans="1:11">
      <c r="A27" s="406">
        <f>'16U BOYS SILVER-20 TEAMS'!A21</f>
        <v>46053</v>
      </c>
      <c r="B27" s="407">
        <f>'16U BOYS SILVER-20 TEAMS'!B21</f>
        <v>0.33333333333333298</v>
      </c>
      <c r="C27" s="407" t="str">
        <f>'16U BOYS SILVER-20 TEAMS'!C21&amp;""</f>
        <v>ESTANCIA HS 1</v>
      </c>
      <c r="D27" s="408" t="str">
        <f>'16U BOYS SILVER-20 TEAMS'!D21&amp;""</f>
        <v>16Bag07</v>
      </c>
      <c r="E27" s="406" t="str">
        <f>'16U BOYS SILVER-20 TEAMS'!E21&amp;""</f>
        <v>6-HIELAND</v>
      </c>
      <c r="F27" s="408" t="str">
        <f>'16U BOYS SILVER-20 TEAMS'!F21&amp;""</f>
        <v>9</v>
      </c>
      <c r="G27" s="408" t="str">
        <f>'16U BOYS SILVER-20 TEAMS'!G21&amp;""</f>
        <v>19-SAN JOSE EXPRESS GOLD</v>
      </c>
      <c r="H27" s="408" t="str">
        <f>'16U BOYS SILVER-20 TEAMS'!H21&amp;""</f>
        <v>8</v>
      </c>
      <c r="I27" s="408" t="str">
        <f>'16U BOYS SILVER-20 TEAMS'!I21&amp;""</f>
        <v>W/L F</v>
      </c>
      <c r="J27" s="408" t="str">
        <f>'16U BOYS SILVER-20 TEAMS'!J21&amp;""</f>
        <v>16U_BOYS_SILVER</v>
      </c>
      <c r="K27" s="408" t="str">
        <f t="shared" si="0"/>
        <v>202601310800</v>
      </c>
    </row>
    <row r="28" spans="1:11">
      <c r="A28" s="432">
        <f>'19U BOYS GOLD-16 TEAMS'!A10</f>
        <v>46053</v>
      </c>
      <c r="B28" s="433">
        <f>'19U BOYS GOLD-16 TEAMS'!B10</f>
        <v>0.33333333333333298</v>
      </c>
      <c r="C28" s="433" t="str">
        <f>'19U BOYS GOLD-16 TEAMS'!C10&amp;""</f>
        <v>SAN JUAN HILLS HS</v>
      </c>
      <c r="D28" s="434" t="str">
        <f>'19U BOYS GOLD-16 TEAMS'!D10&amp;""</f>
        <v>19Bau01</v>
      </c>
      <c r="E28" s="434" t="str">
        <f>'19U BOYS GOLD-16 TEAMS'!E10&amp;""</f>
        <v>A2-CLOVIS BLACK</v>
      </c>
      <c r="F28" s="434" t="str">
        <f>'19U BOYS GOLD-16 TEAMS'!F10&amp;""</f>
        <v>14</v>
      </c>
      <c r="G28" s="434" t="str">
        <f>'19U BOYS GOLD-16 TEAMS'!G10&amp;""</f>
        <v>A3-LA JOLLA UNITED GOLD</v>
      </c>
      <c r="H28" s="434" t="str">
        <f>'19U BOYS GOLD-16 TEAMS'!H10&amp;""</f>
        <v>12</v>
      </c>
      <c r="I28" s="434" t="str">
        <f>'19U BOYS GOLD-16 TEAMS'!I10&amp;""</f>
        <v>W/L A2/A3</v>
      </c>
      <c r="J28" s="434" t="str">
        <f>'19U BOYS GOLD-16 TEAMS'!J10&amp;""</f>
        <v>19U_BOYS_GOLD</v>
      </c>
      <c r="K28" s="434" t="str">
        <f t="shared" si="0"/>
        <v>202601310800</v>
      </c>
    </row>
    <row r="29" spans="1:11">
      <c r="A29" s="421">
        <f>'16U BOYS PLATINUM-18 TEAMS'!A20</f>
        <v>46053</v>
      </c>
      <c r="B29" s="422">
        <f>'16U BOYS PLATINUM-18 TEAMS'!B20</f>
        <v>0.33333333333333298</v>
      </c>
      <c r="C29" s="422" t="str">
        <f>'16U BOYS PLATINUM-18 TEAMS'!C20&amp;""</f>
        <v>SONORA HS</v>
      </c>
      <c r="D29" s="423" t="str">
        <f>'16U BOYS PLATINUM-18 TEAMS'!D20&amp;""</f>
        <v>16Bpt01</v>
      </c>
      <c r="E29" s="424" t="str">
        <f>'16U BOYS PLATINUM-18 TEAMS'!E20&amp;""</f>
        <v>A1-CC UNITED BLACK</v>
      </c>
      <c r="F29" s="425" t="str">
        <f>'16U BOYS PLATINUM-18 TEAMS'!F20&amp;""</f>
        <v>18</v>
      </c>
      <c r="G29" s="424" t="str">
        <f>'16U BOYS PLATINUM-18 TEAMS'!G20&amp;""</f>
        <v>A3-CAPITAL</v>
      </c>
      <c r="H29" s="425" t="str">
        <f>'16U BOYS PLATINUM-18 TEAMS'!H20&amp;""</f>
        <v>6</v>
      </c>
      <c r="I29" s="426" t="str">
        <f>'16U BOYS PLATINUM-18 TEAMS'!I20&amp;""</f>
        <v>A bracket A1,A3</v>
      </c>
      <c r="J29" s="423" t="str">
        <f>'16U BOYS PLATINUM-18 TEAMS'!J20&amp;""</f>
        <v>16U_BOYS_PLATINUM</v>
      </c>
      <c r="K29" s="423" t="str">
        <f t="shared" si="0"/>
        <v>202601310800</v>
      </c>
    </row>
    <row r="30" spans="1:11">
      <c r="A30" s="410">
        <f>'16U BOYS GOLD-19 TEAMS'!A25</f>
        <v>46053</v>
      </c>
      <c r="B30" s="411">
        <f>'16U BOYS GOLD-19 TEAMS'!B25</f>
        <v>0.33333333333333298</v>
      </c>
      <c r="C30" s="411" t="str">
        <f>'16U BOYS GOLD-19 TEAMS'!C25&amp;""</f>
        <v>WESTMINSTER HS</v>
      </c>
      <c r="D30" s="412" t="str">
        <f>'16U BOYS GOLD-19 TEAMS'!D25&amp;""</f>
        <v>16Bau02</v>
      </c>
      <c r="E30" s="412" t="str">
        <f>'16U BOYS GOLD-19 TEAMS'!E25&amp;""</f>
        <v>B1-CMAC</v>
      </c>
      <c r="F30" s="412" t="str">
        <f>'16U BOYS GOLD-19 TEAMS'!F25&amp;""</f>
        <v>6</v>
      </c>
      <c r="G30" s="412" t="str">
        <f>'16U BOYS GOLD-19 TEAMS'!G25&amp;""</f>
        <v>B3-SOUTH COAST WHITE (B)</v>
      </c>
      <c r="H30" s="412" t="str">
        <f>'16U BOYS GOLD-19 TEAMS'!H25&amp;""</f>
        <v>14</v>
      </c>
      <c r="I30" s="412" t="str">
        <f>'16U BOYS GOLD-19 TEAMS'!I25&amp;""</f>
        <v>B bracket</v>
      </c>
      <c r="J30" s="412" t="str">
        <f>'16U BOYS GOLD-19 TEAMS'!J25&amp;""</f>
        <v>16U_BOYS_GOLD</v>
      </c>
      <c r="K30" s="412" t="str">
        <f t="shared" si="0"/>
        <v>202601310800</v>
      </c>
    </row>
    <row r="31" spans="1:11">
      <c r="A31" s="435">
        <f>'19U BOYS PLATINUM-27 TEAMS'!A29</f>
        <v>46053</v>
      </c>
      <c r="B31" s="436">
        <f>'19U BOYS PLATINUM-27 TEAMS'!B29</f>
        <v>0.33333333333333298</v>
      </c>
      <c r="C31" s="437" t="str">
        <f>'19U BOYS PLATINUM-27 TEAMS'!C29&amp;""</f>
        <v>WOOLLETT NEAR LEFT</v>
      </c>
      <c r="D31" s="437" t="str">
        <f>'19U BOYS PLATINUM-27 TEAMS'!D29&amp;""</f>
        <v>19Bpt14</v>
      </c>
      <c r="E31" s="439" t="str">
        <f>'19U BOYS PLATINUM-27 TEAMS'!E29&amp;""</f>
        <v>6-CHANNEL ISLANDS UNITED TEAL</v>
      </c>
      <c r="F31" s="438" t="str">
        <f>'19U BOYS PLATINUM-27 TEAMS'!F29&amp;""</f>
        <v>21</v>
      </c>
      <c r="G31" s="438" t="str">
        <f>'19U BOYS PLATINUM-27 TEAMS'!G29&amp;""</f>
        <v>27-CC UNITED BLUE</v>
      </c>
      <c r="H31" s="438" t="str">
        <f>'19U BOYS PLATINUM-27 TEAMS'!H29&amp;""</f>
        <v>5</v>
      </c>
      <c r="I31" s="437" t="str">
        <f>'19U BOYS PLATINUM-27 TEAMS'!I29&amp;""</f>
        <v>W/L G1/G4</v>
      </c>
      <c r="J31" s="438" t="str">
        <f>'19U BOYS PLATINUM-27 TEAMS'!J29&amp;""</f>
        <v>19U_BOYS_PLATINUM</v>
      </c>
      <c r="K31" s="438" t="str">
        <f t="shared" si="0"/>
        <v>202601310800</v>
      </c>
    </row>
    <row r="32" spans="1:11">
      <c r="A32" s="435">
        <f>'19U BOYS PLATINUM-27 TEAMS'!A44</f>
        <v>46053</v>
      </c>
      <c r="B32" s="436">
        <f>'19U BOYS PLATINUM-27 TEAMS'!B44</f>
        <v>0.33333333333333298</v>
      </c>
      <c r="C32" s="437" t="str">
        <f>'19U BOYS PLATINUM-27 TEAMS'!C44&amp;""</f>
        <v>WOOLLETT NEAR RIGHT</v>
      </c>
      <c r="D32" s="437" t="str">
        <f>'19U BOYS PLATINUM-27 TEAMS'!D44&amp;""</f>
        <v>19Bpt16</v>
      </c>
      <c r="E32" s="438" t="str">
        <f>'19U BOYS PLATINUM-27 TEAMS'!E44&amp;""</f>
        <v>7-TROJAN</v>
      </c>
      <c r="F32" s="438" t="str">
        <f>'19U BOYS PLATINUM-27 TEAMS'!F44&amp;""</f>
        <v>13</v>
      </c>
      <c r="G32" s="438" t="str">
        <f>'19U BOYS PLATINUM-27 TEAMS'!G44&amp;""</f>
        <v>26-FOOTHILL BLACK</v>
      </c>
      <c r="H32" s="438" t="str">
        <f>'19U BOYS PLATINUM-27 TEAMS'!H44&amp;""</f>
        <v>7</v>
      </c>
      <c r="I32" s="437" t="str">
        <f>'19U BOYS PLATINUM-27 TEAMS'!I44&amp;""</f>
        <v>W/L H</v>
      </c>
      <c r="J32" s="438" t="str">
        <f>'19U BOYS PLATINUM-27 TEAMS'!J44&amp;""</f>
        <v>19U_BOYS_PLATINUM</v>
      </c>
      <c r="K32" s="438" t="str">
        <f t="shared" si="0"/>
        <v>202601310800</v>
      </c>
    </row>
    <row r="33" spans="1:11">
      <c r="A33" s="406">
        <f>'16U BOYS SILVER-20 TEAMS'!A36</f>
        <v>46053</v>
      </c>
      <c r="B33" s="407">
        <f>'16U BOYS SILVER-20 TEAMS'!B36</f>
        <v>0.33333333333333298</v>
      </c>
      <c r="C33" s="407" t="str">
        <f>'16U BOYS SILVER-20 TEAMS'!C36&amp;""</f>
        <v>YORBA LINDA HS</v>
      </c>
      <c r="D33" s="408" t="str">
        <f>'16U BOYS SILVER-20 TEAMS'!D36&amp;""</f>
        <v>16Bag13</v>
      </c>
      <c r="E33" s="408" t="str">
        <f>'16U BOYS SILVER-20 TEAMS'!E36&amp;""</f>
        <v>B1-SANTA CRUZ</v>
      </c>
      <c r="F33" s="408" t="str">
        <f>'16U BOYS SILVER-20 TEAMS'!F36&amp;""</f>
        <v>7</v>
      </c>
      <c r="G33" s="408" t="str">
        <f>'16U BOYS SILVER-20 TEAMS'!G36&amp;""</f>
        <v>B3-LA JOLLA UNITED SILVER</v>
      </c>
      <c r="H33" s="408" t="str">
        <f>'16U BOYS SILVER-20 TEAMS'!H36&amp;""</f>
        <v>1</v>
      </c>
      <c r="I33" s="408" t="str">
        <f>'16U BOYS SILVER-20 TEAMS'!I36&amp;""</f>
        <v>B bracket</v>
      </c>
      <c r="J33" s="408" t="str">
        <f>'16U BOYS SILVER-20 TEAMS'!J36&amp;""</f>
        <v>16U_BOYS_SILVER</v>
      </c>
      <c r="K33" s="408" t="str">
        <f t="shared" si="0"/>
        <v>202601310800</v>
      </c>
    </row>
    <row r="34" spans="1:11">
      <c r="A34" s="346">
        <f>'10U BOYS-8 TEAMS'!A10</f>
        <v>46053</v>
      </c>
      <c r="B34" s="347">
        <f>'10U BOYS-8 TEAMS'!B10</f>
        <v>0.33333333333333331</v>
      </c>
      <c r="C34" s="348" t="str">
        <f>'10U BOYS-8 TEAMS'!C10&amp;""</f>
        <v>BECKMAN HS 2</v>
      </c>
      <c r="D34" s="348" t="str">
        <f>'10U BOYS-8 TEAMS'!D10&amp;""</f>
        <v>10B01</v>
      </c>
      <c r="E34" s="348" t="str">
        <f>'10U BOYS-8 TEAMS'!E10&amp;""</f>
        <v>B1-CC UNITED BLACK</v>
      </c>
      <c r="F34" s="349" t="str">
        <f>'10U BOYS-8 TEAMS'!F10&amp;""</f>
        <v>9</v>
      </c>
      <c r="G34" s="348" t="str">
        <f>'10U BOYS-8 TEAMS'!G10&amp;""</f>
        <v>B3-STANFORD RED</v>
      </c>
      <c r="H34" s="348" t="str">
        <f>'10U BOYS-8 TEAMS'!H10&amp;""</f>
        <v>8</v>
      </c>
      <c r="I34" s="348" t="str">
        <f>'10U BOYS-8 TEAMS'!I10&amp;""</f>
        <v>bracket, B1/B3</v>
      </c>
      <c r="J34" s="348" t="str">
        <f>'10U BOYS-8 TEAMS'!J10&amp;""</f>
        <v>10U_BOYS</v>
      </c>
      <c r="K34" s="348" t="str">
        <f t="shared" si="0"/>
        <v>202601310800</v>
      </c>
    </row>
    <row r="35" spans="1:11">
      <c r="A35" s="337">
        <f>'10U COED GOLD-16 TEAMS CUSTOM'!A10</f>
        <v>46053</v>
      </c>
      <c r="B35" s="338">
        <f>'10U COED GOLD-16 TEAMS CUSTOM'!B10</f>
        <v>0.33333333333333331</v>
      </c>
      <c r="C35" s="338" t="str">
        <f>'10U COED GOLD-16 TEAMS CUSTOM'!C10&amp;""</f>
        <v>EL TORO HS 2</v>
      </c>
      <c r="D35" s="339" t="str">
        <f>'10U COED GOLD-16 TEAMS CUSTOM'!D10&amp;""</f>
        <v>10Cau01</v>
      </c>
      <c r="E35" s="339" t="str">
        <f>'10U COED GOLD-16 TEAMS CUSTOM'!E10&amp;""</f>
        <v>D1-TROJAN</v>
      </c>
      <c r="F35" s="339" t="str">
        <f>'10U COED GOLD-16 TEAMS CUSTOM'!F10&amp;""</f>
        <v>13</v>
      </c>
      <c r="G35" s="339" t="str">
        <f>'10U COED GOLD-16 TEAMS CUSTOM'!G10&amp;""</f>
        <v>D3-YOLO YELLOW</v>
      </c>
      <c r="H35" s="339" t="str">
        <f>'10U COED GOLD-16 TEAMS CUSTOM'!H10&amp;""</f>
        <v>15</v>
      </c>
      <c r="I35" s="339" t="str">
        <f>'10U COED GOLD-16 TEAMS CUSTOM'!I10&amp;""</f>
        <v>D bracket D1,D3</v>
      </c>
      <c r="J35" s="339" t="str">
        <f>'10U COED GOLD-16 TEAMS CUSTOM'!J10&amp;""</f>
        <v>10U_COED_GOLD</v>
      </c>
      <c r="K35" s="339" t="str">
        <f>TEXT(DATE(2025, MONTH(A35), DAY(A35)) + TIME(HOUR(B35), MINUTE(B35), 0), "yyyymmddhhmm")</f>
        <v>202501310800</v>
      </c>
    </row>
    <row r="36" spans="1:11">
      <c r="A36" s="341">
        <f>'10U COED PLATINUM-8 TEAMS'!A10</f>
        <v>46053</v>
      </c>
      <c r="B36" s="342">
        <f>'10U COED PLATINUM-8 TEAMS'!B10</f>
        <v>0.33333333333333331</v>
      </c>
      <c r="C36" s="343" t="str">
        <f>'10U COED PLATINUM-8 TEAMS'!C10&amp;""</f>
        <v>WOOLLETT FAR LEFT</v>
      </c>
      <c r="D36" s="343" t="str">
        <f>'10U COED PLATINUM-8 TEAMS'!D10&amp;""</f>
        <v>10Cpt01</v>
      </c>
      <c r="E36" s="343" t="str">
        <f>'10U COED PLATINUM-8 TEAMS'!E10&amp;""</f>
        <v>B1-ORANGE COUNTY WPC BLUE</v>
      </c>
      <c r="F36" s="344" t="str">
        <f>'10U COED PLATINUM-8 TEAMS'!F10&amp;""</f>
        <v>15</v>
      </c>
      <c r="G36" s="343" t="str">
        <f>'10U COED PLATINUM-8 TEAMS'!G10&amp;""</f>
        <v>B3-PATRIOT RED</v>
      </c>
      <c r="H36" s="343" t="str">
        <f>'10U COED PLATINUM-8 TEAMS'!H10&amp;""</f>
        <v>3</v>
      </c>
      <c r="I36" s="343" t="str">
        <f>'10U COED PLATINUM-8 TEAMS'!I10&amp;""</f>
        <v>bracket, B1/B3</v>
      </c>
      <c r="J36" s="343" t="str">
        <f>'10U COED PLATINUM-8 TEAMS'!J10&amp;""</f>
        <v>10U_COED_PLATINUM</v>
      </c>
      <c r="K36" s="343" t="str">
        <f t="shared" ref="K36:K47" si="1">TEXT(DATE(2026, MONTH(A36), DAY(A36)) + TIME(HOUR(B36), MINUTE(B36), 0), "yyyymmddhhmm")</f>
        <v>202601310800</v>
      </c>
    </row>
    <row r="37" spans="1:11">
      <c r="A37" s="382">
        <f>'14U GIRLS PLATINUM-10 TEAMS'!A12</f>
        <v>46053</v>
      </c>
      <c r="B37" s="383">
        <f>'14U GIRLS PLATINUM-10 TEAMS'!B12</f>
        <v>0.36111111111111099</v>
      </c>
      <c r="C37" s="383" t="str">
        <f>'14U GIRLS PLATINUM-10 TEAMS'!C12&amp;""</f>
        <v>ALISO NIGUEL HS</v>
      </c>
      <c r="D37" s="384" t="str">
        <f>'14U GIRLS PLATINUM-10 TEAMS'!D12&amp;""</f>
        <v>14Gpt03</v>
      </c>
      <c r="E37" s="384" t="str">
        <f>'14U GIRLS PLATINUM-10 TEAMS'!E12&amp;""</f>
        <v>C1-SANTA CRUZ BLACK</v>
      </c>
      <c r="F37" s="384" t="str">
        <f>'14U GIRLS PLATINUM-10 TEAMS'!F12&amp;""</f>
        <v>11</v>
      </c>
      <c r="G37" s="384" t="str">
        <f>'14U GIRLS PLATINUM-10 TEAMS'!G12&amp;""</f>
        <v>C4-LAMORINDA B</v>
      </c>
      <c r="H37" s="384" t="str">
        <f>'14U GIRLS PLATINUM-10 TEAMS'!H12&amp;""</f>
        <v>3</v>
      </c>
      <c r="I37" s="384" t="str">
        <f>'14U GIRLS PLATINUM-10 TEAMS'!I12&amp;""</f>
        <v>C bracket C1,C4</v>
      </c>
      <c r="J37" s="384" t="str">
        <f>'14U GIRLS PLATINUM-10 TEAMS'!J12&amp;""</f>
        <v>14U_GIRLS_PLATINUM</v>
      </c>
      <c r="K37" s="384" t="str">
        <f t="shared" si="1"/>
        <v>202601310840</v>
      </c>
    </row>
    <row r="38" spans="1:11">
      <c r="A38" s="370">
        <f>'12U BOYS PLATINUM-10 TEAMS'!A12</f>
        <v>46053</v>
      </c>
      <c r="B38" s="371">
        <f>'12U BOYS PLATINUM-10 TEAMS'!B12</f>
        <v>0.36111111111111099</v>
      </c>
      <c r="C38" s="372" t="str">
        <f>'12U BOYS PLATINUM-10 TEAMS'!C12&amp;""</f>
        <v>BECKMAN HS 1</v>
      </c>
      <c r="D38" s="373" t="str">
        <f>'12U BOYS PLATINUM-10 TEAMS'!D12&amp;""</f>
        <v>12Bpt03</v>
      </c>
      <c r="E38" s="373" t="str">
        <f>'12U BOYS PLATINUM-10 TEAMS'!E12&amp;""</f>
        <v>C1-STANFORD RED</v>
      </c>
      <c r="F38" s="373" t="str">
        <f>'12U BOYS PLATINUM-10 TEAMS'!F12&amp;""</f>
        <v>16</v>
      </c>
      <c r="G38" s="373" t="str">
        <f>'12U BOYS PLATINUM-10 TEAMS'!G12&amp;""</f>
        <v>C4-DAVIS</v>
      </c>
      <c r="H38" s="373" t="str">
        <f>'12U BOYS PLATINUM-10 TEAMS'!H12&amp;""</f>
        <v>3</v>
      </c>
      <c r="I38" s="373" t="str">
        <f>'12U BOYS PLATINUM-10 TEAMS'!I12&amp;""</f>
        <v>C bracket C1,C4</v>
      </c>
      <c r="J38" s="373" t="str">
        <f>'12U BOYS PLATINUM-10 TEAMS'!J12&amp;""</f>
        <v>12U_BOYS_PLATINUM</v>
      </c>
      <c r="K38" s="373" t="str">
        <f t="shared" si="1"/>
        <v>202601310840</v>
      </c>
    </row>
    <row r="39" spans="1:11">
      <c r="A39" s="394">
        <f>'14U BOYS GOLD-26 TEAMS'!A27</f>
        <v>46053</v>
      </c>
      <c r="B39" s="395">
        <f>'14U BOYS GOLD-26 TEAMS'!B27</f>
        <v>0.36111111111111099</v>
      </c>
      <c r="C39" s="396" t="str">
        <f>'14U BOYS GOLD-26 TEAMS'!C27&amp;""</f>
        <v>COSTA MESA HS 1</v>
      </c>
      <c r="D39" s="396" t="str">
        <f>'14U BOYS GOLD-26 TEAMS'!D27&amp;""</f>
        <v>14Bau08</v>
      </c>
      <c r="E39" s="397" t="str">
        <f>'14U BOYS GOLD-26 TEAMS'!E27&amp;""</f>
        <v>B1(4)-DAVIS</v>
      </c>
      <c r="F39" s="397" t="str">
        <f>'14U BOYS GOLD-26 TEAMS'!F27&amp;""</f>
        <v>18</v>
      </c>
      <c r="G39" s="397" t="str">
        <f>'14U BOYS GOLD-26 TEAMS'!G27&amp;""</f>
        <v>B3(20)-LA JOLLA UNITED GOLD</v>
      </c>
      <c r="H39" s="397" t="str">
        <f>'14U BOYS GOLD-26 TEAMS'!H27&amp;""</f>
        <v>7</v>
      </c>
      <c r="I39" s="396" t="str">
        <f>'14U BOYS GOLD-26 TEAMS'!I27&amp;""</f>
        <v>B bracket B1,B3</v>
      </c>
      <c r="J39" s="397" t="str">
        <f>'14U BOYS GOLD-26 TEAMS'!J27&amp;""</f>
        <v>14U_BOYS_GOLD</v>
      </c>
      <c r="K39" s="397" t="str">
        <f t="shared" si="1"/>
        <v>202601310840</v>
      </c>
    </row>
    <row r="40" spans="1:11">
      <c r="A40" s="354">
        <f>'12U BOYS GOLD-24 TEAMS'!A14</f>
        <v>46053</v>
      </c>
      <c r="B40" s="355">
        <f>'12U BOYS GOLD-24 TEAMS'!B14</f>
        <v>0.36111111111111099</v>
      </c>
      <c r="C40" s="355" t="str">
        <f>'12U BOYS GOLD-24 TEAMS'!C14&amp;""</f>
        <v>COSTA MESA HS 2</v>
      </c>
      <c r="D40" s="356" t="str">
        <f>'12U BOYS GOLD-24 TEAMS'!D14&amp;""</f>
        <v>12Bau01</v>
      </c>
      <c r="E40" s="354" t="str">
        <f>'12U BOYS GOLD-24 TEAMS'!E14&amp;""</f>
        <v>A1(1)-ORANGE COUNTY WPC BLUE</v>
      </c>
      <c r="F40" s="356" t="str">
        <f>'12U BOYS GOLD-24 TEAMS'!F14&amp;""</f>
        <v>11</v>
      </c>
      <c r="G40" s="354" t="str">
        <f>'12U BOYS GOLD-24 TEAMS'!G14&amp;""</f>
        <v>A2(16)-STANFORD BLACK</v>
      </c>
      <c r="H40" s="356" t="str">
        <f>'12U BOYS GOLD-24 TEAMS'!H14&amp;""</f>
        <v>5</v>
      </c>
      <c r="I40" s="356" t="str">
        <f>'12U BOYS GOLD-24 TEAMS'!I14&amp;""</f>
        <v>A bracket A1,A2</v>
      </c>
      <c r="J40" s="356" t="str">
        <f>'12U BOYS GOLD-24 TEAMS'!J14&amp;""</f>
        <v>12U_BOYS_GOLD</v>
      </c>
      <c r="K40" s="356" t="str">
        <f t="shared" si="1"/>
        <v>202601310840</v>
      </c>
    </row>
    <row r="41" spans="1:11">
      <c r="A41" s="399">
        <f>'14U BOYS PLATINUM-20 TEAMS'!A22</f>
        <v>46053</v>
      </c>
      <c r="B41" s="400">
        <f>'14U BOYS PLATINUM-20 TEAMS'!B22</f>
        <v>0.36111111111111099</v>
      </c>
      <c r="C41" s="400" t="str">
        <f>'14U BOYS PLATINUM-20 TEAMS'!C22&amp;""</f>
        <v>EL TORO HS 1</v>
      </c>
      <c r="D41" s="401" t="str">
        <f>'14U BOYS PLATINUM-20 TEAMS'!D22&amp;""</f>
        <v>14Bpt09</v>
      </c>
      <c r="E41" s="399" t="str">
        <f>'14U BOYS PLATINUM-20 TEAMS'!E22&amp;""</f>
        <v>A2-680 RED</v>
      </c>
      <c r="F41" s="401" t="str">
        <f>'14U BOYS PLATINUM-20 TEAMS'!F22&amp;""</f>
        <v>10.2</v>
      </c>
      <c r="G41" s="399" t="str">
        <f>'14U BOYS PLATINUM-20 TEAMS'!G22&amp;""</f>
        <v>A3-TROJAN CARDINAL</v>
      </c>
      <c r="H41" s="401" t="str">
        <f>'14U BOYS PLATINUM-20 TEAMS'!H22&amp;""</f>
        <v>10.3</v>
      </c>
      <c r="I41" s="401" t="str">
        <f>'14U BOYS PLATINUM-20 TEAMS'!I22&amp;""</f>
        <v>A bracket</v>
      </c>
      <c r="J41" s="401" t="str">
        <f>'14U BOYS PLATINUM-20 TEAMS'!J22&amp;""</f>
        <v>14U_BOYS_PLATINUM</v>
      </c>
      <c r="K41" s="401" t="str">
        <f t="shared" si="1"/>
        <v>202601310840</v>
      </c>
    </row>
    <row r="42" spans="1:11">
      <c r="A42" s="387">
        <f>'14U BOYS SILVER-18 TEAMS'!A32</f>
        <v>46053</v>
      </c>
      <c r="B42" s="388">
        <f>'14U BOYS SILVER-18 TEAMS'!B32</f>
        <v>0.36111111111111099</v>
      </c>
      <c r="C42" s="388" t="str">
        <f>'14U BOYS SILVER-18 TEAMS'!C32&amp;""</f>
        <v>ESPERANZA HS</v>
      </c>
      <c r="D42" s="389" t="str">
        <f>'14U BOYS SILVER-18 TEAMS'!D32&amp;""</f>
        <v>14Bag02</v>
      </c>
      <c r="E42" s="390" t="str">
        <f>'14U BOYS SILVER-18 TEAMS'!E32&amp;""</f>
        <v>D1-SAND CANYON</v>
      </c>
      <c r="F42" s="391" t="str">
        <f>'14U BOYS SILVER-18 TEAMS'!F32&amp;""</f>
        <v>12</v>
      </c>
      <c r="G42" s="390" t="str">
        <f>'14U BOYS SILVER-18 TEAMS'!G32&amp;""</f>
        <v>D3-PALOS VERDES B</v>
      </c>
      <c r="H42" s="391" t="str">
        <f>'14U BOYS SILVER-18 TEAMS'!H32&amp;""</f>
        <v>3</v>
      </c>
      <c r="I42" s="392" t="str">
        <f>'14U BOYS SILVER-18 TEAMS'!I32&amp;""</f>
        <v>D bracket D1,D3</v>
      </c>
      <c r="J42" s="389" t="str">
        <f>'14U BOYS SILVER-18 TEAMS'!J32&amp;""</f>
        <v>14U_BOYS_SILVER</v>
      </c>
      <c r="K42" s="389" t="str">
        <f t="shared" si="1"/>
        <v>202601310840</v>
      </c>
    </row>
    <row r="43" spans="1:11">
      <c r="A43" s="394">
        <f>'14U BOYS GOLD-26 TEAMS'!A43</f>
        <v>46053</v>
      </c>
      <c r="B43" s="395">
        <f>'14U BOYS GOLD-26 TEAMS'!B43</f>
        <v>0.36111111111111099</v>
      </c>
      <c r="C43" s="396" t="str">
        <f>'14U BOYS GOLD-26 TEAMS'!C43&amp;""</f>
        <v>ESTANCIA HS 2</v>
      </c>
      <c r="D43" s="396" t="str">
        <f>'14U BOYS GOLD-26 TEAMS'!D43&amp;""</f>
        <v>14Bau21</v>
      </c>
      <c r="E43" s="397" t="str">
        <f>'14U BOYS GOLD-26 TEAMS'!E43&amp;""</f>
        <v>E1(2)-FOOTHILL RED</v>
      </c>
      <c r="F43" s="397" t="str">
        <f>'14U BOYS GOLD-26 TEAMS'!F43&amp;""</f>
        <v>10.6</v>
      </c>
      <c r="G43" s="397" t="str">
        <f>'14U BOYS GOLD-26 TEAMS'!G43&amp;""</f>
        <v>E3(18)-CC UNITED BLUE</v>
      </c>
      <c r="H43" s="397" t="str">
        <f>'14U BOYS GOLD-26 TEAMS'!H43&amp;""</f>
        <v>10.7</v>
      </c>
      <c r="I43" s="396" t="str">
        <f>'14U BOYS GOLD-26 TEAMS'!I43&amp;""</f>
        <v>E bracket E1,E3</v>
      </c>
      <c r="J43" s="397" t="str">
        <f>'14U BOYS GOLD-26 TEAMS'!J43&amp;""</f>
        <v>14U_BOYS_GOLD</v>
      </c>
      <c r="K43" s="397" t="str">
        <f t="shared" si="1"/>
        <v>202601310840</v>
      </c>
    </row>
    <row r="44" spans="1:11">
      <c r="A44" s="378">
        <f>'14U GIRLS GOLD-14 TEAMS'!A13</f>
        <v>46053</v>
      </c>
      <c r="B44" s="379">
        <f>'14U GIRLS GOLD-14 TEAMS'!B13</f>
        <v>0.36111111111111099</v>
      </c>
      <c r="C44" s="379" t="str">
        <f>'14U GIRLS GOLD-14 TEAMS'!C13&amp;""</f>
        <v>LAGUNA HILLS HS</v>
      </c>
      <c r="D44" s="380" t="str">
        <f>'14U GIRLS GOLD-14 TEAMS'!D13&amp;""</f>
        <v>14Gau09</v>
      </c>
      <c r="E44" s="380" t="str">
        <f>'14U GIRLS GOLD-14 TEAMS'!E13&amp;""</f>
        <v>B2-ROGUE 619</v>
      </c>
      <c r="F44" s="380" t="str">
        <f>'14U GIRLS GOLD-14 TEAMS'!F13&amp;""</f>
        <v>10</v>
      </c>
      <c r="G44" s="380" t="str">
        <f>'14U GIRLS GOLD-14 TEAMS'!G13&amp;""</f>
        <v>B3-BACK BAY</v>
      </c>
      <c r="H44" s="380" t="str">
        <f>'14U GIRLS GOLD-14 TEAMS'!H13&amp;""</f>
        <v>4</v>
      </c>
      <c r="I44" s="380" t="str">
        <f>'14U GIRLS GOLD-14 TEAMS'!I13&amp;""</f>
        <v>B bracket B2,B3</v>
      </c>
      <c r="J44" s="380" t="str">
        <f>'14U GIRLS GOLD-14 TEAMS'!J13&amp;""</f>
        <v>14U_GIRLS_GOLD</v>
      </c>
      <c r="K44" s="380" t="str">
        <f t="shared" si="1"/>
        <v>202601310840</v>
      </c>
    </row>
    <row r="45" spans="1:11">
      <c r="A45" s="387">
        <f>'14U BOYS SILVER-18 TEAMS'!A21</f>
        <v>46053</v>
      </c>
      <c r="B45" s="388">
        <f>'14U BOYS SILVER-18 TEAMS'!B21</f>
        <v>0.36111111111111099</v>
      </c>
      <c r="C45" s="388" t="str">
        <f>'14U BOYS SILVER-18 TEAMS'!C21&amp;""</f>
        <v>SAN CLEMENTE HS</v>
      </c>
      <c r="D45" s="389" t="str">
        <f>'14U BOYS SILVER-18 TEAMS'!D21&amp;""</f>
        <v>14Bag03</v>
      </c>
      <c r="E45" s="390" t="str">
        <f>'14U BOYS SILVER-18 TEAMS'!E21&amp;""</f>
        <v>B1-SAN FRANCISCO</v>
      </c>
      <c r="F45" s="391" t="str">
        <f>'14U BOYS SILVER-18 TEAMS'!F21&amp;""</f>
        <v>14</v>
      </c>
      <c r="G45" s="390" t="str">
        <f>'14U BOYS SILVER-18 TEAMS'!G21&amp;""</f>
        <v>B3-SOUTH COAST BLUE (C)</v>
      </c>
      <c r="H45" s="391" t="str">
        <f>'14U BOYS SILVER-18 TEAMS'!H21&amp;""</f>
        <v>3</v>
      </c>
      <c r="I45" s="392" t="str">
        <f>'14U BOYS SILVER-18 TEAMS'!I21&amp;""</f>
        <v>B bracket B1,B3</v>
      </c>
      <c r="J45" s="389" t="str">
        <f>'14U BOYS SILVER-18 TEAMS'!J21&amp;""</f>
        <v>14U_BOYS_SILVER</v>
      </c>
      <c r="K45" s="389" t="str">
        <f t="shared" si="1"/>
        <v>202601310840</v>
      </c>
    </row>
    <row r="46" spans="1:11">
      <c r="A46" s="357">
        <f>'12U BOYS GOLD-24 TEAMS'!A28</f>
        <v>46053</v>
      </c>
      <c r="B46" s="358">
        <f>'12U BOYS GOLD-24 TEAMS'!B28</f>
        <v>0.36111111111111099</v>
      </c>
      <c r="C46" s="358" t="str">
        <f>'12U BOYS GOLD-24 TEAMS'!C28&amp;""</f>
        <v>WOOLLETT FAR RIGHT</v>
      </c>
      <c r="D46" s="359" t="str">
        <f>'12U BOYS GOLD-24 TEAMS'!D28&amp;""</f>
        <v>12Bau04A</v>
      </c>
      <c r="E46" s="359" t="str">
        <f>'12U BOYS GOLD-24 TEAMS'!E28&amp;""</f>
        <v>G1(6)-SAN MATEO</v>
      </c>
      <c r="F46" s="359" t="str">
        <f>'12U BOYS GOLD-24 TEAMS'!F28&amp;""</f>
        <v>22</v>
      </c>
      <c r="G46" s="359" t="str">
        <f>'12U BOYS GOLD-24 TEAMS'!G28&amp;""</f>
        <v>G3(22)-NORTH IRVINE WHITE</v>
      </c>
      <c r="H46" s="359" t="str">
        <f>'12U BOYS GOLD-24 TEAMS'!H28&amp;""</f>
        <v>2</v>
      </c>
      <c r="I46" s="359" t="str">
        <f>'12U BOYS GOLD-24 TEAMS'!I28&amp;""</f>
        <v>G bracket G1,G3</v>
      </c>
      <c r="J46" s="359" t="str">
        <f>'12U BOYS GOLD-24 TEAMS'!J28&amp;""</f>
        <v>12U_BOYS_GOLD</v>
      </c>
      <c r="K46" s="359" t="str">
        <f t="shared" si="1"/>
        <v>202601310840</v>
      </c>
    </row>
    <row r="47" spans="1:11">
      <c r="A47" s="346">
        <f>'10U BOYS-8 TEAMS'!A11</f>
        <v>46053</v>
      </c>
      <c r="B47" s="347">
        <f>'10U BOYS-8 TEAMS'!B11</f>
        <v>0.36458333333333331</v>
      </c>
      <c r="C47" s="348" t="str">
        <f>'10U BOYS-8 TEAMS'!C11&amp;""</f>
        <v>BECKMAN HS 2</v>
      </c>
      <c r="D47" s="348" t="str">
        <f>'10U BOYS-8 TEAMS'!D11&amp;""</f>
        <v>10B02</v>
      </c>
      <c r="E47" s="348" t="str">
        <f>'10U BOYS-8 TEAMS'!E11&amp;""</f>
        <v>B2-SAN CLEMENTE RED</v>
      </c>
      <c r="F47" s="348" t="str">
        <f>'10U BOYS-8 TEAMS'!F11&amp;""</f>
        <v>16</v>
      </c>
      <c r="G47" s="348" t="str">
        <f>'10U BOYS-8 TEAMS'!G11&amp;""</f>
        <v>B4-680 BLUE</v>
      </c>
      <c r="H47" s="348" t="str">
        <f>'10U BOYS-8 TEAMS'!H11&amp;""</f>
        <v>0</v>
      </c>
      <c r="I47" s="348" t="str">
        <f>'10U BOYS-8 TEAMS'!I11&amp;""</f>
        <v>bracket, B2/B4</v>
      </c>
      <c r="J47" s="348" t="str">
        <f>'10U BOYS-8 TEAMS'!J11&amp;""</f>
        <v>10U_BOYS</v>
      </c>
      <c r="K47" s="348" t="str">
        <f t="shared" si="1"/>
        <v>202601310845</v>
      </c>
    </row>
    <row r="48" spans="1:11">
      <c r="A48" s="337">
        <f>'10U COED GOLD-16 TEAMS CUSTOM'!A11</f>
        <v>46053</v>
      </c>
      <c r="B48" s="338">
        <f>'10U COED GOLD-16 TEAMS CUSTOM'!B11</f>
        <v>0.36458333333333331</v>
      </c>
      <c r="C48" s="338" t="str">
        <f>'10U COED GOLD-16 TEAMS CUSTOM'!C11&amp;""</f>
        <v>EL TORO HS 2</v>
      </c>
      <c r="D48" s="339" t="str">
        <f>'10U COED GOLD-16 TEAMS CUSTOM'!D11&amp;""</f>
        <v>10Cau02</v>
      </c>
      <c r="E48" s="339" t="str">
        <f>'10U COED GOLD-16 TEAMS CUSTOM'!E11&amp;""</f>
        <v>A1-LA JOLLA UNITED</v>
      </c>
      <c r="F48" s="339" t="str">
        <f>'10U COED GOLD-16 TEAMS CUSTOM'!F11&amp;""</f>
        <v>18</v>
      </c>
      <c r="G48" s="339" t="str">
        <f>'10U COED GOLD-16 TEAMS CUSTOM'!G11&amp;""</f>
        <v>A3-LAMORINDA C</v>
      </c>
      <c r="H48" s="339" t="str">
        <f>'10U COED GOLD-16 TEAMS CUSTOM'!H11&amp;""</f>
        <v>8</v>
      </c>
      <c r="I48" s="339" t="str">
        <f>'10U COED GOLD-16 TEAMS CUSTOM'!I11&amp;""</f>
        <v>A bracket A1,A3</v>
      </c>
      <c r="J48" s="339" t="str">
        <f>'10U COED GOLD-16 TEAMS CUSTOM'!J11&amp;""</f>
        <v>10U_COED_GOLD</v>
      </c>
      <c r="K48" s="339" t="str">
        <f>TEXT(DATE(2025, MONTH(A48), DAY(A48)) + TIME(HOUR(B48), MINUTE(B48), 0), "yyyymmddhhmm")</f>
        <v>202501310845</v>
      </c>
    </row>
    <row r="49" spans="1:11">
      <c r="A49" s="341">
        <f>'10U COED PLATINUM-8 TEAMS'!A11</f>
        <v>46053</v>
      </c>
      <c r="B49" s="342">
        <f>'10U COED PLATINUM-8 TEAMS'!B11</f>
        <v>0.36458333333333331</v>
      </c>
      <c r="C49" s="343" t="str">
        <f>'10U COED PLATINUM-8 TEAMS'!C11&amp;""</f>
        <v>WOOLLETT FAR LEFT</v>
      </c>
      <c r="D49" s="343" t="str">
        <f>'10U COED PLATINUM-8 TEAMS'!D11&amp;""</f>
        <v>10Cpt02</v>
      </c>
      <c r="E49" s="345" t="str">
        <f>'10U COED PLATINUM-8 TEAMS'!E11&amp;""</f>
        <v>B2-CHULA VISTA PREMIER</v>
      </c>
      <c r="F49" s="343" t="str">
        <f>'10U COED PLATINUM-8 TEAMS'!F11&amp;""</f>
        <v>17</v>
      </c>
      <c r="G49" s="343" t="str">
        <f>'10U COED PLATINUM-8 TEAMS'!G11&amp;""</f>
        <v>B4-LAMORINDA GOLD (B)</v>
      </c>
      <c r="H49" s="343" t="str">
        <f>'10U COED PLATINUM-8 TEAMS'!H11&amp;""</f>
        <v>2</v>
      </c>
      <c r="I49" s="343" t="str">
        <f>'10U COED PLATINUM-8 TEAMS'!I11&amp;""</f>
        <v>bracket, B2/B4</v>
      </c>
      <c r="J49" s="343" t="str">
        <f>'10U COED PLATINUM-8 TEAMS'!J11&amp;""</f>
        <v>10U_COED_PLATINUM</v>
      </c>
      <c r="K49" s="343" t="str">
        <f t="shared" ref="K49:K112" si="2">TEXT(DATE(2026, MONTH(A49), DAY(A49)) + TIME(HOUR(B49), MINUTE(B49), 0), "yyyymmddhhmm")</f>
        <v>202601310845</v>
      </c>
    </row>
    <row r="50" spans="1:11">
      <c r="A50" s="413">
        <f>'16U BOYS GOLD-19 TEAMS'!A37</f>
        <v>46053</v>
      </c>
      <c r="B50" s="414">
        <f>'16U BOYS GOLD-19 TEAMS'!B37</f>
        <v>0.375</v>
      </c>
      <c r="C50" s="414" t="str">
        <f>'16U BOYS GOLD-19 TEAMS'!C37&amp;""</f>
        <v>EDISON HS</v>
      </c>
      <c r="D50" s="415" t="str">
        <f>'16U BOYS GOLD-19 TEAMS'!D37&amp;""</f>
        <v>16Bau12</v>
      </c>
      <c r="E50" s="416" t="str">
        <f>'16U BOYS GOLD-19 TEAMS'!E37&amp;""</f>
        <v>F1-BIG VALLEY</v>
      </c>
      <c r="F50" s="417" t="str">
        <f>'16U BOYS GOLD-19 TEAMS'!F37&amp;""</f>
        <v>4</v>
      </c>
      <c r="G50" s="416" t="str">
        <f>'16U BOYS GOLD-19 TEAMS'!G37&amp;""</f>
        <v>F4-680 BLUE</v>
      </c>
      <c r="H50" s="417" t="str">
        <f>'16U BOYS GOLD-19 TEAMS'!H37&amp;""</f>
        <v>14</v>
      </c>
      <c r="I50" s="418" t="str">
        <f>'16U BOYS GOLD-19 TEAMS'!I37&amp;""</f>
        <v>F bracket</v>
      </c>
      <c r="J50" s="415" t="str">
        <f>'16U BOYS GOLD-19 TEAMS'!J37&amp;""</f>
        <v>16U_BOYS_GOLD</v>
      </c>
      <c r="K50" s="415" t="str">
        <f t="shared" si="2"/>
        <v>202601310900</v>
      </c>
    </row>
    <row r="51" spans="1:11">
      <c r="A51" s="406">
        <f>'16U BOYS SILVER-20 TEAMS'!A22</f>
        <v>46053</v>
      </c>
      <c r="B51" s="407">
        <f>'16U BOYS SILVER-20 TEAMS'!B22</f>
        <v>0.375</v>
      </c>
      <c r="C51" s="407" t="str">
        <f>'16U BOYS SILVER-20 TEAMS'!C22&amp;""</f>
        <v>ESTANCIA HS 1</v>
      </c>
      <c r="D51" s="408" t="str">
        <f>'16U BOYS SILVER-20 TEAMS'!D22&amp;""</f>
        <v>16Bag08</v>
      </c>
      <c r="E51" s="406" t="str">
        <f>'16U BOYS SILVER-20 TEAMS'!E22&amp;""</f>
        <v>7-WCAC UNITED</v>
      </c>
      <c r="F51" s="408" t="str">
        <f>'16U BOYS SILVER-20 TEAMS'!F22&amp;""</f>
        <v>10</v>
      </c>
      <c r="G51" s="408" t="str">
        <f>'16U BOYS SILVER-20 TEAMS'!G22&amp;""</f>
        <v>18-SAN CLEMENTE BLACK</v>
      </c>
      <c r="H51" s="408" t="str">
        <f>'16U BOYS SILVER-20 TEAMS'!H22&amp;""</f>
        <v>7</v>
      </c>
      <c r="I51" s="408" t="str">
        <f>'16U BOYS SILVER-20 TEAMS'!I22&amp;""</f>
        <v>W/L F</v>
      </c>
      <c r="J51" s="408" t="str">
        <f>'16U BOYS SILVER-20 TEAMS'!J22&amp;""</f>
        <v>16U_BOYS_SILVER</v>
      </c>
      <c r="K51" s="408" t="str">
        <f t="shared" si="2"/>
        <v>202601310900</v>
      </c>
    </row>
    <row r="52" spans="1:11">
      <c r="A52" s="432">
        <f>'19U BOYS GOLD-16 TEAMS'!A11</f>
        <v>46053</v>
      </c>
      <c r="B52" s="433">
        <f>'19U BOYS GOLD-16 TEAMS'!B11</f>
        <v>0.375</v>
      </c>
      <c r="C52" s="433" t="str">
        <f>'19U BOYS GOLD-16 TEAMS'!C11&amp;""</f>
        <v>SAN JUAN HILLS HS</v>
      </c>
      <c r="D52" s="434" t="str">
        <f>'19U BOYS GOLD-16 TEAMS'!D11&amp;""</f>
        <v>19Bau02</v>
      </c>
      <c r="E52" s="434" t="str">
        <f>'19U BOYS GOLD-16 TEAMS'!E11&amp;""</f>
        <v>A1-HIELAND</v>
      </c>
      <c r="F52" s="434" t="str">
        <f>'19U BOYS GOLD-16 TEAMS'!F11&amp;""</f>
        <v>7</v>
      </c>
      <c r="G52" s="434" t="str">
        <f>'19U BOYS GOLD-16 TEAMS'!G11&amp;""</f>
        <v>A4-VANGUARD SILVER</v>
      </c>
      <c r="H52" s="434" t="str">
        <f>'19U BOYS GOLD-16 TEAMS'!H11&amp;""</f>
        <v>6</v>
      </c>
      <c r="I52" s="434" t="str">
        <f>'19U BOYS GOLD-16 TEAMS'!I11&amp;""</f>
        <v>W/L A1/A4</v>
      </c>
      <c r="J52" s="434" t="str">
        <f>'19U BOYS GOLD-16 TEAMS'!J11&amp;""</f>
        <v>19U_BOYS_GOLD</v>
      </c>
      <c r="K52" s="434" t="str">
        <f t="shared" si="2"/>
        <v>202601310900</v>
      </c>
    </row>
    <row r="53" spans="1:11">
      <c r="A53" s="421">
        <f>'16U BOYS PLATINUM-18 TEAMS'!A21</f>
        <v>46053</v>
      </c>
      <c r="B53" s="422">
        <f>'16U BOYS PLATINUM-18 TEAMS'!B21</f>
        <v>0.375</v>
      </c>
      <c r="C53" s="422" t="str">
        <f>'16U BOYS PLATINUM-18 TEAMS'!C21&amp;""</f>
        <v>SONORA HS</v>
      </c>
      <c r="D53" s="423" t="str">
        <f>'16U BOYS PLATINUM-18 TEAMS'!D21&amp;""</f>
        <v>16Bpt03</v>
      </c>
      <c r="E53" s="424" t="str">
        <f>'16U BOYS PLATINUM-18 TEAMS'!E21&amp;""</f>
        <v>B2-AMERICAN RIVER BLUE</v>
      </c>
      <c r="F53" s="425" t="str">
        <f>'16U BOYS PLATINUM-18 TEAMS'!F21&amp;""</f>
        <v>12</v>
      </c>
      <c r="G53" s="424" t="str">
        <f>'16U BOYS PLATINUM-18 TEAMS'!G21&amp;""</f>
        <v>B3-IMPERIAL WPC</v>
      </c>
      <c r="H53" s="425" t="str">
        <f>'16U BOYS PLATINUM-18 TEAMS'!H21&amp;""</f>
        <v>15</v>
      </c>
      <c r="I53" s="426" t="str">
        <f>'16U BOYS PLATINUM-18 TEAMS'!I21&amp;""</f>
        <v>B bracket B2,B3</v>
      </c>
      <c r="J53" s="423" t="str">
        <f>'16U BOYS PLATINUM-18 TEAMS'!J21&amp;""</f>
        <v>16U_BOYS_PLATINUM</v>
      </c>
      <c r="K53" s="423" t="str">
        <f t="shared" si="2"/>
        <v>202601310900</v>
      </c>
    </row>
    <row r="54" spans="1:11">
      <c r="A54" s="410">
        <f>'16U BOYS GOLD-19 TEAMS'!A26</f>
        <v>46053</v>
      </c>
      <c r="B54" s="411">
        <f>'16U BOYS GOLD-19 TEAMS'!B26</f>
        <v>0.375</v>
      </c>
      <c r="C54" s="411" t="str">
        <f>'16U BOYS GOLD-19 TEAMS'!C26&amp;""</f>
        <v>WESTMINSTER HS</v>
      </c>
      <c r="D54" s="412" t="str">
        <f>'16U BOYS GOLD-19 TEAMS'!D26&amp;""</f>
        <v>16Bau03</v>
      </c>
      <c r="E54" s="412" t="str">
        <f>'16U BOYS GOLD-19 TEAMS'!E26&amp;""</f>
        <v>C1-ST LOUIS AREA POLO</v>
      </c>
      <c r="F54" s="412" t="str">
        <f>'16U BOYS GOLD-19 TEAMS'!F26&amp;""</f>
        <v>5</v>
      </c>
      <c r="G54" s="412" t="str">
        <f>'16U BOYS GOLD-19 TEAMS'!G26&amp;""</f>
        <v>C3-TROJAN GOLD</v>
      </c>
      <c r="H54" s="412" t="str">
        <f>'16U BOYS GOLD-19 TEAMS'!H26&amp;""</f>
        <v>6</v>
      </c>
      <c r="I54" s="412" t="str">
        <f>'16U BOYS GOLD-19 TEAMS'!I26&amp;""</f>
        <v>C bracket</v>
      </c>
      <c r="J54" s="412" t="str">
        <f>'16U BOYS GOLD-19 TEAMS'!J26&amp;""</f>
        <v>16U_BOYS_GOLD</v>
      </c>
      <c r="K54" s="412" t="str">
        <f t="shared" si="2"/>
        <v>202601310900</v>
      </c>
    </row>
    <row r="55" spans="1:11">
      <c r="A55" s="435">
        <f>'19U BOYS PLATINUM-27 TEAMS'!A30</f>
        <v>46053</v>
      </c>
      <c r="B55" s="436">
        <f>'19U BOYS PLATINUM-27 TEAMS'!B30</f>
        <v>0.375</v>
      </c>
      <c r="C55" s="437" t="str">
        <f>'19U BOYS PLATINUM-27 TEAMS'!C30&amp;""</f>
        <v>WOOLLETT NEAR LEFT</v>
      </c>
      <c r="D55" s="437" t="str">
        <f>'19U BOYS PLATINUM-27 TEAMS'!D30&amp;""</f>
        <v>19Bpt03</v>
      </c>
      <c r="E55" s="438" t="str">
        <f>'19U BOYS PLATINUM-27 TEAMS'!E30&amp;""</f>
        <v>9-SOUTH COAST RED (A)</v>
      </c>
      <c r="F55" s="438" t="str">
        <f>'19U BOYS PLATINUM-27 TEAMS'!F30&amp;""</f>
        <v>9.3</v>
      </c>
      <c r="G55" s="438" t="str">
        <f>'19U BOYS PLATINUM-27 TEAMS'!G30&amp;""</f>
        <v>24-SAND CANYON</v>
      </c>
      <c r="H55" s="438" t="str">
        <f>'19U BOYS PLATINUM-27 TEAMS'!H30&amp;""</f>
        <v>9.4</v>
      </c>
      <c r="I55" s="437" t="str">
        <f>'19U BOYS PLATINUM-27 TEAMS'!I30&amp;""</f>
        <v>W/L D2/D3</v>
      </c>
      <c r="J55" s="438" t="str">
        <f>'19U BOYS PLATINUM-27 TEAMS'!J30&amp;""</f>
        <v>19U_BOYS_PLATINUM</v>
      </c>
      <c r="K55" s="438" t="str">
        <f t="shared" si="2"/>
        <v>202601310900</v>
      </c>
    </row>
    <row r="56" spans="1:11">
      <c r="A56" s="435">
        <f>'19U BOYS PLATINUM-27 TEAMS'!A45</f>
        <v>46053</v>
      </c>
      <c r="B56" s="436">
        <f>'19U BOYS PLATINUM-27 TEAMS'!B45</f>
        <v>0.375</v>
      </c>
      <c r="C56" s="437" t="str">
        <f>'19U BOYS PLATINUM-27 TEAMS'!C45&amp;""</f>
        <v>WOOLLETT NEAR RIGHT</v>
      </c>
      <c r="D56" s="437" t="str">
        <f>'19U BOYS PLATINUM-27 TEAMS'!D45&amp;""</f>
        <v>19Bpt17</v>
      </c>
      <c r="E56" s="438" t="str">
        <f>'19U BOYS PLATINUM-27 TEAMS'!E45&amp;""</f>
        <v>10-SHAQ</v>
      </c>
      <c r="F56" s="438" t="str">
        <f>'19U BOYS PLATINUM-27 TEAMS'!F45&amp;""</f>
        <v>5</v>
      </c>
      <c r="G56" s="438" t="str">
        <f>'19U BOYS PLATINUM-27 TEAMS'!G45&amp;""</f>
        <v>23-RIVERSIDE</v>
      </c>
      <c r="H56" s="438" t="str">
        <f>'19U BOYS PLATINUM-27 TEAMS'!H45&amp;""</f>
        <v>12</v>
      </c>
      <c r="I56" s="437" t="str">
        <f>'19U BOYS PLATINUM-27 TEAMS'!I45&amp;""</f>
        <v>W/L H</v>
      </c>
      <c r="J56" s="438" t="str">
        <f>'19U BOYS PLATINUM-27 TEAMS'!J45&amp;""</f>
        <v>19U_BOYS_PLATINUM</v>
      </c>
      <c r="K56" s="438" t="str">
        <f t="shared" si="2"/>
        <v>202601310900</v>
      </c>
    </row>
    <row r="57" spans="1:11">
      <c r="A57" s="406">
        <f>'16U BOYS SILVER-20 TEAMS'!A37</f>
        <v>46053</v>
      </c>
      <c r="B57" s="407">
        <f>'16U BOYS SILVER-20 TEAMS'!B37</f>
        <v>0.375</v>
      </c>
      <c r="C57" s="407" t="str">
        <f>'16U BOYS SILVER-20 TEAMS'!C37&amp;""</f>
        <v>YORBA LINDA HS</v>
      </c>
      <c r="D57" s="408" t="str">
        <f>'16U BOYS SILVER-20 TEAMS'!D37&amp;""</f>
        <v>16Bag14</v>
      </c>
      <c r="E57" s="408" t="str">
        <f>'16U BOYS SILVER-20 TEAMS'!E37&amp;""</f>
        <v>C1-SET</v>
      </c>
      <c r="F57" s="408" t="str">
        <f>'16U BOYS SILVER-20 TEAMS'!F37&amp;""</f>
        <v>11</v>
      </c>
      <c r="G57" s="408" t="str">
        <f>'16U BOYS SILVER-20 TEAMS'!G37&amp;""</f>
        <v>C3-LAMORINDA B</v>
      </c>
      <c r="H57" s="408" t="str">
        <f>'16U BOYS SILVER-20 TEAMS'!H37&amp;""</f>
        <v>12</v>
      </c>
      <c r="I57" s="408" t="str">
        <f>'16U BOYS SILVER-20 TEAMS'!I37&amp;""</f>
        <v>C bracket</v>
      </c>
      <c r="J57" s="408" t="str">
        <f>'16U BOYS SILVER-20 TEAMS'!J37&amp;""</f>
        <v>16U_BOYS_SILVER</v>
      </c>
      <c r="K57" s="408" t="str">
        <f t="shared" si="2"/>
        <v>202601310900</v>
      </c>
    </row>
    <row r="58" spans="1:11">
      <c r="A58" s="346">
        <f>'10U BOYS-8 TEAMS'!A12</f>
        <v>46053</v>
      </c>
      <c r="B58" s="347">
        <f>'10U BOYS-8 TEAMS'!B12</f>
        <v>0.39583333333333298</v>
      </c>
      <c r="C58" s="348" t="str">
        <f>'10U BOYS-8 TEAMS'!C12&amp;""</f>
        <v>BECKMAN HS 2</v>
      </c>
      <c r="D58" s="348" t="str">
        <f>'10U BOYS-8 TEAMS'!D12&amp;""</f>
        <v>10B03</v>
      </c>
      <c r="E58" s="348" t="str">
        <f>'10U BOYS-8 TEAMS'!E12&amp;""</f>
        <v>A1-LAMORINDA BLUE (A)</v>
      </c>
      <c r="F58" s="348" t="str">
        <f>'10U BOYS-8 TEAMS'!F12&amp;""</f>
        <v>10</v>
      </c>
      <c r="G58" s="348" t="str">
        <f>'10U BOYS-8 TEAMS'!G12&amp;""</f>
        <v>A3-LA PREMIER</v>
      </c>
      <c r="H58" s="348" t="str">
        <f>'10U BOYS-8 TEAMS'!H12&amp;""</f>
        <v>1</v>
      </c>
      <c r="I58" s="348" t="str">
        <f>'10U BOYS-8 TEAMS'!I12&amp;""</f>
        <v>bracket, A1/A3</v>
      </c>
      <c r="J58" s="348" t="str">
        <f>'10U BOYS-8 TEAMS'!J12&amp;""</f>
        <v>10U_BOYS</v>
      </c>
      <c r="K58" s="348" t="str">
        <f t="shared" si="2"/>
        <v>202601310930</v>
      </c>
    </row>
    <row r="59" spans="1:11">
      <c r="A59" s="337">
        <f>'10U COED GOLD-16 TEAMS CUSTOM'!A12</f>
        <v>46053</v>
      </c>
      <c r="B59" s="338">
        <f>'10U COED GOLD-16 TEAMS CUSTOM'!B12</f>
        <v>0.39583333333333298</v>
      </c>
      <c r="C59" s="338" t="str">
        <f>'10U COED GOLD-16 TEAMS CUSTOM'!C12&amp;""</f>
        <v>EL TORO HS 2</v>
      </c>
      <c r="D59" s="339" t="str">
        <f>'10U COED GOLD-16 TEAMS CUSTOM'!D12&amp;""</f>
        <v>10Cau03</v>
      </c>
      <c r="E59" s="339" t="str">
        <f>'10U COED GOLD-16 TEAMS CUSTOM'!E12&amp;""</f>
        <v>B1-DAVIS</v>
      </c>
      <c r="F59" s="339" t="str">
        <f>'10U COED GOLD-16 TEAMS CUSTOM'!F12&amp;""</f>
        <v>16</v>
      </c>
      <c r="G59" s="339" t="str">
        <f>'10U COED GOLD-16 TEAMS CUSTOM'!G12&amp;""</f>
        <v>B3-DEL MAR WHITE</v>
      </c>
      <c r="H59" s="339" t="str">
        <f>'10U COED GOLD-16 TEAMS CUSTOM'!H12&amp;""</f>
        <v>5</v>
      </c>
      <c r="I59" s="339" t="str">
        <f>'10U COED GOLD-16 TEAMS CUSTOM'!I12&amp;""</f>
        <v>B bracket B1,B3</v>
      </c>
      <c r="J59" s="339" t="str">
        <f>'10U COED GOLD-16 TEAMS CUSTOM'!J12&amp;""</f>
        <v>10U_COED_GOLD</v>
      </c>
      <c r="K59" s="339" t="str">
        <f t="shared" si="2"/>
        <v>202601310930</v>
      </c>
    </row>
    <row r="60" spans="1:11">
      <c r="A60" s="341">
        <f>'10U COED PLATINUM-8 TEAMS'!A12</f>
        <v>46053</v>
      </c>
      <c r="B60" s="342">
        <f>'10U COED PLATINUM-8 TEAMS'!B12</f>
        <v>0.39583333333333298</v>
      </c>
      <c r="C60" s="343" t="str">
        <f>'10U COED PLATINUM-8 TEAMS'!C12&amp;""</f>
        <v>WOOLLETT FAR LEFT</v>
      </c>
      <c r="D60" s="343" t="str">
        <f>'10U COED PLATINUM-8 TEAMS'!D12&amp;""</f>
        <v>10Cpt03</v>
      </c>
      <c r="E60" s="343" t="str">
        <f>'10U COED PLATINUM-8 TEAMS'!E12&amp;""</f>
        <v>A1-CHANNEL ISLANDS UNITED</v>
      </c>
      <c r="F60" s="343" t="str">
        <f>'10U COED PLATINUM-8 TEAMS'!F12&amp;""</f>
        <v>10</v>
      </c>
      <c r="G60" s="343" t="str">
        <f>'10U COED PLATINUM-8 TEAMS'!G12&amp;""</f>
        <v>A3-YOLO BLACK</v>
      </c>
      <c r="H60" s="343" t="str">
        <f>'10U COED PLATINUM-8 TEAMS'!H12&amp;""</f>
        <v>9</v>
      </c>
      <c r="I60" s="343" t="str">
        <f>'10U COED PLATINUM-8 TEAMS'!I12&amp;""</f>
        <v>bracket, A1/A3</v>
      </c>
      <c r="J60" s="343" t="str">
        <f>'10U COED PLATINUM-8 TEAMS'!J12&amp;""</f>
        <v>10U_COED_PLATINUM</v>
      </c>
      <c r="K60" s="343" t="str">
        <f t="shared" si="2"/>
        <v>202601310930</v>
      </c>
    </row>
    <row r="61" spans="1:11">
      <c r="A61" s="382">
        <f>'14U GIRLS PLATINUM-10 TEAMS'!A13</f>
        <v>46053</v>
      </c>
      <c r="B61" s="383">
        <f>'14U GIRLS PLATINUM-10 TEAMS'!B13</f>
        <v>0.39583333333333398</v>
      </c>
      <c r="C61" s="383" t="str">
        <f>'14U GIRLS PLATINUM-10 TEAMS'!C13&amp;""</f>
        <v>ALISO NIGUEL HS</v>
      </c>
      <c r="D61" s="384" t="str">
        <f>'14U GIRLS PLATINUM-10 TEAMS'!D13&amp;""</f>
        <v>14Gpt04</v>
      </c>
      <c r="E61" s="384" t="str">
        <f>'14U GIRLS PLATINUM-10 TEAMS'!E13&amp;""</f>
        <v>A2-DAVIS</v>
      </c>
      <c r="F61" s="384" t="str">
        <f>'14U GIRLS PLATINUM-10 TEAMS'!F13&amp;""</f>
        <v>5.2</v>
      </c>
      <c r="G61" s="384" t="str">
        <f>'14U GIRLS PLATINUM-10 TEAMS'!G13&amp;""</f>
        <v>A3-STANFORD</v>
      </c>
      <c r="H61" s="384" t="str">
        <f>'14U GIRLS PLATINUM-10 TEAMS'!H13&amp;""</f>
        <v>5.4</v>
      </c>
      <c r="I61" s="384" t="str">
        <f>'14U GIRLS PLATINUM-10 TEAMS'!I13&amp;""</f>
        <v>A bracket A2,A3</v>
      </c>
      <c r="J61" s="384" t="str">
        <f>'14U GIRLS PLATINUM-10 TEAMS'!J13&amp;""</f>
        <v>14U_GIRLS_PLATINUM</v>
      </c>
      <c r="K61" s="384" t="str">
        <f t="shared" si="2"/>
        <v>202601310930</v>
      </c>
    </row>
    <row r="62" spans="1:11">
      <c r="A62" s="370">
        <f>'12U BOYS PLATINUM-10 TEAMS'!A13</f>
        <v>46053</v>
      </c>
      <c r="B62" s="371">
        <f>'12U BOYS PLATINUM-10 TEAMS'!B13</f>
        <v>0.39583333333333398</v>
      </c>
      <c r="C62" s="372" t="str">
        <f>'12U BOYS PLATINUM-10 TEAMS'!C13&amp;""</f>
        <v>BECKMAN HS 1</v>
      </c>
      <c r="D62" s="373" t="str">
        <f>'12U BOYS PLATINUM-10 TEAMS'!D13&amp;""</f>
        <v>12Bpt04</v>
      </c>
      <c r="E62" s="373" t="str">
        <f>'12U BOYS PLATINUM-10 TEAMS'!E13&amp;""</f>
        <v>C2-ORWP A</v>
      </c>
      <c r="F62" s="373" t="str">
        <f>'12U BOYS PLATINUM-10 TEAMS'!F13&amp;""</f>
        <v>8</v>
      </c>
      <c r="G62" s="373" t="str">
        <f>'12U BOYS PLATINUM-10 TEAMS'!G13&amp;""</f>
        <v>C3-SHAQ</v>
      </c>
      <c r="H62" s="373" t="str">
        <f>'12U BOYS PLATINUM-10 TEAMS'!H13&amp;""</f>
        <v>4</v>
      </c>
      <c r="I62" s="373" t="str">
        <f>'12U BOYS PLATINUM-10 TEAMS'!I13&amp;""</f>
        <v>C bracket C2,C3</v>
      </c>
      <c r="J62" s="373" t="str">
        <f>'12U BOYS PLATINUM-10 TEAMS'!J13&amp;""</f>
        <v>12U_BOYS_PLATINUM</v>
      </c>
      <c r="K62" s="373" t="str">
        <f t="shared" si="2"/>
        <v>202601310930</v>
      </c>
    </row>
    <row r="63" spans="1:11">
      <c r="A63" s="394">
        <f>'14U BOYS GOLD-26 TEAMS'!A28</f>
        <v>46053</v>
      </c>
      <c r="B63" s="395">
        <f>'14U BOYS GOLD-26 TEAMS'!B28</f>
        <v>0.39583333333333398</v>
      </c>
      <c r="C63" s="396" t="str">
        <f>'14U BOYS GOLD-26 TEAMS'!C28&amp;""</f>
        <v>COSTA MESA HS 1</v>
      </c>
      <c r="D63" s="396" t="str">
        <f>'14U BOYS GOLD-26 TEAMS'!D28&amp;""</f>
        <v>14Bau09</v>
      </c>
      <c r="E63" s="396" t="str">
        <f>'14U BOYS GOLD-26 TEAMS'!E28&amp;""</f>
        <v>C1(5)-LAWPC</v>
      </c>
      <c r="F63" s="396" t="str">
        <f>'14U BOYS GOLD-26 TEAMS'!F28&amp;""</f>
        <v>14</v>
      </c>
      <c r="G63" s="396" t="str">
        <f>'14U BOYS GOLD-26 TEAMS'!G28&amp;""</f>
        <v>C3(21)-STANFORD 13</v>
      </c>
      <c r="H63" s="396" t="str">
        <f>'14U BOYS GOLD-26 TEAMS'!H28&amp;""</f>
        <v>6</v>
      </c>
      <c r="I63" s="396" t="str">
        <f>'14U BOYS GOLD-26 TEAMS'!I28&amp;""</f>
        <v>C bracket C1,C3</v>
      </c>
      <c r="J63" s="397" t="str">
        <f>'14U BOYS GOLD-26 TEAMS'!J28&amp;""</f>
        <v>14U_BOYS_GOLD</v>
      </c>
      <c r="K63" s="397" t="str">
        <f t="shared" si="2"/>
        <v>202601310930</v>
      </c>
    </row>
    <row r="64" spans="1:11">
      <c r="A64" s="354">
        <f>'12U BOYS GOLD-24 TEAMS'!A15</f>
        <v>46053</v>
      </c>
      <c r="B64" s="355">
        <f>'12U BOYS GOLD-24 TEAMS'!B15</f>
        <v>0.39583333333333398</v>
      </c>
      <c r="C64" s="355" t="str">
        <f>'12U BOYS GOLD-24 TEAMS'!C15&amp;""</f>
        <v>COSTA MESA HS 2</v>
      </c>
      <c r="D64" s="356" t="str">
        <f>'12U BOYS GOLD-24 TEAMS'!D15&amp;""</f>
        <v>12Bau02</v>
      </c>
      <c r="E64" s="356" t="str">
        <f>'12U BOYS GOLD-24 TEAMS'!E15&amp;""</f>
        <v>C1(5)-BACK BAY</v>
      </c>
      <c r="F64" s="356" t="str">
        <f>'12U BOYS GOLD-24 TEAMS'!F15&amp;""</f>
        <v>6</v>
      </c>
      <c r="G64" s="356" t="str">
        <f>'12U BOYS GOLD-24 TEAMS'!G15&amp;""</f>
        <v>C3(21)-MISSION WPC B</v>
      </c>
      <c r="H64" s="356" t="str">
        <f>'12U BOYS GOLD-24 TEAMS'!H15&amp;""</f>
        <v>16</v>
      </c>
      <c r="I64" s="356" t="str">
        <f>'12U BOYS GOLD-24 TEAMS'!I15&amp;""</f>
        <v>C bracket C1,C3</v>
      </c>
      <c r="J64" s="356" t="str">
        <f>'12U BOYS GOLD-24 TEAMS'!J15&amp;""</f>
        <v>12U_BOYS_GOLD</v>
      </c>
      <c r="K64" s="356" t="str">
        <f t="shared" si="2"/>
        <v>202601310930</v>
      </c>
    </row>
    <row r="65" spans="1:11">
      <c r="A65" s="399">
        <f>'14U BOYS PLATINUM-20 TEAMS'!A23</f>
        <v>46053</v>
      </c>
      <c r="B65" s="400">
        <f>'14U BOYS PLATINUM-20 TEAMS'!B23</f>
        <v>0.39583333333333398</v>
      </c>
      <c r="C65" s="400" t="str">
        <f>'14U BOYS PLATINUM-20 TEAMS'!C23&amp;""</f>
        <v>EL TORO HS 1</v>
      </c>
      <c r="D65" s="401" t="str">
        <f>'14U BOYS PLATINUM-20 TEAMS'!D23&amp;""</f>
        <v>14Bpt07</v>
      </c>
      <c r="E65" s="445" t="str">
        <f>'14U BOYS PLATINUM-20 TEAMS'!E23&amp;""</f>
        <v>6-PATRIOT NAVY</v>
      </c>
      <c r="F65" s="401" t="str">
        <f>'14U BOYS PLATINUM-20 TEAMS'!F23&amp;""</f>
        <v>17</v>
      </c>
      <c r="G65" s="401" t="str">
        <f>'14U BOYS PLATINUM-20 TEAMS'!G23&amp;""</f>
        <v>19-ROUTE 66 AQUATICS</v>
      </c>
      <c r="H65" s="401" t="str">
        <f>'14U BOYS PLATINUM-20 TEAMS'!H23&amp;""</f>
        <v>8</v>
      </c>
      <c r="I65" s="401" t="str">
        <f>'14U BOYS PLATINUM-20 TEAMS'!I23&amp;""</f>
        <v>W/L F</v>
      </c>
      <c r="J65" s="401" t="str">
        <f>'14U BOYS PLATINUM-20 TEAMS'!J23&amp;""</f>
        <v>14U_BOYS_PLATINUM</v>
      </c>
      <c r="K65" s="401" t="str">
        <f t="shared" si="2"/>
        <v>202601310930</v>
      </c>
    </row>
    <row r="66" spans="1:11">
      <c r="A66" s="387">
        <f>'14U BOYS SILVER-18 TEAMS'!A33</f>
        <v>46053</v>
      </c>
      <c r="B66" s="388">
        <f>'14U BOYS SILVER-18 TEAMS'!B33</f>
        <v>0.39583333333333398</v>
      </c>
      <c r="C66" s="388" t="str">
        <f>'14U BOYS SILVER-18 TEAMS'!C33&amp;""</f>
        <v>ESPERANZA HS</v>
      </c>
      <c r="D66" s="389" t="str">
        <f>'14U BOYS SILVER-18 TEAMS'!D33&amp;""</f>
        <v>14Bag04</v>
      </c>
      <c r="E66" s="388" t="str">
        <f>'14U BOYS SILVER-18 TEAMS'!E33&amp;""</f>
        <v>E1-GOLD COAST</v>
      </c>
      <c r="F66" s="392" t="str">
        <f>'14U BOYS SILVER-18 TEAMS'!F33&amp;""</f>
        <v>14</v>
      </c>
      <c r="G66" s="388" t="str">
        <f>'14U BOYS SILVER-18 TEAMS'!G33&amp;""</f>
        <v>E3-CC UNITED WHITE</v>
      </c>
      <c r="H66" s="391" t="str">
        <f>'14U BOYS SILVER-18 TEAMS'!H33&amp;""</f>
        <v>1</v>
      </c>
      <c r="I66" s="392" t="str">
        <f>'14U BOYS SILVER-18 TEAMS'!I33&amp;""</f>
        <v>E bracket E1,E3</v>
      </c>
      <c r="J66" s="389" t="str">
        <f>'14U BOYS SILVER-18 TEAMS'!J33&amp;""</f>
        <v>14U_BOYS_SILVER</v>
      </c>
      <c r="K66" s="389" t="str">
        <f t="shared" si="2"/>
        <v>202601310930</v>
      </c>
    </row>
    <row r="67" spans="1:11">
      <c r="A67" s="394">
        <f>'14U BOYS GOLD-26 TEAMS'!A44</f>
        <v>46053</v>
      </c>
      <c r="B67" s="395">
        <f>'14U BOYS GOLD-26 TEAMS'!B44</f>
        <v>0.39583333333333398</v>
      </c>
      <c r="C67" s="396" t="str">
        <f>'14U BOYS GOLD-26 TEAMS'!C44&amp;""</f>
        <v>ESTANCIA HS 2</v>
      </c>
      <c r="D67" s="396" t="str">
        <f>'14U BOYS GOLD-26 TEAMS'!D44&amp;""</f>
        <v>14Bau22</v>
      </c>
      <c r="E67" s="396" t="str">
        <f>'14U BOYS GOLD-26 TEAMS'!E44&amp;""</f>
        <v>F2(14)-BOA</v>
      </c>
      <c r="F67" s="396" t="str">
        <f>'14U BOYS GOLD-26 TEAMS'!F44&amp;""</f>
        <v>6</v>
      </c>
      <c r="G67" s="396" t="str">
        <f>'14U BOYS GOLD-26 TEAMS'!G44&amp;""</f>
        <v>F3(19)-680 BLUE</v>
      </c>
      <c r="H67" s="396" t="str">
        <f>'14U BOYS GOLD-26 TEAMS'!H44&amp;""</f>
        <v>17</v>
      </c>
      <c r="I67" s="396" t="str">
        <f>'14U BOYS GOLD-26 TEAMS'!I44&amp;""</f>
        <v>F bracket F2,F3</v>
      </c>
      <c r="J67" s="397" t="str">
        <f>'14U BOYS GOLD-26 TEAMS'!J44&amp;""</f>
        <v>14U_BOYS_GOLD</v>
      </c>
      <c r="K67" s="397" t="str">
        <f t="shared" si="2"/>
        <v>202601310930</v>
      </c>
    </row>
    <row r="68" spans="1:11">
      <c r="A68" s="378">
        <f>'14U GIRLS GOLD-14 TEAMS'!A14</f>
        <v>46053</v>
      </c>
      <c r="B68" s="379">
        <f>'14U GIRLS GOLD-14 TEAMS'!B14</f>
        <v>0.39583333333333398</v>
      </c>
      <c r="C68" s="379" t="str">
        <f>'14U GIRLS GOLD-14 TEAMS'!C14&amp;""</f>
        <v>LAGUNA HILLS HS</v>
      </c>
      <c r="D68" s="380" t="str">
        <f>'14U GIRLS GOLD-14 TEAMS'!D14&amp;""</f>
        <v>14Gau01</v>
      </c>
      <c r="E68" s="380" t="str">
        <f>'14U GIRLS GOLD-14 TEAMS'!E14&amp;""</f>
        <v>C2-GOLD COAST</v>
      </c>
      <c r="F68" s="380" t="str">
        <f>'14U GIRLS GOLD-14 TEAMS'!F14&amp;""</f>
        <v>8</v>
      </c>
      <c r="G68" s="380" t="str">
        <f>'14U GIRLS GOLD-14 TEAMS'!G14&amp;""</f>
        <v>C3-PALOS VERDES</v>
      </c>
      <c r="H68" s="380" t="str">
        <f>'14U GIRLS GOLD-14 TEAMS'!H14&amp;""</f>
        <v>4</v>
      </c>
      <c r="I68" s="380" t="str">
        <f>'14U GIRLS GOLD-14 TEAMS'!I14&amp;""</f>
        <v>W/L C2/C3</v>
      </c>
      <c r="J68" s="380" t="str">
        <f>'14U GIRLS GOLD-14 TEAMS'!J14&amp;""</f>
        <v>14U_GIRLS_GOLD</v>
      </c>
      <c r="K68" s="380" t="str">
        <f t="shared" si="2"/>
        <v>202601310930</v>
      </c>
    </row>
    <row r="69" spans="1:11">
      <c r="A69" s="387">
        <f>'14U BOYS SILVER-18 TEAMS'!A22</f>
        <v>46053</v>
      </c>
      <c r="B69" s="388">
        <f>'14U BOYS SILVER-18 TEAMS'!B22</f>
        <v>0.39583333333333398</v>
      </c>
      <c r="C69" s="388" t="str">
        <f>'14U BOYS SILVER-18 TEAMS'!C22&amp;""</f>
        <v>SAN CLEMENTE HS</v>
      </c>
      <c r="D69" s="389" t="str">
        <f>'14U BOYS SILVER-18 TEAMS'!D22&amp;""</f>
        <v>14Bag05</v>
      </c>
      <c r="E69" s="388" t="str">
        <f>'14U BOYS SILVER-18 TEAMS'!E22&amp;""</f>
        <v>C1-PASADENA AC</v>
      </c>
      <c r="F69" s="392" t="str">
        <f>'14U BOYS SILVER-18 TEAMS'!F22&amp;""</f>
        <v>8</v>
      </c>
      <c r="G69" s="388" t="str">
        <f>'14U BOYS SILVER-18 TEAMS'!G22&amp;""</f>
        <v>C3-ORANGE COUNTY WPC RED</v>
      </c>
      <c r="H69" s="391" t="str">
        <f>'14U BOYS SILVER-18 TEAMS'!H22&amp;""</f>
        <v>5</v>
      </c>
      <c r="I69" s="392" t="str">
        <f>'14U BOYS SILVER-18 TEAMS'!I22&amp;""</f>
        <v>C bracket C1,C3</v>
      </c>
      <c r="J69" s="389" t="str">
        <f>'14U BOYS SILVER-18 TEAMS'!J22&amp;""</f>
        <v>14U_BOYS_SILVER</v>
      </c>
      <c r="K69" s="389" t="str">
        <f t="shared" si="2"/>
        <v>202601310930</v>
      </c>
    </row>
    <row r="70" spans="1:11">
      <c r="A70" s="351">
        <f>'12U GIRLS PLATINUM-12 TEAMS'!A12</f>
        <v>46053</v>
      </c>
      <c r="B70" s="352">
        <f>'12U GIRLS PLATINUM-12 TEAMS'!B12</f>
        <v>0.39583333333333398</v>
      </c>
      <c r="C70" s="351" t="str">
        <f>'12U GIRLS PLATINUM-12 TEAMS'!C12&amp;""</f>
        <v>WOOLLETT FAR RIGHT</v>
      </c>
      <c r="D70" s="353" t="str">
        <f>'12U GIRLS PLATINUM-12 TEAMS'!D12&amp;""</f>
        <v>12Gpt03</v>
      </c>
      <c r="E70" s="351" t="str">
        <f>'12U GIRLS PLATINUM-12 TEAMS'!E12&amp;""</f>
        <v>B1-680 RED</v>
      </c>
      <c r="F70" s="353" t="str">
        <f>'12U GIRLS PLATINUM-12 TEAMS'!F12&amp;""</f>
        <v>14</v>
      </c>
      <c r="G70" s="351" t="str">
        <f>'12U GIRLS PLATINUM-12 TEAMS'!G12&amp;""</f>
        <v>B2-SOUTH COAST RED</v>
      </c>
      <c r="H70" s="353" t="str">
        <f>'12U GIRLS PLATINUM-12 TEAMS'!H12&amp;""</f>
        <v>4</v>
      </c>
      <c r="I70" s="353" t="str">
        <f>'12U GIRLS PLATINUM-12 TEAMS'!I12&amp;""</f>
        <v>B bracket B1,B2</v>
      </c>
      <c r="J70" s="353" t="str">
        <f>'12U GIRLS PLATINUM-12 TEAMS'!J12&amp;""</f>
        <v>12U_GIRLS_PLATINUM</v>
      </c>
      <c r="K70" s="353" t="str">
        <f t="shared" si="2"/>
        <v>202601310930</v>
      </c>
    </row>
    <row r="71" spans="1:11">
      <c r="A71" s="413">
        <f>'16U BOYS GOLD-19 TEAMS'!A38</f>
        <v>46053</v>
      </c>
      <c r="B71" s="414">
        <f>'16U BOYS GOLD-19 TEAMS'!B38</f>
        <v>0.41666666666666702</v>
      </c>
      <c r="C71" s="414" t="str">
        <f>'16U BOYS GOLD-19 TEAMS'!C38&amp;""</f>
        <v>EDISON HS</v>
      </c>
      <c r="D71" s="415" t="str">
        <f>'16U BOYS GOLD-19 TEAMS'!D38&amp;""</f>
        <v>16Bau13</v>
      </c>
      <c r="E71" s="414" t="str">
        <f>'16U BOYS GOLD-19 TEAMS'!E38&amp;""</f>
        <v>F2-LA JOLLA UNITED GOLD</v>
      </c>
      <c r="F71" s="418" t="str">
        <f>'16U BOYS GOLD-19 TEAMS'!F38&amp;""</f>
        <v>8.6</v>
      </c>
      <c r="G71" s="414" t="str">
        <f>'16U BOYS GOLD-19 TEAMS'!G38&amp;""</f>
        <v>F3-VANGUARD SILVER</v>
      </c>
      <c r="H71" s="417" t="str">
        <f>'16U BOYS GOLD-19 TEAMS'!H38&amp;""</f>
        <v>8.5</v>
      </c>
      <c r="I71" s="418" t="str">
        <f>'16U BOYS GOLD-19 TEAMS'!I38&amp;""</f>
        <v>F bracket</v>
      </c>
      <c r="J71" s="415" t="str">
        <f>'16U BOYS GOLD-19 TEAMS'!J38&amp;""</f>
        <v>16U_BOYS_GOLD</v>
      </c>
      <c r="K71" s="415" t="str">
        <f t="shared" si="2"/>
        <v>202601311000</v>
      </c>
    </row>
    <row r="72" spans="1:11">
      <c r="A72" s="406">
        <f>'16U BOYS SILVER-20 TEAMS'!A24</f>
        <v>46053</v>
      </c>
      <c r="B72" s="407">
        <f>'16U BOYS SILVER-20 TEAMS'!B24</f>
        <v>0.41666666666666702</v>
      </c>
      <c r="C72" s="407" t="str">
        <f>'16U BOYS SILVER-20 TEAMS'!C24&amp;""</f>
        <v>ESTANCIA HS 1</v>
      </c>
      <c r="D72" s="408" t="str">
        <f>'16U BOYS SILVER-20 TEAMS'!D24&amp;""</f>
        <v>16Bag01</v>
      </c>
      <c r="E72" s="406" t="str">
        <f>'16U BOYS SILVER-20 TEAMS'!E24&amp;""</f>
        <v>3-SHORE AQUATICS</v>
      </c>
      <c r="F72" s="408" t="str">
        <f>'16U BOYS SILVER-20 TEAMS'!F24&amp;""</f>
        <v>3</v>
      </c>
      <c r="G72" s="406" t="str">
        <f>'16U BOYS SILVER-20 TEAMS'!G24&amp;""</f>
        <v>20-LA JOLLA UNITED WHITE</v>
      </c>
      <c r="H72" s="408" t="str">
        <f>'16U BOYS SILVER-20 TEAMS'!H24&amp;""</f>
        <v>22</v>
      </c>
      <c r="I72" s="408" t="str">
        <f>'16U BOYS SILVER-20 TEAMS'!I24&amp;""</f>
        <v>W/L E</v>
      </c>
      <c r="J72" s="408" t="str">
        <f>'16U BOYS SILVER-20 TEAMS'!J24&amp;""</f>
        <v>16U_BOYS_SILVER</v>
      </c>
      <c r="K72" s="408" t="str">
        <f t="shared" si="2"/>
        <v>202601311000</v>
      </c>
    </row>
    <row r="73" spans="1:11">
      <c r="A73" s="432">
        <f>'19U BOYS GOLD-16 TEAMS'!A12</f>
        <v>46053</v>
      </c>
      <c r="B73" s="433">
        <f>'19U BOYS GOLD-16 TEAMS'!B12</f>
        <v>0.41666666666666702</v>
      </c>
      <c r="C73" s="433" t="str">
        <f>'19U BOYS GOLD-16 TEAMS'!C12&amp;""</f>
        <v>SAN JUAN HILLS HS</v>
      </c>
      <c r="D73" s="434" t="str">
        <f>'19U BOYS GOLD-16 TEAMS'!D12&amp;""</f>
        <v>19Bau03</v>
      </c>
      <c r="E73" s="434" t="str">
        <f>'19U BOYS GOLD-16 TEAMS'!E12&amp;""</f>
        <v>C2-MISSON WPC</v>
      </c>
      <c r="F73" s="434" t="str">
        <f>'19U BOYS GOLD-16 TEAMS'!F12&amp;""</f>
        <v>16</v>
      </c>
      <c r="G73" s="434" t="str">
        <f>'19U BOYS GOLD-16 TEAMS'!G12&amp;""</f>
        <v>C3-MARIN</v>
      </c>
      <c r="H73" s="434" t="str">
        <f>'19U BOYS GOLD-16 TEAMS'!H12&amp;""</f>
        <v>5</v>
      </c>
      <c r="I73" s="434" t="str">
        <f>'19U BOYS GOLD-16 TEAMS'!I12&amp;""</f>
        <v>W/L C2/C3</v>
      </c>
      <c r="J73" s="434" t="str">
        <f>'19U BOYS GOLD-16 TEAMS'!J12&amp;""</f>
        <v>19U_BOYS_GOLD</v>
      </c>
      <c r="K73" s="434" t="str">
        <f t="shared" si="2"/>
        <v>202601311000</v>
      </c>
    </row>
    <row r="74" spans="1:11">
      <c r="A74" s="406">
        <f>'16U BOYS SILVER-20 TEAMS'!A23</f>
        <v>46053</v>
      </c>
      <c r="B74" s="407">
        <f>'16U BOYS SILVER-20 TEAMS'!B23</f>
        <v>0.41666666666666702</v>
      </c>
      <c r="C74" s="407" t="str">
        <f>'16U BOYS SILVER-20 TEAMS'!C23&amp;""</f>
        <v>SONORA HS</v>
      </c>
      <c r="D74" s="408" t="str">
        <f>'16U BOYS SILVER-20 TEAMS'!D23&amp;""</f>
        <v>16Bag06</v>
      </c>
      <c r="E74" s="406" t="str">
        <f>'16U BOYS SILVER-20 TEAMS'!E23&amp;""</f>
        <v>A1-MID PEN</v>
      </c>
      <c r="F74" s="408" t="str">
        <f>'16U BOYS SILVER-20 TEAMS'!F23&amp;""</f>
        <v>12</v>
      </c>
      <c r="G74" s="406" t="str">
        <f>'16U BOYS SILVER-20 TEAMS'!G23&amp;""</f>
        <v>A3-TRITON GOLD</v>
      </c>
      <c r="H74" s="408" t="str">
        <f>'16U BOYS SILVER-20 TEAMS'!H23&amp;""</f>
        <v>3</v>
      </c>
      <c r="I74" s="408" t="str">
        <f>'16U BOYS SILVER-20 TEAMS'!I23&amp;""</f>
        <v>A bracket</v>
      </c>
      <c r="J74" s="408" t="str">
        <f>'16U BOYS SILVER-20 TEAMS'!J23&amp;""</f>
        <v>16U_BOYS_SILVER</v>
      </c>
      <c r="K74" s="408" t="str">
        <f t="shared" si="2"/>
        <v>202601311000</v>
      </c>
    </row>
    <row r="75" spans="1:11">
      <c r="A75" s="410">
        <f>'16U BOYS GOLD-19 TEAMS'!A27</f>
        <v>46053</v>
      </c>
      <c r="B75" s="411">
        <f>'16U BOYS GOLD-19 TEAMS'!B27</f>
        <v>0.41666666666666702</v>
      </c>
      <c r="C75" s="411" t="str">
        <f>'16U BOYS GOLD-19 TEAMS'!C27&amp;""</f>
        <v>WESTMINSTER HS</v>
      </c>
      <c r="D75" s="412" t="str">
        <f>'16U BOYS GOLD-19 TEAMS'!D27&amp;""</f>
        <v>16Bau04</v>
      </c>
      <c r="E75" s="412" t="str">
        <f>'16U BOYS GOLD-19 TEAMS'!E27&amp;""</f>
        <v>A2-CHANNEL ISLANDS UNITED BLUE</v>
      </c>
      <c r="F75" s="412" t="str">
        <f>'16U BOYS GOLD-19 TEAMS'!F27&amp;""</f>
        <v>8.4</v>
      </c>
      <c r="G75" s="412" t="str">
        <f>'16U BOYS GOLD-19 TEAMS'!G27&amp;""</f>
        <v>A3-AMERICAN RIVER GOLD</v>
      </c>
      <c r="H75" s="412" t="str">
        <f>'16U BOYS GOLD-19 TEAMS'!H27&amp;""</f>
        <v>8.1</v>
      </c>
      <c r="I75" s="412" t="str">
        <f>'16U BOYS GOLD-19 TEAMS'!I27&amp;""</f>
        <v>A bracket</v>
      </c>
      <c r="J75" s="412" t="str">
        <f>'16U BOYS GOLD-19 TEAMS'!J27&amp;""</f>
        <v>16U_BOYS_GOLD</v>
      </c>
      <c r="K75" s="412" t="str">
        <f t="shared" si="2"/>
        <v>202601311000</v>
      </c>
    </row>
    <row r="76" spans="1:11">
      <c r="A76" s="435">
        <f>'19U BOYS PLATINUM-27 TEAMS'!A31</f>
        <v>46053</v>
      </c>
      <c r="B76" s="436">
        <f>'19U BOYS PLATINUM-27 TEAMS'!B31</f>
        <v>0.41666666666666702</v>
      </c>
      <c r="C76" s="437" t="str">
        <f>'19U BOYS PLATINUM-27 TEAMS'!C31&amp;""</f>
        <v>WOOLLETT NEAR LEFT</v>
      </c>
      <c r="D76" s="437" t="str">
        <f>'19U BOYS PLATINUM-27 TEAMS'!D31&amp;""</f>
        <v>19Bpt04</v>
      </c>
      <c r="E76" s="438" t="str">
        <f>'19U BOYS PLATINUM-27 TEAMS'!E31&amp;""</f>
        <v>A2(16)-POWAY VALLEY BLACK</v>
      </c>
      <c r="F76" s="438" t="str">
        <f>'19U BOYS PLATINUM-27 TEAMS'!F31&amp;""</f>
        <v>14</v>
      </c>
      <c r="G76" s="438" t="str">
        <f>'19U BOYS PLATINUM-27 TEAMS'!G31&amp;""</f>
        <v>A3(17)-LV LEGENDS</v>
      </c>
      <c r="H76" s="438" t="str">
        <f>'19U BOYS PLATINUM-27 TEAMS'!H31&amp;""</f>
        <v>7</v>
      </c>
      <c r="I76" s="437" t="str">
        <f>'19U BOYS PLATINUM-27 TEAMS'!I31&amp;""</f>
        <v>A bracket A2,A3</v>
      </c>
      <c r="J76" s="438" t="str">
        <f>'19U BOYS PLATINUM-27 TEAMS'!J31&amp;""</f>
        <v>19U_BOYS_PLATINUM</v>
      </c>
      <c r="K76" s="438" t="str">
        <f t="shared" si="2"/>
        <v>202601311000</v>
      </c>
    </row>
    <row r="77" spans="1:11">
      <c r="A77" s="435">
        <f>'19U BOYS PLATINUM-27 TEAMS'!A46</f>
        <v>46053</v>
      </c>
      <c r="B77" s="436">
        <f>'19U BOYS PLATINUM-27 TEAMS'!B46</f>
        <v>0.41666666666666702</v>
      </c>
      <c r="C77" s="437" t="str">
        <f>'19U BOYS PLATINUM-27 TEAMS'!C46&amp;""</f>
        <v>WOOLLETT NEAR RIGHT</v>
      </c>
      <c r="D77" s="437" t="str">
        <f>'19U BOYS PLATINUM-27 TEAMS'!D46&amp;""</f>
        <v>19Bpt22</v>
      </c>
      <c r="E77" s="438" t="str">
        <f>'19U BOYS PLATINUM-27 TEAMS'!E46&amp;""</f>
        <v>E1(2)-LAMORINDA A</v>
      </c>
      <c r="F77" s="438" t="str">
        <f>'19U BOYS PLATINUM-27 TEAMS'!F46&amp;""</f>
        <v>16</v>
      </c>
      <c r="G77" s="438" t="str">
        <f>'19U BOYS PLATINUM-27 TEAMS'!G46&amp;""</f>
        <v>E3(18)-CHULA VISTA PREMIER</v>
      </c>
      <c r="H77" s="438" t="str">
        <f>'19U BOYS PLATINUM-27 TEAMS'!H46&amp;""</f>
        <v>7</v>
      </c>
      <c r="I77" s="437" t="str">
        <f>'19U BOYS PLATINUM-27 TEAMS'!I46&amp;""</f>
        <v>E bracket E1,E3</v>
      </c>
      <c r="J77" s="438" t="str">
        <f>'19U BOYS PLATINUM-27 TEAMS'!J46&amp;""</f>
        <v>19U_BOYS_PLATINUM</v>
      </c>
      <c r="K77" s="438" t="str">
        <f t="shared" si="2"/>
        <v>202601311000</v>
      </c>
    </row>
    <row r="78" spans="1:11">
      <c r="A78" s="406">
        <f>'16U BOYS SILVER-20 TEAMS'!A38</f>
        <v>46053</v>
      </c>
      <c r="B78" s="407">
        <f>'16U BOYS SILVER-20 TEAMS'!B38</f>
        <v>0.41666666666666702</v>
      </c>
      <c r="C78" s="407" t="str">
        <f>'16U BOYS SILVER-20 TEAMS'!C38&amp;""</f>
        <v>YORBA LINDA HS</v>
      </c>
      <c r="D78" s="408" t="str">
        <f>'16U BOYS SILVER-20 TEAMS'!D38&amp;""</f>
        <v>16Bag15</v>
      </c>
      <c r="E78" s="408" t="str">
        <f>'16U BOYS SILVER-20 TEAMS'!E38&amp;""</f>
        <v>D1-SD ECA</v>
      </c>
      <c r="F78" s="408" t="str">
        <f>'16U BOYS SILVER-20 TEAMS'!F38&amp;""</f>
        <v>8</v>
      </c>
      <c r="G78" s="408" t="str">
        <f>'16U BOYS SILVER-20 TEAMS'!G38&amp;""</f>
        <v>D3-CC UNITED WHITE</v>
      </c>
      <c r="H78" s="408" t="str">
        <f>'16U BOYS SILVER-20 TEAMS'!H38&amp;""</f>
        <v>9</v>
      </c>
      <c r="I78" s="408" t="str">
        <f>'16U BOYS SILVER-20 TEAMS'!I38&amp;""</f>
        <v>D bracket</v>
      </c>
      <c r="J78" s="408" t="str">
        <f>'16U BOYS SILVER-20 TEAMS'!J38&amp;""</f>
        <v>16U_BOYS_SILVER</v>
      </c>
      <c r="K78" s="408" t="str">
        <f t="shared" si="2"/>
        <v>202601311000</v>
      </c>
    </row>
    <row r="79" spans="1:11">
      <c r="A79" s="346">
        <f>'10U BOYS-8 TEAMS'!A13</f>
        <v>46053</v>
      </c>
      <c r="B79" s="347">
        <f>'10U BOYS-8 TEAMS'!B13</f>
        <v>0.42708333333333298</v>
      </c>
      <c r="C79" s="348" t="str">
        <f>'10U BOYS-8 TEAMS'!C13&amp;""</f>
        <v>BECKMAN HS 2</v>
      </c>
      <c r="D79" s="348" t="str">
        <f>'10U BOYS-8 TEAMS'!D13&amp;""</f>
        <v>10B04</v>
      </c>
      <c r="E79" s="348" t="str">
        <f>'10U BOYS-8 TEAMS'!E13&amp;""</f>
        <v>A2-680 RED</v>
      </c>
      <c r="F79" s="348" t="str">
        <f>'10U BOYS-8 TEAMS'!F13&amp;""</f>
        <v>14</v>
      </c>
      <c r="G79" s="348" t="str">
        <f>'10U BOYS-8 TEAMS'!G13&amp;""</f>
        <v>A4-CC UNITED BLUE</v>
      </c>
      <c r="H79" s="348" t="str">
        <f>'10U BOYS-8 TEAMS'!H13&amp;""</f>
        <v>0</v>
      </c>
      <c r="I79" s="348" t="str">
        <f>'10U BOYS-8 TEAMS'!I13&amp;""</f>
        <v>bracket, A2/A4</v>
      </c>
      <c r="J79" s="348" t="str">
        <f>'10U BOYS-8 TEAMS'!J13&amp;""</f>
        <v>10U_BOYS</v>
      </c>
      <c r="K79" s="348" t="str">
        <f t="shared" si="2"/>
        <v>202601311015</v>
      </c>
    </row>
    <row r="80" spans="1:11">
      <c r="A80" s="337">
        <f>'10U COED GOLD-16 TEAMS CUSTOM'!A13</f>
        <v>46053</v>
      </c>
      <c r="B80" s="338">
        <f>'10U COED GOLD-16 TEAMS CUSTOM'!B13</f>
        <v>0.42708333333333298</v>
      </c>
      <c r="C80" s="338" t="str">
        <f>'10U COED GOLD-16 TEAMS CUSTOM'!C13&amp;""</f>
        <v>EL TORO HS 2</v>
      </c>
      <c r="D80" s="339" t="str">
        <f>'10U COED GOLD-16 TEAMS CUSTOM'!D13&amp;""</f>
        <v>10Cau04</v>
      </c>
      <c r="E80" s="339" t="str">
        <f>'10U COED GOLD-16 TEAMS CUSTOM'!E13&amp;""</f>
        <v>C1-SOUTH COAST RED</v>
      </c>
      <c r="F80" s="339" t="str">
        <f>'10U COED GOLD-16 TEAMS CUSTOM'!F13&amp;""</f>
        <v>6</v>
      </c>
      <c r="G80" s="339" t="str">
        <f>'10U COED GOLD-16 TEAMS CUSTOM'!G13&amp;""</f>
        <v>C3-SAN CLEMENTE BLACK</v>
      </c>
      <c r="H80" s="339" t="str">
        <f>'10U COED GOLD-16 TEAMS CUSTOM'!H13&amp;""</f>
        <v>18</v>
      </c>
      <c r="I80" s="339" t="str">
        <f>'10U COED GOLD-16 TEAMS CUSTOM'!I13&amp;""</f>
        <v>C bracket C1,C3</v>
      </c>
      <c r="J80" s="339" t="str">
        <f>'10U COED GOLD-16 TEAMS CUSTOM'!J13&amp;""</f>
        <v>10U_COED_GOLD</v>
      </c>
      <c r="K80" s="339" t="str">
        <f t="shared" si="2"/>
        <v>202601311015</v>
      </c>
    </row>
    <row r="81" spans="1:11">
      <c r="A81" s="341">
        <f>'10U COED PLATINUM-8 TEAMS'!A13</f>
        <v>46053</v>
      </c>
      <c r="B81" s="342">
        <f>'10U COED PLATINUM-8 TEAMS'!B13</f>
        <v>0.42708333333333298</v>
      </c>
      <c r="C81" s="343" t="str">
        <f>'10U COED PLATINUM-8 TEAMS'!C13&amp;""</f>
        <v>WOOLLETT FAR LEFT</v>
      </c>
      <c r="D81" s="343" t="str">
        <f>'10U COED PLATINUM-8 TEAMS'!D13&amp;""</f>
        <v>10Cpt04</v>
      </c>
      <c r="E81" s="343" t="str">
        <f>'10U COED PLATINUM-8 TEAMS'!E13&amp;""</f>
        <v>A2-FOOTHILL RED</v>
      </c>
      <c r="F81" s="343" t="str">
        <f>'10U COED PLATINUM-8 TEAMS'!F13&amp;""</f>
        <v>2</v>
      </c>
      <c r="G81" s="343" t="str">
        <f>'10U COED PLATINUM-8 TEAMS'!G13&amp;""</f>
        <v>A4-NORTH IRVINE BLACK</v>
      </c>
      <c r="H81" s="343" t="str">
        <f>'10U COED PLATINUM-8 TEAMS'!H13&amp;""</f>
        <v>15</v>
      </c>
      <c r="I81" s="343" t="str">
        <f>'10U COED PLATINUM-8 TEAMS'!I13&amp;""</f>
        <v>bracket, A2/A4</v>
      </c>
      <c r="J81" s="343" t="str">
        <f>'10U COED PLATINUM-8 TEAMS'!J13&amp;""</f>
        <v>10U_COED_PLATINUM</v>
      </c>
      <c r="K81" s="343" t="str">
        <f t="shared" si="2"/>
        <v>202601311015</v>
      </c>
    </row>
    <row r="82" spans="1:11">
      <c r="A82" s="382">
        <f>'14U GIRLS PLATINUM-10 TEAMS'!A14</f>
        <v>46053</v>
      </c>
      <c r="B82" s="383">
        <f>'14U GIRLS PLATINUM-10 TEAMS'!B14</f>
        <v>0.43055555555555602</v>
      </c>
      <c r="C82" s="383" t="str">
        <f>'14U GIRLS PLATINUM-10 TEAMS'!C14&amp;""</f>
        <v>ALISO NIGUEL HS</v>
      </c>
      <c r="D82" s="384" t="str">
        <f>'14U GIRLS PLATINUM-10 TEAMS'!D14&amp;""</f>
        <v>14Gpt05</v>
      </c>
      <c r="E82" s="384" t="str">
        <f>'14U GIRLS PLATINUM-10 TEAMS'!E14&amp;""</f>
        <v>B2-NEWPORT BEACH</v>
      </c>
      <c r="F82" s="384" t="str">
        <f>'14U GIRLS PLATINUM-10 TEAMS'!F14&amp;""</f>
        <v>3</v>
      </c>
      <c r="G82" s="384" t="str">
        <f>'14U GIRLS PLATINUM-10 TEAMS'!G14&amp;""</f>
        <v>B3-PATRIOT RED</v>
      </c>
      <c r="H82" s="384" t="str">
        <f>'14U GIRLS PLATINUM-10 TEAMS'!H14&amp;""</f>
        <v>9</v>
      </c>
      <c r="I82" s="384" t="str">
        <f>'14U GIRLS PLATINUM-10 TEAMS'!I14&amp;""</f>
        <v>B bracket B2,B3</v>
      </c>
      <c r="J82" s="384" t="str">
        <f>'14U GIRLS PLATINUM-10 TEAMS'!J14&amp;""</f>
        <v>14U_GIRLS_PLATINUM</v>
      </c>
      <c r="K82" s="384" t="str">
        <f t="shared" si="2"/>
        <v>202601311020</v>
      </c>
    </row>
    <row r="83" spans="1:11">
      <c r="A83" s="375">
        <f>'12U COED-7 TEAMS'!A12</f>
        <v>46053</v>
      </c>
      <c r="B83" s="376">
        <f>'12U COED-7 TEAMS'!B12</f>
        <v>0.43055555555555602</v>
      </c>
      <c r="C83" s="377" t="str">
        <f>'12U COED-7 TEAMS'!C12&amp;""</f>
        <v>BECKMAN HS 1</v>
      </c>
      <c r="D83" s="377" t="str">
        <f>'12U COED-7 TEAMS'!D12&amp;""</f>
        <v>12C02</v>
      </c>
      <c r="E83" s="377" t="str">
        <f>'12U COED-7 TEAMS'!E12&amp;""</f>
        <v>B1-POWAY VALLEY</v>
      </c>
      <c r="F83" s="377" t="str">
        <f>'12U COED-7 TEAMS'!F12&amp;""</f>
        <v>2</v>
      </c>
      <c r="G83" s="377" t="str">
        <f>'12U COED-7 TEAMS'!G12&amp;""</f>
        <v>B4-LA CITY UNITED</v>
      </c>
      <c r="H83" s="377" t="str">
        <f>'12U COED-7 TEAMS'!H12&amp;""</f>
        <v>8</v>
      </c>
      <c r="I83" s="377" t="str">
        <f>'12U COED-7 TEAMS'!I12&amp;""</f>
        <v>B bracket B1,B4</v>
      </c>
      <c r="J83" s="377" t="str">
        <f>'12U COED-7 TEAMS'!J12&amp;""</f>
        <v>12U_COED</v>
      </c>
      <c r="K83" s="377" t="str">
        <f t="shared" si="2"/>
        <v>202601311020</v>
      </c>
    </row>
    <row r="84" spans="1:11">
      <c r="A84" s="394">
        <f>'14U BOYS GOLD-26 TEAMS'!A29</f>
        <v>46053</v>
      </c>
      <c r="B84" s="395">
        <f>'14U BOYS GOLD-26 TEAMS'!B29</f>
        <v>0.43055555555555602</v>
      </c>
      <c r="C84" s="396" t="str">
        <f>'14U BOYS GOLD-26 TEAMS'!C29&amp;""</f>
        <v>COSTA MESA HS 1</v>
      </c>
      <c r="D84" s="396" t="str">
        <f>'14U BOYS GOLD-26 TEAMS'!D29&amp;""</f>
        <v>14Bau02</v>
      </c>
      <c r="E84" s="397" t="str">
        <f>'14U BOYS GOLD-26 TEAMS'!E29&amp;""</f>
        <v>8-SAN CLEMENTE RED</v>
      </c>
      <c r="F84" s="397" t="str">
        <f>'14U BOYS GOLD-26 TEAMS'!F29&amp;""</f>
        <v>13</v>
      </c>
      <c r="G84" s="397" t="str">
        <f>'14U BOYS GOLD-26 TEAMS'!G29&amp;""</f>
        <v>25-AMERICAN RIVER BLUE</v>
      </c>
      <c r="H84" s="397" t="str">
        <f>'14U BOYS GOLD-26 TEAMS'!H29&amp;""</f>
        <v>4</v>
      </c>
      <c r="I84" s="396" t="str">
        <f>'14U BOYS GOLD-26 TEAMS'!I29&amp;""</f>
        <v>W/L D1/D4</v>
      </c>
      <c r="J84" s="397" t="str">
        <f>'14U BOYS GOLD-26 TEAMS'!J29&amp;""</f>
        <v>14U_BOYS_GOLD</v>
      </c>
      <c r="K84" s="397" t="str">
        <f t="shared" si="2"/>
        <v>202601311020</v>
      </c>
    </row>
    <row r="85" spans="1:11">
      <c r="A85" s="375">
        <f>'12U COED-7 TEAMS'!A13</f>
        <v>46053</v>
      </c>
      <c r="B85" s="376">
        <f>'12U COED-7 TEAMS'!B13</f>
        <v>0.43055555555555602</v>
      </c>
      <c r="C85" s="377" t="str">
        <f>'12U COED-7 TEAMS'!C13&amp;""</f>
        <v>COSTA MESA HS 2</v>
      </c>
      <c r="D85" s="377" t="str">
        <f>'12U COED-7 TEAMS'!D13&amp;""</f>
        <v>12C04</v>
      </c>
      <c r="E85" s="377" t="str">
        <f>'12U COED-7 TEAMS'!E13&amp;""</f>
        <v>A1-CMAC</v>
      </c>
      <c r="F85" s="377" t="str">
        <f>'12U COED-7 TEAMS'!F13&amp;""</f>
        <v>12</v>
      </c>
      <c r="G85" s="377" t="str">
        <f>'12U COED-7 TEAMS'!G13&amp;""</f>
        <v>A2-SET</v>
      </c>
      <c r="H85" s="377" t="str">
        <f>'12U COED-7 TEAMS'!H13&amp;""</f>
        <v>20</v>
      </c>
      <c r="I85" s="377" t="str">
        <f>'12U COED-7 TEAMS'!I13&amp;""</f>
        <v>A bracket A1,A2</v>
      </c>
      <c r="J85" s="377" t="str">
        <f>'12U COED-7 TEAMS'!J13&amp;""</f>
        <v>12U_COED</v>
      </c>
      <c r="K85" s="377" t="str">
        <f t="shared" si="2"/>
        <v>202601311020</v>
      </c>
    </row>
    <row r="86" spans="1:11">
      <c r="A86" s="399">
        <f>'14U BOYS PLATINUM-20 TEAMS'!A24</f>
        <v>46053</v>
      </c>
      <c r="B86" s="400">
        <f>'14U BOYS PLATINUM-20 TEAMS'!B24</f>
        <v>0.43055555555555602</v>
      </c>
      <c r="C86" s="400" t="str">
        <f>'14U BOYS PLATINUM-20 TEAMS'!C24&amp;""</f>
        <v>EL TORO HS 1</v>
      </c>
      <c r="D86" s="401" t="str">
        <f>'14U BOYS PLATINUM-20 TEAMS'!D24&amp;""</f>
        <v>14Bpt08</v>
      </c>
      <c r="E86" s="401" t="str">
        <f>'14U BOYS PLATINUM-20 TEAMS'!E24&amp;""</f>
        <v>7-LA PREMIER</v>
      </c>
      <c r="F86" s="401" t="str">
        <f>'14U BOYS PLATINUM-20 TEAMS'!F24&amp;""</f>
        <v>14</v>
      </c>
      <c r="G86" s="401" t="str">
        <f>'14U BOYS PLATINUM-20 TEAMS'!G24&amp;""</f>
        <v>18-SHAQ BLUE</v>
      </c>
      <c r="H86" s="401" t="str">
        <f>'14U BOYS PLATINUM-20 TEAMS'!H24&amp;""</f>
        <v>7</v>
      </c>
      <c r="I86" s="401" t="str">
        <f>'14U BOYS PLATINUM-20 TEAMS'!I24&amp;""</f>
        <v>W/L F</v>
      </c>
      <c r="J86" s="401" t="str">
        <f>'14U BOYS PLATINUM-20 TEAMS'!J24&amp;""</f>
        <v>14U_BOYS_PLATINUM</v>
      </c>
      <c r="K86" s="401" t="str">
        <f t="shared" si="2"/>
        <v>202601311020</v>
      </c>
    </row>
    <row r="87" spans="1:11">
      <c r="A87" s="387">
        <f>'14U BOYS SILVER-18 TEAMS'!A34</f>
        <v>46053</v>
      </c>
      <c r="B87" s="388">
        <f>'14U BOYS SILVER-18 TEAMS'!B34</f>
        <v>0.43055555555555602</v>
      </c>
      <c r="C87" s="388" t="str">
        <f>'14U BOYS SILVER-18 TEAMS'!C34&amp;""</f>
        <v>ESPERANZA HS</v>
      </c>
      <c r="D87" s="389" t="str">
        <f>'14U BOYS SILVER-18 TEAMS'!D34&amp;""</f>
        <v>14Bag06</v>
      </c>
      <c r="E87" s="390" t="str">
        <f>'14U BOYS SILVER-18 TEAMS'!E34&amp;""</f>
        <v>F1-SET</v>
      </c>
      <c r="F87" s="391" t="str">
        <f>'14U BOYS SILVER-18 TEAMS'!F34&amp;""</f>
        <v>6</v>
      </c>
      <c r="G87" s="390" t="str">
        <f>'14U BOYS SILVER-18 TEAMS'!G34&amp;""</f>
        <v>F3-680 WHITE</v>
      </c>
      <c r="H87" s="391" t="str">
        <f>'14U BOYS SILVER-18 TEAMS'!H34&amp;""</f>
        <v>11</v>
      </c>
      <c r="I87" s="392" t="str">
        <f>'14U BOYS SILVER-18 TEAMS'!I34&amp;""</f>
        <v>F bracket F1,F3</v>
      </c>
      <c r="J87" s="389" t="str">
        <f>'14U BOYS SILVER-18 TEAMS'!J34&amp;""</f>
        <v>14U_BOYS_SILVER</v>
      </c>
      <c r="K87" s="389" t="str">
        <f t="shared" si="2"/>
        <v>202601311020</v>
      </c>
    </row>
    <row r="88" spans="1:11">
      <c r="A88" s="394">
        <f>'14U BOYS GOLD-26 TEAMS'!A45</f>
        <v>46053</v>
      </c>
      <c r="B88" s="395">
        <f>'14U BOYS GOLD-26 TEAMS'!B45</f>
        <v>0.43055555555555602</v>
      </c>
      <c r="C88" s="396" t="str">
        <f>'14U BOYS GOLD-26 TEAMS'!C45&amp;""</f>
        <v>ESTANCIA HS 2</v>
      </c>
      <c r="D88" s="396" t="str">
        <f>'14U BOYS GOLD-26 TEAMS'!D45&amp;""</f>
        <v>14Bau18</v>
      </c>
      <c r="E88" s="397" t="str">
        <f>'14U BOYS GOLD-26 TEAMS'!E45&amp;""</f>
        <v>L#15-SOUTH COAST WHITE (B)</v>
      </c>
      <c r="F88" s="397" t="str">
        <f>'14U BOYS GOLD-26 TEAMS'!F45&amp;""</f>
        <v>7</v>
      </c>
      <c r="G88" s="397" t="str">
        <f>'14U BOYS GOLD-26 TEAMS'!G45&amp;""</f>
        <v>L#16-PATRIOT RED</v>
      </c>
      <c r="H88" s="397" t="str">
        <f>'14U BOYS GOLD-26 TEAMS'!H45&amp;""</f>
        <v>8</v>
      </c>
      <c r="I88" s="396" t="str">
        <f>'14U BOYS GOLD-26 TEAMS'!I45&amp;""</f>
        <v>3rd/4th H</v>
      </c>
      <c r="J88" s="397" t="str">
        <f>'14U BOYS GOLD-26 TEAMS'!J45&amp;""</f>
        <v>14U_BOYS_GOLD</v>
      </c>
      <c r="K88" s="397" t="str">
        <f t="shared" si="2"/>
        <v>202601311020</v>
      </c>
    </row>
    <row r="89" spans="1:11">
      <c r="A89" s="378">
        <f>'14U GIRLS GOLD-14 TEAMS'!A15</f>
        <v>46053</v>
      </c>
      <c r="B89" s="379">
        <f>'14U GIRLS GOLD-14 TEAMS'!B15</f>
        <v>0.43055555555555602</v>
      </c>
      <c r="C89" s="379" t="str">
        <f>'14U GIRLS GOLD-14 TEAMS'!C15&amp;""</f>
        <v>LAGUNA HILLS HS</v>
      </c>
      <c r="D89" s="380" t="str">
        <f>'14U GIRLS GOLD-14 TEAMS'!D15&amp;""</f>
        <v>14Gau02</v>
      </c>
      <c r="E89" s="380" t="str">
        <f>'14U GIRLS GOLD-14 TEAMS'!E15&amp;""</f>
        <v>C1-SHAQ</v>
      </c>
      <c r="F89" s="380" t="str">
        <f>'14U GIRLS GOLD-14 TEAMS'!F15&amp;""</f>
        <v>9</v>
      </c>
      <c r="G89" s="380" t="str">
        <f>'14U GIRLS GOLD-14 TEAMS'!G15&amp;""</f>
        <v>C4-CDM NAVY</v>
      </c>
      <c r="H89" s="380" t="str">
        <f>'14U GIRLS GOLD-14 TEAMS'!H15&amp;""</f>
        <v>5</v>
      </c>
      <c r="I89" s="380" t="str">
        <f>'14U GIRLS GOLD-14 TEAMS'!I15&amp;""</f>
        <v>W/L C1/C4</v>
      </c>
      <c r="J89" s="380" t="str">
        <f>'14U GIRLS GOLD-14 TEAMS'!J15&amp;""</f>
        <v>14U_GIRLS_GOLD</v>
      </c>
      <c r="K89" s="380" t="str">
        <f t="shared" si="2"/>
        <v>202601311020</v>
      </c>
    </row>
    <row r="90" spans="1:11">
      <c r="A90" s="378">
        <f>'14U GIRLS GOLD-14 TEAMS'!A16</f>
        <v>46053</v>
      </c>
      <c r="B90" s="379">
        <f>'14U GIRLS GOLD-14 TEAMS'!B16</f>
        <v>0.43055555555555602</v>
      </c>
      <c r="C90" s="379" t="str">
        <f>'14U GIRLS GOLD-14 TEAMS'!C16&amp;""</f>
        <v>SAN CLEMENTE HS</v>
      </c>
      <c r="D90" s="380" t="str">
        <f>'14U GIRLS GOLD-14 TEAMS'!D16&amp;""</f>
        <v>14Gau10</v>
      </c>
      <c r="E90" s="380" t="str">
        <f>'14U GIRLS GOLD-14 TEAMS'!E16&amp;""</f>
        <v>A2-SANTA CRUZ BLUE</v>
      </c>
      <c r="F90" s="380" t="str">
        <f>'14U GIRLS GOLD-14 TEAMS'!F16&amp;""</f>
        <v>2</v>
      </c>
      <c r="G90" s="380" t="str">
        <f>'14U GIRLS GOLD-14 TEAMS'!G16&amp;""</f>
        <v>A3-PASADENA AC</v>
      </c>
      <c r="H90" s="380" t="str">
        <f>'14U GIRLS GOLD-14 TEAMS'!H16&amp;""</f>
        <v>16</v>
      </c>
      <c r="I90" s="380" t="str">
        <f>'14U GIRLS GOLD-14 TEAMS'!I16&amp;""</f>
        <v>A bracket A2,A3</v>
      </c>
      <c r="J90" s="380" t="str">
        <f>'14U GIRLS GOLD-14 TEAMS'!J16&amp;""</f>
        <v>14U_GIRLS_GOLD</v>
      </c>
      <c r="K90" s="380" t="str">
        <f t="shared" si="2"/>
        <v>202601311020</v>
      </c>
    </row>
    <row r="91" spans="1:11">
      <c r="A91" s="351">
        <f>'12U GIRLS PLATINUM-12 TEAMS'!A13</f>
        <v>46053</v>
      </c>
      <c r="B91" s="352">
        <f>'12U GIRLS PLATINUM-12 TEAMS'!B13</f>
        <v>0.43055555555555602</v>
      </c>
      <c r="C91" s="351" t="str">
        <f>'12U GIRLS PLATINUM-12 TEAMS'!C13&amp;""</f>
        <v>WOOLLETT FAR RIGHT</v>
      </c>
      <c r="D91" s="353" t="str">
        <f>'12U GIRLS PLATINUM-12 TEAMS'!D13&amp;""</f>
        <v>12Gpt04</v>
      </c>
      <c r="E91" s="351" t="str">
        <f>'12U GIRLS PLATINUM-12 TEAMS'!E13&amp;""</f>
        <v>C2-DAVIS</v>
      </c>
      <c r="F91" s="353" t="str">
        <f>'12U GIRLS PLATINUM-12 TEAMS'!F13&amp;""</f>
        <v>1</v>
      </c>
      <c r="G91" s="351" t="str">
        <f>'12U GIRLS PLATINUM-12 TEAMS'!G13&amp;""</f>
        <v>C3-LAMORINDA B</v>
      </c>
      <c r="H91" s="353" t="str">
        <f>'12U GIRLS PLATINUM-12 TEAMS'!H13&amp;""</f>
        <v>16</v>
      </c>
      <c r="I91" s="353" t="str">
        <f>'12U GIRLS PLATINUM-12 TEAMS'!I13&amp;""</f>
        <v>C bracket C2,C3</v>
      </c>
      <c r="J91" s="353" t="str">
        <f>'12U GIRLS PLATINUM-12 TEAMS'!J13&amp;""</f>
        <v>12U_GIRLS_PLATINUM</v>
      </c>
      <c r="K91" s="353" t="str">
        <f t="shared" si="2"/>
        <v>202601311020</v>
      </c>
    </row>
    <row r="92" spans="1:11">
      <c r="A92" s="346">
        <f>'10U BOYS-8 TEAMS'!A14</f>
        <v>46053</v>
      </c>
      <c r="B92" s="347">
        <f>'10U BOYS-8 TEAMS'!B14</f>
        <v>0.45833333333333298</v>
      </c>
      <c r="C92" s="348" t="str">
        <f>'10U BOYS-8 TEAMS'!C14&amp;""</f>
        <v>BECKMAN HS 2</v>
      </c>
      <c r="D92" s="348" t="str">
        <f>'10U BOYS-8 TEAMS'!D14&amp;""</f>
        <v>10B05</v>
      </c>
      <c r="E92" s="348" t="str">
        <f>'10U BOYS-8 TEAMS'!E14&amp;""</f>
        <v>B1-CC UNITED BLACK</v>
      </c>
      <c r="F92" s="348" t="str">
        <f>'10U BOYS-8 TEAMS'!F14&amp;""</f>
        <v>21</v>
      </c>
      <c r="G92" s="348" t="str">
        <f>'10U BOYS-8 TEAMS'!G14&amp;""</f>
        <v>B4-680 BLUE</v>
      </c>
      <c r="H92" s="348" t="str">
        <f>'10U BOYS-8 TEAMS'!H14&amp;""</f>
        <v>0</v>
      </c>
      <c r="I92" s="348" t="str">
        <f>'10U BOYS-8 TEAMS'!I14&amp;""</f>
        <v>bracket, B1/B4</v>
      </c>
      <c r="J92" s="348" t="str">
        <f>'10U BOYS-8 TEAMS'!J14&amp;""</f>
        <v>10U_BOYS</v>
      </c>
      <c r="K92" s="348" t="str">
        <f t="shared" si="2"/>
        <v>202601311100</v>
      </c>
    </row>
    <row r="93" spans="1:11">
      <c r="A93" s="413">
        <f>'16U BOYS GOLD-19 TEAMS'!A39</f>
        <v>46053</v>
      </c>
      <c r="B93" s="414">
        <f>'16U BOYS GOLD-19 TEAMS'!B39</f>
        <v>0.45833333333333298</v>
      </c>
      <c r="C93" s="414" t="str">
        <f>'16U BOYS GOLD-19 TEAMS'!C39&amp;""</f>
        <v>EDISON HS</v>
      </c>
      <c r="D93" s="415" t="str">
        <f>'16U BOYS GOLD-19 TEAMS'!D39&amp;""</f>
        <v>16Bau14</v>
      </c>
      <c r="E93" s="419" t="str">
        <f>'16U BOYS GOLD-19 TEAMS'!E39&amp;""</f>
        <v>D1-POWAY VALLEY BLACK</v>
      </c>
      <c r="F93" s="417" t="str">
        <f>'16U BOYS GOLD-19 TEAMS'!F39&amp;""</f>
        <v>17</v>
      </c>
      <c r="G93" s="416" t="str">
        <f>'16U BOYS GOLD-19 TEAMS'!G39&amp;""</f>
        <v>D3-BOA BLUE</v>
      </c>
      <c r="H93" s="417" t="str">
        <f>'16U BOYS GOLD-19 TEAMS'!H39&amp;""</f>
        <v>4</v>
      </c>
      <c r="I93" s="418" t="str">
        <f>'16U BOYS GOLD-19 TEAMS'!I39&amp;""</f>
        <v>D bracket</v>
      </c>
      <c r="J93" s="415" t="str">
        <f>'16U BOYS GOLD-19 TEAMS'!J39&amp;""</f>
        <v>16U_BOYS_GOLD</v>
      </c>
      <c r="K93" s="415" t="str">
        <f t="shared" si="2"/>
        <v>202601311100</v>
      </c>
    </row>
    <row r="94" spans="1:11">
      <c r="A94" s="337">
        <f>'10U COED GOLD-16 TEAMS CUSTOM'!A15</f>
        <v>46053</v>
      </c>
      <c r="B94" s="338">
        <f>'10U COED GOLD-16 TEAMS CUSTOM'!B15</f>
        <v>0.45833333333333298</v>
      </c>
      <c r="C94" s="338" t="str">
        <f>'10U COED GOLD-16 TEAMS CUSTOM'!C15&amp;""</f>
        <v>EL TORO HS 2</v>
      </c>
      <c r="D94" s="339" t="str">
        <f>'10U COED GOLD-16 TEAMS CUSTOM'!D15&amp;""</f>
        <v>10Cau07</v>
      </c>
      <c r="E94" s="339" t="str">
        <f>'10U COED GOLD-16 TEAMS CUSTOM'!E15&amp;""</f>
        <v>D2-PATRIOT WHITE</v>
      </c>
      <c r="F94" s="339" t="str">
        <f>'10U COED GOLD-16 TEAMS CUSTOM'!F15&amp;""</f>
        <v>5</v>
      </c>
      <c r="G94" s="339" t="str">
        <f>'10U COED GOLD-16 TEAMS CUSTOM'!G15&amp;""</f>
        <v>D3-YOLO YELLOW</v>
      </c>
      <c r="H94" s="339" t="str">
        <f>'10U COED GOLD-16 TEAMS CUSTOM'!H15&amp;""</f>
        <v>16</v>
      </c>
      <c r="I94" s="339" t="str">
        <f>'10U COED GOLD-16 TEAMS CUSTOM'!I15&amp;""</f>
        <v>D bracket D2,D3</v>
      </c>
      <c r="J94" s="339" t="str">
        <f>'10U COED GOLD-16 TEAMS CUSTOM'!J15&amp;""</f>
        <v>10U_COED_GOLD</v>
      </c>
      <c r="K94" s="339" t="str">
        <f t="shared" si="2"/>
        <v>202601311100</v>
      </c>
    </row>
    <row r="95" spans="1:11">
      <c r="A95" s="406">
        <f>'16U BOYS SILVER-20 TEAMS'!A25</f>
        <v>46053</v>
      </c>
      <c r="B95" s="407">
        <f>'16U BOYS SILVER-20 TEAMS'!B25</f>
        <v>0.45833333333333298</v>
      </c>
      <c r="C95" s="407" t="str">
        <f>'16U BOYS SILVER-20 TEAMS'!C25&amp;""</f>
        <v>ESTANCIA HS 1</v>
      </c>
      <c r="D95" s="408" t="str">
        <f>'16U BOYS SILVER-20 TEAMS'!D25&amp;""</f>
        <v>16Bag02</v>
      </c>
      <c r="E95" s="408" t="str">
        <f>'16U BOYS SILVER-20 TEAMS'!E25&amp;""</f>
        <v>10-STANFORD WHITE</v>
      </c>
      <c r="F95" s="408" t="str">
        <f>'16U BOYS SILVER-20 TEAMS'!F25&amp;""</f>
        <v>13</v>
      </c>
      <c r="G95" s="408" t="str">
        <f>'16U BOYS SILVER-20 TEAMS'!G25&amp;""</f>
        <v>15-LV LEGENDS</v>
      </c>
      <c r="H95" s="408" t="str">
        <f>'16U BOYS SILVER-20 TEAMS'!H25&amp;""</f>
        <v>4</v>
      </c>
      <c r="I95" s="408" t="str">
        <f>'16U BOYS SILVER-20 TEAMS'!I25&amp;""</f>
        <v>W/L E</v>
      </c>
      <c r="J95" s="408" t="str">
        <f>'16U BOYS SILVER-20 TEAMS'!J25&amp;""</f>
        <v>16U_BOYS_SILVER</v>
      </c>
      <c r="K95" s="408" t="str">
        <f t="shared" si="2"/>
        <v>202601311100</v>
      </c>
    </row>
    <row r="96" spans="1:11">
      <c r="A96" s="432">
        <f>'19U BOYS GOLD-16 TEAMS'!A13</f>
        <v>46053</v>
      </c>
      <c r="B96" s="433">
        <f>'19U BOYS GOLD-16 TEAMS'!B13</f>
        <v>0.45833333333333298</v>
      </c>
      <c r="C96" s="433" t="str">
        <f>'19U BOYS GOLD-16 TEAMS'!C13&amp;""</f>
        <v>SAN JUAN HILLS HS</v>
      </c>
      <c r="D96" s="434" t="str">
        <f>'19U BOYS GOLD-16 TEAMS'!D13&amp;""</f>
        <v>19Bau04</v>
      </c>
      <c r="E96" s="434" t="str">
        <f>'19U BOYS GOLD-16 TEAMS'!E13&amp;""</f>
        <v>C1-NORTHWEST</v>
      </c>
      <c r="F96" s="434" t="str">
        <f>'19U BOYS GOLD-16 TEAMS'!F13&amp;""</f>
        <v>6.2</v>
      </c>
      <c r="G96" s="434" t="str">
        <f>'19U BOYS GOLD-16 TEAMS'!G13&amp;""</f>
        <v>C4-AMERICAN RIVER GOLD</v>
      </c>
      <c r="H96" s="434" t="str">
        <f>'19U BOYS GOLD-16 TEAMS'!H13&amp;""</f>
        <v>6.3</v>
      </c>
      <c r="I96" s="434" t="str">
        <f>'19U BOYS GOLD-16 TEAMS'!I13&amp;""</f>
        <v>W/L C1/C4</v>
      </c>
      <c r="J96" s="434" t="str">
        <f>'19U BOYS GOLD-16 TEAMS'!J13&amp;""</f>
        <v>19U_BOYS_GOLD</v>
      </c>
      <c r="K96" s="434" t="str">
        <f t="shared" si="2"/>
        <v>202601311100</v>
      </c>
    </row>
    <row r="97" spans="1:11">
      <c r="A97" s="421">
        <f>'16U BOYS PLATINUM-18 TEAMS'!A23</f>
        <v>46053</v>
      </c>
      <c r="B97" s="422">
        <f>'16U BOYS PLATINUM-18 TEAMS'!B23</f>
        <v>0.45833333333333298</v>
      </c>
      <c r="C97" s="422" t="str">
        <f>'16U BOYS PLATINUM-18 TEAMS'!C23&amp;""</f>
        <v>SONORA HS</v>
      </c>
      <c r="D97" s="423" t="str">
        <f>'16U BOYS PLATINUM-18 TEAMS'!D23&amp;""</f>
        <v>16Bpt05</v>
      </c>
      <c r="E97" s="422" t="str">
        <f>'16U BOYS PLATINUM-18 TEAMS'!E23&amp;""</f>
        <v>C1-680 RED</v>
      </c>
      <c r="F97" s="426" t="str">
        <f>'16U BOYS PLATINUM-18 TEAMS'!F23&amp;""</f>
        <v>19</v>
      </c>
      <c r="G97" s="422" t="str">
        <f>'16U BOYS PLATINUM-18 TEAMS'!G23&amp;""</f>
        <v>C3-FOOTHILL RED</v>
      </c>
      <c r="H97" s="425" t="str">
        <f>'16U BOYS PLATINUM-18 TEAMS'!H23&amp;""</f>
        <v>3</v>
      </c>
      <c r="I97" s="426" t="str">
        <f>'16U BOYS PLATINUM-18 TEAMS'!I23&amp;""</f>
        <v>C bracket C1,C3</v>
      </c>
      <c r="J97" s="423" t="str">
        <f>'16U BOYS PLATINUM-18 TEAMS'!J23&amp;""</f>
        <v>16U_BOYS_PLATINUM</v>
      </c>
      <c r="K97" s="423" t="str">
        <f t="shared" si="2"/>
        <v>202601311100</v>
      </c>
    </row>
    <row r="98" spans="1:11">
      <c r="A98" s="410">
        <f>'16U BOYS GOLD-19 TEAMS'!A28</f>
        <v>46053</v>
      </c>
      <c r="B98" s="411">
        <f>'16U BOYS GOLD-19 TEAMS'!B28</f>
        <v>0.45833333333333298</v>
      </c>
      <c r="C98" s="411" t="str">
        <f>'16U BOYS GOLD-19 TEAMS'!C28&amp;""</f>
        <v>WESTMINSTER HS</v>
      </c>
      <c r="D98" s="412" t="str">
        <f>'16U BOYS GOLD-19 TEAMS'!D28&amp;""</f>
        <v>16Bau05</v>
      </c>
      <c r="E98" s="412" t="str">
        <f>'16U BOYS GOLD-19 TEAMS'!E28&amp;""</f>
        <v>B2-DAVIS BLUE</v>
      </c>
      <c r="F98" s="412" t="str">
        <f>'16U BOYS GOLD-19 TEAMS'!F28&amp;""</f>
        <v>12</v>
      </c>
      <c r="G98" s="412" t="str">
        <f>'16U BOYS GOLD-19 TEAMS'!G28&amp;""</f>
        <v>B3-SOUTH COAST WHITE (B)</v>
      </c>
      <c r="H98" s="412" t="str">
        <f>'16U BOYS GOLD-19 TEAMS'!H28&amp;""</f>
        <v>18</v>
      </c>
      <c r="I98" s="412" t="str">
        <f>'16U BOYS GOLD-19 TEAMS'!I28&amp;""</f>
        <v>B bracket</v>
      </c>
      <c r="J98" s="412" t="str">
        <f>'16U BOYS GOLD-19 TEAMS'!J28&amp;""</f>
        <v>16U_BOYS_GOLD</v>
      </c>
      <c r="K98" s="412" t="str">
        <f t="shared" si="2"/>
        <v>202601311100</v>
      </c>
    </row>
    <row r="99" spans="1:11">
      <c r="A99" s="337">
        <f>'10U COED GOLD-16 TEAMS CUSTOM'!A14</f>
        <v>46053</v>
      </c>
      <c r="B99" s="338">
        <f>'10U COED GOLD-16 TEAMS CUSTOM'!B14</f>
        <v>0.45833333333333298</v>
      </c>
      <c r="C99" s="338" t="str">
        <f>'10U COED GOLD-16 TEAMS CUSTOM'!C14&amp;""</f>
        <v>WOOLLETT FAR LEFT</v>
      </c>
      <c r="D99" s="340" t="str">
        <f>'10U COED GOLD-16 TEAMS CUSTOM'!D14&amp;""</f>
        <v>10Cau05</v>
      </c>
      <c r="E99" s="340" t="str">
        <f>'10U COED GOLD-16 TEAMS CUSTOM'!E14&amp;""</f>
        <v>G1-LAMORINDA BLUE (A) (girls)</v>
      </c>
      <c r="F99" s="340" t="str">
        <f>'10U COED GOLD-16 TEAMS CUSTOM'!F14&amp;""</f>
        <v>19</v>
      </c>
      <c r="G99" s="340" t="str">
        <f>'10U COED GOLD-16 TEAMS CUSTOM'!G14&amp;""</f>
        <v>G4-SAN CLEMENTE RED (girls)</v>
      </c>
      <c r="H99" s="339" t="str">
        <f>'10U COED GOLD-16 TEAMS CUSTOM'!H14&amp;""</f>
        <v>1</v>
      </c>
      <c r="I99" s="340" t="str">
        <f>'10U COED GOLD-16 TEAMS CUSTOM'!I14&amp;""</f>
        <v>girls 1st-4th</v>
      </c>
      <c r="J99" s="339" t="str">
        <f>'10U COED GOLD-16 TEAMS CUSTOM'!J14&amp;""</f>
        <v>10U_COED_GOLD</v>
      </c>
      <c r="K99" s="339" t="str">
        <f t="shared" si="2"/>
        <v>202601311100</v>
      </c>
    </row>
    <row r="100" spans="1:11">
      <c r="A100" s="435">
        <f>'19U BOYS PLATINUM-27 TEAMS'!A32</f>
        <v>46053</v>
      </c>
      <c r="B100" s="436">
        <f>'19U BOYS PLATINUM-27 TEAMS'!B32</f>
        <v>0.45833333333333298</v>
      </c>
      <c r="C100" s="437" t="str">
        <f>'19U BOYS PLATINUM-27 TEAMS'!C32&amp;""</f>
        <v>WOOLLETT NEAR LEFT</v>
      </c>
      <c r="D100" s="437" t="str">
        <f>'19U BOYS PLATINUM-27 TEAMS'!D32&amp;""</f>
        <v>19Bpt08</v>
      </c>
      <c r="E100" s="438" t="str">
        <f>'19U BOYS PLATINUM-27 TEAMS'!E32&amp;""</f>
        <v>B1(4)-SD SHORES BLACK</v>
      </c>
      <c r="F100" s="438" t="str">
        <f>'19U BOYS PLATINUM-27 TEAMS'!F32&amp;""</f>
        <v>9</v>
      </c>
      <c r="G100" s="438" t="str">
        <f>'19U BOYS PLATINUM-27 TEAMS'!G32&amp;""</f>
        <v>B3(20)-BERKELEY WPC</v>
      </c>
      <c r="H100" s="438" t="str">
        <f>'19U BOYS PLATINUM-27 TEAMS'!H32&amp;""</f>
        <v>10</v>
      </c>
      <c r="I100" s="437" t="str">
        <f>'19U BOYS PLATINUM-27 TEAMS'!I32&amp;""</f>
        <v>B bracket B1,B3</v>
      </c>
      <c r="J100" s="438" t="str">
        <f>'19U BOYS PLATINUM-27 TEAMS'!J32&amp;""</f>
        <v>19U_BOYS_PLATINUM</v>
      </c>
      <c r="K100" s="438" t="str">
        <f t="shared" si="2"/>
        <v>202601311100</v>
      </c>
    </row>
    <row r="101" spans="1:11">
      <c r="A101" s="435">
        <f>'19U BOYS PLATINUM-27 TEAMS'!A47</f>
        <v>46053</v>
      </c>
      <c r="B101" s="436">
        <f>'19U BOYS PLATINUM-27 TEAMS'!B47</f>
        <v>0.45833333333333298</v>
      </c>
      <c r="C101" s="437" t="str">
        <f>'19U BOYS PLATINUM-27 TEAMS'!C47&amp;""</f>
        <v>WOOLLETT NEAR RIGHT</v>
      </c>
      <c r="D101" s="437" t="str">
        <f>'19U BOYS PLATINUM-27 TEAMS'!D47&amp;""</f>
        <v>19Bpt23</v>
      </c>
      <c r="E101" s="438" t="str">
        <f>'19U BOYS PLATINUM-27 TEAMS'!E47&amp;""</f>
        <v>F1(3)-NORCAL</v>
      </c>
      <c r="F101" s="438" t="str">
        <f>'19U BOYS PLATINUM-27 TEAMS'!F47&amp;""</f>
        <v>8</v>
      </c>
      <c r="G101" s="438" t="str">
        <f>'19U BOYS PLATINUM-27 TEAMS'!G47&amp;""</f>
        <v>F3(19)-FOOTHILL RED</v>
      </c>
      <c r="H101" s="438" t="str">
        <f>'19U BOYS PLATINUM-27 TEAMS'!H47&amp;""</f>
        <v>9</v>
      </c>
      <c r="I101" s="437" t="str">
        <f>'19U BOYS PLATINUM-27 TEAMS'!I47&amp;""</f>
        <v>F bracket F1,F3</v>
      </c>
      <c r="J101" s="438" t="str">
        <f>'19U BOYS PLATINUM-27 TEAMS'!J47&amp;""</f>
        <v>19U_BOYS_PLATINUM</v>
      </c>
      <c r="K101" s="438" t="str">
        <f t="shared" si="2"/>
        <v>202601311100</v>
      </c>
    </row>
    <row r="102" spans="1:11">
      <c r="A102" s="421">
        <f>'16U BOYS PLATINUM-18 TEAMS'!A32</f>
        <v>46053</v>
      </c>
      <c r="B102" s="422">
        <f>'16U BOYS PLATINUM-18 TEAMS'!B32</f>
        <v>0.45833333333333298</v>
      </c>
      <c r="C102" s="422" t="str">
        <f>'16U BOYS PLATINUM-18 TEAMS'!C32&amp;""</f>
        <v>YORBA LINDA HS</v>
      </c>
      <c r="D102" s="422" t="str">
        <f>'16U BOYS PLATINUM-18 TEAMS'!D32&amp;""</f>
        <v>16Bpt02</v>
      </c>
      <c r="E102" s="423" t="str">
        <f>'16U BOYS PLATINUM-18 TEAMS'!E32&amp;""</f>
        <v>D1-LAMORINDA A</v>
      </c>
      <c r="F102" s="424" t="str">
        <f>'16U BOYS PLATINUM-18 TEAMS'!F32&amp;""</f>
        <v>15</v>
      </c>
      <c r="G102" s="425" t="str">
        <f>'16U BOYS PLATINUM-18 TEAMS'!G32&amp;""</f>
        <v>D3-SANTA CRUZ</v>
      </c>
      <c r="H102" s="427" t="str">
        <f>'16U BOYS PLATINUM-18 TEAMS'!H32&amp;""</f>
        <v>5</v>
      </c>
      <c r="I102" s="425" t="str">
        <f>'16U BOYS PLATINUM-18 TEAMS'!I32&amp;""</f>
        <v>D bracket D1,D3</v>
      </c>
      <c r="J102" s="426" t="str">
        <f>'16U BOYS PLATINUM-18 TEAMS'!J32&amp;""</f>
        <v>16U_BOYS_PLATINUM</v>
      </c>
      <c r="K102" s="426" t="str">
        <f t="shared" si="2"/>
        <v>202601311100</v>
      </c>
    </row>
    <row r="103" spans="1:11">
      <c r="A103" s="382">
        <f>'14U GIRLS PLATINUM-10 TEAMS'!A15</f>
        <v>46053</v>
      </c>
      <c r="B103" s="383">
        <f>'14U GIRLS PLATINUM-10 TEAMS'!B15</f>
        <v>0.46527777777777801</v>
      </c>
      <c r="C103" s="383" t="str">
        <f>'14U GIRLS PLATINUM-10 TEAMS'!C15&amp;""</f>
        <v>ALISO NIGUEL HS</v>
      </c>
      <c r="D103" s="384" t="str">
        <f>'14U GIRLS PLATINUM-10 TEAMS'!D15&amp;""</f>
        <v>14Gpt06</v>
      </c>
      <c r="E103" s="384" t="str">
        <f>'14U GIRLS PLATINUM-10 TEAMS'!E15&amp;""</f>
        <v>C3-FOOTHILL RED</v>
      </c>
      <c r="F103" s="384" t="str">
        <f>'14U GIRLS PLATINUM-10 TEAMS'!F15&amp;""</f>
        <v>5.2</v>
      </c>
      <c r="G103" s="384" t="str">
        <f>'14U GIRLS PLATINUM-10 TEAMS'!G15&amp;""</f>
        <v>C4-LAMORINDA B</v>
      </c>
      <c r="H103" s="384" t="str">
        <f>'14U GIRLS PLATINUM-10 TEAMS'!H15&amp;""</f>
        <v>5.3</v>
      </c>
      <c r="I103" s="384" t="str">
        <f>'14U GIRLS PLATINUM-10 TEAMS'!I15&amp;""</f>
        <v>C bracket C3,C4</v>
      </c>
      <c r="J103" s="384" t="str">
        <f>'14U GIRLS PLATINUM-10 TEAMS'!J15&amp;""</f>
        <v>14U_GIRLS_PLATINUM</v>
      </c>
      <c r="K103" s="384" t="str">
        <f t="shared" si="2"/>
        <v>202601311110</v>
      </c>
    </row>
    <row r="104" spans="1:11">
      <c r="A104" s="375">
        <f>'12U COED-7 TEAMS'!A14</f>
        <v>46053</v>
      </c>
      <c r="B104" s="376">
        <f>'12U COED-7 TEAMS'!B14</f>
        <v>0.46527777777777801</v>
      </c>
      <c r="C104" s="377" t="str">
        <f>'12U COED-7 TEAMS'!C14&amp;""</f>
        <v>BECKMAN HS 1</v>
      </c>
      <c r="D104" s="377" t="str">
        <f>'12U COED-7 TEAMS'!D14&amp;""</f>
        <v>12C03</v>
      </c>
      <c r="E104" s="377" t="str">
        <f>'12U COED-7 TEAMS'!E14&amp;""</f>
        <v>B2-LOYOLA WPC</v>
      </c>
      <c r="F104" s="377" t="str">
        <f>'12U COED-7 TEAMS'!F14&amp;""</f>
        <v>0</v>
      </c>
      <c r="G104" s="377" t="str">
        <f>'12U COED-7 TEAMS'!G14&amp;""</f>
        <v>B3-YOLO BLACK</v>
      </c>
      <c r="H104" s="377" t="str">
        <f>'12U COED-7 TEAMS'!H14&amp;""</f>
        <v>21</v>
      </c>
      <c r="I104" s="377" t="str">
        <f>'12U COED-7 TEAMS'!I14&amp;""</f>
        <v>B bracket B2,B3</v>
      </c>
      <c r="J104" s="377" t="str">
        <f>'12U COED-7 TEAMS'!J14&amp;""</f>
        <v>12U_COED</v>
      </c>
      <c r="K104" s="377" t="str">
        <f t="shared" si="2"/>
        <v>202601311110</v>
      </c>
    </row>
    <row r="105" spans="1:11">
      <c r="A105" s="394">
        <f>'14U BOYS GOLD-26 TEAMS'!A30</f>
        <v>46053</v>
      </c>
      <c r="B105" s="395">
        <f>'14U BOYS GOLD-26 TEAMS'!B30</f>
        <v>0.46527777777777801</v>
      </c>
      <c r="C105" s="396" t="str">
        <f>'14U BOYS GOLD-26 TEAMS'!C30&amp;""</f>
        <v>COSTA MESA HS 1</v>
      </c>
      <c r="D105" s="396" t="str">
        <f>'14U BOYS GOLD-26 TEAMS'!D30&amp;""</f>
        <v>14Bau03</v>
      </c>
      <c r="E105" s="397" t="str">
        <f>'14U BOYS GOLD-26 TEAMS'!E30&amp;""</f>
        <v>9-STANFORD BLACK</v>
      </c>
      <c r="F105" s="397" t="str">
        <f>'14U BOYS GOLD-26 TEAMS'!F30&amp;""</f>
        <v>6</v>
      </c>
      <c r="G105" s="397" t="str">
        <f>'14U BOYS GOLD-26 TEAMS'!G30&amp;""</f>
        <v>24-PRIDE RED</v>
      </c>
      <c r="H105" s="397" t="str">
        <f>'14U BOYS GOLD-26 TEAMS'!H30&amp;""</f>
        <v>12</v>
      </c>
      <c r="I105" s="396" t="str">
        <f>'14U BOYS GOLD-26 TEAMS'!I30&amp;""</f>
        <v>W/L D2/D3</v>
      </c>
      <c r="J105" s="397" t="str">
        <f>'14U BOYS GOLD-26 TEAMS'!J30&amp;""</f>
        <v>14U_BOYS_GOLD</v>
      </c>
      <c r="K105" s="397" t="str">
        <f t="shared" si="2"/>
        <v>202601311110</v>
      </c>
    </row>
    <row r="106" spans="1:11">
      <c r="A106" s="357">
        <f>'12U BOYS GOLD-24 TEAMS'!A30</f>
        <v>46053</v>
      </c>
      <c r="B106" s="358">
        <f>'12U BOYS GOLD-24 TEAMS'!B30</f>
        <v>0.46527777777777801</v>
      </c>
      <c r="C106" s="358" t="str">
        <f>'12U BOYS GOLD-24 TEAMS'!C30&amp;""</f>
        <v>COSTA MESA HS 2</v>
      </c>
      <c r="D106" s="359" t="str">
        <f>'12U BOYS GOLD-24 TEAMS'!D30&amp;""</f>
        <v>12Bau01A</v>
      </c>
      <c r="E106" s="357" t="str">
        <f>'12U BOYS GOLD-24 TEAMS'!E30&amp;""</f>
        <v>E1(2)-TROJAN</v>
      </c>
      <c r="F106" s="359" t="str">
        <f>'12U BOYS GOLD-24 TEAMS'!F30&amp;""</f>
        <v>15</v>
      </c>
      <c r="G106" s="357" t="str">
        <f>'12U BOYS GOLD-24 TEAMS'!G30&amp;""</f>
        <v>E3(18)-CC UNITED WHITE</v>
      </c>
      <c r="H106" s="359" t="str">
        <f>'12U BOYS GOLD-24 TEAMS'!H30&amp;""</f>
        <v>3</v>
      </c>
      <c r="I106" s="359" t="str">
        <f>'12U BOYS GOLD-24 TEAMS'!I30&amp;""</f>
        <v>E bracket E1,E3</v>
      </c>
      <c r="J106" s="359" t="str">
        <f>'12U BOYS GOLD-24 TEAMS'!J30&amp;""</f>
        <v>12U_BOYS_GOLD</v>
      </c>
      <c r="K106" s="359" t="str">
        <f t="shared" si="2"/>
        <v>202601311110</v>
      </c>
    </row>
    <row r="107" spans="1:11">
      <c r="A107" s="399">
        <f>'14U BOYS PLATINUM-20 TEAMS'!A25</f>
        <v>46053</v>
      </c>
      <c r="B107" s="400">
        <f>'14U BOYS PLATINUM-20 TEAMS'!B25</f>
        <v>0.46527777777777801</v>
      </c>
      <c r="C107" s="400" t="str">
        <f>'14U BOYS PLATINUM-20 TEAMS'!C25&amp;""</f>
        <v>EL TORO HS 1</v>
      </c>
      <c r="D107" s="401" t="str">
        <f>'14U BOYS PLATINUM-20 TEAMS'!D25&amp;""</f>
        <v>14Bpt03</v>
      </c>
      <c r="E107" s="402" t="str">
        <f>'14U BOYS PLATINUM-20 TEAMS'!E25&amp;""</f>
        <v>A1-MISSION WPC A</v>
      </c>
      <c r="F107" s="401" t="str">
        <f>'14U BOYS PLATINUM-20 TEAMS'!F25&amp;""</f>
        <v>12</v>
      </c>
      <c r="G107" s="399" t="str">
        <f>'14U BOYS PLATINUM-20 TEAMS'!G25&amp;""</f>
        <v>A2-680 RED</v>
      </c>
      <c r="H107" s="401" t="str">
        <f>'14U BOYS PLATINUM-20 TEAMS'!H25&amp;""</f>
        <v>4</v>
      </c>
      <c r="I107" s="401" t="str">
        <f>'14U BOYS PLATINUM-20 TEAMS'!I25&amp;""</f>
        <v>A bracket</v>
      </c>
      <c r="J107" s="401" t="str">
        <f>'14U BOYS PLATINUM-20 TEAMS'!J25&amp;""</f>
        <v>14U_BOYS_PLATINUM</v>
      </c>
      <c r="K107" s="401" t="str">
        <f t="shared" si="2"/>
        <v>202601311110</v>
      </c>
    </row>
    <row r="108" spans="1:11">
      <c r="A108" s="387">
        <f>'14U BOYS SILVER-18 TEAMS'!A35</f>
        <v>46053</v>
      </c>
      <c r="B108" s="388">
        <f>'14U BOYS SILVER-18 TEAMS'!B35</f>
        <v>0.46527777777777801</v>
      </c>
      <c r="C108" s="388" t="str">
        <f>'14U BOYS SILVER-18 TEAMS'!C35&amp;""</f>
        <v>ESPERANZA HS</v>
      </c>
      <c r="D108" s="389" t="str">
        <f>'14U BOYS SILVER-18 TEAMS'!D35&amp;""</f>
        <v>14Bag08</v>
      </c>
      <c r="E108" s="390" t="str">
        <f>'14U BOYS SILVER-18 TEAMS'!E35&amp;""</f>
        <v>D2-AMERICAN RIVER GOLD</v>
      </c>
      <c r="F108" s="391" t="str">
        <f>'14U BOYS SILVER-18 TEAMS'!F35&amp;""</f>
        <v>2</v>
      </c>
      <c r="G108" s="390" t="str">
        <f>'14U BOYS SILVER-18 TEAMS'!G35&amp;""</f>
        <v>D3-PALOS VERDES B</v>
      </c>
      <c r="H108" s="391" t="str">
        <f>'14U BOYS SILVER-18 TEAMS'!H35&amp;""</f>
        <v>8</v>
      </c>
      <c r="I108" s="392" t="str">
        <f>'14U BOYS SILVER-18 TEAMS'!I35&amp;""</f>
        <v>D bracket D2,D3</v>
      </c>
      <c r="J108" s="389" t="str">
        <f>'14U BOYS SILVER-18 TEAMS'!J35&amp;""</f>
        <v>14U_BOYS_SILVER</v>
      </c>
      <c r="K108" s="389" t="str">
        <f t="shared" si="2"/>
        <v>202601311110</v>
      </c>
    </row>
    <row r="109" spans="1:11">
      <c r="A109" s="394">
        <f>'14U BOYS GOLD-26 TEAMS'!A46</f>
        <v>46053</v>
      </c>
      <c r="B109" s="395">
        <f>'14U BOYS GOLD-26 TEAMS'!B46</f>
        <v>0.46527777777777801</v>
      </c>
      <c r="C109" s="396" t="str">
        <f>'14U BOYS GOLD-26 TEAMS'!C46&amp;""</f>
        <v>ESTANCIA HS 2</v>
      </c>
      <c r="D109" s="396" t="str">
        <f>'14U BOYS GOLD-26 TEAMS'!D46&amp;""</f>
        <v>14Bau19</v>
      </c>
      <c r="E109" s="397" t="str">
        <f>'14U BOYS GOLD-26 TEAMS'!E46&amp;""</f>
        <v>W#15-HIELAND</v>
      </c>
      <c r="F109" s="397" t="str">
        <f>'14U BOYS GOLD-26 TEAMS'!F46&amp;""</f>
        <v>16</v>
      </c>
      <c r="G109" s="397" t="str">
        <f>'14U BOYS GOLD-26 TEAMS'!G46&amp;""</f>
        <v>W#16-SHAQ WHITE</v>
      </c>
      <c r="H109" s="397" t="str">
        <f>'14U BOYS GOLD-26 TEAMS'!H46&amp;""</f>
        <v>10</v>
      </c>
      <c r="I109" s="396" t="str">
        <f>'14U BOYS GOLD-26 TEAMS'!I46&amp;""</f>
        <v>1st/2nd H</v>
      </c>
      <c r="J109" s="397" t="str">
        <f>'14U BOYS GOLD-26 TEAMS'!J46&amp;""</f>
        <v>14U_BOYS_GOLD</v>
      </c>
      <c r="K109" s="397" t="str">
        <f t="shared" si="2"/>
        <v>202601311110</v>
      </c>
    </row>
    <row r="110" spans="1:11">
      <c r="A110" s="378">
        <f>'14U GIRLS GOLD-14 TEAMS'!A17</f>
        <v>46053</v>
      </c>
      <c r="B110" s="379">
        <f>'14U GIRLS GOLD-14 TEAMS'!B17</f>
        <v>0.46527777777777801</v>
      </c>
      <c r="C110" s="379" t="str">
        <f>'14U GIRLS GOLD-14 TEAMS'!C17&amp;""</f>
        <v>LAGUNA HILLS HS</v>
      </c>
      <c r="D110" s="380" t="str">
        <f>'14U GIRLS GOLD-14 TEAMS'!D17&amp;""</f>
        <v>14Gau11</v>
      </c>
      <c r="E110" s="380" t="str">
        <f>'14U GIRLS GOLD-14 TEAMS'!E17&amp;""</f>
        <v>B1-HONOLULU</v>
      </c>
      <c r="F110" s="380" t="str">
        <f>'14U GIRLS GOLD-14 TEAMS'!F17&amp;""</f>
        <v>2</v>
      </c>
      <c r="G110" s="380" t="str">
        <f>'14U GIRLS GOLD-14 TEAMS'!G17&amp;""</f>
        <v>B2-ROGUE 619</v>
      </c>
      <c r="H110" s="380" t="str">
        <f>'14U GIRLS GOLD-14 TEAMS'!H17&amp;""</f>
        <v>12</v>
      </c>
      <c r="I110" s="380" t="str">
        <f>'14U GIRLS GOLD-14 TEAMS'!I17&amp;""</f>
        <v>B bracket B1,B2</v>
      </c>
      <c r="J110" s="380" t="str">
        <f>'14U GIRLS GOLD-14 TEAMS'!J17&amp;""</f>
        <v>14U_GIRLS_GOLD</v>
      </c>
      <c r="K110" s="380" t="str">
        <f t="shared" si="2"/>
        <v>202601311110</v>
      </c>
    </row>
    <row r="111" spans="1:11">
      <c r="A111" s="387">
        <f>'14U BOYS SILVER-18 TEAMS'!A24</f>
        <v>46053</v>
      </c>
      <c r="B111" s="393">
        <f>'14U BOYS SILVER-18 TEAMS'!B24</f>
        <v>0.46527777777777801</v>
      </c>
      <c r="C111" s="388" t="str">
        <f>'14U BOYS SILVER-18 TEAMS'!C24&amp;""</f>
        <v>SAN CLEMENTE HS</v>
      </c>
      <c r="D111" s="389" t="str">
        <f>'14U BOYS SILVER-18 TEAMS'!D24&amp;""</f>
        <v>14Bag07</v>
      </c>
      <c r="E111" s="390" t="str">
        <f>'14U BOYS SILVER-18 TEAMS'!E24&amp;""</f>
        <v>A2-LOYOLA WPC</v>
      </c>
      <c r="F111" s="391" t="str">
        <f>'14U BOYS SILVER-18 TEAMS'!F24&amp;""</f>
        <v>11</v>
      </c>
      <c r="G111" s="390" t="str">
        <f>'14U BOYS SILVER-18 TEAMS'!G24&amp;""</f>
        <v>A3-SAN CLEMENTE BLACK</v>
      </c>
      <c r="H111" s="391" t="str">
        <f>'14U BOYS SILVER-18 TEAMS'!H24&amp;""</f>
        <v>4</v>
      </c>
      <c r="I111" s="392" t="str">
        <f>'14U BOYS SILVER-18 TEAMS'!I24&amp;""</f>
        <v>A bracket A2,A3</v>
      </c>
      <c r="J111" s="389" t="str">
        <f>'14U BOYS SILVER-18 TEAMS'!J24&amp;""</f>
        <v>14U_BOYS_SILVER</v>
      </c>
      <c r="K111" s="389" t="str">
        <f t="shared" si="2"/>
        <v>202601311110</v>
      </c>
    </row>
    <row r="112" spans="1:11">
      <c r="A112" s="399">
        <f>'14U BOYS PLATINUM-20 TEAMS'!A35</f>
        <v>46053</v>
      </c>
      <c r="B112" s="400">
        <f>'14U BOYS PLATINUM-20 TEAMS'!B35</f>
        <v>0.46527777777777801</v>
      </c>
      <c r="C112" s="400" t="str">
        <f>'14U BOYS PLATINUM-20 TEAMS'!C35&amp;""</f>
        <v>TUSTIN HS 1</v>
      </c>
      <c r="D112" s="401" t="str">
        <f>'14U BOYS PLATINUM-20 TEAMS'!D35&amp;""</f>
        <v>14Bpt14</v>
      </c>
      <c r="E112" s="401" t="str">
        <f>'14U BOYS PLATINUM-20 TEAMS'!E35&amp;""</f>
        <v>C1-VANGUARD BLUE</v>
      </c>
      <c r="F112" s="401" t="str">
        <f>'14U BOYS PLATINUM-20 TEAMS'!F35&amp;""</f>
        <v>9</v>
      </c>
      <c r="G112" s="401" t="str">
        <f>'14U BOYS PLATINUM-20 TEAMS'!G35&amp;""</f>
        <v>C3-SOUTH COAST RED (A)</v>
      </c>
      <c r="H112" s="401" t="str">
        <f>'14U BOYS PLATINUM-20 TEAMS'!H35&amp;""</f>
        <v>7</v>
      </c>
      <c r="I112" s="401" t="str">
        <f>'14U BOYS PLATINUM-20 TEAMS'!I35&amp;""</f>
        <v>C bracket</v>
      </c>
      <c r="J112" s="401" t="str">
        <f>'14U BOYS PLATINUM-20 TEAMS'!J35&amp;""</f>
        <v>14U_BOYS_PLATINUM</v>
      </c>
      <c r="K112" s="401" t="str">
        <f t="shared" si="2"/>
        <v>202601311110</v>
      </c>
    </row>
    <row r="113" spans="1:11">
      <c r="A113" s="354">
        <f>'12U BOYS GOLD-24 TEAMS'!A17</f>
        <v>46053</v>
      </c>
      <c r="B113" s="355">
        <f>'12U BOYS GOLD-24 TEAMS'!B17</f>
        <v>0.46527777777777801</v>
      </c>
      <c r="C113" s="355" t="str">
        <f>'12U BOYS GOLD-24 TEAMS'!C17&amp;""</f>
        <v>TUSTIN HS 2</v>
      </c>
      <c r="D113" s="356" t="str">
        <f>'12U BOYS GOLD-24 TEAMS'!D17&amp;""</f>
        <v>12Bau03</v>
      </c>
      <c r="E113" s="356" t="str">
        <f>'12U BOYS GOLD-24 TEAMS'!E17&amp;""</f>
        <v>D1(8)-GOLD COAST</v>
      </c>
      <c r="F113" s="356" t="str">
        <f>'12U BOYS GOLD-24 TEAMS'!F17&amp;""</f>
        <v>12.3</v>
      </c>
      <c r="G113" s="356" t="str">
        <f>'12U BOYS GOLD-24 TEAMS'!G17&amp;""</f>
        <v>D3(24)-LAMORINDA B</v>
      </c>
      <c r="H113" s="356" t="str">
        <f>'12U BOYS GOLD-24 TEAMS'!H17&amp;""</f>
        <v>12.4</v>
      </c>
      <c r="I113" s="356" t="str">
        <f>'12U BOYS GOLD-24 TEAMS'!I17&amp;""</f>
        <v>D bracket D1,D3</v>
      </c>
      <c r="J113" s="356" t="str">
        <f>'12U BOYS GOLD-24 TEAMS'!J17&amp;""</f>
        <v>12U_BOYS_GOLD</v>
      </c>
      <c r="K113" s="356" t="str">
        <f t="shared" ref="K113:K176" si="3">TEXT(DATE(2026, MONTH(A113), DAY(A113)) + TIME(HOUR(B113), MINUTE(B113), 0), "yyyymmddhhmm")</f>
        <v>202601311110</v>
      </c>
    </row>
    <row r="114" spans="1:11">
      <c r="A114" s="357">
        <f>'12U BOYS GOLD-24 TEAMS'!A31</f>
        <v>46053</v>
      </c>
      <c r="B114" s="358">
        <f>'12U BOYS GOLD-24 TEAMS'!B31</f>
        <v>0.46527777777777801</v>
      </c>
      <c r="C114" s="358" t="str">
        <f>'12U BOYS GOLD-24 TEAMS'!C31&amp;""</f>
        <v>WOOLLETT FAR RIGHT</v>
      </c>
      <c r="D114" s="359" t="str">
        <f>'12U BOYS GOLD-24 TEAMS'!D31&amp;""</f>
        <v>12Bau08A</v>
      </c>
      <c r="E114" s="360" t="str">
        <f>'12U BOYS GOLD-24 TEAMS'!E31&amp;""</f>
        <v>G1(6)-SAN MATEO</v>
      </c>
      <c r="F114" s="360" t="str">
        <f>'12U BOYS GOLD-24 TEAMS'!F31&amp;""</f>
        <v>8</v>
      </c>
      <c r="G114" s="360" t="str">
        <f>'12U BOYS GOLD-24 TEAMS'!G31&amp;""</f>
        <v>G2(11)-SOUTH COAST RED</v>
      </c>
      <c r="H114" s="359" t="str">
        <f>'12U BOYS GOLD-24 TEAMS'!H31&amp;""</f>
        <v>6</v>
      </c>
      <c r="I114" s="359" t="str">
        <f>'12U BOYS GOLD-24 TEAMS'!I31&amp;""</f>
        <v>G bracket G1,G2</v>
      </c>
      <c r="J114" s="359" t="str">
        <f>'12U BOYS GOLD-24 TEAMS'!J31&amp;""</f>
        <v>12U_BOYS_GOLD</v>
      </c>
      <c r="K114" s="359" t="str">
        <f t="shared" si="3"/>
        <v>202601311110</v>
      </c>
    </row>
    <row r="115" spans="1:11">
      <c r="A115" s="346">
        <f>'10U BOYS-8 TEAMS'!A15</f>
        <v>46053</v>
      </c>
      <c r="B115" s="347">
        <f>'10U BOYS-8 TEAMS'!B15</f>
        <v>0.48958333333333298</v>
      </c>
      <c r="C115" s="348" t="str">
        <f>'10U BOYS-8 TEAMS'!C15&amp;""</f>
        <v>BECKMAN HS 2</v>
      </c>
      <c r="D115" s="348" t="str">
        <f>'10U BOYS-8 TEAMS'!D15&amp;""</f>
        <v>10B06</v>
      </c>
      <c r="E115" s="348" t="str">
        <f>'10U BOYS-8 TEAMS'!E15&amp;""</f>
        <v>B2-SAN CLEMENTE RED</v>
      </c>
      <c r="F115" s="348" t="str">
        <f>'10U BOYS-8 TEAMS'!F15&amp;""</f>
        <v>14</v>
      </c>
      <c r="G115" s="348" t="str">
        <f>'10U BOYS-8 TEAMS'!G15&amp;""</f>
        <v>B3-STANFORD RED</v>
      </c>
      <c r="H115" s="348" t="str">
        <f>'10U BOYS-8 TEAMS'!H15&amp;""</f>
        <v>9</v>
      </c>
      <c r="I115" s="348" t="str">
        <f>'10U BOYS-8 TEAMS'!I15&amp;""</f>
        <v>bracket, B2/B3</v>
      </c>
      <c r="J115" s="348" t="str">
        <f>'10U BOYS-8 TEAMS'!J15&amp;""</f>
        <v>10U_BOYS</v>
      </c>
      <c r="K115" s="348" t="str">
        <f t="shared" si="3"/>
        <v>202601311145</v>
      </c>
    </row>
    <row r="116" spans="1:11">
      <c r="A116" s="337">
        <f>'10U COED GOLD-16 TEAMS CUSTOM'!A17</f>
        <v>46053</v>
      </c>
      <c r="B116" s="338">
        <f>'10U COED GOLD-16 TEAMS CUSTOM'!B17</f>
        <v>0.48958333333333298</v>
      </c>
      <c r="C116" s="338" t="str">
        <f>'10U COED GOLD-16 TEAMS CUSTOM'!C17&amp;""</f>
        <v>EL TORO HS 2</v>
      </c>
      <c r="D116" s="339" t="str">
        <f>'10U COED GOLD-16 TEAMS CUSTOM'!D17&amp;""</f>
        <v>10Cau08</v>
      </c>
      <c r="E116" s="339" t="str">
        <f>'10U COED GOLD-16 TEAMS CUSTOM'!E17&amp;""</f>
        <v>A2-LOYOLA WPC</v>
      </c>
      <c r="F116" s="339" t="str">
        <f>'10U COED GOLD-16 TEAMS CUSTOM'!F17&amp;""</f>
        <v>17</v>
      </c>
      <c r="G116" s="339" t="str">
        <f>'10U COED GOLD-16 TEAMS CUSTOM'!G17&amp;""</f>
        <v>A3-LAMORINDA C</v>
      </c>
      <c r="H116" s="339" t="str">
        <f>'10U COED GOLD-16 TEAMS CUSTOM'!H17&amp;""</f>
        <v>1</v>
      </c>
      <c r="I116" s="339" t="str">
        <f>'10U COED GOLD-16 TEAMS CUSTOM'!I17&amp;""</f>
        <v>A bracket A2,A3</v>
      </c>
      <c r="J116" s="339" t="str">
        <f>'10U COED GOLD-16 TEAMS CUSTOM'!J17&amp;""</f>
        <v>10U_COED_GOLD</v>
      </c>
      <c r="K116" s="339" t="str">
        <f t="shared" si="3"/>
        <v>202601311145</v>
      </c>
    </row>
    <row r="117" spans="1:11">
      <c r="A117" s="337">
        <f>'10U COED GOLD-16 TEAMS CUSTOM'!A16</f>
        <v>46053</v>
      </c>
      <c r="B117" s="338">
        <f>'10U COED GOLD-16 TEAMS CUSTOM'!B16</f>
        <v>0.48958333333333298</v>
      </c>
      <c r="C117" s="338" t="str">
        <f>'10U COED GOLD-16 TEAMS CUSTOM'!C16&amp;""</f>
        <v>WOOLLETT FAR LEFT</v>
      </c>
      <c r="D117" s="340" t="str">
        <f>'10U COED GOLD-16 TEAMS CUSTOM'!D16&amp;""</f>
        <v>10Cau06</v>
      </c>
      <c r="E117" s="340" t="str">
        <f>'10U COED GOLD-16 TEAMS CUSTOM'!E16&amp;""</f>
        <v>G2-DEL MAR BLUE (girls)</v>
      </c>
      <c r="F117" s="340" t="str">
        <f>'10U COED GOLD-16 TEAMS CUSTOM'!F16&amp;""</f>
        <v>12</v>
      </c>
      <c r="G117" s="340" t="str">
        <f>'10U COED GOLD-16 TEAMS CUSTOM'!G16&amp;""</f>
        <v>G3-680 RED (girls)</v>
      </c>
      <c r="H117" s="339" t="str">
        <f>'10U COED GOLD-16 TEAMS CUSTOM'!H16&amp;""</f>
        <v>5</v>
      </c>
      <c r="I117" s="340" t="str">
        <f>'10U COED GOLD-16 TEAMS CUSTOM'!I16&amp;""</f>
        <v>girls 1st-4th</v>
      </c>
      <c r="J117" s="339" t="str">
        <f>'10U COED GOLD-16 TEAMS CUSTOM'!J16&amp;""</f>
        <v>10U_COED_GOLD</v>
      </c>
      <c r="K117" s="339" t="str">
        <f t="shared" si="3"/>
        <v>202601311145</v>
      </c>
    </row>
    <row r="118" spans="1:11">
      <c r="A118" s="382">
        <f>'14U GIRLS PLATINUM-10 TEAMS'!A16</f>
        <v>46053</v>
      </c>
      <c r="B118" s="383">
        <f>'14U GIRLS PLATINUM-10 TEAMS'!B16</f>
        <v>0.5</v>
      </c>
      <c r="C118" s="383" t="str">
        <f>'14U GIRLS PLATINUM-10 TEAMS'!C16&amp;""</f>
        <v>ALISO NIGUEL HS</v>
      </c>
      <c r="D118" s="384" t="str">
        <f>'14U GIRLS PLATINUM-10 TEAMS'!D16&amp;""</f>
        <v>14Gpt07</v>
      </c>
      <c r="E118" s="384" t="str">
        <f>'14U GIRLS PLATINUM-10 TEAMS'!E16&amp;""</f>
        <v>C1-SANTA CRUZ BLACK</v>
      </c>
      <c r="F118" s="384" t="str">
        <f>'14U GIRLS PLATINUM-10 TEAMS'!F16&amp;""</f>
        <v>7</v>
      </c>
      <c r="G118" s="385" t="str">
        <f>'14U GIRLS PLATINUM-10 TEAMS'!G16&amp;""</f>
        <v>C2-SOUTH COAST RED (A)</v>
      </c>
      <c r="H118" s="384" t="str">
        <f>'14U GIRLS PLATINUM-10 TEAMS'!H16&amp;""</f>
        <v>5</v>
      </c>
      <c r="I118" s="384" t="str">
        <f>'14U GIRLS PLATINUM-10 TEAMS'!I16&amp;""</f>
        <v>C bracket C1,C2</v>
      </c>
      <c r="J118" s="384" t="str">
        <f>'14U GIRLS PLATINUM-10 TEAMS'!J16&amp;""</f>
        <v>14U_GIRLS_PLATINUM</v>
      </c>
      <c r="K118" s="384" t="str">
        <f t="shared" si="3"/>
        <v>202601311200</v>
      </c>
    </row>
    <row r="119" spans="1:11">
      <c r="A119" s="370">
        <f>'12U BOYS PLATINUM-10 TEAMS'!A15</f>
        <v>46053</v>
      </c>
      <c r="B119" s="371">
        <f>'12U BOYS PLATINUM-10 TEAMS'!B15</f>
        <v>0.5</v>
      </c>
      <c r="C119" s="372" t="str">
        <f>'12U BOYS PLATINUM-10 TEAMS'!C15&amp;""</f>
        <v>BECKMAN HS 1</v>
      </c>
      <c r="D119" s="373" t="str">
        <f>'12U BOYS PLATINUM-10 TEAMS'!D15&amp;""</f>
        <v>12Bpt05</v>
      </c>
      <c r="E119" s="373" t="str">
        <f>'12U BOYS PLATINUM-10 TEAMS'!E15&amp;""</f>
        <v>A2-LAMORINDA A</v>
      </c>
      <c r="F119" s="373" t="str">
        <f>'12U BOYS PLATINUM-10 TEAMS'!F15&amp;""</f>
        <v>7.2</v>
      </c>
      <c r="G119" s="373" t="str">
        <f>'12U BOYS PLATINUM-10 TEAMS'!G15&amp;""</f>
        <v>A3-680 RED</v>
      </c>
      <c r="H119" s="373" t="str">
        <f>'12U BOYS PLATINUM-10 TEAMS'!H15&amp;""</f>
        <v>7.4</v>
      </c>
      <c r="I119" s="373" t="str">
        <f>'12U BOYS PLATINUM-10 TEAMS'!I15&amp;""</f>
        <v>A bracket A2,A3</v>
      </c>
      <c r="J119" s="373" t="str">
        <f>'12U BOYS PLATINUM-10 TEAMS'!J15&amp;""</f>
        <v>12U_BOYS_PLATINUM</v>
      </c>
      <c r="K119" s="373" t="str">
        <f t="shared" si="3"/>
        <v>202601311200</v>
      </c>
    </row>
    <row r="120" spans="1:11">
      <c r="A120" s="394">
        <f>'14U BOYS GOLD-26 TEAMS'!A31</f>
        <v>46053</v>
      </c>
      <c r="B120" s="395">
        <f>'14U BOYS GOLD-26 TEAMS'!B31</f>
        <v>0.5</v>
      </c>
      <c r="C120" s="396" t="str">
        <f>'14U BOYS GOLD-26 TEAMS'!C31&amp;""</f>
        <v>COSTA MESA HS 1</v>
      </c>
      <c r="D120" s="396" t="str">
        <f>'14U BOYS GOLD-26 TEAMS'!D31&amp;""</f>
        <v>14Bau04</v>
      </c>
      <c r="E120" s="397" t="str">
        <f>'14U BOYS GOLD-26 TEAMS'!E31&amp;""</f>
        <v>A2(16)-SHORE AQUATICS</v>
      </c>
      <c r="F120" s="397" t="str">
        <f>'14U BOYS GOLD-26 TEAMS'!F31&amp;""</f>
        <v>17</v>
      </c>
      <c r="G120" s="397" t="str">
        <f>'14U BOYS GOLD-26 TEAMS'!G31&amp;""</f>
        <v>A3(17)-NORTH IRVINE RED</v>
      </c>
      <c r="H120" s="397" t="str">
        <f>'14U BOYS GOLD-26 TEAMS'!H31&amp;""</f>
        <v>1</v>
      </c>
      <c r="I120" s="396" t="str">
        <f>'14U BOYS GOLD-26 TEAMS'!I31&amp;""</f>
        <v>A bracket A2,A3</v>
      </c>
      <c r="J120" s="397" t="str">
        <f>'14U BOYS GOLD-26 TEAMS'!J31&amp;""</f>
        <v>14U_BOYS_GOLD</v>
      </c>
      <c r="K120" s="397" t="str">
        <f t="shared" si="3"/>
        <v>202601311200</v>
      </c>
    </row>
    <row r="121" spans="1:11">
      <c r="A121" s="357">
        <f>'12U BOYS GOLD-24 TEAMS'!A32</f>
        <v>46053</v>
      </c>
      <c r="B121" s="358">
        <f>'12U BOYS GOLD-24 TEAMS'!B32</f>
        <v>0.5</v>
      </c>
      <c r="C121" s="358" t="str">
        <f>'12U BOYS GOLD-24 TEAMS'!C32&amp;""</f>
        <v>COSTA MESA HS 2</v>
      </c>
      <c r="D121" s="359" t="str">
        <f>'12U BOYS GOLD-24 TEAMS'!D32&amp;""</f>
        <v>12Bau02A</v>
      </c>
      <c r="E121" s="359" t="str">
        <f>'12U BOYS GOLD-24 TEAMS'!E32&amp;""</f>
        <v>H1(7)-FOOTHILL RED</v>
      </c>
      <c r="F121" s="359" t="str">
        <f>'12U BOYS GOLD-24 TEAMS'!F32&amp;""</f>
        <v>12</v>
      </c>
      <c r="G121" s="359" t="str">
        <f>'12U BOYS GOLD-24 TEAMS'!G32&amp;""</f>
        <v>H3(23)-STANFORD WHITE</v>
      </c>
      <c r="H121" s="359" t="str">
        <f>'12U BOYS GOLD-24 TEAMS'!H32&amp;""</f>
        <v>2</v>
      </c>
      <c r="I121" s="359" t="str">
        <f>'12U BOYS GOLD-24 TEAMS'!I32&amp;""</f>
        <v>H bracket H1,H3</v>
      </c>
      <c r="J121" s="359" t="str">
        <f>'12U BOYS GOLD-24 TEAMS'!J32&amp;""</f>
        <v>12U_BOYS_GOLD</v>
      </c>
      <c r="K121" s="359" t="str">
        <f t="shared" si="3"/>
        <v>202601311200</v>
      </c>
    </row>
    <row r="122" spans="1:11">
      <c r="A122" s="413">
        <f>'16U BOYS GOLD-19 TEAMS'!A40</f>
        <v>46053</v>
      </c>
      <c r="B122" s="414">
        <f>'16U BOYS GOLD-19 TEAMS'!B40</f>
        <v>0.5</v>
      </c>
      <c r="C122" s="414" t="str">
        <f>'16U BOYS GOLD-19 TEAMS'!C40&amp;""</f>
        <v>EDISON HS</v>
      </c>
      <c r="D122" s="415" t="str">
        <f>'16U BOYS GOLD-19 TEAMS'!D40&amp;""</f>
        <v>16Bau15</v>
      </c>
      <c r="E122" s="414" t="str">
        <f>'16U BOYS GOLD-19 TEAMS'!E40&amp;""</f>
        <v>E2-ORANGE COUNTY WPC BLUE</v>
      </c>
      <c r="F122" s="418" t="str">
        <f>'16U BOYS GOLD-19 TEAMS'!F40&amp;""</f>
        <v>2</v>
      </c>
      <c r="G122" s="414" t="str">
        <f>'16U BOYS GOLD-19 TEAMS'!G40&amp;""</f>
        <v>E3-STANFORD BLACK</v>
      </c>
      <c r="H122" s="417" t="str">
        <f>'16U BOYS GOLD-19 TEAMS'!H40&amp;""</f>
        <v>14</v>
      </c>
      <c r="I122" s="418" t="str">
        <f>'16U BOYS GOLD-19 TEAMS'!I40&amp;""</f>
        <v>E bracket</v>
      </c>
      <c r="J122" s="415" t="str">
        <f>'16U BOYS GOLD-19 TEAMS'!J40&amp;""</f>
        <v>16U_BOYS_GOLD</v>
      </c>
      <c r="K122" s="415" t="str">
        <f t="shared" si="3"/>
        <v>202601311200</v>
      </c>
    </row>
    <row r="123" spans="1:11">
      <c r="A123" s="399">
        <f>'14U BOYS PLATINUM-20 TEAMS'!A26</f>
        <v>46053</v>
      </c>
      <c r="B123" s="400">
        <f>'14U BOYS PLATINUM-20 TEAMS'!B26</f>
        <v>0.5</v>
      </c>
      <c r="C123" s="400" t="str">
        <f>'14U BOYS PLATINUM-20 TEAMS'!C26&amp;""</f>
        <v>EL TORO HS 1</v>
      </c>
      <c r="D123" s="401" t="str">
        <f>'14U BOYS PLATINUM-20 TEAMS'!D26&amp;""</f>
        <v>14Bpt01</v>
      </c>
      <c r="E123" s="399" t="str">
        <f>'14U BOYS PLATINUM-20 TEAMS'!E26&amp;""</f>
        <v>3-CHANNEL ISLANDS UNITED GOLD</v>
      </c>
      <c r="F123" s="401" t="str">
        <f>'14U BOYS PLATINUM-20 TEAMS'!F26&amp;""</f>
        <v>16</v>
      </c>
      <c r="G123" s="399" t="str">
        <f>'14U BOYS PLATINUM-20 TEAMS'!G26&amp;""</f>
        <v>20-DEVIL'S GATE</v>
      </c>
      <c r="H123" s="401" t="str">
        <f>'14U BOYS PLATINUM-20 TEAMS'!H26&amp;""</f>
        <v>7</v>
      </c>
      <c r="I123" s="401" t="str">
        <f>'14U BOYS PLATINUM-20 TEAMS'!I26&amp;""</f>
        <v>W/L E</v>
      </c>
      <c r="J123" s="401" t="str">
        <f>'14U BOYS PLATINUM-20 TEAMS'!J26&amp;""</f>
        <v>14U_BOYS_PLATINUM</v>
      </c>
      <c r="K123" s="401" t="str">
        <f t="shared" si="3"/>
        <v>202601311200</v>
      </c>
    </row>
    <row r="124" spans="1:11">
      <c r="A124" s="387">
        <f>'14U BOYS SILVER-18 TEAMS'!A36</f>
        <v>46053</v>
      </c>
      <c r="B124" s="388">
        <f>'14U BOYS SILVER-18 TEAMS'!B36</f>
        <v>0.5</v>
      </c>
      <c r="C124" s="388" t="str">
        <f>'14U BOYS SILVER-18 TEAMS'!C36&amp;""</f>
        <v>ESPERANZA HS</v>
      </c>
      <c r="D124" s="389" t="str">
        <f>'14U BOYS SILVER-18 TEAMS'!D36&amp;""</f>
        <v>14Bag10</v>
      </c>
      <c r="E124" s="390" t="str">
        <f>'14U BOYS SILVER-18 TEAMS'!E36&amp;""</f>
        <v>E2-HONOLULU GREEN</v>
      </c>
      <c r="F124" s="391" t="str">
        <f>'14U BOYS SILVER-18 TEAMS'!F36&amp;""</f>
        <v>10</v>
      </c>
      <c r="G124" s="390" t="str">
        <f>'14U BOYS SILVER-18 TEAMS'!G36&amp;""</f>
        <v>E3-CC UNITED WHITE</v>
      </c>
      <c r="H124" s="391" t="str">
        <f>'14U BOYS SILVER-18 TEAMS'!H36&amp;""</f>
        <v>6</v>
      </c>
      <c r="I124" s="392" t="str">
        <f>'14U BOYS SILVER-18 TEAMS'!I36&amp;""</f>
        <v>E bracket E2,E3</v>
      </c>
      <c r="J124" s="389" t="str">
        <f>'14U BOYS SILVER-18 TEAMS'!J36&amp;""</f>
        <v>14U_BOYS_SILVER</v>
      </c>
      <c r="K124" s="389" t="str">
        <f t="shared" si="3"/>
        <v>202601311200</v>
      </c>
    </row>
    <row r="125" spans="1:11">
      <c r="A125" s="406">
        <f>'16U BOYS SILVER-20 TEAMS'!A40</f>
        <v>46053</v>
      </c>
      <c r="B125" s="407">
        <f>'16U BOYS SILVER-20 TEAMS'!B40</f>
        <v>0.5</v>
      </c>
      <c r="C125" s="407" t="str">
        <f>'16U BOYS SILVER-20 TEAMS'!C40&amp;""</f>
        <v>ESTANCIA HS 1</v>
      </c>
      <c r="D125" s="408" t="str">
        <f>'16U BOYS SILVER-20 TEAMS'!D40&amp;""</f>
        <v>16Bag16</v>
      </c>
      <c r="E125" s="408" t="str">
        <f>'16U BOYS SILVER-20 TEAMS'!E40&amp;""</f>
        <v>B2-NORTH IRVINE</v>
      </c>
      <c r="F125" s="408" t="str">
        <f>'16U BOYS SILVER-20 TEAMS'!F40&amp;""</f>
        <v>3</v>
      </c>
      <c r="G125" s="408" t="str">
        <f>'16U BOYS SILVER-20 TEAMS'!G40&amp;""</f>
        <v>B3-LA JOLLA UNITED SILVER</v>
      </c>
      <c r="H125" s="408" t="str">
        <f>'16U BOYS SILVER-20 TEAMS'!H40&amp;""</f>
        <v>10</v>
      </c>
      <c r="I125" s="408" t="str">
        <f>'16U BOYS SILVER-20 TEAMS'!I40&amp;""</f>
        <v>B bracket</v>
      </c>
      <c r="J125" s="408" t="str">
        <f>'16U BOYS SILVER-20 TEAMS'!J40&amp;""</f>
        <v>16U_BOYS_SILVER</v>
      </c>
      <c r="K125" s="408" t="str">
        <f t="shared" si="3"/>
        <v>202601311200</v>
      </c>
    </row>
    <row r="126" spans="1:11">
      <c r="A126" s="394">
        <f>'14U BOYS GOLD-26 TEAMS'!A47</f>
        <v>46053</v>
      </c>
      <c r="B126" s="395">
        <f>'14U BOYS GOLD-26 TEAMS'!B47</f>
        <v>0.5</v>
      </c>
      <c r="C126" s="396" t="str">
        <f>'14U BOYS GOLD-26 TEAMS'!C47&amp;""</f>
        <v>ESTANCIA HS 2</v>
      </c>
      <c r="D126" s="396" t="str">
        <f>'14U BOYS GOLD-26 TEAMS'!D47&amp;""</f>
        <v>14Bau17</v>
      </c>
      <c r="E126" s="397" t="str">
        <f>'14U BOYS GOLD-26 TEAMS'!E47&amp;""</f>
        <v>G1(6)-SD ECA</v>
      </c>
      <c r="F126" s="397" t="str">
        <f>'14U BOYS GOLD-26 TEAMS'!F47&amp;""</f>
        <v>10</v>
      </c>
      <c r="G126" s="397" t="str">
        <f>'14U BOYS GOLD-26 TEAMS'!G47&amp;""</f>
        <v>G2(11)-LAMORINDA B</v>
      </c>
      <c r="H126" s="397" t="str">
        <f>'14U BOYS GOLD-26 TEAMS'!H47&amp;""</f>
        <v>12</v>
      </c>
      <c r="I126" s="396" t="str">
        <f>'14U BOYS GOLD-26 TEAMS'!I47&amp;""</f>
        <v>G bracket G1,G2</v>
      </c>
      <c r="J126" s="397" t="str">
        <f>'14U BOYS GOLD-26 TEAMS'!J47&amp;""</f>
        <v>14U_BOYS_GOLD</v>
      </c>
      <c r="K126" s="397" t="str">
        <f t="shared" si="3"/>
        <v>202601311200</v>
      </c>
    </row>
    <row r="127" spans="1:11">
      <c r="A127" s="378">
        <f>'14U GIRLS GOLD-14 TEAMS'!A18</f>
        <v>46053</v>
      </c>
      <c r="B127" s="379">
        <f>'14U GIRLS GOLD-14 TEAMS'!B18</f>
        <v>0.5</v>
      </c>
      <c r="C127" s="379" t="str">
        <f>'14U GIRLS GOLD-14 TEAMS'!C18&amp;""</f>
        <v>LAGUNA HILLS HS</v>
      </c>
      <c r="D127" s="380" t="str">
        <f>'14U GIRLS GOLD-14 TEAMS'!D18&amp;""</f>
        <v>14Gau08</v>
      </c>
      <c r="E127" s="380" t="str">
        <f>'14U GIRLS GOLD-14 TEAMS'!E18&amp;""</f>
        <v>L#3-NORTHWEST</v>
      </c>
      <c r="F127" s="380" t="str">
        <f>'14U GIRLS GOLD-14 TEAMS'!F18&amp;""</f>
        <v>9</v>
      </c>
      <c r="G127" s="380" t="str">
        <f>'14U GIRLS GOLD-14 TEAMS'!G18&amp;""</f>
        <v>L#4-LAMORINDA C</v>
      </c>
      <c r="H127" s="380" t="str">
        <f>'14U GIRLS GOLD-14 TEAMS'!H18&amp;""</f>
        <v>8</v>
      </c>
      <c r="I127" s="380" t="str">
        <f>'14U GIRLS GOLD-14 TEAMS'!I18&amp;""</f>
        <v>3rd/4thD</v>
      </c>
      <c r="J127" s="380" t="str">
        <f>'14U GIRLS GOLD-14 TEAMS'!J18&amp;""</f>
        <v>14U_GIRLS_GOLD</v>
      </c>
      <c r="K127" s="380" t="str">
        <f t="shared" si="3"/>
        <v>202601311200</v>
      </c>
    </row>
    <row r="128" spans="1:11">
      <c r="A128" s="387">
        <f>'14U BOYS SILVER-18 TEAMS'!A25</f>
        <v>46053</v>
      </c>
      <c r="B128" s="393">
        <f>'14U BOYS SILVER-18 TEAMS'!B25</f>
        <v>0.5</v>
      </c>
      <c r="C128" s="388" t="str">
        <f>'14U BOYS SILVER-18 TEAMS'!C25&amp;""</f>
        <v>SAN CLEMENTE HS</v>
      </c>
      <c r="D128" s="389" t="str">
        <f>'14U BOYS SILVER-18 TEAMS'!D25&amp;""</f>
        <v>14Bag09</v>
      </c>
      <c r="E128" s="390" t="str">
        <f>'14U BOYS SILVER-18 TEAMS'!E25&amp;""</f>
        <v>B2-TROJAN GOLD</v>
      </c>
      <c r="F128" s="391" t="str">
        <f>'14U BOYS SILVER-18 TEAMS'!F25&amp;""</f>
        <v>5</v>
      </c>
      <c r="G128" s="390" t="str">
        <f>'14U BOYS SILVER-18 TEAMS'!G25&amp;""</f>
        <v>B3-SOUTH COAST BLUE (C)</v>
      </c>
      <c r="H128" s="391" t="str">
        <f>'14U BOYS SILVER-18 TEAMS'!H25&amp;""</f>
        <v>7</v>
      </c>
      <c r="I128" s="392" t="str">
        <f>'14U BOYS SILVER-18 TEAMS'!I25&amp;""</f>
        <v>B bracket B2,B3</v>
      </c>
      <c r="J128" s="389" t="str">
        <f>'14U BOYS SILVER-18 TEAMS'!J25&amp;""</f>
        <v>14U_BOYS_SILVER</v>
      </c>
      <c r="K128" s="389" t="str">
        <f t="shared" si="3"/>
        <v>202601311200</v>
      </c>
    </row>
    <row r="129" spans="1:11">
      <c r="A129" s="432">
        <f>'19U BOYS GOLD-16 TEAMS'!A14</f>
        <v>46053</v>
      </c>
      <c r="B129" s="433">
        <f>'19U BOYS GOLD-16 TEAMS'!B14</f>
        <v>0.5</v>
      </c>
      <c r="C129" s="433" t="str">
        <f>'19U BOYS GOLD-16 TEAMS'!C14&amp;""</f>
        <v>SAN JUAN HILLS HS</v>
      </c>
      <c r="D129" s="434" t="str">
        <f>'19U BOYS GOLD-16 TEAMS'!D14&amp;""</f>
        <v>19Bau05</v>
      </c>
      <c r="E129" s="434" t="str">
        <f>'19U BOYS GOLD-16 TEAMS'!E14&amp;""</f>
        <v>L#1-LA JOLLA UNITED GOLD</v>
      </c>
      <c r="F129" s="434" t="str">
        <f>'19U BOYS GOLD-16 TEAMS'!F14&amp;""</f>
        <v>10</v>
      </c>
      <c r="G129" s="434" t="str">
        <f>'19U BOYS GOLD-16 TEAMS'!G14&amp;""</f>
        <v>L#2-VANGUARD SILVER</v>
      </c>
      <c r="H129" s="434" t="str">
        <f>'19U BOYS GOLD-16 TEAMS'!H14&amp;""</f>
        <v>12</v>
      </c>
      <c r="I129" s="434" t="str">
        <f>'19U BOYS GOLD-16 TEAMS'!I14&amp;""</f>
        <v>3rd/4thA</v>
      </c>
      <c r="J129" s="434" t="str">
        <f>'19U BOYS GOLD-16 TEAMS'!J14&amp;""</f>
        <v>19U_BOYS_GOLD</v>
      </c>
      <c r="K129" s="434" t="str">
        <f t="shared" si="3"/>
        <v>202601311200</v>
      </c>
    </row>
    <row r="130" spans="1:11">
      <c r="A130" s="421">
        <f>'16U BOYS PLATINUM-18 TEAMS'!A24</f>
        <v>46053</v>
      </c>
      <c r="B130" s="422">
        <f>'16U BOYS PLATINUM-18 TEAMS'!B24</f>
        <v>0.5</v>
      </c>
      <c r="C130" s="422" t="str">
        <f>'16U BOYS PLATINUM-18 TEAMS'!C24&amp;""</f>
        <v>SONORA HS</v>
      </c>
      <c r="D130" s="423" t="str">
        <f>'16U BOYS PLATINUM-18 TEAMS'!D24&amp;""</f>
        <v>16Bpt07</v>
      </c>
      <c r="E130" s="424" t="str">
        <f>'16U BOYS PLATINUM-18 TEAMS'!E24&amp;""</f>
        <v>A1-CC UNITED BLACK</v>
      </c>
      <c r="F130" s="425" t="str">
        <f>'16U BOYS PLATINUM-18 TEAMS'!F24&amp;""</f>
        <v>12.5</v>
      </c>
      <c r="G130" s="424" t="str">
        <f>'16U BOYS PLATINUM-18 TEAMS'!G24&amp;""</f>
        <v>A2-SAND CANYON</v>
      </c>
      <c r="H130" s="425" t="str">
        <f>'16U BOYS PLATINUM-18 TEAMS'!H24&amp;""</f>
        <v>12.3</v>
      </c>
      <c r="I130" s="426" t="str">
        <f>'16U BOYS PLATINUM-18 TEAMS'!I24&amp;""</f>
        <v>A bracket A1,A2</v>
      </c>
      <c r="J130" s="423" t="str">
        <f>'16U BOYS PLATINUM-18 TEAMS'!J24&amp;""</f>
        <v>16U_BOYS_PLATINUM</v>
      </c>
      <c r="K130" s="423" t="str">
        <f t="shared" si="3"/>
        <v>202601311200</v>
      </c>
    </row>
    <row r="131" spans="1:11">
      <c r="A131" s="399">
        <f>'14U BOYS PLATINUM-20 TEAMS'!A36</f>
        <v>46053</v>
      </c>
      <c r="B131" s="400">
        <f>'14U BOYS PLATINUM-20 TEAMS'!B36</f>
        <v>0.5</v>
      </c>
      <c r="C131" s="400" t="str">
        <f>'14U BOYS PLATINUM-20 TEAMS'!C36&amp;""</f>
        <v>TUSTIN HS 1</v>
      </c>
      <c r="D131" s="401" t="str">
        <f>'14U BOYS PLATINUM-20 TEAMS'!D36&amp;""</f>
        <v>14Bpt15</v>
      </c>
      <c r="E131" s="401" t="str">
        <f>'14U BOYS PLATINUM-20 TEAMS'!E36&amp;""</f>
        <v>D2-PRIDE BLACK</v>
      </c>
      <c r="F131" s="401" t="str">
        <f>'14U BOYS PLATINUM-20 TEAMS'!F36&amp;""</f>
        <v>9</v>
      </c>
      <c r="G131" s="401" t="str">
        <f>'14U BOYS PLATINUM-20 TEAMS'!G36&amp;""</f>
        <v>D3-STANFORD RED</v>
      </c>
      <c r="H131" s="401" t="str">
        <f>'14U BOYS PLATINUM-20 TEAMS'!H36&amp;""</f>
        <v>8</v>
      </c>
      <c r="I131" s="401" t="str">
        <f>'14U BOYS PLATINUM-20 TEAMS'!I36&amp;""</f>
        <v>D bracket</v>
      </c>
      <c r="J131" s="401" t="str">
        <f>'14U BOYS PLATINUM-20 TEAMS'!J36&amp;""</f>
        <v>14U_BOYS_PLATINUM</v>
      </c>
      <c r="K131" s="401" t="str">
        <f t="shared" si="3"/>
        <v>202601311200</v>
      </c>
    </row>
    <row r="132" spans="1:11">
      <c r="A132" s="354">
        <f>'12U BOYS GOLD-24 TEAMS'!A18</f>
        <v>46053</v>
      </c>
      <c r="B132" s="355">
        <f>'12U BOYS GOLD-24 TEAMS'!B18</f>
        <v>0.5</v>
      </c>
      <c r="C132" s="355" t="str">
        <f>'12U BOYS GOLD-24 TEAMS'!C18&amp;""</f>
        <v>TUSTIN HS 2</v>
      </c>
      <c r="D132" s="356" t="str">
        <f>'12U BOYS GOLD-24 TEAMS'!D18&amp;""</f>
        <v>12Bau04</v>
      </c>
      <c r="E132" s="356" t="str">
        <f>'12U BOYS GOLD-24 TEAMS'!E18&amp;""</f>
        <v>B1(4)-MARIN</v>
      </c>
      <c r="F132" s="356" t="str">
        <f>'12U BOYS GOLD-24 TEAMS'!F18&amp;""</f>
        <v>12</v>
      </c>
      <c r="G132" s="356" t="str">
        <f>'12U BOYS GOLD-24 TEAMS'!G18&amp;""</f>
        <v>B3(20)-LAMORINDA C</v>
      </c>
      <c r="H132" s="356" t="str">
        <f>'12U BOYS GOLD-24 TEAMS'!H18&amp;""</f>
        <v>0</v>
      </c>
      <c r="I132" s="356" t="str">
        <f>'12U BOYS GOLD-24 TEAMS'!I18&amp;""</f>
        <v>B bracket B1,B3</v>
      </c>
      <c r="J132" s="356" t="str">
        <f>'12U BOYS GOLD-24 TEAMS'!J18&amp;""</f>
        <v>12U_BOYS_GOLD</v>
      </c>
      <c r="K132" s="356" t="str">
        <f t="shared" si="3"/>
        <v>202601311200</v>
      </c>
    </row>
    <row r="133" spans="1:11">
      <c r="A133" s="410">
        <f>'16U BOYS GOLD-19 TEAMS'!A29</f>
        <v>46053</v>
      </c>
      <c r="B133" s="411">
        <f>'16U BOYS GOLD-19 TEAMS'!B29</f>
        <v>0.5</v>
      </c>
      <c r="C133" s="411" t="str">
        <f>'16U BOYS GOLD-19 TEAMS'!C29&amp;""</f>
        <v>WESTMINSTER HS</v>
      </c>
      <c r="D133" s="412" t="str">
        <f>'16U BOYS GOLD-19 TEAMS'!D29&amp;""</f>
        <v>16Bau06</v>
      </c>
      <c r="E133" s="412" t="str">
        <f>'16U BOYS GOLD-19 TEAMS'!E29&amp;""</f>
        <v>C2-CAL REPUBLIC</v>
      </c>
      <c r="F133" s="412" t="str">
        <f>'16U BOYS GOLD-19 TEAMS'!F29&amp;""</f>
        <v>12</v>
      </c>
      <c r="G133" s="412" t="str">
        <f>'16U BOYS GOLD-19 TEAMS'!G29&amp;""</f>
        <v>C3-TROJAN GOLD</v>
      </c>
      <c r="H133" s="412" t="str">
        <f>'16U BOYS GOLD-19 TEAMS'!H29&amp;""</f>
        <v>8</v>
      </c>
      <c r="I133" s="412" t="str">
        <f>'16U BOYS GOLD-19 TEAMS'!I29&amp;""</f>
        <v>C bracket</v>
      </c>
      <c r="J133" s="412" t="str">
        <f>'16U BOYS GOLD-19 TEAMS'!J29&amp;""</f>
        <v>16U_BOYS_GOLD</v>
      </c>
      <c r="K133" s="412" t="str">
        <f t="shared" si="3"/>
        <v>202601311200</v>
      </c>
    </row>
    <row r="134" spans="1:11">
      <c r="A134" s="351">
        <f>'12U GIRLS PLATINUM-12 TEAMS'!A15</f>
        <v>46053</v>
      </c>
      <c r="B134" s="352">
        <f>'12U GIRLS PLATINUM-12 TEAMS'!B15</f>
        <v>0.5</v>
      </c>
      <c r="C134" s="351" t="str">
        <f>'12U GIRLS PLATINUM-12 TEAMS'!C15&amp;""</f>
        <v>WOOLLETT FAR RIGHT</v>
      </c>
      <c r="D134" s="353" t="str">
        <f>'12U GIRLS PLATINUM-12 TEAMS'!D15&amp;""</f>
        <v>12Gpt05</v>
      </c>
      <c r="E134" s="351" t="str">
        <f>'12U GIRLS PLATINUM-12 TEAMS'!E15&amp;""</f>
        <v>A1-BACK BAY NAVY</v>
      </c>
      <c r="F134" s="353" t="str">
        <f>'12U GIRLS PLATINUM-12 TEAMS'!F15&amp;""</f>
        <v>19</v>
      </c>
      <c r="G134" s="351" t="str">
        <f>'12U GIRLS PLATINUM-12 TEAMS'!G15&amp;""</f>
        <v>A2-GOLD COAST</v>
      </c>
      <c r="H134" s="353" t="str">
        <f>'12U GIRLS PLATINUM-12 TEAMS'!H15&amp;""</f>
        <v>2</v>
      </c>
      <c r="I134" s="353" t="str">
        <f>'12U GIRLS PLATINUM-12 TEAMS'!I15&amp;""</f>
        <v>A bracket A1,A2</v>
      </c>
      <c r="J134" s="353" t="str">
        <f>'12U GIRLS PLATINUM-12 TEAMS'!J15&amp;""</f>
        <v>12U_GIRLS_PLATINUM</v>
      </c>
      <c r="K134" s="353" t="str">
        <f t="shared" si="3"/>
        <v>202601311200</v>
      </c>
    </row>
    <row r="135" spans="1:11">
      <c r="A135" s="435">
        <f>'19U BOYS PLATINUM-27 TEAMS'!A33</f>
        <v>46053</v>
      </c>
      <c r="B135" s="436">
        <f>'19U BOYS PLATINUM-27 TEAMS'!B33</f>
        <v>0.5</v>
      </c>
      <c r="C135" s="437" t="str">
        <f>'19U BOYS PLATINUM-27 TEAMS'!C33&amp;""</f>
        <v>WOOLLETT NEAR LEFT</v>
      </c>
      <c r="D135" s="437" t="str">
        <f>'19U BOYS PLATINUM-27 TEAMS'!D33&amp;""</f>
        <v>19Bpt09</v>
      </c>
      <c r="E135" s="438" t="str">
        <f>'19U BOYS PLATINUM-27 TEAMS'!E33&amp;""</f>
        <v>C1(5)-LA JOLLA UNITED NAVY</v>
      </c>
      <c r="F135" s="438" t="str">
        <f>'19U BOYS PLATINUM-27 TEAMS'!F33&amp;""</f>
        <v>13</v>
      </c>
      <c r="G135" s="438" t="str">
        <f>'19U BOYS PLATINUM-27 TEAMS'!G33&amp;""</f>
        <v>C3(21)-NORTH IRVINE BLACK</v>
      </c>
      <c r="H135" s="438" t="str">
        <f>'19U BOYS PLATINUM-27 TEAMS'!H33&amp;""</f>
        <v>7</v>
      </c>
      <c r="I135" s="437" t="str">
        <f>'19U BOYS PLATINUM-27 TEAMS'!I33&amp;""</f>
        <v>C bracket C1,C3</v>
      </c>
      <c r="J135" s="438" t="str">
        <f>'19U BOYS PLATINUM-27 TEAMS'!J33&amp;""</f>
        <v>19U_BOYS_PLATINUM</v>
      </c>
      <c r="K135" s="438" t="str">
        <f t="shared" si="3"/>
        <v>202601311200</v>
      </c>
    </row>
    <row r="136" spans="1:11">
      <c r="A136" s="435">
        <f>'19U BOYS PLATINUM-27 TEAMS'!A48</f>
        <v>46053</v>
      </c>
      <c r="B136" s="436">
        <f>'19U BOYS PLATINUM-27 TEAMS'!B48</f>
        <v>0.5</v>
      </c>
      <c r="C136" s="437" t="str">
        <f>'19U BOYS PLATINUM-27 TEAMS'!C48&amp;""</f>
        <v>WOOLLETT NEAR RIGHT</v>
      </c>
      <c r="D136" s="437" t="str">
        <f>'19U BOYS PLATINUM-27 TEAMS'!D48&amp;""</f>
        <v>19Bpt18</v>
      </c>
      <c r="E136" s="438" t="str">
        <f>'19U BOYS PLATINUM-27 TEAMS'!E48&amp;""</f>
        <v>W#14-CHANNEL ISLANDS UNITED TEAL</v>
      </c>
      <c r="F136" s="438" t="str">
        <f>'19U BOYS PLATINUM-27 TEAMS'!F48&amp;""</f>
        <v>12</v>
      </c>
      <c r="G136" s="438" t="str">
        <f>'19U BOYS PLATINUM-27 TEAMS'!G48&amp;""</f>
        <v>W#15-CT PREMIER</v>
      </c>
      <c r="H136" s="438" t="str">
        <f>'19U BOYS PLATINUM-27 TEAMS'!H48&amp;""</f>
        <v>10</v>
      </c>
      <c r="I136" s="437" t="str">
        <f>'19U BOYS PLATINUM-27 TEAMS'!I48&amp;""</f>
        <v>1st/2ndG</v>
      </c>
      <c r="J136" s="438" t="str">
        <f>'19U BOYS PLATINUM-27 TEAMS'!J48&amp;""</f>
        <v>19U_BOYS_PLATINUM</v>
      </c>
      <c r="K136" s="438" t="str">
        <f t="shared" si="3"/>
        <v>202601311200</v>
      </c>
    </row>
    <row r="137" spans="1:11">
      <c r="A137" s="421">
        <f>'16U BOYS PLATINUM-18 TEAMS'!A33</f>
        <v>46053</v>
      </c>
      <c r="B137" s="422">
        <f>'16U BOYS PLATINUM-18 TEAMS'!B33</f>
        <v>0.5</v>
      </c>
      <c r="C137" s="422" t="str">
        <f>'16U BOYS PLATINUM-18 TEAMS'!C33&amp;""</f>
        <v>YORBA LINDA HS</v>
      </c>
      <c r="D137" s="422" t="str">
        <f>'16U BOYS PLATINUM-18 TEAMS'!D33&amp;""</f>
        <v>16Bpt04</v>
      </c>
      <c r="E137" s="423" t="str">
        <f>'16U BOYS PLATINUM-18 TEAMS'!E33&amp;""</f>
        <v>E1-CHANNEL ISLANDS UNITED GOLD</v>
      </c>
      <c r="F137" s="424" t="str">
        <f>'16U BOYS PLATINUM-18 TEAMS'!F33&amp;""</f>
        <v>13</v>
      </c>
      <c r="G137" s="425" t="str">
        <f>'16U BOYS PLATINUM-18 TEAMS'!G33&amp;""</f>
        <v>E3-SAN CLEMENTE RED</v>
      </c>
      <c r="H137" s="424" t="str">
        <f>'16U BOYS PLATINUM-18 TEAMS'!H33&amp;""</f>
        <v>9</v>
      </c>
      <c r="I137" s="425" t="str">
        <f>'16U BOYS PLATINUM-18 TEAMS'!I33&amp;""</f>
        <v>E bracket E1,E3</v>
      </c>
      <c r="J137" s="426" t="str">
        <f>'16U BOYS PLATINUM-18 TEAMS'!J33&amp;""</f>
        <v>16U_BOYS_PLATINUM</v>
      </c>
      <c r="K137" s="426" t="str">
        <f t="shared" si="3"/>
        <v>202601311200</v>
      </c>
    </row>
    <row r="138" spans="1:11">
      <c r="A138" s="346">
        <f>'10U BOYS-8 TEAMS'!A16</f>
        <v>46053</v>
      </c>
      <c r="B138" s="347">
        <f>'10U BOYS-8 TEAMS'!B16</f>
        <v>0.52083333333333304</v>
      </c>
      <c r="C138" s="348" t="str">
        <f>'10U BOYS-8 TEAMS'!C16&amp;""</f>
        <v>BECKMAN HS 2</v>
      </c>
      <c r="D138" s="348" t="str">
        <f>'10U BOYS-8 TEAMS'!D16&amp;""</f>
        <v>10B07</v>
      </c>
      <c r="E138" s="348" t="str">
        <f>'10U BOYS-8 TEAMS'!E16&amp;""</f>
        <v>A1-LAMORINDA BLUE (A)</v>
      </c>
      <c r="F138" s="348" t="str">
        <f>'10U BOYS-8 TEAMS'!F16&amp;""</f>
        <v>10</v>
      </c>
      <c r="G138" s="348" t="str">
        <f>'10U BOYS-8 TEAMS'!G16&amp;""</f>
        <v>A4-CC UNITED BLUE</v>
      </c>
      <c r="H138" s="348" t="str">
        <f>'10U BOYS-8 TEAMS'!H16&amp;""</f>
        <v>6</v>
      </c>
      <c r="I138" s="348" t="str">
        <f>'10U BOYS-8 TEAMS'!I16&amp;""</f>
        <v>bracket, A1/A4</v>
      </c>
      <c r="J138" s="348" t="str">
        <f>'10U BOYS-8 TEAMS'!J16&amp;""</f>
        <v>10U_BOYS</v>
      </c>
      <c r="K138" s="348" t="str">
        <f t="shared" si="3"/>
        <v>202601311230</v>
      </c>
    </row>
    <row r="139" spans="1:11">
      <c r="A139" s="337">
        <f>'10U COED GOLD-16 TEAMS CUSTOM'!A18</f>
        <v>46053</v>
      </c>
      <c r="B139" s="338">
        <f>'10U COED GOLD-16 TEAMS CUSTOM'!B18</f>
        <v>0.52083333333333304</v>
      </c>
      <c r="C139" s="338" t="str">
        <f>'10U COED GOLD-16 TEAMS CUSTOM'!C18&amp;""</f>
        <v>EL TORO HS 2</v>
      </c>
      <c r="D139" s="339" t="str">
        <f>'10U COED GOLD-16 TEAMS CUSTOM'!D18&amp;""</f>
        <v>10Cau09</v>
      </c>
      <c r="E139" s="339" t="str">
        <f>'10U COED GOLD-16 TEAMS CUSTOM'!E18&amp;""</f>
        <v>B2-ORANGE COUNTY WPC RED</v>
      </c>
      <c r="F139" s="339" t="str">
        <f>'10U COED GOLD-16 TEAMS CUSTOM'!F18&amp;""</f>
        <v>19</v>
      </c>
      <c r="G139" s="339" t="str">
        <f>'10U COED GOLD-16 TEAMS CUSTOM'!G18&amp;""</f>
        <v>B3-DEL MAR WHITE</v>
      </c>
      <c r="H139" s="339" t="str">
        <f>'10U COED GOLD-16 TEAMS CUSTOM'!H18&amp;""</f>
        <v>6</v>
      </c>
      <c r="I139" s="339" t="str">
        <f>'10U COED GOLD-16 TEAMS CUSTOM'!I18&amp;""</f>
        <v>B bracket B2,B3</v>
      </c>
      <c r="J139" s="339" t="str">
        <f>'10U COED GOLD-16 TEAMS CUSTOM'!J18&amp;""</f>
        <v>10U_COED_GOLD</v>
      </c>
      <c r="K139" s="339" t="str">
        <f t="shared" si="3"/>
        <v>202601311230</v>
      </c>
    </row>
    <row r="140" spans="1:11">
      <c r="A140" s="341">
        <f>'10U COED PLATINUM-8 TEAMS'!A15</f>
        <v>46053</v>
      </c>
      <c r="B140" s="342">
        <f>'10U COED PLATINUM-8 TEAMS'!B15</f>
        <v>0.52083333333333304</v>
      </c>
      <c r="C140" s="343" t="str">
        <f>'10U COED PLATINUM-8 TEAMS'!C15&amp;""</f>
        <v>WOOLLETT FAR LEFT</v>
      </c>
      <c r="D140" s="343" t="str">
        <f>'10U COED PLATINUM-8 TEAMS'!D15&amp;""</f>
        <v>10Cpt05</v>
      </c>
      <c r="E140" s="343" t="str">
        <f>'10U COED PLATINUM-8 TEAMS'!E15&amp;""</f>
        <v>B1-ORANGE COUNTY WPC BLUE</v>
      </c>
      <c r="F140" s="343" t="str">
        <f>'10U COED PLATINUM-8 TEAMS'!F15&amp;""</f>
        <v>16</v>
      </c>
      <c r="G140" s="343" t="str">
        <f>'10U COED PLATINUM-8 TEAMS'!G15&amp;""</f>
        <v>B4-LAMORINDA GOLD (B)</v>
      </c>
      <c r="H140" s="343" t="str">
        <f>'10U COED PLATINUM-8 TEAMS'!H15&amp;""</f>
        <v>3</v>
      </c>
      <c r="I140" s="343" t="str">
        <f>'10U COED PLATINUM-8 TEAMS'!I15&amp;""</f>
        <v>bracket, B1/B4</v>
      </c>
      <c r="J140" s="343" t="str">
        <f>'10U COED PLATINUM-8 TEAMS'!J15&amp;""</f>
        <v>10U_COED_PLATINUM</v>
      </c>
      <c r="K140" s="343" t="str">
        <f t="shared" si="3"/>
        <v>202601311230</v>
      </c>
    </row>
    <row r="141" spans="1:11">
      <c r="A141" s="428">
        <f>'19U BOYS SILVER-6 TEAMS CUST'!A10</f>
        <v>46053</v>
      </c>
      <c r="B141" s="429">
        <f>'19U BOYS SILVER-6 TEAMS CUST'!B10</f>
        <v>0.52083333333333337</v>
      </c>
      <c r="C141" s="429" t="str">
        <f>'19U BOYS SILVER-6 TEAMS CUST'!C10&amp;""</f>
        <v>SADDLEBACK COLLEGE</v>
      </c>
      <c r="D141" s="430" t="str">
        <f>'19U BOYS SILVER-6 TEAMS CUST'!D10&amp;""</f>
        <v>19Bag01</v>
      </c>
      <c r="E141" s="430" t="str">
        <f>'19U BOYS SILVER-6 TEAMS CUST'!E10&amp;""</f>
        <v>A1-SHORE AQUATICS</v>
      </c>
      <c r="F141" s="430" t="str">
        <f>'19U BOYS SILVER-6 TEAMS CUST'!F10&amp;""</f>
        <v>9</v>
      </c>
      <c r="G141" s="430" t="str">
        <f>'19U BOYS SILVER-6 TEAMS CUST'!G10&amp;""</f>
        <v>A3-SD ECA</v>
      </c>
      <c r="H141" s="430" t="str">
        <f>'19U BOYS SILVER-6 TEAMS CUST'!H10&amp;""</f>
        <v>11</v>
      </c>
      <c r="I141" s="430" t="str">
        <f>'19U BOYS SILVER-6 TEAMS CUST'!I10&amp;""</f>
        <v>A bracket A1,A3</v>
      </c>
      <c r="J141" s="430" t="str">
        <f>'19U BOYS SILVER-6 TEAMS CUST'!J10&amp;""</f>
        <v>19U_BOYS_SILVER</v>
      </c>
      <c r="K141" s="430" t="str">
        <f t="shared" si="3"/>
        <v>202601311230</v>
      </c>
    </row>
    <row r="142" spans="1:11">
      <c r="A142" s="382">
        <f>'14U GIRLS PLATINUM-10 TEAMS'!A17</f>
        <v>46053</v>
      </c>
      <c r="B142" s="383">
        <f>'14U GIRLS PLATINUM-10 TEAMS'!B17</f>
        <v>0.53472222222222199</v>
      </c>
      <c r="C142" s="383" t="str">
        <f>'14U GIRLS PLATINUM-10 TEAMS'!C17&amp;""</f>
        <v>ALISO NIGUEL HS</v>
      </c>
      <c r="D142" s="384" t="str">
        <f>'14U GIRLS PLATINUM-10 TEAMS'!D17&amp;""</f>
        <v>14Gpt08</v>
      </c>
      <c r="E142" s="384" t="str">
        <f>'14U GIRLS PLATINUM-10 TEAMS'!E17&amp;""</f>
        <v>A1-CDM PINK</v>
      </c>
      <c r="F142" s="384" t="str">
        <f>'14U GIRLS PLATINUM-10 TEAMS'!F17&amp;""</f>
        <v>3.5</v>
      </c>
      <c r="G142" s="384" t="str">
        <f>'14U GIRLS PLATINUM-10 TEAMS'!G17&amp;""</f>
        <v>A2-DAVIS</v>
      </c>
      <c r="H142" s="384" t="str">
        <f>'14U GIRLS PLATINUM-10 TEAMS'!H17&amp;""</f>
        <v>3.4</v>
      </c>
      <c r="I142" s="384" t="str">
        <f>'14U GIRLS PLATINUM-10 TEAMS'!I17&amp;""</f>
        <v>A bracket A1,A2</v>
      </c>
      <c r="J142" s="384" t="str">
        <f>'14U GIRLS PLATINUM-10 TEAMS'!J17&amp;""</f>
        <v>14U_GIRLS_PLATINUM</v>
      </c>
      <c r="K142" s="384" t="str">
        <f t="shared" si="3"/>
        <v>202601311250</v>
      </c>
    </row>
    <row r="143" spans="1:11">
      <c r="A143" s="370">
        <f>'12U BOYS PLATINUM-10 TEAMS'!A16</f>
        <v>46053</v>
      </c>
      <c r="B143" s="371">
        <f>'12U BOYS PLATINUM-10 TEAMS'!B16</f>
        <v>0.53472222222222199</v>
      </c>
      <c r="C143" s="372" t="str">
        <f>'12U BOYS PLATINUM-10 TEAMS'!C16&amp;""</f>
        <v>BECKMAN HS 1</v>
      </c>
      <c r="D143" s="373" t="str">
        <f>'12U BOYS PLATINUM-10 TEAMS'!D16&amp;""</f>
        <v>12Bpt06</v>
      </c>
      <c r="E143" s="373" t="str">
        <f>'12U BOYS PLATINUM-10 TEAMS'!E16&amp;""</f>
        <v>B2-NORTH IRVINE BLACK</v>
      </c>
      <c r="F143" s="373" t="str">
        <f>'12U BOYS PLATINUM-10 TEAMS'!F16&amp;""</f>
        <v>15</v>
      </c>
      <c r="G143" s="374" t="str">
        <f>'12U BOYS PLATINUM-10 TEAMS'!G16&amp;""</f>
        <v>B3-LA JOLLA UNITED NAVY</v>
      </c>
      <c r="H143" s="373" t="str">
        <f>'12U BOYS PLATINUM-10 TEAMS'!H16&amp;""</f>
        <v>4</v>
      </c>
      <c r="I143" s="373" t="str">
        <f>'12U BOYS PLATINUM-10 TEAMS'!I16&amp;""</f>
        <v>B bracket B2,B3</v>
      </c>
      <c r="J143" s="373" t="str">
        <f>'12U BOYS PLATINUM-10 TEAMS'!J16&amp;""</f>
        <v>12U_BOYS_PLATINUM</v>
      </c>
      <c r="K143" s="373" t="str">
        <f t="shared" si="3"/>
        <v>202601311250</v>
      </c>
    </row>
    <row r="144" spans="1:11">
      <c r="A144" s="394">
        <f>'14U BOYS GOLD-26 TEAMS'!A32</f>
        <v>46053</v>
      </c>
      <c r="B144" s="395">
        <f>'14U BOYS GOLD-26 TEAMS'!B32</f>
        <v>0.53472222222222199</v>
      </c>
      <c r="C144" s="396" t="str">
        <f>'14U BOYS GOLD-26 TEAMS'!C32&amp;""</f>
        <v>COSTA MESA HS 1</v>
      </c>
      <c r="D144" s="396" t="str">
        <f>'14U BOYS GOLD-26 TEAMS'!D32&amp;""</f>
        <v>14Bau10</v>
      </c>
      <c r="E144" s="396" t="str">
        <f>'14U BOYS GOLD-26 TEAMS'!E32&amp;""</f>
        <v>B2(13)-BACK BAY</v>
      </c>
      <c r="F144" s="396" t="str">
        <f>'14U BOYS GOLD-26 TEAMS'!F32&amp;""</f>
        <v>18</v>
      </c>
      <c r="G144" s="396" t="str">
        <f>'14U BOYS GOLD-26 TEAMS'!G32&amp;""</f>
        <v>B3(20)-LA JOLLA UNITED GOLD</v>
      </c>
      <c r="H144" s="396" t="str">
        <f>'14U BOYS GOLD-26 TEAMS'!H32&amp;""</f>
        <v>8</v>
      </c>
      <c r="I144" s="396" t="str">
        <f>'14U BOYS GOLD-26 TEAMS'!I32&amp;""</f>
        <v>B bracket B2,B3</v>
      </c>
      <c r="J144" s="397" t="str">
        <f>'14U BOYS GOLD-26 TEAMS'!J32&amp;""</f>
        <v>14U_BOYS_GOLD</v>
      </c>
      <c r="K144" s="397" t="str">
        <f t="shared" si="3"/>
        <v>202601311250</v>
      </c>
    </row>
    <row r="145" spans="1:11">
      <c r="A145" s="357">
        <f>'12U BOYS GOLD-24 TEAMS'!A33</f>
        <v>46053</v>
      </c>
      <c r="B145" s="358">
        <f>'12U BOYS GOLD-24 TEAMS'!B33</f>
        <v>0.53472222222222199</v>
      </c>
      <c r="C145" s="358" t="str">
        <f>'12U BOYS GOLD-24 TEAMS'!C33&amp;""</f>
        <v>COSTA MESA HS 2</v>
      </c>
      <c r="D145" s="359" t="str">
        <f>'12U BOYS GOLD-24 TEAMS'!D33&amp;""</f>
        <v>12Bau03A</v>
      </c>
      <c r="E145" s="359" t="str">
        <f>'12U BOYS GOLD-24 TEAMS'!E33&amp;""</f>
        <v>F1(3)-CMAC</v>
      </c>
      <c r="F145" s="359" t="str">
        <f>'12U BOYS GOLD-24 TEAMS'!F33&amp;""</f>
        <v>10</v>
      </c>
      <c r="G145" s="359" t="str">
        <f>'12U BOYS GOLD-24 TEAMS'!G33&amp;""</f>
        <v>F3(19)-PATRIOT 10 NAVY</v>
      </c>
      <c r="H145" s="359" t="str">
        <f>'12U BOYS GOLD-24 TEAMS'!H33&amp;""</f>
        <v>5</v>
      </c>
      <c r="I145" s="359" t="str">
        <f>'12U BOYS GOLD-24 TEAMS'!I33&amp;""</f>
        <v>F bracket F1,F3</v>
      </c>
      <c r="J145" s="359" t="str">
        <f>'12U BOYS GOLD-24 TEAMS'!J33&amp;""</f>
        <v>12U_BOYS_GOLD</v>
      </c>
      <c r="K145" s="359" t="str">
        <f t="shared" si="3"/>
        <v>202601311250</v>
      </c>
    </row>
    <row r="146" spans="1:11">
      <c r="A146" s="399">
        <f>'14U BOYS PLATINUM-20 TEAMS'!A27</f>
        <v>46053</v>
      </c>
      <c r="B146" s="400">
        <f>'14U BOYS PLATINUM-20 TEAMS'!B27</f>
        <v>0.53472222222222199</v>
      </c>
      <c r="C146" s="400" t="str">
        <f>'14U BOYS PLATINUM-20 TEAMS'!C27&amp;""</f>
        <v>EL TORO HS 1</v>
      </c>
      <c r="D146" s="401" t="str">
        <f>'14U BOYS PLATINUM-20 TEAMS'!D27&amp;""</f>
        <v>14Bpt02</v>
      </c>
      <c r="E146" s="401" t="str">
        <f>'14U BOYS PLATINUM-20 TEAMS'!E27&amp;""</f>
        <v>10-CC UNITED BLACK</v>
      </c>
      <c r="F146" s="401" t="str">
        <f>'14U BOYS PLATINUM-20 TEAMS'!F27&amp;""</f>
        <v>7</v>
      </c>
      <c r="G146" s="401" t="str">
        <f>'14U BOYS PLATINUM-20 TEAMS'!G27&amp;""</f>
        <v>15-ORANGE COUNTY WPC BLUE</v>
      </c>
      <c r="H146" s="401" t="str">
        <f>'14U BOYS PLATINUM-20 TEAMS'!H27&amp;""</f>
        <v>9</v>
      </c>
      <c r="I146" s="401" t="str">
        <f>'14U BOYS PLATINUM-20 TEAMS'!I27&amp;""</f>
        <v>W/L E</v>
      </c>
      <c r="J146" s="401" t="str">
        <f>'14U BOYS PLATINUM-20 TEAMS'!J27&amp;""</f>
        <v>14U_BOYS_PLATINUM</v>
      </c>
      <c r="K146" s="401" t="str">
        <f t="shared" si="3"/>
        <v>202601311250</v>
      </c>
    </row>
    <row r="147" spans="1:11">
      <c r="A147" s="387">
        <f>'14U BOYS SILVER-18 TEAMS'!A37</f>
        <v>46053</v>
      </c>
      <c r="B147" s="388">
        <f>'14U BOYS SILVER-18 TEAMS'!B37</f>
        <v>0.53472222222222199</v>
      </c>
      <c r="C147" s="388" t="str">
        <f>'14U BOYS SILVER-18 TEAMS'!C37&amp;""</f>
        <v>ESPERANZA HS</v>
      </c>
      <c r="D147" s="389" t="str">
        <f>'14U BOYS SILVER-18 TEAMS'!D37&amp;""</f>
        <v>14Bag12</v>
      </c>
      <c r="E147" s="390" t="str">
        <f>'14U BOYS SILVER-18 TEAMS'!E37&amp;""</f>
        <v>F2-NADO</v>
      </c>
      <c r="F147" s="391" t="str">
        <f>'14U BOYS SILVER-18 TEAMS'!F37&amp;""</f>
        <v>11.3</v>
      </c>
      <c r="G147" s="390" t="str">
        <f>'14U BOYS SILVER-18 TEAMS'!G37&amp;""</f>
        <v>F3-680 WHITE</v>
      </c>
      <c r="H147" s="391" t="str">
        <f>'14U BOYS SILVER-18 TEAMS'!H37&amp;""</f>
        <v>11.4</v>
      </c>
      <c r="I147" s="392" t="str">
        <f>'14U BOYS SILVER-18 TEAMS'!I37&amp;""</f>
        <v>F bracket F2,F3</v>
      </c>
      <c r="J147" s="389" t="str">
        <f>'14U BOYS SILVER-18 TEAMS'!J37&amp;""</f>
        <v>14U_BOYS_SILVER</v>
      </c>
      <c r="K147" s="389" t="str">
        <f t="shared" si="3"/>
        <v>202601311250</v>
      </c>
    </row>
    <row r="148" spans="1:11">
      <c r="A148" s="394">
        <f>'14U BOYS GOLD-26 TEAMS'!A48</f>
        <v>46053</v>
      </c>
      <c r="B148" s="395">
        <f>'14U BOYS GOLD-26 TEAMS'!B48</f>
        <v>0.53472222222222199</v>
      </c>
      <c r="C148" s="396" t="str">
        <f>'14U BOYS GOLD-26 TEAMS'!C48&amp;""</f>
        <v>ESTANCIA HS 2</v>
      </c>
      <c r="D148" s="396" t="str">
        <f>'14U BOYS GOLD-26 TEAMS'!D48&amp;""</f>
        <v>14Bau23</v>
      </c>
      <c r="E148" s="396" t="str">
        <f>'14U BOYS GOLD-26 TEAMS'!E48&amp;""</f>
        <v>E2(15)-MISSION WPC B</v>
      </c>
      <c r="F148" s="396" t="str">
        <f>'14U BOYS GOLD-26 TEAMS'!F48&amp;""</f>
        <v>12</v>
      </c>
      <c r="G148" s="396" t="str">
        <f>'14U BOYS GOLD-26 TEAMS'!G48&amp;""</f>
        <v>E3(18)-CC UNITED BLUE</v>
      </c>
      <c r="H148" s="396" t="str">
        <f>'14U BOYS GOLD-26 TEAMS'!H48&amp;""</f>
        <v>6</v>
      </c>
      <c r="I148" s="396" t="str">
        <f>'14U BOYS GOLD-26 TEAMS'!I48&amp;""</f>
        <v>E bracket E2,E3</v>
      </c>
      <c r="J148" s="397" t="str">
        <f>'14U BOYS GOLD-26 TEAMS'!J48&amp;""</f>
        <v>14U_BOYS_GOLD</v>
      </c>
      <c r="K148" s="397" t="str">
        <f t="shared" si="3"/>
        <v>202601311250</v>
      </c>
    </row>
    <row r="149" spans="1:11">
      <c r="A149" s="378">
        <f>'14U GIRLS GOLD-14 TEAMS'!A19</f>
        <v>46053</v>
      </c>
      <c r="B149" s="379">
        <f>'14U GIRLS GOLD-14 TEAMS'!B19</f>
        <v>0.53472222222222199</v>
      </c>
      <c r="C149" s="379" t="str">
        <f>'14U GIRLS GOLD-14 TEAMS'!C19&amp;""</f>
        <v>LAGUNA HILLS HS</v>
      </c>
      <c r="D149" s="380" t="str">
        <f>'14U GIRLS GOLD-14 TEAMS'!D19&amp;""</f>
        <v>14Gau07</v>
      </c>
      <c r="E149" s="380" t="str">
        <f>'14U GIRLS GOLD-14 TEAMS'!E19&amp;""</f>
        <v>W#3-NORTH IRVINE</v>
      </c>
      <c r="F149" s="380" t="str">
        <f>'14U GIRLS GOLD-14 TEAMS'!F19&amp;""</f>
        <v>13</v>
      </c>
      <c r="G149" s="380" t="str">
        <f>'14U GIRLS GOLD-14 TEAMS'!G19&amp;""</f>
        <v>W#4-SD ECA</v>
      </c>
      <c r="H149" s="380" t="str">
        <f>'14U GIRLS GOLD-14 TEAMS'!H19&amp;""</f>
        <v>11</v>
      </c>
      <c r="I149" s="380" t="str">
        <f>'14U GIRLS GOLD-14 TEAMS'!I19&amp;""</f>
        <v>1st/2ndD</v>
      </c>
      <c r="J149" s="380" t="str">
        <f>'14U GIRLS GOLD-14 TEAMS'!J19&amp;""</f>
        <v>14U_GIRLS_GOLD</v>
      </c>
      <c r="K149" s="380" t="str">
        <f t="shared" si="3"/>
        <v>202601311250</v>
      </c>
    </row>
    <row r="150" spans="1:11">
      <c r="A150" s="387">
        <f>'14U BOYS SILVER-18 TEAMS'!A26</f>
        <v>46053</v>
      </c>
      <c r="B150" s="393">
        <f>'14U BOYS SILVER-18 TEAMS'!B26</f>
        <v>0.53472222222222199</v>
      </c>
      <c r="C150" s="388" t="str">
        <f>'14U BOYS SILVER-18 TEAMS'!C26&amp;""</f>
        <v>SAN CLEMENTE HS</v>
      </c>
      <c r="D150" s="389" t="str">
        <f>'14U BOYS SILVER-18 TEAMS'!D26&amp;""</f>
        <v>14Bag11</v>
      </c>
      <c r="E150" s="388" t="str">
        <f>'14U BOYS SILVER-18 TEAMS'!E26&amp;""</f>
        <v>C2-TRITON GOLD</v>
      </c>
      <c r="F150" s="392" t="str">
        <f>'14U BOYS SILVER-18 TEAMS'!F26&amp;""</f>
        <v>1</v>
      </c>
      <c r="G150" s="388" t="str">
        <f>'14U BOYS SILVER-18 TEAMS'!G26&amp;""</f>
        <v>C3-ORANGE COUNTY WPC RED</v>
      </c>
      <c r="H150" s="391" t="str">
        <f>'14U BOYS SILVER-18 TEAMS'!H26&amp;""</f>
        <v>9</v>
      </c>
      <c r="I150" s="392" t="str">
        <f>'14U BOYS SILVER-18 TEAMS'!I26&amp;""</f>
        <v>C bracket C2,C3</v>
      </c>
      <c r="J150" s="389" t="str">
        <f>'14U BOYS SILVER-18 TEAMS'!J26&amp;""</f>
        <v>14U_BOYS_SILVER</v>
      </c>
      <c r="K150" s="389" t="str">
        <f t="shared" si="3"/>
        <v>202601311250</v>
      </c>
    </row>
    <row r="151" spans="1:11">
      <c r="A151" s="399">
        <f>'14U BOYS PLATINUM-20 TEAMS'!A37</f>
        <v>46053</v>
      </c>
      <c r="B151" s="400">
        <f>'14U BOYS PLATINUM-20 TEAMS'!B37</f>
        <v>0.53472222222222199</v>
      </c>
      <c r="C151" s="400" t="str">
        <f>'14U BOYS PLATINUM-20 TEAMS'!C37&amp;""</f>
        <v>TUSTIN HS 1</v>
      </c>
      <c r="D151" s="401" t="str">
        <f>'14U BOYS PLATINUM-20 TEAMS'!D37&amp;""</f>
        <v>14Bpt16</v>
      </c>
      <c r="E151" s="401" t="str">
        <f>'14U BOYS PLATINUM-20 TEAMS'!E37&amp;""</f>
        <v>B2-PALOS VERDES A</v>
      </c>
      <c r="F151" s="401" t="str">
        <f>'14U BOYS PLATINUM-20 TEAMS'!F37&amp;""</f>
        <v>9</v>
      </c>
      <c r="G151" s="401" t="str">
        <f>'14U BOYS PLATINUM-20 TEAMS'!G37&amp;""</f>
        <v>B3-NORTH IRVINE BLACK</v>
      </c>
      <c r="H151" s="401" t="str">
        <f>'14U BOYS PLATINUM-20 TEAMS'!H37&amp;""</f>
        <v>4</v>
      </c>
      <c r="I151" s="401" t="str">
        <f>'14U BOYS PLATINUM-20 TEAMS'!I37&amp;""</f>
        <v>B bracket</v>
      </c>
      <c r="J151" s="401" t="str">
        <f>'14U BOYS PLATINUM-20 TEAMS'!J37&amp;""</f>
        <v>14U_BOYS_PLATINUM</v>
      </c>
      <c r="K151" s="401" t="str">
        <f t="shared" si="3"/>
        <v>202601311250</v>
      </c>
    </row>
    <row r="152" spans="1:11">
      <c r="A152" s="354">
        <f>'12U BOYS GOLD-24 TEAMS'!A19</f>
        <v>46053</v>
      </c>
      <c r="B152" s="355">
        <f>'12U BOYS GOLD-24 TEAMS'!B19</f>
        <v>0.53472222222222199</v>
      </c>
      <c r="C152" s="355" t="str">
        <f>'12U BOYS GOLD-24 TEAMS'!C19&amp;""</f>
        <v>TUSTIN HS 2</v>
      </c>
      <c r="D152" s="356" t="str">
        <f>'12U BOYS GOLD-24 TEAMS'!D19&amp;""</f>
        <v>12Bau05</v>
      </c>
      <c r="E152" s="354" t="str">
        <f>'12U BOYS GOLD-24 TEAMS'!E19&amp;""</f>
        <v>A1(1)-ORANGE COUNTY WPC BLUE</v>
      </c>
      <c r="F152" s="356" t="str">
        <f>'12U BOYS GOLD-24 TEAMS'!F19&amp;""</f>
        <v>18</v>
      </c>
      <c r="G152" s="361" t="str">
        <f>'12U BOYS GOLD-24 TEAMS'!G19&amp;""</f>
        <v>A3(17)-680 WHITE</v>
      </c>
      <c r="H152" s="356" t="str">
        <f>'12U BOYS GOLD-24 TEAMS'!H19&amp;""</f>
        <v>1</v>
      </c>
      <c r="I152" s="356" t="str">
        <f>'12U BOYS GOLD-24 TEAMS'!I19&amp;""</f>
        <v>A bracket A1,A3</v>
      </c>
      <c r="J152" s="356" t="str">
        <f>'12U BOYS GOLD-24 TEAMS'!J19&amp;""</f>
        <v>12U_BOYS_GOLD</v>
      </c>
      <c r="K152" s="356" t="str">
        <f t="shared" si="3"/>
        <v>202601311250</v>
      </c>
    </row>
    <row r="153" spans="1:11">
      <c r="A153" s="351">
        <f>'12U GIRLS PLATINUM-12 TEAMS'!A16</f>
        <v>46053</v>
      </c>
      <c r="B153" s="352">
        <f>'12U GIRLS PLATINUM-12 TEAMS'!B16</f>
        <v>0.53472222222222199</v>
      </c>
      <c r="C153" s="351" t="str">
        <f>'12U GIRLS PLATINUM-12 TEAMS'!C16&amp;""</f>
        <v>WOOLLETT FAR RIGHT</v>
      </c>
      <c r="D153" s="353" t="str">
        <f>'12U GIRLS PLATINUM-12 TEAMS'!D16&amp;""</f>
        <v>12Gpt06</v>
      </c>
      <c r="E153" s="351" t="str">
        <f>'12U GIRLS PLATINUM-12 TEAMS'!E16&amp;""</f>
        <v>D1-SHAQ</v>
      </c>
      <c r="F153" s="353" t="str">
        <f>'12U GIRLS PLATINUM-12 TEAMS'!F16&amp;""</f>
        <v>11</v>
      </c>
      <c r="G153" s="351" t="str">
        <f>'12U GIRLS PLATINUM-12 TEAMS'!G16&amp;""</f>
        <v>D2-LA JOLLA UNITED</v>
      </c>
      <c r="H153" s="353" t="str">
        <f>'12U GIRLS PLATINUM-12 TEAMS'!H16&amp;""</f>
        <v>2</v>
      </c>
      <c r="I153" s="353" t="str">
        <f>'12U GIRLS PLATINUM-12 TEAMS'!I16&amp;""</f>
        <v>D bracket D1,D2</v>
      </c>
      <c r="J153" s="353" t="str">
        <f>'12U GIRLS PLATINUM-12 TEAMS'!J16&amp;""</f>
        <v>12U_GIRLS_PLATINUM</v>
      </c>
      <c r="K153" s="353" t="str">
        <f t="shared" si="3"/>
        <v>202601311250</v>
      </c>
    </row>
    <row r="154" spans="1:11">
      <c r="A154" s="413">
        <f>'16U BOYS GOLD-19 TEAMS'!A41</f>
        <v>46053</v>
      </c>
      <c r="B154" s="414">
        <f>'16U BOYS GOLD-19 TEAMS'!B41</f>
        <v>0.54166666666666696</v>
      </c>
      <c r="C154" s="414" t="str">
        <f>'16U BOYS GOLD-19 TEAMS'!C41&amp;""</f>
        <v>EDISON HS</v>
      </c>
      <c r="D154" s="415" t="str">
        <f>'16U BOYS GOLD-19 TEAMS'!D41&amp;""</f>
        <v>16Bau16</v>
      </c>
      <c r="E154" s="416" t="str">
        <f>'16U BOYS GOLD-19 TEAMS'!E41&amp;""</f>
        <v>L#12-BIG VALLEY</v>
      </c>
      <c r="F154" s="417" t="str">
        <f>'16U BOYS GOLD-19 TEAMS'!F41&amp;""</f>
        <v>5</v>
      </c>
      <c r="G154" s="416" t="str">
        <f>'16U BOYS GOLD-19 TEAMS'!G41&amp;""</f>
        <v>L#13-VANGUARD SILVER</v>
      </c>
      <c r="H154" s="417" t="str">
        <f>'16U BOYS GOLD-19 TEAMS'!H41&amp;""</f>
        <v>23</v>
      </c>
      <c r="I154" s="418" t="str">
        <f>'16U BOYS GOLD-19 TEAMS'!I41&amp;""</f>
        <v>3rd/4thF</v>
      </c>
      <c r="J154" s="415" t="str">
        <f>'16U BOYS GOLD-19 TEAMS'!J41&amp;""</f>
        <v>16U_BOYS_GOLD</v>
      </c>
      <c r="K154" s="415" t="str">
        <f t="shared" si="3"/>
        <v>202601311300</v>
      </c>
    </row>
    <row r="155" spans="1:11">
      <c r="A155" s="406">
        <f>'16U BOYS SILVER-20 TEAMS'!A28</f>
        <v>46053</v>
      </c>
      <c r="B155" s="407">
        <f>'16U BOYS SILVER-20 TEAMS'!B28</f>
        <v>0.54166666666666696</v>
      </c>
      <c r="C155" s="407" t="str">
        <f>'16U BOYS SILVER-20 TEAMS'!C28&amp;""</f>
        <v>ESTANCIA HS 1</v>
      </c>
      <c r="D155" s="408" t="str">
        <f>'16U BOYS SILVER-20 TEAMS'!D28&amp;""</f>
        <v>16Bag10</v>
      </c>
      <c r="E155" s="408" t="str">
        <f>'16U BOYS SILVER-20 TEAMS'!E28&amp;""</f>
        <v>W#7-HIELAND</v>
      </c>
      <c r="F155" s="408" t="str">
        <f>'16U BOYS SILVER-20 TEAMS'!F28&amp;""</f>
        <v>13</v>
      </c>
      <c r="G155" s="408" t="str">
        <f>'16U BOYS SILVER-20 TEAMS'!G28&amp;""</f>
        <v>W#8-WCAC UNITED</v>
      </c>
      <c r="H155" s="408" t="str">
        <f>'16U BOYS SILVER-20 TEAMS'!H28&amp;""</f>
        <v>4</v>
      </c>
      <c r="I155" s="408" t="str">
        <f>'16U BOYS SILVER-20 TEAMS'!I28&amp;""</f>
        <v>1st/2ndF</v>
      </c>
      <c r="J155" s="408" t="str">
        <f>'16U BOYS SILVER-20 TEAMS'!J28&amp;""</f>
        <v>16U_BOYS_SILVER</v>
      </c>
      <c r="K155" s="408" t="str">
        <f t="shared" si="3"/>
        <v>202601311300</v>
      </c>
    </row>
    <row r="156" spans="1:11">
      <c r="A156" s="406">
        <f>'16U BOYS SILVER-20 TEAMS'!A41</f>
        <v>46053</v>
      </c>
      <c r="B156" s="407">
        <f>'16U BOYS SILVER-20 TEAMS'!B41</f>
        <v>0.54166666666666696</v>
      </c>
      <c r="C156" s="407" t="str">
        <f>'16U BOYS SILVER-20 TEAMS'!C41&amp;""</f>
        <v>FULLERTON COLLEGE</v>
      </c>
      <c r="D156" s="408" t="str">
        <f>'16U BOYS SILVER-20 TEAMS'!D41&amp;""</f>
        <v>16Bag17</v>
      </c>
      <c r="E156" s="408" t="str">
        <f>'16U BOYS SILVER-20 TEAMS'!E41&amp;""</f>
        <v>C2-DAVIS WHITE</v>
      </c>
      <c r="F156" s="408" t="str">
        <f>'16U BOYS SILVER-20 TEAMS'!F41&amp;""</f>
        <v>7</v>
      </c>
      <c r="G156" s="408" t="str">
        <f>'16U BOYS SILVER-20 TEAMS'!G41&amp;""</f>
        <v>C3-LAMORINDA B</v>
      </c>
      <c r="H156" s="408" t="str">
        <f>'16U BOYS SILVER-20 TEAMS'!H41&amp;""</f>
        <v>11</v>
      </c>
      <c r="I156" s="408" t="str">
        <f>'16U BOYS SILVER-20 TEAMS'!I41&amp;""</f>
        <v>C bracket</v>
      </c>
      <c r="J156" s="408" t="str">
        <f>'16U BOYS SILVER-20 TEAMS'!J41&amp;""</f>
        <v>16U_BOYS_SILVER</v>
      </c>
      <c r="K156" s="408" t="str">
        <f t="shared" si="3"/>
        <v>202601311300</v>
      </c>
    </row>
    <row r="157" spans="1:11">
      <c r="A157" s="432">
        <f>'19U BOYS GOLD-16 TEAMS'!A15</f>
        <v>46053</v>
      </c>
      <c r="B157" s="433">
        <f>'19U BOYS GOLD-16 TEAMS'!B15</f>
        <v>0.54166666666666696</v>
      </c>
      <c r="C157" s="433" t="str">
        <f>'19U BOYS GOLD-16 TEAMS'!C15&amp;""</f>
        <v>SAN JUAN HILLS HS</v>
      </c>
      <c r="D157" s="434" t="str">
        <f>'19U BOYS GOLD-16 TEAMS'!D15&amp;""</f>
        <v>19Bau06</v>
      </c>
      <c r="E157" s="434" t="str">
        <f>'19U BOYS GOLD-16 TEAMS'!E15&amp;""</f>
        <v>W#1-CLOVIS BLACK</v>
      </c>
      <c r="F157" s="434" t="str">
        <f>'19U BOYS GOLD-16 TEAMS'!F15&amp;""</f>
        <v>9</v>
      </c>
      <c r="G157" s="434" t="str">
        <f>'19U BOYS GOLD-16 TEAMS'!G15&amp;""</f>
        <v>W#2-HIELAND</v>
      </c>
      <c r="H157" s="434" t="str">
        <f>'19U BOYS GOLD-16 TEAMS'!H15&amp;""</f>
        <v>13</v>
      </c>
      <c r="I157" s="434" t="str">
        <f>'19U BOYS GOLD-16 TEAMS'!I15&amp;""</f>
        <v>1st/2ndA</v>
      </c>
      <c r="J157" s="434" t="str">
        <f>'19U BOYS GOLD-16 TEAMS'!J15&amp;""</f>
        <v>19U_BOYS_GOLD</v>
      </c>
      <c r="K157" s="434" t="str">
        <f t="shared" si="3"/>
        <v>202601311300</v>
      </c>
    </row>
    <row r="158" spans="1:11">
      <c r="A158" s="406">
        <f>'16U BOYS SILVER-20 TEAMS'!A27</f>
        <v>46053</v>
      </c>
      <c r="B158" s="407">
        <f>'16U BOYS SILVER-20 TEAMS'!B27</f>
        <v>0.54166666666666696</v>
      </c>
      <c r="C158" s="407" t="str">
        <f>'16U BOYS SILVER-20 TEAMS'!C27&amp;""</f>
        <v>SONORA HS</v>
      </c>
      <c r="D158" s="408" t="str">
        <f>'16U BOYS SILVER-20 TEAMS'!D27&amp;""</f>
        <v>16Bag09</v>
      </c>
      <c r="E158" s="406" t="str">
        <f>'16U BOYS SILVER-20 TEAMS'!E27&amp;""</f>
        <v>A2-BOA WHITE</v>
      </c>
      <c r="F158" s="408" t="str">
        <f>'16U BOYS SILVER-20 TEAMS'!F27&amp;""</f>
        <v>3</v>
      </c>
      <c r="G158" s="406" t="str">
        <f>'16U BOYS SILVER-20 TEAMS'!G27&amp;""</f>
        <v>A3-TRITON GOLD</v>
      </c>
      <c r="H158" s="408" t="str">
        <f>'16U BOYS SILVER-20 TEAMS'!H27&amp;""</f>
        <v>11</v>
      </c>
      <c r="I158" s="408" t="str">
        <f>'16U BOYS SILVER-20 TEAMS'!I27&amp;""</f>
        <v>A bracket</v>
      </c>
      <c r="J158" s="408" t="str">
        <f>'16U BOYS SILVER-20 TEAMS'!J27&amp;""</f>
        <v>16U_BOYS_SILVER</v>
      </c>
      <c r="K158" s="408" t="str">
        <f t="shared" si="3"/>
        <v>202601311300</v>
      </c>
    </row>
    <row r="159" spans="1:11">
      <c r="A159" s="432">
        <f>'19U BOYS GOLD-16 TEAMS'!A16</f>
        <v>46053</v>
      </c>
      <c r="B159" s="433">
        <f>'19U BOYS GOLD-16 TEAMS'!B16</f>
        <v>0.54166666666666696</v>
      </c>
      <c r="C159" s="433" t="str">
        <f>'19U BOYS GOLD-16 TEAMS'!C16&amp;""</f>
        <v>WESTMINSTER HS</v>
      </c>
      <c r="D159" s="434" t="str">
        <f>'19U BOYS GOLD-16 TEAMS'!D16&amp;""</f>
        <v>19Bau09</v>
      </c>
      <c r="E159" s="434" t="str">
        <f>'19U BOYS GOLD-16 TEAMS'!E16&amp;""</f>
        <v>D1-BIG VALLEY</v>
      </c>
      <c r="F159" s="434" t="str">
        <f>'19U BOYS GOLD-16 TEAMS'!F16&amp;""</f>
        <v>17</v>
      </c>
      <c r="G159" s="434" t="str">
        <f>'19U BOYS GOLD-16 TEAMS'!G16&amp;""</f>
        <v>D4-WCAC UNITED</v>
      </c>
      <c r="H159" s="434" t="str">
        <f>'19U BOYS GOLD-16 TEAMS'!H16&amp;""</f>
        <v>16</v>
      </c>
      <c r="I159" s="434" t="str">
        <f>'19U BOYS GOLD-16 TEAMS'!I16&amp;""</f>
        <v>W/L D1/D4</v>
      </c>
      <c r="J159" s="434" t="str">
        <f>'19U BOYS GOLD-16 TEAMS'!J16&amp;""</f>
        <v>19U_BOYS_GOLD</v>
      </c>
      <c r="K159" s="434" t="str">
        <f t="shared" si="3"/>
        <v>202601311300</v>
      </c>
    </row>
    <row r="160" spans="1:11">
      <c r="A160" s="435">
        <f>'19U BOYS PLATINUM-27 TEAMS'!A34</f>
        <v>46053</v>
      </c>
      <c r="B160" s="436">
        <f>'19U BOYS PLATINUM-27 TEAMS'!B34</f>
        <v>0.54166666666666696</v>
      </c>
      <c r="C160" s="437" t="str">
        <f>'19U BOYS PLATINUM-27 TEAMS'!C34&amp;""</f>
        <v>WOOLLETT NEAR LEFT</v>
      </c>
      <c r="D160" s="437" t="str">
        <f>'19U BOYS PLATINUM-27 TEAMS'!D34&amp;""</f>
        <v>19Bpt05</v>
      </c>
      <c r="E160" s="438" t="str">
        <f>'19U BOYS PLATINUM-27 TEAMS'!E34&amp;""</f>
        <v>L#2-SUPREME</v>
      </c>
      <c r="F160" s="438" t="str">
        <f>'19U BOYS PLATINUM-27 TEAMS'!F34&amp;""</f>
        <v>8</v>
      </c>
      <c r="G160" s="438" t="str">
        <f>'19U BOYS PLATINUM-27 TEAMS'!G34&amp;""</f>
        <v>L#3-SOUTH COAST RED (A)</v>
      </c>
      <c r="H160" s="438" t="str">
        <f>'19U BOYS PLATINUM-27 TEAMS'!H34&amp;""</f>
        <v>12</v>
      </c>
      <c r="I160" s="437" t="str">
        <f>'19U BOYS PLATINUM-27 TEAMS'!I34&amp;""</f>
        <v>3rd/4th D</v>
      </c>
      <c r="J160" s="438" t="str">
        <f>'19U BOYS PLATINUM-27 TEAMS'!J34&amp;""</f>
        <v>19U_BOYS_PLATINUM</v>
      </c>
      <c r="K160" s="438" t="str">
        <f t="shared" si="3"/>
        <v>202601311300</v>
      </c>
    </row>
    <row r="161" spans="1:11">
      <c r="A161" s="435">
        <f>'19U BOYS PLATINUM-27 TEAMS'!A49</f>
        <v>46053</v>
      </c>
      <c r="B161" s="436">
        <f>'19U BOYS PLATINUM-27 TEAMS'!B49</f>
        <v>0.54166666666666696</v>
      </c>
      <c r="C161" s="437" t="str">
        <f>'19U BOYS PLATINUM-27 TEAMS'!C49&amp;""</f>
        <v>WOOLLETT NEAR RIGHT</v>
      </c>
      <c r="D161" s="437" t="str">
        <f>'19U BOYS PLATINUM-27 TEAMS'!D49&amp;""</f>
        <v>19Bpt19</v>
      </c>
      <c r="E161" s="438" t="str">
        <f>'19U BOYS PLATINUM-27 TEAMS'!E49&amp;""</f>
        <v>L#14-CC UNITED BLUE</v>
      </c>
      <c r="F161" s="438" t="str">
        <f>'19U BOYS PLATINUM-27 TEAMS'!F49&amp;""</f>
        <v>6</v>
      </c>
      <c r="G161" s="438" t="str">
        <f>'19U BOYS PLATINUM-27 TEAMS'!G49&amp;""</f>
        <v>L#15-SAN JOSE EXPRESS BLUE</v>
      </c>
      <c r="H161" s="438" t="str">
        <f>'19U BOYS PLATINUM-27 TEAMS'!H49&amp;""</f>
        <v>7</v>
      </c>
      <c r="I161" s="437" t="str">
        <f>'19U BOYS PLATINUM-27 TEAMS'!I49&amp;""</f>
        <v>3rd/4thG</v>
      </c>
      <c r="J161" s="438" t="str">
        <f>'19U BOYS PLATINUM-27 TEAMS'!J49&amp;""</f>
        <v>19U_BOYS_PLATINUM</v>
      </c>
      <c r="K161" s="438" t="str">
        <f t="shared" si="3"/>
        <v>202601311300</v>
      </c>
    </row>
    <row r="162" spans="1:11">
      <c r="A162" s="421">
        <f>'16U BOYS PLATINUM-18 TEAMS'!A34</f>
        <v>46053</v>
      </c>
      <c r="B162" s="422">
        <f>'16U BOYS PLATINUM-18 TEAMS'!B34</f>
        <v>0.54166666666666696</v>
      </c>
      <c r="C162" s="422" t="str">
        <f>'16U BOYS PLATINUM-18 TEAMS'!C34&amp;""</f>
        <v>YORBA LINDA HS</v>
      </c>
      <c r="D162" s="422" t="str">
        <f>'16U BOYS PLATINUM-18 TEAMS'!D34&amp;""</f>
        <v>16Bpt06</v>
      </c>
      <c r="E162" s="423" t="str">
        <f>'16U BOYS PLATINUM-18 TEAMS'!E34&amp;""</f>
        <v>F1-SD SHORES BLACK</v>
      </c>
      <c r="F162" s="422" t="str">
        <f>'16U BOYS PLATINUM-18 TEAMS'!F34&amp;""</f>
        <v>13</v>
      </c>
      <c r="G162" s="426" t="str">
        <f>'16U BOYS PLATINUM-18 TEAMS'!G34&amp;""</f>
        <v>F3-ASPHALT GREEN</v>
      </c>
      <c r="H162" s="422" t="str">
        <f>'16U BOYS PLATINUM-18 TEAMS'!H34&amp;""</f>
        <v>10</v>
      </c>
      <c r="I162" s="425" t="str">
        <f>'16U BOYS PLATINUM-18 TEAMS'!I34&amp;""</f>
        <v>F bracket F1,F3</v>
      </c>
      <c r="J162" s="426" t="str">
        <f>'16U BOYS PLATINUM-18 TEAMS'!J34&amp;""</f>
        <v>16U_BOYS_PLATINUM</v>
      </c>
      <c r="K162" s="426" t="str">
        <f t="shared" si="3"/>
        <v>202601311300</v>
      </c>
    </row>
    <row r="163" spans="1:11">
      <c r="A163" s="346">
        <f>'10U BOYS-8 TEAMS'!A17</f>
        <v>46053</v>
      </c>
      <c r="B163" s="347">
        <f>'10U BOYS-8 TEAMS'!B17</f>
        <v>0.55208333333333304</v>
      </c>
      <c r="C163" s="348" t="str">
        <f>'10U BOYS-8 TEAMS'!C17&amp;""</f>
        <v>BECKMAN HS 2</v>
      </c>
      <c r="D163" s="348" t="str">
        <f>'10U BOYS-8 TEAMS'!D17&amp;""</f>
        <v>10B08</v>
      </c>
      <c r="E163" s="348" t="str">
        <f>'10U BOYS-8 TEAMS'!E17&amp;""</f>
        <v>A2-680 RED</v>
      </c>
      <c r="F163" s="348" t="str">
        <f>'10U BOYS-8 TEAMS'!F17&amp;""</f>
        <v>16</v>
      </c>
      <c r="G163" s="348" t="str">
        <f>'10U BOYS-8 TEAMS'!G17&amp;""</f>
        <v>A3-LA PREMIER</v>
      </c>
      <c r="H163" s="348" t="str">
        <f>'10U BOYS-8 TEAMS'!H17&amp;""</f>
        <v>4</v>
      </c>
      <c r="I163" s="348" t="str">
        <f>'10U BOYS-8 TEAMS'!I17&amp;""</f>
        <v>bracket, A2/A3</v>
      </c>
      <c r="J163" s="348" t="str">
        <f>'10U BOYS-8 TEAMS'!J17&amp;""</f>
        <v>10U_BOYS</v>
      </c>
      <c r="K163" s="348" t="str">
        <f t="shared" si="3"/>
        <v>202601311315</v>
      </c>
    </row>
    <row r="164" spans="1:11">
      <c r="A164" s="337">
        <f>'10U COED GOLD-16 TEAMS CUSTOM'!A19</f>
        <v>46053</v>
      </c>
      <c r="B164" s="338">
        <f>'10U COED GOLD-16 TEAMS CUSTOM'!B19</f>
        <v>0.55208333333333304</v>
      </c>
      <c r="C164" s="338" t="str">
        <f>'10U COED GOLD-16 TEAMS CUSTOM'!C19&amp;""</f>
        <v>EL TORO HS 2</v>
      </c>
      <c r="D164" s="339" t="str">
        <f>'10U COED GOLD-16 TEAMS CUSTOM'!D19&amp;""</f>
        <v>10Cau10</v>
      </c>
      <c r="E164" s="339" t="str">
        <f>'10U COED GOLD-16 TEAMS CUSTOM'!E19&amp;""</f>
        <v>C2-SOUTH BAY UNITED</v>
      </c>
      <c r="F164" s="339" t="str">
        <f>'10U COED GOLD-16 TEAMS CUSTOM'!F19&amp;""</f>
        <v>11</v>
      </c>
      <c r="G164" s="339" t="str">
        <f>'10U COED GOLD-16 TEAMS CUSTOM'!G19&amp;""</f>
        <v>C3-SAN CLEMENTE BLACK</v>
      </c>
      <c r="H164" s="339" t="str">
        <f>'10U COED GOLD-16 TEAMS CUSTOM'!H19&amp;""</f>
        <v>8</v>
      </c>
      <c r="I164" s="339" t="str">
        <f>'10U COED GOLD-16 TEAMS CUSTOM'!I19&amp;""</f>
        <v>C bracket C2,C3</v>
      </c>
      <c r="J164" s="339" t="str">
        <f>'10U COED GOLD-16 TEAMS CUSTOM'!J19&amp;""</f>
        <v>10U_COED_GOLD</v>
      </c>
      <c r="K164" s="339" t="str">
        <f t="shared" si="3"/>
        <v>202601311315</v>
      </c>
    </row>
    <row r="165" spans="1:11">
      <c r="A165" s="341">
        <f>'10U COED PLATINUM-8 TEAMS'!A16</f>
        <v>46053</v>
      </c>
      <c r="B165" s="342">
        <f>'10U COED PLATINUM-8 TEAMS'!B16</f>
        <v>0.55208333333333304</v>
      </c>
      <c r="C165" s="343" t="str">
        <f>'10U COED PLATINUM-8 TEAMS'!C16&amp;""</f>
        <v>WOOLLETT FAR LEFT</v>
      </c>
      <c r="D165" s="343" t="str">
        <f>'10U COED PLATINUM-8 TEAMS'!D16&amp;""</f>
        <v>10Cpt06</v>
      </c>
      <c r="E165" s="343" t="str">
        <f>'10U COED PLATINUM-8 TEAMS'!E16&amp;""</f>
        <v>B2-CHULA VISTA PREMIER</v>
      </c>
      <c r="F165" s="343" t="str">
        <f>'10U COED PLATINUM-8 TEAMS'!F16&amp;""</f>
        <v>18</v>
      </c>
      <c r="G165" s="343" t="str">
        <f>'10U COED PLATINUM-8 TEAMS'!G16&amp;""</f>
        <v>B3-PATRIOT RED</v>
      </c>
      <c r="H165" s="343" t="str">
        <f>'10U COED PLATINUM-8 TEAMS'!H16&amp;""</f>
        <v>8</v>
      </c>
      <c r="I165" s="343" t="str">
        <f>'10U COED PLATINUM-8 TEAMS'!I16&amp;""</f>
        <v>bracket, B2/B3</v>
      </c>
      <c r="J165" s="343" t="str">
        <f>'10U COED PLATINUM-8 TEAMS'!J16&amp;""</f>
        <v>10U_COED_PLATINUM</v>
      </c>
      <c r="K165" s="343" t="str">
        <f t="shared" si="3"/>
        <v>202601311315</v>
      </c>
    </row>
    <row r="166" spans="1:11">
      <c r="A166" s="428">
        <f>'19U BOYS SILVER-6 TEAMS CUST'!A11</f>
        <v>46053</v>
      </c>
      <c r="B166" s="429">
        <f>'19U BOYS SILVER-6 TEAMS CUST'!B11</f>
        <v>0.5625</v>
      </c>
      <c r="C166" s="429" t="str">
        <f>'19U BOYS SILVER-6 TEAMS CUST'!C11&amp;""</f>
        <v>SADDLEBACK COLLEGE</v>
      </c>
      <c r="D166" s="430" t="str">
        <f>'19U BOYS SILVER-6 TEAMS CUST'!D11&amp;""</f>
        <v>19Bag02</v>
      </c>
      <c r="E166" s="431" t="str">
        <f>'19U BOYS SILVER-6 TEAMS CUST'!E11&amp;""</f>
        <v>B1-CHARGERS WHITE</v>
      </c>
      <c r="F166" s="430" t="str">
        <f>'19U BOYS SILVER-6 TEAMS CUST'!F11&amp;""</f>
        <v>9</v>
      </c>
      <c r="G166" s="430" t="str">
        <f>'19U BOYS SILVER-6 TEAMS CUST'!G11&amp;""</f>
        <v>B3-OHANA</v>
      </c>
      <c r="H166" s="430" t="str">
        <f>'19U BOYS SILVER-6 TEAMS CUST'!H11&amp;""</f>
        <v>6</v>
      </c>
      <c r="I166" s="430" t="str">
        <f>'19U BOYS SILVER-6 TEAMS CUST'!I11&amp;""</f>
        <v>B bracket B1,B3</v>
      </c>
      <c r="J166" s="430" t="str">
        <f>'19U BOYS SILVER-6 TEAMS CUST'!J11&amp;""</f>
        <v>19U_BOYS_SILVER</v>
      </c>
      <c r="K166" s="430" t="str">
        <f t="shared" si="3"/>
        <v>202601311330</v>
      </c>
    </row>
    <row r="167" spans="1:11">
      <c r="A167" s="382">
        <f>'14U GIRLS PLATINUM-10 TEAMS'!A18</f>
        <v>46053</v>
      </c>
      <c r="B167" s="383">
        <f>'14U GIRLS PLATINUM-10 TEAMS'!B18</f>
        <v>0.56944444444444497</v>
      </c>
      <c r="C167" s="383" t="str">
        <f>'14U GIRLS PLATINUM-10 TEAMS'!C18&amp;""</f>
        <v>ALISO NIGUEL HS</v>
      </c>
      <c r="D167" s="384" t="str">
        <f>'14U GIRLS PLATINUM-10 TEAMS'!D18&amp;""</f>
        <v>14Gpt09</v>
      </c>
      <c r="E167" s="384" t="str">
        <f>'14U GIRLS PLATINUM-10 TEAMS'!E18&amp;""</f>
        <v>B1-CC UNITED BLACK</v>
      </c>
      <c r="F167" s="384" t="str">
        <f>'14U GIRLS PLATINUM-10 TEAMS'!F18&amp;""</f>
        <v>4</v>
      </c>
      <c r="G167" s="384" t="str">
        <f>'14U GIRLS PLATINUM-10 TEAMS'!G18&amp;""</f>
        <v>B2-NEWPORT BEACH</v>
      </c>
      <c r="H167" s="384" t="str">
        <f>'14U GIRLS PLATINUM-10 TEAMS'!H18&amp;""</f>
        <v>1</v>
      </c>
      <c r="I167" s="384" t="str">
        <f>'14U GIRLS PLATINUM-10 TEAMS'!I18&amp;""</f>
        <v>B bracket B1,B2</v>
      </c>
      <c r="J167" s="384" t="str">
        <f>'14U GIRLS PLATINUM-10 TEAMS'!J18&amp;""</f>
        <v>14U_GIRLS_PLATINUM</v>
      </c>
      <c r="K167" s="384" t="str">
        <f t="shared" si="3"/>
        <v>202601311340</v>
      </c>
    </row>
    <row r="168" spans="1:11">
      <c r="A168" s="375">
        <f>'12U COED-7 TEAMS'!A16</f>
        <v>46053</v>
      </c>
      <c r="B168" s="376">
        <f>'12U COED-7 TEAMS'!B16</f>
        <v>0.56944444444444497</v>
      </c>
      <c r="C168" s="377" t="str">
        <f>'12U COED-7 TEAMS'!C16&amp;""</f>
        <v>BECKMAN HS 1</v>
      </c>
      <c r="D168" s="377" t="str">
        <f>'12U COED-7 TEAMS'!D16&amp;""</f>
        <v>12C05</v>
      </c>
      <c r="E168" s="377" t="str">
        <f>'12U COED-7 TEAMS'!E16&amp;""</f>
        <v>B1-POWAY VALLEY</v>
      </c>
      <c r="F168" s="377" t="str">
        <f>'12U COED-7 TEAMS'!F16&amp;""</f>
        <v>0</v>
      </c>
      <c r="G168" s="377" t="str">
        <f>'12U COED-7 TEAMS'!G16&amp;""</f>
        <v>B3-YOLO BLACK</v>
      </c>
      <c r="H168" s="377" t="str">
        <f>'12U COED-7 TEAMS'!H16&amp;""</f>
        <v>13</v>
      </c>
      <c r="I168" s="377" t="str">
        <f>'12U COED-7 TEAMS'!I16&amp;""</f>
        <v>B bracket B1,B3</v>
      </c>
      <c r="J168" s="377" t="str">
        <f>'12U COED-7 TEAMS'!J16&amp;""</f>
        <v>12U_COED</v>
      </c>
      <c r="K168" s="377" t="str">
        <f t="shared" si="3"/>
        <v>202601311340</v>
      </c>
    </row>
    <row r="169" spans="1:11">
      <c r="A169" s="394">
        <f>'14U BOYS GOLD-26 TEAMS'!A33</f>
        <v>46053</v>
      </c>
      <c r="B169" s="395">
        <f>'14U BOYS GOLD-26 TEAMS'!B33</f>
        <v>0.56944444444444497</v>
      </c>
      <c r="C169" s="396" t="str">
        <f>'14U BOYS GOLD-26 TEAMS'!C33&amp;""</f>
        <v>COSTA MESA HS 1</v>
      </c>
      <c r="D169" s="396" t="str">
        <f>'14U BOYS GOLD-26 TEAMS'!D33&amp;""</f>
        <v>14Bau11</v>
      </c>
      <c r="E169" s="397" t="str">
        <f>'14U BOYS GOLD-26 TEAMS'!E33&amp;""</f>
        <v>C1(5)-LAWPC</v>
      </c>
      <c r="F169" s="397" t="str">
        <f>'14U BOYS GOLD-26 TEAMS'!F33&amp;""</f>
        <v>10</v>
      </c>
      <c r="G169" s="397" t="str">
        <f>'14U BOYS GOLD-26 TEAMS'!G33&amp;""</f>
        <v>C2(12)-NORTHWEST</v>
      </c>
      <c r="H169" s="397" t="str">
        <f>'14U BOYS GOLD-26 TEAMS'!H33&amp;""</f>
        <v>11</v>
      </c>
      <c r="I169" s="396" t="str">
        <f>'14U BOYS GOLD-26 TEAMS'!I33&amp;""</f>
        <v>C bracket C1,C2</v>
      </c>
      <c r="J169" s="397" t="str">
        <f>'14U BOYS GOLD-26 TEAMS'!J33&amp;""</f>
        <v>14U_BOYS_GOLD</v>
      </c>
      <c r="K169" s="397" t="str">
        <f t="shared" si="3"/>
        <v>202601311340</v>
      </c>
    </row>
    <row r="170" spans="1:11">
      <c r="A170" s="357">
        <f>'12U BOYS GOLD-24 TEAMS'!A34</f>
        <v>46053</v>
      </c>
      <c r="B170" s="358">
        <f>'12U BOYS GOLD-24 TEAMS'!B34</f>
        <v>0.56944444444444497</v>
      </c>
      <c r="C170" s="358" t="str">
        <f>'12U BOYS GOLD-24 TEAMS'!C34&amp;""</f>
        <v>COSTA MESA HS 2</v>
      </c>
      <c r="D170" s="359" t="str">
        <f>'12U BOYS GOLD-24 TEAMS'!D34&amp;""</f>
        <v>12Bau05A</v>
      </c>
      <c r="E170" s="357" t="str">
        <f>'12U BOYS GOLD-24 TEAMS'!E34&amp;""</f>
        <v>E2(15)-LA JOLLA UNITED GOLD</v>
      </c>
      <c r="F170" s="359" t="str">
        <f>'12U BOYS GOLD-24 TEAMS'!F34&amp;""</f>
        <v>8</v>
      </c>
      <c r="G170" s="357" t="str">
        <f>'12U BOYS GOLD-24 TEAMS'!G34&amp;""</f>
        <v>E3(18)-CC UNITED WHITE</v>
      </c>
      <c r="H170" s="359" t="str">
        <f>'12U BOYS GOLD-24 TEAMS'!H34&amp;""</f>
        <v>5</v>
      </c>
      <c r="I170" s="359" t="str">
        <f>'12U BOYS GOLD-24 TEAMS'!I34&amp;""</f>
        <v>E bracket E2,E3</v>
      </c>
      <c r="J170" s="359" t="str">
        <f>'12U BOYS GOLD-24 TEAMS'!J34&amp;""</f>
        <v>12U_BOYS_GOLD</v>
      </c>
      <c r="K170" s="359" t="str">
        <f t="shared" si="3"/>
        <v>202601311340</v>
      </c>
    </row>
    <row r="171" spans="1:11">
      <c r="A171" s="399">
        <f>'14U BOYS PLATINUM-20 TEAMS'!A28</f>
        <v>46053</v>
      </c>
      <c r="B171" s="400">
        <f>'14U BOYS PLATINUM-20 TEAMS'!B28</f>
        <v>0.56944444444444497</v>
      </c>
      <c r="C171" s="400" t="str">
        <f>'14U BOYS PLATINUM-20 TEAMS'!C28&amp;""</f>
        <v>EL TORO HS 1</v>
      </c>
      <c r="D171" s="401" t="str">
        <f>'14U BOYS PLATINUM-20 TEAMS'!D28&amp;""</f>
        <v>14Bpt10</v>
      </c>
      <c r="E171" s="401" t="str">
        <f>'14U BOYS PLATINUM-20 TEAMS'!E28&amp;""</f>
        <v>W#7-PATRIOT NAVY</v>
      </c>
      <c r="F171" s="401" t="str">
        <f>'14U BOYS PLATINUM-20 TEAMS'!F28&amp;""</f>
        <v>8</v>
      </c>
      <c r="G171" s="401" t="str">
        <f>'14U BOYS PLATINUM-20 TEAMS'!G28&amp;""</f>
        <v>W#8-LA PREMIER</v>
      </c>
      <c r="H171" s="401" t="str">
        <f>'14U BOYS PLATINUM-20 TEAMS'!H28&amp;""</f>
        <v>7</v>
      </c>
      <c r="I171" s="401" t="str">
        <f>'14U BOYS PLATINUM-20 TEAMS'!I28&amp;""</f>
        <v>1st/2ndF</v>
      </c>
      <c r="J171" s="401" t="str">
        <f>'14U BOYS PLATINUM-20 TEAMS'!J28&amp;""</f>
        <v>14U_BOYS_PLATINUM</v>
      </c>
      <c r="K171" s="401" t="str">
        <f t="shared" si="3"/>
        <v>202601311340</v>
      </c>
    </row>
    <row r="172" spans="1:11">
      <c r="A172" s="387">
        <f>'14U BOYS SILVER-18 TEAMS'!A38</f>
        <v>46053</v>
      </c>
      <c r="B172" s="388">
        <f>'14U BOYS SILVER-18 TEAMS'!B38</f>
        <v>0.56944444444444497</v>
      </c>
      <c r="C172" s="388" t="str">
        <f>'14U BOYS SILVER-18 TEAMS'!C38&amp;""</f>
        <v>ESPERANZA HS</v>
      </c>
      <c r="D172" s="389" t="str">
        <f>'14U BOYS SILVER-18 TEAMS'!D38&amp;""</f>
        <v>14Bag14</v>
      </c>
      <c r="E172" s="390" t="str">
        <f>'14U BOYS SILVER-18 TEAMS'!E38&amp;""</f>
        <v>D1-SAND CANYON</v>
      </c>
      <c r="F172" s="391" t="str">
        <f>'14U BOYS SILVER-18 TEAMS'!F38&amp;""</f>
        <v>17</v>
      </c>
      <c r="G172" s="390" t="str">
        <f>'14U BOYS SILVER-18 TEAMS'!G38&amp;""</f>
        <v>D2-AMERICAN RIVER GOLD</v>
      </c>
      <c r="H172" s="391" t="str">
        <f>'14U BOYS SILVER-18 TEAMS'!H38&amp;""</f>
        <v>6</v>
      </c>
      <c r="I172" s="392" t="str">
        <f>'14U BOYS SILVER-18 TEAMS'!I38&amp;""</f>
        <v>D bracket D1,D2</v>
      </c>
      <c r="J172" s="389" t="str">
        <f>'14U BOYS SILVER-18 TEAMS'!J38&amp;""</f>
        <v>14U_BOYS_SILVER</v>
      </c>
      <c r="K172" s="389" t="str">
        <f t="shared" si="3"/>
        <v>202601311340</v>
      </c>
    </row>
    <row r="173" spans="1:11">
      <c r="A173" s="394">
        <f>'14U BOYS GOLD-26 TEAMS'!A49</f>
        <v>46053</v>
      </c>
      <c r="B173" s="395">
        <f>'14U BOYS GOLD-26 TEAMS'!B49</f>
        <v>0.56944444444444497</v>
      </c>
      <c r="C173" s="396" t="str">
        <f>'14U BOYS GOLD-26 TEAMS'!C49&amp;""</f>
        <v>ESTANCIA HS 2</v>
      </c>
      <c r="D173" s="396" t="str">
        <f>'14U BOYS GOLD-26 TEAMS'!D49&amp;""</f>
        <v>14Bau24</v>
      </c>
      <c r="E173" s="397" t="str">
        <f>'14U BOYS GOLD-26 TEAMS'!E49&amp;""</f>
        <v>F1(3)-CT PREMIER</v>
      </c>
      <c r="F173" s="397" t="str">
        <f>'14U BOYS GOLD-26 TEAMS'!F49&amp;""</f>
        <v>19</v>
      </c>
      <c r="G173" s="397" t="str">
        <f>'14U BOYS GOLD-26 TEAMS'!G49&amp;""</f>
        <v>F2(14)-BOA</v>
      </c>
      <c r="H173" s="397" t="str">
        <f>'14U BOYS GOLD-26 TEAMS'!H49&amp;""</f>
        <v>8</v>
      </c>
      <c r="I173" s="396" t="str">
        <f>'14U BOYS GOLD-26 TEAMS'!I49&amp;""</f>
        <v>F bracket F1,F2</v>
      </c>
      <c r="J173" s="397" t="str">
        <f>'14U BOYS GOLD-26 TEAMS'!J49&amp;""</f>
        <v>14U_BOYS_GOLD</v>
      </c>
      <c r="K173" s="397" t="str">
        <f t="shared" si="3"/>
        <v>202601311340</v>
      </c>
    </row>
    <row r="174" spans="1:11">
      <c r="A174" s="378">
        <f>'14U GIRLS GOLD-14 TEAMS'!A21</f>
        <v>46053</v>
      </c>
      <c r="B174" s="379">
        <f>'14U GIRLS GOLD-14 TEAMS'!B21</f>
        <v>0.56944444444444497</v>
      </c>
      <c r="C174" s="379" t="str">
        <f>'14U GIRLS GOLD-14 TEAMS'!C21&amp;""</f>
        <v>LAGUNA HILLS HS</v>
      </c>
      <c r="D174" s="380" t="str">
        <f>'14U GIRLS GOLD-14 TEAMS'!D21&amp;""</f>
        <v>14Gau13</v>
      </c>
      <c r="E174" s="380" t="str">
        <f>'14U GIRLS GOLD-14 TEAMS'!E21&amp;""</f>
        <v>B1-HONOLULU</v>
      </c>
      <c r="F174" s="380" t="str">
        <f>'14U GIRLS GOLD-14 TEAMS'!F21&amp;""</f>
        <v>5</v>
      </c>
      <c r="G174" s="380" t="str">
        <f>'14U GIRLS GOLD-14 TEAMS'!G21&amp;""</f>
        <v>B3-BACK BAY</v>
      </c>
      <c r="H174" s="380" t="str">
        <f>'14U GIRLS GOLD-14 TEAMS'!H21&amp;""</f>
        <v>8</v>
      </c>
      <c r="I174" s="380" t="str">
        <f>'14U GIRLS GOLD-14 TEAMS'!I21&amp;""</f>
        <v>B bracket B1,B3</v>
      </c>
      <c r="J174" s="380" t="str">
        <f>'14U GIRLS GOLD-14 TEAMS'!J21&amp;""</f>
        <v>14U_GIRLS_GOLD</v>
      </c>
      <c r="K174" s="380" t="str">
        <f t="shared" si="3"/>
        <v>202601311340</v>
      </c>
    </row>
    <row r="175" spans="1:11">
      <c r="A175" s="378">
        <f>'14U GIRLS GOLD-14 TEAMS'!A20</f>
        <v>46053</v>
      </c>
      <c r="B175" s="379">
        <f>'14U GIRLS GOLD-14 TEAMS'!B20</f>
        <v>0.56944444444444497</v>
      </c>
      <c r="C175" s="379" t="str">
        <f>'14U GIRLS GOLD-14 TEAMS'!C20&amp;""</f>
        <v>SAN CLEMENTE HS</v>
      </c>
      <c r="D175" s="380" t="str">
        <f>'14U GIRLS GOLD-14 TEAMS'!D20&amp;""</f>
        <v>14Gau14</v>
      </c>
      <c r="E175" s="380" t="str">
        <f>'14U GIRLS GOLD-14 TEAMS'!E20&amp;""</f>
        <v>A1-LA JOLLA UNITED</v>
      </c>
      <c r="F175" s="380" t="str">
        <f>'14U GIRLS GOLD-14 TEAMS'!F20&amp;""</f>
        <v>11</v>
      </c>
      <c r="G175" s="380" t="str">
        <f>'14U GIRLS GOLD-14 TEAMS'!G20&amp;""</f>
        <v>A3-PASADENA AC</v>
      </c>
      <c r="H175" s="380" t="str">
        <f>'14U GIRLS GOLD-14 TEAMS'!H20&amp;""</f>
        <v>14</v>
      </c>
      <c r="I175" s="380" t="str">
        <f>'14U GIRLS GOLD-14 TEAMS'!I20&amp;""</f>
        <v>A bracket A1,A3</v>
      </c>
      <c r="J175" s="380" t="str">
        <f>'14U GIRLS GOLD-14 TEAMS'!J20&amp;""</f>
        <v>14U_GIRLS_GOLD</v>
      </c>
      <c r="K175" s="380" t="str">
        <f t="shared" si="3"/>
        <v>202601311340</v>
      </c>
    </row>
    <row r="176" spans="1:11">
      <c r="A176" s="399">
        <f>'14U BOYS PLATINUM-20 TEAMS'!A38</f>
        <v>46053</v>
      </c>
      <c r="B176" s="400">
        <f>'14U BOYS PLATINUM-20 TEAMS'!B38</f>
        <v>0.56944444444444497</v>
      </c>
      <c r="C176" s="400" t="str">
        <f>'14U BOYS PLATINUM-20 TEAMS'!C38&amp;""</f>
        <v>TUSTIN HS 1</v>
      </c>
      <c r="D176" s="401" t="str">
        <f>'14U BOYS PLATINUM-20 TEAMS'!D38&amp;""</f>
        <v>14Bpt17</v>
      </c>
      <c r="E176" s="401" t="str">
        <f>'14U BOYS PLATINUM-20 TEAMS'!E38&amp;""</f>
        <v>C2-LAMORINDA A</v>
      </c>
      <c r="F176" s="401" t="str">
        <f>'14U BOYS PLATINUM-20 TEAMS'!F38&amp;""</f>
        <v>8.2</v>
      </c>
      <c r="G176" s="401" t="str">
        <f>'14U BOYS PLATINUM-20 TEAMS'!G38&amp;""</f>
        <v>C3-SOUTH COAST RED (A)</v>
      </c>
      <c r="H176" s="401" t="str">
        <f>'14U BOYS PLATINUM-20 TEAMS'!H38&amp;""</f>
        <v>8.4</v>
      </c>
      <c r="I176" s="401" t="str">
        <f>'14U BOYS PLATINUM-20 TEAMS'!I38&amp;""</f>
        <v>C bracket</v>
      </c>
      <c r="J176" s="401" t="str">
        <f>'14U BOYS PLATINUM-20 TEAMS'!J38&amp;""</f>
        <v>14U_BOYS_PLATINUM</v>
      </c>
      <c r="K176" s="401" t="str">
        <f t="shared" si="3"/>
        <v>202601311340</v>
      </c>
    </row>
    <row r="177" spans="1:11">
      <c r="A177" s="354">
        <f>'12U BOYS GOLD-24 TEAMS'!A20</f>
        <v>46053</v>
      </c>
      <c r="B177" s="355">
        <f>'12U BOYS GOLD-24 TEAMS'!B20</f>
        <v>0.56944444444444497</v>
      </c>
      <c r="C177" s="355" t="str">
        <f>'12U BOYS GOLD-24 TEAMS'!C20&amp;""</f>
        <v>TUSTIN HS 2</v>
      </c>
      <c r="D177" s="356" t="str">
        <f>'12U BOYS GOLD-24 TEAMS'!D20&amp;""</f>
        <v>12Bau06</v>
      </c>
      <c r="E177" s="356" t="str">
        <f>'12U BOYS GOLD-24 TEAMS'!E20&amp;""</f>
        <v>C2(12)-CC UNITED BLUE</v>
      </c>
      <c r="F177" s="356" t="str">
        <f>'12U BOYS GOLD-24 TEAMS'!F20&amp;""</f>
        <v>5</v>
      </c>
      <c r="G177" s="356" t="str">
        <f>'12U BOYS GOLD-24 TEAMS'!G20&amp;""</f>
        <v>C3(21)-MISSION WPC B</v>
      </c>
      <c r="H177" s="356" t="str">
        <f>'12U BOYS GOLD-24 TEAMS'!H20&amp;""</f>
        <v>8</v>
      </c>
      <c r="I177" s="356" t="str">
        <f>'12U BOYS GOLD-24 TEAMS'!I20&amp;""</f>
        <v>C bracket C2,C3</v>
      </c>
      <c r="J177" s="356" t="str">
        <f>'12U BOYS GOLD-24 TEAMS'!J20&amp;""</f>
        <v>12U_BOYS_GOLD</v>
      </c>
      <c r="K177" s="356" t="str">
        <f t="shared" ref="K177:K240" si="4">TEXT(DATE(2026, MONTH(A177), DAY(A177)) + TIME(HOUR(B177), MINUTE(B177), 0), "yyyymmddhhmm")</f>
        <v>202601311340</v>
      </c>
    </row>
    <row r="178" spans="1:11">
      <c r="A178" s="357">
        <f>'12U BOYS GOLD-24 TEAMS'!A35</f>
        <v>46053</v>
      </c>
      <c r="B178" s="358">
        <f>'12U BOYS GOLD-24 TEAMS'!B35</f>
        <v>0.56944444444444497</v>
      </c>
      <c r="C178" s="358" t="str">
        <f>'12U BOYS GOLD-24 TEAMS'!C35&amp;""</f>
        <v>WOOLLETT FAR RIGHT</v>
      </c>
      <c r="D178" s="359" t="str">
        <f>'12U BOYS GOLD-24 TEAMS'!D35&amp;""</f>
        <v>12Bau12A</v>
      </c>
      <c r="E178" s="359" t="str">
        <f>'12U BOYS GOLD-24 TEAMS'!E35&amp;""</f>
        <v>G2(11)-SOUTH COAST RED</v>
      </c>
      <c r="F178" s="359" t="str">
        <f>'12U BOYS GOLD-24 TEAMS'!F35&amp;""</f>
        <v>15</v>
      </c>
      <c r="G178" s="359" t="str">
        <f>'12U BOYS GOLD-24 TEAMS'!G35&amp;""</f>
        <v>G3(22)-NORTH IRVINE WHITE</v>
      </c>
      <c r="H178" s="359" t="str">
        <f>'12U BOYS GOLD-24 TEAMS'!H35&amp;""</f>
        <v>0</v>
      </c>
      <c r="I178" s="359" t="str">
        <f>'12U BOYS GOLD-24 TEAMS'!I35&amp;""</f>
        <v>G bracket G2,G3</v>
      </c>
      <c r="J178" s="359" t="str">
        <f>'12U BOYS GOLD-24 TEAMS'!J35&amp;""</f>
        <v>12U_BOYS_GOLD</v>
      </c>
      <c r="K178" s="359" t="str">
        <f t="shared" si="4"/>
        <v>202601311340</v>
      </c>
    </row>
    <row r="179" spans="1:11">
      <c r="A179" s="337">
        <f>'10U COED GOLD-16 TEAMS CUSTOM'!A20</f>
        <v>46053</v>
      </c>
      <c r="B179" s="338">
        <f>'10U COED GOLD-16 TEAMS CUSTOM'!B20</f>
        <v>0.58333333333333304</v>
      </c>
      <c r="C179" s="338" t="str">
        <f>'10U COED GOLD-16 TEAMS CUSTOM'!C20&amp;""</f>
        <v>BECKMAN HS 2</v>
      </c>
      <c r="D179" s="339" t="str">
        <f>'10U COED GOLD-16 TEAMS CUSTOM'!D20&amp;""</f>
        <v>10Cau13</v>
      </c>
      <c r="E179" s="339" t="str">
        <f>'10U COED GOLD-16 TEAMS CUSTOM'!E20&amp;""</f>
        <v>D1-TROJAN</v>
      </c>
      <c r="F179" s="339" t="str">
        <f>'10U COED GOLD-16 TEAMS CUSTOM'!F20&amp;""</f>
        <v>1</v>
      </c>
      <c r="G179" s="339" t="str">
        <f>'10U COED GOLD-16 TEAMS CUSTOM'!G20&amp;""</f>
        <v>D2-PATRIOT WHITE</v>
      </c>
      <c r="H179" s="339" t="str">
        <f>'10U COED GOLD-16 TEAMS CUSTOM'!H20&amp;""</f>
        <v>2</v>
      </c>
      <c r="I179" s="339" t="str">
        <f>'10U COED GOLD-16 TEAMS CUSTOM'!I20&amp;""</f>
        <v>D bracket D1,D2</v>
      </c>
      <c r="J179" s="339" t="str">
        <f>'10U COED GOLD-16 TEAMS CUSTOM'!J20&amp;""</f>
        <v>10U_COED_GOLD</v>
      </c>
      <c r="K179" s="339" t="str">
        <f t="shared" si="4"/>
        <v>202601311400</v>
      </c>
    </row>
    <row r="180" spans="1:11">
      <c r="A180" s="413">
        <f>'16U BOYS GOLD-19 TEAMS'!A42</f>
        <v>46053</v>
      </c>
      <c r="B180" s="414">
        <f>'16U BOYS GOLD-19 TEAMS'!B42</f>
        <v>0.58333333333333304</v>
      </c>
      <c r="C180" s="414" t="str">
        <f>'16U BOYS GOLD-19 TEAMS'!C42&amp;""</f>
        <v>EDISON HS</v>
      </c>
      <c r="D180" s="415" t="str">
        <f>'16U BOYS GOLD-19 TEAMS'!D42&amp;""</f>
        <v>16Bau17</v>
      </c>
      <c r="E180" s="414" t="str">
        <f>'16U BOYS GOLD-19 TEAMS'!E42&amp;""</f>
        <v>W#12-680 BLUE</v>
      </c>
      <c r="F180" s="418" t="str">
        <f>'16U BOYS GOLD-19 TEAMS'!F42&amp;""</f>
        <v>10</v>
      </c>
      <c r="G180" s="414" t="str">
        <f>'16U BOYS GOLD-19 TEAMS'!G42&amp;""</f>
        <v>W#13-LA JOLLA UNITED GOLD</v>
      </c>
      <c r="H180" s="417" t="str">
        <f>'16U BOYS GOLD-19 TEAMS'!H42&amp;""</f>
        <v>11</v>
      </c>
      <c r="I180" s="418" t="str">
        <f>'16U BOYS GOLD-19 TEAMS'!I42&amp;""</f>
        <v>1st/2ndF</v>
      </c>
      <c r="J180" s="415" t="str">
        <f>'16U BOYS GOLD-19 TEAMS'!J42&amp;""</f>
        <v>16U_BOYS_GOLD</v>
      </c>
      <c r="K180" s="415" t="str">
        <f t="shared" si="4"/>
        <v>202601311400</v>
      </c>
    </row>
    <row r="181" spans="1:11">
      <c r="A181" s="406">
        <f>'16U BOYS SILVER-20 TEAMS'!A29</f>
        <v>46053</v>
      </c>
      <c r="B181" s="407">
        <f>'16U BOYS SILVER-20 TEAMS'!B29</f>
        <v>0.58333333333333304</v>
      </c>
      <c r="C181" s="407" t="str">
        <f>'16U BOYS SILVER-20 TEAMS'!C29&amp;""</f>
        <v>ESTANCIA HS 1</v>
      </c>
      <c r="D181" s="408" t="str">
        <f>'16U BOYS SILVER-20 TEAMS'!D29&amp;""</f>
        <v>16Bag11</v>
      </c>
      <c r="E181" s="408" t="str">
        <f>'16U BOYS SILVER-20 TEAMS'!E29&amp;""</f>
        <v>L#7-SAN JOSE EXPRESS GOLD</v>
      </c>
      <c r="F181" s="408" t="str">
        <f>'16U BOYS SILVER-20 TEAMS'!F29&amp;""</f>
        <v>12</v>
      </c>
      <c r="G181" s="408" t="str">
        <f>'16U BOYS SILVER-20 TEAMS'!G29&amp;""</f>
        <v>L#8-SAN CLEMENTE BLACK</v>
      </c>
      <c r="H181" s="408" t="str">
        <f>'16U BOYS SILVER-20 TEAMS'!H29&amp;""</f>
        <v>7</v>
      </c>
      <c r="I181" s="408" t="str">
        <f>'16U BOYS SILVER-20 TEAMS'!I29&amp;""</f>
        <v>3rd/4thF</v>
      </c>
      <c r="J181" s="408" t="str">
        <f>'16U BOYS SILVER-20 TEAMS'!J29&amp;""</f>
        <v>16U_BOYS_SILVER</v>
      </c>
      <c r="K181" s="408" t="str">
        <f t="shared" si="4"/>
        <v>202601311400</v>
      </c>
    </row>
    <row r="182" spans="1:11">
      <c r="A182" s="406">
        <f>'16U BOYS SILVER-20 TEAMS'!A42</f>
        <v>46053</v>
      </c>
      <c r="B182" s="407">
        <f>'16U BOYS SILVER-20 TEAMS'!B42</f>
        <v>0.58333333333333304</v>
      </c>
      <c r="C182" s="407" t="str">
        <f>'16U BOYS SILVER-20 TEAMS'!C42&amp;""</f>
        <v>FULLERTON COLLEGE</v>
      </c>
      <c r="D182" s="408" t="str">
        <f>'16U BOYS SILVER-20 TEAMS'!D42&amp;""</f>
        <v>16Bag18</v>
      </c>
      <c r="E182" s="408" t="str">
        <f>'16U BOYS SILVER-20 TEAMS'!E42&amp;""</f>
        <v>D1-SD ECA</v>
      </c>
      <c r="F182" s="408" t="str">
        <f>'16U BOYS SILVER-20 TEAMS'!F42&amp;""</f>
        <v>10</v>
      </c>
      <c r="G182" s="408" t="str">
        <f>'16U BOYS SILVER-20 TEAMS'!G42&amp;""</f>
        <v>D2-LOYOLA WPC</v>
      </c>
      <c r="H182" s="408" t="str">
        <f>'16U BOYS SILVER-20 TEAMS'!H42&amp;""</f>
        <v>6</v>
      </c>
      <c r="I182" s="408" t="str">
        <f>'16U BOYS SILVER-20 TEAMS'!I42&amp;""</f>
        <v>D bracket</v>
      </c>
      <c r="J182" s="408" t="str">
        <f>'16U BOYS SILVER-20 TEAMS'!J42&amp;""</f>
        <v>16U_BOYS_SILVER</v>
      </c>
      <c r="K182" s="408" t="str">
        <f t="shared" si="4"/>
        <v>202601311400</v>
      </c>
    </row>
    <row r="183" spans="1:11">
      <c r="A183" s="432">
        <f>'19U BOYS GOLD-16 TEAMS'!A18</f>
        <v>46053</v>
      </c>
      <c r="B183" s="433">
        <f>'19U BOYS GOLD-16 TEAMS'!B18</f>
        <v>0.58333333333333304</v>
      </c>
      <c r="C183" s="433" t="str">
        <f>'19U BOYS GOLD-16 TEAMS'!C18&amp;""</f>
        <v>SAN JUAN HILLS HS</v>
      </c>
      <c r="D183" s="434" t="str">
        <f>'19U BOYS GOLD-16 TEAMS'!D18&amp;""</f>
        <v>19Bau11</v>
      </c>
      <c r="E183" s="434" t="str">
        <f>'19U BOYS GOLD-16 TEAMS'!E18&amp;""</f>
        <v>B2-ORANGE COUNTY WPC BLUE</v>
      </c>
      <c r="F183" s="434" t="str">
        <f>'19U BOYS GOLD-16 TEAMS'!F18&amp;""</f>
        <v>11</v>
      </c>
      <c r="G183" s="434" t="str">
        <f>'19U BOYS GOLD-16 TEAMS'!G18&amp;""</f>
        <v>B3-FARALLON</v>
      </c>
      <c r="H183" s="434" t="str">
        <f>'19U BOYS GOLD-16 TEAMS'!H18&amp;""</f>
        <v>4</v>
      </c>
      <c r="I183" s="434" t="str">
        <f>'19U BOYS GOLD-16 TEAMS'!I18&amp;""</f>
        <v>W/L B2/B3</v>
      </c>
      <c r="J183" s="434" t="str">
        <f>'19U BOYS GOLD-16 TEAMS'!J18&amp;""</f>
        <v>19U_BOYS_GOLD</v>
      </c>
      <c r="K183" s="434" t="str">
        <f t="shared" si="4"/>
        <v>202601311400</v>
      </c>
    </row>
    <row r="184" spans="1:11">
      <c r="A184" s="421">
        <f>'16U BOYS PLATINUM-18 TEAMS'!A26</f>
        <v>46053</v>
      </c>
      <c r="B184" s="422">
        <f>'16U BOYS PLATINUM-18 TEAMS'!B26</f>
        <v>0.58333333333333304</v>
      </c>
      <c r="C184" s="422" t="str">
        <f>'16U BOYS PLATINUM-18 TEAMS'!C26&amp;""</f>
        <v>SONORA HS</v>
      </c>
      <c r="D184" s="423" t="str">
        <f>'16U BOYS PLATINUM-18 TEAMS'!D26&amp;""</f>
        <v>16Bpt09</v>
      </c>
      <c r="E184" s="424" t="str">
        <f>'16U BOYS PLATINUM-18 TEAMS'!E26&amp;""</f>
        <v>B1-LA JOLLA UNITED NAVY</v>
      </c>
      <c r="F184" s="425" t="str">
        <f>'16U BOYS PLATINUM-18 TEAMS'!F26&amp;""</f>
        <v>7</v>
      </c>
      <c r="G184" s="424" t="str">
        <f>'16U BOYS PLATINUM-18 TEAMS'!G26&amp;""</f>
        <v>B3-IMPERIAL WPC</v>
      </c>
      <c r="H184" s="425" t="str">
        <f>'16U BOYS PLATINUM-18 TEAMS'!H26&amp;""</f>
        <v>11</v>
      </c>
      <c r="I184" s="426" t="str">
        <f>'16U BOYS PLATINUM-18 TEAMS'!I26&amp;""</f>
        <v>B bracket B1,B3</v>
      </c>
      <c r="J184" s="423" t="str">
        <f>'16U BOYS PLATINUM-18 TEAMS'!J26&amp;""</f>
        <v>16U_BOYS_PLATINUM</v>
      </c>
      <c r="K184" s="423" t="str">
        <f t="shared" si="4"/>
        <v>202601311400</v>
      </c>
    </row>
    <row r="185" spans="1:11">
      <c r="A185" s="432">
        <f>'19U BOYS GOLD-16 TEAMS'!A17</f>
        <v>46053</v>
      </c>
      <c r="B185" s="433">
        <f>'19U BOYS GOLD-16 TEAMS'!B17</f>
        <v>0.58333333333333304</v>
      </c>
      <c r="C185" s="433" t="str">
        <f>'19U BOYS GOLD-16 TEAMS'!C17&amp;""</f>
        <v>WESTMINSTER HS</v>
      </c>
      <c r="D185" s="434" t="str">
        <f>'19U BOYS GOLD-16 TEAMS'!D17&amp;""</f>
        <v>19Bau10</v>
      </c>
      <c r="E185" s="434" t="str">
        <f>'19U BOYS GOLD-16 TEAMS'!E17&amp;""</f>
        <v>D2-SET</v>
      </c>
      <c r="F185" s="434" t="str">
        <f>'19U BOYS GOLD-16 TEAMS'!F17&amp;""</f>
        <v>7</v>
      </c>
      <c r="G185" s="434" t="str">
        <f>'19U BOYS GOLD-16 TEAMS'!G17&amp;""</f>
        <v>D3-LONGHORN</v>
      </c>
      <c r="H185" s="434" t="str">
        <f>'19U BOYS GOLD-16 TEAMS'!H17&amp;""</f>
        <v>13</v>
      </c>
      <c r="I185" s="434" t="str">
        <f>'19U BOYS GOLD-16 TEAMS'!I17&amp;""</f>
        <v>W/L D2/D3</v>
      </c>
      <c r="J185" s="434" t="str">
        <f>'19U BOYS GOLD-16 TEAMS'!J17&amp;""</f>
        <v>19U_BOYS_GOLD</v>
      </c>
      <c r="K185" s="434" t="str">
        <f t="shared" si="4"/>
        <v>202601311400</v>
      </c>
    </row>
    <row r="186" spans="1:11">
      <c r="A186" s="341">
        <f>'10U COED PLATINUM-8 TEAMS'!A17</f>
        <v>46053</v>
      </c>
      <c r="B186" s="342">
        <f>'10U COED PLATINUM-8 TEAMS'!B17</f>
        <v>0.58333333333333304</v>
      </c>
      <c r="C186" s="343" t="str">
        <f>'10U COED PLATINUM-8 TEAMS'!C17&amp;""</f>
        <v>WOOLLETT FAR LEFT</v>
      </c>
      <c r="D186" s="343" t="str">
        <f>'10U COED PLATINUM-8 TEAMS'!D17&amp;""</f>
        <v>10Cpt07</v>
      </c>
      <c r="E186" s="343" t="str">
        <f>'10U COED PLATINUM-8 TEAMS'!E17&amp;""</f>
        <v>A1-CHANNEL ISLANDS UNITED</v>
      </c>
      <c r="F186" s="343" t="str">
        <f>'10U COED PLATINUM-8 TEAMS'!F17&amp;""</f>
        <v>11</v>
      </c>
      <c r="G186" s="343" t="str">
        <f>'10U COED PLATINUM-8 TEAMS'!G17&amp;""</f>
        <v>A4-NORTH IRVINE BLACK</v>
      </c>
      <c r="H186" s="343" t="str">
        <f>'10U COED PLATINUM-8 TEAMS'!H17&amp;""</f>
        <v>12</v>
      </c>
      <c r="I186" s="343" t="str">
        <f>'10U COED PLATINUM-8 TEAMS'!I17&amp;""</f>
        <v>bracket, A1/A4</v>
      </c>
      <c r="J186" s="343" t="str">
        <f>'10U COED PLATINUM-8 TEAMS'!J17&amp;""</f>
        <v>10U_COED_PLATINUM</v>
      </c>
      <c r="K186" s="343" t="str">
        <f t="shared" si="4"/>
        <v>202601311400</v>
      </c>
    </row>
    <row r="187" spans="1:11">
      <c r="A187" s="435">
        <f>'19U BOYS PLATINUM-27 TEAMS'!A35</f>
        <v>46053</v>
      </c>
      <c r="B187" s="436">
        <f>'19U BOYS PLATINUM-27 TEAMS'!B35</f>
        <v>0.58333333333333304</v>
      </c>
      <c r="C187" s="437" t="str">
        <f>'19U BOYS PLATINUM-27 TEAMS'!C35&amp;""</f>
        <v>WOOLLETT NEAR LEFT</v>
      </c>
      <c r="D187" s="437" t="str">
        <f>'19U BOYS PLATINUM-27 TEAMS'!D35&amp;""</f>
        <v>19Bpt06</v>
      </c>
      <c r="E187" s="438" t="str">
        <f>'19U BOYS PLATINUM-27 TEAMS'!E35&amp;""</f>
        <v>W#2-AMERICAN RIVER BLUE</v>
      </c>
      <c r="F187" s="438" t="str">
        <f>'19U BOYS PLATINUM-27 TEAMS'!F35&amp;""</f>
        <v>11.4</v>
      </c>
      <c r="G187" s="438" t="str">
        <f>'19U BOYS PLATINUM-27 TEAMS'!G35&amp;""</f>
        <v>W#3-SAND CANYON</v>
      </c>
      <c r="H187" s="438" t="str">
        <f>'19U BOYS PLATINUM-27 TEAMS'!H35&amp;""</f>
        <v>11.3</v>
      </c>
      <c r="I187" s="437" t="str">
        <f>'19U BOYS PLATINUM-27 TEAMS'!I35&amp;""</f>
        <v>1st/2nd D</v>
      </c>
      <c r="J187" s="438" t="str">
        <f>'19U BOYS PLATINUM-27 TEAMS'!J35&amp;""</f>
        <v>19U_BOYS_PLATINUM</v>
      </c>
      <c r="K187" s="438" t="str">
        <f t="shared" si="4"/>
        <v>202601311400</v>
      </c>
    </row>
    <row r="188" spans="1:11">
      <c r="A188" s="435">
        <f>'19U BOYS PLATINUM-27 TEAMS'!A50</f>
        <v>46053</v>
      </c>
      <c r="B188" s="436">
        <f>'19U BOYS PLATINUM-27 TEAMS'!B50</f>
        <v>0.58333333333333304</v>
      </c>
      <c r="C188" s="437" t="str">
        <f>'19U BOYS PLATINUM-27 TEAMS'!C50&amp;""</f>
        <v>WOOLLETT NEAR RIGHT</v>
      </c>
      <c r="D188" s="437" t="str">
        <f>'19U BOYS PLATINUM-27 TEAMS'!D50&amp;""</f>
        <v>19Bpt24</v>
      </c>
      <c r="E188" s="438" t="str">
        <f>'19U BOYS PLATINUM-27 TEAMS'!E50&amp;""</f>
        <v>E2(15)-VANGUARD BLUE</v>
      </c>
      <c r="F188" s="438" t="str">
        <f>'19U BOYS PLATINUM-27 TEAMS'!F50&amp;""</f>
        <v>14</v>
      </c>
      <c r="G188" s="438" t="str">
        <f>'19U BOYS PLATINUM-27 TEAMS'!G50&amp;""</f>
        <v>E3(18)-CHULA VISTA PREMIER</v>
      </c>
      <c r="H188" s="438" t="str">
        <f>'19U BOYS PLATINUM-27 TEAMS'!H50&amp;""</f>
        <v>7</v>
      </c>
      <c r="I188" s="437" t="str">
        <f>'19U BOYS PLATINUM-27 TEAMS'!I50&amp;""</f>
        <v>E bracket E2,E3</v>
      </c>
      <c r="J188" s="438" t="str">
        <f>'19U BOYS PLATINUM-27 TEAMS'!J50&amp;""</f>
        <v>19U_BOYS_PLATINUM</v>
      </c>
      <c r="K188" s="438" t="str">
        <f t="shared" si="4"/>
        <v>202601311400</v>
      </c>
    </row>
    <row r="189" spans="1:11">
      <c r="A189" s="421">
        <f>'16U BOYS PLATINUM-18 TEAMS'!A35</f>
        <v>46053</v>
      </c>
      <c r="B189" s="422">
        <f>'16U BOYS PLATINUM-18 TEAMS'!B35</f>
        <v>0.58333333333333304</v>
      </c>
      <c r="C189" s="422" t="str">
        <f>'16U BOYS PLATINUM-18 TEAMS'!C35&amp;""</f>
        <v>YORBA LINDA HS</v>
      </c>
      <c r="D189" s="422" t="str">
        <f>'16U BOYS PLATINUM-18 TEAMS'!D35&amp;""</f>
        <v>16Bpt08</v>
      </c>
      <c r="E189" s="423" t="str">
        <f>'16U BOYS PLATINUM-18 TEAMS'!E35&amp;""</f>
        <v>D2-SOUTH COAST RED (A)</v>
      </c>
      <c r="F189" s="424" t="str">
        <f>'16U BOYS PLATINUM-18 TEAMS'!F35&amp;""</f>
        <v>9</v>
      </c>
      <c r="G189" s="425" t="str">
        <f>'16U BOYS PLATINUM-18 TEAMS'!G35&amp;""</f>
        <v>D3-SANTA CRUZ</v>
      </c>
      <c r="H189" s="424" t="str">
        <f>'16U BOYS PLATINUM-18 TEAMS'!H35&amp;""</f>
        <v>8</v>
      </c>
      <c r="I189" s="425" t="str">
        <f>'16U BOYS PLATINUM-18 TEAMS'!I35&amp;""</f>
        <v>D bracket D2,D3</v>
      </c>
      <c r="J189" s="426" t="str">
        <f>'16U BOYS PLATINUM-18 TEAMS'!J35&amp;""</f>
        <v>16U_BOYS_PLATINUM</v>
      </c>
      <c r="K189" s="426" t="str">
        <f t="shared" si="4"/>
        <v>202601311400</v>
      </c>
    </row>
    <row r="190" spans="1:11">
      <c r="A190" s="382">
        <f>'14U GIRLS PLATINUM-10 TEAMS'!A19</f>
        <v>46053</v>
      </c>
      <c r="B190" s="383">
        <f>'14U GIRLS PLATINUM-10 TEAMS'!B19</f>
        <v>0.60416666666666696</v>
      </c>
      <c r="C190" s="383" t="str">
        <f>'14U GIRLS PLATINUM-10 TEAMS'!C19&amp;""</f>
        <v>ALISO NIGUEL HS</v>
      </c>
      <c r="D190" s="384" t="str">
        <f>'14U GIRLS PLATINUM-10 TEAMS'!D19&amp;""</f>
        <v>14Gpt10</v>
      </c>
      <c r="E190" s="386" t="str">
        <f>'14U GIRLS PLATINUM-10 TEAMS'!E19&amp;""</f>
        <v>C2-SOUTH COAST RED (A)</v>
      </c>
      <c r="F190" s="384" t="str">
        <f>'14U GIRLS PLATINUM-10 TEAMS'!F19&amp;""</f>
        <v>11</v>
      </c>
      <c r="G190" s="384" t="str">
        <f>'14U GIRLS PLATINUM-10 TEAMS'!G19&amp;""</f>
        <v>C3-FOOTHILL RED</v>
      </c>
      <c r="H190" s="384" t="str">
        <f>'14U GIRLS PLATINUM-10 TEAMS'!H19&amp;""</f>
        <v>5</v>
      </c>
      <c r="I190" s="384" t="str">
        <f>'14U GIRLS PLATINUM-10 TEAMS'!I19&amp;""</f>
        <v>C bracket C2,C3</v>
      </c>
      <c r="J190" s="384" t="str">
        <f>'14U GIRLS PLATINUM-10 TEAMS'!J19&amp;""</f>
        <v>14U_GIRLS_PLATINUM</v>
      </c>
      <c r="K190" s="384" t="str">
        <f t="shared" si="4"/>
        <v>202601311430</v>
      </c>
    </row>
    <row r="191" spans="1:11">
      <c r="A191" s="375">
        <f>'12U COED-7 TEAMS'!A17</f>
        <v>46053</v>
      </c>
      <c r="B191" s="376">
        <f>'12U COED-7 TEAMS'!B17</f>
        <v>0.60416666666666696</v>
      </c>
      <c r="C191" s="377" t="str">
        <f>'12U COED-7 TEAMS'!C17&amp;""</f>
        <v>BECKMAN HS 1</v>
      </c>
      <c r="D191" s="377" t="str">
        <f>'12U COED-7 TEAMS'!D17&amp;""</f>
        <v>12C06</v>
      </c>
      <c r="E191" s="377" t="str">
        <f>'12U COED-7 TEAMS'!E17&amp;""</f>
        <v>B2-LOYOLA WPC</v>
      </c>
      <c r="F191" s="377" t="str">
        <f>'12U COED-7 TEAMS'!F17&amp;""</f>
        <v>2</v>
      </c>
      <c r="G191" s="377" t="str">
        <f>'12U COED-7 TEAMS'!G17&amp;""</f>
        <v>B4-LA CITY UNITED</v>
      </c>
      <c r="H191" s="377" t="str">
        <f>'12U COED-7 TEAMS'!H17&amp;""</f>
        <v>8</v>
      </c>
      <c r="I191" s="377" t="str">
        <f>'12U COED-7 TEAMS'!I17&amp;""</f>
        <v>B bracket B2,B4</v>
      </c>
      <c r="J191" s="377" t="str">
        <f>'12U COED-7 TEAMS'!J17&amp;""</f>
        <v>12U_COED</v>
      </c>
      <c r="K191" s="377" t="str">
        <f t="shared" si="4"/>
        <v>202601311430</v>
      </c>
    </row>
    <row r="192" spans="1:11">
      <c r="A192" s="394">
        <f>'14U BOYS GOLD-26 TEAMS'!A34</f>
        <v>46053</v>
      </c>
      <c r="B192" s="395">
        <f>'14U BOYS GOLD-26 TEAMS'!B34</f>
        <v>0.60416666666666696</v>
      </c>
      <c r="C192" s="396" t="str">
        <f>'14U BOYS GOLD-26 TEAMS'!C34&amp;""</f>
        <v>COSTA MESA HS 1</v>
      </c>
      <c r="D192" s="396" t="str">
        <f>'14U BOYS GOLD-26 TEAMS'!D34&amp;""</f>
        <v>14Bau05</v>
      </c>
      <c r="E192" s="396" t="str">
        <f>'14U BOYS GOLD-26 TEAMS'!E34&amp;""</f>
        <v>L#2-AMERICAN RIVER BLUE</v>
      </c>
      <c r="F192" s="396" t="str">
        <f>'14U BOYS GOLD-26 TEAMS'!F34&amp;""</f>
        <v>10</v>
      </c>
      <c r="G192" s="396" t="str">
        <f>'14U BOYS GOLD-26 TEAMS'!G34&amp;""</f>
        <v>L#3-STANFORD BLACK</v>
      </c>
      <c r="H192" s="397" t="str">
        <f>'14U BOYS GOLD-26 TEAMS'!H34&amp;""</f>
        <v>4</v>
      </c>
      <c r="I192" s="396" t="str">
        <f>'14U BOYS GOLD-26 TEAMS'!I34&amp;""</f>
        <v>3rd/4th D</v>
      </c>
      <c r="J192" s="397" t="str">
        <f>'14U BOYS GOLD-26 TEAMS'!J34&amp;""</f>
        <v>14U_BOYS_GOLD</v>
      </c>
      <c r="K192" s="397" t="str">
        <f t="shared" si="4"/>
        <v>202601311430</v>
      </c>
    </row>
    <row r="193" spans="1:11">
      <c r="A193" s="357">
        <f>'12U BOYS GOLD-24 TEAMS'!A36</f>
        <v>46053</v>
      </c>
      <c r="B193" s="358">
        <f>'12U BOYS GOLD-24 TEAMS'!B36</f>
        <v>0.60416666666666696</v>
      </c>
      <c r="C193" s="358" t="str">
        <f>'12U BOYS GOLD-24 TEAMS'!C36&amp;""</f>
        <v>COSTA MESA HS 2</v>
      </c>
      <c r="D193" s="359" t="str">
        <f>'12U BOYS GOLD-24 TEAMS'!D36&amp;""</f>
        <v>12Bau06A</v>
      </c>
      <c r="E193" s="359" t="str">
        <f>'12U BOYS GOLD-24 TEAMS'!E36&amp;""</f>
        <v>H2(10)-AMERICAN RIVER BLUE</v>
      </c>
      <c r="F193" s="359" t="str">
        <f>'12U BOYS GOLD-24 TEAMS'!F36&amp;""</f>
        <v>9</v>
      </c>
      <c r="G193" s="359" t="str">
        <f>'12U BOYS GOLD-24 TEAMS'!G36&amp;""</f>
        <v>H3(23)-STANFORD WHITE</v>
      </c>
      <c r="H193" s="359" t="str">
        <f>'12U BOYS GOLD-24 TEAMS'!H36&amp;""</f>
        <v>15</v>
      </c>
      <c r="I193" s="359" t="str">
        <f>'12U BOYS GOLD-24 TEAMS'!I36&amp;""</f>
        <v>H bracket H2,H3</v>
      </c>
      <c r="J193" s="359" t="str">
        <f>'12U BOYS GOLD-24 TEAMS'!J36&amp;""</f>
        <v>12U_BOYS_GOLD</v>
      </c>
      <c r="K193" s="359" t="str">
        <f t="shared" si="4"/>
        <v>202601311430</v>
      </c>
    </row>
    <row r="194" spans="1:11">
      <c r="A194" s="399">
        <f>'14U BOYS PLATINUM-20 TEAMS'!A29</f>
        <v>46053</v>
      </c>
      <c r="B194" s="400">
        <f>'14U BOYS PLATINUM-20 TEAMS'!B29</f>
        <v>0.60416666666666696</v>
      </c>
      <c r="C194" s="400" t="str">
        <f>'14U BOYS PLATINUM-20 TEAMS'!C29&amp;""</f>
        <v>EL TORO HS 1</v>
      </c>
      <c r="D194" s="401" t="str">
        <f>'14U BOYS PLATINUM-20 TEAMS'!D29&amp;""</f>
        <v>14Bpt11</v>
      </c>
      <c r="E194" s="401" t="str">
        <f>'14U BOYS PLATINUM-20 TEAMS'!E29&amp;""</f>
        <v>L#7-ROUTE 66 AQUATICS</v>
      </c>
      <c r="F194" s="401" t="str">
        <f>'14U BOYS PLATINUM-20 TEAMS'!F29&amp;""</f>
        <v>8</v>
      </c>
      <c r="G194" s="401" t="str">
        <f>'14U BOYS PLATINUM-20 TEAMS'!G29&amp;""</f>
        <v>L#8-SHAQ BLUE</v>
      </c>
      <c r="H194" s="401" t="str">
        <f>'14U BOYS PLATINUM-20 TEAMS'!H29&amp;""</f>
        <v>11</v>
      </c>
      <c r="I194" s="401" t="str">
        <f>'14U BOYS PLATINUM-20 TEAMS'!I29&amp;""</f>
        <v>3rd/4thF</v>
      </c>
      <c r="J194" s="401" t="str">
        <f>'14U BOYS PLATINUM-20 TEAMS'!J29&amp;""</f>
        <v>14U_BOYS_PLATINUM</v>
      </c>
      <c r="K194" s="401" t="str">
        <f t="shared" si="4"/>
        <v>202601311430</v>
      </c>
    </row>
    <row r="195" spans="1:11">
      <c r="A195" s="387">
        <f>'14U BOYS SILVER-18 TEAMS'!A39</f>
        <v>46053</v>
      </c>
      <c r="B195" s="388">
        <f>'14U BOYS SILVER-18 TEAMS'!B39</f>
        <v>0.60416666666666696</v>
      </c>
      <c r="C195" s="388" t="str">
        <f>'14U BOYS SILVER-18 TEAMS'!C39&amp;""</f>
        <v>ESPERANZA HS</v>
      </c>
      <c r="D195" s="389" t="str">
        <f>'14U BOYS SILVER-18 TEAMS'!D39&amp;""</f>
        <v>14Bag16</v>
      </c>
      <c r="E195" s="388" t="str">
        <f>'14U BOYS SILVER-18 TEAMS'!E39&amp;""</f>
        <v>E1-GOLD COAST</v>
      </c>
      <c r="F195" s="392" t="str">
        <f>'14U BOYS SILVER-18 TEAMS'!F39&amp;""</f>
        <v>14</v>
      </c>
      <c r="G195" s="388" t="str">
        <f>'14U BOYS SILVER-18 TEAMS'!G39&amp;""</f>
        <v>E2-HONOLULU GREEN</v>
      </c>
      <c r="H195" s="391" t="str">
        <f>'14U BOYS SILVER-18 TEAMS'!H39&amp;""</f>
        <v>2</v>
      </c>
      <c r="I195" s="392" t="str">
        <f>'14U BOYS SILVER-18 TEAMS'!I39&amp;""</f>
        <v>E bracket E1,E2</v>
      </c>
      <c r="J195" s="389" t="str">
        <f>'14U BOYS SILVER-18 TEAMS'!J39&amp;""</f>
        <v>14U_BOYS_SILVER</v>
      </c>
      <c r="K195" s="389" t="str">
        <f t="shared" si="4"/>
        <v>202601311430</v>
      </c>
    </row>
    <row r="196" spans="1:11">
      <c r="A196" s="394">
        <f>'14U BOYS GOLD-26 TEAMS'!A50</f>
        <v>46053</v>
      </c>
      <c r="B196" s="395">
        <f>'14U BOYS GOLD-26 TEAMS'!B50</f>
        <v>0.60416666666666696</v>
      </c>
      <c r="C196" s="396" t="str">
        <f>'14U BOYS GOLD-26 TEAMS'!C50&amp;""</f>
        <v>ESTANCIA HS 2</v>
      </c>
      <c r="D196" s="396" t="str">
        <f>'14U BOYS GOLD-26 TEAMS'!D50&amp;""</f>
        <v>14Bau20</v>
      </c>
      <c r="E196" s="397" t="str">
        <f>'14U BOYS GOLD-26 TEAMS'!E50&amp;""</f>
        <v>G2(11)-LAMORINDA B</v>
      </c>
      <c r="F196" s="397" t="str">
        <f>'14U BOYS GOLD-26 TEAMS'!F50&amp;""</f>
        <v>9</v>
      </c>
      <c r="G196" s="397" t="str">
        <f>'14U BOYS GOLD-26 TEAMS'!G50&amp;""</f>
        <v>G3(22)-VANGUARD SILVER</v>
      </c>
      <c r="H196" s="397" t="str">
        <f>'14U BOYS GOLD-26 TEAMS'!H50&amp;""</f>
        <v>10</v>
      </c>
      <c r="I196" s="396" t="str">
        <f>'14U BOYS GOLD-26 TEAMS'!I50&amp;""</f>
        <v>G bracket G2,G3</v>
      </c>
      <c r="J196" s="397" t="str">
        <f>'14U BOYS GOLD-26 TEAMS'!J50&amp;""</f>
        <v>14U_BOYS_GOLD</v>
      </c>
      <c r="K196" s="397" t="str">
        <f t="shared" si="4"/>
        <v>202601311430</v>
      </c>
    </row>
    <row r="197" spans="1:11">
      <c r="A197" s="378">
        <f>'14U GIRLS GOLD-14 TEAMS'!A22</f>
        <v>46053</v>
      </c>
      <c r="B197" s="379">
        <f>'14U GIRLS GOLD-14 TEAMS'!B22</f>
        <v>0.60416666666666696</v>
      </c>
      <c r="C197" s="379" t="str">
        <f>'14U GIRLS GOLD-14 TEAMS'!C22&amp;""</f>
        <v>LAGUNA HILLS HS</v>
      </c>
      <c r="D197" s="380" t="str">
        <f>'14U GIRLS GOLD-14 TEAMS'!D22&amp;""</f>
        <v>14Gau05</v>
      </c>
      <c r="E197" s="380" t="str">
        <f>'14U GIRLS GOLD-14 TEAMS'!E22&amp;""</f>
        <v>W#1-GOLD COAST</v>
      </c>
      <c r="F197" s="380" t="str">
        <f>'14U GIRLS GOLD-14 TEAMS'!F22&amp;""</f>
        <v>8</v>
      </c>
      <c r="G197" s="380" t="str">
        <f>'14U GIRLS GOLD-14 TEAMS'!G22&amp;""</f>
        <v>W#2-SHAQ</v>
      </c>
      <c r="H197" s="380" t="str">
        <f>'14U GIRLS GOLD-14 TEAMS'!H22&amp;""</f>
        <v>4</v>
      </c>
      <c r="I197" s="380" t="str">
        <f>'14U GIRLS GOLD-14 TEAMS'!I22&amp;""</f>
        <v>1st/2ndC</v>
      </c>
      <c r="J197" s="380" t="str">
        <f>'14U GIRLS GOLD-14 TEAMS'!J22&amp;""</f>
        <v>14U_GIRLS_GOLD</v>
      </c>
      <c r="K197" s="380" t="str">
        <f t="shared" si="4"/>
        <v>202601311430</v>
      </c>
    </row>
    <row r="198" spans="1:11">
      <c r="A198" s="428">
        <f>'19U BOYS SILVER-6 TEAMS CUST'!A12</f>
        <v>46053</v>
      </c>
      <c r="B198" s="429">
        <f>'19U BOYS SILVER-6 TEAMS CUST'!B12</f>
        <v>0.60416666666666696</v>
      </c>
      <c r="C198" s="429" t="str">
        <f>'19U BOYS SILVER-6 TEAMS CUST'!C12&amp;""</f>
        <v>SADDLEBACK COLLEGE</v>
      </c>
      <c r="D198" s="430" t="str">
        <f>'19U BOYS SILVER-6 TEAMS CUST'!D12&amp;""</f>
        <v>19Bag03</v>
      </c>
      <c r="E198" s="430" t="str">
        <f>'19U BOYS SILVER-6 TEAMS CUST'!E12&amp;""</f>
        <v>A2-OPA</v>
      </c>
      <c r="F198" s="430" t="str">
        <f>'19U BOYS SILVER-6 TEAMS CUST'!F12&amp;""</f>
        <v>6</v>
      </c>
      <c r="G198" s="430" t="str">
        <f>'19U BOYS SILVER-6 TEAMS CUST'!G12&amp;""</f>
        <v>A3-SD ECA</v>
      </c>
      <c r="H198" s="430" t="str">
        <f>'19U BOYS SILVER-6 TEAMS CUST'!H12&amp;""</f>
        <v>14</v>
      </c>
      <c r="I198" s="430" t="str">
        <f>'19U BOYS SILVER-6 TEAMS CUST'!I12&amp;""</f>
        <v>A bracket A2,A3</v>
      </c>
      <c r="J198" s="430" t="str">
        <f>'19U BOYS SILVER-6 TEAMS CUST'!J12&amp;""</f>
        <v>19U_BOYS_SILVER</v>
      </c>
      <c r="K198" s="430" t="str">
        <f t="shared" si="4"/>
        <v>202601311430</v>
      </c>
    </row>
    <row r="199" spans="1:11">
      <c r="A199" s="387">
        <f>'14U BOYS SILVER-18 TEAMS'!A28</f>
        <v>46053</v>
      </c>
      <c r="B199" s="388">
        <f>'14U BOYS SILVER-18 TEAMS'!B28</f>
        <v>0.60416666666666696</v>
      </c>
      <c r="C199" s="388" t="str">
        <f>'14U BOYS SILVER-18 TEAMS'!C28&amp;""</f>
        <v>SAN CLEMENTE HS</v>
      </c>
      <c r="D199" s="389" t="str">
        <f>'14U BOYS SILVER-18 TEAMS'!D28&amp;""</f>
        <v>14Bag13</v>
      </c>
      <c r="E199" s="390" t="str">
        <f>'14U BOYS SILVER-18 TEAMS'!E28&amp;""</f>
        <v>A1-POWAY VALLEY BLACK</v>
      </c>
      <c r="F199" s="391" t="str">
        <f>'14U BOYS SILVER-18 TEAMS'!F28&amp;""</f>
        <v>14</v>
      </c>
      <c r="G199" s="390" t="str">
        <f>'14U BOYS SILVER-18 TEAMS'!G28&amp;""</f>
        <v>A2-LOYOLA WPC</v>
      </c>
      <c r="H199" s="391" t="str">
        <f>'14U BOYS SILVER-18 TEAMS'!H28&amp;""</f>
        <v>4</v>
      </c>
      <c r="I199" s="392" t="str">
        <f>'14U BOYS SILVER-18 TEAMS'!I28&amp;""</f>
        <v>A bracket A1,A2</v>
      </c>
      <c r="J199" s="389" t="str">
        <f>'14U BOYS SILVER-18 TEAMS'!J28&amp;""</f>
        <v>14U_BOYS_SILVER</v>
      </c>
      <c r="K199" s="389" t="str">
        <f t="shared" si="4"/>
        <v>202601311430</v>
      </c>
    </row>
    <row r="200" spans="1:11">
      <c r="A200" s="399">
        <f>'14U BOYS PLATINUM-20 TEAMS'!A39</f>
        <v>46053</v>
      </c>
      <c r="B200" s="400">
        <f>'14U BOYS PLATINUM-20 TEAMS'!B39</f>
        <v>0.60416666666666696</v>
      </c>
      <c r="C200" s="400" t="str">
        <f>'14U BOYS PLATINUM-20 TEAMS'!C39&amp;""</f>
        <v>TUSTIN HS 1</v>
      </c>
      <c r="D200" s="401" t="str">
        <f>'14U BOYS PLATINUM-20 TEAMS'!D39&amp;""</f>
        <v>14Bpt18</v>
      </c>
      <c r="E200" s="401" t="str">
        <f>'14U BOYS PLATINUM-20 TEAMS'!E39&amp;""</f>
        <v>D1-LA JOLLA UNITED NAVY</v>
      </c>
      <c r="F200" s="401" t="str">
        <f>'14U BOYS PLATINUM-20 TEAMS'!F39&amp;""</f>
        <v>10</v>
      </c>
      <c r="G200" s="401" t="str">
        <f>'14U BOYS PLATINUM-20 TEAMS'!G39&amp;""</f>
        <v>D2-PRIDE BLACK</v>
      </c>
      <c r="H200" s="401" t="str">
        <f>'14U BOYS PLATINUM-20 TEAMS'!H39&amp;""</f>
        <v>3</v>
      </c>
      <c r="I200" s="401" t="str">
        <f>'14U BOYS PLATINUM-20 TEAMS'!I39&amp;""</f>
        <v>D bracket</v>
      </c>
      <c r="J200" s="401" t="str">
        <f>'14U BOYS PLATINUM-20 TEAMS'!J39&amp;""</f>
        <v>14U_BOYS_PLATINUM</v>
      </c>
      <c r="K200" s="401" t="str">
        <f t="shared" si="4"/>
        <v>202601311430</v>
      </c>
    </row>
    <row r="201" spans="1:11">
      <c r="A201" s="354">
        <f>'12U BOYS GOLD-24 TEAMS'!A21</f>
        <v>46053</v>
      </c>
      <c r="B201" s="355">
        <f>'12U BOYS GOLD-24 TEAMS'!B21</f>
        <v>0.60416666666666696</v>
      </c>
      <c r="C201" s="355" t="str">
        <f>'12U BOYS GOLD-24 TEAMS'!C21&amp;""</f>
        <v>TUSTIN HS 2</v>
      </c>
      <c r="D201" s="356" t="str">
        <f>'12U BOYS GOLD-24 TEAMS'!D21&amp;""</f>
        <v>12Bau07</v>
      </c>
      <c r="E201" s="356" t="str">
        <f>'12U BOYS GOLD-24 TEAMS'!E21&amp;""</f>
        <v>D2(9)-NORTH IRVINE RED</v>
      </c>
      <c r="F201" s="356" t="str">
        <f>'12U BOYS GOLD-24 TEAMS'!F21&amp;""</f>
        <v>5</v>
      </c>
      <c r="G201" s="356" t="str">
        <f>'12U BOYS GOLD-24 TEAMS'!G21&amp;""</f>
        <v>D3(24)-LAMORINDA B</v>
      </c>
      <c r="H201" s="356" t="str">
        <f>'12U BOYS GOLD-24 TEAMS'!H21&amp;""</f>
        <v>9</v>
      </c>
      <c r="I201" s="356" t="str">
        <f>'12U BOYS GOLD-24 TEAMS'!I21&amp;""</f>
        <v>D bracket D2,D3</v>
      </c>
      <c r="J201" s="356" t="str">
        <f>'12U BOYS GOLD-24 TEAMS'!J21&amp;""</f>
        <v>12U_BOYS_GOLD</v>
      </c>
      <c r="K201" s="356" t="str">
        <f t="shared" si="4"/>
        <v>202601311430</v>
      </c>
    </row>
    <row r="202" spans="1:11">
      <c r="A202" s="351">
        <f>'12U GIRLS PLATINUM-12 TEAMS'!A18</f>
        <v>46053</v>
      </c>
      <c r="B202" s="352">
        <f>'12U GIRLS PLATINUM-12 TEAMS'!B18</f>
        <v>0.60416666666666696</v>
      </c>
      <c r="C202" s="351" t="str">
        <f>'12U GIRLS PLATINUM-12 TEAMS'!C18&amp;""</f>
        <v>WOOLLETT FAR RIGHT</v>
      </c>
      <c r="D202" s="353" t="str">
        <f>'12U GIRLS PLATINUM-12 TEAMS'!D18&amp;""</f>
        <v>12Gpt07</v>
      </c>
      <c r="E202" s="351" t="str">
        <f>'12U GIRLS PLATINUM-12 TEAMS'!E18&amp;""</f>
        <v>B1-680 RED</v>
      </c>
      <c r="F202" s="353" t="str">
        <f>'12U GIRLS PLATINUM-12 TEAMS'!F18&amp;""</f>
        <v>12</v>
      </c>
      <c r="G202" s="351" t="str">
        <f>'12U GIRLS PLATINUM-12 TEAMS'!G18&amp;""</f>
        <v>B3-ORANGE COUNTY WPC BLUE</v>
      </c>
      <c r="H202" s="353" t="str">
        <f>'12U GIRLS PLATINUM-12 TEAMS'!H18&amp;""</f>
        <v>8</v>
      </c>
      <c r="I202" s="353" t="str">
        <f>'12U GIRLS PLATINUM-12 TEAMS'!I18&amp;""</f>
        <v>B bracket B1,B3</v>
      </c>
      <c r="J202" s="353" t="str">
        <f>'12U GIRLS PLATINUM-12 TEAMS'!J18&amp;""</f>
        <v>12U_GIRLS_PLATINUM</v>
      </c>
      <c r="K202" s="353" t="str">
        <f t="shared" si="4"/>
        <v>202601311430</v>
      </c>
    </row>
    <row r="203" spans="1:11">
      <c r="A203" s="337">
        <f>'10U COED GOLD-16 TEAMS CUSTOM'!A21</f>
        <v>46053</v>
      </c>
      <c r="B203" s="338">
        <f>'10U COED GOLD-16 TEAMS CUSTOM'!B21</f>
        <v>0.61458333333333304</v>
      </c>
      <c r="C203" s="338" t="str">
        <f>'10U COED GOLD-16 TEAMS CUSTOM'!C21&amp;""</f>
        <v>BECKMAN HS 2</v>
      </c>
      <c r="D203" s="339" t="str">
        <f>'10U COED GOLD-16 TEAMS CUSTOM'!D21&amp;""</f>
        <v>10Cau14</v>
      </c>
      <c r="E203" s="339" t="str">
        <f>'10U COED GOLD-16 TEAMS CUSTOM'!E21&amp;""</f>
        <v>A1-LA JOLLA UNITED</v>
      </c>
      <c r="F203" s="339" t="str">
        <f>'10U COED GOLD-16 TEAMS CUSTOM'!F21&amp;""</f>
        <v>9</v>
      </c>
      <c r="G203" s="339" t="str">
        <f>'10U COED GOLD-16 TEAMS CUSTOM'!G21&amp;""</f>
        <v>A2-LOYOLA WPC</v>
      </c>
      <c r="H203" s="339" t="str">
        <f>'10U COED GOLD-16 TEAMS CUSTOM'!H21&amp;""</f>
        <v>7</v>
      </c>
      <c r="I203" s="339" t="str">
        <f>'10U COED GOLD-16 TEAMS CUSTOM'!I21&amp;""</f>
        <v>A bracket A1,A2</v>
      </c>
      <c r="J203" s="339" t="str">
        <f>'10U COED GOLD-16 TEAMS CUSTOM'!J21&amp;""</f>
        <v>10U_COED_GOLD</v>
      </c>
      <c r="K203" s="339" t="str">
        <f t="shared" si="4"/>
        <v>202601311445</v>
      </c>
    </row>
    <row r="204" spans="1:11">
      <c r="A204" s="341">
        <f>'10U COED PLATINUM-8 TEAMS'!A18</f>
        <v>46053</v>
      </c>
      <c r="B204" s="342">
        <f>'10U COED PLATINUM-8 TEAMS'!B18</f>
        <v>0.61458333333333304</v>
      </c>
      <c r="C204" s="343" t="str">
        <f>'10U COED PLATINUM-8 TEAMS'!C18&amp;""</f>
        <v>WOOLLETT FAR LEFT</v>
      </c>
      <c r="D204" s="343" t="str">
        <f>'10U COED PLATINUM-8 TEAMS'!D18&amp;""</f>
        <v>10Cpt08</v>
      </c>
      <c r="E204" s="343" t="str">
        <f>'10U COED PLATINUM-8 TEAMS'!E18&amp;""</f>
        <v>A2-FOOTHILL RED</v>
      </c>
      <c r="F204" s="343" t="str">
        <f>'10U COED PLATINUM-8 TEAMS'!F18&amp;""</f>
        <v>5</v>
      </c>
      <c r="G204" s="343" t="str">
        <f>'10U COED PLATINUM-8 TEAMS'!G18&amp;""</f>
        <v>A3-YOLO BLACK</v>
      </c>
      <c r="H204" s="343" t="str">
        <f>'10U COED PLATINUM-8 TEAMS'!H18&amp;""</f>
        <v>11</v>
      </c>
      <c r="I204" s="343" t="str">
        <f>'10U COED PLATINUM-8 TEAMS'!I18&amp;""</f>
        <v>bracket, A2/A3</v>
      </c>
      <c r="J204" s="343" t="str">
        <f>'10U COED PLATINUM-8 TEAMS'!J18&amp;""</f>
        <v>10U_COED_PLATINUM</v>
      </c>
      <c r="K204" s="343" t="str">
        <f t="shared" si="4"/>
        <v>202601311445</v>
      </c>
    </row>
    <row r="205" spans="1:11">
      <c r="A205" s="413">
        <f>'16U BOYS GOLD-19 TEAMS'!A43</f>
        <v>46053</v>
      </c>
      <c r="B205" s="414">
        <f>'16U BOYS GOLD-19 TEAMS'!B43</f>
        <v>0.625</v>
      </c>
      <c r="C205" s="414" t="str">
        <f>'16U BOYS GOLD-19 TEAMS'!C43&amp;""</f>
        <v>EDISON HS</v>
      </c>
      <c r="D205" s="415" t="str">
        <f>'16U BOYS GOLD-19 TEAMS'!D43&amp;""</f>
        <v>16Bau18</v>
      </c>
      <c r="E205" s="419" t="str">
        <f>'16U BOYS GOLD-19 TEAMS'!E43&amp;""</f>
        <v>D1-POWAY VALLEY BLACK</v>
      </c>
      <c r="F205" s="417" t="str">
        <f>'16U BOYS GOLD-19 TEAMS'!F43&amp;""</f>
        <v>8</v>
      </c>
      <c r="G205" s="416" t="str">
        <f>'16U BOYS GOLD-19 TEAMS'!G43&amp;""</f>
        <v>D2-CC UNITED BLUE</v>
      </c>
      <c r="H205" s="417" t="str">
        <f>'16U BOYS GOLD-19 TEAMS'!H43&amp;""</f>
        <v>15</v>
      </c>
      <c r="I205" s="418" t="str">
        <f>'16U BOYS GOLD-19 TEAMS'!I43&amp;""</f>
        <v>D bracket</v>
      </c>
      <c r="J205" s="415" t="str">
        <f>'16U BOYS GOLD-19 TEAMS'!J43&amp;""</f>
        <v>16U_BOYS_GOLD</v>
      </c>
      <c r="K205" s="415" t="str">
        <f t="shared" si="4"/>
        <v>202601311500</v>
      </c>
    </row>
    <row r="206" spans="1:11">
      <c r="A206" s="406">
        <f>'16U BOYS SILVER-20 TEAMS'!A30</f>
        <v>46053</v>
      </c>
      <c r="B206" s="407">
        <f>'16U BOYS SILVER-20 TEAMS'!B30</f>
        <v>0.625</v>
      </c>
      <c r="C206" s="407" t="str">
        <f>'16U BOYS SILVER-20 TEAMS'!C30&amp;""</f>
        <v>ESTANCIA HS 1</v>
      </c>
      <c r="D206" s="408" t="str">
        <f>'16U BOYS SILVER-20 TEAMS'!D30&amp;""</f>
        <v>16Bag04</v>
      </c>
      <c r="E206" s="408" t="str">
        <f>'16U BOYS SILVER-20 TEAMS'!E30&amp;""</f>
        <v>L#1-SHORE AQUATICS</v>
      </c>
      <c r="F206" s="408" t="str">
        <f>'16U BOYS SILVER-20 TEAMS'!F30&amp;""</f>
        <v>10</v>
      </c>
      <c r="G206" s="408" t="str">
        <f>'16U BOYS SILVER-20 TEAMS'!G30&amp;""</f>
        <v>L#2-LV LEGENDS</v>
      </c>
      <c r="H206" s="408" t="str">
        <f>'16U BOYS SILVER-20 TEAMS'!H30&amp;""</f>
        <v>12</v>
      </c>
      <c r="I206" s="408" t="str">
        <f>'16U BOYS SILVER-20 TEAMS'!I30&amp;""</f>
        <v>3rd/4thE</v>
      </c>
      <c r="J206" s="408" t="str">
        <f>'16U BOYS SILVER-20 TEAMS'!J30&amp;""</f>
        <v>16U_BOYS_SILVER</v>
      </c>
      <c r="K206" s="408" t="str">
        <f t="shared" si="4"/>
        <v>202601311500</v>
      </c>
    </row>
    <row r="207" spans="1:11">
      <c r="A207" s="406">
        <f>'16U BOYS SILVER-20 TEAMS'!A43</f>
        <v>46053</v>
      </c>
      <c r="B207" s="407">
        <f>'16U BOYS SILVER-20 TEAMS'!B43</f>
        <v>0.625</v>
      </c>
      <c r="C207" s="407" t="str">
        <f>'16U BOYS SILVER-20 TEAMS'!C43&amp;""</f>
        <v>FULLERTON COLLEGE</v>
      </c>
      <c r="D207" s="408" t="str">
        <f>'16U BOYS SILVER-20 TEAMS'!D43&amp;""</f>
        <v>16Bag19</v>
      </c>
      <c r="E207" s="408" t="str">
        <f>'16U BOYS SILVER-20 TEAMS'!E43&amp;""</f>
        <v>B1-SANTA CRUZ</v>
      </c>
      <c r="F207" s="408" t="str">
        <f>'16U BOYS SILVER-20 TEAMS'!F43&amp;""</f>
        <v>10</v>
      </c>
      <c r="G207" s="408" t="str">
        <f>'16U BOYS SILVER-20 TEAMS'!G43&amp;""</f>
        <v>B2-NORTH IRVINE</v>
      </c>
      <c r="H207" s="408" t="str">
        <f>'16U BOYS SILVER-20 TEAMS'!H43&amp;""</f>
        <v>4</v>
      </c>
      <c r="I207" s="408" t="str">
        <f>'16U BOYS SILVER-20 TEAMS'!I43&amp;""</f>
        <v>B bracket</v>
      </c>
      <c r="J207" s="408" t="str">
        <f>'16U BOYS SILVER-20 TEAMS'!J43&amp;""</f>
        <v>16U_BOYS_SILVER</v>
      </c>
      <c r="K207" s="408" t="str">
        <f t="shared" si="4"/>
        <v>202601311500</v>
      </c>
    </row>
    <row r="208" spans="1:11">
      <c r="A208" s="432">
        <f>'19U BOYS GOLD-16 TEAMS'!A19</f>
        <v>46053</v>
      </c>
      <c r="B208" s="433">
        <f>'19U BOYS GOLD-16 TEAMS'!B19</f>
        <v>0.625</v>
      </c>
      <c r="C208" s="433" t="str">
        <f>'19U BOYS GOLD-16 TEAMS'!C19&amp;""</f>
        <v>SAN JUAN HILLS HS</v>
      </c>
      <c r="D208" s="434" t="str">
        <f>'19U BOYS GOLD-16 TEAMS'!D19&amp;""</f>
        <v>19Bau12</v>
      </c>
      <c r="E208" s="434" t="str">
        <f>'19U BOYS GOLD-16 TEAMS'!E19&amp;""</f>
        <v>B1-MID PEN</v>
      </c>
      <c r="F208" s="434" t="str">
        <f>'19U BOYS GOLD-16 TEAMS'!F19&amp;""</f>
        <v>12</v>
      </c>
      <c r="G208" s="434" t="str">
        <f>'19U BOYS GOLD-16 TEAMS'!G19&amp;""</f>
        <v>B4-PASADENA AC</v>
      </c>
      <c r="H208" s="434" t="str">
        <f>'19U BOYS GOLD-16 TEAMS'!H19&amp;""</f>
        <v>5</v>
      </c>
      <c r="I208" s="434" t="str">
        <f>'19U BOYS GOLD-16 TEAMS'!I19&amp;""</f>
        <v>W/L B1/B4</v>
      </c>
      <c r="J208" s="434" t="str">
        <f>'19U BOYS GOLD-16 TEAMS'!J19&amp;""</f>
        <v>19U_BOYS_GOLD</v>
      </c>
      <c r="K208" s="434" t="str">
        <f t="shared" si="4"/>
        <v>202601311500</v>
      </c>
    </row>
    <row r="209" spans="1:11">
      <c r="A209" s="421">
        <f>'16U BOYS PLATINUM-18 TEAMS'!A27</f>
        <v>46053</v>
      </c>
      <c r="B209" s="422">
        <f>'16U BOYS PLATINUM-18 TEAMS'!B27</f>
        <v>0.625</v>
      </c>
      <c r="C209" s="422" t="str">
        <f>'16U BOYS PLATINUM-18 TEAMS'!C27&amp;""</f>
        <v>SONORA HS</v>
      </c>
      <c r="D209" s="423" t="str">
        <f>'16U BOYS PLATINUM-18 TEAMS'!D27&amp;""</f>
        <v>16Bpt11</v>
      </c>
      <c r="E209" s="422" t="str">
        <f>'16U BOYS PLATINUM-18 TEAMS'!E27&amp;""</f>
        <v>C2-VANGUARD BLUE</v>
      </c>
      <c r="F209" s="426" t="str">
        <f>'16U BOYS PLATINUM-18 TEAMS'!F27&amp;""</f>
        <v>7</v>
      </c>
      <c r="G209" s="422" t="str">
        <f>'16U BOYS PLATINUM-18 TEAMS'!G27&amp;""</f>
        <v>C3-FOOTHILL RED</v>
      </c>
      <c r="H209" s="425" t="str">
        <f>'16U BOYS PLATINUM-18 TEAMS'!H27&amp;""</f>
        <v>3</v>
      </c>
      <c r="I209" s="426" t="str">
        <f>'16U BOYS PLATINUM-18 TEAMS'!I27&amp;""</f>
        <v>C bracket C2,C3</v>
      </c>
      <c r="J209" s="423" t="str">
        <f>'16U BOYS PLATINUM-18 TEAMS'!J27&amp;""</f>
        <v>16U_BOYS_PLATINUM</v>
      </c>
      <c r="K209" s="423" t="str">
        <f t="shared" si="4"/>
        <v>202601311500</v>
      </c>
    </row>
    <row r="210" spans="1:11">
      <c r="A210" s="410">
        <f>'16U BOYS GOLD-19 TEAMS'!A31</f>
        <v>46053</v>
      </c>
      <c r="B210" s="411">
        <f>'16U BOYS GOLD-19 TEAMS'!B31</f>
        <v>0.625</v>
      </c>
      <c r="C210" s="411" t="str">
        <f>'16U BOYS GOLD-19 TEAMS'!C31&amp;""</f>
        <v>WESTMINSTER HS</v>
      </c>
      <c r="D210" s="412" t="str">
        <f>'16U BOYS GOLD-19 TEAMS'!D31&amp;""</f>
        <v>16Bau07</v>
      </c>
      <c r="E210" s="412" t="str">
        <f>'16U BOYS GOLD-19 TEAMS'!E31&amp;""</f>
        <v>A1-SAN JOSE EXPRESS BLUE</v>
      </c>
      <c r="F210" s="412" t="str">
        <f>'16U BOYS GOLD-19 TEAMS'!F31&amp;""</f>
        <v>20</v>
      </c>
      <c r="G210" s="412" t="str">
        <f>'16U BOYS GOLD-19 TEAMS'!G31&amp;""</f>
        <v>A2-CHANNEL ISLANDS UNITED BLUE</v>
      </c>
      <c r="H210" s="412" t="str">
        <f>'16U BOYS GOLD-19 TEAMS'!H31&amp;""</f>
        <v>3</v>
      </c>
      <c r="I210" s="412" t="str">
        <f>'16U BOYS GOLD-19 TEAMS'!I31&amp;""</f>
        <v>A bracket</v>
      </c>
      <c r="J210" s="412" t="str">
        <f>'16U BOYS GOLD-19 TEAMS'!J31&amp;""</f>
        <v>16U_BOYS_GOLD</v>
      </c>
      <c r="K210" s="412" t="str">
        <f t="shared" si="4"/>
        <v>202601311500</v>
      </c>
    </row>
    <row r="211" spans="1:11">
      <c r="A211" s="435">
        <f>'19U BOYS PLATINUM-27 TEAMS'!A36</f>
        <v>46053</v>
      </c>
      <c r="B211" s="436">
        <f>'19U BOYS PLATINUM-27 TEAMS'!B36</f>
        <v>0.625</v>
      </c>
      <c r="C211" s="437" t="str">
        <f>'19U BOYS PLATINUM-27 TEAMS'!C36&amp;""</f>
        <v>WOOLLETT NEAR LEFT</v>
      </c>
      <c r="D211" s="437" t="str">
        <f>'19U BOYS PLATINUM-27 TEAMS'!D36&amp;""</f>
        <v>19Bpt10</v>
      </c>
      <c r="E211" s="438" t="str">
        <f>'19U BOYS PLATINUM-27 TEAMS'!E36&amp;""</f>
        <v>B2(13)-IMPERIAL BLUE</v>
      </c>
      <c r="F211" s="438" t="str">
        <f>'19U BOYS PLATINUM-27 TEAMS'!F36&amp;""</f>
        <v>11.8</v>
      </c>
      <c r="G211" s="438" t="str">
        <f>'19U BOYS PLATINUM-27 TEAMS'!G36&amp;""</f>
        <v>B3(20)-BERKELEY WPC</v>
      </c>
      <c r="H211" s="438" t="str">
        <f>'19U BOYS PLATINUM-27 TEAMS'!H36&amp;""</f>
        <v>11.7</v>
      </c>
      <c r="I211" s="437" t="str">
        <f>'19U BOYS PLATINUM-27 TEAMS'!I36&amp;""</f>
        <v>B bracket B2,B3</v>
      </c>
      <c r="J211" s="438" t="str">
        <f>'19U BOYS PLATINUM-27 TEAMS'!J36&amp;""</f>
        <v>19U_BOYS_PLATINUM</v>
      </c>
      <c r="K211" s="438" t="str">
        <f t="shared" si="4"/>
        <v>202601311500</v>
      </c>
    </row>
    <row r="212" spans="1:11">
      <c r="A212" s="435">
        <f>'19U BOYS PLATINUM-27 TEAMS'!A51</f>
        <v>46053</v>
      </c>
      <c r="B212" s="436">
        <f>'19U BOYS PLATINUM-27 TEAMS'!B51</f>
        <v>0.625</v>
      </c>
      <c r="C212" s="437" t="str">
        <f>'19U BOYS PLATINUM-27 TEAMS'!C51&amp;""</f>
        <v>WOOLLETT NEAR RIGHT</v>
      </c>
      <c r="D212" s="437" t="str">
        <f>'19U BOYS PLATINUM-27 TEAMS'!D51&amp;""</f>
        <v>19Bpt25</v>
      </c>
      <c r="E212" s="438" t="str">
        <f>'19U BOYS PLATINUM-27 TEAMS'!E51&amp;""</f>
        <v>F2(14)-SHADOW MEN</v>
      </c>
      <c r="F212" s="438" t="str">
        <f>'19U BOYS PLATINUM-27 TEAMS'!F51&amp;""</f>
        <v>8</v>
      </c>
      <c r="G212" s="438" t="str">
        <f>'19U BOYS PLATINUM-27 TEAMS'!G51&amp;""</f>
        <v>F3(19)-FOOTHILL RED</v>
      </c>
      <c r="H212" s="438" t="str">
        <f>'19U BOYS PLATINUM-27 TEAMS'!H51&amp;""</f>
        <v>16</v>
      </c>
      <c r="I212" s="437" t="str">
        <f>'19U BOYS PLATINUM-27 TEAMS'!I51&amp;""</f>
        <v>F bracket F2,F3</v>
      </c>
      <c r="J212" s="438" t="str">
        <f>'19U BOYS PLATINUM-27 TEAMS'!J51&amp;""</f>
        <v>19U_BOYS_PLATINUM</v>
      </c>
      <c r="K212" s="438" t="str">
        <f t="shared" si="4"/>
        <v>202601311500</v>
      </c>
    </row>
    <row r="213" spans="1:11">
      <c r="A213" s="421">
        <f>'16U BOYS PLATINUM-18 TEAMS'!A36</f>
        <v>46053</v>
      </c>
      <c r="B213" s="422">
        <f>'16U BOYS PLATINUM-18 TEAMS'!B36</f>
        <v>0.625</v>
      </c>
      <c r="C213" s="422" t="str">
        <f>'16U BOYS PLATINUM-18 TEAMS'!C36&amp;""</f>
        <v>YORBA LINDA HS</v>
      </c>
      <c r="D213" s="422" t="str">
        <f>'16U BOYS PLATINUM-18 TEAMS'!D36&amp;""</f>
        <v>16Bpt10</v>
      </c>
      <c r="E213" s="423" t="str">
        <f>'16U BOYS PLATINUM-18 TEAMS'!E36&amp;""</f>
        <v>E1-CHANNEL ISLANDS UNITED GOLD</v>
      </c>
      <c r="F213" s="422" t="str">
        <f>'16U BOYS PLATINUM-18 TEAMS'!F36&amp;""</f>
        <v>10.4</v>
      </c>
      <c r="G213" s="426" t="str">
        <f>'16U BOYS PLATINUM-18 TEAMS'!G36&amp;""</f>
        <v>E2-TROJAN CARDINAL</v>
      </c>
      <c r="H213" s="422" t="str">
        <f>'16U BOYS PLATINUM-18 TEAMS'!H36&amp;""</f>
        <v>10.1</v>
      </c>
      <c r="I213" s="425" t="str">
        <f>'16U BOYS PLATINUM-18 TEAMS'!I36&amp;""</f>
        <v>E bracket E1,E2</v>
      </c>
      <c r="J213" s="426" t="str">
        <f>'16U BOYS PLATINUM-18 TEAMS'!J36&amp;""</f>
        <v>16U_BOYS_PLATINUM</v>
      </c>
      <c r="K213" s="426" t="str">
        <f t="shared" si="4"/>
        <v>202601311500</v>
      </c>
    </row>
    <row r="214" spans="1:11">
      <c r="A214" s="375">
        <f>'12U COED-7 TEAMS'!A18</f>
        <v>46053</v>
      </c>
      <c r="B214" s="376">
        <f>'12U COED-7 TEAMS'!B18</f>
        <v>0.63888888888888895</v>
      </c>
      <c r="C214" s="377" t="str">
        <f>'12U COED-7 TEAMS'!C18&amp;""</f>
        <v>BECKMAN HS 1</v>
      </c>
      <c r="D214" s="377" t="str">
        <f>'12U COED-7 TEAMS'!D18&amp;""</f>
        <v>12C07</v>
      </c>
      <c r="E214" s="377" t="str">
        <f>'12U COED-7 TEAMS'!E18&amp;""</f>
        <v>A2-SET</v>
      </c>
      <c r="F214" s="377" t="str">
        <f>'12U COED-7 TEAMS'!F18&amp;""</f>
        <v>13</v>
      </c>
      <c r="G214" s="377" t="str">
        <f>'12U COED-7 TEAMS'!G18&amp;""</f>
        <v>A3-PALOS VERDES</v>
      </c>
      <c r="H214" s="377" t="str">
        <f>'12U COED-7 TEAMS'!H18&amp;""</f>
        <v>2</v>
      </c>
      <c r="I214" s="377" t="str">
        <f>'12U COED-7 TEAMS'!I18&amp;""</f>
        <v>A bracket A2,A3</v>
      </c>
      <c r="J214" s="377" t="str">
        <f>'12U COED-7 TEAMS'!J18&amp;""</f>
        <v>12U_COED</v>
      </c>
      <c r="K214" s="377" t="str">
        <f t="shared" si="4"/>
        <v>202601311520</v>
      </c>
    </row>
    <row r="215" spans="1:11">
      <c r="A215" s="394">
        <f>'14U BOYS GOLD-26 TEAMS'!A35</f>
        <v>46053</v>
      </c>
      <c r="B215" s="395">
        <f>'14U BOYS GOLD-26 TEAMS'!B35</f>
        <v>0.63888888888888895</v>
      </c>
      <c r="C215" s="396" t="str">
        <f>'14U BOYS GOLD-26 TEAMS'!C35&amp;""</f>
        <v>COSTA MESA HS 1</v>
      </c>
      <c r="D215" s="396" t="str">
        <f>'14U BOYS GOLD-26 TEAMS'!D35&amp;""</f>
        <v>14Bau06</v>
      </c>
      <c r="E215" s="396" t="str">
        <f>'14U BOYS GOLD-26 TEAMS'!E35&amp;""</f>
        <v>W#2-SAN CLEMENTE RED</v>
      </c>
      <c r="F215" s="396" t="str">
        <f>'14U BOYS GOLD-26 TEAMS'!F35&amp;""</f>
        <v>13</v>
      </c>
      <c r="G215" s="396" t="str">
        <f>'14U BOYS GOLD-26 TEAMS'!G35&amp;""</f>
        <v>W#3-PRIDE RED</v>
      </c>
      <c r="H215" s="397" t="str">
        <f>'14U BOYS GOLD-26 TEAMS'!H35&amp;""</f>
        <v>7</v>
      </c>
      <c r="I215" s="396" t="str">
        <f>'14U BOYS GOLD-26 TEAMS'!I35&amp;""</f>
        <v>1st/2nd D</v>
      </c>
      <c r="J215" s="397" t="str">
        <f>'14U BOYS GOLD-26 TEAMS'!J35&amp;""</f>
        <v>14U_BOYS_GOLD</v>
      </c>
      <c r="K215" s="397" t="str">
        <f t="shared" si="4"/>
        <v>202601311520</v>
      </c>
    </row>
    <row r="216" spans="1:11">
      <c r="A216" s="357">
        <f>'12U BOYS GOLD-24 TEAMS'!A37</f>
        <v>46053</v>
      </c>
      <c r="B216" s="358">
        <f>'12U BOYS GOLD-24 TEAMS'!B37</f>
        <v>0.63888888888888895</v>
      </c>
      <c r="C216" s="358" t="str">
        <f>'12U BOYS GOLD-24 TEAMS'!C37&amp;""</f>
        <v>COSTA MESA HS 2</v>
      </c>
      <c r="D216" s="359" t="str">
        <f>'12U BOYS GOLD-24 TEAMS'!D37&amp;""</f>
        <v>12Bau07A</v>
      </c>
      <c r="E216" s="359" t="str">
        <f>'12U BOYS GOLD-24 TEAMS'!E37&amp;""</f>
        <v>F2(14)-680 BLUE</v>
      </c>
      <c r="F216" s="359" t="str">
        <f>'12U BOYS GOLD-24 TEAMS'!F37&amp;""</f>
        <v>10</v>
      </c>
      <c r="G216" s="359" t="str">
        <f>'12U BOYS GOLD-24 TEAMS'!G37&amp;""</f>
        <v>F3(19)-PATRIOT 10 NAVY</v>
      </c>
      <c r="H216" s="359" t="str">
        <f>'12U BOYS GOLD-24 TEAMS'!H37&amp;""</f>
        <v>1</v>
      </c>
      <c r="I216" s="359" t="str">
        <f>'12U BOYS GOLD-24 TEAMS'!I37&amp;""</f>
        <v>F bracket F2,F3</v>
      </c>
      <c r="J216" s="359" t="str">
        <f>'12U BOYS GOLD-24 TEAMS'!J37&amp;""</f>
        <v>12U_BOYS_GOLD</v>
      </c>
      <c r="K216" s="359" t="str">
        <f t="shared" si="4"/>
        <v>202601311520</v>
      </c>
    </row>
    <row r="217" spans="1:11">
      <c r="A217" s="399">
        <f>'14U BOYS PLATINUM-20 TEAMS'!A30</f>
        <v>46053</v>
      </c>
      <c r="B217" s="400">
        <f>'14U BOYS PLATINUM-20 TEAMS'!B30</f>
        <v>0.63888888888888895</v>
      </c>
      <c r="C217" s="400" t="str">
        <f>'14U BOYS PLATINUM-20 TEAMS'!C30&amp;""</f>
        <v>EL TORO HS 1</v>
      </c>
      <c r="D217" s="401" t="str">
        <f>'14U BOYS PLATINUM-20 TEAMS'!D30&amp;""</f>
        <v>14Bpt04</v>
      </c>
      <c r="E217" s="401" t="str">
        <f>'14U BOYS PLATINUM-20 TEAMS'!E30&amp;""</f>
        <v>L#1-DEVIL'S GATE</v>
      </c>
      <c r="F217" s="401" t="str">
        <f>'14U BOYS PLATINUM-20 TEAMS'!F30&amp;""</f>
        <v>8</v>
      </c>
      <c r="G217" s="401" t="str">
        <f>'14U BOYS PLATINUM-20 TEAMS'!G30&amp;""</f>
        <v>L#2-CC UNITED BLACK</v>
      </c>
      <c r="H217" s="401" t="str">
        <f>'14U BOYS PLATINUM-20 TEAMS'!H30&amp;""</f>
        <v>7</v>
      </c>
      <c r="I217" s="401" t="str">
        <f>'14U BOYS PLATINUM-20 TEAMS'!I30&amp;""</f>
        <v>3rd/4thE</v>
      </c>
      <c r="J217" s="401" t="str">
        <f>'14U BOYS PLATINUM-20 TEAMS'!J30&amp;""</f>
        <v>14U_BOYS_PLATINUM</v>
      </c>
      <c r="K217" s="401" t="str">
        <f t="shared" si="4"/>
        <v>202601311520</v>
      </c>
    </row>
    <row r="218" spans="1:11">
      <c r="A218" s="387">
        <f>'14U BOYS SILVER-18 TEAMS'!A40</f>
        <v>46053</v>
      </c>
      <c r="B218" s="388">
        <f>'14U BOYS SILVER-18 TEAMS'!B40</f>
        <v>0.63888888888888895</v>
      </c>
      <c r="C218" s="388" t="str">
        <f>'14U BOYS SILVER-18 TEAMS'!C40&amp;""</f>
        <v>ESPERANZA HS</v>
      </c>
      <c r="D218" s="389" t="str">
        <f>'14U BOYS SILVER-18 TEAMS'!D40&amp;""</f>
        <v>14Bag18</v>
      </c>
      <c r="E218" s="390" t="str">
        <f>'14U BOYS SILVER-18 TEAMS'!E40&amp;""</f>
        <v>F1-SET</v>
      </c>
      <c r="F218" s="391" t="str">
        <f>'14U BOYS SILVER-18 TEAMS'!F40&amp;""</f>
        <v>6</v>
      </c>
      <c r="G218" s="390" t="str">
        <f>'14U BOYS SILVER-18 TEAMS'!G40&amp;""</f>
        <v>F2-NADO</v>
      </c>
      <c r="H218" s="391" t="str">
        <f>'14U BOYS SILVER-18 TEAMS'!H40&amp;""</f>
        <v>14</v>
      </c>
      <c r="I218" s="392" t="str">
        <f>'14U BOYS SILVER-18 TEAMS'!I40&amp;""</f>
        <v>F bracket F1,F2</v>
      </c>
      <c r="J218" s="389" t="str">
        <f>'14U BOYS SILVER-18 TEAMS'!J40&amp;""</f>
        <v>14U_BOYS_SILVER</v>
      </c>
      <c r="K218" s="389" t="str">
        <f t="shared" si="4"/>
        <v>202601311520</v>
      </c>
    </row>
    <row r="219" spans="1:11">
      <c r="A219" s="394">
        <f>'14U BOYS GOLD-26 TEAMS'!A51</f>
        <v>46053</v>
      </c>
      <c r="B219" s="395">
        <f>'14U BOYS GOLD-26 TEAMS'!B51</f>
        <v>0.63888888888888895</v>
      </c>
      <c r="C219" s="396" t="str">
        <f>'14U BOYS GOLD-26 TEAMS'!C51&amp;""</f>
        <v>ESTANCIA HS 2</v>
      </c>
      <c r="D219" s="396" t="str">
        <f>'14U BOYS GOLD-26 TEAMS'!D51&amp;""</f>
        <v>14Bau25</v>
      </c>
      <c r="E219" s="396" t="str">
        <f>'14U BOYS GOLD-26 TEAMS'!E51&amp;""</f>
        <v>E1(2)-FOOTHILL RED</v>
      </c>
      <c r="F219" s="396" t="str">
        <f>'14U BOYS GOLD-26 TEAMS'!F51&amp;""</f>
        <v>9</v>
      </c>
      <c r="G219" s="396" t="str">
        <f>'14U BOYS GOLD-26 TEAMS'!G51&amp;""</f>
        <v>E2(15)-MISSION WPC B</v>
      </c>
      <c r="H219" s="396" t="str">
        <f>'14U BOYS GOLD-26 TEAMS'!H51&amp;""</f>
        <v>16</v>
      </c>
      <c r="I219" s="396" t="str">
        <f>'14U BOYS GOLD-26 TEAMS'!I51&amp;""</f>
        <v>E bracket E1,E2</v>
      </c>
      <c r="J219" s="397" t="str">
        <f>'14U BOYS GOLD-26 TEAMS'!J51&amp;""</f>
        <v>14U_BOYS_GOLD</v>
      </c>
      <c r="K219" s="397" t="str">
        <f t="shared" si="4"/>
        <v>202601311520</v>
      </c>
    </row>
    <row r="220" spans="1:11">
      <c r="A220" s="378">
        <f>'14U GIRLS GOLD-14 TEAMS'!A23</f>
        <v>46053</v>
      </c>
      <c r="B220" s="379">
        <f>'14U GIRLS GOLD-14 TEAMS'!B23</f>
        <v>0.63888888888888895</v>
      </c>
      <c r="C220" s="379" t="str">
        <f>'14U GIRLS GOLD-14 TEAMS'!C23&amp;""</f>
        <v>LAGUNA HILLS HS</v>
      </c>
      <c r="D220" s="380" t="str">
        <f>'14U GIRLS GOLD-14 TEAMS'!D23&amp;""</f>
        <v>14Gau06</v>
      </c>
      <c r="E220" s="380" t="str">
        <f>'14U GIRLS GOLD-14 TEAMS'!E23&amp;""</f>
        <v>L#1-PALOS VERDES</v>
      </c>
      <c r="F220" s="380" t="str">
        <f>'14U GIRLS GOLD-14 TEAMS'!F23&amp;""</f>
        <v>12</v>
      </c>
      <c r="G220" s="380" t="str">
        <f>'14U GIRLS GOLD-14 TEAMS'!G23&amp;""</f>
        <v>L#2-CDM NAVY</v>
      </c>
      <c r="H220" s="380" t="str">
        <f>'14U GIRLS GOLD-14 TEAMS'!H23&amp;""</f>
        <v>2</v>
      </c>
      <c r="I220" s="380" t="str">
        <f>'14U GIRLS GOLD-14 TEAMS'!I23&amp;""</f>
        <v>3rd/4thC</v>
      </c>
      <c r="J220" s="380" t="str">
        <f>'14U GIRLS GOLD-14 TEAMS'!J23&amp;""</f>
        <v>14U_GIRLS_GOLD</v>
      </c>
      <c r="K220" s="380" t="str">
        <f t="shared" si="4"/>
        <v>202601311520</v>
      </c>
    </row>
    <row r="221" spans="1:11">
      <c r="A221" s="387">
        <f>'14U BOYS SILVER-18 TEAMS'!A29</f>
        <v>46053</v>
      </c>
      <c r="B221" s="388">
        <f>'14U BOYS SILVER-18 TEAMS'!B29</f>
        <v>0.63888888888888895</v>
      </c>
      <c r="C221" s="388" t="str">
        <f>'14U BOYS SILVER-18 TEAMS'!C29&amp;""</f>
        <v>SAN CLEMENTE HS</v>
      </c>
      <c r="D221" s="389" t="str">
        <f>'14U BOYS SILVER-18 TEAMS'!D29&amp;""</f>
        <v>14Bag15</v>
      </c>
      <c r="E221" s="388" t="str">
        <f>'14U BOYS SILVER-18 TEAMS'!E29&amp;""</f>
        <v>B1-SAN FRANCISCO</v>
      </c>
      <c r="F221" s="392" t="str">
        <f>'14U BOYS SILVER-18 TEAMS'!F29&amp;""</f>
        <v>18</v>
      </c>
      <c r="G221" s="388" t="str">
        <f>'14U BOYS SILVER-18 TEAMS'!G29&amp;""</f>
        <v>B2-TROJAN GOLD</v>
      </c>
      <c r="H221" s="391" t="str">
        <f>'14U BOYS SILVER-18 TEAMS'!H29&amp;""</f>
        <v>5</v>
      </c>
      <c r="I221" s="392" t="str">
        <f>'14U BOYS SILVER-18 TEAMS'!I29&amp;""</f>
        <v>B bracket B1,B2</v>
      </c>
      <c r="J221" s="389" t="str">
        <f>'14U BOYS SILVER-18 TEAMS'!J29&amp;""</f>
        <v>14U_BOYS_SILVER</v>
      </c>
      <c r="K221" s="389" t="str">
        <f t="shared" si="4"/>
        <v>202601311520</v>
      </c>
    </row>
    <row r="222" spans="1:11">
      <c r="A222" s="399">
        <f>'14U BOYS PLATINUM-20 TEAMS'!A40</f>
        <v>46053</v>
      </c>
      <c r="B222" s="400">
        <f>'14U BOYS PLATINUM-20 TEAMS'!B40</f>
        <v>0.63888888888888895</v>
      </c>
      <c r="C222" s="400" t="str">
        <f>'14U BOYS PLATINUM-20 TEAMS'!C40&amp;""</f>
        <v>TUSTIN HS 1</v>
      </c>
      <c r="D222" s="401" t="str">
        <f>'14U BOYS PLATINUM-20 TEAMS'!D40&amp;""</f>
        <v>14Bpt19</v>
      </c>
      <c r="E222" s="401" t="str">
        <f>'14U BOYS PLATINUM-20 TEAMS'!E40&amp;""</f>
        <v>B1-NORCAL</v>
      </c>
      <c r="F222" s="401" t="str">
        <f>'14U BOYS PLATINUM-20 TEAMS'!F40&amp;""</f>
        <v>8.1</v>
      </c>
      <c r="G222" s="401" t="str">
        <f>'14U BOYS PLATINUM-20 TEAMS'!G40&amp;""</f>
        <v>B2-PALOS VERDES A</v>
      </c>
      <c r="H222" s="401" t="str">
        <f>'14U BOYS PLATINUM-20 TEAMS'!H40&amp;""</f>
        <v>8.4</v>
      </c>
      <c r="I222" s="401" t="str">
        <f>'14U BOYS PLATINUM-20 TEAMS'!I40&amp;""</f>
        <v>B bracket</v>
      </c>
      <c r="J222" s="401" t="str">
        <f>'14U BOYS PLATINUM-20 TEAMS'!J40&amp;""</f>
        <v>14U_BOYS_PLATINUM</v>
      </c>
      <c r="K222" s="401" t="str">
        <f t="shared" si="4"/>
        <v>202601311520</v>
      </c>
    </row>
    <row r="223" spans="1:11">
      <c r="A223" s="354">
        <f>'12U BOYS GOLD-24 TEAMS'!A22</f>
        <v>46053</v>
      </c>
      <c r="B223" s="355">
        <f>'12U BOYS GOLD-24 TEAMS'!B22</f>
        <v>0.63888888888888895</v>
      </c>
      <c r="C223" s="355" t="str">
        <f>'12U BOYS GOLD-24 TEAMS'!C22&amp;""</f>
        <v>TUSTIN HS 2</v>
      </c>
      <c r="D223" s="356" t="str">
        <f>'12U BOYS GOLD-24 TEAMS'!D22&amp;""</f>
        <v>12Bau08</v>
      </c>
      <c r="E223" s="356" t="str">
        <f>'12U BOYS GOLD-24 TEAMS'!E22&amp;""</f>
        <v>B2(13)-SAN CLEMENTE BLACK</v>
      </c>
      <c r="F223" s="356" t="str">
        <f>'12U BOYS GOLD-24 TEAMS'!F22&amp;""</f>
        <v>18</v>
      </c>
      <c r="G223" s="356" t="str">
        <f>'12U BOYS GOLD-24 TEAMS'!G22&amp;""</f>
        <v>B3(20)-LAMORINDA C</v>
      </c>
      <c r="H223" s="356" t="str">
        <f>'12U BOYS GOLD-24 TEAMS'!H22&amp;""</f>
        <v>1</v>
      </c>
      <c r="I223" s="356" t="str">
        <f>'12U BOYS GOLD-24 TEAMS'!I22&amp;""</f>
        <v>B bracket B2,B3</v>
      </c>
      <c r="J223" s="356" t="str">
        <f>'12U BOYS GOLD-24 TEAMS'!J22&amp;""</f>
        <v>12U_BOYS_GOLD</v>
      </c>
      <c r="K223" s="356" t="str">
        <f t="shared" si="4"/>
        <v>202601311520</v>
      </c>
    </row>
    <row r="224" spans="1:11">
      <c r="A224" s="351">
        <f>'12U GIRLS PLATINUM-12 TEAMS'!A19</f>
        <v>46053</v>
      </c>
      <c r="B224" s="352">
        <f>'12U GIRLS PLATINUM-12 TEAMS'!B19</f>
        <v>0.63888888888888895</v>
      </c>
      <c r="C224" s="351" t="str">
        <f>'12U GIRLS PLATINUM-12 TEAMS'!C19&amp;""</f>
        <v>WOOLLETT FAR RIGHT</v>
      </c>
      <c r="D224" s="353" t="str">
        <f>'12U GIRLS PLATINUM-12 TEAMS'!D19&amp;""</f>
        <v>12Gpt09</v>
      </c>
      <c r="E224" s="351" t="str">
        <f>'12U GIRLS PLATINUM-12 TEAMS'!E19&amp;""</f>
        <v>A2-GOLD COAST</v>
      </c>
      <c r="F224" s="353" t="str">
        <f>'12U GIRLS PLATINUM-12 TEAMS'!F19&amp;""</f>
        <v>6</v>
      </c>
      <c r="G224" s="351" t="str">
        <f>'12U GIRLS PLATINUM-12 TEAMS'!G19&amp;""</f>
        <v>A3-LAMORINDA C</v>
      </c>
      <c r="H224" s="353" t="str">
        <f>'12U GIRLS PLATINUM-12 TEAMS'!H19&amp;""</f>
        <v>15</v>
      </c>
      <c r="I224" s="353" t="str">
        <f>'12U GIRLS PLATINUM-12 TEAMS'!I19&amp;""</f>
        <v>A bracket A2,A3</v>
      </c>
      <c r="J224" s="353" t="str">
        <f>'12U GIRLS PLATINUM-12 TEAMS'!J19&amp;""</f>
        <v>12U_GIRLS_PLATINUM</v>
      </c>
      <c r="K224" s="353" t="str">
        <f t="shared" si="4"/>
        <v>202601311520</v>
      </c>
    </row>
    <row r="225" spans="1:11">
      <c r="A225" s="337">
        <f>'10U COED GOLD-16 TEAMS CUSTOM'!A23</f>
        <v>46053</v>
      </c>
      <c r="B225" s="338">
        <f>'10U COED GOLD-16 TEAMS CUSTOM'!B23</f>
        <v>0.64583333333333304</v>
      </c>
      <c r="C225" s="338" t="str">
        <f>'10U COED GOLD-16 TEAMS CUSTOM'!C23&amp;""</f>
        <v>BECKMAN HS 2</v>
      </c>
      <c r="D225" s="339" t="str">
        <f>'10U COED GOLD-16 TEAMS CUSTOM'!D23&amp;""</f>
        <v>10Cau15</v>
      </c>
      <c r="E225" s="339" t="str">
        <f>'10U COED GOLD-16 TEAMS CUSTOM'!E23&amp;""</f>
        <v>B1-DAVIS</v>
      </c>
      <c r="F225" s="339" t="str">
        <f>'10U COED GOLD-16 TEAMS CUSTOM'!F23&amp;""</f>
        <v>14</v>
      </c>
      <c r="G225" s="339" t="str">
        <f>'10U COED GOLD-16 TEAMS CUSTOM'!G23&amp;""</f>
        <v>B2-ORANGE COUNTY WPC RED</v>
      </c>
      <c r="H225" s="339" t="str">
        <f>'10U COED GOLD-16 TEAMS CUSTOM'!H23&amp;""</f>
        <v>6</v>
      </c>
      <c r="I225" s="339" t="str">
        <f>'10U COED GOLD-16 TEAMS CUSTOM'!I23&amp;""</f>
        <v>B bracket B1,B2</v>
      </c>
      <c r="J225" s="339" t="str">
        <f>'10U COED GOLD-16 TEAMS CUSTOM'!J23&amp;""</f>
        <v>10U_COED_GOLD</v>
      </c>
      <c r="K225" s="339" t="str">
        <f t="shared" si="4"/>
        <v>202601311530</v>
      </c>
    </row>
    <row r="226" spans="1:11">
      <c r="A226" s="428">
        <f>'19U BOYS SILVER-6 TEAMS CUST'!A13</f>
        <v>46053</v>
      </c>
      <c r="B226" s="429">
        <f>'19U BOYS SILVER-6 TEAMS CUST'!B13</f>
        <v>0.64583333333333304</v>
      </c>
      <c r="C226" s="429" t="str">
        <f>'19U BOYS SILVER-6 TEAMS CUST'!C13&amp;""</f>
        <v>SADDLEBACK COLLEGE</v>
      </c>
      <c r="D226" s="430" t="str">
        <f>'19U BOYS SILVER-6 TEAMS CUST'!D13&amp;""</f>
        <v>19Bag04</v>
      </c>
      <c r="E226" s="431" t="str">
        <f>'19U BOYS SILVER-6 TEAMS CUST'!E13&amp;""</f>
        <v>B1-CHARGERS WHITE</v>
      </c>
      <c r="F226" s="430" t="str">
        <f>'19U BOYS SILVER-6 TEAMS CUST'!F13&amp;""</f>
        <v>10</v>
      </c>
      <c r="G226" s="430" t="str">
        <f>'19U BOYS SILVER-6 TEAMS CUST'!G13&amp;""</f>
        <v>B2-SAN JOSE EXPRESS GOLD</v>
      </c>
      <c r="H226" s="430" t="str">
        <f>'19U BOYS SILVER-6 TEAMS CUST'!H13&amp;""</f>
        <v>8</v>
      </c>
      <c r="I226" s="430" t="str">
        <f>'19U BOYS SILVER-6 TEAMS CUST'!I13&amp;""</f>
        <v>B bracket B1,B2</v>
      </c>
      <c r="J226" s="430" t="str">
        <f>'19U BOYS SILVER-6 TEAMS CUST'!J13&amp;""</f>
        <v>19U_BOYS_SILVER</v>
      </c>
      <c r="K226" s="430" t="str">
        <f t="shared" si="4"/>
        <v>202601311530</v>
      </c>
    </row>
    <row r="227" spans="1:11">
      <c r="A227" s="337">
        <f>'10U COED GOLD-16 TEAMS CUSTOM'!A22</f>
        <v>46053</v>
      </c>
      <c r="B227" s="338">
        <f>'10U COED GOLD-16 TEAMS CUSTOM'!B22</f>
        <v>0.64583333333333304</v>
      </c>
      <c r="C227" s="338" t="str">
        <f>'10U COED GOLD-16 TEAMS CUSTOM'!C22&amp;""</f>
        <v>WOOLLETT FAR LEFT</v>
      </c>
      <c r="D227" s="340" t="str">
        <f>'10U COED GOLD-16 TEAMS CUSTOM'!D22&amp;""</f>
        <v>10Cau11</v>
      </c>
      <c r="E227" s="340" t="str">
        <f>'10U COED GOLD-16 TEAMS CUSTOM'!E22&amp;""</f>
        <v>G1-LAMORINDA BLUE (A) (girls)</v>
      </c>
      <c r="F227" s="340" t="str">
        <f>'10U COED GOLD-16 TEAMS CUSTOM'!F22&amp;""</f>
        <v>17</v>
      </c>
      <c r="G227" s="340" t="str">
        <f>'10U COED GOLD-16 TEAMS CUSTOM'!G22&amp;""</f>
        <v>G3-680 RED (girls)</v>
      </c>
      <c r="H227" s="339" t="str">
        <f>'10U COED GOLD-16 TEAMS CUSTOM'!H22&amp;""</f>
        <v>3</v>
      </c>
      <c r="I227" s="340" t="str">
        <f>'10U COED GOLD-16 TEAMS CUSTOM'!I22&amp;""</f>
        <v>girls 1st-4th</v>
      </c>
      <c r="J227" s="339" t="str">
        <f>'10U COED GOLD-16 TEAMS CUSTOM'!J22&amp;""</f>
        <v>10U_COED_GOLD</v>
      </c>
      <c r="K227" s="339" t="str">
        <f t="shared" si="4"/>
        <v>202601311530</v>
      </c>
    </row>
    <row r="228" spans="1:11">
      <c r="A228" s="413">
        <f>'16U BOYS GOLD-19 TEAMS'!A44</f>
        <v>46053</v>
      </c>
      <c r="B228" s="414">
        <f>'16U BOYS GOLD-19 TEAMS'!B44</f>
        <v>0.66666666666666696</v>
      </c>
      <c r="C228" s="414" t="str">
        <f>'16U BOYS GOLD-19 TEAMS'!C44&amp;""</f>
        <v>EDISON HS</v>
      </c>
      <c r="D228" s="415" t="str">
        <f>'16U BOYS GOLD-19 TEAMS'!D44&amp;""</f>
        <v>16Bau19</v>
      </c>
      <c r="E228" s="414" t="str">
        <f>'16U BOYS GOLD-19 TEAMS'!E44&amp;""</f>
        <v>E1-CT PREMIER</v>
      </c>
      <c r="F228" s="418" t="str">
        <f>'16U BOYS GOLD-19 TEAMS'!F44&amp;""</f>
        <v>16</v>
      </c>
      <c r="G228" s="414" t="str">
        <f>'16U BOYS GOLD-19 TEAMS'!G44&amp;""</f>
        <v>E2-ORANGE COUNTY WPC BLUE</v>
      </c>
      <c r="H228" s="417" t="str">
        <f>'16U BOYS GOLD-19 TEAMS'!H44&amp;""</f>
        <v>3</v>
      </c>
      <c r="I228" s="418" t="str">
        <f>'16U BOYS GOLD-19 TEAMS'!I44&amp;""</f>
        <v>E bracket</v>
      </c>
      <c r="J228" s="415" t="str">
        <f>'16U BOYS GOLD-19 TEAMS'!J44&amp;""</f>
        <v>16U_BOYS_GOLD</v>
      </c>
      <c r="K228" s="415" t="str">
        <f t="shared" si="4"/>
        <v>202601311600</v>
      </c>
    </row>
    <row r="229" spans="1:11">
      <c r="A229" s="406">
        <f>'16U BOYS SILVER-20 TEAMS'!A31</f>
        <v>46053</v>
      </c>
      <c r="B229" s="407">
        <f>'16U BOYS SILVER-20 TEAMS'!B31</f>
        <v>0.66666666666666696</v>
      </c>
      <c r="C229" s="407" t="str">
        <f>'16U BOYS SILVER-20 TEAMS'!C31&amp;""</f>
        <v>ESTANCIA HS 1</v>
      </c>
      <c r="D229" s="408" t="str">
        <f>'16U BOYS SILVER-20 TEAMS'!D31&amp;""</f>
        <v>16Bag05</v>
      </c>
      <c r="E229" s="408" t="str">
        <f>'16U BOYS SILVER-20 TEAMS'!E31&amp;""</f>
        <v>W#1-LA JOLLA UNITED WHITE</v>
      </c>
      <c r="F229" s="408" t="str">
        <f>'16U BOYS SILVER-20 TEAMS'!F31&amp;""</f>
        <v>12</v>
      </c>
      <c r="G229" s="408" t="str">
        <f>'16U BOYS SILVER-20 TEAMS'!G31&amp;""</f>
        <v>W#2-STANFORD WHITE</v>
      </c>
      <c r="H229" s="408" t="str">
        <f>'16U BOYS SILVER-20 TEAMS'!H31&amp;""</f>
        <v>11</v>
      </c>
      <c r="I229" s="408" t="str">
        <f>'16U BOYS SILVER-20 TEAMS'!I31&amp;""</f>
        <v>1st/2ndE</v>
      </c>
      <c r="J229" s="408" t="str">
        <f>'16U BOYS SILVER-20 TEAMS'!J31&amp;""</f>
        <v>16U_BOYS_SILVER</v>
      </c>
      <c r="K229" s="408" t="str">
        <f t="shared" si="4"/>
        <v>202601311600</v>
      </c>
    </row>
    <row r="230" spans="1:11">
      <c r="A230" s="406">
        <f>'16U BOYS SILVER-20 TEAMS'!A44</f>
        <v>46053</v>
      </c>
      <c r="B230" s="407">
        <f>'16U BOYS SILVER-20 TEAMS'!B44</f>
        <v>0.66666666666666696</v>
      </c>
      <c r="C230" s="407" t="str">
        <f>'16U BOYS SILVER-20 TEAMS'!C44&amp;""</f>
        <v>FULLERTON COLLEGE</v>
      </c>
      <c r="D230" s="408" t="str">
        <f>'16U BOYS SILVER-20 TEAMS'!D44&amp;""</f>
        <v>16Bag20</v>
      </c>
      <c r="E230" s="408" t="str">
        <f>'16U BOYS SILVER-20 TEAMS'!E44&amp;""</f>
        <v>C1-SET</v>
      </c>
      <c r="F230" s="408" t="str">
        <f>'16U BOYS SILVER-20 TEAMS'!F44&amp;""</f>
        <v>7</v>
      </c>
      <c r="G230" s="408" t="str">
        <f>'16U BOYS SILVER-20 TEAMS'!G44&amp;""</f>
        <v>C2-DAVIS WHITE</v>
      </c>
      <c r="H230" s="408" t="str">
        <f>'16U BOYS SILVER-20 TEAMS'!H44&amp;""</f>
        <v>9</v>
      </c>
      <c r="I230" s="408" t="str">
        <f>'16U BOYS SILVER-20 TEAMS'!I44&amp;""</f>
        <v>C bracket</v>
      </c>
      <c r="J230" s="408" t="str">
        <f>'16U BOYS SILVER-20 TEAMS'!J44&amp;""</f>
        <v>16U_BOYS_SILVER</v>
      </c>
      <c r="K230" s="408" t="str">
        <f t="shared" si="4"/>
        <v>202601311600</v>
      </c>
    </row>
    <row r="231" spans="1:11">
      <c r="A231" s="432">
        <f>'19U BOYS GOLD-16 TEAMS'!A20</f>
        <v>46053</v>
      </c>
      <c r="B231" s="433">
        <f>'19U BOYS GOLD-16 TEAMS'!B20</f>
        <v>0.66666666666666696</v>
      </c>
      <c r="C231" s="433" t="str">
        <f>'19U BOYS GOLD-16 TEAMS'!C20&amp;""</f>
        <v>SAN JUAN HILLS HS</v>
      </c>
      <c r="D231" s="434" t="str">
        <f>'19U BOYS GOLD-16 TEAMS'!D20&amp;""</f>
        <v>19Bau07</v>
      </c>
      <c r="E231" s="434" t="str">
        <f>'19U BOYS GOLD-16 TEAMS'!E20&amp;""</f>
        <v>L#3-MARIN</v>
      </c>
      <c r="F231" s="434" t="str">
        <f>'19U BOYS GOLD-16 TEAMS'!F20&amp;""</f>
        <v>6</v>
      </c>
      <c r="G231" s="434" t="str">
        <f>'19U BOYS GOLD-16 TEAMS'!G20&amp;""</f>
        <v>L#4-NORTHWEST</v>
      </c>
      <c r="H231" s="434" t="str">
        <f>'19U BOYS GOLD-16 TEAMS'!H20&amp;""</f>
        <v>10</v>
      </c>
      <c r="I231" s="434" t="str">
        <f>'19U BOYS GOLD-16 TEAMS'!I20&amp;""</f>
        <v>3rd/4thC</v>
      </c>
      <c r="J231" s="434" t="str">
        <f>'19U BOYS GOLD-16 TEAMS'!J20&amp;""</f>
        <v>19U_BOYS_GOLD</v>
      </c>
      <c r="K231" s="434" t="str">
        <f t="shared" si="4"/>
        <v>202601311600</v>
      </c>
    </row>
    <row r="232" spans="1:11">
      <c r="A232" s="421">
        <f>'16U BOYS PLATINUM-18 TEAMS'!A28</f>
        <v>46053</v>
      </c>
      <c r="B232" s="422">
        <f>'16U BOYS PLATINUM-18 TEAMS'!B28</f>
        <v>0.66666666666666696</v>
      </c>
      <c r="C232" s="422" t="str">
        <f>'16U BOYS PLATINUM-18 TEAMS'!C28&amp;""</f>
        <v>SONORA HS</v>
      </c>
      <c r="D232" s="423" t="str">
        <f>'16U BOYS PLATINUM-18 TEAMS'!D28&amp;""</f>
        <v>16Bpt13</v>
      </c>
      <c r="E232" s="424" t="str">
        <f>'16U BOYS PLATINUM-18 TEAMS'!E28&amp;""</f>
        <v>A2-SAND CANYON</v>
      </c>
      <c r="F232" s="425" t="str">
        <f>'16U BOYS PLATINUM-18 TEAMS'!F28&amp;""</f>
        <v>14</v>
      </c>
      <c r="G232" s="424" t="str">
        <f>'16U BOYS PLATINUM-18 TEAMS'!G28&amp;""</f>
        <v>A3-CAPITAL</v>
      </c>
      <c r="H232" s="425" t="str">
        <f>'16U BOYS PLATINUM-18 TEAMS'!H28&amp;""</f>
        <v>11</v>
      </c>
      <c r="I232" s="426" t="str">
        <f>'16U BOYS PLATINUM-18 TEAMS'!I28&amp;""</f>
        <v>A bracket A2,A3</v>
      </c>
      <c r="J232" s="423" t="str">
        <f>'16U BOYS PLATINUM-18 TEAMS'!J28&amp;""</f>
        <v>16U_BOYS_PLATINUM</v>
      </c>
      <c r="K232" s="423" t="str">
        <f t="shared" si="4"/>
        <v>202601311600</v>
      </c>
    </row>
    <row r="233" spans="1:11">
      <c r="A233" s="410">
        <f>'16U BOYS GOLD-19 TEAMS'!A32</f>
        <v>46053</v>
      </c>
      <c r="B233" s="411">
        <f>'16U BOYS GOLD-19 TEAMS'!B32</f>
        <v>0.66666666666666696</v>
      </c>
      <c r="C233" s="411" t="str">
        <f>'16U BOYS GOLD-19 TEAMS'!C32&amp;""</f>
        <v>WESTMINSTER HS</v>
      </c>
      <c r="D233" s="412" t="str">
        <f>'16U BOYS GOLD-19 TEAMS'!D32&amp;""</f>
        <v>16Bau08</v>
      </c>
      <c r="E233" s="412" t="str">
        <f>'16U BOYS GOLD-19 TEAMS'!E32&amp;""</f>
        <v>B1-CMAC</v>
      </c>
      <c r="F233" s="412" t="str">
        <f>'16U BOYS GOLD-19 TEAMS'!F32&amp;""</f>
        <v>11</v>
      </c>
      <c r="G233" s="412" t="str">
        <f>'16U BOYS GOLD-19 TEAMS'!G32&amp;""</f>
        <v>B2-DAVIS BLUE</v>
      </c>
      <c r="H233" s="412" t="str">
        <f>'16U BOYS GOLD-19 TEAMS'!H32&amp;""</f>
        <v>13</v>
      </c>
      <c r="I233" s="412" t="str">
        <f>'16U BOYS GOLD-19 TEAMS'!I32&amp;""</f>
        <v>B bracket</v>
      </c>
      <c r="J233" s="412" t="str">
        <f>'16U BOYS GOLD-19 TEAMS'!J32&amp;""</f>
        <v>16U_BOYS_GOLD</v>
      </c>
      <c r="K233" s="412" t="str">
        <f t="shared" si="4"/>
        <v>202601311600</v>
      </c>
    </row>
    <row r="234" spans="1:11">
      <c r="A234" s="435">
        <f>'19U BOYS PLATINUM-27 TEAMS'!A37</f>
        <v>46053</v>
      </c>
      <c r="B234" s="436">
        <f>'19U BOYS PLATINUM-27 TEAMS'!B37</f>
        <v>0.66666666666666696</v>
      </c>
      <c r="C234" s="437" t="str">
        <f>'19U BOYS PLATINUM-27 TEAMS'!C37&amp;""</f>
        <v>WOOLLETT NEAR LEFT</v>
      </c>
      <c r="D234" s="437" t="str">
        <f>'19U BOYS PLATINUM-27 TEAMS'!D37&amp;""</f>
        <v>19Bpt11</v>
      </c>
      <c r="E234" s="438" t="str">
        <f>'19U BOYS PLATINUM-27 TEAMS'!E37&amp;""</f>
        <v>C1(5)-LA JOLLA UNITED NAVY</v>
      </c>
      <c r="F234" s="438" t="str">
        <f>'19U BOYS PLATINUM-27 TEAMS'!F37&amp;""</f>
        <v>12</v>
      </c>
      <c r="G234" s="438" t="str">
        <f>'19U BOYS PLATINUM-27 TEAMS'!G37&amp;""</f>
        <v>C2(12)-SANTA CRUZ</v>
      </c>
      <c r="H234" s="438" t="str">
        <f>'19U BOYS PLATINUM-27 TEAMS'!H37&amp;""</f>
        <v>3</v>
      </c>
      <c r="I234" s="437" t="str">
        <f>'19U BOYS PLATINUM-27 TEAMS'!I37&amp;""</f>
        <v>C bracket C1,C2</v>
      </c>
      <c r="J234" s="438" t="str">
        <f>'19U BOYS PLATINUM-27 TEAMS'!J37&amp;""</f>
        <v>19U_BOYS_PLATINUM</v>
      </c>
      <c r="K234" s="438" t="str">
        <f t="shared" si="4"/>
        <v>202601311600</v>
      </c>
    </row>
    <row r="235" spans="1:11">
      <c r="A235" s="435">
        <f>'19U BOYS PLATINUM-27 TEAMS'!A52</f>
        <v>46053</v>
      </c>
      <c r="B235" s="436">
        <f>'19U BOYS PLATINUM-27 TEAMS'!B52</f>
        <v>0.66666666666666696</v>
      </c>
      <c r="C235" s="437" t="str">
        <f>'19U BOYS PLATINUM-27 TEAMS'!C52&amp;""</f>
        <v>WOOLLETT NEAR RIGHT</v>
      </c>
      <c r="D235" s="437" t="str">
        <f>'19U BOYS PLATINUM-27 TEAMS'!D52&amp;""</f>
        <v>19Bpt20</v>
      </c>
      <c r="E235" s="438" t="str">
        <f>'19U BOYS PLATINUM-27 TEAMS'!E52&amp;""</f>
        <v>W#16-TROJAN</v>
      </c>
      <c r="F235" s="438" t="str">
        <f>'19U BOYS PLATINUM-27 TEAMS'!F52&amp;""</f>
        <v>4</v>
      </c>
      <c r="G235" s="438" t="str">
        <f>'19U BOYS PLATINUM-27 TEAMS'!G52&amp;""</f>
        <v>W#17-RIVERSIDE</v>
      </c>
      <c r="H235" s="438" t="str">
        <f>'19U BOYS PLATINUM-27 TEAMS'!H52&amp;""</f>
        <v>15</v>
      </c>
      <c r="I235" s="437" t="str">
        <f>'19U BOYS PLATINUM-27 TEAMS'!I52&amp;""</f>
        <v>1st/2nd H</v>
      </c>
      <c r="J235" s="438" t="str">
        <f>'19U BOYS PLATINUM-27 TEAMS'!J52&amp;""</f>
        <v>19U_BOYS_PLATINUM</v>
      </c>
      <c r="K235" s="438" t="str">
        <f t="shared" si="4"/>
        <v>202601311600</v>
      </c>
    </row>
    <row r="236" spans="1:11">
      <c r="A236" s="421">
        <f>'16U BOYS PLATINUM-18 TEAMS'!A37</f>
        <v>46053</v>
      </c>
      <c r="B236" s="422">
        <f>'16U BOYS PLATINUM-18 TEAMS'!B37</f>
        <v>0.66666666666666696</v>
      </c>
      <c r="C236" s="422" t="str">
        <f>'16U BOYS PLATINUM-18 TEAMS'!C37&amp;""</f>
        <v>YORBA LINDA HS</v>
      </c>
      <c r="D236" s="422" t="str">
        <f>'16U BOYS PLATINUM-18 TEAMS'!D37&amp;""</f>
        <v>16Bpt12</v>
      </c>
      <c r="E236" s="423" t="str">
        <f>'16U BOYS PLATINUM-18 TEAMS'!E37&amp;""</f>
        <v>F2-SHAQ</v>
      </c>
      <c r="F236" s="424" t="str">
        <f>'16U BOYS PLATINUM-18 TEAMS'!F37&amp;""</f>
        <v>11</v>
      </c>
      <c r="G236" s="425" t="str">
        <f>'16U BOYS PLATINUM-18 TEAMS'!G37&amp;""</f>
        <v>F3-ASPHALT GREEN</v>
      </c>
      <c r="H236" s="427" t="str">
        <f>'16U BOYS PLATINUM-18 TEAMS'!H37&amp;""</f>
        <v>9</v>
      </c>
      <c r="I236" s="425" t="str">
        <f>'16U BOYS PLATINUM-18 TEAMS'!I37&amp;""</f>
        <v>F bracket F2,F3</v>
      </c>
      <c r="J236" s="426" t="str">
        <f>'16U BOYS PLATINUM-18 TEAMS'!J37&amp;""</f>
        <v>16U_BOYS_PLATINUM</v>
      </c>
      <c r="K236" s="426" t="str">
        <f t="shared" si="4"/>
        <v>202601311600</v>
      </c>
    </row>
    <row r="237" spans="1:11">
      <c r="A237" s="370">
        <f>'12U BOYS PLATINUM-10 TEAMS'!A18</f>
        <v>46053</v>
      </c>
      <c r="B237" s="371">
        <f>'12U BOYS PLATINUM-10 TEAMS'!B18</f>
        <v>0.67361111111111105</v>
      </c>
      <c r="C237" s="372" t="str">
        <f>'12U BOYS PLATINUM-10 TEAMS'!C18&amp;""</f>
        <v>BECKMAN HS 1</v>
      </c>
      <c r="D237" s="373" t="str">
        <f>'12U BOYS PLATINUM-10 TEAMS'!D18&amp;""</f>
        <v>12Bpt07</v>
      </c>
      <c r="E237" s="373" t="str">
        <f>'12U BOYS PLATINUM-10 TEAMS'!E18&amp;""</f>
        <v>C1-STANFORD RED</v>
      </c>
      <c r="F237" s="373" t="str">
        <f>'12U BOYS PLATINUM-10 TEAMS'!F18&amp;""</f>
        <v>10</v>
      </c>
      <c r="G237" s="373" t="str">
        <f>'12U BOYS PLATINUM-10 TEAMS'!G18&amp;""</f>
        <v>C2-ORWP A</v>
      </c>
      <c r="H237" s="373" t="str">
        <f>'12U BOYS PLATINUM-10 TEAMS'!H18&amp;""</f>
        <v>8</v>
      </c>
      <c r="I237" s="373" t="str">
        <f>'12U BOYS PLATINUM-10 TEAMS'!I18&amp;""</f>
        <v>C bracket C1,C2</v>
      </c>
      <c r="J237" s="373" t="str">
        <f>'12U BOYS PLATINUM-10 TEAMS'!J18&amp;""</f>
        <v>12U_BOYS_PLATINUM</v>
      </c>
      <c r="K237" s="373" t="str">
        <f t="shared" si="4"/>
        <v>202601311610</v>
      </c>
    </row>
    <row r="238" spans="1:11">
      <c r="A238" s="394">
        <f>'14U BOYS GOLD-26 TEAMS'!A36</f>
        <v>46053</v>
      </c>
      <c r="B238" s="395">
        <f>'14U BOYS GOLD-26 TEAMS'!B36</f>
        <v>0.67361111111111105</v>
      </c>
      <c r="C238" s="396" t="str">
        <f>'14U BOYS GOLD-26 TEAMS'!C36&amp;""</f>
        <v>COSTA MESA HS 1</v>
      </c>
      <c r="D238" s="396" t="str">
        <f>'14U BOYS GOLD-26 TEAMS'!D36&amp;""</f>
        <v>14Bau07</v>
      </c>
      <c r="E238" s="397" t="str">
        <f>'14U BOYS GOLD-26 TEAMS'!E36&amp;""</f>
        <v>A1(1)-HONOLULU BLUE</v>
      </c>
      <c r="F238" s="397" t="str">
        <f>'14U BOYS GOLD-26 TEAMS'!F36&amp;""</f>
        <v>10.3</v>
      </c>
      <c r="G238" s="397" t="str">
        <f>'14U BOYS GOLD-26 TEAMS'!G36&amp;""</f>
        <v>A3(17)-NORTH IRVINE RED</v>
      </c>
      <c r="H238" s="397" t="str">
        <f>'14U BOYS GOLD-26 TEAMS'!H36&amp;""</f>
        <v>10.4</v>
      </c>
      <c r="I238" s="396" t="str">
        <f>'14U BOYS GOLD-26 TEAMS'!I36&amp;""</f>
        <v>A bracket A1,A3</v>
      </c>
      <c r="J238" s="397" t="str">
        <f>'14U BOYS GOLD-26 TEAMS'!J36&amp;""</f>
        <v>14U_BOYS_GOLD</v>
      </c>
      <c r="K238" s="397" t="str">
        <f t="shared" si="4"/>
        <v>202601311610</v>
      </c>
    </row>
    <row r="239" spans="1:11">
      <c r="A239" s="357">
        <f>'12U BOYS GOLD-24 TEAMS'!A38</f>
        <v>46053</v>
      </c>
      <c r="B239" s="358">
        <f>'12U BOYS GOLD-24 TEAMS'!B38</f>
        <v>0.67361111111111105</v>
      </c>
      <c r="C239" s="358" t="str">
        <f>'12U BOYS GOLD-24 TEAMS'!C38&amp;""</f>
        <v>COSTA MESA HS 2</v>
      </c>
      <c r="D239" s="359" t="str">
        <f>'12U BOYS GOLD-24 TEAMS'!D38&amp;""</f>
        <v>12Bau09A</v>
      </c>
      <c r="E239" s="357" t="str">
        <f>'12U BOYS GOLD-24 TEAMS'!E38&amp;""</f>
        <v>E1(2)-TROJAN</v>
      </c>
      <c r="F239" s="359" t="str">
        <f>'12U BOYS GOLD-24 TEAMS'!F38&amp;""</f>
        <v>12</v>
      </c>
      <c r="G239" s="357" t="str">
        <f>'12U BOYS GOLD-24 TEAMS'!G38&amp;""</f>
        <v>E2(15)-LA JOLLA UNITED GOLD</v>
      </c>
      <c r="H239" s="359" t="str">
        <f>'12U BOYS GOLD-24 TEAMS'!H38&amp;""</f>
        <v>1</v>
      </c>
      <c r="I239" s="359" t="str">
        <f>'12U BOYS GOLD-24 TEAMS'!I38&amp;""</f>
        <v>E bracket E1,E2</v>
      </c>
      <c r="J239" s="359" t="str">
        <f>'12U BOYS GOLD-24 TEAMS'!J38&amp;""</f>
        <v>12U_BOYS_GOLD</v>
      </c>
      <c r="K239" s="359" t="str">
        <f t="shared" si="4"/>
        <v>202601311610</v>
      </c>
    </row>
    <row r="240" spans="1:11">
      <c r="A240" s="399">
        <f>'14U BOYS PLATINUM-20 TEAMS'!A31</f>
        <v>46053</v>
      </c>
      <c r="B240" s="400">
        <f>'14U BOYS PLATINUM-20 TEAMS'!B31</f>
        <v>0.67361111111111105</v>
      </c>
      <c r="C240" s="400" t="str">
        <f>'14U BOYS PLATINUM-20 TEAMS'!C31&amp;""</f>
        <v>EL TORO HS 1</v>
      </c>
      <c r="D240" s="401" t="str">
        <f>'14U BOYS PLATINUM-20 TEAMS'!D31&amp;""</f>
        <v>14Bpt06</v>
      </c>
      <c r="E240" s="402" t="str">
        <f>'14U BOYS PLATINUM-20 TEAMS'!E31&amp;""</f>
        <v>A1-MISSION WPC A</v>
      </c>
      <c r="F240" s="401" t="str">
        <f>'14U BOYS PLATINUM-20 TEAMS'!F31&amp;""</f>
        <v>19</v>
      </c>
      <c r="G240" s="399" t="str">
        <f>'14U BOYS PLATINUM-20 TEAMS'!G31&amp;""</f>
        <v>A3-TROJAN CARDINAL</v>
      </c>
      <c r="H240" s="401" t="str">
        <f>'14U BOYS PLATINUM-20 TEAMS'!H31&amp;""</f>
        <v>2</v>
      </c>
      <c r="I240" s="401" t="str">
        <f>'14U BOYS PLATINUM-20 TEAMS'!I31&amp;""</f>
        <v>A bracket</v>
      </c>
      <c r="J240" s="401" t="str">
        <f>'14U BOYS PLATINUM-20 TEAMS'!J31&amp;""</f>
        <v>14U_BOYS_PLATINUM</v>
      </c>
      <c r="K240" s="401" t="str">
        <f t="shared" si="4"/>
        <v>202601311610</v>
      </c>
    </row>
    <row r="241" spans="1:11">
      <c r="A241" s="394">
        <f>'14U BOYS GOLD-26 TEAMS'!A52</f>
        <v>46053</v>
      </c>
      <c r="B241" s="395">
        <f>'14U BOYS GOLD-26 TEAMS'!B52</f>
        <v>0.67361111111111105</v>
      </c>
      <c r="C241" s="396" t="str">
        <f>'14U BOYS GOLD-26 TEAMS'!C52&amp;""</f>
        <v>ESTANCIA HS 2</v>
      </c>
      <c r="D241" s="396" t="str">
        <f>'14U BOYS GOLD-26 TEAMS'!D52&amp;""</f>
        <v>14Bau26</v>
      </c>
      <c r="E241" s="397" t="str">
        <f>'14U BOYS GOLD-26 TEAMS'!E52&amp;""</f>
        <v>F1(3)-CT PREMIER</v>
      </c>
      <c r="F241" s="397" t="str">
        <f>'14U BOYS GOLD-26 TEAMS'!F52&amp;""</f>
        <v>9</v>
      </c>
      <c r="G241" s="397" t="str">
        <f>'14U BOYS GOLD-26 TEAMS'!G52&amp;""</f>
        <v>F3(19)-680 BLUE</v>
      </c>
      <c r="H241" s="397" t="str">
        <f>'14U BOYS GOLD-26 TEAMS'!H52&amp;""</f>
        <v>11</v>
      </c>
      <c r="I241" s="396" t="str">
        <f>'14U BOYS GOLD-26 TEAMS'!I52&amp;""</f>
        <v>F bracket F1,F3</v>
      </c>
      <c r="J241" s="397" t="str">
        <f>'14U BOYS GOLD-26 TEAMS'!J52&amp;""</f>
        <v>14U_BOYS_GOLD</v>
      </c>
      <c r="K241" s="397" t="str">
        <f t="shared" ref="K241:K304" si="5">TEXT(DATE(2026, MONTH(A241), DAY(A241)) + TIME(HOUR(B241), MINUTE(B241), 0), "yyyymmddhhmm")</f>
        <v>202601311610</v>
      </c>
    </row>
    <row r="242" spans="1:11">
      <c r="A242" s="387">
        <f>'14U BOYS SILVER-18 TEAMS'!A30</f>
        <v>46053</v>
      </c>
      <c r="B242" s="388">
        <f>'14U BOYS SILVER-18 TEAMS'!B30</f>
        <v>0.67361111111111105</v>
      </c>
      <c r="C242" s="388" t="str">
        <f>'14U BOYS SILVER-18 TEAMS'!C30&amp;""</f>
        <v>SAN CLEMENTE HS</v>
      </c>
      <c r="D242" s="389" t="str">
        <f>'14U BOYS SILVER-18 TEAMS'!D30&amp;""</f>
        <v>14Bag17</v>
      </c>
      <c r="E242" s="390" t="str">
        <f>'14U BOYS SILVER-18 TEAMS'!E30&amp;""</f>
        <v>C1-PASADENA AC</v>
      </c>
      <c r="F242" s="391" t="str">
        <f>'14U BOYS SILVER-18 TEAMS'!F30&amp;""</f>
        <v>16</v>
      </c>
      <c r="G242" s="390" t="str">
        <f>'14U BOYS SILVER-18 TEAMS'!G30&amp;""</f>
        <v>C2-TRITON GOLD</v>
      </c>
      <c r="H242" s="391" t="str">
        <f>'14U BOYS SILVER-18 TEAMS'!H30&amp;""</f>
        <v>3</v>
      </c>
      <c r="I242" s="392" t="str">
        <f>'14U BOYS SILVER-18 TEAMS'!I30&amp;""</f>
        <v>C bracket C1,C2</v>
      </c>
      <c r="J242" s="389" t="str">
        <f>'14U BOYS SILVER-18 TEAMS'!J30&amp;""</f>
        <v>14U_BOYS_SILVER</v>
      </c>
      <c r="K242" s="389" t="str">
        <f t="shared" si="5"/>
        <v>202601311610</v>
      </c>
    </row>
    <row r="243" spans="1:11">
      <c r="A243" s="399">
        <f>'14U BOYS PLATINUM-20 TEAMS'!A41</f>
        <v>46053</v>
      </c>
      <c r="B243" s="400">
        <f>'14U BOYS PLATINUM-20 TEAMS'!B41</f>
        <v>0.67361111111111105</v>
      </c>
      <c r="C243" s="400" t="str">
        <f>'14U BOYS PLATINUM-20 TEAMS'!C41&amp;""</f>
        <v>TUSTIN HS 1</v>
      </c>
      <c r="D243" s="401" t="str">
        <f>'14U BOYS PLATINUM-20 TEAMS'!D41&amp;""</f>
        <v>14Bpt20</v>
      </c>
      <c r="E243" s="401" t="str">
        <f>'14U BOYS PLATINUM-20 TEAMS'!E41&amp;""</f>
        <v>C1-VANGUARD BLUE</v>
      </c>
      <c r="F243" s="401" t="str">
        <f>'14U BOYS PLATINUM-20 TEAMS'!F41&amp;""</f>
        <v>11.4</v>
      </c>
      <c r="G243" s="401" t="str">
        <f>'14U BOYS PLATINUM-20 TEAMS'!G41&amp;""</f>
        <v>C2-LAMORINDA A</v>
      </c>
      <c r="H243" s="401" t="str">
        <f>'14U BOYS PLATINUM-20 TEAMS'!H41&amp;""</f>
        <v>11.3</v>
      </c>
      <c r="I243" s="401" t="str">
        <f>'14U BOYS PLATINUM-20 TEAMS'!I41&amp;""</f>
        <v>C bracket</v>
      </c>
      <c r="J243" s="401" t="str">
        <f>'14U BOYS PLATINUM-20 TEAMS'!J41&amp;""</f>
        <v>14U_BOYS_PLATINUM</v>
      </c>
      <c r="K243" s="401" t="str">
        <f t="shared" si="5"/>
        <v>202601311610</v>
      </c>
    </row>
    <row r="244" spans="1:11">
      <c r="A244" s="354">
        <f>'12U BOYS GOLD-24 TEAMS'!A23</f>
        <v>46053</v>
      </c>
      <c r="B244" s="355">
        <f>'12U BOYS GOLD-24 TEAMS'!B23</f>
        <v>0.67361111111111105</v>
      </c>
      <c r="C244" s="355" t="str">
        <f>'12U BOYS GOLD-24 TEAMS'!C23&amp;""</f>
        <v>TUSTIN HS 2</v>
      </c>
      <c r="D244" s="356" t="str">
        <f>'12U BOYS GOLD-24 TEAMS'!D23&amp;""</f>
        <v>12Bau09</v>
      </c>
      <c r="E244" s="354" t="str">
        <f>'12U BOYS GOLD-24 TEAMS'!E23&amp;""</f>
        <v>A2(16)-STANFORD BLACK</v>
      </c>
      <c r="F244" s="356" t="str">
        <f>'12U BOYS GOLD-24 TEAMS'!F23&amp;""</f>
        <v>16</v>
      </c>
      <c r="G244" s="354" t="str">
        <f>'12U BOYS GOLD-24 TEAMS'!G23&amp;""</f>
        <v>A3(17)-680 WHITE</v>
      </c>
      <c r="H244" s="356" t="str">
        <f>'12U BOYS GOLD-24 TEAMS'!H23&amp;""</f>
        <v>2</v>
      </c>
      <c r="I244" s="356" t="str">
        <f>'12U BOYS GOLD-24 TEAMS'!I23&amp;""</f>
        <v>A bracket A2,A3</v>
      </c>
      <c r="J244" s="356" t="str">
        <f>'12U BOYS GOLD-24 TEAMS'!J23&amp;""</f>
        <v>12U_BOYS_GOLD</v>
      </c>
      <c r="K244" s="356" t="str">
        <f t="shared" si="5"/>
        <v>202601311610</v>
      </c>
    </row>
    <row r="245" spans="1:11">
      <c r="A245" s="351">
        <f>'12U GIRLS PLATINUM-12 TEAMS'!A20</f>
        <v>46053</v>
      </c>
      <c r="B245" s="352">
        <f>'12U GIRLS PLATINUM-12 TEAMS'!B20</f>
        <v>0.67361111111111105</v>
      </c>
      <c r="C245" s="351" t="str">
        <f>'12U GIRLS PLATINUM-12 TEAMS'!C20&amp;""</f>
        <v>WOOLLETT FAR RIGHT</v>
      </c>
      <c r="D245" s="353" t="str">
        <f>'12U GIRLS PLATINUM-12 TEAMS'!D20&amp;""</f>
        <v>12Gpt08</v>
      </c>
      <c r="E245" s="351" t="str">
        <f>'12U GIRLS PLATINUM-12 TEAMS'!E20&amp;""</f>
        <v>C1-NEWPORT BEACH</v>
      </c>
      <c r="F245" s="353" t="str">
        <f>'12U GIRLS PLATINUM-12 TEAMS'!F20&amp;""</f>
        <v>8</v>
      </c>
      <c r="G245" s="351" t="str">
        <f>'12U GIRLS PLATINUM-12 TEAMS'!G20&amp;""</f>
        <v>C3-LAMORINDA B</v>
      </c>
      <c r="H245" s="353" t="str">
        <f>'12U GIRLS PLATINUM-12 TEAMS'!H20&amp;""</f>
        <v>7</v>
      </c>
      <c r="I245" s="353" t="str">
        <f>'12U GIRLS PLATINUM-12 TEAMS'!I20&amp;""</f>
        <v>C bracket C1,C3</v>
      </c>
      <c r="J245" s="353" t="str">
        <f>'12U GIRLS PLATINUM-12 TEAMS'!J20&amp;""</f>
        <v>12U_GIRLS_PLATINUM</v>
      </c>
      <c r="K245" s="353" t="str">
        <f t="shared" si="5"/>
        <v>202601311610</v>
      </c>
    </row>
    <row r="246" spans="1:11">
      <c r="A246" s="337">
        <f>'10U COED GOLD-16 TEAMS CUSTOM'!A25</f>
        <v>46053</v>
      </c>
      <c r="B246" s="338">
        <f>'10U COED GOLD-16 TEAMS CUSTOM'!B25</f>
        <v>0.67708333333333304</v>
      </c>
      <c r="C246" s="338" t="str">
        <f>'10U COED GOLD-16 TEAMS CUSTOM'!C25&amp;""</f>
        <v>BECKMAN HS 2</v>
      </c>
      <c r="D246" s="339" t="str">
        <f>'10U COED GOLD-16 TEAMS CUSTOM'!D25&amp;""</f>
        <v>10Cau16</v>
      </c>
      <c r="E246" s="339" t="str">
        <f>'10U COED GOLD-16 TEAMS CUSTOM'!E25&amp;""</f>
        <v>C1-SOUTH COAST RED</v>
      </c>
      <c r="F246" s="339" t="str">
        <f>'10U COED GOLD-16 TEAMS CUSTOM'!F25&amp;""</f>
        <v>10</v>
      </c>
      <c r="G246" s="339" t="str">
        <f>'10U COED GOLD-16 TEAMS CUSTOM'!G25&amp;""</f>
        <v>C2-SOUTH BAY UNITED</v>
      </c>
      <c r="H246" s="339" t="str">
        <f>'10U COED GOLD-16 TEAMS CUSTOM'!H25&amp;""</f>
        <v>14</v>
      </c>
      <c r="I246" s="339" t="str">
        <f>'10U COED GOLD-16 TEAMS CUSTOM'!I25&amp;""</f>
        <v>C bracket C1,C2</v>
      </c>
      <c r="J246" s="339" t="str">
        <f>'10U COED GOLD-16 TEAMS CUSTOM'!J25&amp;""</f>
        <v>10U_COED_GOLD</v>
      </c>
      <c r="K246" s="339" t="str">
        <f t="shared" si="5"/>
        <v>202601311615</v>
      </c>
    </row>
    <row r="247" spans="1:11">
      <c r="A247" s="337">
        <f>'10U COED GOLD-16 TEAMS CUSTOM'!A24</f>
        <v>46053</v>
      </c>
      <c r="B247" s="338">
        <f>'10U COED GOLD-16 TEAMS CUSTOM'!B24</f>
        <v>0.67708333333333304</v>
      </c>
      <c r="C247" s="338" t="str">
        <f>'10U COED GOLD-16 TEAMS CUSTOM'!C24&amp;""</f>
        <v>WOOLLETT FAR LEFT</v>
      </c>
      <c r="D247" s="340" t="str">
        <f>'10U COED GOLD-16 TEAMS CUSTOM'!D24&amp;""</f>
        <v>10Cau12</v>
      </c>
      <c r="E247" s="340" t="str">
        <f>'10U COED GOLD-16 TEAMS CUSTOM'!E24&amp;""</f>
        <v>G2-DEL MAR BLUE (girls)</v>
      </c>
      <c r="F247" s="340" t="str">
        <f>'10U COED GOLD-16 TEAMS CUSTOM'!F24&amp;""</f>
        <v>17</v>
      </c>
      <c r="G247" s="340" t="str">
        <f>'10U COED GOLD-16 TEAMS CUSTOM'!G24&amp;""</f>
        <v>G4-SAN CLEMENTE RED (girls)</v>
      </c>
      <c r="H247" s="339" t="str">
        <f>'10U COED GOLD-16 TEAMS CUSTOM'!H24&amp;""</f>
        <v>4</v>
      </c>
      <c r="I247" s="340" t="str">
        <f>'10U COED GOLD-16 TEAMS CUSTOM'!I24&amp;""</f>
        <v>girls 1st-4th</v>
      </c>
      <c r="J247" s="339" t="str">
        <f>'10U COED GOLD-16 TEAMS CUSTOM'!J24&amp;""</f>
        <v>10U_COED_GOLD</v>
      </c>
      <c r="K247" s="339" t="str">
        <f t="shared" si="5"/>
        <v>202601311615</v>
      </c>
    </row>
    <row r="248" spans="1:11">
      <c r="A248" s="428">
        <f>'19U BOYS SILVER-6 TEAMS CUST'!A14</f>
        <v>46053</v>
      </c>
      <c r="B248" s="429">
        <f>'19U BOYS SILVER-6 TEAMS CUST'!B14</f>
        <v>0.6875</v>
      </c>
      <c r="C248" s="429" t="str">
        <f>'19U BOYS SILVER-6 TEAMS CUST'!C14&amp;""</f>
        <v>SADDLEBACK COLLEGE</v>
      </c>
      <c r="D248" s="430" t="str">
        <f>'19U BOYS SILVER-6 TEAMS CUST'!D14&amp;""</f>
        <v>19Bag05</v>
      </c>
      <c r="E248" s="430" t="str">
        <f>'19U BOYS SILVER-6 TEAMS CUST'!E14&amp;""</f>
        <v>A1-SHORE AQUATICS</v>
      </c>
      <c r="F248" s="430" t="str">
        <f>'19U BOYS SILVER-6 TEAMS CUST'!F14&amp;""</f>
        <v>10</v>
      </c>
      <c r="G248" s="430" t="str">
        <f>'19U BOYS SILVER-6 TEAMS CUST'!G14&amp;""</f>
        <v>A2-OPA</v>
      </c>
      <c r="H248" s="430" t="str">
        <f>'19U BOYS SILVER-6 TEAMS CUST'!H14&amp;""</f>
        <v>8</v>
      </c>
      <c r="I248" s="430" t="str">
        <f>'19U BOYS SILVER-6 TEAMS CUST'!I14&amp;""</f>
        <v>A bracket A1,A2</v>
      </c>
      <c r="J248" s="430" t="str">
        <f>'19U BOYS SILVER-6 TEAMS CUST'!J14&amp;""</f>
        <v>19U_BOYS_SILVER</v>
      </c>
      <c r="K248" s="430" t="str">
        <f t="shared" si="5"/>
        <v>202601311630</v>
      </c>
    </row>
    <row r="249" spans="1:11">
      <c r="A249" s="432">
        <f>'19U BOYS GOLD-16 TEAMS'!A22</f>
        <v>46053</v>
      </c>
      <c r="B249" s="433">
        <f>'19U BOYS GOLD-16 TEAMS'!B22</f>
        <v>0.70833333333333304</v>
      </c>
      <c r="C249" s="433" t="str">
        <f>'19U BOYS GOLD-16 TEAMS'!C22&amp;""</f>
        <v>EDISON HS</v>
      </c>
      <c r="D249" s="434" t="str">
        <f>'19U BOYS GOLD-16 TEAMS'!D22&amp;""</f>
        <v>19Bau13</v>
      </c>
      <c r="E249" s="434" t="str">
        <f>'19U BOYS GOLD-16 TEAMS'!E22&amp;""</f>
        <v>L#9-WCAC UNITED</v>
      </c>
      <c r="F249" s="434" t="str">
        <f>'19U BOYS GOLD-16 TEAMS'!F22&amp;""</f>
        <v>8</v>
      </c>
      <c r="G249" s="434" t="str">
        <f>'19U BOYS GOLD-16 TEAMS'!G22&amp;""</f>
        <v>L#10-SET</v>
      </c>
      <c r="H249" s="434" t="str">
        <f>'19U BOYS GOLD-16 TEAMS'!H22&amp;""</f>
        <v>16</v>
      </c>
      <c r="I249" s="434" t="str">
        <f>'19U BOYS GOLD-16 TEAMS'!I22&amp;""</f>
        <v>3rd/4thD</v>
      </c>
      <c r="J249" s="434" t="str">
        <f>'19U BOYS GOLD-16 TEAMS'!J22&amp;""</f>
        <v>19U_BOYS_GOLD</v>
      </c>
      <c r="K249" s="434" t="str">
        <f t="shared" si="5"/>
        <v>202601311700</v>
      </c>
    </row>
    <row r="250" spans="1:11">
      <c r="A250" s="406">
        <f>'16U BOYS SILVER-20 TEAMS'!A32</f>
        <v>46053</v>
      </c>
      <c r="B250" s="407">
        <f>'16U BOYS SILVER-20 TEAMS'!B32</f>
        <v>0.70833333333333304</v>
      </c>
      <c r="C250" s="407" t="str">
        <f>'16U BOYS SILVER-20 TEAMS'!C32&amp;""</f>
        <v>ESTANCIA HS 1</v>
      </c>
      <c r="D250" s="408" t="str">
        <f>'16U BOYS SILVER-20 TEAMS'!D32&amp;""</f>
        <v>16Bag21</v>
      </c>
      <c r="E250" s="408" t="str">
        <f>'16U BOYS SILVER-20 TEAMS'!E32&amp;""</f>
        <v>J1(1stD)-CC UNITED WHITE</v>
      </c>
      <c r="F250" s="408" t="str">
        <f>'16U BOYS SILVER-20 TEAMS'!F32&amp;""</f>
        <v>8</v>
      </c>
      <c r="G250" s="408" t="str">
        <f>'16U BOYS SILVER-20 TEAMS'!G32&amp;""</f>
        <v>J3(1stF)-HIELAND</v>
      </c>
      <c r="H250" s="408" t="str">
        <f>'16U BOYS SILVER-20 TEAMS'!H32&amp;""</f>
        <v>7</v>
      </c>
      <c r="I250" s="408" t="str">
        <f>'16U BOYS SILVER-20 TEAMS'!I32&amp;""</f>
        <v>J bracket</v>
      </c>
      <c r="J250" s="408" t="str">
        <f>'16U BOYS SILVER-20 TEAMS'!J32&amp;""</f>
        <v>16U_BOYS_SILVER</v>
      </c>
      <c r="K250" s="408" t="str">
        <f t="shared" si="5"/>
        <v>202601311700</v>
      </c>
    </row>
    <row r="251" spans="1:11">
      <c r="A251" s="406">
        <f>'16U BOYS SILVER-20 TEAMS'!A45</f>
        <v>46053</v>
      </c>
      <c r="B251" s="407">
        <f>'16U BOYS SILVER-20 TEAMS'!B45</f>
        <v>0.70833333333333304</v>
      </c>
      <c r="C251" s="407" t="str">
        <f>'16U BOYS SILVER-20 TEAMS'!C45&amp;""</f>
        <v>FULLERTON COLLEGE</v>
      </c>
      <c r="D251" s="409" t="str">
        <f>'16U BOYS SILVER-20 TEAMS'!D45&amp;""</f>
        <v>16Bag23</v>
      </c>
      <c r="E251" s="408" t="str">
        <f>'16U BOYS SILVER-20 TEAMS'!E45&amp;""</f>
        <v>K1(2ndD)-SD ECA</v>
      </c>
      <c r="F251" s="408" t="str">
        <f>'16U BOYS SILVER-20 TEAMS'!F45&amp;""</f>
        <v>11</v>
      </c>
      <c r="G251" s="408" t="str">
        <f>'16U BOYS SILVER-20 TEAMS'!G45&amp;""</f>
        <v>K3(2ndF)-WCAC UNITED</v>
      </c>
      <c r="H251" s="408" t="str">
        <f>'16U BOYS SILVER-20 TEAMS'!H45&amp;""</f>
        <v>4</v>
      </c>
      <c r="I251" s="408" t="str">
        <f>'16U BOYS SILVER-20 TEAMS'!I45&amp;""</f>
        <v>K bracket</v>
      </c>
      <c r="J251" s="408" t="str">
        <f>'16U BOYS SILVER-20 TEAMS'!J45&amp;""</f>
        <v>16U_BOYS_SILVER</v>
      </c>
      <c r="K251" s="408" t="str">
        <f t="shared" si="5"/>
        <v>202601311700</v>
      </c>
    </row>
    <row r="252" spans="1:11">
      <c r="A252" s="432">
        <f>'19U BOYS GOLD-16 TEAMS'!A21</f>
        <v>46053</v>
      </c>
      <c r="B252" s="433">
        <f>'19U BOYS GOLD-16 TEAMS'!B21</f>
        <v>0.70833333333333304</v>
      </c>
      <c r="C252" s="433" t="str">
        <f>'19U BOYS GOLD-16 TEAMS'!C21&amp;""</f>
        <v>SAN JUAN HILLS HS</v>
      </c>
      <c r="D252" s="434" t="str">
        <f>'19U BOYS GOLD-16 TEAMS'!D21&amp;""</f>
        <v>19Bau08</v>
      </c>
      <c r="E252" s="434" t="str">
        <f>'19U BOYS GOLD-16 TEAMS'!E21&amp;""</f>
        <v>W#3-MISSON WPC</v>
      </c>
      <c r="F252" s="434" t="str">
        <f>'19U BOYS GOLD-16 TEAMS'!F21&amp;""</f>
        <v>8</v>
      </c>
      <c r="G252" s="434" t="str">
        <f>'19U BOYS GOLD-16 TEAMS'!G21&amp;""</f>
        <v>W#4-AMERICAN RIVER GOLD</v>
      </c>
      <c r="H252" s="434" t="str">
        <f>'19U BOYS GOLD-16 TEAMS'!H21&amp;""</f>
        <v>6</v>
      </c>
      <c r="I252" s="434" t="str">
        <f>'19U BOYS GOLD-16 TEAMS'!I21&amp;""</f>
        <v>1st/2ndC</v>
      </c>
      <c r="J252" s="434" t="str">
        <f>'19U BOYS GOLD-16 TEAMS'!J21&amp;""</f>
        <v>19U_BOYS_GOLD</v>
      </c>
      <c r="K252" s="434" t="str">
        <f t="shared" si="5"/>
        <v>202601311700</v>
      </c>
    </row>
    <row r="253" spans="1:11">
      <c r="A253" s="421">
        <f>'16U BOYS PLATINUM-18 TEAMS'!A29</f>
        <v>46053</v>
      </c>
      <c r="B253" s="422">
        <f>'16U BOYS PLATINUM-18 TEAMS'!B29</f>
        <v>0.70833333333333304</v>
      </c>
      <c r="C253" s="422" t="str">
        <f>'16U BOYS PLATINUM-18 TEAMS'!C29&amp;""</f>
        <v>SONORA HS</v>
      </c>
      <c r="D253" s="423" t="str">
        <f>'16U BOYS PLATINUM-18 TEAMS'!D29&amp;""</f>
        <v>16Bpt15</v>
      </c>
      <c r="E253" s="422" t="str">
        <f>'16U BOYS PLATINUM-18 TEAMS'!E29&amp;""</f>
        <v>B1-LA JOLLA UNITED NAVY</v>
      </c>
      <c r="F253" s="426" t="str">
        <f>'16U BOYS PLATINUM-18 TEAMS'!F29&amp;""</f>
        <v>8</v>
      </c>
      <c r="G253" s="422" t="str">
        <f>'16U BOYS PLATINUM-18 TEAMS'!G29&amp;""</f>
        <v>B2-AMERICAN RIVER BLUE</v>
      </c>
      <c r="H253" s="425" t="str">
        <f>'16U BOYS PLATINUM-18 TEAMS'!H29&amp;""</f>
        <v>10</v>
      </c>
      <c r="I253" s="426" t="str">
        <f>'16U BOYS PLATINUM-18 TEAMS'!I29&amp;""</f>
        <v>B bracket B1,B2</v>
      </c>
      <c r="J253" s="423" t="str">
        <f>'16U BOYS PLATINUM-18 TEAMS'!J29&amp;""</f>
        <v>16U_BOYS_PLATINUM</v>
      </c>
      <c r="K253" s="423" t="str">
        <f t="shared" si="5"/>
        <v>202601311700</v>
      </c>
    </row>
    <row r="254" spans="1:11">
      <c r="A254" s="410">
        <f>'16U BOYS GOLD-19 TEAMS'!A33</f>
        <v>46053</v>
      </c>
      <c r="B254" s="411">
        <f>'16U BOYS GOLD-19 TEAMS'!B33</f>
        <v>0.70833333333333304</v>
      </c>
      <c r="C254" s="411" t="str">
        <f>'16U BOYS GOLD-19 TEAMS'!C33&amp;""</f>
        <v>WESTMINSTER HS</v>
      </c>
      <c r="D254" s="412" t="str">
        <f>'16U BOYS GOLD-19 TEAMS'!D33&amp;""</f>
        <v>16Bau09</v>
      </c>
      <c r="E254" s="412" t="str">
        <f>'16U BOYS GOLD-19 TEAMS'!E33&amp;""</f>
        <v>C1-ST LOUIS AREA POLO</v>
      </c>
      <c r="F254" s="412" t="str">
        <f>'16U BOYS GOLD-19 TEAMS'!F33&amp;""</f>
        <v>10</v>
      </c>
      <c r="G254" s="412" t="str">
        <f>'16U BOYS GOLD-19 TEAMS'!G33&amp;""</f>
        <v>C2-CAL REPUBLIC</v>
      </c>
      <c r="H254" s="412" t="str">
        <f>'16U BOYS GOLD-19 TEAMS'!H33&amp;""</f>
        <v>11</v>
      </c>
      <c r="I254" s="412" t="str">
        <f>'16U BOYS GOLD-19 TEAMS'!I33&amp;""</f>
        <v>C bracket</v>
      </c>
      <c r="J254" s="412" t="str">
        <f>'16U BOYS GOLD-19 TEAMS'!J33&amp;""</f>
        <v>16U_BOYS_GOLD</v>
      </c>
      <c r="K254" s="412" t="str">
        <f t="shared" si="5"/>
        <v>202601311700</v>
      </c>
    </row>
    <row r="255" spans="1:11">
      <c r="A255" s="435">
        <f>'19U BOYS PLATINUM-27 TEAMS'!A38</f>
        <v>46053</v>
      </c>
      <c r="B255" s="436">
        <f>'19U BOYS PLATINUM-27 TEAMS'!B38</f>
        <v>0.70833333333333304</v>
      </c>
      <c r="C255" s="437" t="str">
        <f>'19U BOYS PLATINUM-27 TEAMS'!C38&amp;""</f>
        <v>WOOLLETT NEAR LEFT</v>
      </c>
      <c r="D255" s="437" t="str">
        <f>'19U BOYS PLATINUM-27 TEAMS'!D38&amp;""</f>
        <v>19Bpt07</v>
      </c>
      <c r="E255" s="438" t="str">
        <f>'19U BOYS PLATINUM-27 TEAMS'!E38&amp;""</f>
        <v>A1(1)-CC UNITED BLACK</v>
      </c>
      <c r="F255" s="438" t="str">
        <f>'19U BOYS PLATINUM-27 TEAMS'!F38&amp;""</f>
        <v>21</v>
      </c>
      <c r="G255" s="438" t="str">
        <f>'19U BOYS PLATINUM-27 TEAMS'!G38&amp;""</f>
        <v>A2(16)-POWAY VALLEY BLACK</v>
      </c>
      <c r="H255" s="438" t="str">
        <f>'19U BOYS PLATINUM-27 TEAMS'!H38&amp;""</f>
        <v>14</v>
      </c>
      <c r="I255" s="437" t="str">
        <f>'19U BOYS PLATINUM-27 TEAMS'!I38&amp;""</f>
        <v>A bracket A1,A2</v>
      </c>
      <c r="J255" s="438" t="str">
        <f>'19U BOYS PLATINUM-27 TEAMS'!J38&amp;""</f>
        <v>19U_BOYS_PLATINUM</v>
      </c>
      <c r="K255" s="438" t="str">
        <f t="shared" si="5"/>
        <v>202601311700</v>
      </c>
    </row>
    <row r="256" spans="1:11">
      <c r="A256" s="435">
        <f>'19U BOYS PLATINUM-27 TEAMS'!A53</f>
        <v>46053</v>
      </c>
      <c r="B256" s="436">
        <f>'19U BOYS PLATINUM-27 TEAMS'!B53</f>
        <v>0.70833333333333304</v>
      </c>
      <c r="C256" s="437" t="str">
        <f>'19U BOYS PLATINUM-27 TEAMS'!C53&amp;""</f>
        <v>WOOLLETT NEAR RIGHT</v>
      </c>
      <c r="D256" s="437" t="str">
        <f>'19U BOYS PLATINUM-27 TEAMS'!D53&amp;""</f>
        <v>19Bpt21</v>
      </c>
      <c r="E256" s="438" t="str">
        <f>'19U BOYS PLATINUM-27 TEAMS'!E53&amp;""</f>
        <v>L#16-FOOTHILL BLACK</v>
      </c>
      <c r="F256" s="438" t="str">
        <f>'19U BOYS PLATINUM-27 TEAMS'!F53&amp;""</f>
        <v>6</v>
      </c>
      <c r="G256" s="438" t="str">
        <f>'19U BOYS PLATINUM-27 TEAMS'!G53&amp;""</f>
        <v>L#17-SHAQ</v>
      </c>
      <c r="H256" s="438" t="str">
        <f>'19U BOYS PLATINUM-27 TEAMS'!H53&amp;""</f>
        <v>15</v>
      </c>
      <c r="I256" s="437" t="str">
        <f>'19U BOYS PLATINUM-27 TEAMS'!I53&amp;""</f>
        <v>3rd/4th H</v>
      </c>
      <c r="J256" s="438" t="str">
        <f>'19U BOYS PLATINUM-27 TEAMS'!J53&amp;""</f>
        <v>19U_BOYS_PLATINUM</v>
      </c>
      <c r="K256" s="438" t="str">
        <f t="shared" si="5"/>
        <v>202601311700</v>
      </c>
    </row>
    <row r="257" spans="1:11">
      <c r="A257" s="421">
        <f>'16U BOYS PLATINUM-18 TEAMS'!A38</f>
        <v>46053</v>
      </c>
      <c r="B257" s="422">
        <f>'16U BOYS PLATINUM-18 TEAMS'!B38</f>
        <v>0.70833333333333304</v>
      </c>
      <c r="C257" s="422" t="str">
        <f>'16U BOYS PLATINUM-18 TEAMS'!C38&amp;""</f>
        <v>YORBA LINDA HS</v>
      </c>
      <c r="D257" s="422" t="str">
        <f>'16U BOYS PLATINUM-18 TEAMS'!D38&amp;""</f>
        <v>16Bpt14</v>
      </c>
      <c r="E257" s="423" t="str">
        <f>'16U BOYS PLATINUM-18 TEAMS'!E38&amp;""</f>
        <v>D1-LAMORINDA A</v>
      </c>
      <c r="F257" s="424" t="str">
        <f>'16U BOYS PLATINUM-18 TEAMS'!F38&amp;""</f>
        <v>15</v>
      </c>
      <c r="G257" s="425" t="str">
        <f>'16U BOYS PLATINUM-18 TEAMS'!G38&amp;""</f>
        <v>D2-SOUTH COAST RED (A)</v>
      </c>
      <c r="H257" s="424" t="str">
        <f>'16U BOYS PLATINUM-18 TEAMS'!H38&amp;""</f>
        <v>8</v>
      </c>
      <c r="I257" s="425" t="str">
        <f>'16U BOYS PLATINUM-18 TEAMS'!I38&amp;""</f>
        <v>D bracket D1,D2</v>
      </c>
      <c r="J257" s="426" t="str">
        <f>'16U BOYS PLATINUM-18 TEAMS'!J38&amp;""</f>
        <v>16U_BOYS_PLATINUM</v>
      </c>
      <c r="K257" s="426" t="str">
        <f t="shared" si="5"/>
        <v>202601311700</v>
      </c>
    </row>
    <row r="258" spans="1:11">
      <c r="A258" s="370">
        <f>'12U BOYS PLATINUM-10 TEAMS'!A19</f>
        <v>46053</v>
      </c>
      <c r="B258" s="371">
        <f>'12U BOYS PLATINUM-10 TEAMS'!B19</f>
        <v>0.70833333333333404</v>
      </c>
      <c r="C258" s="372" t="str">
        <f>'12U BOYS PLATINUM-10 TEAMS'!C19&amp;""</f>
        <v>BECKMAN HS 1</v>
      </c>
      <c r="D258" s="373" t="str">
        <f>'12U BOYS PLATINUM-10 TEAMS'!D19&amp;""</f>
        <v>12Bpt08</v>
      </c>
      <c r="E258" s="373" t="str">
        <f>'12U BOYS PLATINUM-10 TEAMS'!E19&amp;""</f>
        <v>C3-SHAQ</v>
      </c>
      <c r="F258" s="373" t="str">
        <f>'12U BOYS PLATINUM-10 TEAMS'!F19&amp;""</f>
        <v>9</v>
      </c>
      <c r="G258" s="373" t="str">
        <f>'12U BOYS PLATINUM-10 TEAMS'!G19&amp;""</f>
        <v>C4-DAVIS</v>
      </c>
      <c r="H258" s="373" t="str">
        <f>'12U BOYS PLATINUM-10 TEAMS'!H19&amp;""</f>
        <v>5</v>
      </c>
      <c r="I258" s="373" t="str">
        <f>'12U BOYS PLATINUM-10 TEAMS'!I19&amp;""</f>
        <v>C bracket C3,C4</v>
      </c>
      <c r="J258" s="373" t="str">
        <f>'12U BOYS PLATINUM-10 TEAMS'!J19&amp;""</f>
        <v>12U_BOYS_PLATINUM</v>
      </c>
      <c r="K258" s="373" t="str">
        <f t="shared" si="5"/>
        <v>202601311700</v>
      </c>
    </row>
    <row r="259" spans="1:11">
      <c r="A259" s="394">
        <f>'14U BOYS GOLD-26 TEAMS'!A37</f>
        <v>46053</v>
      </c>
      <c r="B259" s="395">
        <f>'14U BOYS GOLD-26 TEAMS'!B37</f>
        <v>0.70833333333333404</v>
      </c>
      <c r="C259" s="396" t="str">
        <f>'14U BOYS GOLD-26 TEAMS'!C37&amp;""</f>
        <v>COSTA MESA HS 1</v>
      </c>
      <c r="D259" s="396" t="str">
        <f>'14U BOYS GOLD-26 TEAMS'!D37&amp;""</f>
        <v>14Bau12</v>
      </c>
      <c r="E259" s="396" t="str">
        <f>'14U BOYS GOLD-26 TEAMS'!E37&amp;""</f>
        <v>B1(4)-DAVIS</v>
      </c>
      <c r="F259" s="396" t="str">
        <f>'14U BOYS GOLD-26 TEAMS'!F37&amp;""</f>
        <v>4</v>
      </c>
      <c r="G259" s="396" t="str">
        <f>'14U BOYS GOLD-26 TEAMS'!G37&amp;""</f>
        <v>B2(13)-BACK BAY</v>
      </c>
      <c r="H259" s="396" t="str">
        <f>'14U BOYS GOLD-26 TEAMS'!H37&amp;""</f>
        <v>11</v>
      </c>
      <c r="I259" s="396" t="str">
        <f>'14U BOYS GOLD-26 TEAMS'!I37&amp;""</f>
        <v>B bracket B1,B2</v>
      </c>
      <c r="J259" s="397" t="str">
        <f>'14U BOYS GOLD-26 TEAMS'!J37&amp;""</f>
        <v>14U_BOYS_GOLD</v>
      </c>
      <c r="K259" s="397" t="str">
        <f t="shared" si="5"/>
        <v>202601311700</v>
      </c>
    </row>
    <row r="260" spans="1:11">
      <c r="A260" s="357">
        <f>'12U BOYS GOLD-24 TEAMS'!A39</f>
        <v>46053</v>
      </c>
      <c r="B260" s="358">
        <f>'12U BOYS GOLD-24 TEAMS'!B39</f>
        <v>0.70833333333333404</v>
      </c>
      <c r="C260" s="358" t="str">
        <f>'12U BOYS GOLD-24 TEAMS'!C39&amp;""</f>
        <v>COSTA MESA HS 2</v>
      </c>
      <c r="D260" s="359" t="str">
        <f>'12U BOYS GOLD-24 TEAMS'!D39&amp;""</f>
        <v>12Bau10A</v>
      </c>
      <c r="E260" s="360" t="str">
        <f>'12U BOYS GOLD-24 TEAMS'!E39&amp;""</f>
        <v>H1(7)-FOOTHILL RED</v>
      </c>
      <c r="F260" s="360" t="str">
        <f>'12U BOYS GOLD-24 TEAMS'!F39&amp;""</f>
        <v>17</v>
      </c>
      <c r="G260" s="360" t="str">
        <f>'12U BOYS GOLD-24 TEAMS'!G39&amp;""</f>
        <v>H2(10)-AMERICAN RIVER BLUE</v>
      </c>
      <c r="H260" s="359" t="str">
        <f>'12U BOYS GOLD-24 TEAMS'!H39&amp;""</f>
        <v>4</v>
      </c>
      <c r="I260" s="359" t="str">
        <f>'12U BOYS GOLD-24 TEAMS'!I39&amp;""</f>
        <v>H bracket H1,H2</v>
      </c>
      <c r="J260" s="359" t="str">
        <f>'12U BOYS GOLD-24 TEAMS'!J39&amp;""</f>
        <v>12U_BOYS_GOLD</v>
      </c>
      <c r="K260" s="359" t="str">
        <f t="shared" si="5"/>
        <v>202601311700</v>
      </c>
    </row>
    <row r="261" spans="1:11">
      <c r="A261" s="399">
        <f>'14U BOYS PLATINUM-20 TEAMS'!A32</f>
        <v>46053</v>
      </c>
      <c r="B261" s="400">
        <f>'14U BOYS PLATINUM-20 TEAMS'!B32</f>
        <v>0.70833333333333404</v>
      </c>
      <c r="C261" s="400" t="str">
        <f>'14U BOYS PLATINUM-20 TEAMS'!C32&amp;""</f>
        <v>EL TORO HS 1</v>
      </c>
      <c r="D261" s="401" t="str">
        <f>'14U BOYS PLATINUM-20 TEAMS'!D32&amp;""</f>
        <v>14Bpt21</v>
      </c>
      <c r="E261" s="404" t="str">
        <f>'14U BOYS PLATINUM-20 TEAMS'!E32&amp;""</f>
        <v>J1(1stD)-LA JOLLA UNITED NAVY</v>
      </c>
      <c r="F261" s="401" t="str">
        <f>'14U BOYS PLATINUM-20 TEAMS'!F32&amp;""</f>
        <v>14</v>
      </c>
      <c r="G261" s="401" t="str">
        <f>'14U BOYS PLATINUM-20 TEAMS'!G32&amp;""</f>
        <v>J3(1stF)-PATRIOT NAVY</v>
      </c>
      <c r="H261" s="401" t="str">
        <f>'14U BOYS PLATINUM-20 TEAMS'!H32&amp;""</f>
        <v>9</v>
      </c>
      <c r="I261" s="401" t="str">
        <f>'14U BOYS PLATINUM-20 TEAMS'!I32&amp;""</f>
        <v>J bracket</v>
      </c>
      <c r="J261" s="401" t="str">
        <f>'14U BOYS PLATINUM-20 TEAMS'!J32&amp;""</f>
        <v>14U_BOYS_PLATINUM</v>
      </c>
      <c r="K261" s="401" t="str">
        <f t="shared" si="5"/>
        <v>202601311700</v>
      </c>
    </row>
    <row r="262" spans="1:11">
      <c r="A262" s="399">
        <f>'14U BOYS PLATINUM-20 TEAMS'!A42</f>
        <v>46053</v>
      </c>
      <c r="B262" s="400">
        <f>'14U BOYS PLATINUM-20 TEAMS'!B42</f>
        <v>0.70833333333333404</v>
      </c>
      <c r="C262" s="400" t="str">
        <f>'14U BOYS PLATINUM-20 TEAMS'!C42&amp;""</f>
        <v>TUSTIN HS 1</v>
      </c>
      <c r="D262" s="403" t="str">
        <f>'14U BOYS PLATINUM-20 TEAMS'!D42&amp;""</f>
        <v>14Bpt05</v>
      </c>
      <c r="E262" s="401" t="str">
        <f>'14U BOYS PLATINUM-20 TEAMS'!E42&amp;""</f>
        <v>W#1-CHANNEL ISLANDS UNITED GOLD</v>
      </c>
      <c r="F262" s="401" t="str">
        <f>'14U BOYS PLATINUM-20 TEAMS'!F42&amp;""</f>
        <v>14</v>
      </c>
      <c r="G262" s="401" t="str">
        <f>'14U BOYS PLATINUM-20 TEAMS'!G42&amp;""</f>
        <v>W#2-ORANGE COUNTY WPC BLUE</v>
      </c>
      <c r="H262" s="401" t="str">
        <f>'14U BOYS PLATINUM-20 TEAMS'!H42&amp;""</f>
        <v>6</v>
      </c>
      <c r="I262" s="401" t="str">
        <f>'14U BOYS PLATINUM-20 TEAMS'!I42&amp;""</f>
        <v>1st/2ndE</v>
      </c>
      <c r="J262" s="401" t="str">
        <f>'14U BOYS PLATINUM-20 TEAMS'!J42&amp;""</f>
        <v>14U_BOYS_PLATINUM</v>
      </c>
      <c r="K262" s="401" t="str">
        <f t="shared" si="5"/>
        <v>202601311700</v>
      </c>
    </row>
    <row r="263" spans="1:11">
      <c r="A263" s="354">
        <f>'12U BOYS GOLD-24 TEAMS'!A24</f>
        <v>46053</v>
      </c>
      <c r="B263" s="355">
        <f>'12U BOYS GOLD-24 TEAMS'!B24</f>
        <v>0.70833333333333404</v>
      </c>
      <c r="C263" s="355" t="str">
        <f>'12U BOYS GOLD-24 TEAMS'!C24&amp;""</f>
        <v>TUSTIN HS 2</v>
      </c>
      <c r="D263" s="356" t="str">
        <f>'12U BOYS GOLD-24 TEAMS'!D24&amp;""</f>
        <v>12Bau10</v>
      </c>
      <c r="E263" s="362" t="str">
        <f>'12U BOYS GOLD-24 TEAMS'!E24&amp;""</f>
        <v>C1(5)-BACK BAY</v>
      </c>
      <c r="F263" s="362" t="str">
        <f>'12U BOYS GOLD-24 TEAMS'!F24&amp;""</f>
        <v>17</v>
      </c>
      <c r="G263" s="362" t="str">
        <f>'12U BOYS GOLD-24 TEAMS'!G24&amp;""</f>
        <v>C2(12)-CC UNITED BLUE</v>
      </c>
      <c r="H263" s="356" t="str">
        <f>'12U BOYS GOLD-24 TEAMS'!H24&amp;""</f>
        <v>4</v>
      </c>
      <c r="I263" s="356" t="str">
        <f>'12U BOYS GOLD-24 TEAMS'!I24&amp;""</f>
        <v>C bracket C1,C2</v>
      </c>
      <c r="J263" s="356" t="str">
        <f>'12U BOYS GOLD-24 TEAMS'!J24&amp;""</f>
        <v>12U_BOYS_GOLD</v>
      </c>
      <c r="K263" s="356" t="str">
        <f t="shared" si="5"/>
        <v>202601311700</v>
      </c>
    </row>
    <row r="264" spans="1:11">
      <c r="A264" s="351">
        <f>'12U GIRLS PLATINUM-12 TEAMS'!A21</f>
        <v>46053</v>
      </c>
      <c r="B264" s="352">
        <f>'12U GIRLS PLATINUM-12 TEAMS'!B21</f>
        <v>0.70833333333333404</v>
      </c>
      <c r="C264" s="351" t="str">
        <f>'12U GIRLS PLATINUM-12 TEAMS'!C21&amp;""</f>
        <v>WOOLLETT FAR RIGHT</v>
      </c>
      <c r="D264" s="353" t="str">
        <f>'12U GIRLS PLATINUM-12 TEAMS'!D21&amp;""</f>
        <v>12Gpt10</v>
      </c>
      <c r="E264" s="351" t="str">
        <f>'12U GIRLS PLATINUM-12 TEAMS'!E21&amp;""</f>
        <v>D2-LA JOLLA UNITED</v>
      </c>
      <c r="F264" s="353" t="str">
        <f>'12U GIRLS PLATINUM-12 TEAMS'!F21&amp;""</f>
        <v>7</v>
      </c>
      <c r="G264" s="351" t="str">
        <f>'12U GIRLS PLATINUM-12 TEAMS'!G21&amp;""</f>
        <v>D3-NORTH IRVINE</v>
      </c>
      <c r="H264" s="353" t="str">
        <f>'12U GIRLS PLATINUM-12 TEAMS'!H21&amp;""</f>
        <v>2</v>
      </c>
      <c r="I264" s="353" t="str">
        <f>'12U GIRLS PLATINUM-12 TEAMS'!I21&amp;""</f>
        <v>D bracket D2,D3</v>
      </c>
      <c r="J264" s="353" t="str">
        <f>'12U GIRLS PLATINUM-12 TEAMS'!J21&amp;""</f>
        <v>12U_GIRLS_PLATINUM</v>
      </c>
      <c r="K264" s="353" t="str">
        <f t="shared" si="5"/>
        <v>202601311700</v>
      </c>
    </row>
    <row r="265" spans="1:11">
      <c r="A265" s="428">
        <f>'19U BOYS SILVER-6 TEAMS CUST'!A15</f>
        <v>46053</v>
      </c>
      <c r="B265" s="429">
        <f>'19U BOYS SILVER-6 TEAMS CUST'!B15</f>
        <v>0.72916666666666696</v>
      </c>
      <c r="C265" s="429" t="str">
        <f>'19U BOYS SILVER-6 TEAMS CUST'!C15&amp;""</f>
        <v>SADDLEBACK COLLEGE</v>
      </c>
      <c r="D265" s="430" t="str">
        <f>'19U BOYS SILVER-6 TEAMS CUST'!D15&amp;""</f>
        <v>19Bag06</v>
      </c>
      <c r="E265" s="430" t="str">
        <f>'19U BOYS SILVER-6 TEAMS CUST'!E15&amp;""</f>
        <v>B2-SAN JOSE EXPRESS GOLD</v>
      </c>
      <c r="F265" s="430" t="str">
        <f>'19U BOYS SILVER-6 TEAMS CUST'!F15&amp;""</f>
        <v>5</v>
      </c>
      <c r="G265" s="430" t="str">
        <f>'19U BOYS SILVER-6 TEAMS CUST'!G15&amp;""</f>
        <v>B3-OHANA</v>
      </c>
      <c r="H265" s="430" t="str">
        <f>'19U BOYS SILVER-6 TEAMS CUST'!H15&amp;""</f>
        <v>15</v>
      </c>
      <c r="I265" s="430" t="str">
        <f>'19U BOYS SILVER-6 TEAMS CUST'!I15&amp;""</f>
        <v>B bracket B2,B3</v>
      </c>
      <c r="J265" s="430" t="str">
        <f>'19U BOYS SILVER-6 TEAMS CUST'!J15&amp;""</f>
        <v>19U_BOYS_SILVER</v>
      </c>
      <c r="K265" s="430" t="str">
        <f t="shared" si="5"/>
        <v>202601311730</v>
      </c>
    </row>
    <row r="266" spans="1:11">
      <c r="A266" s="370">
        <f>'12U BOYS PLATINUM-10 TEAMS'!A20</f>
        <v>46053</v>
      </c>
      <c r="B266" s="371">
        <f>'12U BOYS PLATINUM-10 TEAMS'!B20</f>
        <v>0.74305555555555602</v>
      </c>
      <c r="C266" s="372" t="str">
        <f>'12U BOYS PLATINUM-10 TEAMS'!C20&amp;""</f>
        <v>BECKMAN HS 1</v>
      </c>
      <c r="D266" s="373" t="str">
        <f>'12U BOYS PLATINUM-10 TEAMS'!D20&amp;""</f>
        <v>12Bpt09</v>
      </c>
      <c r="E266" s="373" t="str">
        <f>'12U BOYS PLATINUM-10 TEAMS'!E20&amp;""</f>
        <v>A1-MISSION WPC A</v>
      </c>
      <c r="F266" s="373" t="str">
        <f>'12U BOYS PLATINUM-10 TEAMS'!F20&amp;""</f>
        <v>18</v>
      </c>
      <c r="G266" s="373" t="str">
        <f>'12U BOYS PLATINUM-10 TEAMS'!G20&amp;""</f>
        <v>A2-LAMORINDA A</v>
      </c>
      <c r="H266" s="373" t="str">
        <f>'12U BOYS PLATINUM-10 TEAMS'!H20&amp;""</f>
        <v>6</v>
      </c>
      <c r="I266" s="373" t="str">
        <f>'12U BOYS PLATINUM-10 TEAMS'!I20&amp;""</f>
        <v>A bracket A1,A2</v>
      </c>
      <c r="J266" s="373" t="str">
        <f>'12U BOYS PLATINUM-10 TEAMS'!J20&amp;""</f>
        <v>12U_BOYS_PLATINUM</v>
      </c>
      <c r="K266" s="373" t="str">
        <f t="shared" si="5"/>
        <v>202601311750</v>
      </c>
    </row>
    <row r="267" spans="1:11">
      <c r="A267" s="394">
        <f>'14U BOYS GOLD-26 TEAMS'!A38</f>
        <v>46053</v>
      </c>
      <c r="B267" s="395">
        <f>'14U BOYS GOLD-26 TEAMS'!B38</f>
        <v>0.74305555555555602</v>
      </c>
      <c r="C267" s="396" t="str">
        <f>'14U BOYS GOLD-26 TEAMS'!C38&amp;""</f>
        <v>COSTA MESA HS 1</v>
      </c>
      <c r="D267" s="396" t="str">
        <f>'14U BOYS GOLD-26 TEAMS'!D38&amp;""</f>
        <v>14Bau13</v>
      </c>
      <c r="E267" s="397" t="str">
        <f>'14U BOYS GOLD-26 TEAMS'!E38&amp;""</f>
        <v>C2(12)-NORTHWEST</v>
      </c>
      <c r="F267" s="397" t="str">
        <f>'14U BOYS GOLD-26 TEAMS'!F38&amp;""</f>
        <v>9</v>
      </c>
      <c r="G267" s="397" t="str">
        <f>'14U BOYS GOLD-26 TEAMS'!G38&amp;""</f>
        <v>C3(21)-STANFORD 13</v>
      </c>
      <c r="H267" s="397" t="str">
        <f>'14U BOYS GOLD-26 TEAMS'!H38&amp;""</f>
        <v>7</v>
      </c>
      <c r="I267" s="396" t="str">
        <f>'14U BOYS GOLD-26 TEAMS'!I38&amp;""</f>
        <v>C bracket C2,C3</v>
      </c>
      <c r="J267" s="397" t="str">
        <f>'14U BOYS GOLD-26 TEAMS'!J38&amp;""</f>
        <v>14U_BOYS_GOLD</v>
      </c>
      <c r="K267" s="397" t="str">
        <f t="shared" si="5"/>
        <v>202601311750</v>
      </c>
    </row>
    <row r="268" spans="1:11">
      <c r="A268" s="357">
        <f>'12U BOYS GOLD-24 TEAMS'!A40</f>
        <v>46053</v>
      </c>
      <c r="B268" s="358">
        <f>'12U BOYS GOLD-24 TEAMS'!B40</f>
        <v>0.74305555555555602</v>
      </c>
      <c r="C268" s="358" t="str">
        <f>'12U BOYS GOLD-24 TEAMS'!C40&amp;""</f>
        <v>COSTA MESA HS 2</v>
      </c>
      <c r="D268" s="359" t="str">
        <f>'12U BOYS GOLD-24 TEAMS'!D40&amp;""</f>
        <v>12Bau11A</v>
      </c>
      <c r="E268" s="360" t="str">
        <f>'12U BOYS GOLD-24 TEAMS'!E40&amp;""</f>
        <v>F1(3)-CMAC</v>
      </c>
      <c r="F268" s="360" t="str">
        <f>'12U BOYS GOLD-24 TEAMS'!F40&amp;""</f>
        <v>5</v>
      </c>
      <c r="G268" s="360" t="str">
        <f>'12U BOYS GOLD-24 TEAMS'!G40&amp;""</f>
        <v>F2(14)-680 BLUE</v>
      </c>
      <c r="H268" s="359" t="str">
        <f>'12U BOYS GOLD-24 TEAMS'!H40&amp;""</f>
        <v>7</v>
      </c>
      <c r="I268" s="359" t="str">
        <f>'12U BOYS GOLD-24 TEAMS'!I40&amp;""</f>
        <v>F bracket F1,F2</v>
      </c>
      <c r="J268" s="359" t="str">
        <f>'12U BOYS GOLD-24 TEAMS'!J40&amp;""</f>
        <v>12U_BOYS_GOLD</v>
      </c>
      <c r="K268" s="359" t="str">
        <f t="shared" si="5"/>
        <v>202601311750</v>
      </c>
    </row>
    <row r="269" spans="1:11">
      <c r="A269" s="399">
        <f>'14U BOYS PLATINUM-20 TEAMS'!A33</f>
        <v>46053</v>
      </c>
      <c r="B269" s="400">
        <f>'14U BOYS PLATINUM-20 TEAMS'!B33</f>
        <v>0.74305555555555602</v>
      </c>
      <c r="C269" s="400" t="str">
        <f>'14U BOYS PLATINUM-20 TEAMS'!C33&amp;""</f>
        <v>EL TORO HS 1</v>
      </c>
      <c r="D269" s="401" t="str">
        <f>'14U BOYS PLATINUM-20 TEAMS'!D33&amp;""</f>
        <v>14Bpt23</v>
      </c>
      <c r="E269" s="401" t="str">
        <f>'14U BOYS PLATINUM-20 TEAMS'!E33&amp;""</f>
        <v>K1(2ndD)-PRIDE BLACK</v>
      </c>
      <c r="F269" s="401" t="str">
        <f>'14U BOYS PLATINUM-20 TEAMS'!F33&amp;""</f>
        <v>10</v>
      </c>
      <c r="G269" s="401" t="str">
        <f>'14U BOYS PLATINUM-20 TEAMS'!G33&amp;""</f>
        <v>K3(2ndF)-LA PREMIER</v>
      </c>
      <c r="H269" s="401" t="str">
        <f>'14U BOYS PLATINUM-20 TEAMS'!H33&amp;""</f>
        <v>9</v>
      </c>
      <c r="I269" s="401" t="str">
        <f>'14U BOYS PLATINUM-20 TEAMS'!I33&amp;""</f>
        <v>K bracket</v>
      </c>
      <c r="J269" s="401" t="str">
        <f>'14U BOYS PLATINUM-20 TEAMS'!J33&amp;""</f>
        <v>14U_BOYS_PLATINUM</v>
      </c>
      <c r="K269" s="401" t="str">
        <f t="shared" si="5"/>
        <v>202601311750</v>
      </c>
    </row>
    <row r="270" spans="1:11">
      <c r="A270" s="399">
        <f>'14U BOYS PLATINUM-20 TEAMS'!A43</f>
        <v>46053</v>
      </c>
      <c r="B270" s="400">
        <f>'14U BOYS PLATINUM-20 TEAMS'!B43</f>
        <v>0.74305555555555602</v>
      </c>
      <c r="C270" s="400" t="str">
        <f>'14U BOYS PLATINUM-20 TEAMS'!C43&amp;""</f>
        <v>TUSTIN HS 1</v>
      </c>
      <c r="D270" s="401" t="str">
        <f>'14U BOYS PLATINUM-20 TEAMS'!D43&amp;""</f>
        <v>14Bpt22</v>
      </c>
      <c r="E270" s="401" t="str">
        <f>'14U BOYS PLATINUM-20 TEAMS'!E43&amp;""</f>
        <v>H2(2ndB)-NORCAL</v>
      </c>
      <c r="F270" s="401" t="str">
        <f>'14U BOYS PLATINUM-20 TEAMS'!F43&amp;""</f>
        <v>13</v>
      </c>
      <c r="G270" s="401" t="str">
        <f>'14U BOYS PLATINUM-20 TEAMS'!G43&amp;""</f>
        <v>H3(2ndC)-SOUTH COAST RED (A)</v>
      </c>
      <c r="H270" s="401" t="str">
        <f>'14U BOYS PLATINUM-20 TEAMS'!H43&amp;""</f>
        <v>7</v>
      </c>
      <c r="I270" s="401" t="str">
        <f>'14U BOYS PLATINUM-20 TEAMS'!I43&amp;""</f>
        <v>H bracket</v>
      </c>
      <c r="J270" s="401" t="str">
        <f>'14U BOYS PLATINUM-20 TEAMS'!J43&amp;""</f>
        <v>14U_BOYS_PLATINUM</v>
      </c>
      <c r="K270" s="401" t="str">
        <f t="shared" si="5"/>
        <v>202601311750</v>
      </c>
    </row>
    <row r="271" spans="1:11">
      <c r="A271" s="354">
        <f>'12U BOYS GOLD-24 TEAMS'!A25</f>
        <v>46053</v>
      </c>
      <c r="B271" s="355">
        <f>'12U BOYS GOLD-24 TEAMS'!B25</f>
        <v>0.74305555555555602</v>
      </c>
      <c r="C271" s="355" t="str">
        <f>'12U BOYS GOLD-24 TEAMS'!C25&amp;""</f>
        <v>TUSTIN HS 2</v>
      </c>
      <c r="D271" s="356" t="str">
        <f>'12U BOYS GOLD-24 TEAMS'!D25&amp;""</f>
        <v>12Bau11</v>
      </c>
      <c r="E271" s="362" t="str">
        <f>'12U BOYS GOLD-24 TEAMS'!E25&amp;""</f>
        <v>D1(8)-GOLD COAST</v>
      </c>
      <c r="F271" s="362" t="str">
        <f>'12U BOYS GOLD-24 TEAMS'!F25&amp;""</f>
        <v>8</v>
      </c>
      <c r="G271" s="362" t="str">
        <f>'12U BOYS GOLD-24 TEAMS'!G25&amp;""</f>
        <v>D2(9)-NORTH IRVINE RED</v>
      </c>
      <c r="H271" s="356" t="str">
        <f>'12U BOYS GOLD-24 TEAMS'!H25&amp;""</f>
        <v>6</v>
      </c>
      <c r="I271" s="356" t="str">
        <f>'12U BOYS GOLD-24 TEAMS'!I25&amp;""</f>
        <v>D bracket D1,D2</v>
      </c>
      <c r="J271" s="356" t="str">
        <f>'12U BOYS GOLD-24 TEAMS'!J25&amp;""</f>
        <v>12U_BOYS_GOLD</v>
      </c>
      <c r="K271" s="356" t="str">
        <f t="shared" si="5"/>
        <v>202601311750</v>
      </c>
    </row>
    <row r="272" spans="1:11">
      <c r="A272" s="351">
        <f>'12U GIRLS PLATINUM-12 TEAMS'!A22</f>
        <v>46053</v>
      </c>
      <c r="B272" s="352">
        <f>'12U GIRLS PLATINUM-12 TEAMS'!B22</f>
        <v>0.74305555555555602</v>
      </c>
      <c r="C272" s="351" t="str">
        <f>'12U GIRLS PLATINUM-12 TEAMS'!C22&amp;""</f>
        <v>WOOLLETT FAR RIGHT</v>
      </c>
      <c r="D272" s="353" t="str">
        <f>'12U GIRLS PLATINUM-12 TEAMS'!D22&amp;""</f>
        <v>12Gpt11</v>
      </c>
      <c r="E272" s="351" t="str">
        <f>'12U GIRLS PLATINUM-12 TEAMS'!E22&amp;""</f>
        <v>B2-SOUTH COAST RED</v>
      </c>
      <c r="F272" s="353" t="str">
        <f>'12U GIRLS PLATINUM-12 TEAMS'!F22&amp;""</f>
        <v>11</v>
      </c>
      <c r="G272" s="351" t="str">
        <f>'12U GIRLS PLATINUM-12 TEAMS'!G22&amp;""</f>
        <v>B3-ORANGE COUNTY WPC BLUE</v>
      </c>
      <c r="H272" s="353" t="str">
        <f>'12U GIRLS PLATINUM-12 TEAMS'!H22&amp;""</f>
        <v>13</v>
      </c>
      <c r="I272" s="353" t="str">
        <f>'12U GIRLS PLATINUM-12 TEAMS'!I22&amp;""</f>
        <v>B bracket B2,B3</v>
      </c>
      <c r="J272" s="353" t="str">
        <f>'12U GIRLS PLATINUM-12 TEAMS'!J22&amp;""</f>
        <v>12U_GIRLS_PLATINUM</v>
      </c>
      <c r="K272" s="353" t="str">
        <f t="shared" si="5"/>
        <v>202601311750</v>
      </c>
    </row>
    <row r="273" spans="1:11">
      <c r="A273" s="432">
        <f>'19U BOYS GOLD-16 TEAMS'!A23</f>
        <v>46053</v>
      </c>
      <c r="B273" s="433">
        <f>'19U BOYS GOLD-16 TEAMS'!B23</f>
        <v>0.75</v>
      </c>
      <c r="C273" s="433" t="str">
        <f>'19U BOYS GOLD-16 TEAMS'!C23&amp;""</f>
        <v>EDISON HS</v>
      </c>
      <c r="D273" s="434" t="str">
        <f>'19U BOYS GOLD-16 TEAMS'!D23&amp;""</f>
        <v>19Bau14</v>
      </c>
      <c r="E273" s="434" t="str">
        <f>'19U BOYS GOLD-16 TEAMS'!E23&amp;""</f>
        <v>W#9-BIG VALLEY</v>
      </c>
      <c r="F273" s="434" t="str">
        <f>'19U BOYS GOLD-16 TEAMS'!F23&amp;""</f>
        <v>7</v>
      </c>
      <c r="G273" s="434" t="str">
        <f>'19U BOYS GOLD-16 TEAMS'!G23&amp;""</f>
        <v>W#10-LONGHORN</v>
      </c>
      <c r="H273" s="434" t="str">
        <f>'19U BOYS GOLD-16 TEAMS'!H23&amp;""</f>
        <v>13</v>
      </c>
      <c r="I273" s="434" t="str">
        <f>'19U BOYS GOLD-16 TEAMS'!I23&amp;""</f>
        <v>1st/2ndD</v>
      </c>
      <c r="J273" s="434" t="str">
        <f>'19U BOYS GOLD-16 TEAMS'!J23&amp;""</f>
        <v>19U_BOYS_GOLD</v>
      </c>
      <c r="K273" s="434" t="str">
        <f t="shared" si="5"/>
        <v>202601311800</v>
      </c>
    </row>
    <row r="274" spans="1:11">
      <c r="A274" s="406">
        <f>'16U BOYS SILVER-20 TEAMS'!A46</f>
        <v>46053</v>
      </c>
      <c r="B274" s="407">
        <f>'16U BOYS SILVER-20 TEAMS'!B46</f>
        <v>0.75</v>
      </c>
      <c r="C274" s="407" t="str">
        <f>'16U BOYS SILVER-20 TEAMS'!C46&amp;""</f>
        <v>FULLERTON COLLEGE</v>
      </c>
      <c r="D274" s="408" t="str">
        <f>'16U BOYS SILVER-20 TEAMS'!D46&amp;""</f>
        <v>16Bag22</v>
      </c>
      <c r="E274" s="409" t="str">
        <f>'16U BOYS SILVER-20 TEAMS'!E46&amp;""</f>
        <v>H2(2ndB)-LA JOLLA UNITED SILVER</v>
      </c>
      <c r="F274" s="408" t="str">
        <f>'16U BOYS SILVER-20 TEAMS'!F46&amp;""</f>
        <v>5</v>
      </c>
      <c r="G274" s="408" t="str">
        <f>'16U BOYS SILVER-20 TEAMS'!G46&amp;""</f>
        <v>H3(2ndC)-DAVIS WHITE</v>
      </c>
      <c r="H274" s="408" t="str">
        <f>'16U BOYS SILVER-20 TEAMS'!H46&amp;""</f>
        <v>9</v>
      </c>
      <c r="I274" s="408" t="str">
        <f>'16U BOYS SILVER-20 TEAMS'!I46&amp;""</f>
        <v>H bracket</v>
      </c>
      <c r="J274" s="408" t="str">
        <f>'16U BOYS SILVER-20 TEAMS'!J46&amp;""</f>
        <v>16U_BOYS_SILVER</v>
      </c>
      <c r="K274" s="408" t="str">
        <f t="shared" si="5"/>
        <v>202601311800</v>
      </c>
    </row>
    <row r="275" spans="1:11">
      <c r="A275" s="432">
        <f>'19U BOYS GOLD-16 TEAMS'!A24</f>
        <v>46053</v>
      </c>
      <c r="B275" s="433">
        <f>'19U BOYS GOLD-16 TEAMS'!B24</f>
        <v>0.75</v>
      </c>
      <c r="C275" s="433" t="str">
        <f>'19U BOYS GOLD-16 TEAMS'!C24&amp;""</f>
        <v>SAN JUAN HILLS HS</v>
      </c>
      <c r="D275" s="434" t="str">
        <f>'19U BOYS GOLD-16 TEAMS'!D24&amp;""</f>
        <v>19Bau15</v>
      </c>
      <c r="E275" s="434" t="str">
        <f>'19U BOYS GOLD-16 TEAMS'!E24&amp;""</f>
        <v>L#11-FARALLON</v>
      </c>
      <c r="F275" s="434" t="str">
        <f>'19U BOYS GOLD-16 TEAMS'!F24&amp;""</f>
        <v>12</v>
      </c>
      <c r="G275" s="434" t="str">
        <f>'19U BOYS GOLD-16 TEAMS'!G24&amp;""</f>
        <v>L#12-PASADENA AC</v>
      </c>
      <c r="H275" s="434" t="str">
        <f>'19U BOYS GOLD-16 TEAMS'!H24&amp;""</f>
        <v>7</v>
      </c>
      <c r="I275" s="434" t="str">
        <f>'19U BOYS GOLD-16 TEAMS'!I24&amp;""</f>
        <v>3rd/4thB</v>
      </c>
      <c r="J275" s="434" t="str">
        <f>'19U BOYS GOLD-16 TEAMS'!J24&amp;""</f>
        <v>19U_BOYS_GOLD</v>
      </c>
      <c r="K275" s="434" t="str">
        <f t="shared" si="5"/>
        <v>202601311800</v>
      </c>
    </row>
    <row r="276" spans="1:11">
      <c r="A276" s="421">
        <f>'16U BOYS PLATINUM-18 TEAMS'!A30</f>
        <v>46053</v>
      </c>
      <c r="B276" s="422">
        <f>'16U BOYS PLATINUM-18 TEAMS'!B30</f>
        <v>0.75</v>
      </c>
      <c r="C276" s="422" t="str">
        <f>'16U BOYS PLATINUM-18 TEAMS'!C30&amp;""</f>
        <v>SONORA HS</v>
      </c>
      <c r="D276" s="423" t="str">
        <f>'16U BOYS PLATINUM-18 TEAMS'!D30&amp;""</f>
        <v>16Bpt17</v>
      </c>
      <c r="E276" s="424" t="str">
        <f>'16U BOYS PLATINUM-18 TEAMS'!E30&amp;""</f>
        <v>C1-680 RED</v>
      </c>
      <c r="F276" s="425" t="str">
        <f>'16U BOYS PLATINUM-18 TEAMS'!F30&amp;""</f>
        <v>9</v>
      </c>
      <c r="G276" s="424" t="str">
        <f>'16U BOYS PLATINUM-18 TEAMS'!G30&amp;""</f>
        <v>C2-VANGUARD BLUE</v>
      </c>
      <c r="H276" s="425" t="str">
        <f>'16U BOYS PLATINUM-18 TEAMS'!H30&amp;""</f>
        <v>8</v>
      </c>
      <c r="I276" s="426" t="str">
        <f>'16U BOYS PLATINUM-18 TEAMS'!I30&amp;""</f>
        <v>C bracket C1,C2</v>
      </c>
      <c r="J276" s="423" t="str">
        <f>'16U BOYS PLATINUM-18 TEAMS'!J30&amp;""</f>
        <v>16U_BOYS_PLATINUM</v>
      </c>
      <c r="K276" s="423" t="str">
        <f t="shared" si="5"/>
        <v>202601311800</v>
      </c>
    </row>
    <row r="277" spans="1:11">
      <c r="A277" s="435">
        <f>'19U BOYS PLATINUM-27 TEAMS'!A39</f>
        <v>46053</v>
      </c>
      <c r="B277" s="436">
        <f>'19U BOYS PLATINUM-27 TEAMS'!B39</f>
        <v>0.75</v>
      </c>
      <c r="C277" s="437" t="str">
        <f>'19U BOYS PLATINUM-27 TEAMS'!C39&amp;""</f>
        <v>WOOLLETT NEAR LEFT</v>
      </c>
      <c r="D277" s="437" t="str">
        <f>'19U BOYS PLATINUM-27 TEAMS'!D39&amp;""</f>
        <v>19Bpt12</v>
      </c>
      <c r="E277" s="438" t="str">
        <f>'19U BOYS PLATINUM-27 TEAMS'!E39&amp;""</f>
        <v>B1(4)-SD SHORES BLACK</v>
      </c>
      <c r="F277" s="438" t="str">
        <f>'19U BOYS PLATINUM-27 TEAMS'!F39&amp;""</f>
        <v>12</v>
      </c>
      <c r="G277" s="438" t="str">
        <f>'19U BOYS PLATINUM-27 TEAMS'!G39&amp;""</f>
        <v>B2(13)-IMPERIAL BLUE</v>
      </c>
      <c r="H277" s="438" t="str">
        <f>'19U BOYS PLATINUM-27 TEAMS'!H39&amp;""</f>
        <v>11</v>
      </c>
      <c r="I277" s="437" t="str">
        <f>'19U BOYS PLATINUM-27 TEAMS'!I39&amp;""</f>
        <v>B bracket B1,B2</v>
      </c>
      <c r="J277" s="438" t="str">
        <f>'19U BOYS PLATINUM-27 TEAMS'!J39&amp;""</f>
        <v>19U_BOYS_PLATINUM</v>
      </c>
      <c r="K277" s="438" t="str">
        <f t="shared" si="5"/>
        <v>202601311800</v>
      </c>
    </row>
    <row r="278" spans="1:11">
      <c r="A278" s="435">
        <f>'19U BOYS PLATINUM-27 TEAMS'!A54</f>
        <v>46053</v>
      </c>
      <c r="B278" s="436">
        <f>'19U BOYS PLATINUM-27 TEAMS'!B54</f>
        <v>0.75</v>
      </c>
      <c r="C278" s="437" t="str">
        <f>'19U BOYS PLATINUM-27 TEAMS'!C54&amp;""</f>
        <v>WOOLLETT NEAR RIGHT</v>
      </c>
      <c r="D278" s="437" t="str">
        <f>'19U BOYS PLATINUM-27 TEAMS'!D54&amp;""</f>
        <v>19Bpt26</v>
      </c>
      <c r="E278" s="438" t="str">
        <f>'19U BOYS PLATINUM-27 TEAMS'!E54&amp;""</f>
        <v>E1(2)-LAMORINDA A</v>
      </c>
      <c r="F278" s="438" t="str">
        <f>'19U BOYS PLATINUM-27 TEAMS'!F54&amp;""</f>
        <v>16</v>
      </c>
      <c r="G278" s="438" t="str">
        <f>'19U BOYS PLATINUM-27 TEAMS'!G54&amp;""</f>
        <v>E2(15)-VANGUARD BLUE</v>
      </c>
      <c r="H278" s="438" t="str">
        <f>'19U BOYS PLATINUM-27 TEAMS'!H54&amp;""</f>
        <v>8</v>
      </c>
      <c r="I278" s="437" t="str">
        <f>'19U BOYS PLATINUM-27 TEAMS'!I54&amp;""</f>
        <v>E bracket E1,E2</v>
      </c>
      <c r="J278" s="438" t="str">
        <f>'19U BOYS PLATINUM-27 TEAMS'!J54&amp;""</f>
        <v>19U_BOYS_PLATINUM</v>
      </c>
      <c r="K278" s="438" t="str">
        <f t="shared" si="5"/>
        <v>202601311800</v>
      </c>
    </row>
    <row r="279" spans="1:11">
      <c r="A279" s="421">
        <f>'16U BOYS PLATINUM-18 TEAMS'!A39</f>
        <v>46053</v>
      </c>
      <c r="B279" s="422">
        <f>'16U BOYS PLATINUM-18 TEAMS'!B39</f>
        <v>0.75</v>
      </c>
      <c r="C279" s="422" t="str">
        <f>'16U BOYS PLATINUM-18 TEAMS'!C39&amp;""</f>
        <v>YORBA LINDA HS</v>
      </c>
      <c r="D279" s="422" t="str">
        <f>'16U BOYS PLATINUM-18 TEAMS'!D39&amp;""</f>
        <v>16Bpt16</v>
      </c>
      <c r="E279" s="423" t="str">
        <f>'16U BOYS PLATINUM-18 TEAMS'!E39&amp;""</f>
        <v>E2-TROJAN CARDINAL</v>
      </c>
      <c r="F279" s="424" t="str">
        <f>'16U BOYS PLATINUM-18 TEAMS'!F39&amp;""</f>
        <v>9.4</v>
      </c>
      <c r="G279" s="425" t="str">
        <f>'16U BOYS PLATINUM-18 TEAMS'!G39&amp;""</f>
        <v>E3-SAN CLEMENTE RED</v>
      </c>
      <c r="H279" s="427" t="str">
        <f>'16U BOYS PLATINUM-18 TEAMS'!H39&amp;""</f>
        <v>9.5</v>
      </c>
      <c r="I279" s="425" t="str">
        <f>'16U BOYS PLATINUM-18 TEAMS'!I39&amp;""</f>
        <v>E bracket E2,E3</v>
      </c>
      <c r="J279" s="426" t="str">
        <f>'16U BOYS PLATINUM-18 TEAMS'!J39&amp;""</f>
        <v>16U_BOYS_PLATINUM</v>
      </c>
      <c r="K279" s="426" t="str">
        <f t="shared" si="5"/>
        <v>202601311800</v>
      </c>
    </row>
    <row r="280" spans="1:11">
      <c r="A280" s="370">
        <f>'12U BOYS PLATINUM-10 TEAMS'!A21</f>
        <v>46053</v>
      </c>
      <c r="B280" s="371">
        <f>'12U BOYS PLATINUM-10 TEAMS'!B21</f>
        <v>0.77777777777777801</v>
      </c>
      <c r="C280" s="372" t="str">
        <f>'12U BOYS PLATINUM-10 TEAMS'!C21&amp;""</f>
        <v>BECKMAN HS 1</v>
      </c>
      <c r="D280" s="373" t="str">
        <f>'12U BOYS PLATINUM-10 TEAMS'!D21&amp;""</f>
        <v>12Bpt10</v>
      </c>
      <c r="E280" s="373" t="str">
        <f>'12U BOYS PLATINUM-10 TEAMS'!E21&amp;""</f>
        <v>B1-CC UNITED BLACK</v>
      </c>
      <c r="F280" s="373" t="str">
        <f>'12U BOYS PLATINUM-10 TEAMS'!F21&amp;""</f>
        <v>14</v>
      </c>
      <c r="G280" s="374" t="str">
        <f>'12U BOYS PLATINUM-10 TEAMS'!G21&amp;""</f>
        <v>B3-LA JOLLA UNITED NAVY</v>
      </c>
      <c r="H280" s="373" t="str">
        <f>'12U BOYS PLATINUM-10 TEAMS'!H21&amp;""</f>
        <v>7</v>
      </c>
      <c r="I280" s="373" t="str">
        <f>'12U BOYS PLATINUM-10 TEAMS'!I21&amp;""</f>
        <v>B bracket B1,B3</v>
      </c>
      <c r="J280" s="373" t="str">
        <f>'12U BOYS PLATINUM-10 TEAMS'!J21&amp;""</f>
        <v>12U_BOYS_PLATINUM</v>
      </c>
      <c r="K280" s="373" t="str">
        <f t="shared" si="5"/>
        <v>202601311840</v>
      </c>
    </row>
    <row r="281" spans="1:11">
      <c r="A281" s="399">
        <f>'14U BOYS PLATINUM-20 TEAMS'!A44</f>
        <v>46053</v>
      </c>
      <c r="B281" s="400">
        <f>'14U BOYS PLATINUM-20 TEAMS'!B44</f>
        <v>0.77777777777777801</v>
      </c>
      <c r="C281" s="400" t="str">
        <f>'14U BOYS PLATINUM-20 TEAMS'!C44&amp;""</f>
        <v>TUSTIN HS 1</v>
      </c>
      <c r="D281" s="401" t="str">
        <f>'14U BOYS PLATINUM-20 TEAMS'!D44&amp;""</f>
        <v>14Bpt34</v>
      </c>
      <c r="E281" s="401" t="str">
        <f>'14U BOYS PLATINUM-20 TEAMS'!E44&amp;""</f>
        <v>G2(1stB)-PALOS VERDES A</v>
      </c>
      <c r="F281" s="401" t="str">
        <f>'14U BOYS PLATINUM-20 TEAMS'!F44&amp;""</f>
        <v>9.3</v>
      </c>
      <c r="G281" s="401" t="str">
        <f>'14U BOYS PLATINUM-20 TEAMS'!G44&amp;""</f>
        <v>G3(1stC)-VANGUARD BLUE</v>
      </c>
      <c r="H281" s="401" t="str">
        <f>'14U BOYS PLATINUM-20 TEAMS'!H44&amp;""</f>
        <v>9.4</v>
      </c>
      <c r="I281" s="401" t="str">
        <f>'14U BOYS PLATINUM-20 TEAMS'!I44&amp;""</f>
        <v>G bracket</v>
      </c>
      <c r="J281" s="401" t="str">
        <f>'14U BOYS PLATINUM-20 TEAMS'!J44&amp;""</f>
        <v>14U_BOYS_PLATINUM</v>
      </c>
      <c r="K281" s="401" t="str">
        <f t="shared" si="5"/>
        <v>202601311840</v>
      </c>
    </row>
    <row r="282" spans="1:11">
      <c r="A282" s="354">
        <f>'12U BOYS GOLD-24 TEAMS'!A26</f>
        <v>46053</v>
      </c>
      <c r="B282" s="355">
        <f>'12U BOYS GOLD-24 TEAMS'!B26</f>
        <v>0.77777777777777801</v>
      </c>
      <c r="C282" s="355" t="str">
        <f>'12U BOYS GOLD-24 TEAMS'!C26&amp;""</f>
        <v>TUSTIN HS 2</v>
      </c>
      <c r="D282" s="356" t="str">
        <f>'12U BOYS GOLD-24 TEAMS'!D26&amp;""</f>
        <v>12Bau12</v>
      </c>
      <c r="E282" s="362" t="str">
        <f>'12U BOYS GOLD-24 TEAMS'!E26&amp;""</f>
        <v>B1(4)-MARIN</v>
      </c>
      <c r="F282" s="362" t="str">
        <f>'12U BOYS GOLD-24 TEAMS'!F26&amp;""</f>
        <v>2</v>
      </c>
      <c r="G282" s="362" t="str">
        <f>'12U BOYS GOLD-24 TEAMS'!G26&amp;""</f>
        <v>B2(13)-SAN CLEMENTE BLACK</v>
      </c>
      <c r="H282" s="356" t="str">
        <f>'12U BOYS GOLD-24 TEAMS'!H26&amp;""</f>
        <v>15</v>
      </c>
      <c r="I282" s="356" t="str">
        <f>'12U BOYS GOLD-24 TEAMS'!I26&amp;""</f>
        <v>B bracket B1,B2</v>
      </c>
      <c r="J282" s="356" t="str">
        <f>'12U BOYS GOLD-24 TEAMS'!J26&amp;""</f>
        <v>12U_BOYS_GOLD</v>
      </c>
      <c r="K282" s="356" t="str">
        <f t="shared" si="5"/>
        <v>202601311840</v>
      </c>
    </row>
    <row r="283" spans="1:11">
      <c r="A283" s="351">
        <f>'12U GIRLS PLATINUM-12 TEAMS'!A23</f>
        <v>46053</v>
      </c>
      <c r="B283" s="352">
        <f>'12U GIRLS PLATINUM-12 TEAMS'!B23</f>
        <v>0.77777777777777801</v>
      </c>
      <c r="C283" s="351" t="str">
        <f>'12U GIRLS PLATINUM-12 TEAMS'!C23&amp;""</f>
        <v>WOOLLETT FAR RIGHT</v>
      </c>
      <c r="D283" s="353" t="str">
        <f>'12U GIRLS PLATINUM-12 TEAMS'!D23&amp;""</f>
        <v>12Gpt12</v>
      </c>
      <c r="E283" s="351" t="str">
        <f>'12U GIRLS PLATINUM-12 TEAMS'!E23&amp;""</f>
        <v>C1-NEWPORT BEACH</v>
      </c>
      <c r="F283" s="353" t="str">
        <f>'12U GIRLS PLATINUM-12 TEAMS'!F23&amp;""</f>
        <v>10</v>
      </c>
      <c r="G283" s="351" t="str">
        <f>'12U GIRLS PLATINUM-12 TEAMS'!G23&amp;""</f>
        <v>C2-DAVIS</v>
      </c>
      <c r="H283" s="353" t="str">
        <f>'12U GIRLS PLATINUM-12 TEAMS'!H23&amp;""</f>
        <v>1</v>
      </c>
      <c r="I283" s="353" t="str">
        <f>'12U GIRLS PLATINUM-12 TEAMS'!I23&amp;""</f>
        <v>C bracket C1,C2</v>
      </c>
      <c r="J283" s="353" t="str">
        <f>'12U GIRLS PLATINUM-12 TEAMS'!J23&amp;""</f>
        <v>12U_GIRLS_PLATINUM</v>
      </c>
      <c r="K283" s="353" t="str">
        <f t="shared" si="5"/>
        <v>202601311840</v>
      </c>
    </row>
    <row r="284" spans="1:11">
      <c r="A284" s="406">
        <f>'16U BOYS SILVER-20 TEAMS'!A47</f>
        <v>46053</v>
      </c>
      <c r="B284" s="407">
        <f>'16U BOYS SILVER-20 TEAMS'!B47</f>
        <v>0.79166666666666696</v>
      </c>
      <c r="C284" s="407" t="str">
        <f>'16U BOYS SILVER-20 TEAMS'!C47&amp;""</f>
        <v>FULLERTON COLLEGE</v>
      </c>
      <c r="D284" s="408" t="str">
        <f>'16U BOYS SILVER-20 TEAMS'!D47&amp;""</f>
        <v>16Bag34</v>
      </c>
      <c r="E284" s="408" t="str">
        <f>'16U BOYS SILVER-20 TEAMS'!E47&amp;""</f>
        <v>G2(1stB)-SANTA CRUZ</v>
      </c>
      <c r="F284" s="408" t="str">
        <f>'16U BOYS SILVER-20 TEAMS'!F47&amp;""</f>
        <v>7</v>
      </c>
      <c r="G284" s="408" t="str">
        <f>'16U BOYS SILVER-20 TEAMS'!G47&amp;""</f>
        <v>G3(1stC)-LAMORINDA B</v>
      </c>
      <c r="H284" s="408" t="str">
        <f>'16U BOYS SILVER-20 TEAMS'!H47&amp;""</f>
        <v>16</v>
      </c>
      <c r="I284" s="408" t="str">
        <f>'16U BOYS SILVER-20 TEAMS'!I47&amp;""</f>
        <v>G bracket</v>
      </c>
      <c r="J284" s="408" t="str">
        <f>'16U BOYS SILVER-20 TEAMS'!J47&amp;""</f>
        <v>16U_BOYS_SILVER</v>
      </c>
      <c r="K284" s="408" t="str">
        <f t="shared" si="5"/>
        <v>202601311900</v>
      </c>
    </row>
    <row r="285" spans="1:11">
      <c r="A285" s="432">
        <f>'19U BOYS GOLD-16 TEAMS'!A25</f>
        <v>46053</v>
      </c>
      <c r="B285" s="433">
        <f>'19U BOYS GOLD-16 TEAMS'!B25</f>
        <v>0.79166666666666696</v>
      </c>
      <c r="C285" s="433" t="str">
        <f>'19U BOYS GOLD-16 TEAMS'!C25&amp;""</f>
        <v>SAN JUAN HILLS HS</v>
      </c>
      <c r="D285" s="434" t="str">
        <f>'19U BOYS GOLD-16 TEAMS'!D25&amp;""</f>
        <v>19Bau16</v>
      </c>
      <c r="E285" s="434" t="str">
        <f>'19U BOYS GOLD-16 TEAMS'!E25&amp;""</f>
        <v>W#11-ORANGE COUNTY WPC BLUE</v>
      </c>
      <c r="F285" s="434" t="str">
        <f>'19U BOYS GOLD-16 TEAMS'!F25&amp;""</f>
        <v>10</v>
      </c>
      <c r="G285" s="434" t="str">
        <f>'19U BOYS GOLD-16 TEAMS'!G25&amp;""</f>
        <v>W#12-MID PEN</v>
      </c>
      <c r="H285" s="434" t="str">
        <f>'19U BOYS GOLD-16 TEAMS'!H25&amp;""</f>
        <v>7</v>
      </c>
      <c r="I285" s="434" t="str">
        <f>'19U BOYS GOLD-16 TEAMS'!I25&amp;""</f>
        <v>1st/2ndB</v>
      </c>
      <c r="J285" s="434" t="str">
        <f>'19U BOYS GOLD-16 TEAMS'!J25&amp;""</f>
        <v>19U_BOYS_GOLD</v>
      </c>
      <c r="K285" s="434" t="str">
        <f t="shared" si="5"/>
        <v>202601311900</v>
      </c>
    </row>
    <row r="286" spans="1:11">
      <c r="A286" s="435">
        <f>'19U BOYS PLATINUM-27 TEAMS'!A40</f>
        <v>46053</v>
      </c>
      <c r="B286" s="436">
        <f>'19U BOYS PLATINUM-27 TEAMS'!B40</f>
        <v>0.79166666666666696</v>
      </c>
      <c r="C286" s="437" t="str">
        <f>'19U BOYS PLATINUM-27 TEAMS'!C40&amp;""</f>
        <v>WOOLLETT NEAR LEFT</v>
      </c>
      <c r="D286" s="437" t="str">
        <f>'19U BOYS PLATINUM-27 TEAMS'!D40&amp;""</f>
        <v>19Bpt13</v>
      </c>
      <c r="E286" s="438" t="str">
        <f>'19U BOYS PLATINUM-27 TEAMS'!E40&amp;""</f>
        <v>C2(12)-SANTA CRUZ</v>
      </c>
      <c r="F286" s="438" t="str">
        <f>'19U BOYS PLATINUM-27 TEAMS'!F40&amp;""</f>
        <v>11</v>
      </c>
      <c r="G286" s="438" t="str">
        <f>'19U BOYS PLATINUM-27 TEAMS'!G40&amp;""</f>
        <v>C3(21)-NORTH IRVINE BLACK</v>
      </c>
      <c r="H286" s="438" t="str">
        <f>'19U BOYS PLATINUM-27 TEAMS'!H40&amp;""</f>
        <v>9</v>
      </c>
      <c r="I286" s="437" t="str">
        <f>'19U BOYS PLATINUM-27 TEAMS'!I40&amp;""</f>
        <v>C bracket C2,C3</v>
      </c>
      <c r="J286" s="438" t="str">
        <f>'19U BOYS PLATINUM-27 TEAMS'!J40&amp;""</f>
        <v>19U_BOYS_PLATINUM</v>
      </c>
      <c r="K286" s="438" t="str">
        <f t="shared" si="5"/>
        <v>202601311900</v>
      </c>
    </row>
    <row r="287" spans="1:11">
      <c r="A287" s="435">
        <f>'19U BOYS PLATINUM-27 TEAMS'!A55</f>
        <v>46053</v>
      </c>
      <c r="B287" s="436">
        <f>'19U BOYS PLATINUM-27 TEAMS'!B55</f>
        <v>0.79166666666666696</v>
      </c>
      <c r="C287" s="437" t="str">
        <f>'19U BOYS PLATINUM-27 TEAMS'!C55&amp;""</f>
        <v>WOOLLETT NEAR RIGHT</v>
      </c>
      <c r="D287" s="437" t="str">
        <f>'19U BOYS PLATINUM-27 TEAMS'!D55&amp;""</f>
        <v>19Bpt27</v>
      </c>
      <c r="E287" s="438" t="str">
        <f>'19U BOYS PLATINUM-27 TEAMS'!E55&amp;""</f>
        <v>F1(3)-NORCAL</v>
      </c>
      <c r="F287" s="438" t="str">
        <f>'19U BOYS PLATINUM-27 TEAMS'!F55&amp;""</f>
        <v>15</v>
      </c>
      <c r="G287" s="438" t="str">
        <f>'19U BOYS PLATINUM-27 TEAMS'!G55&amp;""</f>
        <v>F2(14)-SHADOW MEN</v>
      </c>
      <c r="H287" s="438" t="str">
        <f>'19U BOYS PLATINUM-27 TEAMS'!H55&amp;""</f>
        <v>9</v>
      </c>
      <c r="I287" s="437" t="str">
        <f>'19U BOYS PLATINUM-27 TEAMS'!I55&amp;""</f>
        <v>F bracket F1,F2</v>
      </c>
      <c r="J287" s="438" t="str">
        <f>'19U BOYS PLATINUM-27 TEAMS'!J55&amp;""</f>
        <v>19U_BOYS_PLATINUM</v>
      </c>
      <c r="K287" s="438" t="str">
        <f t="shared" si="5"/>
        <v>202601311900</v>
      </c>
    </row>
    <row r="288" spans="1:11">
      <c r="A288" s="421">
        <f>'16U BOYS PLATINUM-18 TEAMS'!A40</f>
        <v>46053</v>
      </c>
      <c r="B288" s="422">
        <f>'16U BOYS PLATINUM-18 TEAMS'!B40</f>
        <v>0.79166666666666696</v>
      </c>
      <c r="C288" s="422" t="str">
        <f>'16U BOYS PLATINUM-18 TEAMS'!C40&amp;""</f>
        <v>YORBA LINDA HS</v>
      </c>
      <c r="D288" s="422" t="str">
        <f>'16U BOYS PLATINUM-18 TEAMS'!D40&amp;""</f>
        <v>16Bpt18</v>
      </c>
      <c r="E288" s="423" t="str">
        <f>'16U BOYS PLATINUM-18 TEAMS'!E40&amp;""</f>
        <v>F1-SD SHORES BLACK</v>
      </c>
      <c r="F288" s="424" t="str">
        <f>'16U BOYS PLATINUM-18 TEAMS'!F40&amp;""</f>
        <v>14</v>
      </c>
      <c r="G288" s="425" t="str">
        <f>'16U BOYS PLATINUM-18 TEAMS'!G40&amp;""</f>
        <v>F2-SHAQ</v>
      </c>
      <c r="H288" s="424" t="str">
        <f>'16U BOYS PLATINUM-18 TEAMS'!H40&amp;""</f>
        <v>10</v>
      </c>
      <c r="I288" s="425" t="str">
        <f>'16U BOYS PLATINUM-18 TEAMS'!I40&amp;""</f>
        <v>F bracket F1,F2</v>
      </c>
      <c r="J288" s="426" t="str">
        <f>'16U BOYS PLATINUM-18 TEAMS'!J40&amp;""</f>
        <v>16U_BOYS_PLATINUM</v>
      </c>
      <c r="K288" s="426" t="str">
        <f t="shared" si="5"/>
        <v>202601311900</v>
      </c>
    </row>
    <row r="289" spans="1:11">
      <c r="A289" s="382">
        <f>'14U GIRLS PLATINUM-10 TEAMS'!A23</f>
        <v>46054</v>
      </c>
      <c r="B289" s="383">
        <f>'14U GIRLS PLATINUM-10 TEAMS'!B23</f>
        <v>0.29166666666666669</v>
      </c>
      <c r="C289" s="383" t="str">
        <f>'14U GIRLS PLATINUM-10 TEAMS'!C23&amp;""</f>
        <v>ALISO NIGUEL HS</v>
      </c>
      <c r="D289" s="384" t="str">
        <f>'14U GIRLS PLATINUM-10 TEAMS'!D23&amp;""</f>
        <v>14Gpt11</v>
      </c>
      <c r="E289" s="384" t="str">
        <f>'14U GIRLS PLATINUM-10 TEAMS'!E23&amp;""</f>
        <v>C2-SOUTH COAST RED (A)</v>
      </c>
      <c r="F289" s="384" t="str">
        <f>'14U GIRLS PLATINUM-10 TEAMS'!F23&amp;""</f>
        <v>5</v>
      </c>
      <c r="G289" s="384" t="str">
        <f>'14U GIRLS PLATINUM-10 TEAMS'!G23&amp;""</f>
        <v>C4-LAMORINDA B</v>
      </c>
      <c r="H289" s="384" t="str">
        <f>'14U GIRLS PLATINUM-10 TEAMS'!H23&amp;""</f>
        <v>4</v>
      </c>
      <c r="I289" s="384" t="str">
        <f>'14U GIRLS PLATINUM-10 TEAMS'!I23&amp;""</f>
        <v>C bracket C2,C4</v>
      </c>
      <c r="J289" s="384" t="str">
        <f>'14U GIRLS PLATINUM-10 TEAMS'!J23&amp;""</f>
        <v>14U_GIRLS_PLATINUM</v>
      </c>
      <c r="K289" s="384" t="str">
        <f t="shared" si="5"/>
        <v>202602010700</v>
      </c>
    </row>
    <row r="290" spans="1:11">
      <c r="A290" s="370">
        <f>'12U BOYS PLATINUM-10 TEAMS'!A25</f>
        <v>46054</v>
      </c>
      <c r="B290" s="371">
        <f>'12U BOYS PLATINUM-10 TEAMS'!B25</f>
        <v>0.29166666666666669</v>
      </c>
      <c r="C290" s="371" t="str">
        <f>'12U BOYS PLATINUM-10 TEAMS'!C25&amp;""</f>
        <v>BECKMAN HS 1</v>
      </c>
      <c r="D290" s="373" t="str">
        <f>'12U BOYS PLATINUM-10 TEAMS'!D25&amp;""</f>
        <v>12Bpt11</v>
      </c>
      <c r="E290" s="373" t="str">
        <f>'12U BOYS PLATINUM-10 TEAMS'!E25&amp;""</f>
        <v>C2-ORWP A</v>
      </c>
      <c r="F290" s="373" t="str">
        <f>'12U BOYS PLATINUM-10 TEAMS'!F25&amp;""</f>
        <v>6</v>
      </c>
      <c r="G290" s="373" t="str">
        <f>'12U BOYS PLATINUM-10 TEAMS'!G25&amp;""</f>
        <v>C4-DAVIS</v>
      </c>
      <c r="H290" s="373" t="str">
        <f>'12U BOYS PLATINUM-10 TEAMS'!H25&amp;""</f>
        <v>5</v>
      </c>
      <c r="I290" s="373" t="str">
        <f>'12U BOYS PLATINUM-10 TEAMS'!I25&amp;""</f>
        <v>C bracket C2,C4</v>
      </c>
      <c r="J290" s="373" t="str">
        <f>'12U BOYS PLATINUM-10 TEAMS'!J25&amp;""</f>
        <v>12U_BOYS_PLATINUM</v>
      </c>
      <c r="K290" s="373" t="str">
        <f t="shared" si="5"/>
        <v>202602010700</v>
      </c>
    </row>
    <row r="291" spans="1:11">
      <c r="A291" s="406">
        <f>'16U BOYS SILVER-20 TEAMS'!A65</f>
        <v>46054</v>
      </c>
      <c r="B291" s="407">
        <f>'16U BOYS SILVER-20 TEAMS'!B65</f>
        <v>0.29166666666666669</v>
      </c>
      <c r="C291" s="407" t="str">
        <f>'16U BOYS SILVER-20 TEAMS'!C65&amp;""</f>
        <v>EDISON HS</v>
      </c>
      <c r="D291" s="408" t="str">
        <f>'16U BOYS SILVER-20 TEAMS'!D65&amp;""</f>
        <v>16Bag33</v>
      </c>
      <c r="E291" s="408" t="str">
        <f>'16U BOYS SILVER-20 TEAMS'!E65&amp;""</f>
        <v>L1(3rdD)-LOYOLA WPC</v>
      </c>
      <c r="F291" s="408" t="str">
        <f>'16U BOYS SILVER-20 TEAMS'!F65&amp;""</f>
        <v>11</v>
      </c>
      <c r="G291" s="408" t="str">
        <f>'16U BOYS SILVER-20 TEAMS'!G65&amp;""</f>
        <v>L4(4thF)-SAN CLEMENTE BLACK</v>
      </c>
      <c r="H291" s="408" t="str">
        <f>'16U BOYS SILVER-20 TEAMS'!H65&amp;""</f>
        <v>8</v>
      </c>
      <c r="I291" s="408" t="str">
        <f>'16U BOYS SILVER-20 TEAMS'!I65&amp;""</f>
        <v>W/L L</v>
      </c>
      <c r="J291" s="408" t="str">
        <f>'16U BOYS SILVER-20 TEAMS'!J65&amp;""</f>
        <v>16U_BOYS_SILVER</v>
      </c>
      <c r="K291" s="408" t="str">
        <f t="shared" si="5"/>
        <v>202602010700</v>
      </c>
    </row>
    <row r="292" spans="1:11">
      <c r="A292" s="387">
        <f>'14U BOYS SILVER-18 TEAMS'!A57</f>
        <v>46054</v>
      </c>
      <c r="B292" s="388">
        <f>'14U BOYS SILVER-18 TEAMS'!B57</f>
        <v>0.29166666666666669</v>
      </c>
      <c r="C292" s="388" t="str">
        <f>'14U BOYS SILVER-18 TEAMS'!C57&amp;""</f>
        <v>EL TORO HS 1</v>
      </c>
      <c r="D292" s="389" t="str">
        <f>'14U BOYS SILVER-18 TEAMS'!D57&amp;""</f>
        <v>14Bag28</v>
      </c>
      <c r="E292" s="388" t="str">
        <f>'14U BOYS SILVER-18 TEAMS'!E57&amp;""</f>
        <v>M1(3rdA)-SAN CLEMENTE BLACK</v>
      </c>
      <c r="F292" s="392" t="str">
        <f>'14U BOYS SILVER-18 TEAMS'!F57&amp;""</f>
        <v>14</v>
      </c>
      <c r="G292" s="388" t="str">
        <f>'14U BOYS SILVER-18 TEAMS'!G57&amp;""</f>
        <v xml:space="preserve">M3(3rdC)-TRITON GOLD	</v>
      </c>
      <c r="H292" s="391" t="str">
        <f>'14U BOYS SILVER-18 TEAMS'!H57&amp;""</f>
        <v>6</v>
      </c>
      <c r="I292" s="392" t="str">
        <f>'14U BOYS SILVER-18 TEAMS'!I57&amp;""</f>
        <v>13th-18th</v>
      </c>
      <c r="J292" s="389" t="str">
        <f>'14U BOYS SILVER-18 TEAMS'!J57&amp;""</f>
        <v>14U_BOYS_SILVER</v>
      </c>
      <c r="K292" s="389" t="str">
        <f t="shared" si="5"/>
        <v>202602010700</v>
      </c>
    </row>
    <row r="293" spans="1:11">
      <c r="A293" s="378">
        <f>'14U GIRLS GOLD-14 TEAMS'!A28</f>
        <v>46054</v>
      </c>
      <c r="B293" s="379">
        <f>'14U GIRLS GOLD-14 TEAMS'!B28</f>
        <v>0.29166666666666669</v>
      </c>
      <c r="C293" s="379" t="str">
        <f>'14U GIRLS GOLD-14 TEAMS'!C28&amp;""</f>
        <v>ESPERANZA HS</v>
      </c>
      <c r="D293" s="380" t="str">
        <f>'14U GIRLS GOLD-14 TEAMS'!D28&amp;""</f>
        <v>14Gau18</v>
      </c>
      <c r="E293" s="380" t="str">
        <f>'14U GIRLS GOLD-14 TEAMS'!E28&amp;""</f>
        <v>3rdB-HONOLULU</v>
      </c>
      <c r="F293" s="380" t="str">
        <f>'14U GIRLS GOLD-14 TEAMS'!F28&amp;""</f>
        <v>8</v>
      </c>
      <c r="G293" s="380" t="str">
        <f>'14U GIRLS GOLD-14 TEAMS'!G28&amp;""</f>
        <v>4thD-LAMORINDA C</v>
      </c>
      <c r="H293" s="380" t="str">
        <f>'14U GIRLS GOLD-14 TEAMS'!H28&amp;""</f>
        <v>5</v>
      </c>
      <c r="I293" s="380" t="str">
        <f>'14U GIRLS GOLD-14 TEAMS'!I28&amp;""</f>
        <v>9th-14th 3B,4D</v>
      </c>
      <c r="J293" s="380" t="str">
        <f>'14U GIRLS GOLD-14 TEAMS'!J28&amp;""</f>
        <v>14U_GIRLS_GOLD</v>
      </c>
      <c r="K293" s="380" t="str">
        <f t="shared" si="5"/>
        <v>202602010700</v>
      </c>
    </row>
    <row r="294" spans="1:11">
      <c r="A294" s="387">
        <f>'14U BOYS SILVER-18 TEAMS'!A58</f>
        <v>46054</v>
      </c>
      <c r="B294" s="388">
        <f>'14U BOYS SILVER-18 TEAMS'!B58</f>
        <v>0.29166666666666669</v>
      </c>
      <c r="C294" s="388" t="str">
        <f>'14U BOYS SILVER-18 TEAMS'!C58&amp;""</f>
        <v>LAGUNA HILLS HS</v>
      </c>
      <c r="D294" s="389" t="str">
        <f>'14U BOYS SILVER-18 TEAMS'!D58&amp;""</f>
        <v>14Bag30</v>
      </c>
      <c r="E294" s="388" t="str">
        <f>'14U BOYS SILVER-18 TEAMS'!E58&amp;""</f>
        <v>N1(3rdD)-AMERICAN RIVER GOLD</v>
      </c>
      <c r="F294" s="392" t="str">
        <f>'14U BOYS SILVER-18 TEAMS'!F58&amp;""</f>
        <v>5.1</v>
      </c>
      <c r="G294" s="388" t="str">
        <f>'14U BOYS SILVER-18 TEAMS'!G58&amp;""</f>
        <v>N3(3rdF)-SET</v>
      </c>
      <c r="H294" s="391" t="str">
        <f>'14U BOYS SILVER-18 TEAMS'!H58&amp;""</f>
        <v>5.3</v>
      </c>
      <c r="I294" s="392" t="str">
        <f>'14U BOYS SILVER-18 TEAMS'!I58&amp;""</f>
        <v>13th-18th</v>
      </c>
      <c r="J294" s="389" t="str">
        <f>'14U BOYS SILVER-18 TEAMS'!J58&amp;""</f>
        <v>14U_BOYS_SILVER</v>
      </c>
      <c r="K294" s="389" t="str">
        <f t="shared" si="5"/>
        <v>202602010700</v>
      </c>
    </row>
    <row r="295" spans="1:11">
      <c r="A295" s="413">
        <f>'16U BOYS GOLD-19 TEAMS'!A60</f>
        <v>46054</v>
      </c>
      <c r="B295" s="414">
        <f>'16U BOYS GOLD-19 TEAMS'!B60</f>
        <v>0.29166666666666669</v>
      </c>
      <c r="C295" s="414" t="str">
        <f>'16U BOYS GOLD-19 TEAMS'!C60&amp;""</f>
        <v>SADDLEBACK COLLEGE</v>
      </c>
      <c r="D295" s="415" t="str">
        <f>'16U BOYS GOLD-19 TEAMS'!D60&amp;""</f>
        <v>16Bau31</v>
      </c>
      <c r="E295" s="416" t="str">
        <f>'16U BOYS GOLD-19 TEAMS'!E60&amp;""</f>
        <v>J1(2ndD)-POWAY VALLEY BLACK</v>
      </c>
      <c r="F295" s="417" t="str">
        <f>'16U BOYS GOLD-19 TEAMS'!F60&amp;""</f>
        <v>6</v>
      </c>
      <c r="G295" s="416" t="str">
        <f>'16U BOYS GOLD-19 TEAMS'!G60&amp;""</f>
        <v>J3(2ndF)-680 BLUE</v>
      </c>
      <c r="H295" s="417" t="str">
        <f>'16U BOYS GOLD-19 TEAMS'!H60&amp;""</f>
        <v>12</v>
      </c>
      <c r="I295" s="418" t="str">
        <f>'16U BOYS GOLD-19 TEAMS'!I60&amp;""</f>
        <v>J bracket J1,J3</v>
      </c>
      <c r="J295" s="415" t="str">
        <f>'16U BOYS GOLD-19 TEAMS'!J60&amp;""</f>
        <v>16U_BOYS_GOLD</v>
      </c>
      <c r="K295" s="415" t="str">
        <f t="shared" si="5"/>
        <v>202602010700</v>
      </c>
    </row>
    <row r="296" spans="1:11">
      <c r="A296" s="378">
        <f>'14U GIRLS GOLD-14 TEAMS'!A27</f>
        <v>46054</v>
      </c>
      <c r="B296" s="379">
        <f>'14U GIRLS GOLD-14 TEAMS'!B27</f>
        <v>0.29166666666666669</v>
      </c>
      <c r="C296" s="379" t="str">
        <f>'14U GIRLS GOLD-14 TEAMS'!C27&amp;""</f>
        <v>SAN CLEMENTE HS</v>
      </c>
      <c r="D296" s="380" t="str">
        <f>'14U GIRLS GOLD-14 TEAMS'!D27&amp;""</f>
        <v>14Gau24</v>
      </c>
      <c r="E296" s="380" t="str">
        <f>'14U GIRLS GOLD-14 TEAMS'!E27&amp;""</f>
        <v>2ndB-BACK BAY</v>
      </c>
      <c r="F296" s="380" t="str">
        <f>'14U GIRLS GOLD-14 TEAMS'!F27&amp;""</f>
        <v>3</v>
      </c>
      <c r="G296" s="380" t="str">
        <f>'14U GIRLS GOLD-14 TEAMS'!G27&amp;""</f>
        <v>2ndC-SHAQ</v>
      </c>
      <c r="H296" s="380" t="str">
        <f>'14U GIRLS GOLD-14 TEAMS'!H27&amp;""</f>
        <v>11</v>
      </c>
      <c r="I296" s="380" t="str">
        <f>'14U GIRLS GOLD-14 TEAMS'!I27&amp;""</f>
        <v>5-8 semi</v>
      </c>
      <c r="J296" s="380" t="str">
        <f>'14U GIRLS GOLD-14 TEAMS'!J27&amp;""</f>
        <v>14U_GIRLS_GOLD</v>
      </c>
      <c r="K296" s="380" t="str">
        <f t="shared" si="5"/>
        <v>202602010700</v>
      </c>
    </row>
    <row r="297" spans="1:11">
      <c r="A297" s="410">
        <f>'16U BOYS GOLD-19 TEAMS'!A48</f>
        <v>46054</v>
      </c>
      <c r="B297" s="411">
        <f>'16U BOYS GOLD-19 TEAMS'!B48</f>
        <v>0.29166666666666669</v>
      </c>
      <c r="C297" s="411" t="str">
        <f>'16U BOYS GOLD-19 TEAMS'!C48&amp;""</f>
        <v>SAN JUAN HILLS HS</v>
      </c>
      <c r="D297" s="412" t="str">
        <f>'16U BOYS GOLD-19 TEAMS'!D48&amp;""</f>
        <v>16Bau20</v>
      </c>
      <c r="E297" s="412" t="str">
        <f>'16U BOYS GOLD-19 TEAMS'!E48&amp;""</f>
        <v>G1(1stA)-SAN JOSE EXPRESS BLUE</v>
      </c>
      <c r="F297" s="412" t="str">
        <f>'16U BOYS GOLD-19 TEAMS'!F48&amp;""</f>
        <v>10</v>
      </c>
      <c r="G297" s="412" t="str">
        <f>'16U BOYS GOLD-19 TEAMS'!G48&amp;""</f>
        <v>G3(1stC)-CAL REPUBLIC</v>
      </c>
      <c r="H297" s="412" t="str">
        <f>'16U BOYS GOLD-19 TEAMS'!H48&amp;""</f>
        <v>4</v>
      </c>
      <c r="I297" s="412" t="str">
        <f>'16U BOYS GOLD-19 TEAMS'!I48&amp;""</f>
        <v>G bracket G1,G3</v>
      </c>
      <c r="J297" s="412" t="str">
        <f>'16U BOYS GOLD-19 TEAMS'!J48&amp;""</f>
        <v>16U_BOYS_GOLD</v>
      </c>
      <c r="K297" s="412" t="str">
        <f t="shared" si="5"/>
        <v>202602010700</v>
      </c>
    </row>
    <row r="298" spans="1:11">
      <c r="A298" s="406">
        <f>'16U BOYS SILVER-20 TEAMS'!A51</f>
        <v>46054</v>
      </c>
      <c r="B298" s="407">
        <f>'16U BOYS SILVER-20 TEAMS'!B51</f>
        <v>0.29166666666666669</v>
      </c>
      <c r="C298" s="407" t="str">
        <f>'16U BOYS SILVER-20 TEAMS'!C51&amp;""</f>
        <v>SONORA HS</v>
      </c>
      <c r="D298" s="408" t="str">
        <f>'16U BOYS SILVER-20 TEAMS'!D51&amp;""</f>
        <v>16Bag24</v>
      </c>
      <c r="E298" s="408" t="str">
        <f>'16U BOYS SILVER-20 TEAMS'!E51&amp;""</f>
        <v>H1(2ndA)-TRITON GOLD</v>
      </c>
      <c r="F298" s="408" t="str">
        <f>'16U BOYS SILVER-20 TEAMS'!F51&amp;""</f>
        <v>10</v>
      </c>
      <c r="G298" s="408" t="str">
        <f>'16U BOYS SILVER-20 TEAMS'!G51&amp;""</f>
        <v>H3(2ndC)-DAVIS WHITE</v>
      </c>
      <c r="H298" s="408" t="str">
        <f>'16U BOYS SILVER-20 TEAMS'!H51&amp;""</f>
        <v>15</v>
      </c>
      <c r="I298" s="408" t="str">
        <f>'16U BOYS SILVER-20 TEAMS'!I51&amp;""</f>
        <v>H bracket</v>
      </c>
      <c r="J298" s="408" t="str">
        <f>'16U BOYS SILVER-20 TEAMS'!J51&amp;""</f>
        <v>16U_BOYS_SILVER</v>
      </c>
      <c r="K298" s="408" t="str">
        <f t="shared" si="5"/>
        <v>202602010700</v>
      </c>
    </row>
    <row r="299" spans="1:11">
      <c r="A299" s="387">
        <f>'14U BOYS SILVER-18 TEAMS'!A56</f>
        <v>46054</v>
      </c>
      <c r="B299" s="388">
        <f>'14U BOYS SILVER-18 TEAMS'!B56</f>
        <v>0.29166666666666669</v>
      </c>
      <c r="C299" s="388" t="str">
        <f>'14U BOYS SILVER-18 TEAMS'!C56&amp;""</f>
        <v>TUSTIN HS 1</v>
      </c>
      <c r="D299" s="389" t="str">
        <f>'14U BOYS SILVER-18 TEAMS'!D56&amp;""</f>
        <v>14Bag26</v>
      </c>
      <c r="E299" s="388" t="str">
        <f>'14U BOYS SILVER-18 TEAMS'!E56&amp;""</f>
        <v>K1(2ndC)-ORANGE COUNTY WPC RED</v>
      </c>
      <c r="F299" s="392" t="str">
        <f>'14U BOYS SILVER-18 TEAMS'!F56&amp;""</f>
        <v>3</v>
      </c>
      <c r="G299" s="388" t="str">
        <f>'14U BOYS SILVER-18 TEAMS'!G56&amp;""</f>
        <v>K3(2ndA)-LOYOLA WPC</v>
      </c>
      <c r="H299" s="391" t="str">
        <f>'14U BOYS SILVER-18 TEAMS'!H56&amp;""</f>
        <v>7</v>
      </c>
      <c r="I299" s="392" t="str">
        <f>'14U BOYS SILVER-18 TEAMS'!I56&amp;""</f>
        <v>7th-12th</v>
      </c>
      <c r="J299" s="389" t="str">
        <f>'14U BOYS SILVER-18 TEAMS'!J56&amp;""</f>
        <v>14U_BOYS_SILVER</v>
      </c>
      <c r="K299" s="389" t="str">
        <f t="shared" si="5"/>
        <v>202602010700</v>
      </c>
    </row>
    <row r="300" spans="1:11">
      <c r="A300" s="375">
        <f>'12U COED-7 TEAMS'!A22</f>
        <v>46054</v>
      </c>
      <c r="B300" s="376">
        <f>'12U COED-7 TEAMS'!B22</f>
        <v>0.29166666666666669</v>
      </c>
      <c r="C300" s="377" t="str">
        <f>'12U COED-7 TEAMS'!C22&amp;""</f>
        <v>TUSTIN HS 2</v>
      </c>
      <c r="D300" s="377" t="str">
        <f>'12U COED-7 TEAMS'!D22&amp;""</f>
        <v>12C08</v>
      </c>
      <c r="E300" s="377" t="str">
        <f>'12U COED-7 TEAMS'!E22&amp;""</f>
        <v>B3-YOLO BLACK</v>
      </c>
      <c r="F300" s="377" t="str">
        <f>'12U COED-7 TEAMS'!F22&amp;""</f>
        <v>16</v>
      </c>
      <c r="G300" s="377" t="str">
        <f>'12U COED-7 TEAMS'!G22&amp;""</f>
        <v>B4-LA CITY UNITED</v>
      </c>
      <c r="H300" s="377" t="str">
        <f>'12U COED-7 TEAMS'!H22&amp;""</f>
        <v>4</v>
      </c>
      <c r="I300" s="377" t="str">
        <f>'12U COED-7 TEAMS'!I22&amp;""</f>
        <v>B bracket B3,B4</v>
      </c>
      <c r="J300" s="377" t="str">
        <f>'12U COED-7 TEAMS'!J22&amp;""</f>
        <v>12U_COED</v>
      </c>
      <c r="K300" s="377" t="str">
        <f t="shared" si="5"/>
        <v>202602010700</v>
      </c>
    </row>
    <row r="301" spans="1:11">
      <c r="A301" s="406">
        <f>'16U BOYS SILVER-20 TEAMS'!A64</f>
        <v>46054</v>
      </c>
      <c r="B301" s="407">
        <f>'16U BOYS SILVER-20 TEAMS'!B64</f>
        <v>0.29166666666666669</v>
      </c>
      <c r="C301" s="407" t="str">
        <f>'16U BOYS SILVER-20 TEAMS'!C64&amp;""</f>
        <v>WESTMINSTER HS</v>
      </c>
      <c r="D301" s="408" t="str">
        <f>'16U BOYS SILVER-20 TEAMS'!D64&amp;""</f>
        <v>16Bag37</v>
      </c>
      <c r="E301" s="408" t="str">
        <f>'16U BOYS SILVER-20 TEAMS'!E64&amp;""</f>
        <v>I2(3rdB)-NORTH IRVINE</v>
      </c>
      <c r="F301" s="408" t="str">
        <f>'16U BOYS SILVER-20 TEAMS'!F64&amp;""</f>
        <v>6</v>
      </c>
      <c r="G301" s="408" t="str">
        <f>'16U BOYS SILVER-20 TEAMS'!G64&amp;""</f>
        <v>I3(3rdF)-SAN JOSE EXPRESS GOLD</v>
      </c>
      <c r="H301" s="408" t="str">
        <f>'16U BOYS SILVER-20 TEAMS'!H64&amp;""</f>
        <v>11</v>
      </c>
      <c r="I301" s="408" t="str">
        <f>'16U BOYS SILVER-20 TEAMS'!I64&amp;""</f>
        <v>W/L I</v>
      </c>
      <c r="J301" s="408" t="str">
        <f>'16U BOYS SILVER-20 TEAMS'!J64&amp;""</f>
        <v>16U_BOYS_SILVER</v>
      </c>
      <c r="K301" s="408" t="str">
        <f t="shared" si="5"/>
        <v>202602010700</v>
      </c>
    </row>
    <row r="302" spans="1:11">
      <c r="A302" s="351">
        <f>'12U GIRLS PLATINUM-12 TEAMS'!A27</f>
        <v>46054</v>
      </c>
      <c r="B302" s="352">
        <f>'12U GIRLS PLATINUM-12 TEAMS'!B27</f>
        <v>0.29166666666666669</v>
      </c>
      <c r="C302" s="351" t="str">
        <f>'12U GIRLS PLATINUM-12 TEAMS'!C27&amp;""</f>
        <v>WOOLLETT FAR RIGHT</v>
      </c>
      <c r="D302" s="353" t="str">
        <f>'12U GIRLS PLATINUM-12 TEAMS'!D27&amp;""</f>
        <v>12Gpt15</v>
      </c>
      <c r="E302" s="351" t="str">
        <f>'12U GIRLS PLATINUM-12 TEAMS'!E27&amp;""</f>
        <v>2ndA-LAMORINDA C</v>
      </c>
      <c r="F302" s="353" t="str">
        <f>'12U GIRLS PLATINUM-12 TEAMS'!F27&amp;""</f>
        <v>3</v>
      </c>
      <c r="G302" s="351" t="str">
        <f>'12U GIRLS PLATINUM-12 TEAMS'!G27&amp;""</f>
        <v xml:space="preserve">2ndD-LA JOLLA UNITED	</v>
      </c>
      <c r="H302" s="353" t="str">
        <f>'12U GIRLS PLATINUM-12 TEAMS'!H27&amp;""</f>
        <v>7</v>
      </c>
      <c r="I302" s="353" t="str">
        <f>'12U GIRLS PLATINUM-12 TEAMS'!I27&amp;""</f>
        <v>5-8 semi 2A/2D</v>
      </c>
      <c r="J302" s="353" t="str">
        <f>'12U GIRLS PLATINUM-12 TEAMS'!J27&amp;""</f>
        <v>12U_GIRLS_PLATINUM</v>
      </c>
      <c r="K302" s="353" t="str">
        <f t="shared" si="5"/>
        <v>202602010700</v>
      </c>
    </row>
    <row r="303" spans="1:11">
      <c r="A303" s="435">
        <f>'19U BOYS PLATINUM-27 TEAMS'!A59</f>
        <v>46054</v>
      </c>
      <c r="B303" s="436">
        <f>'19U BOYS PLATINUM-27 TEAMS'!B59</f>
        <v>0.29166666666666669</v>
      </c>
      <c r="C303" s="437" t="str">
        <f>'19U BOYS PLATINUM-27 TEAMS'!C59&amp;""</f>
        <v>WOOLLETT NEAR LEFT</v>
      </c>
      <c r="D303" s="437" t="str">
        <f>'19U BOYS PLATINUM-27 TEAMS'!D59&amp;""</f>
        <v>19Bpt39</v>
      </c>
      <c r="E303" s="438" t="str">
        <f>'19U BOYS PLATINUM-27 TEAMS'!E59&amp;""</f>
        <v>O2(3rdC)-NORTH IRVINE BLACK</v>
      </c>
      <c r="F303" s="438" t="str">
        <f>'19U BOYS PLATINUM-27 TEAMS'!F59&amp;""</f>
        <v>16</v>
      </c>
      <c r="G303" s="438" t="str">
        <f>'19U BOYS PLATINUM-27 TEAMS'!G59&amp;""</f>
        <v>O2(3rdD)-SOUTH COAST RED (A)</v>
      </c>
      <c r="H303" s="438" t="str">
        <f>'19U BOYS PLATINUM-27 TEAMS'!H59&amp;""</f>
        <v>9</v>
      </c>
      <c r="I303" s="437" t="str">
        <f>'19U BOYS PLATINUM-27 TEAMS'!I59&amp;""</f>
        <v>W/L O</v>
      </c>
      <c r="J303" s="438" t="str">
        <f>'19U BOYS PLATINUM-27 TEAMS'!J59&amp;""</f>
        <v>19U_BOYS_PLATINUM</v>
      </c>
      <c r="K303" s="438" t="str">
        <f t="shared" si="5"/>
        <v>202602010700</v>
      </c>
    </row>
    <row r="304" spans="1:11">
      <c r="A304" s="421">
        <f>'16U BOYS PLATINUM-18 TEAMS'!A44</f>
        <v>46054</v>
      </c>
      <c r="B304" s="422">
        <f>'16U BOYS PLATINUM-18 TEAMS'!B44</f>
        <v>0.29166666666666669</v>
      </c>
      <c r="C304" s="422" t="str">
        <f>'16U BOYS PLATINUM-18 TEAMS'!C44&amp;""</f>
        <v>WOOLLETT NEAR RIGHT</v>
      </c>
      <c r="D304" s="422" t="str">
        <f>'16U BOYS PLATINUM-18 TEAMS'!D44&amp;""</f>
        <v>16Bpt19</v>
      </c>
      <c r="E304" s="423" t="str">
        <f>'16U BOYS PLATINUM-18 TEAMS'!E44&amp;""</f>
        <v>G1(1stA)-CC UNITED BLACK</v>
      </c>
      <c r="F304" s="424" t="str">
        <f>'16U BOYS PLATINUM-18 TEAMS'!F44&amp;""</f>
        <v>7</v>
      </c>
      <c r="G304" s="425" t="str">
        <f>'16U BOYS PLATINUM-18 TEAMS'!G44&amp;""</f>
        <v>G2(1stB)-IMPERIAL WPC</v>
      </c>
      <c r="H304" s="427" t="str">
        <f>'16U BOYS PLATINUM-18 TEAMS'!H44&amp;""</f>
        <v>4</v>
      </c>
      <c r="I304" s="425" t="str">
        <f>'16U BOYS PLATINUM-18 TEAMS'!I44&amp;""</f>
        <v>1st-6th</v>
      </c>
      <c r="J304" s="426" t="str">
        <f>'16U BOYS PLATINUM-18 TEAMS'!J44&amp;""</f>
        <v>16U_BOYS_PLATINUM</v>
      </c>
      <c r="K304" s="426" t="str">
        <f t="shared" si="5"/>
        <v>202602010700</v>
      </c>
    </row>
    <row r="305" spans="1:11">
      <c r="A305" s="406">
        <f>'16U BOYS SILVER-20 TEAMS'!A63</f>
        <v>46054</v>
      </c>
      <c r="B305" s="407">
        <f>'16U BOYS SILVER-20 TEAMS'!B63</f>
        <v>0.29166666666666669</v>
      </c>
      <c r="C305" s="407" t="str">
        <f>'16U BOYS SILVER-20 TEAMS'!C63&amp;""</f>
        <v>YORBA LINDA HS</v>
      </c>
      <c r="D305" s="408" t="str">
        <f>'16U BOYS SILVER-20 TEAMS'!D63&amp;""</f>
        <v>16Bag36</v>
      </c>
      <c r="E305" s="408" t="str">
        <f>'16U BOYS SILVER-20 TEAMS'!E63&amp;""</f>
        <v>I1(3rdA)-BOA WHITE</v>
      </c>
      <c r="F305" s="408" t="str">
        <f>'16U BOYS SILVER-20 TEAMS'!F63&amp;""</f>
        <v>5</v>
      </c>
      <c r="G305" s="408" t="str">
        <f>'16U BOYS SILVER-20 TEAMS'!G63&amp;""</f>
        <v>I4(4thE)-SHORE AQUATICS</v>
      </c>
      <c r="H305" s="408" t="str">
        <f>'16U BOYS SILVER-20 TEAMS'!H63&amp;""</f>
        <v>8</v>
      </c>
      <c r="I305" s="408" t="str">
        <f>'16U BOYS SILVER-20 TEAMS'!I63&amp;""</f>
        <v>W/L I</v>
      </c>
      <c r="J305" s="408" t="str">
        <f>'16U BOYS SILVER-20 TEAMS'!J63&amp;""</f>
        <v>16U_BOYS_SILVER</v>
      </c>
      <c r="K305" s="408" t="str">
        <f t="shared" ref="K305:K368" si="6">TEXT(DATE(2026, MONTH(A305), DAY(A305)) + TIME(HOUR(B305), MINUTE(B305), 0), "yyyymmddhhmm")</f>
        <v>202602010700</v>
      </c>
    </row>
    <row r="306" spans="1:11">
      <c r="A306" s="382">
        <f>'14U GIRLS PLATINUM-10 TEAMS'!A24</f>
        <v>46054</v>
      </c>
      <c r="B306" s="383">
        <f>'14U GIRLS PLATINUM-10 TEAMS'!B24</f>
        <v>0.3263888888888889</v>
      </c>
      <c r="C306" s="383" t="str">
        <f>'14U GIRLS PLATINUM-10 TEAMS'!C24&amp;""</f>
        <v>ALISO NIGUEL HS</v>
      </c>
      <c r="D306" s="384" t="str">
        <f>'14U GIRLS PLATINUM-10 TEAMS'!D24&amp;""</f>
        <v>14Gpt12</v>
      </c>
      <c r="E306" s="384" t="str">
        <f>'14U GIRLS PLATINUM-10 TEAMS'!E24&amp;""</f>
        <v>C1-SANTA CRUZ BLACK</v>
      </c>
      <c r="F306" s="384" t="str">
        <f>'14U GIRLS PLATINUM-10 TEAMS'!F24&amp;""</f>
        <v>13</v>
      </c>
      <c r="G306" s="384" t="str">
        <f>'14U GIRLS PLATINUM-10 TEAMS'!G24&amp;""</f>
        <v>C3-FOOTHILL RED</v>
      </c>
      <c r="H306" s="384" t="str">
        <f>'14U GIRLS PLATINUM-10 TEAMS'!H24&amp;""</f>
        <v>3</v>
      </c>
      <c r="I306" s="384" t="str">
        <f>'14U GIRLS PLATINUM-10 TEAMS'!I24&amp;""</f>
        <v>C bracket C1,C3</v>
      </c>
      <c r="J306" s="384" t="str">
        <f>'14U GIRLS PLATINUM-10 TEAMS'!J24&amp;""</f>
        <v>14U_GIRLS_PLATINUM</v>
      </c>
      <c r="K306" s="384" t="str">
        <f t="shared" si="6"/>
        <v>202602010750</v>
      </c>
    </row>
    <row r="307" spans="1:11">
      <c r="A307" s="370">
        <f>'12U BOYS PLATINUM-10 TEAMS'!A26</f>
        <v>46054</v>
      </c>
      <c r="B307" s="371">
        <f>'12U BOYS PLATINUM-10 TEAMS'!B26</f>
        <v>0.3263888888888889</v>
      </c>
      <c r="C307" s="371" t="str">
        <f>'12U BOYS PLATINUM-10 TEAMS'!C26&amp;""</f>
        <v>BECKMAN HS 1</v>
      </c>
      <c r="D307" s="373" t="str">
        <f>'12U BOYS PLATINUM-10 TEAMS'!D26&amp;""</f>
        <v>12Bpt12</v>
      </c>
      <c r="E307" s="373" t="str">
        <f>'12U BOYS PLATINUM-10 TEAMS'!E26&amp;""</f>
        <v>C1-STANFORD RED</v>
      </c>
      <c r="F307" s="373" t="str">
        <f>'12U BOYS PLATINUM-10 TEAMS'!F26&amp;""</f>
        <v>12</v>
      </c>
      <c r="G307" s="373" t="str">
        <f>'12U BOYS PLATINUM-10 TEAMS'!G26&amp;""</f>
        <v>C3-SHAQ</v>
      </c>
      <c r="H307" s="373" t="str">
        <f>'12U BOYS PLATINUM-10 TEAMS'!H26&amp;""</f>
        <v>8</v>
      </c>
      <c r="I307" s="373" t="str">
        <f>'12U BOYS PLATINUM-10 TEAMS'!I26&amp;""</f>
        <v>C bracket C1,C3</v>
      </c>
      <c r="J307" s="373" t="str">
        <f>'12U BOYS PLATINUM-10 TEAMS'!J26&amp;""</f>
        <v>12U_BOYS_PLATINUM</v>
      </c>
      <c r="K307" s="373" t="str">
        <f t="shared" si="6"/>
        <v>202602010750</v>
      </c>
    </row>
    <row r="308" spans="1:11">
      <c r="A308" s="387">
        <f>'14U BOYS SILVER-18 TEAMS'!A44</f>
        <v>46054</v>
      </c>
      <c r="B308" s="388">
        <f>'14U BOYS SILVER-18 TEAMS'!B44</f>
        <v>0.3263888888888889</v>
      </c>
      <c r="C308" s="388" t="str">
        <f>'14U BOYS SILVER-18 TEAMS'!C44&amp;""</f>
        <v>COSTA MESA HS 1</v>
      </c>
      <c r="D308" s="389" t="str">
        <f>'14U BOYS SILVER-18 TEAMS'!D44&amp;""</f>
        <v>14Bag19</v>
      </c>
      <c r="E308" s="390" t="str">
        <f>'14U BOYS SILVER-18 TEAMS'!E44&amp;""</f>
        <v>G1(1stA)-POWAY VALLEY BLACK</v>
      </c>
      <c r="F308" s="391" t="str">
        <f>'14U BOYS SILVER-18 TEAMS'!F44&amp;""</f>
        <v>8</v>
      </c>
      <c r="G308" s="390" t="str">
        <f>'14U BOYS SILVER-18 TEAMS'!G44&amp;""</f>
        <v>G2(1stB)-SAN FRANCISCO</v>
      </c>
      <c r="H308" s="391" t="str">
        <f>'14U BOYS SILVER-18 TEAMS'!H44&amp;""</f>
        <v>5</v>
      </c>
      <c r="I308" s="392" t="str">
        <f>'14U BOYS SILVER-18 TEAMS'!I44&amp;""</f>
        <v>1st-6th</v>
      </c>
      <c r="J308" s="389" t="str">
        <f>'14U BOYS SILVER-18 TEAMS'!J44&amp;""</f>
        <v>14U_BOYS_SILVER</v>
      </c>
      <c r="K308" s="389" t="str">
        <f t="shared" si="6"/>
        <v>202602010750</v>
      </c>
    </row>
    <row r="309" spans="1:11">
      <c r="A309" s="354">
        <f>'12U BOYS GOLD-24 TEAMS'!A44</f>
        <v>46054</v>
      </c>
      <c r="B309" s="355">
        <f>'12U BOYS GOLD-24 TEAMS'!B44</f>
        <v>0.3263888888888889</v>
      </c>
      <c r="C309" s="355" t="str">
        <f>'12U BOYS GOLD-24 TEAMS'!C44&amp;""</f>
        <v>COSTA MESA HS 2</v>
      </c>
      <c r="D309" s="356" t="str">
        <f>'12U BOYS GOLD-24 TEAMS'!D44&amp;""</f>
        <v>12Bau17</v>
      </c>
      <c r="E309" s="356" t="str">
        <f>'12U BOYS GOLD-24 TEAMS'!E44&amp;""</f>
        <v>1stA-ORANGE COUNTY WPC BLUE</v>
      </c>
      <c r="F309" s="356" t="str">
        <f>'12U BOYS GOLD-24 TEAMS'!F44&amp;""</f>
        <v>13</v>
      </c>
      <c r="G309" s="356" t="str">
        <f>'12U BOYS GOLD-24 TEAMS'!G44&amp;""</f>
        <v>1stD-LAMORINDA B</v>
      </c>
      <c r="H309" s="362" t="str">
        <f>'12U BOYS GOLD-24 TEAMS'!H44&amp;""</f>
        <v>5</v>
      </c>
      <c r="I309" s="356" t="str">
        <f>'12U BOYS GOLD-24 TEAMS'!I44&amp;""</f>
        <v>1-8 cross 1A/1D</v>
      </c>
      <c r="J309" s="356" t="str">
        <f>'12U BOYS GOLD-24 TEAMS'!J44&amp;""</f>
        <v>12U_BOYS_GOLD</v>
      </c>
      <c r="K309" s="356" t="str">
        <f t="shared" si="6"/>
        <v>202602010750</v>
      </c>
    </row>
    <row r="310" spans="1:11">
      <c r="A310" s="399">
        <f>'14U BOYS PLATINUM-20 TEAMS'!A48</f>
        <v>46054</v>
      </c>
      <c r="B310" s="400">
        <f>'14U BOYS PLATINUM-20 TEAMS'!B48</f>
        <v>0.3263888888888889</v>
      </c>
      <c r="C310" s="400" t="str">
        <f>'14U BOYS PLATINUM-20 TEAMS'!C48&amp;""</f>
        <v>EL TORO HS 1</v>
      </c>
      <c r="D310" s="401" t="str">
        <f>'14U BOYS PLATINUM-20 TEAMS'!D48&amp;""</f>
        <v>14Bpt24</v>
      </c>
      <c r="E310" s="401" t="str">
        <f>'14U BOYS PLATINUM-20 TEAMS'!E48&amp;""</f>
        <v>H1(2ndA)-TROJAN CARDINAL</v>
      </c>
      <c r="F310" s="401" t="str">
        <f>'14U BOYS PLATINUM-20 TEAMS'!F48&amp;""</f>
        <v>7</v>
      </c>
      <c r="G310" s="401" t="str">
        <f>'14U BOYS PLATINUM-20 TEAMS'!G48&amp;""</f>
        <v>H3(2ndC)-SOUTH COAST RED (A)</v>
      </c>
      <c r="H310" s="401" t="str">
        <f>'14U BOYS PLATINUM-20 TEAMS'!H48&amp;""</f>
        <v>8</v>
      </c>
      <c r="I310" s="401" t="str">
        <f>'14U BOYS PLATINUM-20 TEAMS'!I48&amp;""</f>
        <v>H bracket</v>
      </c>
      <c r="J310" s="401" t="str">
        <f>'14U BOYS PLATINUM-20 TEAMS'!J48&amp;""</f>
        <v>14U_BOYS_PLATINUM</v>
      </c>
      <c r="K310" s="401" t="str">
        <f t="shared" si="6"/>
        <v>202602010750</v>
      </c>
    </row>
    <row r="311" spans="1:11">
      <c r="A311" s="378">
        <f>'14U GIRLS GOLD-14 TEAMS'!A30</f>
        <v>46054</v>
      </c>
      <c r="B311" s="379">
        <f>'14U GIRLS GOLD-14 TEAMS'!B30</f>
        <v>0.3263888888888889</v>
      </c>
      <c r="C311" s="379" t="str">
        <f>'14U GIRLS GOLD-14 TEAMS'!C30&amp;""</f>
        <v>ESPERANZA HS</v>
      </c>
      <c r="D311" s="380" t="str">
        <f>'14U GIRLS GOLD-14 TEAMS'!D30&amp;""</f>
        <v>14Gau16</v>
      </c>
      <c r="E311" s="380" t="str">
        <f>'14U GIRLS GOLD-14 TEAMS'!E30&amp;""</f>
        <v>3rdA-SANTA CRUZ BLUE</v>
      </c>
      <c r="F311" s="380" t="str">
        <f>'14U GIRLS GOLD-14 TEAMS'!F30&amp;""</f>
        <v>7</v>
      </c>
      <c r="G311" s="380" t="str">
        <f>'14U GIRLS GOLD-14 TEAMS'!G30&amp;""</f>
        <v>3rdD-NORTHWEST</v>
      </c>
      <c r="H311" s="380" t="str">
        <f>'14U GIRLS GOLD-14 TEAMS'!H30&amp;""</f>
        <v>14</v>
      </c>
      <c r="I311" s="380" t="str">
        <f>'14U GIRLS GOLD-14 TEAMS'!I30&amp;""</f>
        <v>9th-14th 3A,3D</v>
      </c>
      <c r="J311" s="380" t="str">
        <f>'14U GIRLS GOLD-14 TEAMS'!J30&amp;""</f>
        <v>14U_GIRLS_GOLD</v>
      </c>
      <c r="K311" s="380" t="str">
        <f t="shared" si="6"/>
        <v>202602010750</v>
      </c>
    </row>
    <row r="312" spans="1:11">
      <c r="A312" s="394">
        <f>'14U BOYS GOLD-26 TEAMS'!A56</f>
        <v>46054</v>
      </c>
      <c r="B312" s="395">
        <f>'14U BOYS GOLD-26 TEAMS'!B56</f>
        <v>0.3263888888888889</v>
      </c>
      <c r="C312" s="396" t="str">
        <f>'14U BOYS GOLD-26 TEAMS'!C56&amp;""</f>
        <v>ESTANCIA HS 2</v>
      </c>
      <c r="D312" s="396" t="str">
        <f>'14U BOYS GOLD-26 TEAMS'!D56&amp;""</f>
        <v>14Bau27</v>
      </c>
      <c r="E312" s="397" t="str">
        <f>'14U BOYS GOLD-26 TEAMS'!E56&amp;""</f>
        <v>J1(1stA)-SHORE AQUATICS</v>
      </c>
      <c r="F312" s="397" t="str">
        <f>'14U BOYS GOLD-26 TEAMS'!F56&amp;""</f>
        <v>10</v>
      </c>
      <c r="G312" s="397" t="str">
        <f>'14U BOYS GOLD-26 TEAMS'!G56&amp;""</f>
        <v>J4(1stD)-SAN CLEMENTE RED</v>
      </c>
      <c r="H312" s="397" t="str">
        <f>'14U BOYS GOLD-26 TEAMS'!H56&amp;""</f>
        <v>9</v>
      </c>
      <c r="I312" s="396" t="str">
        <f>'14U BOYS GOLD-26 TEAMS'!I56&amp;""</f>
        <v>1st-8th</v>
      </c>
      <c r="J312" s="397" t="str">
        <f>'14U BOYS GOLD-26 TEAMS'!J56&amp;""</f>
        <v>14U_BOYS_GOLD</v>
      </c>
      <c r="K312" s="397" t="str">
        <f t="shared" si="6"/>
        <v>202602010750</v>
      </c>
    </row>
    <row r="313" spans="1:11">
      <c r="A313" s="394">
        <f>'14U BOYS GOLD-26 TEAMS'!A67</f>
        <v>46054</v>
      </c>
      <c r="B313" s="395">
        <f>'14U BOYS GOLD-26 TEAMS'!B67</f>
        <v>0.3263888888888889</v>
      </c>
      <c r="C313" s="396" t="str">
        <f>'14U BOYS GOLD-26 TEAMS'!C67&amp;""</f>
        <v>LAGUNA HILLS HS</v>
      </c>
      <c r="D313" s="396" t="str">
        <f>'14U BOYS GOLD-26 TEAMS'!D67&amp;""</f>
        <v>14Bau41</v>
      </c>
      <c r="E313" s="396" t="str">
        <f>'14U BOYS GOLD-26 TEAMS'!E67&amp;""</f>
        <v>N1(3rdA)-HONOLULU BLUE</v>
      </c>
      <c r="F313" s="396" t="str">
        <f>'14U BOYS GOLD-26 TEAMS'!F67&amp;""</f>
        <v>7</v>
      </c>
      <c r="G313" s="396" t="str">
        <f>'14U BOYS GOLD-26 TEAMS'!G67&amp;""</f>
        <v>N3(3rdH)-PATRIOT RED</v>
      </c>
      <c r="H313" s="396" t="str">
        <f>'14U BOYS GOLD-26 TEAMS'!H67&amp;""</f>
        <v>14</v>
      </c>
      <c r="I313" s="396" t="str">
        <f>'14U BOYS GOLD-26 TEAMS'!I67&amp;""</f>
        <v>N bracket</v>
      </c>
      <c r="J313" s="397" t="str">
        <f>'14U BOYS GOLD-26 TEAMS'!J67&amp;""</f>
        <v>14U_BOYS_GOLD</v>
      </c>
      <c r="K313" s="397" t="str">
        <f t="shared" si="6"/>
        <v>202602010750</v>
      </c>
    </row>
    <row r="314" spans="1:11">
      <c r="A314" s="378">
        <f>'14U GIRLS GOLD-14 TEAMS'!A29</f>
        <v>46054</v>
      </c>
      <c r="B314" s="379">
        <f>'14U GIRLS GOLD-14 TEAMS'!B29</f>
        <v>0.3263888888888889</v>
      </c>
      <c r="C314" s="379" t="str">
        <f>'14U GIRLS GOLD-14 TEAMS'!C29&amp;""</f>
        <v>SAN CLEMENTE HS</v>
      </c>
      <c r="D314" s="380" t="str">
        <f>'14U GIRLS GOLD-14 TEAMS'!D29&amp;""</f>
        <v>14Gau23</v>
      </c>
      <c r="E314" s="380" t="str">
        <f>'14U GIRLS GOLD-14 TEAMS'!E29&amp;""</f>
        <v>2ndA-LA JOLLA UNITED</v>
      </c>
      <c r="F314" s="380" t="str">
        <f>'14U GIRLS GOLD-14 TEAMS'!F29&amp;""</f>
        <v>13</v>
      </c>
      <c r="G314" s="380" t="str">
        <f>'14U GIRLS GOLD-14 TEAMS'!G29&amp;""</f>
        <v>2ndD-SD ECA</v>
      </c>
      <c r="H314" s="380" t="str">
        <f>'14U GIRLS GOLD-14 TEAMS'!H29&amp;""</f>
        <v>6</v>
      </c>
      <c r="I314" s="380" t="str">
        <f>'14U GIRLS GOLD-14 TEAMS'!I29&amp;""</f>
        <v>5-8 semi</v>
      </c>
      <c r="J314" s="380" t="str">
        <f>'14U GIRLS GOLD-14 TEAMS'!J29&amp;""</f>
        <v>14U_GIRLS_GOLD</v>
      </c>
      <c r="K314" s="380" t="str">
        <f t="shared" si="6"/>
        <v>202602010750</v>
      </c>
    </row>
    <row r="315" spans="1:11">
      <c r="A315" s="399">
        <f>'14U BOYS PLATINUM-20 TEAMS'!A61</f>
        <v>46054</v>
      </c>
      <c r="B315" s="400">
        <f>'14U BOYS PLATINUM-20 TEAMS'!B61</f>
        <v>0.3263888888888889</v>
      </c>
      <c r="C315" s="400" t="str">
        <f>'14U BOYS PLATINUM-20 TEAMS'!C61&amp;""</f>
        <v>TUSTIN HS 1</v>
      </c>
      <c r="D315" s="401" t="str">
        <f>'14U BOYS PLATINUM-20 TEAMS'!D61&amp;""</f>
        <v>14Bpt33</v>
      </c>
      <c r="E315" s="401" t="str">
        <f>'14U BOYS PLATINUM-20 TEAMS'!E61&amp;""</f>
        <v>L1(3rdD)-STANFORD RED</v>
      </c>
      <c r="F315" s="401" t="str">
        <f>'14U BOYS PLATINUM-20 TEAMS'!F61&amp;""</f>
        <v>10</v>
      </c>
      <c r="G315" s="401" t="str">
        <f>'14U BOYS PLATINUM-20 TEAMS'!G61&amp;""</f>
        <v>L4(4thF)-ROUTE 66 AQUATICS</v>
      </c>
      <c r="H315" s="401" t="str">
        <f>'14U BOYS PLATINUM-20 TEAMS'!H61&amp;""</f>
        <v>6</v>
      </c>
      <c r="I315" s="401" t="str">
        <f>'14U BOYS PLATINUM-20 TEAMS'!I61&amp;""</f>
        <v>W/L L</v>
      </c>
      <c r="J315" s="401" t="str">
        <f>'14U BOYS PLATINUM-20 TEAMS'!J61&amp;""</f>
        <v>14U_BOYS_PLATINUM</v>
      </c>
      <c r="K315" s="401" t="str">
        <f t="shared" si="6"/>
        <v>202602010750</v>
      </c>
    </row>
    <row r="316" spans="1:11">
      <c r="A316" s="375">
        <f>'12U COED-7 TEAMS'!A23</f>
        <v>46054</v>
      </c>
      <c r="B316" s="376">
        <f>'12U COED-7 TEAMS'!B23</f>
        <v>0.3263888888888889</v>
      </c>
      <c r="C316" s="377" t="str">
        <f>'12U COED-7 TEAMS'!C23&amp;""</f>
        <v>TUSTIN HS 2</v>
      </c>
      <c r="D316" s="377" t="str">
        <f>'12U COED-7 TEAMS'!D23&amp;""</f>
        <v>12C09</v>
      </c>
      <c r="E316" s="377" t="str">
        <f>'12U COED-7 TEAMS'!E23&amp;""</f>
        <v>B1-POWAY VALLEY</v>
      </c>
      <c r="F316" s="377" t="str">
        <f>'12U COED-7 TEAMS'!F23&amp;""</f>
        <v>12</v>
      </c>
      <c r="G316" s="377" t="str">
        <f>'12U COED-7 TEAMS'!G23&amp;""</f>
        <v>B2-LOYOLA WPC</v>
      </c>
      <c r="H316" s="377" t="str">
        <f>'12U COED-7 TEAMS'!H23&amp;""</f>
        <v>3</v>
      </c>
      <c r="I316" s="377" t="str">
        <f>'12U COED-7 TEAMS'!I23&amp;""</f>
        <v>B bracket B1,B2</v>
      </c>
      <c r="J316" s="377" t="str">
        <f>'12U COED-7 TEAMS'!J23&amp;""</f>
        <v>12U_COED</v>
      </c>
      <c r="K316" s="377" t="str">
        <f t="shared" si="6"/>
        <v>202602010750</v>
      </c>
    </row>
    <row r="317" spans="1:11">
      <c r="A317" s="351">
        <f>'12U GIRLS PLATINUM-12 TEAMS'!A28</f>
        <v>46054</v>
      </c>
      <c r="B317" s="352">
        <f>'12U GIRLS PLATINUM-12 TEAMS'!B28</f>
        <v>0.3263888888888889</v>
      </c>
      <c r="C317" s="351" t="str">
        <f>'12U GIRLS PLATINUM-12 TEAMS'!C28&amp;""</f>
        <v>WOOLLETT FAR RIGHT</v>
      </c>
      <c r="D317" s="353" t="str">
        <f>'12U GIRLS PLATINUM-12 TEAMS'!D28&amp;""</f>
        <v>12Gpt21</v>
      </c>
      <c r="E317" s="351" t="str">
        <f>'12U GIRLS PLATINUM-12 TEAMS'!E28&amp;""</f>
        <v>3rdA-GOLD COAST</v>
      </c>
      <c r="F317" s="353" t="str">
        <f>'12U GIRLS PLATINUM-12 TEAMS'!F28&amp;""</f>
        <v>0</v>
      </c>
      <c r="G317" s="351" t="str">
        <f>'12U GIRLS PLATINUM-12 TEAMS'!G28&amp;""</f>
        <v>3rdD-NORTH IRVINE</v>
      </c>
      <c r="H317" s="353" t="str">
        <f>'12U GIRLS PLATINUM-12 TEAMS'!H28&amp;""</f>
        <v>16</v>
      </c>
      <c r="I317" s="353" t="str">
        <f>'12U GIRLS PLATINUM-12 TEAMS'!I28&amp;""</f>
        <v>9-12 semi 3A/3D</v>
      </c>
      <c r="J317" s="353" t="str">
        <f>'12U GIRLS PLATINUM-12 TEAMS'!J28&amp;""</f>
        <v>12U_GIRLS_PLATINUM</v>
      </c>
      <c r="K317" s="353" t="str">
        <f t="shared" si="6"/>
        <v>202602010750</v>
      </c>
    </row>
    <row r="318" spans="1:11">
      <c r="A318" s="406">
        <f>'16U BOYS SILVER-20 TEAMS'!A66</f>
        <v>46054</v>
      </c>
      <c r="B318" s="407">
        <f>'16U BOYS SILVER-20 TEAMS'!B66</f>
        <v>0.33333333333333298</v>
      </c>
      <c r="C318" s="407" t="str">
        <f>'16U BOYS SILVER-20 TEAMS'!C66&amp;""</f>
        <v>EDISON HS</v>
      </c>
      <c r="D318" s="408" t="str">
        <f>'16U BOYS SILVER-20 TEAMS'!D66&amp;""</f>
        <v>16Bag35</v>
      </c>
      <c r="E318" s="408" t="str">
        <f>'16U BOYS SILVER-20 TEAMS'!E66&amp;""</f>
        <v>L2(3rdE)-LV LEGENDS</v>
      </c>
      <c r="F318" s="408" t="str">
        <f>'16U BOYS SILVER-20 TEAMS'!F66&amp;""</f>
        <v>5</v>
      </c>
      <c r="G318" s="408" t="str">
        <f>'16U BOYS SILVER-20 TEAMS'!G66&amp;""</f>
        <v>L3(3rdC)-SET</v>
      </c>
      <c r="H318" s="408" t="str">
        <f>'16U BOYS SILVER-20 TEAMS'!H66&amp;""</f>
        <v>11</v>
      </c>
      <c r="I318" s="408" t="str">
        <f>'16U BOYS SILVER-20 TEAMS'!I66&amp;""</f>
        <v>W/L L</v>
      </c>
      <c r="J318" s="408" t="str">
        <f>'16U BOYS SILVER-20 TEAMS'!J66&amp;""</f>
        <v>16U_BOYS_SILVER</v>
      </c>
      <c r="K318" s="408" t="str">
        <f t="shared" si="6"/>
        <v>202602010800</v>
      </c>
    </row>
    <row r="319" spans="1:11">
      <c r="A319" s="428">
        <f>'19U BOYS SILVER-6 TEAMS CUST'!A19</f>
        <v>46054</v>
      </c>
      <c r="B319" s="429">
        <f>'19U BOYS SILVER-6 TEAMS CUST'!B19</f>
        <v>0.33333333333333298</v>
      </c>
      <c r="C319" s="429" t="str">
        <f>'19U BOYS SILVER-6 TEAMS CUST'!C19&amp;""</f>
        <v>ESTANCIA HS 1</v>
      </c>
      <c r="D319" s="430" t="str">
        <f>'19U BOYS SILVER-6 TEAMS CUST'!D19&amp;""</f>
        <v>19Bag07</v>
      </c>
      <c r="E319" s="430" t="str">
        <f>'19U BOYS SILVER-6 TEAMS CUST'!E19&amp;""</f>
        <v>A1-SHORE AQUATICS</v>
      </c>
      <c r="F319" s="430" t="str">
        <f>'19U BOYS SILVER-6 TEAMS CUST'!F19&amp;""</f>
        <v>7</v>
      </c>
      <c r="G319" s="430" t="str">
        <f>'19U BOYS SILVER-6 TEAMS CUST'!G19&amp;""</f>
        <v>B2-SAN JOSE EXPRESS GOLD</v>
      </c>
      <c r="H319" s="430" t="str">
        <f>'19U BOYS SILVER-6 TEAMS CUST'!H19&amp;""</f>
        <v>8</v>
      </c>
      <c r="I319" s="430" t="str">
        <f>'19U BOYS SILVER-6 TEAMS CUST'!I19&amp;""</f>
        <v>A1,B2</v>
      </c>
      <c r="J319" s="430" t="str">
        <f>'19U BOYS SILVER-6 TEAMS CUST'!J19&amp;""</f>
        <v>19U_BOYS_SILVER</v>
      </c>
      <c r="K319" s="430" t="str">
        <f t="shared" si="6"/>
        <v>202602010800</v>
      </c>
    </row>
    <row r="320" spans="1:11">
      <c r="A320" s="413">
        <f>'16U BOYS GOLD-19 TEAMS'!A61</f>
        <v>46054</v>
      </c>
      <c r="B320" s="414">
        <f>'16U BOYS GOLD-19 TEAMS'!B61</f>
        <v>0.33333333333333298</v>
      </c>
      <c r="C320" s="414" t="str">
        <f>'16U BOYS GOLD-19 TEAMS'!C61&amp;""</f>
        <v>SADDLEBACK COLLEGE</v>
      </c>
      <c r="D320" s="415" t="str">
        <f>'16U BOYS GOLD-19 TEAMS'!D61&amp;""</f>
        <v>16Bau32</v>
      </c>
      <c r="E320" s="414" t="str">
        <f>'16U BOYS GOLD-19 TEAMS'!E61&amp;""</f>
        <v>K1(3rdA)-AMERICAN RIVER GOLD</v>
      </c>
      <c r="F320" s="418" t="str">
        <f>'16U BOYS GOLD-19 TEAMS'!F61&amp;""</f>
        <v>4</v>
      </c>
      <c r="G320" s="414" t="str">
        <f>'16U BOYS GOLD-19 TEAMS'!G61&amp;""</f>
        <v>K3(3rdC)-ST LOUIS AREA POLO</v>
      </c>
      <c r="H320" s="417" t="str">
        <f>'16U BOYS GOLD-19 TEAMS'!H61&amp;""</f>
        <v>10</v>
      </c>
      <c r="I320" s="418" t="str">
        <f>'16U BOYS GOLD-19 TEAMS'!I61&amp;""</f>
        <v>K bracket K1,K3</v>
      </c>
      <c r="J320" s="415" t="str">
        <f>'16U BOYS GOLD-19 TEAMS'!J61&amp;""</f>
        <v>16U_BOYS_GOLD</v>
      </c>
      <c r="K320" s="415" t="str">
        <f t="shared" si="6"/>
        <v>202602010800</v>
      </c>
    </row>
    <row r="321" spans="1:11">
      <c r="A321" s="410">
        <f>'16U BOYS GOLD-19 TEAMS'!A49</f>
        <v>46054</v>
      </c>
      <c r="B321" s="411">
        <f>'16U BOYS GOLD-19 TEAMS'!B49</f>
        <v>0.33333333333333298</v>
      </c>
      <c r="C321" s="411" t="str">
        <f>'16U BOYS GOLD-19 TEAMS'!C49&amp;""</f>
        <v>SAN JUAN HILLS HS</v>
      </c>
      <c r="D321" s="412" t="str">
        <f>'16U BOYS GOLD-19 TEAMS'!D49&amp;""</f>
        <v>16Bau21</v>
      </c>
      <c r="E321" s="412" t="str">
        <f>'16U BOYS GOLD-19 TEAMS'!E49&amp;""</f>
        <v>H1(1stD)-CC UNITED BLUE</v>
      </c>
      <c r="F321" s="412" t="str">
        <f>'16U BOYS GOLD-19 TEAMS'!F49&amp;""</f>
        <v>8</v>
      </c>
      <c r="G321" s="412" t="str">
        <f>'16U BOYS GOLD-19 TEAMS'!G49&amp;""</f>
        <v>H3(1stF)-LA JOLLA UNITED GOLD</v>
      </c>
      <c r="H321" s="412" t="str">
        <f>'16U BOYS GOLD-19 TEAMS'!H49&amp;""</f>
        <v>7</v>
      </c>
      <c r="I321" s="412" t="str">
        <f>'16U BOYS GOLD-19 TEAMS'!I49&amp;""</f>
        <v>H bracket H1,H3</v>
      </c>
      <c r="J321" s="412" t="str">
        <f>'16U BOYS GOLD-19 TEAMS'!J49&amp;""</f>
        <v>16U_BOYS_GOLD</v>
      </c>
      <c r="K321" s="412" t="str">
        <f t="shared" si="6"/>
        <v>202602010800</v>
      </c>
    </row>
    <row r="322" spans="1:11">
      <c r="A322" s="406">
        <f>'16U BOYS SILVER-20 TEAMS'!A52</f>
        <v>46054</v>
      </c>
      <c r="B322" s="407">
        <f>'16U BOYS SILVER-20 TEAMS'!B52</f>
        <v>0.33333333333333298</v>
      </c>
      <c r="C322" s="407" t="str">
        <f>'16U BOYS SILVER-20 TEAMS'!C52&amp;""</f>
        <v>SONORA HS</v>
      </c>
      <c r="D322" s="408" t="str">
        <f>'16U BOYS SILVER-20 TEAMS'!D52&amp;""</f>
        <v>16Bag25</v>
      </c>
      <c r="E322" s="408" t="str">
        <f>'16U BOYS SILVER-20 TEAMS'!E52&amp;""</f>
        <v>G1(1stA)-MID PEN</v>
      </c>
      <c r="F322" s="408" t="str">
        <f>'16U BOYS SILVER-20 TEAMS'!F52&amp;""</f>
        <v>8</v>
      </c>
      <c r="G322" s="409" t="str">
        <f>'16U BOYS SILVER-20 TEAMS'!G52&amp;""</f>
        <v>G3(1stC)-LAMORINDA B</v>
      </c>
      <c r="H322" s="408" t="str">
        <f>'16U BOYS SILVER-20 TEAMS'!H52&amp;""</f>
        <v>13</v>
      </c>
      <c r="I322" s="408" t="str">
        <f>'16U BOYS SILVER-20 TEAMS'!I52&amp;""</f>
        <v>G bracket</v>
      </c>
      <c r="J322" s="408" t="str">
        <f>'16U BOYS SILVER-20 TEAMS'!J52&amp;""</f>
        <v>16U_BOYS_SILVER</v>
      </c>
      <c r="K322" s="408" t="str">
        <f t="shared" si="6"/>
        <v>202602010800</v>
      </c>
    </row>
    <row r="323" spans="1:11">
      <c r="A323" s="421">
        <f>'16U BOYS PLATINUM-18 TEAMS'!A56</f>
        <v>46054</v>
      </c>
      <c r="B323" s="422">
        <f>'16U BOYS PLATINUM-18 TEAMS'!B56</f>
        <v>0.33333333333333298</v>
      </c>
      <c r="C323" s="422" t="str">
        <f>'16U BOYS PLATINUM-18 TEAMS'!C56&amp;""</f>
        <v>WESTMINSTER HS</v>
      </c>
      <c r="D323" s="422" t="str">
        <f>'16U BOYS PLATINUM-18 TEAMS'!D56&amp;""</f>
        <v>16Bpt26</v>
      </c>
      <c r="E323" s="423" t="str">
        <f>'16U BOYS PLATINUM-18 TEAMS'!E56&amp;""</f>
        <v>K1(2ndC)-VANGUARD BLUE</v>
      </c>
      <c r="F323" s="424" t="str">
        <f>'16U BOYS PLATINUM-18 TEAMS'!F56&amp;""</f>
        <v>14</v>
      </c>
      <c r="G323" s="425" t="str">
        <f>'16U BOYS PLATINUM-18 TEAMS'!G56&amp;""</f>
        <v xml:space="preserve">K3(2ndA)-SAND CANYON	</v>
      </c>
      <c r="H323" s="427" t="str">
        <f>'16U BOYS PLATINUM-18 TEAMS'!H56&amp;""</f>
        <v>8</v>
      </c>
      <c r="I323" s="425" t="str">
        <f>'16U BOYS PLATINUM-18 TEAMS'!I56&amp;""</f>
        <v>7th-12th</v>
      </c>
      <c r="J323" s="426" t="str">
        <f>'16U BOYS PLATINUM-18 TEAMS'!J56&amp;""</f>
        <v>16U_BOYS_PLATINUM</v>
      </c>
      <c r="K323" s="426" t="str">
        <f t="shared" si="6"/>
        <v>202602010800</v>
      </c>
    </row>
    <row r="324" spans="1:11">
      <c r="A324" s="435">
        <f>'19U BOYS PLATINUM-27 TEAMS'!A60</f>
        <v>46054</v>
      </c>
      <c r="B324" s="436">
        <f>'19U BOYS PLATINUM-27 TEAMS'!B60</f>
        <v>0.33333333333333298</v>
      </c>
      <c r="C324" s="437" t="str">
        <f>'19U BOYS PLATINUM-27 TEAMS'!C60&amp;""</f>
        <v>WOOLLETT NEAR LEFT</v>
      </c>
      <c r="D324" s="437" t="str">
        <f>'19U BOYS PLATINUM-27 TEAMS'!D60&amp;""</f>
        <v>19Bpt28</v>
      </c>
      <c r="E324" s="438" t="str">
        <f>'19U BOYS PLATINUM-27 TEAMS'!E60&amp;""</f>
        <v>J1(1stA)-CC UNITED BLACK</v>
      </c>
      <c r="F324" s="438" t="str">
        <f>'19U BOYS PLATINUM-27 TEAMS'!F60&amp;""</f>
        <v>12</v>
      </c>
      <c r="G324" s="438" t="str">
        <f>'19U BOYS PLATINUM-27 TEAMS'!G60&amp;""</f>
        <v>J4(1stD)-AMERICAN RIVER BLUE</v>
      </c>
      <c r="H324" s="438" t="str">
        <f>'19U BOYS PLATINUM-27 TEAMS'!H60&amp;""</f>
        <v>6</v>
      </c>
      <c r="I324" s="437" t="str">
        <f>'19U BOYS PLATINUM-27 TEAMS'!I60&amp;""</f>
        <v>1st-8th</v>
      </c>
      <c r="J324" s="438" t="str">
        <f>'19U BOYS PLATINUM-27 TEAMS'!J60&amp;""</f>
        <v>19U_BOYS_PLATINUM</v>
      </c>
      <c r="K324" s="438" t="str">
        <f t="shared" si="6"/>
        <v>202602010800</v>
      </c>
    </row>
    <row r="325" spans="1:11">
      <c r="A325" s="421">
        <f>'16U BOYS PLATINUM-18 TEAMS'!A45</f>
        <v>46054</v>
      </c>
      <c r="B325" s="422">
        <f>'16U BOYS PLATINUM-18 TEAMS'!B45</f>
        <v>0.33333333333333298</v>
      </c>
      <c r="C325" s="422" t="str">
        <f>'16U BOYS PLATINUM-18 TEAMS'!C45&amp;""</f>
        <v>WOOLLETT NEAR RIGHT</v>
      </c>
      <c r="D325" s="422" t="str">
        <f>'16U BOYS PLATINUM-18 TEAMS'!D45&amp;""</f>
        <v>16Bpt21</v>
      </c>
      <c r="E325" s="423" t="str">
        <f>'16U BOYS PLATINUM-18 TEAMS'!E45&amp;""</f>
        <v>H1(1stD)-LAMORINDA A</v>
      </c>
      <c r="F325" s="424" t="str">
        <f>'16U BOYS PLATINUM-18 TEAMS'!F45&amp;""</f>
        <v>8</v>
      </c>
      <c r="G325" s="425" t="str">
        <f>'16U BOYS PLATINUM-18 TEAMS'!G45&amp;""</f>
        <v>H2(1stE)-CHANNEL ISLANDS UNITED GOLD</v>
      </c>
      <c r="H325" s="424" t="str">
        <f>'16U BOYS PLATINUM-18 TEAMS'!H45&amp;""</f>
        <v>9</v>
      </c>
      <c r="I325" s="425" t="str">
        <f>'16U BOYS PLATINUM-18 TEAMS'!I45&amp;""</f>
        <v>1st-6th</v>
      </c>
      <c r="J325" s="426" t="str">
        <f>'16U BOYS PLATINUM-18 TEAMS'!J45&amp;""</f>
        <v>16U_BOYS_PLATINUM</v>
      </c>
      <c r="K325" s="426" t="str">
        <f t="shared" si="6"/>
        <v>202602010800</v>
      </c>
    </row>
    <row r="326" spans="1:11">
      <c r="A326" s="435">
        <f>'19U BOYS PLATINUM-27 TEAMS'!A71</f>
        <v>46054</v>
      </c>
      <c r="B326" s="436">
        <f>'19U BOYS PLATINUM-27 TEAMS'!B71</f>
        <v>0.33333333333333298</v>
      </c>
      <c r="C326" s="437" t="str">
        <f>'19U BOYS PLATINUM-27 TEAMS'!C71&amp;""</f>
        <v>YORBA LINDA HS</v>
      </c>
      <c r="D326" s="437" t="str">
        <f>'19U BOYS PLATINUM-27 TEAMS'!D71&amp;""</f>
        <v>19Bpt48</v>
      </c>
      <c r="E326" s="438" t="str">
        <f>'19U BOYS PLATINUM-27 TEAMS'!E71&amp;""</f>
        <v>N1(3rdA)-LV LEGENDS</v>
      </c>
      <c r="F326" s="438" t="str">
        <f>'19U BOYS PLATINUM-27 TEAMS'!F71&amp;""</f>
        <v>11</v>
      </c>
      <c r="G326" s="438" t="str">
        <f>'19U BOYS PLATINUM-27 TEAMS'!G71&amp;""</f>
        <v>N2(3rdG)-SAN JOSE EXPRESS BLUE</v>
      </c>
      <c r="H326" s="438" t="str">
        <f>'19U BOYS PLATINUM-27 TEAMS'!H71&amp;""</f>
        <v>10</v>
      </c>
      <c r="I326" s="437" t="str">
        <f>'19U BOYS PLATINUM-27 TEAMS'!I71&amp;""</f>
        <v>N bracket</v>
      </c>
      <c r="J326" s="438" t="str">
        <f>'19U BOYS PLATINUM-27 TEAMS'!J71&amp;""</f>
        <v>19U_BOYS_PLATINUM</v>
      </c>
      <c r="K326" s="438" t="str">
        <f t="shared" si="6"/>
        <v>202602010800</v>
      </c>
    </row>
    <row r="327" spans="1:11">
      <c r="A327" s="346">
        <f>'10U BOYS-8 TEAMS'!A21</f>
        <v>46054</v>
      </c>
      <c r="B327" s="347">
        <f>'10U BOYS-8 TEAMS'!B21</f>
        <v>0.33333333333333331</v>
      </c>
      <c r="C327" s="348" t="str">
        <f>'10U BOYS-8 TEAMS'!C21&amp;""</f>
        <v>BECKMAN HS 2</v>
      </c>
      <c r="D327" s="348" t="str">
        <f>'10U BOYS-8 TEAMS'!D21&amp;""</f>
        <v>10B09</v>
      </c>
      <c r="E327" s="348" t="str">
        <f>'10U BOYS-8 TEAMS'!E21&amp;""</f>
        <v>B3-STANFORD RED</v>
      </c>
      <c r="F327" s="348" t="str">
        <f>'10U BOYS-8 TEAMS'!F21&amp;""</f>
        <v>12</v>
      </c>
      <c r="G327" s="348" t="str">
        <f>'10U BOYS-8 TEAMS'!G21&amp;""</f>
        <v>B4-680 BLUE</v>
      </c>
      <c r="H327" s="348" t="str">
        <f>'10U BOYS-8 TEAMS'!H21&amp;""</f>
        <v>0</v>
      </c>
      <c r="I327" s="348" t="str">
        <f>'10U BOYS-8 TEAMS'!I21&amp;""</f>
        <v>bracket, B3/B4</v>
      </c>
      <c r="J327" s="348" t="str">
        <f>'10U BOYS-8 TEAMS'!J21&amp;""</f>
        <v>10U_BOYS</v>
      </c>
      <c r="K327" s="348" t="str">
        <f t="shared" si="6"/>
        <v>202602010800</v>
      </c>
    </row>
    <row r="328" spans="1:11">
      <c r="A328" s="337">
        <f>'10U COED GOLD-16 TEAMS CUSTOM'!A30</f>
        <v>46054</v>
      </c>
      <c r="B328" s="338">
        <f>'10U COED GOLD-16 TEAMS CUSTOM'!B30</f>
        <v>0.33333333333333331</v>
      </c>
      <c r="C328" s="338" t="str">
        <f>'10U COED GOLD-16 TEAMS CUSTOM'!C30&amp;""</f>
        <v>EL TORO HS 2</v>
      </c>
      <c r="D328" s="339" t="str">
        <f>'10U COED GOLD-16 TEAMS CUSTOM'!D30&amp;""</f>
        <v>10Cau19</v>
      </c>
      <c r="E328" s="339" t="str">
        <f>'10U COED GOLD-16 TEAMS CUSTOM'!E30&amp;""</f>
        <v>2ndA-LOYOLA WPC</v>
      </c>
      <c r="F328" s="339" t="str">
        <f>'10U COED GOLD-16 TEAMS CUSTOM'!F30&amp;""</f>
        <v>18</v>
      </c>
      <c r="G328" s="339" t="str">
        <f>'10U COED GOLD-16 TEAMS CUSTOM'!G30&amp;""</f>
        <v>2ndD-TROJAN</v>
      </c>
      <c r="H328" s="339" t="str">
        <f>'10U COED GOLD-16 TEAMS CUSTOM'!H30&amp;""</f>
        <v>7</v>
      </c>
      <c r="I328" s="339" t="str">
        <f>'10U COED GOLD-16 TEAMS CUSTOM'!I30&amp;""</f>
        <v>5-8 coed semi</v>
      </c>
      <c r="J328" s="339" t="str">
        <f>'10U COED GOLD-16 TEAMS CUSTOM'!J30&amp;""</f>
        <v>10U_COED_GOLD</v>
      </c>
      <c r="K328" s="339" t="str">
        <f t="shared" si="6"/>
        <v>202602010800</v>
      </c>
    </row>
    <row r="329" spans="1:11">
      <c r="A329" s="337">
        <f>'10U COED GOLD-16 TEAMS CUSTOM'!A29</f>
        <v>46054</v>
      </c>
      <c r="B329" s="338">
        <f>'10U COED GOLD-16 TEAMS CUSTOM'!B29</f>
        <v>0.33333333333333331</v>
      </c>
      <c r="C329" s="338" t="str">
        <f>'10U COED GOLD-16 TEAMS CUSTOM'!C29&amp;""</f>
        <v>WOOLLETT FAR LEFT</v>
      </c>
      <c r="D329" s="340" t="str">
        <f>'10U COED GOLD-16 TEAMS CUSTOM'!D29&amp;""</f>
        <v>10Cau17</v>
      </c>
      <c r="E329" s="340" t="str">
        <f>'10U COED GOLD-16 TEAMS CUSTOM'!E29&amp;""</f>
        <v>G1-LAMORINDA BLUE (A) (girls)</v>
      </c>
      <c r="F329" s="340" t="str">
        <f>'10U COED GOLD-16 TEAMS CUSTOM'!F29&amp;""</f>
        <v>8</v>
      </c>
      <c r="G329" s="340" t="str">
        <f>'10U COED GOLD-16 TEAMS CUSTOM'!G29&amp;""</f>
        <v>G2-DEL MAR BLUE (girls)</v>
      </c>
      <c r="H329" s="339" t="str">
        <f>'10U COED GOLD-16 TEAMS CUSTOM'!H29&amp;""</f>
        <v>2</v>
      </c>
      <c r="I329" s="340" t="str">
        <f>'10U COED GOLD-16 TEAMS CUSTOM'!I29&amp;""</f>
        <v>girls 1st-4th</v>
      </c>
      <c r="J329" s="339" t="str">
        <f>'10U COED GOLD-16 TEAMS CUSTOM'!J29&amp;""</f>
        <v>10U_COED_GOLD</v>
      </c>
      <c r="K329" s="339" t="str">
        <f t="shared" si="6"/>
        <v>202602010800</v>
      </c>
    </row>
    <row r="330" spans="1:11">
      <c r="A330" s="382">
        <f>'14U GIRLS PLATINUM-10 TEAMS'!A25</f>
        <v>46054</v>
      </c>
      <c r="B330" s="383">
        <f>'14U GIRLS PLATINUM-10 TEAMS'!B25</f>
        <v>0.36111111111111099</v>
      </c>
      <c r="C330" s="383" t="str">
        <f>'14U GIRLS PLATINUM-10 TEAMS'!C25&amp;""</f>
        <v>ALISO NIGUEL HS</v>
      </c>
      <c r="D330" s="384" t="str">
        <f>'14U GIRLS PLATINUM-10 TEAMS'!D25&amp;""</f>
        <v>14Gpt13</v>
      </c>
      <c r="E330" s="384" t="str">
        <f>'14U GIRLS PLATINUM-10 TEAMS'!E25&amp;""</f>
        <v>2ndA-STANFORD</v>
      </c>
      <c r="F330" s="384" t="str">
        <f>'14U GIRLS PLATINUM-10 TEAMS'!F25&amp;""</f>
        <v>10</v>
      </c>
      <c r="G330" s="384" t="str">
        <f>'14U GIRLS PLATINUM-10 TEAMS'!G25&amp;""</f>
        <v>3rdB-NEWPORT BEACH</v>
      </c>
      <c r="H330" s="384" t="str">
        <f>'14U GIRLS PLATINUM-10 TEAMS'!H25&amp;""</f>
        <v>7</v>
      </c>
      <c r="I330" s="384" t="str">
        <f>'14U GIRLS PLATINUM-10 TEAMS'!I25&amp;""</f>
        <v>5th-10th 2A/3B</v>
      </c>
      <c r="J330" s="384" t="str">
        <f>'14U GIRLS PLATINUM-10 TEAMS'!J25&amp;""</f>
        <v>14U_GIRLS_PLATINUM</v>
      </c>
      <c r="K330" s="384" t="str">
        <f t="shared" si="6"/>
        <v>202602010840</v>
      </c>
    </row>
    <row r="331" spans="1:11">
      <c r="A331" s="370">
        <f>'12U BOYS PLATINUM-10 TEAMS'!A27</f>
        <v>46054</v>
      </c>
      <c r="B331" s="371">
        <f>'12U BOYS PLATINUM-10 TEAMS'!B27</f>
        <v>0.36111111111111099</v>
      </c>
      <c r="C331" s="371" t="str">
        <f>'12U BOYS PLATINUM-10 TEAMS'!C27&amp;""</f>
        <v>BECKMAN HS 1</v>
      </c>
      <c r="D331" s="373" t="str">
        <f>'12U BOYS PLATINUM-10 TEAMS'!D27&amp;""</f>
        <v>12Bpt13</v>
      </c>
      <c r="E331" s="373" t="str">
        <f>'12U BOYS PLATINUM-10 TEAMS'!E27&amp;""</f>
        <v>2ndA-680 RED</v>
      </c>
      <c r="F331" s="373" t="str">
        <f>'12U BOYS PLATINUM-10 TEAMS'!F27&amp;""</f>
        <v>6.3</v>
      </c>
      <c r="G331" s="373" t="str">
        <f>'12U BOYS PLATINUM-10 TEAMS'!G27&amp;""</f>
        <v>3rdB-LA JOLLA UNITED NAVY</v>
      </c>
      <c r="H331" s="373" t="str">
        <f>'12U BOYS PLATINUM-10 TEAMS'!H27&amp;""</f>
        <v>6</v>
      </c>
      <c r="I331" s="373" t="str">
        <f>'12U BOYS PLATINUM-10 TEAMS'!I27&amp;""</f>
        <v>5th-10th 2A/3B</v>
      </c>
      <c r="J331" s="373" t="str">
        <f>'12U BOYS PLATINUM-10 TEAMS'!J27&amp;""</f>
        <v>12U_BOYS_PLATINUM</v>
      </c>
      <c r="K331" s="373" t="str">
        <f t="shared" si="6"/>
        <v>202602010840</v>
      </c>
    </row>
    <row r="332" spans="1:11">
      <c r="A332" s="387">
        <f>'14U BOYS SILVER-18 TEAMS'!A45</f>
        <v>46054</v>
      </c>
      <c r="B332" s="388">
        <f>'14U BOYS SILVER-18 TEAMS'!B45</f>
        <v>0.36111111111111099</v>
      </c>
      <c r="C332" s="388" t="str">
        <f>'14U BOYS SILVER-18 TEAMS'!C45&amp;""</f>
        <v>COSTA MESA HS 1</v>
      </c>
      <c r="D332" s="389" t="str">
        <f>'14U BOYS SILVER-18 TEAMS'!D45&amp;""</f>
        <v>14Bag21</v>
      </c>
      <c r="E332" s="388" t="str">
        <f>'14U BOYS SILVER-18 TEAMS'!E45&amp;""</f>
        <v>H1(1stD)-SAND CANYON</v>
      </c>
      <c r="F332" s="392" t="str">
        <f>'14U BOYS SILVER-18 TEAMS'!F45&amp;""</f>
        <v>11</v>
      </c>
      <c r="G332" s="388" t="str">
        <f>'14U BOYS SILVER-18 TEAMS'!G45&amp;""</f>
        <v>H2(1stE)-GOLD COAST</v>
      </c>
      <c r="H332" s="391" t="str">
        <f>'14U BOYS SILVER-18 TEAMS'!H45&amp;""</f>
        <v>14</v>
      </c>
      <c r="I332" s="392" t="str">
        <f>'14U BOYS SILVER-18 TEAMS'!I45&amp;""</f>
        <v>1st-6th</v>
      </c>
      <c r="J332" s="389" t="str">
        <f>'14U BOYS SILVER-18 TEAMS'!J45&amp;""</f>
        <v>14U_BOYS_SILVER</v>
      </c>
      <c r="K332" s="389" t="str">
        <f t="shared" si="6"/>
        <v>202602010840</v>
      </c>
    </row>
    <row r="333" spans="1:11">
      <c r="A333" s="354">
        <f>'12U BOYS GOLD-24 TEAMS'!A45</f>
        <v>46054</v>
      </c>
      <c r="B333" s="355">
        <f>'12U BOYS GOLD-24 TEAMS'!B45</f>
        <v>0.36111111111111099</v>
      </c>
      <c r="C333" s="355" t="str">
        <f>'12U BOYS GOLD-24 TEAMS'!C45&amp;""</f>
        <v>COSTA MESA HS 2</v>
      </c>
      <c r="D333" s="356" t="str">
        <f>'12U BOYS GOLD-24 TEAMS'!D45&amp;""</f>
        <v>12Bau18</v>
      </c>
      <c r="E333" s="356" t="str">
        <f>'12U BOYS GOLD-24 TEAMS'!E45&amp;""</f>
        <v>1stB-SAN CLEMENTE BLACK</v>
      </c>
      <c r="F333" s="356" t="str">
        <f>'12U BOYS GOLD-24 TEAMS'!F45&amp;""</f>
        <v>7</v>
      </c>
      <c r="G333" s="356" t="str">
        <f>'12U BOYS GOLD-24 TEAMS'!G45&amp;""</f>
        <v>1stC-MISSION WPC B</v>
      </c>
      <c r="H333" s="356" t="str">
        <f>'12U BOYS GOLD-24 TEAMS'!H45&amp;""</f>
        <v>6</v>
      </c>
      <c r="I333" s="356" t="str">
        <f>'12U BOYS GOLD-24 TEAMS'!I45&amp;""</f>
        <v>1-8 cross 1B/1C</v>
      </c>
      <c r="J333" s="356" t="str">
        <f>'12U BOYS GOLD-24 TEAMS'!J45&amp;""</f>
        <v>12U_BOYS_GOLD</v>
      </c>
      <c r="K333" s="356" t="str">
        <f t="shared" si="6"/>
        <v>202602010840</v>
      </c>
    </row>
    <row r="334" spans="1:11">
      <c r="A334" s="399">
        <f>'14U BOYS PLATINUM-20 TEAMS'!A49</f>
        <v>46054</v>
      </c>
      <c r="B334" s="400">
        <f>'14U BOYS PLATINUM-20 TEAMS'!B49</f>
        <v>0.36111111111111099</v>
      </c>
      <c r="C334" s="400" t="str">
        <f>'14U BOYS PLATINUM-20 TEAMS'!C49&amp;""</f>
        <v>EL TORO HS 1</v>
      </c>
      <c r="D334" s="401" t="str">
        <f>'14U BOYS PLATINUM-20 TEAMS'!D49&amp;""</f>
        <v>14Bpt25</v>
      </c>
      <c r="E334" s="401" t="str">
        <f>'14U BOYS PLATINUM-20 TEAMS'!E49&amp;""</f>
        <v>G1(1stA)-MISSION WPC A</v>
      </c>
      <c r="F334" s="401" t="str">
        <f>'14U BOYS PLATINUM-20 TEAMS'!F49&amp;""</f>
        <v>14</v>
      </c>
      <c r="G334" s="401" t="str">
        <f>'14U BOYS PLATINUM-20 TEAMS'!G49&amp;""</f>
        <v>G3(1stC)-VANGUARD BLUE</v>
      </c>
      <c r="H334" s="401" t="str">
        <f>'14U BOYS PLATINUM-20 TEAMS'!H49&amp;""</f>
        <v>11</v>
      </c>
      <c r="I334" s="401" t="str">
        <f>'14U BOYS PLATINUM-20 TEAMS'!I49&amp;""</f>
        <v>G bracket</v>
      </c>
      <c r="J334" s="401" t="str">
        <f>'14U BOYS PLATINUM-20 TEAMS'!J49&amp;""</f>
        <v>14U_BOYS_PLATINUM</v>
      </c>
      <c r="K334" s="401" t="str">
        <f t="shared" si="6"/>
        <v>202602010840</v>
      </c>
    </row>
    <row r="335" spans="1:11">
      <c r="A335" s="394">
        <f>'14U BOYS GOLD-26 TEAMS'!A79</f>
        <v>46054</v>
      </c>
      <c r="B335" s="395">
        <f>'14U BOYS GOLD-26 TEAMS'!B79</f>
        <v>0.36111111111111099</v>
      </c>
      <c r="C335" s="396" t="str">
        <f>'14U BOYS GOLD-26 TEAMS'!C79&amp;""</f>
        <v>ESPERANZA HS</v>
      </c>
      <c r="D335" s="396" t="str">
        <f>'14U BOYS GOLD-26 TEAMS'!D79&amp;""</f>
        <v>14Bau31</v>
      </c>
      <c r="E335" s="396" t="str">
        <f>'14U BOYS GOLD-26 TEAMS'!E79&amp;""</f>
        <v>L1(2ndA)-NORTH IRVINE RED</v>
      </c>
      <c r="F335" s="396" t="str">
        <f>'14U BOYS GOLD-26 TEAMS'!F79&amp;""</f>
        <v>7</v>
      </c>
      <c r="G335" s="396" t="str">
        <f>'14U BOYS GOLD-26 TEAMS'!G79&amp;""</f>
        <v>L4(2ndD)-PRIDE RED</v>
      </c>
      <c r="H335" s="396" t="str">
        <f>'14U BOYS GOLD-26 TEAMS'!H79&amp;""</f>
        <v>5</v>
      </c>
      <c r="I335" s="396" t="str">
        <f>'14U BOYS GOLD-26 TEAMS'!I79&amp;""</f>
        <v>9th16th</v>
      </c>
      <c r="J335" s="397" t="str">
        <f>'14U BOYS GOLD-26 TEAMS'!J79&amp;""</f>
        <v>14U_BOYS_GOLD</v>
      </c>
      <c r="K335" s="397" t="str">
        <f t="shared" si="6"/>
        <v>202602010840</v>
      </c>
    </row>
    <row r="336" spans="1:11">
      <c r="A336" s="394">
        <f>'14U BOYS GOLD-26 TEAMS'!A57</f>
        <v>46054</v>
      </c>
      <c r="B336" s="395">
        <f>'14U BOYS GOLD-26 TEAMS'!B57</f>
        <v>0.36111111111111099</v>
      </c>
      <c r="C336" s="396" t="str">
        <f>'14U BOYS GOLD-26 TEAMS'!C57&amp;""</f>
        <v>ESTANCIA HS 2</v>
      </c>
      <c r="D336" s="396" t="str">
        <f>'14U BOYS GOLD-26 TEAMS'!D57&amp;""</f>
        <v>14Bau28</v>
      </c>
      <c r="E336" s="397" t="str">
        <f>'14U BOYS GOLD-26 TEAMS'!E57&amp;""</f>
        <v>J2(1stB)-BACK BAY</v>
      </c>
      <c r="F336" s="397" t="str">
        <f>'14U BOYS GOLD-26 TEAMS'!F57&amp;""</f>
        <v>8</v>
      </c>
      <c r="G336" s="397" t="str">
        <f>'14U BOYS GOLD-26 TEAMS'!G57&amp;""</f>
        <v>J3(1stC)-NORTHWEST</v>
      </c>
      <c r="H336" s="397" t="str">
        <f>'14U BOYS GOLD-26 TEAMS'!H57&amp;""</f>
        <v>10</v>
      </c>
      <c r="I336" s="396" t="str">
        <f>'14U BOYS GOLD-26 TEAMS'!I57&amp;""</f>
        <v>1st-8th</v>
      </c>
      <c r="J336" s="397" t="str">
        <f>'14U BOYS GOLD-26 TEAMS'!J57&amp;""</f>
        <v>14U_BOYS_GOLD</v>
      </c>
      <c r="K336" s="397" t="str">
        <f t="shared" si="6"/>
        <v>202602010840</v>
      </c>
    </row>
    <row r="337" spans="1:11">
      <c r="A337" s="394">
        <f>'14U BOYS GOLD-26 TEAMS'!A68</f>
        <v>46054</v>
      </c>
      <c r="B337" s="395">
        <f>'14U BOYS GOLD-26 TEAMS'!B68</f>
        <v>0.36111111111111099</v>
      </c>
      <c r="C337" s="396" t="str">
        <f>'14U BOYS GOLD-26 TEAMS'!C68&amp;""</f>
        <v>LAGUNA HILLS HS</v>
      </c>
      <c r="D337" s="396" t="str">
        <f>'14U BOYS GOLD-26 TEAMS'!D68&amp;""</f>
        <v>14Bau42</v>
      </c>
      <c r="E337" s="397" t="str">
        <f>'14U BOYS GOLD-26 TEAMS'!E68&amp;""</f>
        <v>O1(3rdE)-FOOTHILL RED</v>
      </c>
      <c r="F337" s="397" t="str">
        <f>'14U BOYS GOLD-26 TEAMS'!F68&amp;""</f>
        <v>8</v>
      </c>
      <c r="G337" s="398" t="str">
        <f>'14U BOYS GOLD-26 TEAMS'!G68&amp;""</f>
        <v>O3(3rdD)-AMERICAN RIVER BLUE</v>
      </c>
      <c r="H337" s="397" t="str">
        <f>'14U BOYS GOLD-26 TEAMS'!H68&amp;""</f>
        <v>4</v>
      </c>
      <c r="I337" s="396" t="str">
        <f>'14U BOYS GOLD-26 TEAMS'!I68&amp;""</f>
        <v>O bracket</v>
      </c>
      <c r="J337" s="397" t="str">
        <f>'14U BOYS GOLD-26 TEAMS'!J68&amp;""</f>
        <v>14U_BOYS_GOLD</v>
      </c>
      <c r="K337" s="397" t="str">
        <f t="shared" si="6"/>
        <v>202602010840</v>
      </c>
    </row>
    <row r="338" spans="1:11">
      <c r="A338" s="378">
        <f>'14U GIRLS GOLD-14 TEAMS'!A31</f>
        <v>46054</v>
      </c>
      <c r="B338" s="379">
        <f>'14U GIRLS GOLD-14 TEAMS'!B31</f>
        <v>0.36111111111111099</v>
      </c>
      <c r="C338" s="379" t="str">
        <f>'14U GIRLS GOLD-14 TEAMS'!C31&amp;""</f>
        <v>SAN CLEMENTE HS</v>
      </c>
      <c r="D338" s="380" t="str">
        <f>'14U GIRLS GOLD-14 TEAMS'!D31&amp;""</f>
        <v>14Gau15</v>
      </c>
      <c r="E338" s="380" t="str">
        <f>'14U GIRLS GOLD-14 TEAMS'!E31&amp;""</f>
        <v>1stA-PASADENA AC</v>
      </c>
      <c r="F338" s="380" t="str">
        <f>'14U GIRLS GOLD-14 TEAMS'!F31&amp;""</f>
        <v>12</v>
      </c>
      <c r="G338" s="381" t="str">
        <f>'14U GIRLS GOLD-14 TEAMS'!G31&amp;""</f>
        <v>1stD-NORTH IRVINE</v>
      </c>
      <c r="H338" s="380" t="str">
        <f>'14U GIRLS GOLD-14 TEAMS'!H31&amp;""</f>
        <v>6</v>
      </c>
      <c r="I338" s="380" t="str">
        <f>'14U GIRLS GOLD-14 TEAMS'!I31&amp;""</f>
        <v>1-4 semi</v>
      </c>
      <c r="J338" s="380" t="str">
        <f>'14U GIRLS GOLD-14 TEAMS'!J31&amp;""</f>
        <v>14U_GIRLS_GOLD</v>
      </c>
      <c r="K338" s="380" t="str">
        <f t="shared" si="6"/>
        <v>202602010840</v>
      </c>
    </row>
    <row r="339" spans="1:11">
      <c r="A339" s="399">
        <f>'14U BOYS PLATINUM-20 TEAMS'!A62</f>
        <v>46054</v>
      </c>
      <c r="B339" s="400">
        <f>'14U BOYS PLATINUM-20 TEAMS'!B62</f>
        <v>0.36111111111111099</v>
      </c>
      <c r="C339" s="400" t="str">
        <f>'14U BOYS PLATINUM-20 TEAMS'!C62&amp;""</f>
        <v>TUSTIN HS 1</v>
      </c>
      <c r="D339" s="401" t="str">
        <f>'14U BOYS PLATINUM-20 TEAMS'!D62&amp;""</f>
        <v>14Bpt35</v>
      </c>
      <c r="E339" s="401" t="str">
        <f>'14U BOYS PLATINUM-20 TEAMS'!E62&amp;""</f>
        <v>L2(3rdE)-DEVIL'S GATE</v>
      </c>
      <c r="F339" s="401" t="str">
        <f>'14U BOYS PLATINUM-20 TEAMS'!F62&amp;""</f>
        <v>13</v>
      </c>
      <c r="G339" s="401" t="str">
        <f>'14U BOYS PLATINUM-20 TEAMS'!G62&amp;""</f>
        <v>L3(3rdC)-LAMORINDA A</v>
      </c>
      <c r="H339" s="401" t="str">
        <f>'14U BOYS PLATINUM-20 TEAMS'!H62&amp;""</f>
        <v>8</v>
      </c>
      <c r="I339" s="401" t="str">
        <f>'14U BOYS PLATINUM-20 TEAMS'!I62&amp;""</f>
        <v>W/L L</v>
      </c>
      <c r="J339" s="401" t="str">
        <f>'14U BOYS PLATINUM-20 TEAMS'!J62&amp;""</f>
        <v>14U_BOYS_PLATINUM</v>
      </c>
      <c r="K339" s="401" t="str">
        <f t="shared" si="6"/>
        <v>202602010840</v>
      </c>
    </row>
    <row r="340" spans="1:11">
      <c r="A340" s="357">
        <f>'12U BOYS GOLD-24 TEAMS'!A60</f>
        <v>46054</v>
      </c>
      <c r="B340" s="358">
        <f>'12U BOYS GOLD-24 TEAMS'!B60</f>
        <v>0.36111111111111099</v>
      </c>
      <c r="C340" s="358" t="str">
        <f>'12U BOYS GOLD-24 TEAMS'!C60&amp;""</f>
        <v>TUSTIN HS 2</v>
      </c>
      <c r="D340" s="359" t="str">
        <f>'12U BOYS GOLD-24 TEAMS'!D60&amp;""</f>
        <v>12Bau17A</v>
      </c>
      <c r="E340" s="359" t="str">
        <f>'12U BOYS GOLD-24 TEAMS'!E60&amp;""</f>
        <v>1stE-TROJAN</v>
      </c>
      <c r="F340" s="359" t="str">
        <f>'12U BOYS GOLD-24 TEAMS'!F60&amp;""</f>
        <v>7</v>
      </c>
      <c r="G340" s="359" t="str">
        <f>'12U BOYS GOLD-24 TEAMS'!G60&amp;""</f>
        <v>1stH-FOOTHILL RED</v>
      </c>
      <c r="H340" s="360" t="str">
        <f>'12U BOYS GOLD-24 TEAMS'!H60&amp;""</f>
        <v>9</v>
      </c>
      <c r="I340" s="359" t="str">
        <f>'12U BOYS GOLD-24 TEAMS'!I60&amp;""</f>
        <v>1-8 cross 1E/1H</v>
      </c>
      <c r="J340" s="359" t="str">
        <f>'12U BOYS GOLD-24 TEAMS'!J60&amp;""</f>
        <v>12U_BOYS_GOLD</v>
      </c>
      <c r="K340" s="359" t="str">
        <f t="shared" si="6"/>
        <v>202602010840</v>
      </c>
    </row>
    <row r="341" spans="1:11">
      <c r="A341" s="351">
        <f>'12U GIRLS PLATINUM-12 TEAMS'!A29</f>
        <v>46054</v>
      </c>
      <c r="B341" s="352">
        <f>'12U GIRLS PLATINUM-12 TEAMS'!B29</f>
        <v>0.36111111111111099</v>
      </c>
      <c r="C341" s="351" t="str">
        <f>'12U GIRLS PLATINUM-12 TEAMS'!C29&amp;""</f>
        <v>WOOLLETT FAR RIGHT</v>
      </c>
      <c r="D341" s="353" t="str">
        <f>'12U GIRLS PLATINUM-12 TEAMS'!D29&amp;""</f>
        <v>12Gpt22</v>
      </c>
      <c r="E341" s="351" t="str">
        <f>'12U GIRLS PLATINUM-12 TEAMS'!E29&amp;""</f>
        <v>3rdB-SOUTH COAST RED</v>
      </c>
      <c r="F341" s="353" t="str">
        <f>'12U GIRLS PLATINUM-12 TEAMS'!F29&amp;""</f>
        <v>12</v>
      </c>
      <c r="G341" s="351" t="str">
        <f>'12U GIRLS PLATINUM-12 TEAMS'!G29&amp;""</f>
        <v>3rdC-DAVIS</v>
      </c>
      <c r="H341" s="353" t="str">
        <f>'12U GIRLS PLATINUM-12 TEAMS'!H29&amp;""</f>
        <v>2</v>
      </c>
      <c r="I341" s="353" t="str">
        <f>'12U GIRLS PLATINUM-12 TEAMS'!I29&amp;""</f>
        <v>9-12 semi 3B/3C</v>
      </c>
      <c r="J341" s="353" t="str">
        <f>'12U GIRLS PLATINUM-12 TEAMS'!J29&amp;""</f>
        <v>12U_GIRLS_PLATINUM</v>
      </c>
      <c r="K341" s="353" t="str">
        <f t="shared" si="6"/>
        <v>202602010840</v>
      </c>
    </row>
    <row r="342" spans="1:11">
      <c r="A342" s="346">
        <f>'10U BOYS-8 TEAMS'!A22</f>
        <v>46054</v>
      </c>
      <c r="B342" s="347">
        <f>'10U BOYS-8 TEAMS'!B22</f>
        <v>0.36458333333333331</v>
      </c>
      <c r="C342" s="348" t="str">
        <f>'10U BOYS-8 TEAMS'!C22&amp;""</f>
        <v>BECKMAN HS 2</v>
      </c>
      <c r="D342" s="348" t="str">
        <f>'10U BOYS-8 TEAMS'!D22&amp;""</f>
        <v>10B10</v>
      </c>
      <c r="E342" s="348" t="str">
        <f>'10U BOYS-8 TEAMS'!E22&amp;""</f>
        <v>A3-LA PREMIER</v>
      </c>
      <c r="F342" s="348" t="str">
        <f>'10U BOYS-8 TEAMS'!F22&amp;""</f>
        <v>2</v>
      </c>
      <c r="G342" s="348" t="str">
        <f>'10U BOYS-8 TEAMS'!G22&amp;""</f>
        <v>A4-CC UNITED BLUE</v>
      </c>
      <c r="H342" s="348" t="str">
        <f>'10U BOYS-8 TEAMS'!H22&amp;""</f>
        <v>9</v>
      </c>
      <c r="I342" s="348" t="str">
        <f>'10U BOYS-8 TEAMS'!I22&amp;""</f>
        <v>bracket, A3/A4</v>
      </c>
      <c r="J342" s="348" t="str">
        <f>'10U BOYS-8 TEAMS'!J22&amp;""</f>
        <v>10U_BOYS</v>
      </c>
      <c r="K342" s="348" t="str">
        <f t="shared" si="6"/>
        <v>202602010845</v>
      </c>
    </row>
    <row r="343" spans="1:11">
      <c r="A343" s="337">
        <f>'10U COED GOLD-16 TEAMS CUSTOM'!A32</f>
        <v>46054</v>
      </c>
      <c r="B343" s="338">
        <f>'10U COED GOLD-16 TEAMS CUSTOM'!B32</f>
        <v>0.36458333333333331</v>
      </c>
      <c r="C343" s="338" t="str">
        <f>'10U COED GOLD-16 TEAMS CUSTOM'!C32&amp;""</f>
        <v>EL TORO HS 2</v>
      </c>
      <c r="D343" s="339" t="str">
        <f>'10U COED GOLD-16 TEAMS CUSTOM'!D32&amp;""</f>
        <v>10Cau20</v>
      </c>
      <c r="E343" s="339" t="str">
        <f>'10U COED GOLD-16 TEAMS CUSTOM'!E32&amp;""</f>
        <v>2ndB-ORANGE COUNTY WPC RED</v>
      </c>
      <c r="F343" s="339" t="str">
        <f>'10U COED GOLD-16 TEAMS CUSTOM'!F32&amp;""</f>
        <v>13</v>
      </c>
      <c r="G343" s="339" t="str">
        <f>'10U COED GOLD-16 TEAMS CUSTOM'!G32&amp;""</f>
        <v>2ndC-SAN CLEMENTE BLACK</v>
      </c>
      <c r="H343" s="339" t="str">
        <f>'10U COED GOLD-16 TEAMS CUSTOM'!H32&amp;""</f>
        <v>19</v>
      </c>
      <c r="I343" s="339" t="str">
        <f>'10U COED GOLD-16 TEAMS CUSTOM'!I32&amp;""</f>
        <v>5-8 coed semi</v>
      </c>
      <c r="J343" s="339" t="str">
        <f>'10U COED GOLD-16 TEAMS CUSTOM'!J32&amp;""</f>
        <v>10U_COED_GOLD</v>
      </c>
      <c r="K343" s="339" t="str">
        <f t="shared" si="6"/>
        <v>202602010845</v>
      </c>
    </row>
    <row r="344" spans="1:11">
      <c r="A344" s="337">
        <f>'10U COED GOLD-16 TEAMS CUSTOM'!A31</f>
        <v>46054</v>
      </c>
      <c r="B344" s="338">
        <f>'10U COED GOLD-16 TEAMS CUSTOM'!B31</f>
        <v>0.36458333333333331</v>
      </c>
      <c r="C344" s="338" t="str">
        <f>'10U COED GOLD-16 TEAMS CUSTOM'!C31&amp;""</f>
        <v>WOOLLETT FAR LEFT</v>
      </c>
      <c r="D344" s="340" t="str">
        <f>'10U COED GOLD-16 TEAMS CUSTOM'!D31&amp;""</f>
        <v>10Cau18</v>
      </c>
      <c r="E344" s="340" t="str">
        <f>'10U COED GOLD-16 TEAMS CUSTOM'!E31&amp;""</f>
        <v>G3-680 RED (girls)</v>
      </c>
      <c r="F344" s="340" t="str">
        <f>'10U COED GOLD-16 TEAMS CUSTOM'!F31&amp;""</f>
        <v>11</v>
      </c>
      <c r="G344" s="340" t="str">
        <f>'10U COED GOLD-16 TEAMS CUSTOM'!G31&amp;""</f>
        <v>G4-SAN CLEMENTE RED (girls)</v>
      </c>
      <c r="H344" s="339" t="str">
        <f>'10U COED GOLD-16 TEAMS CUSTOM'!H31&amp;""</f>
        <v>8</v>
      </c>
      <c r="I344" s="340" t="str">
        <f>'10U COED GOLD-16 TEAMS CUSTOM'!I31&amp;""</f>
        <v>girls 1st-4th</v>
      </c>
      <c r="J344" s="339" t="str">
        <f>'10U COED GOLD-16 TEAMS CUSTOM'!J31&amp;""</f>
        <v>10U_COED_GOLD</v>
      </c>
      <c r="K344" s="339" t="str">
        <f t="shared" si="6"/>
        <v>202602010845</v>
      </c>
    </row>
    <row r="345" spans="1:11">
      <c r="A345" s="435">
        <f>'19U BOYS PLATINUM-27 TEAMS'!A83</f>
        <v>46054</v>
      </c>
      <c r="B345" s="436">
        <f>'19U BOYS PLATINUM-27 TEAMS'!B83</f>
        <v>0.375</v>
      </c>
      <c r="C345" s="437" t="str">
        <f>'19U BOYS PLATINUM-27 TEAMS'!C83&amp;""</f>
        <v>EDISON HS</v>
      </c>
      <c r="D345" s="437" t="str">
        <f>'19U BOYS PLATINUM-27 TEAMS'!D83&amp;""</f>
        <v>19Bpt49</v>
      </c>
      <c r="E345" s="438" t="str">
        <f>'19U BOYS PLATINUM-27 TEAMS'!E83&amp;""</f>
        <v>L1(2ndA)-POWAY VALLEY BLACK</v>
      </c>
      <c r="F345" s="438" t="str">
        <f>'19U BOYS PLATINUM-27 TEAMS'!F83&amp;""</f>
        <v>12</v>
      </c>
      <c r="G345" s="438" t="str">
        <f>'19U BOYS PLATINUM-27 TEAMS'!G83&amp;""</f>
        <v>L4(2ndD)-SAND CANYON</v>
      </c>
      <c r="H345" s="438" t="str">
        <f>'19U BOYS PLATINUM-27 TEAMS'!H83&amp;""</f>
        <v>13</v>
      </c>
      <c r="I345" s="437" t="str">
        <f>'19U BOYS PLATINUM-27 TEAMS'!I83&amp;""</f>
        <v>9th16th L1/L4</v>
      </c>
      <c r="J345" s="438" t="str">
        <f>'19U BOYS PLATINUM-27 TEAMS'!J83&amp;""</f>
        <v>19U_BOYS_PLATINUM</v>
      </c>
      <c r="K345" s="438" t="str">
        <f t="shared" si="6"/>
        <v>202602010900</v>
      </c>
    </row>
    <row r="346" spans="1:11">
      <c r="A346" s="428">
        <f>'19U BOYS SILVER-6 TEAMS CUST'!A20</f>
        <v>46054</v>
      </c>
      <c r="B346" s="429">
        <f>'19U BOYS SILVER-6 TEAMS CUST'!B20</f>
        <v>0.375</v>
      </c>
      <c r="C346" s="429" t="str">
        <f>'19U BOYS SILVER-6 TEAMS CUST'!C20&amp;""</f>
        <v>ESTANCIA HS 1</v>
      </c>
      <c r="D346" s="430" t="str">
        <f>'19U BOYS SILVER-6 TEAMS CUST'!D20&amp;""</f>
        <v>19Bag08</v>
      </c>
      <c r="E346" s="430" t="str">
        <f>'19U BOYS SILVER-6 TEAMS CUST'!E20&amp;""</f>
        <v>A2-OPA</v>
      </c>
      <c r="F346" s="430" t="str">
        <f>'19U BOYS SILVER-6 TEAMS CUST'!F20&amp;""</f>
        <v>7</v>
      </c>
      <c r="G346" s="430" t="str">
        <f>'19U BOYS SILVER-6 TEAMS CUST'!G20&amp;""</f>
        <v>B3-OHANA</v>
      </c>
      <c r="H346" s="430" t="str">
        <f>'19U BOYS SILVER-6 TEAMS CUST'!H20&amp;""</f>
        <v>10</v>
      </c>
      <c r="I346" s="430" t="str">
        <f>'19U BOYS SILVER-6 TEAMS CUST'!I20&amp;""</f>
        <v>A2,B3</v>
      </c>
      <c r="J346" s="430" t="str">
        <f>'19U BOYS SILVER-6 TEAMS CUST'!J20&amp;""</f>
        <v>19U_BOYS_SILVER</v>
      </c>
      <c r="K346" s="430" t="str">
        <f t="shared" si="6"/>
        <v>202602010900</v>
      </c>
    </row>
    <row r="347" spans="1:11">
      <c r="A347" s="413">
        <f>'16U BOYS GOLD-19 TEAMS'!A62</f>
        <v>46054</v>
      </c>
      <c r="B347" s="414">
        <f>'16U BOYS GOLD-19 TEAMS'!B62</f>
        <v>0.375</v>
      </c>
      <c r="C347" s="414" t="str">
        <f>'16U BOYS GOLD-19 TEAMS'!C62&amp;""</f>
        <v>SADDLEBACK COLLEGE</v>
      </c>
      <c r="D347" s="415" t="str">
        <f>'16U BOYS GOLD-19 TEAMS'!D62&amp;""</f>
        <v>16Bau33</v>
      </c>
      <c r="E347" s="416" t="str">
        <f>'16U BOYS GOLD-19 TEAMS'!E62&amp;""</f>
        <v>L1(3rdD)-BOA BLUE</v>
      </c>
      <c r="F347" s="417" t="str">
        <f>'16U BOYS GOLD-19 TEAMS'!F62&amp;""</f>
        <v>11</v>
      </c>
      <c r="G347" s="416" t="str">
        <f>'16U BOYS GOLD-19 TEAMS'!G62&amp;""</f>
        <v>L4(4thF)-BIG VALLEY</v>
      </c>
      <c r="H347" s="417" t="str">
        <f>'16U BOYS GOLD-19 TEAMS'!H62&amp;""</f>
        <v>18</v>
      </c>
      <c r="I347" s="418" t="str">
        <f>'16U BOYS GOLD-19 TEAMS'!I62&amp;""</f>
        <v>W/L L1/L4</v>
      </c>
      <c r="J347" s="415" t="str">
        <f>'16U BOYS GOLD-19 TEAMS'!J62&amp;""</f>
        <v>16U_BOYS_GOLD</v>
      </c>
      <c r="K347" s="415" t="str">
        <f t="shared" si="6"/>
        <v>202602010900</v>
      </c>
    </row>
    <row r="348" spans="1:11">
      <c r="A348" s="410">
        <f>'16U BOYS GOLD-19 TEAMS'!A50</f>
        <v>46054</v>
      </c>
      <c r="B348" s="411">
        <f>'16U BOYS GOLD-19 TEAMS'!B50</f>
        <v>0.375</v>
      </c>
      <c r="C348" s="411" t="str">
        <f>'16U BOYS GOLD-19 TEAMS'!C50&amp;""</f>
        <v>SAN JUAN HILLS HS</v>
      </c>
      <c r="D348" s="412" t="str">
        <f>'16U BOYS GOLD-19 TEAMS'!D50&amp;""</f>
        <v>16Bau22</v>
      </c>
      <c r="E348" s="412" t="str">
        <f>'16U BOYS GOLD-19 TEAMS'!E50&amp;""</f>
        <v>I1(2ndA)-CHANNEL ISLANDS UNITED BLUE</v>
      </c>
      <c r="F348" s="412" t="str">
        <f>'16U BOYS GOLD-19 TEAMS'!F50&amp;""</f>
        <v>2</v>
      </c>
      <c r="G348" s="412" t="str">
        <f>'16U BOYS GOLD-19 TEAMS'!G50&amp;""</f>
        <v>I3(2ndC)-TROJAN GOLD</v>
      </c>
      <c r="H348" s="412" t="str">
        <f>'16U BOYS GOLD-19 TEAMS'!H50&amp;""</f>
        <v>10</v>
      </c>
      <c r="I348" s="412" t="str">
        <f>'16U BOYS GOLD-19 TEAMS'!I50&amp;""</f>
        <v>I bracket I1,I3</v>
      </c>
      <c r="J348" s="412" t="str">
        <f>'16U BOYS GOLD-19 TEAMS'!J50&amp;""</f>
        <v>16U_BOYS_GOLD</v>
      </c>
      <c r="K348" s="412" t="str">
        <f t="shared" si="6"/>
        <v>202602010900</v>
      </c>
    </row>
    <row r="349" spans="1:11">
      <c r="A349" s="406">
        <f>'16U BOYS SILVER-20 TEAMS'!A53</f>
        <v>46054</v>
      </c>
      <c r="B349" s="407">
        <f>'16U BOYS SILVER-20 TEAMS'!B53</f>
        <v>0.375</v>
      </c>
      <c r="C349" s="407" t="str">
        <f>'16U BOYS SILVER-20 TEAMS'!C53&amp;""</f>
        <v>SONORA HS</v>
      </c>
      <c r="D349" s="408" t="str">
        <f>'16U BOYS SILVER-20 TEAMS'!D53&amp;""</f>
        <v>16Bag26</v>
      </c>
      <c r="E349" s="408" t="str">
        <f>'16U BOYS SILVER-20 TEAMS'!E53&amp;""</f>
        <v>J2(1stE)-LA JOLLA UNITED WHITE</v>
      </c>
      <c r="F349" s="408" t="str">
        <f>'16U BOYS SILVER-20 TEAMS'!F53&amp;""</f>
        <v>12</v>
      </c>
      <c r="G349" s="408" t="str">
        <f>'16U BOYS SILVER-20 TEAMS'!G53&amp;""</f>
        <v>J3(1stF)-HIELAND</v>
      </c>
      <c r="H349" s="408" t="str">
        <f>'16U BOYS SILVER-20 TEAMS'!H53&amp;""</f>
        <v>7</v>
      </c>
      <c r="I349" s="408" t="str">
        <f>'16U BOYS SILVER-20 TEAMS'!I53&amp;""</f>
        <v>J bracket</v>
      </c>
      <c r="J349" s="408" t="str">
        <f>'16U BOYS SILVER-20 TEAMS'!J53&amp;""</f>
        <v>16U_BOYS_SILVER</v>
      </c>
      <c r="K349" s="408" t="str">
        <f t="shared" si="6"/>
        <v>202602010900</v>
      </c>
    </row>
    <row r="350" spans="1:11">
      <c r="A350" s="421">
        <f>'16U BOYS PLATINUM-18 TEAMS'!A57</f>
        <v>46054</v>
      </c>
      <c r="B350" s="422">
        <f>'16U BOYS PLATINUM-18 TEAMS'!B57</f>
        <v>0.375</v>
      </c>
      <c r="C350" s="422" t="str">
        <f>'16U BOYS PLATINUM-18 TEAMS'!C57&amp;""</f>
        <v>WESTMINSTER HS</v>
      </c>
      <c r="D350" s="422" t="str">
        <f>'16U BOYS PLATINUM-18 TEAMS'!D57&amp;""</f>
        <v>16Bpt28</v>
      </c>
      <c r="E350" s="423" t="str">
        <f>'16U BOYS PLATINUM-18 TEAMS'!E57&amp;""</f>
        <v>M1(3rdA)-CAPITAL</v>
      </c>
      <c r="F350" s="424" t="str">
        <f>'16U BOYS PLATINUM-18 TEAMS'!F57&amp;""</f>
        <v>17</v>
      </c>
      <c r="G350" s="425" t="str">
        <f>'16U BOYS PLATINUM-18 TEAMS'!G57&amp;""</f>
        <v>M3(3rdC)-FOOTHILL RED</v>
      </c>
      <c r="H350" s="424" t="str">
        <f>'16U BOYS PLATINUM-18 TEAMS'!H57&amp;""</f>
        <v>6</v>
      </c>
      <c r="I350" s="425" t="str">
        <f>'16U BOYS PLATINUM-18 TEAMS'!I57&amp;""</f>
        <v>13th-18th</v>
      </c>
      <c r="J350" s="426" t="str">
        <f>'16U BOYS PLATINUM-18 TEAMS'!J57&amp;""</f>
        <v>16U_BOYS_PLATINUM</v>
      </c>
      <c r="K350" s="426" t="str">
        <f t="shared" si="6"/>
        <v>202602010900</v>
      </c>
    </row>
    <row r="351" spans="1:11">
      <c r="A351" s="435">
        <f>'19U BOYS PLATINUM-27 TEAMS'!A61</f>
        <v>46054</v>
      </c>
      <c r="B351" s="436">
        <f>'19U BOYS PLATINUM-27 TEAMS'!B61</f>
        <v>0.375</v>
      </c>
      <c r="C351" s="437" t="str">
        <f>'19U BOYS PLATINUM-27 TEAMS'!C61&amp;""</f>
        <v>WOOLLETT NEAR LEFT</v>
      </c>
      <c r="D351" s="437" t="str">
        <f>'19U BOYS PLATINUM-27 TEAMS'!D61&amp;""</f>
        <v>19Bpt29</v>
      </c>
      <c r="E351" s="438" t="str">
        <f>'19U BOYS PLATINUM-27 TEAMS'!E61&amp;""</f>
        <v>J2(1stB)-BERKELEY WPC</v>
      </c>
      <c r="F351" s="438" t="str">
        <f>'19U BOYS PLATINUM-27 TEAMS'!F61&amp;""</f>
        <v>8</v>
      </c>
      <c r="G351" s="438" t="str">
        <f>'19U BOYS PLATINUM-27 TEAMS'!G61&amp;""</f>
        <v>J3(1stC)-LA JOLLA UNITED NAVY</v>
      </c>
      <c r="H351" s="438" t="str">
        <f>'19U BOYS PLATINUM-27 TEAMS'!H61&amp;""</f>
        <v>15</v>
      </c>
      <c r="I351" s="437" t="str">
        <f>'19U BOYS PLATINUM-27 TEAMS'!I61&amp;""</f>
        <v>1st-8th</v>
      </c>
      <c r="J351" s="438" t="str">
        <f>'19U BOYS PLATINUM-27 TEAMS'!J61&amp;""</f>
        <v>19U_BOYS_PLATINUM</v>
      </c>
      <c r="K351" s="438" t="str">
        <f t="shared" si="6"/>
        <v>202602010900</v>
      </c>
    </row>
    <row r="352" spans="1:11">
      <c r="A352" s="421">
        <f>'16U BOYS PLATINUM-18 TEAMS'!A46</f>
        <v>46054</v>
      </c>
      <c r="B352" s="422">
        <f>'16U BOYS PLATINUM-18 TEAMS'!B46</f>
        <v>0.375</v>
      </c>
      <c r="C352" s="422" t="str">
        <f>'16U BOYS PLATINUM-18 TEAMS'!C46&amp;""</f>
        <v>WOOLLETT NEAR RIGHT</v>
      </c>
      <c r="D352" s="422" t="str">
        <f>'16U BOYS PLATINUM-18 TEAMS'!D46&amp;""</f>
        <v>16Bpt23</v>
      </c>
      <c r="E352" s="423" t="str">
        <f>'16U BOYS PLATINUM-18 TEAMS'!E46&amp;""</f>
        <v>J1(2ndF)-SHAQ</v>
      </c>
      <c r="F352" s="422" t="str">
        <f>'16U BOYS PLATINUM-18 TEAMS'!F46&amp;""</f>
        <v>7</v>
      </c>
      <c r="G352" s="426" t="str">
        <f>'16U BOYS PLATINUM-18 TEAMS'!G46&amp;""</f>
        <v>J2(2ndE)-SAN CLEMENTE RED</v>
      </c>
      <c r="H352" s="422" t="str">
        <f>'16U BOYS PLATINUM-18 TEAMS'!H46&amp;""</f>
        <v>5</v>
      </c>
      <c r="I352" s="425" t="str">
        <f>'16U BOYS PLATINUM-18 TEAMS'!I46&amp;""</f>
        <v>7th-12th</v>
      </c>
      <c r="J352" s="426" t="str">
        <f>'16U BOYS PLATINUM-18 TEAMS'!J46&amp;""</f>
        <v>16U_BOYS_PLATINUM</v>
      </c>
      <c r="K352" s="426" t="str">
        <f t="shared" si="6"/>
        <v>202602010900</v>
      </c>
    </row>
    <row r="353" spans="1:11">
      <c r="A353" s="435">
        <f>'19U BOYS PLATINUM-27 TEAMS'!A72</f>
        <v>46054</v>
      </c>
      <c r="B353" s="436">
        <f>'19U BOYS PLATINUM-27 TEAMS'!B72</f>
        <v>0.375</v>
      </c>
      <c r="C353" s="437" t="str">
        <f>'19U BOYS PLATINUM-27 TEAMS'!C72&amp;""</f>
        <v>YORBA LINDA HS</v>
      </c>
      <c r="D353" s="437" t="str">
        <f>'19U BOYS PLATINUM-27 TEAMS'!D72&amp;""</f>
        <v>19Bpt38</v>
      </c>
      <c r="E353" s="438" t="str">
        <f>'19U BOYS PLATINUM-27 TEAMS'!E72&amp;""</f>
        <v>O1(3rdE)-CHULA VISTA PREMIER</v>
      </c>
      <c r="F353" s="438" t="str">
        <f>'19U BOYS PLATINUM-27 TEAMS'!F72&amp;""</f>
        <v>8</v>
      </c>
      <c r="G353" s="438" t="str">
        <f>'19U BOYS PLATINUM-27 TEAMS'!G72&amp;""</f>
        <v>O3(4thG)-CC UNITED BLUE</v>
      </c>
      <c r="H353" s="438" t="str">
        <f>'19U BOYS PLATINUM-27 TEAMS'!H72&amp;""</f>
        <v>14</v>
      </c>
      <c r="I353" s="437" t="str">
        <f>'19U BOYS PLATINUM-27 TEAMS'!I72&amp;""</f>
        <v>W/L O</v>
      </c>
      <c r="J353" s="438" t="str">
        <f>'19U BOYS PLATINUM-27 TEAMS'!J72&amp;""</f>
        <v>19U_BOYS_PLATINUM</v>
      </c>
      <c r="K353" s="438" t="str">
        <f t="shared" si="6"/>
        <v>202602010900</v>
      </c>
    </row>
    <row r="354" spans="1:11">
      <c r="A354" s="346">
        <f>'10U BOYS-8 TEAMS'!A23</f>
        <v>46054</v>
      </c>
      <c r="B354" s="347">
        <f>'10U BOYS-8 TEAMS'!B23</f>
        <v>0.39583333333333298</v>
      </c>
      <c r="C354" s="348" t="str">
        <f>'10U BOYS-8 TEAMS'!C23&amp;""</f>
        <v>BECKMAN HS 2</v>
      </c>
      <c r="D354" s="348" t="str">
        <f>'10U BOYS-8 TEAMS'!D23&amp;""</f>
        <v>10B11</v>
      </c>
      <c r="E354" s="348" t="str">
        <f>'10U BOYS-8 TEAMS'!E23&amp;""</f>
        <v>B1-CC UNITED BLACK</v>
      </c>
      <c r="F354" s="348" t="str">
        <f>'10U BOYS-8 TEAMS'!F23&amp;""</f>
        <v>8</v>
      </c>
      <c r="G354" s="348" t="str">
        <f>'10U BOYS-8 TEAMS'!G23&amp;""</f>
        <v>B2-SAN CLEMENTE RED</v>
      </c>
      <c r="H354" s="348" t="str">
        <f>'10U BOYS-8 TEAMS'!H23&amp;""</f>
        <v>7</v>
      </c>
      <c r="I354" s="348" t="str">
        <f>'10U BOYS-8 TEAMS'!I23&amp;""</f>
        <v>bracket, B1/B2</v>
      </c>
      <c r="J354" s="348" t="str">
        <f>'10U BOYS-8 TEAMS'!J23&amp;""</f>
        <v>10U_BOYS</v>
      </c>
      <c r="K354" s="348" t="str">
        <f t="shared" si="6"/>
        <v>202602010930</v>
      </c>
    </row>
    <row r="355" spans="1:11">
      <c r="A355" s="337">
        <f>'10U COED GOLD-16 TEAMS CUSTOM'!A33</f>
        <v>46054</v>
      </c>
      <c r="B355" s="338">
        <f>'10U COED GOLD-16 TEAMS CUSTOM'!B33</f>
        <v>0.39583333333333298</v>
      </c>
      <c r="C355" s="338" t="str">
        <f>'10U COED GOLD-16 TEAMS CUSTOM'!C33&amp;""</f>
        <v>EL TORO HS 2</v>
      </c>
      <c r="D355" s="339" t="str">
        <f>'10U COED GOLD-16 TEAMS CUSTOM'!D33&amp;""</f>
        <v>10Cau21</v>
      </c>
      <c r="E355" s="339" t="str">
        <f>'10U COED GOLD-16 TEAMS CUSTOM'!E33&amp;""</f>
        <v>1stA-LA JOLLA UNITED</v>
      </c>
      <c r="F355" s="339" t="str">
        <f>'10U COED GOLD-16 TEAMS CUSTOM'!F33&amp;""</f>
        <v>6.3</v>
      </c>
      <c r="G355" s="339" t="str">
        <f>'10U COED GOLD-16 TEAMS CUSTOM'!G33&amp;""</f>
        <v>1stD-YOLO YELLOW</v>
      </c>
      <c r="H355" s="339" t="str">
        <f>'10U COED GOLD-16 TEAMS CUSTOM'!H33&amp;""</f>
        <v>6</v>
      </c>
      <c r="I355" s="339" t="str">
        <f>'10U COED GOLD-16 TEAMS CUSTOM'!I33&amp;""</f>
        <v>1-4 coed semi</v>
      </c>
      <c r="J355" s="339" t="str">
        <f>'10U COED GOLD-16 TEAMS CUSTOM'!J33&amp;""</f>
        <v>10U_COED_GOLD</v>
      </c>
      <c r="K355" s="339" t="str">
        <f t="shared" si="6"/>
        <v>202602010930</v>
      </c>
    </row>
    <row r="356" spans="1:11">
      <c r="A356" s="341">
        <f>'10U COED PLATINUM-8 TEAMS'!A22</f>
        <v>46054</v>
      </c>
      <c r="B356" s="342">
        <f>'10U COED PLATINUM-8 TEAMS'!B22</f>
        <v>0.39583333333333298</v>
      </c>
      <c r="C356" s="343" t="str">
        <f>'10U COED PLATINUM-8 TEAMS'!C22&amp;""</f>
        <v>WOOLLETT FAR LEFT</v>
      </c>
      <c r="D356" s="343" t="str">
        <f>'10U COED PLATINUM-8 TEAMS'!D22&amp;""</f>
        <v>10Cpt09</v>
      </c>
      <c r="E356" s="343" t="str">
        <f>'10U COED PLATINUM-8 TEAMS'!E22&amp;""</f>
        <v>B3-PATRIOT RED</v>
      </c>
      <c r="F356" s="343" t="str">
        <f>'10U COED PLATINUM-8 TEAMS'!F22&amp;""</f>
        <v>21</v>
      </c>
      <c r="G356" s="343" t="str">
        <f>'10U COED PLATINUM-8 TEAMS'!G22&amp;""</f>
        <v>B4-LAMORINDA GOLD (B)</v>
      </c>
      <c r="H356" s="343" t="str">
        <f>'10U COED PLATINUM-8 TEAMS'!H22&amp;""</f>
        <v>6</v>
      </c>
      <c r="I356" s="343" t="str">
        <f>'10U COED PLATINUM-8 TEAMS'!I22&amp;""</f>
        <v>bracket, B3/B4</v>
      </c>
      <c r="J356" s="343" t="str">
        <f>'10U COED PLATINUM-8 TEAMS'!J22&amp;""</f>
        <v>10U_COED_PLATINUM</v>
      </c>
      <c r="K356" s="343" t="str">
        <f t="shared" si="6"/>
        <v>202602010930</v>
      </c>
    </row>
    <row r="357" spans="1:11">
      <c r="A357" s="382">
        <f>'14U GIRLS PLATINUM-10 TEAMS'!A26</f>
        <v>46054</v>
      </c>
      <c r="B357" s="383">
        <f>'14U GIRLS PLATINUM-10 TEAMS'!B26</f>
        <v>0.39583333333333398</v>
      </c>
      <c r="C357" s="383" t="str">
        <f>'14U GIRLS PLATINUM-10 TEAMS'!C26&amp;""</f>
        <v>ALISO NIGUEL HS</v>
      </c>
      <c r="D357" s="384" t="str">
        <f>'14U GIRLS PLATINUM-10 TEAMS'!D26&amp;""</f>
        <v>14Gpt14</v>
      </c>
      <c r="E357" s="384" t="str">
        <f>'14U GIRLS PLATINUM-10 TEAMS'!E26&amp;""</f>
        <v>3rdA-DAVIS</v>
      </c>
      <c r="F357" s="384" t="str">
        <f>'14U GIRLS PLATINUM-10 TEAMS'!F26&amp;""</f>
        <v>5</v>
      </c>
      <c r="G357" s="384" t="str">
        <f>'14U GIRLS PLATINUM-10 TEAMS'!G26&amp;""</f>
        <v>2ndB-CC UNITED BLACK</v>
      </c>
      <c r="H357" s="384" t="str">
        <f>'14U GIRLS PLATINUM-10 TEAMS'!H26&amp;""</f>
        <v>2</v>
      </c>
      <c r="I357" s="384" t="str">
        <f>'14U GIRLS PLATINUM-10 TEAMS'!I26&amp;""</f>
        <v>5th-10th 3A/2B</v>
      </c>
      <c r="J357" s="384" t="str">
        <f>'14U GIRLS PLATINUM-10 TEAMS'!J26&amp;""</f>
        <v>14U_GIRLS_PLATINUM</v>
      </c>
      <c r="K357" s="384" t="str">
        <f t="shared" si="6"/>
        <v>202602010930</v>
      </c>
    </row>
    <row r="358" spans="1:11">
      <c r="A358" s="370">
        <f>'12U BOYS PLATINUM-10 TEAMS'!A28</f>
        <v>46054</v>
      </c>
      <c r="B358" s="371">
        <f>'12U BOYS PLATINUM-10 TEAMS'!B28</f>
        <v>0.39583333333333398</v>
      </c>
      <c r="C358" s="371" t="str">
        <f>'12U BOYS PLATINUM-10 TEAMS'!C28&amp;""</f>
        <v>BECKMAN HS 1</v>
      </c>
      <c r="D358" s="373" t="str">
        <f>'12U BOYS PLATINUM-10 TEAMS'!D28&amp;""</f>
        <v>12Bpt14</v>
      </c>
      <c r="E358" s="373" t="str">
        <f>'12U BOYS PLATINUM-10 TEAMS'!E28&amp;""</f>
        <v>3rdA-LAMORINDA A</v>
      </c>
      <c r="F358" s="373" t="str">
        <f>'12U BOYS PLATINUM-10 TEAMS'!F28&amp;""</f>
        <v>5</v>
      </c>
      <c r="G358" s="373" t="str">
        <f>'12U BOYS PLATINUM-10 TEAMS'!G28&amp;""</f>
        <v>2ndB-NORTH IRVINE BLACK</v>
      </c>
      <c r="H358" s="373" t="str">
        <f>'12U BOYS PLATINUM-10 TEAMS'!H28&amp;""</f>
        <v>20</v>
      </c>
      <c r="I358" s="373" t="str">
        <f>'12U BOYS PLATINUM-10 TEAMS'!I28&amp;""</f>
        <v>5th-10th 3A/2B</v>
      </c>
      <c r="J358" s="373" t="str">
        <f>'12U BOYS PLATINUM-10 TEAMS'!J28&amp;""</f>
        <v>12U_BOYS_PLATINUM</v>
      </c>
      <c r="K358" s="373" t="str">
        <f t="shared" si="6"/>
        <v>202602010930</v>
      </c>
    </row>
    <row r="359" spans="1:11">
      <c r="A359" s="387">
        <f>'14U BOYS SILVER-18 TEAMS'!A46</f>
        <v>46054</v>
      </c>
      <c r="B359" s="388">
        <f>'14U BOYS SILVER-18 TEAMS'!B46</f>
        <v>0.39583333333333398</v>
      </c>
      <c r="C359" s="388" t="str">
        <f>'14U BOYS SILVER-18 TEAMS'!C46&amp;""</f>
        <v>COSTA MESA HS 1</v>
      </c>
      <c r="D359" s="389" t="str">
        <f>'14U BOYS SILVER-18 TEAMS'!D46&amp;""</f>
        <v>14Bag23</v>
      </c>
      <c r="E359" s="390" t="str">
        <f>'14U BOYS SILVER-18 TEAMS'!E46&amp;""</f>
        <v>J1(2ndF)-NADO</v>
      </c>
      <c r="F359" s="391" t="str">
        <f>'14U BOYS SILVER-18 TEAMS'!F46&amp;""</f>
        <v>16</v>
      </c>
      <c r="G359" s="390" t="str">
        <f>'14U BOYS SILVER-18 TEAMS'!G46&amp;""</f>
        <v>J2(2ndE)-HONOLULU GREEN</v>
      </c>
      <c r="H359" s="391" t="str">
        <f>'14U BOYS SILVER-18 TEAMS'!H46&amp;""</f>
        <v>11</v>
      </c>
      <c r="I359" s="392" t="str">
        <f>'14U BOYS SILVER-18 TEAMS'!I46&amp;""</f>
        <v>7th-12th</v>
      </c>
      <c r="J359" s="389" t="str">
        <f>'14U BOYS SILVER-18 TEAMS'!J46&amp;""</f>
        <v>14U_BOYS_SILVER</v>
      </c>
      <c r="K359" s="389" t="str">
        <f t="shared" si="6"/>
        <v>202602010930</v>
      </c>
    </row>
    <row r="360" spans="1:11">
      <c r="A360" s="354">
        <f>'12U BOYS GOLD-24 TEAMS'!A46</f>
        <v>46054</v>
      </c>
      <c r="B360" s="355">
        <f>'12U BOYS GOLD-24 TEAMS'!B46</f>
        <v>0.39583333333333398</v>
      </c>
      <c r="C360" s="355" t="str">
        <f>'12U BOYS GOLD-24 TEAMS'!C46&amp;""</f>
        <v>COSTA MESA HS 2</v>
      </c>
      <c r="D360" s="356" t="str">
        <f>'12U BOYS GOLD-24 TEAMS'!D46&amp;""</f>
        <v>12Bau13</v>
      </c>
      <c r="E360" s="362" t="str">
        <f>'12U BOYS GOLD-24 TEAMS'!E46&amp;""</f>
        <v>3rdA-680 WHITE</v>
      </c>
      <c r="F360" s="362" t="str">
        <f>'12U BOYS GOLD-24 TEAMS'!F46&amp;""</f>
        <v>2</v>
      </c>
      <c r="G360" s="362" t="str">
        <f>'12U BOYS GOLD-24 TEAMS'!G46&amp;""</f>
        <v>3rdD-NORTH IRVINE RED</v>
      </c>
      <c r="H360" s="356" t="str">
        <f>'12U BOYS GOLD-24 TEAMS'!H46&amp;""</f>
        <v>8</v>
      </c>
      <c r="I360" s="356" t="str">
        <f>'12U BOYS GOLD-24 TEAMS'!I46&amp;""</f>
        <v>17-24 cross 3A/3D</v>
      </c>
      <c r="J360" s="356" t="str">
        <f>'12U BOYS GOLD-24 TEAMS'!J46&amp;""</f>
        <v>12U_BOYS_GOLD</v>
      </c>
      <c r="K360" s="356" t="str">
        <f t="shared" si="6"/>
        <v>202602010930</v>
      </c>
    </row>
    <row r="361" spans="1:11">
      <c r="A361" s="387">
        <f>'14U BOYS SILVER-18 TEAMS'!A61</f>
        <v>46054</v>
      </c>
      <c r="B361" s="388">
        <f>'14U BOYS SILVER-18 TEAMS'!B61</f>
        <v>0.39583333333333398</v>
      </c>
      <c r="C361" s="388" t="str">
        <f>'14U BOYS SILVER-18 TEAMS'!C61&amp;""</f>
        <v>EL TORO HS 1</v>
      </c>
      <c r="D361" s="389" t="str">
        <f>'14U BOYS SILVER-18 TEAMS'!D61&amp;""</f>
        <v>14Bag34</v>
      </c>
      <c r="E361" s="388" t="str">
        <f>'14U BOYS SILVER-18 TEAMS'!E61&amp;""</f>
        <v>M2(3rdB)-TROJAN GOLD</v>
      </c>
      <c r="F361" s="392" t="str">
        <f>'14U BOYS SILVER-18 TEAMS'!F61&amp;""</f>
        <v>11</v>
      </c>
      <c r="G361" s="388" t="str">
        <f>'14U BOYS SILVER-18 TEAMS'!G61&amp;""</f>
        <v xml:space="preserve">M3(3rdC)-TRITON GOLD	</v>
      </c>
      <c r="H361" s="391" t="str">
        <f>'14U BOYS SILVER-18 TEAMS'!H61&amp;""</f>
        <v>10</v>
      </c>
      <c r="I361" s="392" t="str">
        <f>'14U BOYS SILVER-18 TEAMS'!I61&amp;""</f>
        <v>13th-18th</v>
      </c>
      <c r="J361" s="389" t="str">
        <f>'14U BOYS SILVER-18 TEAMS'!J61&amp;""</f>
        <v>14U_BOYS_SILVER</v>
      </c>
      <c r="K361" s="389" t="str">
        <f t="shared" si="6"/>
        <v>202602010930</v>
      </c>
    </row>
    <row r="362" spans="1:11">
      <c r="A362" s="394">
        <f>'14U BOYS GOLD-26 TEAMS'!A80</f>
        <v>46054</v>
      </c>
      <c r="B362" s="395">
        <f>'14U BOYS GOLD-26 TEAMS'!B80</f>
        <v>0.39583333333333398</v>
      </c>
      <c r="C362" s="396" t="str">
        <f>'14U BOYS GOLD-26 TEAMS'!C80&amp;""</f>
        <v>ESPERANZA HS</v>
      </c>
      <c r="D362" s="396" t="str">
        <f>'14U BOYS GOLD-26 TEAMS'!D80&amp;""</f>
        <v>14Bau32</v>
      </c>
      <c r="E362" s="397" t="str">
        <f>'14U BOYS GOLD-26 TEAMS'!E80&amp;""</f>
        <v>L2(2ndB)-DAVIS</v>
      </c>
      <c r="F362" s="397" t="str">
        <f>'14U BOYS GOLD-26 TEAMS'!F80&amp;""</f>
        <v>5</v>
      </c>
      <c r="G362" s="398" t="str">
        <f>'14U BOYS GOLD-26 TEAMS'!G80&amp;""</f>
        <v>L3(2ndC)-LAWPC</v>
      </c>
      <c r="H362" s="397" t="str">
        <f>'14U BOYS GOLD-26 TEAMS'!H80&amp;""</f>
        <v>7</v>
      </c>
      <c r="I362" s="396" t="str">
        <f>'14U BOYS GOLD-26 TEAMS'!I80&amp;""</f>
        <v>9th16th</v>
      </c>
      <c r="J362" s="397" t="str">
        <f>'14U BOYS GOLD-26 TEAMS'!J80&amp;""</f>
        <v>14U_BOYS_GOLD</v>
      </c>
      <c r="K362" s="397" t="str">
        <f t="shared" si="6"/>
        <v>202602010930</v>
      </c>
    </row>
    <row r="363" spans="1:11">
      <c r="A363" s="394">
        <f>'14U BOYS GOLD-26 TEAMS'!A58</f>
        <v>46054</v>
      </c>
      <c r="B363" s="395">
        <f>'14U BOYS GOLD-26 TEAMS'!B58</f>
        <v>0.39583333333333398</v>
      </c>
      <c r="C363" s="396" t="str">
        <f>'14U BOYS GOLD-26 TEAMS'!C58&amp;""</f>
        <v>ESTANCIA HS 2</v>
      </c>
      <c r="D363" s="396" t="str">
        <f>'14U BOYS GOLD-26 TEAMS'!D58&amp;""</f>
        <v>14Bau29</v>
      </c>
      <c r="E363" s="396" t="str">
        <f>'14U BOYS GOLD-26 TEAMS'!E58&amp;""</f>
        <v>K1(1stE)-MISSION WPC B</v>
      </c>
      <c r="F363" s="396" t="str">
        <f>'14U BOYS GOLD-26 TEAMS'!F58&amp;""</f>
        <v>16</v>
      </c>
      <c r="G363" s="396" t="str">
        <f>'14U BOYS GOLD-26 TEAMS'!G58&amp;""</f>
        <v>K4(1stH)-HIELAND</v>
      </c>
      <c r="H363" s="396" t="str">
        <f>'14U BOYS GOLD-26 TEAMS'!H58&amp;""</f>
        <v>9</v>
      </c>
      <c r="I363" s="396" t="str">
        <f>'14U BOYS GOLD-26 TEAMS'!I58&amp;""</f>
        <v>1st-8th</v>
      </c>
      <c r="J363" s="397" t="str">
        <f>'14U BOYS GOLD-26 TEAMS'!J58&amp;""</f>
        <v>14U_BOYS_GOLD</v>
      </c>
      <c r="K363" s="397" t="str">
        <f t="shared" si="6"/>
        <v>202602010930</v>
      </c>
    </row>
    <row r="364" spans="1:11">
      <c r="A364" s="387">
        <f>'14U BOYS SILVER-18 TEAMS'!A62</f>
        <v>46054</v>
      </c>
      <c r="B364" s="388">
        <f>'14U BOYS SILVER-18 TEAMS'!B62</f>
        <v>0.39583333333333398</v>
      </c>
      <c r="C364" s="388" t="str">
        <f>'14U BOYS SILVER-18 TEAMS'!C62&amp;""</f>
        <v>LAGUNA HILLS HS</v>
      </c>
      <c r="D364" s="389" t="str">
        <f>'14U BOYS SILVER-18 TEAMS'!D62&amp;""</f>
        <v>14Bag36</v>
      </c>
      <c r="E364" s="388" t="str">
        <f>'14U BOYS SILVER-18 TEAMS'!E62&amp;""</f>
        <v>N2(3rdE)-CC UNITED WHITE</v>
      </c>
      <c r="F364" s="392" t="str">
        <f>'14U BOYS SILVER-18 TEAMS'!F62&amp;""</f>
        <v>7</v>
      </c>
      <c r="G364" s="388" t="str">
        <f>'14U BOYS SILVER-18 TEAMS'!G62&amp;""</f>
        <v>N3(3rdF)-SET</v>
      </c>
      <c r="H364" s="391" t="str">
        <f>'14U BOYS SILVER-18 TEAMS'!H62&amp;""</f>
        <v>6</v>
      </c>
      <c r="I364" s="392" t="str">
        <f>'14U BOYS SILVER-18 TEAMS'!I62&amp;""</f>
        <v>13th-18th</v>
      </c>
      <c r="J364" s="389" t="str">
        <f>'14U BOYS SILVER-18 TEAMS'!J62&amp;""</f>
        <v>14U_BOYS_SILVER</v>
      </c>
      <c r="K364" s="389" t="str">
        <f t="shared" si="6"/>
        <v>202602010930</v>
      </c>
    </row>
    <row r="365" spans="1:11">
      <c r="A365" s="378">
        <f>'14U GIRLS GOLD-14 TEAMS'!A32</f>
        <v>46054</v>
      </c>
      <c r="B365" s="379">
        <f>'14U GIRLS GOLD-14 TEAMS'!B32</f>
        <v>0.39583333333333398</v>
      </c>
      <c r="C365" s="379" t="str">
        <f>'14U GIRLS GOLD-14 TEAMS'!C32&amp;""</f>
        <v>SAN CLEMENTE HS</v>
      </c>
      <c r="D365" s="380" t="str">
        <f>'14U GIRLS GOLD-14 TEAMS'!D32&amp;""</f>
        <v>14Gau17</v>
      </c>
      <c r="E365" s="380" t="str">
        <f>'14U GIRLS GOLD-14 TEAMS'!E32&amp;""</f>
        <v>1stB-ROGUE 619</v>
      </c>
      <c r="F365" s="380" t="str">
        <f>'14U GIRLS GOLD-14 TEAMS'!F32&amp;""</f>
        <v>8</v>
      </c>
      <c r="G365" s="380" t="str">
        <f>'14U GIRLS GOLD-14 TEAMS'!G32&amp;""</f>
        <v>1stC-GOLD COAST</v>
      </c>
      <c r="H365" s="380" t="str">
        <f>'14U GIRLS GOLD-14 TEAMS'!H32&amp;""</f>
        <v>9</v>
      </c>
      <c r="I365" s="380" t="str">
        <f>'14U GIRLS GOLD-14 TEAMS'!I32&amp;""</f>
        <v>1-4 semi</v>
      </c>
      <c r="J365" s="380" t="str">
        <f>'14U GIRLS GOLD-14 TEAMS'!J32&amp;""</f>
        <v>14U_GIRLS_GOLD</v>
      </c>
      <c r="K365" s="380" t="str">
        <f t="shared" si="6"/>
        <v>202602010930</v>
      </c>
    </row>
    <row r="366" spans="1:11">
      <c r="A366" s="387">
        <f>'14U BOYS SILVER-18 TEAMS'!A60</f>
        <v>46054</v>
      </c>
      <c r="B366" s="388">
        <f>'14U BOYS SILVER-18 TEAMS'!B60</f>
        <v>0.39583333333333398</v>
      </c>
      <c r="C366" s="388" t="str">
        <f>'14U BOYS SILVER-18 TEAMS'!C60&amp;""</f>
        <v>TUSTIN HS 1</v>
      </c>
      <c r="D366" s="389" t="str">
        <f>'14U BOYS SILVER-18 TEAMS'!D60&amp;""</f>
        <v>14Bag32</v>
      </c>
      <c r="E366" s="388" t="str">
        <f>'14U BOYS SILVER-18 TEAMS'!E60&amp;""</f>
        <v>K2(2ndB)-SOUTH COAST BLUE (C)</v>
      </c>
      <c r="F366" s="392" t="str">
        <f>'14U BOYS SILVER-18 TEAMS'!F60&amp;""</f>
        <v>2</v>
      </c>
      <c r="G366" s="388" t="str">
        <f>'14U BOYS SILVER-18 TEAMS'!G60&amp;""</f>
        <v>K3(2ndA)-LOYOLA WPC</v>
      </c>
      <c r="H366" s="391" t="str">
        <f>'14U BOYS SILVER-18 TEAMS'!H60&amp;""</f>
        <v>8</v>
      </c>
      <c r="I366" s="392" t="str">
        <f>'14U BOYS SILVER-18 TEAMS'!I60&amp;""</f>
        <v>7th-12th</v>
      </c>
      <c r="J366" s="389" t="str">
        <f>'14U BOYS SILVER-18 TEAMS'!J60&amp;""</f>
        <v>14U_BOYS_SILVER</v>
      </c>
      <c r="K366" s="389" t="str">
        <f t="shared" si="6"/>
        <v>202602010930</v>
      </c>
    </row>
    <row r="367" spans="1:11">
      <c r="A367" s="357">
        <f>'12U BOYS GOLD-24 TEAMS'!A61</f>
        <v>46054</v>
      </c>
      <c r="B367" s="358">
        <f>'12U BOYS GOLD-24 TEAMS'!B61</f>
        <v>0.39583333333333398</v>
      </c>
      <c r="C367" s="358" t="str">
        <f>'12U BOYS GOLD-24 TEAMS'!C61&amp;""</f>
        <v>TUSTIN HS 2</v>
      </c>
      <c r="D367" s="359" t="str">
        <f>'12U BOYS GOLD-24 TEAMS'!D61&amp;""</f>
        <v>12Bau18A</v>
      </c>
      <c r="E367" s="359" t="str">
        <f>'12U BOYS GOLD-24 TEAMS'!E61&amp;""</f>
        <v>1stF-680 BLUE</v>
      </c>
      <c r="F367" s="359" t="str">
        <f>'12U BOYS GOLD-24 TEAMS'!F61&amp;""</f>
        <v>6</v>
      </c>
      <c r="G367" s="359" t="str">
        <f>'12U BOYS GOLD-24 TEAMS'!G61&amp;""</f>
        <v>1stG-SAN MATEO</v>
      </c>
      <c r="H367" s="359" t="str">
        <f>'12U BOYS GOLD-24 TEAMS'!H61&amp;""</f>
        <v>5</v>
      </c>
      <c r="I367" s="359" t="str">
        <f>'12U BOYS GOLD-24 TEAMS'!I61&amp;""</f>
        <v>1-8 cross 1F/1G</v>
      </c>
      <c r="J367" s="359" t="str">
        <f>'12U BOYS GOLD-24 TEAMS'!J61&amp;""</f>
        <v>12U_BOYS_GOLD</v>
      </c>
      <c r="K367" s="359" t="str">
        <f t="shared" si="6"/>
        <v>202602010930</v>
      </c>
    </row>
    <row r="368" spans="1:11">
      <c r="A368" s="351">
        <f>'12U GIRLS PLATINUM-12 TEAMS'!A30</f>
        <v>46054</v>
      </c>
      <c r="B368" s="352">
        <f>'12U GIRLS PLATINUM-12 TEAMS'!B30</f>
        <v>0.39583333333333398</v>
      </c>
      <c r="C368" s="351" t="str">
        <f>'12U GIRLS PLATINUM-12 TEAMS'!C30&amp;""</f>
        <v>WOOLLETT FAR RIGHT</v>
      </c>
      <c r="D368" s="353" t="str">
        <f>'12U GIRLS PLATINUM-12 TEAMS'!D30&amp;""</f>
        <v>12Gpt16</v>
      </c>
      <c r="E368" s="351" t="str">
        <f>'12U GIRLS PLATINUM-12 TEAMS'!E30&amp;""</f>
        <v xml:space="preserve">2ndB-ORANGE COUNTY WPC BLUE	</v>
      </c>
      <c r="F368" s="353" t="str">
        <f>'12U GIRLS PLATINUM-12 TEAMS'!F30&amp;""</f>
        <v>13</v>
      </c>
      <c r="G368" s="351" t="str">
        <f>'12U GIRLS PLATINUM-12 TEAMS'!G30&amp;""</f>
        <v>2ndC-LAMORINDA B</v>
      </c>
      <c r="H368" s="353" t="str">
        <f>'12U GIRLS PLATINUM-12 TEAMS'!H30&amp;""</f>
        <v>9</v>
      </c>
      <c r="I368" s="353" t="str">
        <f>'12U GIRLS PLATINUM-12 TEAMS'!I30&amp;""</f>
        <v>5-8 semi 2B/2C</v>
      </c>
      <c r="J368" s="353" t="str">
        <f>'12U GIRLS PLATINUM-12 TEAMS'!J30&amp;""</f>
        <v>12U_GIRLS_PLATINUM</v>
      </c>
      <c r="K368" s="353" t="str">
        <f t="shared" si="6"/>
        <v>202602010930</v>
      </c>
    </row>
    <row r="369" spans="1:11">
      <c r="A369" s="435">
        <f>'19U BOYS PLATINUM-27 TEAMS'!A84</f>
        <v>46054</v>
      </c>
      <c r="B369" s="436">
        <f>'19U BOYS PLATINUM-27 TEAMS'!B84</f>
        <v>0.41666666666666702</v>
      </c>
      <c r="C369" s="437" t="str">
        <f>'19U BOYS PLATINUM-27 TEAMS'!C84&amp;""</f>
        <v>EDISON HS</v>
      </c>
      <c r="D369" s="437" t="str">
        <f>'19U BOYS PLATINUM-27 TEAMS'!D84&amp;""</f>
        <v>19Bpt50</v>
      </c>
      <c r="E369" s="438" t="str">
        <f>'19U BOYS PLATINUM-27 TEAMS'!E84&amp;""</f>
        <v>L2(2ndB)-SD SHORES BLACK</v>
      </c>
      <c r="F369" s="438" t="str">
        <f>'19U BOYS PLATINUM-27 TEAMS'!F84&amp;""</f>
        <v>8</v>
      </c>
      <c r="G369" s="438" t="str">
        <f>'19U BOYS PLATINUM-27 TEAMS'!G84&amp;""</f>
        <v>L3(2ndC)-SANTA CRUZ</v>
      </c>
      <c r="H369" s="438" t="str">
        <f>'19U BOYS PLATINUM-27 TEAMS'!H84&amp;""</f>
        <v>7</v>
      </c>
      <c r="I369" s="437" t="str">
        <f>'19U BOYS PLATINUM-27 TEAMS'!I84&amp;""</f>
        <v>9th16th L2/L3</v>
      </c>
      <c r="J369" s="438" t="str">
        <f>'19U BOYS PLATINUM-27 TEAMS'!J84&amp;""</f>
        <v>19U_BOYS_PLATINUM</v>
      </c>
      <c r="K369" s="438" t="str">
        <f t="shared" ref="K369:K432" si="7">TEXT(DATE(2026, MONTH(A369), DAY(A369)) + TIME(HOUR(B369), MINUTE(B369), 0), "yyyymmddhhmm")</f>
        <v>202602011000</v>
      </c>
    </row>
    <row r="370" spans="1:11">
      <c r="A370" s="432">
        <f>'19U BOYS GOLD-16 TEAMS'!A28</f>
        <v>46054</v>
      </c>
      <c r="B370" s="433">
        <f>'19U BOYS GOLD-16 TEAMS'!B28</f>
        <v>0.41666666666666702</v>
      </c>
      <c r="C370" s="433" t="str">
        <f>'19U BOYS GOLD-16 TEAMS'!C28&amp;""</f>
        <v>ESTANCIA HS 1</v>
      </c>
      <c r="D370" s="434" t="str">
        <f>'19U BOYS GOLD-16 TEAMS'!D28&amp;""</f>
        <v>19Bau29</v>
      </c>
      <c r="E370" s="434" t="str">
        <f>'19U BOYS GOLD-16 TEAMS'!E28&amp;""</f>
        <v>4thD-WCAC UNITED</v>
      </c>
      <c r="F370" s="434" t="str">
        <f>'19U BOYS GOLD-16 TEAMS'!F28&amp;""</f>
        <v>13</v>
      </c>
      <c r="G370" s="434" t="str">
        <f>'19U BOYS GOLD-16 TEAMS'!G28&amp;""</f>
        <v>4thA-LA JOLLA UNITED GOLD</v>
      </c>
      <c r="H370" s="434" t="str">
        <f>'19U BOYS GOLD-16 TEAMS'!H28&amp;""</f>
        <v>10</v>
      </c>
      <c r="I370" s="434" t="str">
        <f>'19U BOYS GOLD-16 TEAMS'!I28&amp;""</f>
        <v>13-16 semi</v>
      </c>
      <c r="J370" s="434" t="str">
        <f>'19U BOYS GOLD-16 TEAMS'!J28&amp;""</f>
        <v>19U_BOYS_GOLD</v>
      </c>
      <c r="K370" s="434" t="str">
        <f t="shared" si="7"/>
        <v>202602011000</v>
      </c>
    </row>
    <row r="371" spans="1:11">
      <c r="A371" s="413">
        <f>'16U BOYS GOLD-19 TEAMS'!A63</f>
        <v>46054</v>
      </c>
      <c r="B371" s="414">
        <f>'16U BOYS GOLD-19 TEAMS'!B63</f>
        <v>0.41666666666666702</v>
      </c>
      <c r="C371" s="414" t="str">
        <f>'16U BOYS GOLD-19 TEAMS'!C63&amp;""</f>
        <v>SADDLEBACK COLLEGE</v>
      </c>
      <c r="D371" s="415" t="str">
        <f>'16U BOYS GOLD-19 TEAMS'!D63&amp;""</f>
        <v>16Bau34</v>
      </c>
      <c r="E371" s="414" t="str">
        <f>'16U BOYS GOLD-19 TEAMS'!E63&amp;""</f>
        <v>L2(3rdE)-ORANGE COUNTY WPC BLUE</v>
      </c>
      <c r="F371" s="418" t="str">
        <f>'16U BOYS GOLD-19 TEAMS'!F63&amp;""</f>
        <v>3</v>
      </c>
      <c r="G371" s="414" t="str">
        <f>'16U BOYS GOLD-19 TEAMS'!G63&amp;""</f>
        <v>L3(3rdF)-VANGUARD SILVER</v>
      </c>
      <c r="H371" s="417" t="str">
        <f>'16U BOYS GOLD-19 TEAMS'!H63&amp;""</f>
        <v>18</v>
      </c>
      <c r="I371" s="418" t="str">
        <f>'16U BOYS GOLD-19 TEAMS'!I63&amp;""</f>
        <v>W/L L2/L3</v>
      </c>
      <c r="J371" s="415" t="str">
        <f>'16U BOYS GOLD-19 TEAMS'!J63&amp;""</f>
        <v>16U_BOYS_GOLD</v>
      </c>
      <c r="K371" s="415" t="str">
        <f t="shared" si="7"/>
        <v>202602011000</v>
      </c>
    </row>
    <row r="372" spans="1:11">
      <c r="A372" s="410">
        <f>'16U BOYS GOLD-19 TEAMS'!A51</f>
        <v>46054</v>
      </c>
      <c r="B372" s="411">
        <f>'16U BOYS GOLD-19 TEAMS'!B51</f>
        <v>0.41666666666666702</v>
      </c>
      <c r="C372" s="411" t="str">
        <f>'16U BOYS GOLD-19 TEAMS'!C51&amp;""</f>
        <v>SAN JUAN HILLS HS</v>
      </c>
      <c r="D372" s="412" t="str">
        <f>'16U BOYS GOLD-19 TEAMS'!D51&amp;""</f>
        <v>16Bau23</v>
      </c>
      <c r="E372" s="412" t="str">
        <f>'16U BOYS GOLD-19 TEAMS'!E51&amp;""</f>
        <v>G2(1stB)-SOUTH COAST WHITE (B)</v>
      </c>
      <c r="F372" s="412" t="str">
        <f>'16U BOYS GOLD-19 TEAMS'!F51&amp;""</f>
        <v>7</v>
      </c>
      <c r="G372" s="412" t="str">
        <f>'16U BOYS GOLD-19 TEAMS'!G51&amp;""</f>
        <v>G3(1stC)-CAL REPUBLIC</v>
      </c>
      <c r="H372" s="412" t="str">
        <f>'16U BOYS GOLD-19 TEAMS'!H51&amp;""</f>
        <v>3</v>
      </c>
      <c r="I372" s="412" t="str">
        <f>'16U BOYS GOLD-19 TEAMS'!I51&amp;""</f>
        <v>G bracket G2,G3</v>
      </c>
      <c r="J372" s="412" t="str">
        <f>'16U BOYS GOLD-19 TEAMS'!J51&amp;""</f>
        <v>16U_BOYS_GOLD</v>
      </c>
      <c r="K372" s="412" t="str">
        <f t="shared" si="7"/>
        <v>202602011000</v>
      </c>
    </row>
    <row r="373" spans="1:11">
      <c r="A373" s="406">
        <f>'16U BOYS SILVER-20 TEAMS'!A54</f>
        <v>46054</v>
      </c>
      <c r="B373" s="407">
        <f>'16U BOYS SILVER-20 TEAMS'!B54</f>
        <v>0.41666666666666702</v>
      </c>
      <c r="C373" s="407" t="str">
        <f>'16U BOYS SILVER-20 TEAMS'!C54&amp;""</f>
        <v>SONORA HS</v>
      </c>
      <c r="D373" s="408" t="str">
        <f>'16U BOYS SILVER-20 TEAMS'!D54&amp;""</f>
        <v>16Bag27</v>
      </c>
      <c r="E373" s="408" t="str">
        <f>'16U BOYS SILVER-20 TEAMS'!E54&amp;""</f>
        <v>K2(2ndE)-STANFORD WHITE</v>
      </c>
      <c r="F373" s="408" t="str">
        <f>'16U BOYS SILVER-20 TEAMS'!F54&amp;""</f>
        <v>16</v>
      </c>
      <c r="G373" s="408" t="str">
        <f>'16U BOYS SILVER-20 TEAMS'!G54&amp;""</f>
        <v>K3(2ndF)-WCAC UNITED</v>
      </c>
      <c r="H373" s="408" t="str">
        <f>'16U BOYS SILVER-20 TEAMS'!H54&amp;""</f>
        <v>4</v>
      </c>
      <c r="I373" s="408" t="str">
        <f>'16U BOYS SILVER-20 TEAMS'!I54&amp;""</f>
        <v>K bracket</v>
      </c>
      <c r="J373" s="408" t="str">
        <f>'16U BOYS SILVER-20 TEAMS'!J54&amp;""</f>
        <v>16U_BOYS_SILVER</v>
      </c>
      <c r="K373" s="408" t="str">
        <f t="shared" si="7"/>
        <v>202602011000</v>
      </c>
    </row>
    <row r="374" spans="1:11">
      <c r="A374" s="421">
        <f>'16U BOYS PLATINUM-18 TEAMS'!A58</f>
        <v>46054</v>
      </c>
      <c r="B374" s="422">
        <f>'16U BOYS PLATINUM-18 TEAMS'!B58</f>
        <v>0.41666666666666702</v>
      </c>
      <c r="C374" s="422" t="str">
        <f>'16U BOYS PLATINUM-18 TEAMS'!C58&amp;""</f>
        <v>WESTMINSTER HS</v>
      </c>
      <c r="D374" s="422" t="str">
        <f>'16U BOYS PLATINUM-18 TEAMS'!D58&amp;""</f>
        <v>16Bpt30</v>
      </c>
      <c r="E374" s="423" t="str">
        <f>'16U BOYS PLATINUM-18 TEAMS'!E58&amp;""</f>
        <v>N1(3rdD)-SANTA CRUZ</v>
      </c>
      <c r="F374" s="422" t="str">
        <f>'16U BOYS PLATINUM-18 TEAMS'!F58&amp;""</f>
        <v>12</v>
      </c>
      <c r="G374" s="426" t="str">
        <f>'16U BOYS PLATINUM-18 TEAMS'!G58&amp;""</f>
        <v>N3(3rdF)-ASPHALT GREEN</v>
      </c>
      <c r="H374" s="422" t="str">
        <f>'16U BOYS PLATINUM-18 TEAMS'!H58&amp;""</f>
        <v>14</v>
      </c>
      <c r="I374" s="425" t="str">
        <f>'16U BOYS PLATINUM-18 TEAMS'!I58&amp;""</f>
        <v>13th-18th</v>
      </c>
      <c r="J374" s="426" t="str">
        <f>'16U BOYS PLATINUM-18 TEAMS'!J58&amp;""</f>
        <v>16U_BOYS_PLATINUM</v>
      </c>
      <c r="K374" s="426" t="str">
        <f t="shared" si="7"/>
        <v>202602011000</v>
      </c>
    </row>
    <row r="375" spans="1:11">
      <c r="A375" s="435">
        <f>'19U BOYS PLATINUM-27 TEAMS'!A62</f>
        <v>46054</v>
      </c>
      <c r="B375" s="436">
        <f>'19U BOYS PLATINUM-27 TEAMS'!B62</f>
        <v>0.41666666666666702</v>
      </c>
      <c r="C375" s="437" t="str">
        <f>'19U BOYS PLATINUM-27 TEAMS'!C62&amp;""</f>
        <v>WOOLLETT NEAR LEFT</v>
      </c>
      <c r="D375" s="437" t="str">
        <f>'19U BOYS PLATINUM-27 TEAMS'!D62&amp;""</f>
        <v>19Bpt30</v>
      </c>
      <c r="E375" s="438" t="str">
        <f>'19U BOYS PLATINUM-27 TEAMS'!E62&amp;""</f>
        <v>K1(1stE)-LAMORINDA A</v>
      </c>
      <c r="F375" s="438" t="str">
        <f>'19U BOYS PLATINUM-27 TEAMS'!F62&amp;""</f>
        <v>15</v>
      </c>
      <c r="G375" s="438" t="str">
        <f>'19U BOYS PLATINUM-27 TEAMS'!G62&amp;""</f>
        <v>K4(1stH)-RIVERSIDE</v>
      </c>
      <c r="H375" s="438" t="str">
        <f>'19U BOYS PLATINUM-27 TEAMS'!H62&amp;""</f>
        <v>11</v>
      </c>
      <c r="I375" s="437" t="str">
        <f>'19U BOYS PLATINUM-27 TEAMS'!I62&amp;""</f>
        <v>1st-8th</v>
      </c>
      <c r="J375" s="438" t="str">
        <f>'19U BOYS PLATINUM-27 TEAMS'!J62&amp;""</f>
        <v>19U_BOYS_PLATINUM</v>
      </c>
      <c r="K375" s="438" t="str">
        <f t="shared" si="7"/>
        <v>202602011000</v>
      </c>
    </row>
    <row r="376" spans="1:11">
      <c r="A376" s="421">
        <f>'16U BOYS PLATINUM-18 TEAMS'!A47</f>
        <v>46054</v>
      </c>
      <c r="B376" s="422">
        <f>'16U BOYS PLATINUM-18 TEAMS'!B47</f>
        <v>0.41666666666666702</v>
      </c>
      <c r="C376" s="422" t="str">
        <f>'16U BOYS PLATINUM-18 TEAMS'!C47&amp;""</f>
        <v>WOOLLETT NEAR RIGHT</v>
      </c>
      <c r="D376" s="422" t="str">
        <f>'16U BOYS PLATINUM-18 TEAMS'!D47&amp;""</f>
        <v>16Bpt25</v>
      </c>
      <c r="E376" s="423" t="str">
        <f>'16U BOYS PLATINUM-18 TEAMS'!E47&amp;""</f>
        <v>G1(1stA)-CC UNITED BLACK</v>
      </c>
      <c r="F376" s="424" t="str">
        <f>'16U BOYS PLATINUM-18 TEAMS'!F47&amp;""</f>
        <v>12</v>
      </c>
      <c r="G376" s="425" t="str">
        <f>'16U BOYS PLATINUM-18 TEAMS'!G47&amp;""</f>
        <v>G3(1stC)-680 RED</v>
      </c>
      <c r="H376" s="424" t="str">
        <f>'16U BOYS PLATINUM-18 TEAMS'!H47&amp;""</f>
        <v>10</v>
      </c>
      <c r="I376" s="425" t="str">
        <f>'16U BOYS PLATINUM-18 TEAMS'!I47&amp;""</f>
        <v>1st-6th</v>
      </c>
      <c r="J376" s="426" t="str">
        <f>'16U BOYS PLATINUM-18 TEAMS'!J47&amp;""</f>
        <v>16U_BOYS_PLATINUM</v>
      </c>
      <c r="K376" s="426" t="str">
        <f t="shared" si="7"/>
        <v>202602011000</v>
      </c>
    </row>
    <row r="377" spans="1:11">
      <c r="A377" s="435">
        <f>'19U BOYS PLATINUM-27 TEAMS'!A73</f>
        <v>46054</v>
      </c>
      <c r="B377" s="436">
        <f>'19U BOYS PLATINUM-27 TEAMS'!B73</f>
        <v>0.41666666666666702</v>
      </c>
      <c r="C377" s="437" t="str">
        <f>'19U BOYS PLATINUM-27 TEAMS'!C73&amp;""</f>
        <v>YORBA LINDA HS</v>
      </c>
      <c r="D377" s="437" t="str">
        <f>'19U BOYS PLATINUM-27 TEAMS'!D73&amp;""</f>
        <v>19Bpt40</v>
      </c>
      <c r="E377" s="438" t="str">
        <f>'19U BOYS PLATINUM-27 TEAMS'!E73&amp;""</f>
        <v>P1(3rdF)-SHADOW MEN</v>
      </c>
      <c r="F377" s="438" t="str">
        <f>'19U BOYS PLATINUM-27 TEAMS'!F73&amp;""</f>
        <v>20</v>
      </c>
      <c r="G377" s="438" t="str">
        <f>'19U BOYS PLATINUM-27 TEAMS'!G73&amp;""</f>
        <v>P3(4thH)-FOOTHILL BLACK</v>
      </c>
      <c r="H377" s="438" t="str">
        <f>'19U BOYS PLATINUM-27 TEAMS'!H73&amp;""</f>
        <v>14</v>
      </c>
      <c r="I377" s="437" t="str">
        <f>'19U BOYS PLATINUM-27 TEAMS'!I73&amp;""</f>
        <v>W/L P</v>
      </c>
      <c r="J377" s="438" t="str">
        <f>'19U BOYS PLATINUM-27 TEAMS'!J73&amp;""</f>
        <v>19U_BOYS_PLATINUM</v>
      </c>
      <c r="K377" s="438" t="str">
        <f t="shared" si="7"/>
        <v>202602011000</v>
      </c>
    </row>
    <row r="378" spans="1:11">
      <c r="A378" s="346">
        <f>'10U BOYS-8 TEAMS'!A24</f>
        <v>46054</v>
      </c>
      <c r="B378" s="347">
        <f>'10U BOYS-8 TEAMS'!B24</f>
        <v>0.42708333333333298</v>
      </c>
      <c r="C378" s="348" t="str">
        <f>'10U BOYS-8 TEAMS'!C24&amp;""</f>
        <v>BECKMAN HS 2</v>
      </c>
      <c r="D378" s="348" t="str">
        <f>'10U BOYS-8 TEAMS'!D24&amp;""</f>
        <v>10B12</v>
      </c>
      <c r="E378" s="348" t="str">
        <f>'10U BOYS-8 TEAMS'!E24&amp;""</f>
        <v>A1-LAMORINDA BLUE (A)</v>
      </c>
      <c r="F378" s="348" t="str">
        <f>'10U BOYS-8 TEAMS'!F24&amp;""</f>
        <v>6</v>
      </c>
      <c r="G378" s="348" t="str">
        <f>'10U BOYS-8 TEAMS'!G24&amp;""</f>
        <v>A2-680 RED</v>
      </c>
      <c r="H378" s="348" t="str">
        <f>'10U BOYS-8 TEAMS'!H24&amp;""</f>
        <v>16</v>
      </c>
      <c r="I378" s="348" t="str">
        <f>'10U BOYS-8 TEAMS'!I24&amp;""</f>
        <v>bracket, A1/A2</v>
      </c>
      <c r="J378" s="348" t="str">
        <f>'10U BOYS-8 TEAMS'!J24&amp;""</f>
        <v>10U_BOYS</v>
      </c>
      <c r="K378" s="348" t="str">
        <f t="shared" si="7"/>
        <v>202602011015</v>
      </c>
    </row>
    <row r="379" spans="1:11">
      <c r="A379" s="337">
        <f>'10U COED GOLD-16 TEAMS CUSTOM'!A34</f>
        <v>46054</v>
      </c>
      <c r="B379" s="338">
        <f>'10U COED GOLD-16 TEAMS CUSTOM'!B34</f>
        <v>0.42708333333333298</v>
      </c>
      <c r="C379" s="338" t="str">
        <f>'10U COED GOLD-16 TEAMS CUSTOM'!C34&amp;""</f>
        <v>EL TORO HS 2</v>
      </c>
      <c r="D379" s="339" t="str">
        <f>'10U COED GOLD-16 TEAMS CUSTOM'!D34&amp;""</f>
        <v>10Cau22</v>
      </c>
      <c r="E379" s="339" t="str">
        <f>'10U COED GOLD-16 TEAMS CUSTOM'!E34&amp;""</f>
        <v>1stB-DAVIS</v>
      </c>
      <c r="F379" s="339" t="str">
        <f>'10U COED GOLD-16 TEAMS CUSTOM'!F34&amp;""</f>
        <v>17</v>
      </c>
      <c r="G379" s="339" t="str">
        <f>'10U COED GOLD-16 TEAMS CUSTOM'!G34&amp;""</f>
        <v>1stC-SOUTH BAY UNITED</v>
      </c>
      <c r="H379" s="339" t="str">
        <f>'10U COED GOLD-16 TEAMS CUSTOM'!H34&amp;""</f>
        <v>4</v>
      </c>
      <c r="I379" s="339" t="str">
        <f>'10U COED GOLD-16 TEAMS CUSTOM'!I34&amp;""</f>
        <v>1-4 coed semi</v>
      </c>
      <c r="J379" s="339" t="str">
        <f>'10U COED GOLD-16 TEAMS CUSTOM'!J34&amp;""</f>
        <v>10U_COED_GOLD</v>
      </c>
      <c r="K379" s="339" t="str">
        <f t="shared" si="7"/>
        <v>202602011015</v>
      </c>
    </row>
    <row r="380" spans="1:11">
      <c r="A380" s="341">
        <f>'10U COED PLATINUM-8 TEAMS'!A23</f>
        <v>46054</v>
      </c>
      <c r="B380" s="342">
        <f>'10U COED PLATINUM-8 TEAMS'!B23</f>
        <v>0.42708333333333298</v>
      </c>
      <c r="C380" s="343" t="str">
        <f>'10U COED PLATINUM-8 TEAMS'!C23&amp;""</f>
        <v>WOOLLETT FAR LEFT</v>
      </c>
      <c r="D380" s="343" t="str">
        <f>'10U COED PLATINUM-8 TEAMS'!D23&amp;""</f>
        <v>10Cpt10</v>
      </c>
      <c r="E380" s="343" t="str">
        <f>'10U COED PLATINUM-8 TEAMS'!E23&amp;""</f>
        <v>A3-YOLO BLACK</v>
      </c>
      <c r="F380" s="343" t="str">
        <f>'10U COED PLATINUM-8 TEAMS'!F23&amp;""</f>
        <v>7</v>
      </c>
      <c r="G380" s="343" t="str">
        <f>'10U COED PLATINUM-8 TEAMS'!G23&amp;""</f>
        <v>A4-NORTH IRVINE BLACK</v>
      </c>
      <c r="H380" s="343" t="str">
        <f>'10U COED PLATINUM-8 TEAMS'!H23&amp;""</f>
        <v>12</v>
      </c>
      <c r="I380" s="343" t="str">
        <f>'10U COED PLATINUM-8 TEAMS'!I23&amp;""</f>
        <v>bracket, A3/A4</v>
      </c>
      <c r="J380" s="343" t="str">
        <f>'10U COED PLATINUM-8 TEAMS'!J23&amp;""</f>
        <v>10U_COED_PLATINUM</v>
      </c>
      <c r="K380" s="343" t="str">
        <f t="shared" si="7"/>
        <v>202602011015</v>
      </c>
    </row>
    <row r="381" spans="1:11">
      <c r="A381" s="382">
        <f>'14U GIRLS PLATINUM-10 TEAMS'!A27</f>
        <v>46054</v>
      </c>
      <c r="B381" s="383">
        <f>'14U GIRLS PLATINUM-10 TEAMS'!B27</f>
        <v>0.43055555555555602</v>
      </c>
      <c r="C381" s="383" t="str">
        <f>'14U GIRLS PLATINUM-10 TEAMS'!C27&amp;""</f>
        <v>ALISO NIGUEL HS</v>
      </c>
      <c r="D381" s="384" t="str">
        <f>'14U GIRLS PLATINUM-10 TEAMS'!D27&amp;""</f>
        <v>14Gpt15</v>
      </c>
      <c r="E381" s="384" t="str">
        <f>'14U GIRLS PLATINUM-10 TEAMS'!E27&amp;""</f>
        <v>1stA-CDM PINK</v>
      </c>
      <c r="F381" s="384" t="str">
        <f>'14U GIRLS PLATINUM-10 TEAMS'!F27&amp;""</f>
        <v>4.4</v>
      </c>
      <c r="G381" s="384" t="str">
        <f>'14U GIRLS PLATINUM-10 TEAMS'!G27&amp;""</f>
        <v xml:space="preserve">2ndC-SOUTH COAST RED (A)	</v>
      </c>
      <c r="H381" s="384" t="str">
        <f>'14U GIRLS PLATINUM-10 TEAMS'!H27&amp;""</f>
        <v>4.2</v>
      </c>
      <c r="I381" s="384" t="str">
        <f>'14U GIRLS PLATINUM-10 TEAMS'!I27&amp;""</f>
        <v>1-4 semi 1A/2C</v>
      </c>
      <c r="J381" s="384" t="str">
        <f>'14U GIRLS PLATINUM-10 TEAMS'!J27&amp;""</f>
        <v>14U_GIRLS_PLATINUM</v>
      </c>
      <c r="K381" s="384" t="str">
        <f t="shared" si="7"/>
        <v>202602011020</v>
      </c>
    </row>
    <row r="382" spans="1:11">
      <c r="A382" s="370">
        <f>'12U BOYS PLATINUM-10 TEAMS'!A29</f>
        <v>46054</v>
      </c>
      <c r="B382" s="371">
        <f>'12U BOYS PLATINUM-10 TEAMS'!B29</f>
        <v>0.43055555555555602</v>
      </c>
      <c r="C382" s="371" t="str">
        <f>'12U BOYS PLATINUM-10 TEAMS'!C29&amp;""</f>
        <v>BECKMAN HS 1</v>
      </c>
      <c r="D382" s="373" t="str">
        <f>'12U BOYS PLATINUM-10 TEAMS'!D29&amp;""</f>
        <v>12Bpt15</v>
      </c>
      <c r="E382" s="373" t="str">
        <f>'12U BOYS PLATINUM-10 TEAMS'!E29&amp;""</f>
        <v>1stA-MISSION WPC A</v>
      </c>
      <c r="F382" s="373" t="str">
        <f>'12U BOYS PLATINUM-10 TEAMS'!F29&amp;""</f>
        <v>12</v>
      </c>
      <c r="G382" s="373" t="str">
        <f>'12U BOYS PLATINUM-10 TEAMS'!G29&amp;""</f>
        <v>2ndC-ORWP A</v>
      </c>
      <c r="H382" s="373" t="str">
        <f>'12U BOYS PLATINUM-10 TEAMS'!H29&amp;""</f>
        <v>3</v>
      </c>
      <c r="I382" s="373" t="str">
        <f>'12U BOYS PLATINUM-10 TEAMS'!I29&amp;""</f>
        <v>1-4 semi 1A/2C</v>
      </c>
      <c r="J382" s="373" t="str">
        <f>'12U BOYS PLATINUM-10 TEAMS'!J29&amp;""</f>
        <v>12U_BOYS_PLATINUM</v>
      </c>
      <c r="K382" s="373" t="str">
        <f t="shared" si="7"/>
        <v>202602011020</v>
      </c>
    </row>
    <row r="383" spans="1:11">
      <c r="A383" s="387">
        <f>'14U BOYS SILVER-18 TEAMS'!A47</f>
        <v>46054</v>
      </c>
      <c r="B383" s="388">
        <f>'14U BOYS SILVER-18 TEAMS'!B47</f>
        <v>0.43055555555555602</v>
      </c>
      <c r="C383" s="388" t="str">
        <f>'14U BOYS SILVER-18 TEAMS'!C47&amp;""</f>
        <v>COSTA MESA HS 1</v>
      </c>
      <c r="D383" s="389" t="str">
        <f>'14U BOYS SILVER-18 TEAMS'!D47&amp;""</f>
        <v>14Bag25</v>
      </c>
      <c r="E383" s="390" t="str">
        <f>'14U BOYS SILVER-18 TEAMS'!E47&amp;""</f>
        <v>G1(1stA)-POWAY VALLEY BLACK</v>
      </c>
      <c r="F383" s="391" t="str">
        <f>'14U BOYS SILVER-18 TEAMS'!F47&amp;""</f>
        <v>8</v>
      </c>
      <c r="G383" s="390" t="str">
        <f>'14U BOYS SILVER-18 TEAMS'!G47&amp;""</f>
        <v>G3(1stC)-PASADENA AC</v>
      </c>
      <c r="H383" s="391" t="str">
        <f>'14U BOYS SILVER-18 TEAMS'!H47&amp;""</f>
        <v>5</v>
      </c>
      <c r="I383" s="392" t="str">
        <f>'14U BOYS SILVER-18 TEAMS'!I47&amp;""</f>
        <v>1st-6th</v>
      </c>
      <c r="J383" s="389" t="str">
        <f>'14U BOYS SILVER-18 TEAMS'!J47&amp;""</f>
        <v>14U_BOYS_SILVER</v>
      </c>
      <c r="K383" s="389" t="str">
        <f t="shared" si="7"/>
        <v>202602011020</v>
      </c>
    </row>
    <row r="384" spans="1:11">
      <c r="A384" s="354">
        <f>'12U BOYS GOLD-24 TEAMS'!A47</f>
        <v>46054</v>
      </c>
      <c r="B384" s="355">
        <f>'12U BOYS GOLD-24 TEAMS'!B47</f>
        <v>0.43055555555555602</v>
      </c>
      <c r="C384" s="355" t="str">
        <f>'12U BOYS GOLD-24 TEAMS'!C47&amp;""</f>
        <v>COSTA MESA HS 2</v>
      </c>
      <c r="D384" s="356" t="str">
        <f>'12U BOYS GOLD-24 TEAMS'!D47&amp;""</f>
        <v>12Bau14</v>
      </c>
      <c r="E384" s="362" t="str">
        <f>'12U BOYS GOLD-24 TEAMS'!E47&amp;""</f>
        <v>3rdB-LAMORINDA C</v>
      </c>
      <c r="F384" s="362" t="str">
        <f>'12U BOYS GOLD-24 TEAMS'!F47&amp;""</f>
        <v>5</v>
      </c>
      <c r="G384" s="362" t="str">
        <f>'12U BOYS GOLD-24 TEAMS'!G47&amp;""</f>
        <v>3rdC-BACK BAY</v>
      </c>
      <c r="H384" s="356" t="str">
        <f>'12U BOYS GOLD-24 TEAMS'!H47&amp;""</f>
        <v>20</v>
      </c>
      <c r="I384" s="356" t="str">
        <f>'12U BOYS GOLD-24 TEAMS'!I47&amp;""</f>
        <v>17-24 cross 3B/3C</v>
      </c>
      <c r="J384" s="356" t="str">
        <f>'12U BOYS GOLD-24 TEAMS'!J47&amp;""</f>
        <v>12U_BOYS_GOLD</v>
      </c>
      <c r="K384" s="356" t="str">
        <f t="shared" si="7"/>
        <v>202602011020</v>
      </c>
    </row>
    <row r="385" spans="1:11">
      <c r="A385" s="399">
        <f>'14U BOYS PLATINUM-20 TEAMS'!A51</f>
        <v>46054</v>
      </c>
      <c r="B385" s="400">
        <f>'14U BOYS PLATINUM-20 TEAMS'!B51</f>
        <v>0.43055555555555602</v>
      </c>
      <c r="C385" s="400" t="str">
        <f>'14U BOYS PLATINUM-20 TEAMS'!C51&amp;""</f>
        <v>EL TORO HS 1</v>
      </c>
      <c r="D385" s="401" t="str">
        <f>'14U BOYS PLATINUM-20 TEAMS'!D51&amp;""</f>
        <v>14Bpt26</v>
      </c>
      <c r="E385" s="401" t="str">
        <f>'14U BOYS PLATINUM-20 TEAMS'!E51&amp;""</f>
        <v>J2(1stE)-CHANNEL ISLANDS UNITED GOLD</v>
      </c>
      <c r="F385" s="401" t="str">
        <f>'14U BOYS PLATINUM-20 TEAMS'!F51&amp;""</f>
        <v>10.2</v>
      </c>
      <c r="G385" s="401" t="str">
        <f>'14U BOYS PLATINUM-20 TEAMS'!G51&amp;""</f>
        <v>J3(1stF)-PATRIOT NAVY</v>
      </c>
      <c r="H385" s="401" t="str">
        <f>'14U BOYS PLATINUM-20 TEAMS'!H51&amp;""</f>
        <v>10.4</v>
      </c>
      <c r="I385" s="401" t="str">
        <f>'14U BOYS PLATINUM-20 TEAMS'!I51&amp;""</f>
        <v>J bracket</v>
      </c>
      <c r="J385" s="401" t="str">
        <f>'14U BOYS PLATINUM-20 TEAMS'!J51&amp;""</f>
        <v>14U_BOYS_PLATINUM</v>
      </c>
      <c r="K385" s="401" t="str">
        <f t="shared" si="7"/>
        <v>202602011020</v>
      </c>
    </row>
    <row r="386" spans="1:11">
      <c r="A386" s="394">
        <f>'14U BOYS GOLD-26 TEAMS'!A81</f>
        <v>46054</v>
      </c>
      <c r="B386" s="395">
        <f>'14U BOYS GOLD-26 TEAMS'!B81</f>
        <v>0.43055555555555602</v>
      </c>
      <c r="C386" s="396" t="str">
        <f>'14U BOYS GOLD-26 TEAMS'!C81&amp;""</f>
        <v>ESPERANZA HS</v>
      </c>
      <c r="D386" s="396" t="str">
        <f>'14U BOYS GOLD-26 TEAMS'!D81&amp;""</f>
        <v>14Bau33</v>
      </c>
      <c r="E386" s="396" t="str">
        <f>'14U BOYS GOLD-26 TEAMS'!E81&amp;""</f>
        <v>M1(2ndE)-CC UNITED BLUE</v>
      </c>
      <c r="F386" s="396" t="str">
        <f>'14U BOYS GOLD-26 TEAMS'!F81&amp;""</f>
        <v>9</v>
      </c>
      <c r="G386" s="396" t="str">
        <f>'14U BOYS GOLD-26 TEAMS'!G81&amp;""</f>
        <v>M4(2ndH)-SHAQ WHITE</v>
      </c>
      <c r="H386" s="396" t="str">
        <f>'14U BOYS GOLD-26 TEAMS'!H81&amp;""</f>
        <v>4</v>
      </c>
      <c r="I386" s="396" t="str">
        <f>'14U BOYS GOLD-26 TEAMS'!I81&amp;""</f>
        <v>9th16th</v>
      </c>
      <c r="J386" s="397" t="str">
        <f>'14U BOYS GOLD-26 TEAMS'!J81&amp;""</f>
        <v>14U_BOYS_GOLD</v>
      </c>
      <c r="K386" s="397" t="str">
        <f t="shared" si="7"/>
        <v>202602011020</v>
      </c>
    </row>
    <row r="387" spans="1:11">
      <c r="A387" s="394">
        <f>'14U BOYS GOLD-26 TEAMS'!A59</f>
        <v>46054</v>
      </c>
      <c r="B387" s="395">
        <f>'14U BOYS GOLD-26 TEAMS'!B59</f>
        <v>0.43055555555555602</v>
      </c>
      <c r="C387" s="396" t="str">
        <f>'14U BOYS GOLD-26 TEAMS'!C59&amp;""</f>
        <v>ESTANCIA HS 2</v>
      </c>
      <c r="D387" s="396" t="str">
        <f>'14U BOYS GOLD-26 TEAMS'!D59&amp;""</f>
        <v>14Bau30</v>
      </c>
      <c r="E387" s="397" t="str">
        <f>'14U BOYS GOLD-26 TEAMS'!E59&amp;""</f>
        <v>K2(1stF)-680 BLUE</v>
      </c>
      <c r="F387" s="397" t="str">
        <f>'14U BOYS GOLD-26 TEAMS'!F59&amp;""</f>
        <v>12</v>
      </c>
      <c r="G387" s="398" t="str">
        <f>'14U BOYS GOLD-26 TEAMS'!G59&amp;""</f>
        <v>K3(1stG)-VANGUARD SILVER</v>
      </c>
      <c r="H387" s="397" t="str">
        <f>'14U BOYS GOLD-26 TEAMS'!H59&amp;""</f>
        <v>15</v>
      </c>
      <c r="I387" s="396" t="str">
        <f>'14U BOYS GOLD-26 TEAMS'!I59&amp;""</f>
        <v>1st-8th</v>
      </c>
      <c r="J387" s="397" t="str">
        <f>'14U BOYS GOLD-26 TEAMS'!J59&amp;""</f>
        <v>14U_BOYS_GOLD</v>
      </c>
      <c r="K387" s="397" t="str">
        <f t="shared" si="7"/>
        <v>202602011020</v>
      </c>
    </row>
    <row r="388" spans="1:11">
      <c r="A388" s="394">
        <f>'14U BOYS GOLD-26 TEAMS'!A70</f>
        <v>46054</v>
      </c>
      <c r="B388" s="395">
        <f>'14U BOYS GOLD-26 TEAMS'!B70</f>
        <v>0.43055555555555602</v>
      </c>
      <c r="C388" s="396" t="str">
        <f>'14U BOYS GOLD-26 TEAMS'!C70&amp;""</f>
        <v>LAGUNA HILLS HS</v>
      </c>
      <c r="D388" s="396" t="str">
        <f>'14U BOYS GOLD-26 TEAMS'!D70&amp;""</f>
        <v>14Bau43</v>
      </c>
      <c r="E388" s="396" t="str">
        <f>'14U BOYS GOLD-26 TEAMS'!E70&amp;""</f>
        <v>P1(3rdF)-BOA</v>
      </c>
      <c r="F388" s="396" t="str">
        <f>'14U BOYS GOLD-26 TEAMS'!F70&amp;""</f>
        <v>6</v>
      </c>
      <c r="G388" s="396" t="str">
        <f>'14U BOYS GOLD-26 TEAMS'!G70&amp;""</f>
        <v>P4(4thH)-SOUTH COAST WHITE (B)</v>
      </c>
      <c r="H388" s="396" t="str">
        <f>'14U BOYS GOLD-26 TEAMS'!H70&amp;""</f>
        <v>11</v>
      </c>
      <c r="I388" s="396" t="str">
        <f>'14U BOYS GOLD-26 TEAMS'!I70&amp;""</f>
        <v>W/L P</v>
      </c>
      <c r="J388" s="397" t="str">
        <f>'14U BOYS GOLD-26 TEAMS'!J70&amp;""</f>
        <v>14U_BOYS_GOLD</v>
      </c>
      <c r="K388" s="397" t="str">
        <f t="shared" si="7"/>
        <v>202602011020</v>
      </c>
    </row>
    <row r="389" spans="1:11">
      <c r="A389" s="378">
        <f>'14U GIRLS GOLD-14 TEAMS'!A33</f>
        <v>46054</v>
      </c>
      <c r="B389" s="379">
        <f>'14U GIRLS GOLD-14 TEAMS'!B33</f>
        <v>0.43055555555555602</v>
      </c>
      <c r="C389" s="379" t="str">
        <f>'14U GIRLS GOLD-14 TEAMS'!C33&amp;""</f>
        <v>SAN CLEMENTE HS</v>
      </c>
      <c r="D389" s="380" t="str">
        <f>'14U GIRLS GOLD-14 TEAMS'!D33&amp;""</f>
        <v>14Gau26</v>
      </c>
      <c r="E389" s="380" t="str">
        <f>'14U GIRLS GOLD-14 TEAMS'!E33&amp;""</f>
        <v>4thC-CDM NAVY</v>
      </c>
      <c r="F389" s="380" t="str">
        <f>'14U GIRLS GOLD-14 TEAMS'!F33&amp;""</f>
        <v>9</v>
      </c>
      <c r="G389" s="380" t="str">
        <f>'14U GIRLS GOLD-14 TEAMS'!G33&amp;""</f>
        <v>4thD-LAMORINDA C</v>
      </c>
      <c r="H389" s="380" t="str">
        <f>'14U GIRLS GOLD-14 TEAMS'!H33&amp;""</f>
        <v>8</v>
      </c>
      <c r="I389" s="380" t="str">
        <f>'14U GIRLS GOLD-14 TEAMS'!I33&amp;""</f>
        <v>9th-14th 4C,4D</v>
      </c>
      <c r="J389" s="380" t="str">
        <f>'14U GIRLS GOLD-14 TEAMS'!J33&amp;""</f>
        <v>14U_GIRLS_GOLD</v>
      </c>
      <c r="K389" s="380" t="str">
        <f t="shared" si="7"/>
        <v>202602011020</v>
      </c>
    </row>
    <row r="390" spans="1:11">
      <c r="A390" s="399">
        <f>'14U BOYS PLATINUM-20 TEAMS'!A64</f>
        <v>46054</v>
      </c>
      <c r="B390" s="400">
        <f>'14U BOYS PLATINUM-20 TEAMS'!B64</f>
        <v>0.43055555555555602</v>
      </c>
      <c r="C390" s="400" t="str">
        <f>'14U BOYS PLATINUM-20 TEAMS'!C64&amp;""</f>
        <v>TUSTIN HS 1</v>
      </c>
      <c r="D390" s="401" t="str">
        <f>'14U BOYS PLATINUM-20 TEAMS'!D64&amp;""</f>
        <v>14Bpt36</v>
      </c>
      <c r="E390" s="401" t="str">
        <f>'14U BOYS PLATINUM-20 TEAMS'!E64&amp;""</f>
        <v>I1(3rdA)-680 RED</v>
      </c>
      <c r="F390" s="401" t="str">
        <f>'14U BOYS PLATINUM-20 TEAMS'!F64&amp;""</f>
        <v>10</v>
      </c>
      <c r="G390" s="401" t="str">
        <f>'14U BOYS PLATINUM-20 TEAMS'!G64&amp;""</f>
        <v>I4(4thE)-CC UNITED BLACK</v>
      </c>
      <c r="H390" s="401" t="str">
        <f>'14U BOYS PLATINUM-20 TEAMS'!H64&amp;""</f>
        <v>7</v>
      </c>
      <c r="I390" s="401" t="str">
        <f>'14U BOYS PLATINUM-20 TEAMS'!I64&amp;""</f>
        <v>W/L I</v>
      </c>
      <c r="J390" s="401" t="str">
        <f>'14U BOYS PLATINUM-20 TEAMS'!J64&amp;""</f>
        <v>14U_BOYS_PLATINUM</v>
      </c>
      <c r="K390" s="401" t="str">
        <f t="shared" si="7"/>
        <v>202602011020</v>
      </c>
    </row>
    <row r="391" spans="1:11">
      <c r="A391" s="357">
        <f>'12U BOYS GOLD-24 TEAMS'!A62</f>
        <v>46054</v>
      </c>
      <c r="B391" s="358">
        <f>'12U BOYS GOLD-24 TEAMS'!B62</f>
        <v>0.43055555555555602</v>
      </c>
      <c r="C391" s="358" t="str">
        <f>'12U BOYS GOLD-24 TEAMS'!C62&amp;""</f>
        <v>TUSTIN HS 2</v>
      </c>
      <c r="D391" s="359" t="str">
        <f>'12U BOYS GOLD-24 TEAMS'!D62&amp;""</f>
        <v>12Bau13A</v>
      </c>
      <c r="E391" s="360" t="str">
        <f>'12U BOYS GOLD-24 TEAMS'!E62&amp;""</f>
        <v>3rdE-CC UNITED WHITE</v>
      </c>
      <c r="F391" s="360" t="str">
        <f>'12U BOYS GOLD-24 TEAMS'!F62&amp;""</f>
        <v>3</v>
      </c>
      <c r="G391" s="359" t="str">
        <f>'12U BOYS GOLD-24 TEAMS'!G62&amp;""</f>
        <v>3rdH-AMERICAN RIVER BLUE</v>
      </c>
      <c r="H391" s="359" t="str">
        <f>'12U BOYS GOLD-24 TEAMS'!H62&amp;""</f>
        <v>5</v>
      </c>
      <c r="I391" s="359" t="str">
        <f>'12U BOYS GOLD-24 TEAMS'!I62&amp;""</f>
        <v>17-24 cross 3E/3H</v>
      </c>
      <c r="J391" s="359" t="str">
        <f>'12U BOYS GOLD-24 TEAMS'!J62&amp;""</f>
        <v>12U_BOYS_GOLD</v>
      </c>
      <c r="K391" s="359" t="str">
        <f t="shared" si="7"/>
        <v>202602011020</v>
      </c>
    </row>
    <row r="392" spans="1:11">
      <c r="A392" s="351">
        <f>'12U GIRLS PLATINUM-12 TEAMS'!A31</f>
        <v>46054</v>
      </c>
      <c r="B392" s="352">
        <f>'12U GIRLS PLATINUM-12 TEAMS'!B31</f>
        <v>0.43055555555555602</v>
      </c>
      <c r="C392" s="351" t="str">
        <f>'12U GIRLS PLATINUM-12 TEAMS'!C31&amp;""</f>
        <v>WOOLLETT FAR RIGHT</v>
      </c>
      <c r="D392" s="353" t="str">
        <f>'12U GIRLS PLATINUM-12 TEAMS'!D31&amp;""</f>
        <v>12Gpt13</v>
      </c>
      <c r="E392" s="351" t="str">
        <f>'12U GIRLS PLATINUM-12 TEAMS'!E31&amp;""</f>
        <v>1stA-BACK BAY NAVY</v>
      </c>
      <c r="F392" s="353" t="str">
        <f>'12U GIRLS PLATINUM-12 TEAMS'!F31&amp;""</f>
        <v>7</v>
      </c>
      <c r="G392" s="351" t="str">
        <f>'12U GIRLS PLATINUM-12 TEAMS'!G31&amp;""</f>
        <v>1stD-SHAQ</v>
      </c>
      <c r="H392" s="353" t="str">
        <f>'12U GIRLS PLATINUM-12 TEAMS'!H31&amp;""</f>
        <v>2</v>
      </c>
      <c r="I392" s="353" t="str">
        <f>'12U GIRLS PLATINUM-12 TEAMS'!I31&amp;""</f>
        <v>1-4 semi 1A/1D</v>
      </c>
      <c r="J392" s="353" t="str">
        <f>'12U GIRLS PLATINUM-12 TEAMS'!J31&amp;""</f>
        <v>12U_GIRLS_PLATINUM</v>
      </c>
      <c r="K392" s="353" t="str">
        <f t="shared" si="7"/>
        <v>202602011020</v>
      </c>
    </row>
    <row r="393" spans="1:11">
      <c r="A393" s="337">
        <f>'10U COED GOLD-16 TEAMS CUSTOM'!A35</f>
        <v>46054</v>
      </c>
      <c r="B393" s="338">
        <f>'10U COED GOLD-16 TEAMS CUSTOM'!B35</f>
        <v>0.45833333333333298</v>
      </c>
      <c r="C393" s="338" t="str">
        <f>'10U COED GOLD-16 TEAMS CUSTOM'!C35&amp;""</f>
        <v>BECKMAN HS 2</v>
      </c>
      <c r="D393" s="340" t="str">
        <f>'10U COED GOLD-16 TEAMS CUSTOM'!D35&amp;""</f>
        <v>10Cau23</v>
      </c>
      <c r="E393" s="340" t="str">
        <f>'10U COED GOLD-16 TEAMS CUSTOM'!E35&amp;""</f>
        <v>G1-LAMORINDA BLUE (A) (girls)</v>
      </c>
      <c r="F393" s="339" t="str">
        <f>'10U COED GOLD-16 TEAMS CUSTOM'!F35&amp;""</f>
        <v>19</v>
      </c>
      <c r="G393" s="339" t="str">
        <f>'10U COED GOLD-16 TEAMS CUSTOM'!G35&amp;""</f>
        <v>3rdB-DEL MAR WHITE</v>
      </c>
      <c r="H393" s="339" t="str">
        <f>'10U COED GOLD-16 TEAMS CUSTOM'!H35&amp;""</f>
        <v>0</v>
      </c>
      <c r="I393" s="339" t="str">
        <f>'10U COED GOLD-16 TEAMS CUSTOM'!I35&amp;""</f>
        <v>girls-coed interact</v>
      </c>
      <c r="J393" s="339" t="str">
        <f>'10U COED GOLD-16 TEAMS CUSTOM'!J35&amp;""</f>
        <v>10U_COED_GOLD</v>
      </c>
      <c r="K393" s="339" t="str">
        <f t="shared" si="7"/>
        <v>202602011100</v>
      </c>
    </row>
    <row r="394" spans="1:11">
      <c r="A394" s="406">
        <f>'16U BOYS SILVER-20 TEAMS'!A69</f>
        <v>46054</v>
      </c>
      <c r="B394" s="407">
        <f>'16U BOYS SILVER-20 TEAMS'!B69</f>
        <v>0.45833333333333298</v>
      </c>
      <c r="C394" s="407" t="str">
        <f>'16U BOYS SILVER-20 TEAMS'!C69&amp;""</f>
        <v>EDISON HS</v>
      </c>
      <c r="D394" s="408" t="str">
        <f>'16U BOYS SILVER-20 TEAMS'!D69&amp;""</f>
        <v>16Bag41</v>
      </c>
      <c r="E394" s="408" t="str">
        <f>'16U BOYS SILVER-20 TEAMS'!E69&amp;""</f>
        <v>W#33-LOYOLA WPC</v>
      </c>
      <c r="F394" s="408" t="str">
        <f>'16U BOYS SILVER-20 TEAMS'!F69&amp;""</f>
        <v>8</v>
      </c>
      <c r="G394" s="408" t="str">
        <f>'16U BOYS SILVER-20 TEAMS'!G69&amp;""</f>
        <v>W#35-SET</v>
      </c>
      <c r="H394" s="408" t="str">
        <f>'16U BOYS SILVER-20 TEAMS'!H69&amp;""</f>
        <v>7</v>
      </c>
      <c r="I394" s="408" t="str">
        <f>'16U BOYS SILVER-20 TEAMS'!I69&amp;""</f>
        <v>1st/2ndL</v>
      </c>
      <c r="J394" s="408" t="str">
        <f>'16U BOYS SILVER-20 TEAMS'!J69&amp;""</f>
        <v>16U_BOYS_SILVER</v>
      </c>
      <c r="K394" s="408" t="str">
        <f t="shared" si="7"/>
        <v>202602011100</v>
      </c>
    </row>
    <row r="395" spans="1:11">
      <c r="A395" s="337">
        <f>'10U COED GOLD-16 TEAMS CUSTOM'!A36</f>
        <v>46054</v>
      </c>
      <c r="B395" s="338">
        <f>'10U COED GOLD-16 TEAMS CUSTOM'!B36</f>
        <v>0.45833333333333298</v>
      </c>
      <c r="C395" s="338" t="str">
        <f>'10U COED GOLD-16 TEAMS CUSTOM'!C36&amp;""</f>
        <v>EL TORO HS 2</v>
      </c>
      <c r="D395" s="340" t="str">
        <f>'10U COED GOLD-16 TEAMS CUSTOM'!D36&amp;""</f>
        <v>10Cau25</v>
      </c>
      <c r="E395" s="340" t="str">
        <f>'10U COED GOLD-16 TEAMS CUSTOM'!E36&amp;""</f>
        <v>G3-680 RED (girls)</v>
      </c>
      <c r="F395" s="339" t="str">
        <f>'10U COED GOLD-16 TEAMS CUSTOM'!F36&amp;""</f>
        <v>17</v>
      </c>
      <c r="G395" s="339" t="str">
        <f>'10U COED GOLD-16 TEAMS CUSTOM'!G36&amp;""</f>
        <v>3rdC-SOUTH COAST RED</v>
      </c>
      <c r="H395" s="339" t="str">
        <f>'10U COED GOLD-16 TEAMS CUSTOM'!H36&amp;""</f>
        <v>16</v>
      </c>
      <c r="I395" s="339" t="str">
        <f>'10U COED GOLD-16 TEAMS CUSTOM'!I36&amp;""</f>
        <v>girls-coed interact</v>
      </c>
      <c r="J395" s="339" t="str">
        <f>'10U COED GOLD-16 TEAMS CUSTOM'!J36&amp;""</f>
        <v>10U_COED_GOLD</v>
      </c>
      <c r="K395" s="339" t="str">
        <f t="shared" si="7"/>
        <v>202602011100</v>
      </c>
    </row>
    <row r="396" spans="1:11">
      <c r="A396" s="432">
        <f>'19U BOYS GOLD-16 TEAMS'!A29</f>
        <v>46054</v>
      </c>
      <c r="B396" s="433">
        <f>'19U BOYS GOLD-16 TEAMS'!B29</f>
        <v>0.45833333333333298</v>
      </c>
      <c r="C396" s="433" t="str">
        <f>'19U BOYS GOLD-16 TEAMS'!C29&amp;""</f>
        <v>ESTANCIA HS 1</v>
      </c>
      <c r="D396" s="434" t="str">
        <f>'19U BOYS GOLD-16 TEAMS'!D29&amp;""</f>
        <v>19Bau30</v>
      </c>
      <c r="E396" s="434" t="str">
        <f>'19U BOYS GOLD-16 TEAMS'!E29&amp;""</f>
        <v>4thC-MARIN</v>
      </c>
      <c r="F396" s="434" t="str">
        <f>'19U BOYS GOLD-16 TEAMS'!F29&amp;""</f>
        <v>11</v>
      </c>
      <c r="G396" s="434" t="str">
        <f>'19U BOYS GOLD-16 TEAMS'!G29&amp;""</f>
        <v>4thB-PASADENA AC</v>
      </c>
      <c r="H396" s="434" t="str">
        <f>'19U BOYS GOLD-16 TEAMS'!H29&amp;""</f>
        <v>13</v>
      </c>
      <c r="I396" s="434" t="str">
        <f>'19U BOYS GOLD-16 TEAMS'!I29&amp;""</f>
        <v>13-16 semi</v>
      </c>
      <c r="J396" s="434" t="str">
        <f>'19U BOYS GOLD-16 TEAMS'!J29&amp;""</f>
        <v>19U_BOYS_GOLD</v>
      </c>
      <c r="K396" s="434" t="str">
        <f t="shared" si="7"/>
        <v>202602011100</v>
      </c>
    </row>
    <row r="397" spans="1:11">
      <c r="A397" s="413">
        <f>'16U BOYS GOLD-19 TEAMS'!A64</f>
        <v>46054</v>
      </c>
      <c r="B397" s="414">
        <f>'16U BOYS GOLD-19 TEAMS'!B64</f>
        <v>0.45833333333333298</v>
      </c>
      <c r="C397" s="414" t="str">
        <f>'16U BOYS GOLD-19 TEAMS'!C64&amp;""</f>
        <v>SADDLEBACK COLLEGE</v>
      </c>
      <c r="D397" s="415" t="str">
        <f>'16U BOYS GOLD-19 TEAMS'!D64&amp;""</f>
        <v>16Bau35</v>
      </c>
      <c r="E397" s="416" t="str">
        <f>'16U BOYS GOLD-19 TEAMS'!E64&amp;""</f>
        <v>J2(2ndE)-STANFORD BLACK</v>
      </c>
      <c r="F397" s="417" t="str">
        <f>'16U BOYS GOLD-19 TEAMS'!F64&amp;""</f>
        <v>10</v>
      </c>
      <c r="G397" s="416" t="str">
        <f>'16U BOYS GOLD-19 TEAMS'!G64&amp;""</f>
        <v>J3(2ndF)-680 BLUE</v>
      </c>
      <c r="H397" s="417" t="str">
        <f>'16U BOYS GOLD-19 TEAMS'!H64&amp;""</f>
        <v>3</v>
      </c>
      <c r="I397" s="418" t="str">
        <f>'16U BOYS GOLD-19 TEAMS'!I64&amp;""</f>
        <v>J bracket J2,J3</v>
      </c>
      <c r="J397" s="415" t="str">
        <f>'16U BOYS GOLD-19 TEAMS'!J64&amp;""</f>
        <v>16U_BOYS_GOLD</v>
      </c>
      <c r="K397" s="415" t="str">
        <f t="shared" si="7"/>
        <v>202602011100</v>
      </c>
    </row>
    <row r="398" spans="1:11">
      <c r="A398" s="410">
        <f>'16U BOYS GOLD-19 TEAMS'!A52</f>
        <v>46054</v>
      </c>
      <c r="B398" s="411">
        <f>'16U BOYS GOLD-19 TEAMS'!B52</f>
        <v>0.45833333333333298</v>
      </c>
      <c r="C398" s="411" t="str">
        <f>'16U BOYS GOLD-19 TEAMS'!C52&amp;""</f>
        <v>SAN JUAN HILLS HS</v>
      </c>
      <c r="D398" s="412" t="str">
        <f>'16U BOYS GOLD-19 TEAMS'!D52&amp;""</f>
        <v>16Bau24</v>
      </c>
      <c r="E398" s="412" t="str">
        <f>'16U BOYS GOLD-19 TEAMS'!E52&amp;""</f>
        <v>H1(1stD)-CC UNITED BLUE</v>
      </c>
      <c r="F398" s="412" t="str">
        <f>'16U BOYS GOLD-19 TEAMS'!F52&amp;""</f>
        <v>11</v>
      </c>
      <c r="G398" s="412" t="str">
        <f>'16U BOYS GOLD-19 TEAMS'!G52&amp;""</f>
        <v>H2(1stE)-CT PREMIER</v>
      </c>
      <c r="H398" s="412" t="str">
        <f>'16U BOYS GOLD-19 TEAMS'!H52&amp;""</f>
        <v>13</v>
      </c>
      <c r="I398" s="412" t="str">
        <f>'16U BOYS GOLD-19 TEAMS'!I52&amp;""</f>
        <v>H bracket H1,H2</v>
      </c>
      <c r="J398" s="412" t="str">
        <f>'16U BOYS GOLD-19 TEAMS'!J52&amp;""</f>
        <v>16U_BOYS_GOLD</v>
      </c>
      <c r="K398" s="412" t="str">
        <f t="shared" si="7"/>
        <v>202602011100</v>
      </c>
    </row>
    <row r="399" spans="1:11">
      <c r="A399" s="406">
        <f>'16U BOYS SILVER-20 TEAMS'!A55</f>
        <v>46054</v>
      </c>
      <c r="B399" s="407">
        <f>'16U BOYS SILVER-20 TEAMS'!B55</f>
        <v>0.45833333333333298</v>
      </c>
      <c r="C399" s="407" t="str">
        <f>'16U BOYS SILVER-20 TEAMS'!C55&amp;""</f>
        <v>SONORA HS</v>
      </c>
      <c r="D399" s="408" t="str">
        <f>'16U BOYS SILVER-20 TEAMS'!D55&amp;""</f>
        <v>16Bag28</v>
      </c>
      <c r="E399" s="408" t="str">
        <f>'16U BOYS SILVER-20 TEAMS'!E55&amp;""</f>
        <v>G1(1stA)-MID PEN</v>
      </c>
      <c r="F399" s="408" t="str">
        <f>'16U BOYS SILVER-20 TEAMS'!F55&amp;""</f>
        <v>6</v>
      </c>
      <c r="G399" s="408" t="str">
        <f>'16U BOYS SILVER-20 TEAMS'!G55&amp;""</f>
        <v>G2(1stB)-SANTA CRUZ</v>
      </c>
      <c r="H399" s="408" t="str">
        <f>'16U BOYS SILVER-20 TEAMS'!H55&amp;""</f>
        <v>11</v>
      </c>
      <c r="I399" s="408" t="str">
        <f>'16U BOYS SILVER-20 TEAMS'!I55&amp;""</f>
        <v>G bracket</v>
      </c>
      <c r="J399" s="408" t="str">
        <f>'16U BOYS SILVER-20 TEAMS'!J55&amp;""</f>
        <v>16U_BOYS_SILVER</v>
      </c>
      <c r="K399" s="408" t="str">
        <f t="shared" si="7"/>
        <v>202602011100</v>
      </c>
    </row>
    <row r="400" spans="1:11">
      <c r="A400" s="406">
        <f>'16U BOYS SILVER-20 TEAMS'!A68</f>
        <v>46054</v>
      </c>
      <c r="B400" s="407">
        <f>'16U BOYS SILVER-20 TEAMS'!B68</f>
        <v>0.45833333333333298</v>
      </c>
      <c r="C400" s="407" t="str">
        <f>'16U BOYS SILVER-20 TEAMS'!C68&amp;""</f>
        <v>WESTMINSTER HS</v>
      </c>
      <c r="D400" s="408" t="str">
        <f>'16U BOYS SILVER-20 TEAMS'!D68&amp;""</f>
        <v>16Bag38</v>
      </c>
      <c r="E400" s="408" t="str">
        <f>'16U BOYS SILVER-20 TEAMS'!E68&amp;""</f>
        <v>W#36-SHORE AQUATICS</v>
      </c>
      <c r="F400" s="408" t="str">
        <f>'16U BOYS SILVER-20 TEAMS'!F68&amp;""</f>
        <v>8</v>
      </c>
      <c r="G400" s="408" t="str">
        <f>'16U BOYS SILVER-20 TEAMS'!G68&amp;""</f>
        <v>W#37-SAN JOSE EXPRESS GOLD</v>
      </c>
      <c r="H400" s="408" t="str">
        <f>'16U BOYS SILVER-20 TEAMS'!H68&amp;""</f>
        <v>11</v>
      </c>
      <c r="I400" s="408" t="str">
        <f>'16U BOYS SILVER-20 TEAMS'!I68&amp;""</f>
        <v>1st/2ndI</v>
      </c>
      <c r="J400" s="408" t="str">
        <f>'16U BOYS SILVER-20 TEAMS'!J68&amp;""</f>
        <v>16U_BOYS_SILVER</v>
      </c>
      <c r="K400" s="408" t="str">
        <f t="shared" si="7"/>
        <v>202602011100</v>
      </c>
    </row>
    <row r="401" spans="1:11">
      <c r="A401" s="341">
        <f>'10U COED PLATINUM-8 TEAMS'!A24</f>
        <v>46054</v>
      </c>
      <c r="B401" s="342">
        <f>'10U COED PLATINUM-8 TEAMS'!B24</f>
        <v>0.45833333333333298</v>
      </c>
      <c r="C401" s="343" t="str">
        <f>'10U COED PLATINUM-8 TEAMS'!C24&amp;""</f>
        <v>WOOLLETT FAR LEFT</v>
      </c>
      <c r="D401" s="343" t="str">
        <f>'10U COED PLATINUM-8 TEAMS'!D24&amp;""</f>
        <v>10Cpt11</v>
      </c>
      <c r="E401" s="343" t="str">
        <f>'10U COED PLATINUM-8 TEAMS'!E24&amp;""</f>
        <v>B1-ORANGE COUNTY WPC BLUE</v>
      </c>
      <c r="F401" s="343" t="str">
        <f>'10U COED PLATINUM-8 TEAMS'!F24&amp;""</f>
        <v>18</v>
      </c>
      <c r="G401" s="343" t="str">
        <f>'10U COED PLATINUM-8 TEAMS'!G24&amp;""</f>
        <v>B2-CHULA VISTA PREMIER</v>
      </c>
      <c r="H401" s="343" t="str">
        <f>'10U COED PLATINUM-8 TEAMS'!H24&amp;""</f>
        <v>10</v>
      </c>
      <c r="I401" s="343" t="str">
        <f>'10U COED PLATINUM-8 TEAMS'!I24&amp;""</f>
        <v>bracket, B1/B2</v>
      </c>
      <c r="J401" s="343" t="str">
        <f>'10U COED PLATINUM-8 TEAMS'!J24&amp;""</f>
        <v>10U_COED_PLATINUM</v>
      </c>
      <c r="K401" s="343" t="str">
        <f t="shared" si="7"/>
        <v>202602011100</v>
      </c>
    </row>
    <row r="402" spans="1:11">
      <c r="A402" s="435">
        <f>'19U BOYS PLATINUM-27 TEAMS'!A63</f>
        <v>46054</v>
      </c>
      <c r="B402" s="436">
        <f>'19U BOYS PLATINUM-27 TEAMS'!B63</f>
        <v>0.45833333333333298</v>
      </c>
      <c r="C402" s="437" t="str">
        <f>'19U BOYS PLATINUM-27 TEAMS'!C63&amp;""</f>
        <v>WOOLLETT NEAR LEFT</v>
      </c>
      <c r="D402" s="437" t="str">
        <f>'19U BOYS PLATINUM-27 TEAMS'!D63&amp;""</f>
        <v>19Bpt31</v>
      </c>
      <c r="E402" s="438" t="str">
        <f>'19U BOYS PLATINUM-27 TEAMS'!E63&amp;""</f>
        <v>K2(1stF)-FOOTHILL RED</v>
      </c>
      <c r="F402" s="438" t="str">
        <f>'19U BOYS PLATINUM-27 TEAMS'!F63&amp;""</f>
        <v>7</v>
      </c>
      <c r="G402" s="438" t="str">
        <f>'19U BOYS PLATINUM-27 TEAMS'!G63&amp;""</f>
        <v>K3(1stG)-CHANNEL ISLANDS UNITED TEAL</v>
      </c>
      <c r="H402" s="438" t="str">
        <f>'19U BOYS PLATINUM-27 TEAMS'!H63&amp;""</f>
        <v>15</v>
      </c>
      <c r="I402" s="437" t="str">
        <f>'19U BOYS PLATINUM-27 TEAMS'!I63&amp;""</f>
        <v>1st-8th</v>
      </c>
      <c r="J402" s="438" t="str">
        <f>'19U BOYS PLATINUM-27 TEAMS'!J63&amp;""</f>
        <v>19U_BOYS_PLATINUM</v>
      </c>
      <c r="K402" s="438" t="str">
        <f t="shared" si="7"/>
        <v>202602011100</v>
      </c>
    </row>
    <row r="403" spans="1:11">
      <c r="A403" s="421">
        <f>'16U BOYS PLATINUM-18 TEAMS'!A48</f>
        <v>46054</v>
      </c>
      <c r="B403" s="422">
        <f>'16U BOYS PLATINUM-18 TEAMS'!B48</f>
        <v>0.45833333333333298</v>
      </c>
      <c r="C403" s="422" t="str">
        <f>'16U BOYS PLATINUM-18 TEAMS'!C48&amp;""</f>
        <v>WOOLLETT NEAR RIGHT</v>
      </c>
      <c r="D403" s="422" t="str">
        <f>'16U BOYS PLATINUM-18 TEAMS'!D48&amp;""</f>
        <v>16Bpt27</v>
      </c>
      <c r="E403" s="423" t="str">
        <f>'16U BOYS PLATINUM-18 TEAMS'!E48&amp;""</f>
        <v>H1(1stD)-LAMORINDA A</v>
      </c>
      <c r="F403" s="424" t="str">
        <f>'16U BOYS PLATINUM-18 TEAMS'!F48&amp;""</f>
        <v>18</v>
      </c>
      <c r="G403" s="425" t="str">
        <f>'16U BOYS PLATINUM-18 TEAMS'!G48&amp;""</f>
        <v>H3(1stF)-SD SHORES BLACK</v>
      </c>
      <c r="H403" s="427" t="str">
        <f>'16U BOYS PLATINUM-18 TEAMS'!H48&amp;""</f>
        <v>11</v>
      </c>
      <c r="I403" s="425" t="str">
        <f>'16U BOYS PLATINUM-18 TEAMS'!I48&amp;""</f>
        <v>1st-6th</v>
      </c>
      <c r="J403" s="426" t="str">
        <f>'16U BOYS PLATINUM-18 TEAMS'!J48&amp;""</f>
        <v>16U_BOYS_PLATINUM</v>
      </c>
      <c r="K403" s="426" t="str">
        <f t="shared" si="7"/>
        <v>202602011100</v>
      </c>
    </row>
    <row r="404" spans="1:11">
      <c r="A404" s="435">
        <f>'19U BOYS PLATINUM-27 TEAMS'!A74</f>
        <v>46054</v>
      </c>
      <c r="B404" s="436">
        <f>'19U BOYS PLATINUM-27 TEAMS'!B74</f>
        <v>0.45833333333333298</v>
      </c>
      <c r="C404" s="437" t="str">
        <f>'19U BOYS PLATINUM-27 TEAMS'!C74&amp;""</f>
        <v>YORBA LINDA HS</v>
      </c>
      <c r="D404" s="437" t="str">
        <f>'19U BOYS PLATINUM-27 TEAMS'!D74&amp;""</f>
        <v>19Bpt41</v>
      </c>
      <c r="E404" s="438" t="str">
        <f>'19U BOYS PLATINUM-27 TEAMS'!E74&amp;""</f>
        <v>P2(3rdB)-IMPERIAL BLUE</v>
      </c>
      <c r="F404" s="438" t="str">
        <f>'19U BOYS PLATINUM-27 TEAMS'!F74&amp;""</f>
        <v>13</v>
      </c>
      <c r="G404" s="438" t="str">
        <f>'19U BOYS PLATINUM-27 TEAMS'!G74&amp;""</f>
        <v>P3(4thD)-SUPREME</v>
      </c>
      <c r="H404" s="438" t="str">
        <f>'19U BOYS PLATINUM-27 TEAMS'!H74&amp;""</f>
        <v>9</v>
      </c>
      <c r="I404" s="437" t="str">
        <f>'19U BOYS PLATINUM-27 TEAMS'!I74&amp;""</f>
        <v>W/L P</v>
      </c>
      <c r="J404" s="438" t="str">
        <f>'19U BOYS PLATINUM-27 TEAMS'!J74&amp;""</f>
        <v>19U_BOYS_PLATINUM</v>
      </c>
      <c r="K404" s="438" t="str">
        <f t="shared" si="7"/>
        <v>202602011100</v>
      </c>
    </row>
    <row r="405" spans="1:11">
      <c r="A405" s="382">
        <f>'14U GIRLS PLATINUM-10 TEAMS'!A28</f>
        <v>46054</v>
      </c>
      <c r="B405" s="383">
        <f>'14U GIRLS PLATINUM-10 TEAMS'!B28</f>
        <v>0.46527777777777801</v>
      </c>
      <c r="C405" s="383" t="str">
        <f>'14U GIRLS PLATINUM-10 TEAMS'!C28&amp;""</f>
        <v>ALISO NIGUEL HS</v>
      </c>
      <c r="D405" s="384" t="str">
        <f>'14U GIRLS PLATINUM-10 TEAMS'!D28&amp;""</f>
        <v>14Gpt16</v>
      </c>
      <c r="E405" s="384" t="str">
        <f>'14U GIRLS PLATINUM-10 TEAMS'!E28&amp;""</f>
        <v>1stB-PATRIOT RED</v>
      </c>
      <c r="F405" s="384" t="str">
        <f>'14U GIRLS PLATINUM-10 TEAMS'!F28&amp;""</f>
        <v>9</v>
      </c>
      <c r="G405" s="384" t="str">
        <f>'14U GIRLS PLATINUM-10 TEAMS'!G28&amp;""</f>
        <v>1stC-SANTA CRUZ BLACK</v>
      </c>
      <c r="H405" s="384" t="str">
        <f>'14U GIRLS PLATINUM-10 TEAMS'!H28&amp;""</f>
        <v>12</v>
      </c>
      <c r="I405" s="384" t="str">
        <f>'14U GIRLS PLATINUM-10 TEAMS'!I28&amp;""</f>
        <v>1-4 semi 1B/1C</v>
      </c>
      <c r="J405" s="384" t="str">
        <f>'14U GIRLS PLATINUM-10 TEAMS'!J28&amp;""</f>
        <v>14U_GIRLS_PLATINUM</v>
      </c>
      <c r="K405" s="384" t="str">
        <f t="shared" si="7"/>
        <v>202602011110</v>
      </c>
    </row>
    <row r="406" spans="1:11">
      <c r="A406" s="370">
        <f>'12U BOYS PLATINUM-10 TEAMS'!A30</f>
        <v>46054</v>
      </c>
      <c r="B406" s="371">
        <f>'12U BOYS PLATINUM-10 TEAMS'!B30</f>
        <v>0.46527777777777801</v>
      </c>
      <c r="C406" s="371" t="str">
        <f>'12U BOYS PLATINUM-10 TEAMS'!C30&amp;""</f>
        <v>BECKMAN HS 1</v>
      </c>
      <c r="D406" s="373" t="str">
        <f>'12U BOYS PLATINUM-10 TEAMS'!D30&amp;""</f>
        <v>12Bpt16</v>
      </c>
      <c r="E406" s="373" t="str">
        <f>'12U BOYS PLATINUM-10 TEAMS'!E30&amp;""</f>
        <v>1stB-CC UNITED BLACK</v>
      </c>
      <c r="F406" s="373" t="str">
        <f>'12U BOYS PLATINUM-10 TEAMS'!F30&amp;""</f>
        <v>9</v>
      </c>
      <c r="G406" s="373" t="str">
        <f>'12U BOYS PLATINUM-10 TEAMS'!G30&amp;""</f>
        <v>1stC-STANFORD RED</v>
      </c>
      <c r="H406" s="373" t="str">
        <f>'12U BOYS PLATINUM-10 TEAMS'!H30&amp;""</f>
        <v>12</v>
      </c>
      <c r="I406" s="373" t="str">
        <f>'12U BOYS PLATINUM-10 TEAMS'!I30&amp;""</f>
        <v>1-4 semi 1B/1C</v>
      </c>
      <c r="J406" s="373" t="str">
        <f>'12U BOYS PLATINUM-10 TEAMS'!J30&amp;""</f>
        <v>12U_BOYS_PLATINUM</v>
      </c>
      <c r="K406" s="373" t="str">
        <f t="shared" si="7"/>
        <v>202602011110</v>
      </c>
    </row>
    <row r="407" spans="1:11">
      <c r="A407" s="387">
        <f>'14U BOYS SILVER-18 TEAMS'!A48</f>
        <v>46054</v>
      </c>
      <c r="B407" s="388">
        <f>'14U BOYS SILVER-18 TEAMS'!B48</f>
        <v>0.46527777777777801</v>
      </c>
      <c r="C407" s="388" t="str">
        <f>'14U BOYS SILVER-18 TEAMS'!C48&amp;""</f>
        <v>COSTA MESA HS 1</v>
      </c>
      <c r="D407" s="389" t="str">
        <f>'14U BOYS SILVER-18 TEAMS'!D48&amp;""</f>
        <v>14Bag27</v>
      </c>
      <c r="E407" s="388" t="str">
        <f>'14U BOYS SILVER-18 TEAMS'!E48&amp;""</f>
        <v>H1(1stD)-SAND CANYON</v>
      </c>
      <c r="F407" s="392" t="str">
        <f>'14U BOYS SILVER-18 TEAMS'!F48&amp;""</f>
        <v>12</v>
      </c>
      <c r="G407" s="388" t="str">
        <f>'14U BOYS SILVER-18 TEAMS'!G48&amp;""</f>
        <v>H3(1stF)-680 WHITE</v>
      </c>
      <c r="H407" s="391" t="str">
        <f>'14U BOYS SILVER-18 TEAMS'!H48&amp;""</f>
        <v>7</v>
      </c>
      <c r="I407" s="392" t="str">
        <f>'14U BOYS SILVER-18 TEAMS'!I48&amp;""</f>
        <v>1st-6th</v>
      </c>
      <c r="J407" s="389" t="str">
        <f>'14U BOYS SILVER-18 TEAMS'!J48&amp;""</f>
        <v>14U_BOYS_SILVER</v>
      </c>
      <c r="K407" s="389" t="str">
        <f t="shared" si="7"/>
        <v>202602011110</v>
      </c>
    </row>
    <row r="408" spans="1:11">
      <c r="A408" s="357">
        <f>'12U BOYS GOLD-24 TEAMS'!A48</f>
        <v>46054</v>
      </c>
      <c r="B408" s="358">
        <f>'12U BOYS GOLD-24 TEAMS'!B48</f>
        <v>0.46527777777777801</v>
      </c>
      <c r="C408" s="358" t="str">
        <f>'12U BOYS GOLD-24 TEAMS'!C48&amp;""</f>
        <v>COSTA MESA HS 2</v>
      </c>
      <c r="D408" s="359" t="str">
        <f>'12U BOYS GOLD-24 TEAMS'!D48&amp;""</f>
        <v>12Bau14A</v>
      </c>
      <c r="E408" s="360" t="str">
        <f>'12U BOYS GOLD-24 TEAMS'!E48&amp;""</f>
        <v>3rdF-PATRIOT 10 NAVY</v>
      </c>
      <c r="F408" s="363" t="str">
        <f>'12U BOYS GOLD-24 TEAMS'!F48&amp;""</f>
        <v>13</v>
      </c>
      <c r="G408" s="359" t="str">
        <f>'12U BOYS GOLD-24 TEAMS'!G48&amp;""</f>
        <v>3rdG-NORTH IRVINE WHITE</v>
      </c>
      <c r="H408" s="359" t="str">
        <f>'12U BOYS GOLD-24 TEAMS'!H48&amp;""</f>
        <v>2</v>
      </c>
      <c r="I408" s="359" t="str">
        <f>'12U BOYS GOLD-24 TEAMS'!I48&amp;""</f>
        <v>17-24 cross 3F/3G</v>
      </c>
      <c r="J408" s="359" t="str">
        <f>'12U BOYS GOLD-24 TEAMS'!J48&amp;""</f>
        <v>12U_BOYS_GOLD</v>
      </c>
      <c r="K408" s="359" t="str">
        <f t="shared" si="7"/>
        <v>202602011110</v>
      </c>
    </row>
    <row r="409" spans="1:11">
      <c r="A409" s="399">
        <f>'14U BOYS PLATINUM-20 TEAMS'!A52</f>
        <v>46054</v>
      </c>
      <c r="B409" s="400">
        <f>'14U BOYS PLATINUM-20 TEAMS'!B52</f>
        <v>0.46527777777777801</v>
      </c>
      <c r="C409" s="400" t="str">
        <f>'14U BOYS PLATINUM-20 TEAMS'!C52&amp;""</f>
        <v>EL TORO HS 1</v>
      </c>
      <c r="D409" s="401" t="str">
        <f>'14U BOYS PLATINUM-20 TEAMS'!D52&amp;""</f>
        <v>14Bpt27</v>
      </c>
      <c r="E409" s="401" t="str">
        <f>'14U BOYS PLATINUM-20 TEAMS'!E52&amp;""</f>
        <v>K2(2ndE)-ORANGE COUNTY WPC BLUE</v>
      </c>
      <c r="F409" s="401" t="str">
        <f>'14U BOYS PLATINUM-20 TEAMS'!F52&amp;""</f>
        <v>10</v>
      </c>
      <c r="G409" s="401" t="str">
        <f>'14U BOYS PLATINUM-20 TEAMS'!G52&amp;""</f>
        <v>K3(2ndF)-LA PREMIER</v>
      </c>
      <c r="H409" s="401" t="str">
        <f>'14U BOYS PLATINUM-20 TEAMS'!H52&amp;""</f>
        <v>12</v>
      </c>
      <c r="I409" s="401" t="str">
        <f>'14U BOYS PLATINUM-20 TEAMS'!I52&amp;""</f>
        <v>K bracket</v>
      </c>
      <c r="J409" s="401" t="str">
        <f>'14U BOYS PLATINUM-20 TEAMS'!J52&amp;""</f>
        <v>14U_BOYS_PLATINUM</v>
      </c>
      <c r="K409" s="401" t="str">
        <f t="shared" si="7"/>
        <v>202602011110</v>
      </c>
    </row>
    <row r="410" spans="1:11">
      <c r="A410" s="394">
        <f>'14U BOYS GOLD-26 TEAMS'!A82</f>
        <v>46054</v>
      </c>
      <c r="B410" s="395">
        <f>'14U BOYS GOLD-26 TEAMS'!B82</f>
        <v>0.46527777777777801</v>
      </c>
      <c r="C410" s="396" t="str">
        <f>'14U BOYS GOLD-26 TEAMS'!C82&amp;""</f>
        <v>ESPERANZA HS</v>
      </c>
      <c r="D410" s="396" t="str">
        <f>'14U BOYS GOLD-26 TEAMS'!D82&amp;""</f>
        <v>14Bau34</v>
      </c>
      <c r="E410" s="397" t="str">
        <f>'14U BOYS GOLD-26 TEAMS'!E82&amp;""</f>
        <v>M2(2ndF)-CT PREMIER</v>
      </c>
      <c r="F410" s="397" t="str">
        <f>'14U BOYS GOLD-26 TEAMS'!F82&amp;""</f>
        <v>12</v>
      </c>
      <c r="G410" s="398" t="str">
        <f>'14U BOYS GOLD-26 TEAMS'!G82&amp;""</f>
        <v xml:space="preserve">M3(2ndG)-LAMORINDA B	</v>
      </c>
      <c r="H410" s="397" t="str">
        <f>'14U BOYS GOLD-26 TEAMS'!H82&amp;""</f>
        <v>14</v>
      </c>
      <c r="I410" s="396" t="str">
        <f>'14U BOYS GOLD-26 TEAMS'!I82&amp;""</f>
        <v>9th16th</v>
      </c>
      <c r="J410" s="397" t="str">
        <f>'14U BOYS GOLD-26 TEAMS'!J82&amp;""</f>
        <v>14U_BOYS_GOLD</v>
      </c>
      <c r="K410" s="397" t="str">
        <f t="shared" si="7"/>
        <v>202602011110</v>
      </c>
    </row>
    <row r="411" spans="1:11">
      <c r="A411" s="394">
        <f>'14U BOYS GOLD-26 TEAMS'!A60</f>
        <v>46054</v>
      </c>
      <c r="B411" s="395">
        <f>'14U BOYS GOLD-26 TEAMS'!B60</f>
        <v>0.46527777777777801</v>
      </c>
      <c r="C411" s="396" t="str">
        <f>'14U BOYS GOLD-26 TEAMS'!C60&amp;""</f>
        <v>ESTANCIA HS 2</v>
      </c>
      <c r="D411" s="396" t="str">
        <f>'14U BOYS GOLD-26 TEAMS'!D60&amp;""</f>
        <v>14Bau37</v>
      </c>
      <c r="E411" s="397" t="str">
        <f>'14U BOYS GOLD-26 TEAMS'!E60&amp;""</f>
        <v>W#27-SHORE AQUATICS</v>
      </c>
      <c r="F411" s="397" t="str">
        <f>'14U BOYS GOLD-26 TEAMS'!F60&amp;""</f>
        <v>14</v>
      </c>
      <c r="G411" s="397" t="str">
        <f>'14U BOYS GOLD-26 TEAMS'!G60&amp;""</f>
        <v>W#28-NORTHWEST</v>
      </c>
      <c r="H411" s="397" t="str">
        <f>'14U BOYS GOLD-26 TEAMS'!H60&amp;""</f>
        <v>3</v>
      </c>
      <c r="I411" s="396" t="str">
        <f>'14U BOYS GOLD-26 TEAMS'!I60&amp;""</f>
        <v>1st/2ndJ</v>
      </c>
      <c r="J411" s="397" t="str">
        <f>'14U BOYS GOLD-26 TEAMS'!J60&amp;""</f>
        <v>14U_BOYS_GOLD</v>
      </c>
      <c r="K411" s="397" t="str">
        <f t="shared" si="7"/>
        <v>202602011110</v>
      </c>
    </row>
    <row r="412" spans="1:11">
      <c r="A412" s="394">
        <f>'14U BOYS GOLD-26 TEAMS'!A71</f>
        <v>46054</v>
      </c>
      <c r="B412" s="395">
        <f>'14U BOYS GOLD-26 TEAMS'!B71</f>
        <v>0.46527777777777801</v>
      </c>
      <c r="C412" s="396" t="str">
        <f>'14U BOYS GOLD-26 TEAMS'!C71&amp;""</f>
        <v>LAGUNA HILLS HS</v>
      </c>
      <c r="D412" s="396" t="str">
        <f>'14U BOYS GOLD-26 TEAMS'!D71&amp;""</f>
        <v>14Bau44</v>
      </c>
      <c r="E412" s="397" t="str">
        <f>'14U BOYS GOLD-26 TEAMS'!E71&amp;""</f>
        <v>P2(3rdB)-LA JOLLA UNITED GOLD</v>
      </c>
      <c r="F412" s="397" t="str">
        <f>'14U BOYS GOLD-26 TEAMS'!F71&amp;""</f>
        <v>14</v>
      </c>
      <c r="G412" s="398" t="str">
        <f>'14U BOYS GOLD-26 TEAMS'!G71&amp;""</f>
        <v>P3(4thD)-STANFORD BLACK</v>
      </c>
      <c r="H412" s="397" t="str">
        <f>'14U BOYS GOLD-26 TEAMS'!H71&amp;""</f>
        <v>3</v>
      </c>
      <c r="I412" s="396" t="str">
        <f>'14U BOYS GOLD-26 TEAMS'!I71&amp;""</f>
        <v>W/L P</v>
      </c>
      <c r="J412" s="397" t="str">
        <f>'14U BOYS GOLD-26 TEAMS'!J71&amp;""</f>
        <v>14U_BOYS_GOLD</v>
      </c>
      <c r="K412" s="397" t="str">
        <f t="shared" si="7"/>
        <v>202602011110</v>
      </c>
    </row>
    <row r="413" spans="1:11">
      <c r="A413" s="378">
        <f>'14U GIRLS GOLD-14 TEAMS'!A34</f>
        <v>46054</v>
      </c>
      <c r="B413" s="379">
        <f>'14U GIRLS GOLD-14 TEAMS'!B34</f>
        <v>0.46527777777777801</v>
      </c>
      <c r="C413" s="379" t="str">
        <f>'14U GIRLS GOLD-14 TEAMS'!C34&amp;""</f>
        <v>SAN CLEMENTE HS</v>
      </c>
      <c r="D413" s="380" t="str">
        <f>'14U GIRLS GOLD-14 TEAMS'!D34&amp;""</f>
        <v>14Gau20</v>
      </c>
      <c r="E413" s="380" t="str">
        <f>'14U GIRLS GOLD-14 TEAMS'!E34&amp;""</f>
        <v>3rdC-PALOS VERDES</v>
      </c>
      <c r="F413" s="380" t="str">
        <f>'14U GIRLS GOLD-14 TEAMS'!F34&amp;""</f>
        <v>10</v>
      </c>
      <c r="G413" s="380" t="str">
        <f>'14U GIRLS GOLD-14 TEAMS'!G34&amp;""</f>
        <v>3rdD-NORTHWEST</v>
      </c>
      <c r="H413" s="380" t="str">
        <f>'14U GIRLS GOLD-14 TEAMS'!H34&amp;""</f>
        <v>3</v>
      </c>
      <c r="I413" s="380" t="str">
        <f>'14U GIRLS GOLD-14 TEAMS'!I34&amp;""</f>
        <v>9th-14th 3C,3D</v>
      </c>
      <c r="J413" s="380" t="str">
        <f>'14U GIRLS GOLD-14 TEAMS'!J34&amp;""</f>
        <v>14U_GIRLS_GOLD</v>
      </c>
      <c r="K413" s="380" t="str">
        <f t="shared" si="7"/>
        <v>202602011110</v>
      </c>
    </row>
    <row r="414" spans="1:11">
      <c r="A414" s="399">
        <f>'14U BOYS PLATINUM-20 TEAMS'!A65</f>
        <v>46054</v>
      </c>
      <c r="B414" s="400">
        <f>'14U BOYS PLATINUM-20 TEAMS'!B65</f>
        <v>0.46527777777777801</v>
      </c>
      <c r="C414" s="400" t="str">
        <f>'14U BOYS PLATINUM-20 TEAMS'!C65&amp;""</f>
        <v>TUSTIN HS 1</v>
      </c>
      <c r="D414" s="401" t="str">
        <f>'14U BOYS PLATINUM-20 TEAMS'!D65&amp;""</f>
        <v>14Bpt37</v>
      </c>
      <c r="E414" s="401" t="str">
        <f>'14U BOYS PLATINUM-20 TEAMS'!E65&amp;""</f>
        <v>I2(3rdB)-NORTH IRVINE BLACK</v>
      </c>
      <c r="F414" s="401" t="str">
        <f>'14U BOYS PLATINUM-20 TEAMS'!F65&amp;""</f>
        <v>9</v>
      </c>
      <c r="G414" s="401" t="str">
        <f>'14U BOYS PLATINUM-20 TEAMS'!G65&amp;""</f>
        <v>I3(3rdF)-SHAQ BLUE</v>
      </c>
      <c r="H414" s="401" t="str">
        <f>'14U BOYS PLATINUM-20 TEAMS'!H65&amp;""</f>
        <v>6</v>
      </c>
      <c r="I414" s="401" t="str">
        <f>'14U BOYS PLATINUM-20 TEAMS'!I65&amp;""</f>
        <v>W/L I</v>
      </c>
      <c r="J414" s="401" t="str">
        <f>'14U BOYS PLATINUM-20 TEAMS'!J65&amp;""</f>
        <v>14U_BOYS_PLATINUM</v>
      </c>
      <c r="K414" s="401" t="str">
        <f t="shared" si="7"/>
        <v>202602011110</v>
      </c>
    </row>
    <row r="415" spans="1:11">
      <c r="A415" s="375">
        <f>'12U COED-7 TEAMS'!A25</f>
        <v>46054</v>
      </c>
      <c r="B415" s="376">
        <f>'12U COED-7 TEAMS'!B25</f>
        <v>0.46527777777777801</v>
      </c>
      <c r="C415" s="377" t="str">
        <f>'12U COED-7 TEAMS'!C25&amp;""</f>
        <v>TUSTIN HS 2</v>
      </c>
      <c r="D415" s="377" t="str">
        <f>'12U COED-7 TEAMS'!D25&amp;""</f>
        <v>12C10</v>
      </c>
      <c r="E415" s="377" t="str">
        <f>'12U COED-7 TEAMS'!E25&amp;""</f>
        <v>3rdA-CMAC</v>
      </c>
      <c r="F415" s="377" t="str">
        <f>'12U COED-7 TEAMS'!F25&amp;""</f>
        <v>16</v>
      </c>
      <c r="G415" s="377" t="str">
        <f>'12U COED-7 TEAMS'!G25&amp;""</f>
        <v>4thB-LOYOLA WPC</v>
      </c>
      <c r="H415" s="377" t="str">
        <f>'12U COED-7 TEAMS'!H25&amp;""</f>
        <v>1</v>
      </c>
      <c r="I415" s="377" t="str">
        <f>'12U COED-7 TEAMS'!I25&amp;""</f>
        <v>5th-7th</v>
      </c>
      <c r="J415" s="377" t="str">
        <f>'12U COED-7 TEAMS'!J25&amp;""</f>
        <v>12U_COED</v>
      </c>
      <c r="K415" s="377" t="str">
        <f t="shared" si="7"/>
        <v>202602011110</v>
      </c>
    </row>
    <row r="416" spans="1:11">
      <c r="A416" s="351">
        <f>'12U GIRLS PLATINUM-12 TEAMS'!A32</f>
        <v>46054</v>
      </c>
      <c r="B416" s="352">
        <f>'12U GIRLS PLATINUM-12 TEAMS'!B32</f>
        <v>0.46527777777777801</v>
      </c>
      <c r="C416" s="351" t="str">
        <f>'12U GIRLS PLATINUM-12 TEAMS'!C32&amp;""</f>
        <v>WOOLLETT FAR RIGHT</v>
      </c>
      <c r="D416" s="353" t="str">
        <f>'12U GIRLS PLATINUM-12 TEAMS'!D32&amp;""</f>
        <v>12Gpt14</v>
      </c>
      <c r="E416" s="351" t="str">
        <f>'12U GIRLS PLATINUM-12 TEAMS'!E32&amp;""</f>
        <v>1stB-680 RED</v>
      </c>
      <c r="F416" s="353" t="str">
        <f>'12U GIRLS PLATINUM-12 TEAMS'!F32&amp;""</f>
        <v>4</v>
      </c>
      <c r="G416" s="351" t="str">
        <f>'12U GIRLS PLATINUM-12 TEAMS'!G32&amp;""</f>
        <v>1stC-NEWPORT BEACH</v>
      </c>
      <c r="H416" s="353" t="str">
        <f>'12U GIRLS PLATINUM-12 TEAMS'!H32&amp;""</f>
        <v>2</v>
      </c>
      <c r="I416" s="353" t="str">
        <f>'12U GIRLS PLATINUM-12 TEAMS'!I32&amp;""</f>
        <v>1-4 semi 1B/1C</v>
      </c>
      <c r="J416" s="353" t="str">
        <f>'12U GIRLS PLATINUM-12 TEAMS'!J32&amp;""</f>
        <v>12U_GIRLS_PLATINUM</v>
      </c>
      <c r="K416" s="353" t="str">
        <f t="shared" si="7"/>
        <v>202602011110</v>
      </c>
    </row>
    <row r="417" spans="1:11">
      <c r="A417" s="337">
        <f>'10U COED GOLD-16 TEAMS CUSTOM'!A37</f>
        <v>46054</v>
      </c>
      <c r="B417" s="338">
        <f>'10U COED GOLD-16 TEAMS CUSTOM'!B37</f>
        <v>0.48958333333333298</v>
      </c>
      <c r="C417" s="338" t="str">
        <f>'10U COED GOLD-16 TEAMS CUSTOM'!C37&amp;""</f>
        <v>BECKMAN HS 2</v>
      </c>
      <c r="D417" s="340" t="str">
        <f>'10U COED GOLD-16 TEAMS CUSTOM'!D37&amp;""</f>
        <v>10Cau24</v>
      </c>
      <c r="E417" s="340" t="str">
        <f>'10U COED GOLD-16 TEAMS CUSTOM'!E37&amp;""</f>
        <v>G2-DEL MAR BLUE (girls)</v>
      </c>
      <c r="F417" s="339" t="str">
        <f>'10U COED GOLD-16 TEAMS CUSTOM'!F37&amp;""</f>
        <v>15</v>
      </c>
      <c r="G417" s="339" t="str">
        <f>'10U COED GOLD-16 TEAMS CUSTOM'!G37&amp;""</f>
        <v>3rdD-PATRIOT WHITE</v>
      </c>
      <c r="H417" s="339" t="str">
        <f>'10U COED GOLD-16 TEAMS CUSTOM'!H37&amp;""</f>
        <v>2</v>
      </c>
      <c r="I417" s="339" t="str">
        <f>'10U COED GOLD-16 TEAMS CUSTOM'!I37&amp;""</f>
        <v>girls-coed interact</v>
      </c>
      <c r="J417" s="339" t="str">
        <f>'10U COED GOLD-16 TEAMS CUSTOM'!J37&amp;""</f>
        <v>10U_COED_GOLD</v>
      </c>
      <c r="K417" s="339" t="str">
        <f t="shared" si="7"/>
        <v>202602011145</v>
      </c>
    </row>
    <row r="418" spans="1:11">
      <c r="A418" s="337">
        <f>'10U COED GOLD-16 TEAMS CUSTOM'!A38</f>
        <v>46054</v>
      </c>
      <c r="B418" s="338">
        <f>'10U COED GOLD-16 TEAMS CUSTOM'!B38</f>
        <v>0.48958333333333298</v>
      </c>
      <c r="C418" s="338" t="str">
        <f>'10U COED GOLD-16 TEAMS CUSTOM'!C38&amp;""</f>
        <v>EL TORO HS 2</v>
      </c>
      <c r="D418" s="340" t="str">
        <f>'10U COED GOLD-16 TEAMS CUSTOM'!D38&amp;""</f>
        <v>10Cau26</v>
      </c>
      <c r="E418" s="340" t="str">
        <f>'10U COED GOLD-16 TEAMS CUSTOM'!E38&amp;""</f>
        <v>G4-SAN CLEMENTE RED (girls)</v>
      </c>
      <c r="F418" s="339" t="str">
        <f>'10U COED GOLD-16 TEAMS CUSTOM'!F38&amp;""</f>
        <v>12</v>
      </c>
      <c r="G418" s="339" t="str">
        <f>'10U COED GOLD-16 TEAMS CUSTOM'!G38&amp;""</f>
        <v>3rdA-LAMORINDA C</v>
      </c>
      <c r="H418" s="339" t="str">
        <f>'10U COED GOLD-16 TEAMS CUSTOM'!H38&amp;""</f>
        <v>7</v>
      </c>
      <c r="I418" s="339" t="str">
        <f>'10U COED GOLD-16 TEAMS CUSTOM'!I38&amp;""</f>
        <v>girls-coed interact</v>
      </c>
      <c r="J418" s="339" t="str">
        <f>'10U COED GOLD-16 TEAMS CUSTOM'!J38&amp;""</f>
        <v>10U_COED_GOLD</v>
      </c>
      <c r="K418" s="339" t="str">
        <f t="shared" si="7"/>
        <v>202602011145</v>
      </c>
    </row>
    <row r="419" spans="1:11">
      <c r="A419" s="341">
        <f>'10U COED PLATINUM-8 TEAMS'!A25</f>
        <v>46054</v>
      </c>
      <c r="B419" s="342">
        <f>'10U COED PLATINUM-8 TEAMS'!B25</f>
        <v>0.48958333333333298</v>
      </c>
      <c r="C419" s="343" t="str">
        <f>'10U COED PLATINUM-8 TEAMS'!C25&amp;""</f>
        <v>WOOLLETT FAR LEFT</v>
      </c>
      <c r="D419" s="343" t="str">
        <f>'10U COED PLATINUM-8 TEAMS'!D25&amp;""</f>
        <v>10Cpt12</v>
      </c>
      <c r="E419" s="343" t="str">
        <f>'10U COED PLATINUM-8 TEAMS'!E25&amp;""</f>
        <v>A1-CHANNEL ISLANDS UNITED</v>
      </c>
      <c r="F419" s="343" t="str">
        <f>'10U COED PLATINUM-8 TEAMS'!F25&amp;""</f>
        <v>19</v>
      </c>
      <c r="G419" s="343" t="str">
        <f>'10U COED PLATINUM-8 TEAMS'!G25&amp;""</f>
        <v>A2-FOOTHILL RED</v>
      </c>
      <c r="H419" s="343" t="str">
        <f>'10U COED PLATINUM-8 TEAMS'!H25&amp;""</f>
        <v>6</v>
      </c>
      <c r="I419" s="343" t="str">
        <f>'10U COED PLATINUM-8 TEAMS'!I25&amp;""</f>
        <v>bracket, A1/A2</v>
      </c>
      <c r="J419" s="343" t="str">
        <f>'10U COED PLATINUM-8 TEAMS'!J25&amp;""</f>
        <v>10U_COED_PLATINUM</v>
      </c>
      <c r="K419" s="343" t="str">
        <f t="shared" si="7"/>
        <v>202602011145</v>
      </c>
    </row>
    <row r="420" spans="1:11">
      <c r="A420" s="387">
        <f>'14U BOYS SILVER-18 TEAMS'!A66</f>
        <v>46054</v>
      </c>
      <c r="B420" s="388">
        <f>'14U BOYS SILVER-18 TEAMS'!B66</f>
        <v>0.5</v>
      </c>
      <c r="C420" s="388" t="str">
        <f>'14U BOYS SILVER-18 TEAMS'!C66&amp;""</f>
        <v>ALISO NIGUEL HS</v>
      </c>
      <c r="D420" s="389" t="str">
        <f>'14U BOYS SILVER-18 TEAMS'!D66&amp;""</f>
        <v>14Bag24</v>
      </c>
      <c r="E420" s="390" t="str">
        <f>'14U BOYS SILVER-18 TEAMS'!E66&amp;""</f>
        <v>N1(3rdD)-AMERICAN RIVER GOLD</v>
      </c>
      <c r="F420" s="391" t="str">
        <f>'14U BOYS SILVER-18 TEAMS'!F66&amp;""</f>
        <v>4</v>
      </c>
      <c r="G420" s="390" t="str">
        <f>'14U BOYS SILVER-18 TEAMS'!G66&amp;""</f>
        <v>N2(3rdE)-CC UNITED WHITE</v>
      </c>
      <c r="H420" s="391" t="str">
        <f>'14U BOYS SILVER-18 TEAMS'!H66&amp;""</f>
        <v>2</v>
      </c>
      <c r="I420" s="392" t="str">
        <f>'14U BOYS SILVER-18 TEAMS'!I66&amp;""</f>
        <v>13th-18th</v>
      </c>
      <c r="J420" s="389" t="str">
        <f>'14U BOYS SILVER-18 TEAMS'!J66&amp;""</f>
        <v>14U_BOYS_SILVER</v>
      </c>
      <c r="K420" s="389" t="str">
        <f t="shared" si="7"/>
        <v>202602011200</v>
      </c>
    </row>
    <row r="421" spans="1:11">
      <c r="A421" s="370">
        <f>'12U BOYS PLATINUM-10 TEAMS'!A31</f>
        <v>46054</v>
      </c>
      <c r="B421" s="371">
        <f>'12U BOYS PLATINUM-10 TEAMS'!B31</f>
        <v>0.5</v>
      </c>
      <c r="C421" s="371" t="str">
        <f>'12U BOYS PLATINUM-10 TEAMS'!C31&amp;""</f>
        <v>BECKMAN HS 1</v>
      </c>
      <c r="D421" s="373" t="str">
        <f>'12U BOYS PLATINUM-10 TEAMS'!D31&amp;""</f>
        <v>12Bpt18</v>
      </c>
      <c r="E421" s="373" t="str">
        <f>'12U BOYS PLATINUM-10 TEAMS'!E31&amp;""</f>
        <v>L#13-LA JOLLA UNITED NAVY</v>
      </c>
      <c r="F421" s="373" t="str">
        <f>'12U BOYS PLATINUM-10 TEAMS'!F31&amp;""</f>
        <v>7</v>
      </c>
      <c r="G421" s="373" t="str">
        <f>'12U BOYS PLATINUM-10 TEAMS'!G31&amp;""</f>
        <v>3rdC-SHAQ</v>
      </c>
      <c r="H421" s="373" t="str">
        <f>'12U BOYS PLATINUM-10 TEAMS'!H31&amp;""</f>
        <v>11</v>
      </c>
      <c r="I421" s="373" t="str">
        <f>'12U BOYS PLATINUM-10 TEAMS'!I31&amp;""</f>
        <v>7th-10th</v>
      </c>
      <c r="J421" s="373" t="str">
        <f>'12U BOYS PLATINUM-10 TEAMS'!J31&amp;""</f>
        <v>12U_BOYS_PLATINUM</v>
      </c>
      <c r="K421" s="373" t="str">
        <f t="shared" si="7"/>
        <v>202602011200</v>
      </c>
    </row>
    <row r="422" spans="1:11">
      <c r="A422" s="387">
        <f>'14U BOYS SILVER-18 TEAMS'!A49</f>
        <v>46054</v>
      </c>
      <c r="B422" s="388">
        <f>'14U BOYS SILVER-18 TEAMS'!B49</f>
        <v>0.5</v>
      </c>
      <c r="C422" s="388" t="str">
        <f>'14U BOYS SILVER-18 TEAMS'!C49&amp;""</f>
        <v>COSTA MESA HS 1</v>
      </c>
      <c r="D422" s="389" t="str">
        <f>'14U BOYS SILVER-18 TEAMS'!D49&amp;""</f>
        <v>14Bag35</v>
      </c>
      <c r="E422" s="388" t="str">
        <f>'14U BOYS SILVER-18 TEAMS'!E49&amp;""</f>
        <v>J2(2ndE)-HONOLULU GREEN</v>
      </c>
      <c r="F422" s="392" t="str">
        <f>'14U BOYS SILVER-18 TEAMS'!F49&amp;""</f>
        <v>8</v>
      </c>
      <c r="G422" s="388" t="str">
        <f>'14U BOYS SILVER-18 TEAMS'!G49&amp;""</f>
        <v>J3(2ndD)-PALOS VERDES B</v>
      </c>
      <c r="H422" s="391" t="str">
        <f>'14U BOYS SILVER-18 TEAMS'!H49&amp;""</f>
        <v>11</v>
      </c>
      <c r="I422" s="392" t="str">
        <f>'14U BOYS SILVER-18 TEAMS'!I49&amp;""</f>
        <v>7th-12th</v>
      </c>
      <c r="J422" s="389" t="str">
        <f>'14U BOYS SILVER-18 TEAMS'!J49&amp;""</f>
        <v>14U_BOYS_SILVER</v>
      </c>
      <c r="K422" s="389" t="str">
        <f t="shared" si="7"/>
        <v>202602011200</v>
      </c>
    </row>
    <row r="423" spans="1:11">
      <c r="A423" s="354">
        <f>'12U BOYS GOLD-24 TEAMS'!A49</f>
        <v>46054</v>
      </c>
      <c r="B423" s="355">
        <f>'12U BOYS GOLD-24 TEAMS'!B49</f>
        <v>0.5</v>
      </c>
      <c r="C423" s="355" t="str">
        <f>'12U BOYS GOLD-24 TEAMS'!C49&amp;""</f>
        <v>COSTA MESA HS 2</v>
      </c>
      <c r="D423" s="364" t="str">
        <f>'12U BOYS GOLD-24 TEAMS'!D49&amp;""</f>
        <v>12Bau24</v>
      </c>
      <c r="E423" s="362" t="str">
        <f>'12U BOYS GOLD-24 TEAMS'!E49&amp;""</f>
        <v>W#17-ORANGE COUNTY WPC BLUE</v>
      </c>
      <c r="F423" s="362" t="str">
        <f>'12U BOYS GOLD-24 TEAMS'!F49&amp;""</f>
        <v>12</v>
      </c>
      <c r="G423" s="362" t="str">
        <f>'12U BOYS GOLD-24 TEAMS'!G49&amp;""</f>
        <v>W#18-SAN CLEMENTE BLACK</v>
      </c>
      <c r="H423" s="362" t="str">
        <f>'12U BOYS GOLD-24 TEAMS'!H49&amp;""</f>
        <v>2</v>
      </c>
      <c r="I423" s="362" t="str">
        <f>'12U BOYS GOLD-24 TEAMS'!I49&amp;""</f>
        <v>overall 1-4 semi</v>
      </c>
      <c r="J423" s="356" t="str">
        <f>'12U BOYS GOLD-24 TEAMS'!J49&amp;""</f>
        <v>12U_BOYS_GOLD</v>
      </c>
      <c r="K423" s="356" t="str">
        <f t="shared" si="7"/>
        <v>202602011200</v>
      </c>
    </row>
    <row r="424" spans="1:11">
      <c r="A424" s="406">
        <f>'16U BOYS SILVER-20 TEAMS'!A70</f>
        <v>46054</v>
      </c>
      <c r="B424" s="407">
        <f>'16U BOYS SILVER-20 TEAMS'!B70</f>
        <v>0.5</v>
      </c>
      <c r="C424" s="407" t="str">
        <f>'16U BOYS SILVER-20 TEAMS'!C70&amp;""</f>
        <v>EDISON HS</v>
      </c>
      <c r="D424" s="408" t="str">
        <f>'16U BOYS SILVER-20 TEAMS'!D70&amp;""</f>
        <v>16Bag39</v>
      </c>
      <c r="E424" s="408" t="str">
        <f>'16U BOYS SILVER-20 TEAMS'!E70&amp;""</f>
        <v>L#33-SAN CLEMENTE BLACK</v>
      </c>
      <c r="F424" s="408" t="str">
        <f>'16U BOYS SILVER-20 TEAMS'!F70&amp;""</f>
        <v>4</v>
      </c>
      <c r="G424" s="408" t="str">
        <f>'16U BOYS SILVER-20 TEAMS'!G70&amp;""</f>
        <v>L#35-LV LEGENDS</v>
      </c>
      <c r="H424" s="408" t="str">
        <f>'16U BOYS SILVER-20 TEAMS'!H70&amp;""</f>
        <v>7</v>
      </c>
      <c r="I424" s="408" t="str">
        <f>'16U BOYS SILVER-20 TEAMS'!I70&amp;""</f>
        <v>3rd/4thL</v>
      </c>
      <c r="J424" s="408" t="str">
        <f>'16U BOYS SILVER-20 TEAMS'!J70&amp;""</f>
        <v>16U_BOYS_SILVER</v>
      </c>
      <c r="K424" s="408" t="str">
        <f t="shared" si="7"/>
        <v>202602011200</v>
      </c>
    </row>
    <row r="425" spans="1:11">
      <c r="A425" s="387">
        <f>'14U BOYS SILVER-18 TEAMS'!A65</f>
        <v>46054</v>
      </c>
      <c r="B425" s="388">
        <f>'14U BOYS SILVER-18 TEAMS'!B65</f>
        <v>0.5</v>
      </c>
      <c r="C425" s="388" t="str">
        <f>'14U BOYS SILVER-18 TEAMS'!C65&amp;""</f>
        <v>EL TORO HS 1</v>
      </c>
      <c r="D425" s="389" t="str">
        <f>'14U BOYS SILVER-18 TEAMS'!D65&amp;""</f>
        <v>14Bag22</v>
      </c>
      <c r="E425" s="388" t="str">
        <f>'14U BOYS SILVER-18 TEAMS'!E65&amp;""</f>
        <v>M1(3rdA)-SAN CLEMENTE BLACK</v>
      </c>
      <c r="F425" s="392" t="str">
        <f>'14U BOYS SILVER-18 TEAMS'!F65&amp;""</f>
        <v>13</v>
      </c>
      <c r="G425" s="388" t="str">
        <f>'14U BOYS SILVER-18 TEAMS'!G65&amp;""</f>
        <v>M2(3rdB)-TROJAN GOLD</v>
      </c>
      <c r="H425" s="391" t="str">
        <f>'14U BOYS SILVER-18 TEAMS'!H65&amp;""</f>
        <v>4</v>
      </c>
      <c r="I425" s="392" t="str">
        <f>'14U BOYS SILVER-18 TEAMS'!I65&amp;""</f>
        <v>13th-18th</v>
      </c>
      <c r="J425" s="389" t="str">
        <f>'14U BOYS SILVER-18 TEAMS'!J65&amp;""</f>
        <v>14U_BOYS_SILVER</v>
      </c>
      <c r="K425" s="389" t="str">
        <f t="shared" si="7"/>
        <v>202602011200</v>
      </c>
    </row>
    <row r="426" spans="1:11">
      <c r="A426" s="432">
        <f>'19U BOYS GOLD-16 TEAMS'!A31</f>
        <v>46054</v>
      </c>
      <c r="B426" s="433">
        <f>'19U BOYS GOLD-16 TEAMS'!B31</f>
        <v>0.5</v>
      </c>
      <c r="C426" s="433" t="str">
        <f>'19U BOYS GOLD-16 TEAMS'!C31&amp;""</f>
        <v>ESPERANZA HS</v>
      </c>
      <c r="D426" s="434" t="str">
        <f>'19U BOYS GOLD-16 TEAMS'!D31&amp;""</f>
        <v>19Bau27</v>
      </c>
      <c r="E426" s="434" t="str">
        <f>'19U BOYS GOLD-16 TEAMS'!E31&amp;""</f>
        <v>3rdA-VANGUARD SILVER</v>
      </c>
      <c r="F426" s="434" t="str">
        <f>'19U BOYS GOLD-16 TEAMS'!F31&amp;""</f>
        <v>10</v>
      </c>
      <c r="G426" s="434" t="str">
        <f>'19U BOYS GOLD-16 TEAMS'!G31&amp;""</f>
        <v>3rdD-SET</v>
      </c>
      <c r="H426" s="434" t="str">
        <f>'19U BOYS GOLD-16 TEAMS'!H31&amp;""</f>
        <v>17</v>
      </c>
      <c r="I426" s="434" t="str">
        <f>'19U BOYS GOLD-16 TEAMS'!I31&amp;""</f>
        <v>9-12 semi 3A/3D</v>
      </c>
      <c r="J426" s="434" t="str">
        <f>'19U BOYS GOLD-16 TEAMS'!J31&amp;""</f>
        <v>19U_BOYS_GOLD</v>
      </c>
      <c r="K426" s="434" t="str">
        <f t="shared" si="7"/>
        <v>202602011200</v>
      </c>
    </row>
    <row r="427" spans="1:11">
      <c r="A427" s="428">
        <f>'19U BOYS SILVER-6 TEAMS CUST'!A22</f>
        <v>46054</v>
      </c>
      <c r="B427" s="429">
        <f>'19U BOYS SILVER-6 TEAMS CUST'!B22</f>
        <v>0.5</v>
      </c>
      <c r="C427" s="429" t="str">
        <f>'19U BOYS SILVER-6 TEAMS CUST'!C22&amp;""</f>
        <v>ESTANCIA HS 1</v>
      </c>
      <c r="D427" s="430" t="str">
        <f>'19U BOYS SILVER-6 TEAMS CUST'!D22&amp;""</f>
        <v>19Bag09</v>
      </c>
      <c r="E427" s="430" t="str">
        <f>'19U BOYS SILVER-6 TEAMS CUST'!E22&amp;""</f>
        <v>A3-SD ECA</v>
      </c>
      <c r="F427" s="430" t="str">
        <f>'19U BOYS SILVER-6 TEAMS CUST'!F22&amp;""</f>
        <v>15</v>
      </c>
      <c r="G427" s="430" t="str">
        <f>'19U BOYS SILVER-6 TEAMS CUST'!G22&amp;""</f>
        <v>B2-SAN JOSE EXPRESS GOLD</v>
      </c>
      <c r="H427" s="430" t="str">
        <f>'19U BOYS SILVER-6 TEAMS CUST'!H22&amp;""</f>
        <v>5</v>
      </c>
      <c r="I427" s="430" t="str">
        <f>'19U BOYS SILVER-6 TEAMS CUST'!I22&amp;""</f>
        <v>A3,B2</v>
      </c>
      <c r="J427" s="430" t="str">
        <f>'19U BOYS SILVER-6 TEAMS CUST'!J22&amp;""</f>
        <v>19U_BOYS_SILVER</v>
      </c>
      <c r="K427" s="430" t="str">
        <f t="shared" si="7"/>
        <v>202602011200</v>
      </c>
    </row>
    <row r="428" spans="1:11">
      <c r="A428" s="394">
        <f>'14U BOYS GOLD-26 TEAMS'!A61</f>
        <v>46054</v>
      </c>
      <c r="B428" s="395">
        <f>'14U BOYS GOLD-26 TEAMS'!B61</f>
        <v>0.5</v>
      </c>
      <c r="C428" s="396" t="str">
        <f>'14U BOYS GOLD-26 TEAMS'!C61&amp;""</f>
        <v>ESTANCIA HS 2</v>
      </c>
      <c r="D428" s="396" t="str">
        <f>'14U BOYS GOLD-26 TEAMS'!D61&amp;""</f>
        <v>14Bau38</v>
      </c>
      <c r="E428" s="397" t="str">
        <f>'14U BOYS GOLD-26 TEAMS'!E61&amp;""</f>
        <v>W#29-MISSION WPC B</v>
      </c>
      <c r="F428" s="397" t="str">
        <f>'14U BOYS GOLD-26 TEAMS'!F61&amp;""</f>
        <v>10</v>
      </c>
      <c r="G428" s="397" t="str">
        <f>'14U BOYS GOLD-26 TEAMS'!G61&amp;""</f>
        <v>W#30-VANGUARD SILVER</v>
      </c>
      <c r="H428" s="397" t="str">
        <f>'14U BOYS GOLD-26 TEAMS'!H61&amp;""</f>
        <v>3</v>
      </c>
      <c r="I428" s="396" t="str">
        <f>'14U BOYS GOLD-26 TEAMS'!I61&amp;""</f>
        <v>1st/2ndK</v>
      </c>
      <c r="J428" s="397" t="str">
        <f>'14U BOYS GOLD-26 TEAMS'!J61&amp;""</f>
        <v>14U_BOYS_GOLD</v>
      </c>
      <c r="K428" s="397" t="str">
        <f t="shared" si="7"/>
        <v>202602011200</v>
      </c>
    </row>
    <row r="429" spans="1:11">
      <c r="A429" s="394">
        <f>'14U BOYS GOLD-26 TEAMS'!A72</f>
        <v>46054</v>
      </c>
      <c r="B429" s="395">
        <f>'14U BOYS GOLD-26 TEAMS'!B72</f>
        <v>0.5</v>
      </c>
      <c r="C429" s="396" t="str">
        <f>'14U BOYS GOLD-26 TEAMS'!C72&amp;""</f>
        <v>LAGUNA HILLS HS</v>
      </c>
      <c r="D429" s="396" t="str">
        <f>'14U BOYS GOLD-26 TEAMS'!D72&amp;""</f>
        <v>14Bau49</v>
      </c>
      <c r="E429" s="396" t="str">
        <f>'14U BOYS GOLD-26 TEAMS'!E72&amp;""</f>
        <v>N1(3rdA)-HONOLULU BLUE</v>
      </c>
      <c r="F429" s="396" t="str">
        <f>'14U BOYS GOLD-26 TEAMS'!F72&amp;""</f>
        <v>6</v>
      </c>
      <c r="G429" s="396" t="str">
        <f>'14U BOYS GOLD-26 TEAMS'!G72&amp;""</f>
        <v>N2(3rdG)-SD ECA</v>
      </c>
      <c r="H429" s="396" t="str">
        <f>'14U BOYS GOLD-26 TEAMS'!H72&amp;""</f>
        <v>9</v>
      </c>
      <c r="I429" s="396" t="str">
        <f>'14U BOYS GOLD-26 TEAMS'!I72&amp;""</f>
        <v>N bracket</v>
      </c>
      <c r="J429" s="397" t="str">
        <f>'14U BOYS GOLD-26 TEAMS'!J72&amp;""</f>
        <v>14U_BOYS_GOLD</v>
      </c>
      <c r="K429" s="397" t="str">
        <f t="shared" si="7"/>
        <v>202602011200</v>
      </c>
    </row>
    <row r="430" spans="1:11">
      <c r="A430" s="413">
        <f>'16U BOYS GOLD-19 TEAMS'!A65</f>
        <v>46054</v>
      </c>
      <c r="B430" s="414">
        <f>'16U BOYS GOLD-19 TEAMS'!B65</f>
        <v>0.5</v>
      </c>
      <c r="C430" s="414" t="str">
        <f>'16U BOYS GOLD-19 TEAMS'!C65&amp;""</f>
        <v>SADDLEBACK COLLEGE</v>
      </c>
      <c r="D430" s="415" t="str">
        <f>'16U BOYS GOLD-19 TEAMS'!D65&amp;""</f>
        <v>16Bau36</v>
      </c>
      <c r="E430" s="414" t="str">
        <f>'16U BOYS GOLD-19 TEAMS'!E65&amp;""</f>
        <v>K2(3rdB)-CMAC</v>
      </c>
      <c r="F430" s="418" t="str">
        <f>'16U BOYS GOLD-19 TEAMS'!F65&amp;""</f>
        <v>6</v>
      </c>
      <c r="G430" s="414" t="str">
        <f>'16U BOYS GOLD-19 TEAMS'!G65&amp;""</f>
        <v>K3(3rdC)-ST LOUIS AREA POLO</v>
      </c>
      <c r="H430" s="417" t="str">
        <f>'16U BOYS GOLD-19 TEAMS'!H65&amp;""</f>
        <v>9</v>
      </c>
      <c r="I430" s="418" t="str">
        <f>'16U BOYS GOLD-19 TEAMS'!I65&amp;""</f>
        <v>K bracket K2,K3</v>
      </c>
      <c r="J430" s="415" t="str">
        <f>'16U BOYS GOLD-19 TEAMS'!J65&amp;""</f>
        <v>16U_BOYS_GOLD</v>
      </c>
      <c r="K430" s="415" t="str">
        <f t="shared" si="7"/>
        <v>202602011200</v>
      </c>
    </row>
    <row r="431" spans="1:11">
      <c r="A431" s="378">
        <f>'14U GIRLS GOLD-14 TEAMS'!A35</f>
        <v>46054</v>
      </c>
      <c r="B431" s="379">
        <f>'14U GIRLS GOLD-14 TEAMS'!B35</f>
        <v>0.5</v>
      </c>
      <c r="C431" s="379" t="str">
        <f>'14U GIRLS GOLD-14 TEAMS'!C35&amp;""</f>
        <v>SAN CLEMENTE HS</v>
      </c>
      <c r="D431" s="380" t="str">
        <f>'14U GIRLS GOLD-14 TEAMS'!D35&amp;""</f>
        <v>14Gau19</v>
      </c>
      <c r="E431" s="380" t="str">
        <f>'14U GIRLS GOLD-14 TEAMS'!E35&amp;""</f>
        <v>4thC-CDM NAVY</v>
      </c>
      <c r="F431" s="380" t="str">
        <f>'14U GIRLS GOLD-14 TEAMS'!F35&amp;""</f>
        <v>6</v>
      </c>
      <c r="G431" s="380" t="str">
        <f>'14U GIRLS GOLD-14 TEAMS'!G35&amp;""</f>
        <v>3rdB-HONOLULU</v>
      </c>
      <c r="H431" s="380" t="str">
        <f>'14U GIRLS GOLD-14 TEAMS'!H35&amp;""</f>
        <v>13</v>
      </c>
      <c r="I431" s="380" t="str">
        <f>'14U GIRLS GOLD-14 TEAMS'!I35&amp;""</f>
        <v>9th-14th 4C,3B</v>
      </c>
      <c r="J431" s="380" t="str">
        <f>'14U GIRLS GOLD-14 TEAMS'!J35&amp;""</f>
        <v>14U_GIRLS_GOLD</v>
      </c>
      <c r="K431" s="380" t="str">
        <f t="shared" si="7"/>
        <v>202602011200</v>
      </c>
    </row>
    <row r="432" spans="1:11">
      <c r="A432" s="410">
        <f>'16U BOYS GOLD-19 TEAMS'!A53</f>
        <v>46054</v>
      </c>
      <c r="B432" s="411">
        <f>'16U BOYS GOLD-19 TEAMS'!B53</f>
        <v>0.5</v>
      </c>
      <c r="C432" s="411" t="str">
        <f>'16U BOYS GOLD-19 TEAMS'!C53&amp;""</f>
        <v>SAN JUAN HILLS HS</v>
      </c>
      <c r="D432" s="412" t="str">
        <f>'16U BOYS GOLD-19 TEAMS'!D53&amp;""</f>
        <v>16Bau25</v>
      </c>
      <c r="E432" s="412" t="str">
        <f>'16U BOYS GOLD-19 TEAMS'!E53&amp;""</f>
        <v>I2(2ndB)-DAVIS BLUE</v>
      </c>
      <c r="F432" s="412" t="str">
        <f>'16U BOYS GOLD-19 TEAMS'!F53&amp;""</f>
        <v>13</v>
      </c>
      <c r="G432" s="412" t="str">
        <f>'16U BOYS GOLD-19 TEAMS'!G53&amp;""</f>
        <v>I3(2ndC)-TROJAN GOLD</v>
      </c>
      <c r="H432" s="412" t="str">
        <f>'16U BOYS GOLD-19 TEAMS'!H53&amp;""</f>
        <v>10</v>
      </c>
      <c r="I432" s="412" t="str">
        <f>'16U BOYS GOLD-19 TEAMS'!I53&amp;""</f>
        <v>I bracket I2,I3</v>
      </c>
      <c r="J432" s="412" t="str">
        <f>'16U BOYS GOLD-19 TEAMS'!J53&amp;""</f>
        <v>16U_BOYS_GOLD</v>
      </c>
      <c r="K432" s="412" t="str">
        <f t="shared" si="7"/>
        <v>202602011200</v>
      </c>
    </row>
    <row r="433" spans="1:11">
      <c r="A433" s="406">
        <f>'16U BOYS SILVER-20 TEAMS'!A56</f>
        <v>46054</v>
      </c>
      <c r="B433" s="407">
        <f>'16U BOYS SILVER-20 TEAMS'!B56</f>
        <v>0.5</v>
      </c>
      <c r="C433" s="407" t="str">
        <f>'16U BOYS SILVER-20 TEAMS'!C56&amp;""</f>
        <v>SONORA HS</v>
      </c>
      <c r="D433" s="408" t="str">
        <f>'16U BOYS SILVER-20 TEAMS'!D56&amp;""</f>
        <v>16Bag29</v>
      </c>
      <c r="E433" s="408" t="str">
        <f>'16U BOYS SILVER-20 TEAMS'!E56&amp;""</f>
        <v>J1(1stD)-CC UNITED WHITE</v>
      </c>
      <c r="F433" s="408" t="str">
        <f>'16U BOYS SILVER-20 TEAMS'!F56&amp;""</f>
        <v>6</v>
      </c>
      <c r="G433" s="408" t="str">
        <f>'16U BOYS SILVER-20 TEAMS'!G56&amp;""</f>
        <v>J2(1stE)-LA JOLLA UNITED WHITE</v>
      </c>
      <c r="H433" s="408" t="str">
        <f>'16U BOYS SILVER-20 TEAMS'!H56&amp;""</f>
        <v>14</v>
      </c>
      <c r="I433" s="408" t="str">
        <f>'16U BOYS SILVER-20 TEAMS'!I56&amp;""</f>
        <v>J bracket</v>
      </c>
      <c r="J433" s="408" t="str">
        <f>'16U BOYS SILVER-20 TEAMS'!J56&amp;""</f>
        <v>16U_BOYS_SILVER</v>
      </c>
      <c r="K433" s="408" t="str">
        <f t="shared" ref="K433:K496" si="8">TEXT(DATE(2026, MONTH(A433), DAY(A433)) + TIME(HOUR(B433), MINUTE(B433), 0), "yyyymmddhhmm")</f>
        <v>202602011200</v>
      </c>
    </row>
    <row r="434" spans="1:11">
      <c r="A434" s="387">
        <f>'14U BOYS SILVER-18 TEAMS'!A64</f>
        <v>46054</v>
      </c>
      <c r="B434" s="388">
        <f>'14U BOYS SILVER-18 TEAMS'!B64</f>
        <v>0.5</v>
      </c>
      <c r="C434" s="388" t="str">
        <f>'14U BOYS SILVER-18 TEAMS'!C64&amp;""</f>
        <v>TUSTIN HS 1</v>
      </c>
      <c r="D434" s="389" t="str">
        <f>'14U BOYS SILVER-18 TEAMS'!D64&amp;""</f>
        <v>14Bag20</v>
      </c>
      <c r="E434" s="388" t="str">
        <f>'14U BOYS SILVER-18 TEAMS'!E64&amp;""</f>
        <v>K1(2ndC)-ORANGE COUNTY WPC RED</v>
      </c>
      <c r="F434" s="392" t="str">
        <f>'14U BOYS SILVER-18 TEAMS'!F64&amp;""</f>
        <v>9</v>
      </c>
      <c r="G434" s="388" t="str">
        <f>'14U BOYS SILVER-18 TEAMS'!G64&amp;""</f>
        <v>K2(2ndB)-SOUTH COAST BLUE (C)</v>
      </c>
      <c r="H434" s="391" t="str">
        <f>'14U BOYS SILVER-18 TEAMS'!H64&amp;""</f>
        <v>3</v>
      </c>
      <c r="I434" s="392" t="str">
        <f>'14U BOYS SILVER-18 TEAMS'!I64&amp;""</f>
        <v>7th-12th</v>
      </c>
      <c r="J434" s="389" t="str">
        <f>'14U BOYS SILVER-18 TEAMS'!J64&amp;""</f>
        <v>14U_BOYS_SILVER</v>
      </c>
      <c r="K434" s="389" t="str">
        <f t="shared" si="8"/>
        <v>202602011200</v>
      </c>
    </row>
    <row r="435" spans="1:11">
      <c r="A435" s="375">
        <f>'12U COED-7 TEAMS'!A26</f>
        <v>46054</v>
      </c>
      <c r="B435" s="376">
        <f>'12U COED-7 TEAMS'!B26</f>
        <v>0.5</v>
      </c>
      <c r="C435" s="377" t="str">
        <f>'12U COED-7 TEAMS'!C26&amp;""</f>
        <v>TUSTIN HS 2</v>
      </c>
      <c r="D435" s="377" t="str">
        <f>'12U COED-7 TEAMS'!D26&amp;""</f>
        <v>12C11</v>
      </c>
      <c r="E435" s="377" t="str">
        <f>'12U COED-7 TEAMS'!E26&amp;""</f>
        <v>1stA-SET</v>
      </c>
      <c r="F435" s="377" t="str">
        <f>'12U COED-7 TEAMS'!F26&amp;""</f>
        <v>8</v>
      </c>
      <c r="G435" s="377" t="str">
        <f>'12U COED-7 TEAMS'!G26&amp;""</f>
        <v>2ndB-LA CITY UNITED</v>
      </c>
      <c r="H435" s="377" t="str">
        <f>'12U COED-7 TEAMS'!H26&amp;""</f>
        <v>6</v>
      </c>
      <c r="I435" s="377" t="str">
        <f>'12U COED-7 TEAMS'!I26&amp;""</f>
        <v>1-4 semi</v>
      </c>
      <c r="J435" s="377" t="str">
        <f>'12U COED-7 TEAMS'!J26&amp;""</f>
        <v>12U_COED</v>
      </c>
      <c r="K435" s="377" t="str">
        <f t="shared" si="8"/>
        <v>202602011200</v>
      </c>
    </row>
    <row r="436" spans="1:11">
      <c r="A436" s="406">
        <f>'16U BOYS SILVER-20 TEAMS'!A71</f>
        <v>46054</v>
      </c>
      <c r="B436" s="407">
        <f>'16U BOYS SILVER-20 TEAMS'!B71</f>
        <v>0.5</v>
      </c>
      <c r="C436" s="407" t="str">
        <f>'16U BOYS SILVER-20 TEAMS'!C71&amp;""</f>
        <v>WESTMINSTER HS</v>
      </c>
      <c r="D436" s="408" t="str">
        <f>'16U BOYS SILVER-20 TEAMS'!D71&amp;""</f>
        <v>16Bag42</v>
      </c>
      <c r="E436" s="408" t="str">
        <f>'16U BOYS SILVER-20 TEAMS'!E71&amp;""</f>
        <v>L#36-BOA WHITE</v>
      </c>
      <c r="F436" s="408" t="str">
        <f>'16U BOYS SILVER-20 TEAMS'!F71&amp;""</f>
        <v>3</v>
      </c>
      <c r="G436" s="408" t="str">
        <f>'16U BOYS SILVER-20 TEAMS'!G71&amp;""</f>
        <v>L#37-NORTH IRVINE</v>
      </c>
      <c r="H436" s="408" t="str">
        <f>'16U BOYS SILVER-20 TEAMS'!H71&amp;""</f>
        <v>21</v>
      </c>
      <c r="I436" s="408" t="str">
        <f>'16U BOYS SILVER-20 TEAMS'!I71&amp;""</f>
        <v>3rd/4thI</v>
      </c>
      <c r="J436" s="408" t="str">
        <f>'16U BOYS SILVER-20 TEAMS'!J71&amp;""</f>
        <v>16U_BOYS_SILVER</v>
      </c>
      <c r="K436" s="408" t="str">
        <f t="shared" si="8"/>
        <v>202602011200</v>
      </c>
    </row>
    <row r="437" spans="1:11">
      <c r="A437" s="351">
        <f>'12U GIRLS PLATINUM-12 TEAMS'!A33</f>
        <v>46054</v>
      </c>
      <c r="B437" s="352">
        <f>'12U GIRLS PLATINUM-12 TEAMS'!B33</f>
        <v>0.5</v>
      </c>
      <c r="C437" s="351" t="str">
        <f>'12U GIRLS PLATINUM-12 TEAMS'!C33&amp;""</f>
        <v>WOOLLETT FAR RIGHT</v>
      </c>
      <c r="D437" s="353" t="str">
        <f>'12U GIRLS PLATINUM-12 TEAMS'!D33&amp;""</f>
        <v>12Gpt23</v>
      </c>
      <c r="E437" s="351" t="str">
        <f>'12U GIRLS PLATINUM-12 TEAMS'!E33&amp;""</f>
        <v>W#21-NORTH IRVINE</v>
      </c>
      <c r="F437" s="353" t="str">
        <f>'12U GIRLS PLATINUM-12 TEAMS'!F33&amp;""</f>
        <v>6</v>
      </c>
      <c r="G437" s="351" t="str">
        <f>'12U GIRLS PLATINUM-12 TEAMS'!G33&amp;""</f>
        <v>W#22-SOUTH COAST RED</v>
      </c>
      <c r="H437" s="353" t="str">
        <f>'12U GIRLS PLATINUM-12 TEAMS'!H33&amp;""</f>
        <v>10</v>
      </c>
      <c r="I437" s="353" t="str">
        <f>'12U GIRLS PLATINUM-12 TEAMS'!I33&amp;""</f>
        <v>9th</v>
      </c>
      <c r="J437" s="353" t="str">
        <f>'12U GIRLS PLATINUM-12 TEAMS'!J33&amp;""</f>
        <v>12U_GIRLS_PLATINUM</v>
      </c>
      <c r="K437" s="353" t="str">
        <f t="shared" si="8"/>
        <v>202602011200</v>
      </c>
    </row>
    <row r="438" spans="1:11">
      <c r="A438" s="435">
        <f>'19U BOYS PLATINUM-27 TEAMS'!A64</f>
        <v>46054</v>
      </c>
      <c r="B438" s="436">
        <f>'19U BOYS PLATINUM-27 TEAMS'!B64</f>
        <v>0.5</v>
      </c>
      <c r="C438" s="437" t="str">
        <f>'19U BOYS PLATINUM-27 TEAMS'!C64&amp;""</f>
        <v>WOOLLETT NEAR LEFT</v>
      </c>
      <c r="D438" s="437" t="str">
        <f>'19U BOYS PLATINUM-27 TEAMS'!D64&amp;""</f>
        <v>19Bpt32</v>
      </c>
      <c r="E438" s="438" t="str">
        <f>'19U BOYS PLATINUM-27 TEAMS'!E64&amp;""</f>
        <v>W#28-CC UNITED BLACK</v>
      </c>
      <c r="F438" s="438" t="str">
        <f>'19U BOYS PLATINUM-27 TEAMS'!F64&amp;""</f>
        <v>14</v>
      </c>
      <c r="G438" s="438" t="str">
        <f>'19U BOYS PLATINUM-27 TEAMS'!G64&amp;""</f>
        <v>W#29-LA JOLLA UNITED NAVY</v>
      </c>
      <c r="H438" s="438" t="str">
        <f>'19U BOYS PLATINUM-27 TEAMS'!H64&amp;""</f>
        <v>10</v>
      </c>
      <c r="I438" s="437" t="str">
        <f>'19U BOYS PLATINUM-27 TEAMS'!I64&amp;""</f>
        <v>1st/2ndJ</v>
      </c>
      <c r="J438" s="438" t="str">
        <f>'19U BOYS PLATINUM-27 TEAMS'!J64&amp;""</f>
        <v>19U_BOYS_PLATINUM</v>
      </c>
      <c r="K438" s="438" t="str">
        <f t="shared" si="8"/>
        <v>202602011200</v>
      </c>
    </row>
    <row r="439" spans="1:11">
      <c r="A439" s="421">
        <f>'16U BOYS PLATINUM-18 TEAMS'!A49</f>
        <v>46054</v>
      </c>
      <c r="B439" s="422">
        <f>'16U BOYS PLATINUM-18 TEAMS'!B49</f>
        <v>0.5</v>
      </c>
      <c r="C439" s="422" t="str">
        <f>'16U BOYS PLATINUM-18 TEAMS'!C49&amp;""</f>
        <v>WOOLLETT NEAR RIGHT</v>
      </c>
      <c r="D439" s="422" t="str">
        <f>'16U BOYS PLATINUM-18 TEAMS'!D49&amp;""</f>
        <v>16Bpt29</v>
      </c>
      <c r="E439" s="423" t="str">
        <f>'16U BOYS PLATINUM-18 TEAMS'!E49&amp;""</f>
        <v>J1(2ndF)-SHAQ</v>
      </c>
      <c r="F439" s="424" t="str">
        <f>'16U BOYS PLATINUM-18 TEAMS'!F49&amp;""</f>
        <v>5</v>
      </c>
      <c r="G439" s="425" t="str">
        <f>'16U BOYS PLATINUM-18 TEAMS'!G49&amp;""</f>
        <v>J3(2ndD)-SOUTH COAST RED (A)</v>
      </c>
      <c r="H439" s="424" t="str">
        <f>'16U BOYS PLATINUM-18 TEAMS'!H49&amp;""</f>
        <v>12</v>
      </c>
      <c r="I439" s="425" t="str">
        <f>'16U BOYS PLATINUM-18 TEAMS'!I49&amp;""</f>
        <v>7th-12th</v>
      </c>
      <c r="J439" s="426" t="str">
        <f>'16U BOYS PLATINUM-18 TEAMS'!J49&amp;""</f>
        <v>16U_BOYS_PLATINUM</v>
      </c>
      <c r="K439" s="426" t="str">
        <f t="shared" si="8"/>
        <v>202602011200</v>
      </c>
    </row>
    <row r="440" spans="1:11">
      <c r="A440" s="435">
        <f>'19U BOYS PLATINUM-27 TEAMS'!A75</f>
        <v>46054</v>
      </c>
      <c r="B440" s="436">
        <f>'19U BOYS PLATINUM-27 TEAMS'!B75</f>
        <v>0.5</v>
      </c>
      <c r="C440" s="437" t="str">
        <f>'19U BOYS PLATINUM-27 TEAMS'!C75&amp;""</f>
        <v>YORBA LINDA HS</v>
      </c>
      <c r="D440" s="437" t="str">
        <f>'19U BOYS PLATINUM-27 TEAMS'!D75&amp;""</f>
        <v>19Bpt42</v>
      </c>
      <c r="E440" s="438" t="str">
        <f>'19U BOYS PLATINUM-27 TEAMS'!E75&amp;""</f>
        <v>N1(3rdA)-LV LEGENDS</v>
      </c>
      <c r="F440" s="438" t="str">
        <f>'19U BOYS PLATINUM-27 TEAMS'!F75&amp;""</f>
        <v>3</v>
      </c>
      <c r="G440" s="438" t="str">
        <f>'19U BOYS PLATINUM-27 TEAMS'!G75&amp;""</f>
        <v>N3(3rdH)-SHAQ</v>
      </c>
      <c r="H440" s="438" t="str">
        <f>'19U BOYS PLATINUM-27 TEAMS'!H75&amp;""</f>
        <v>14</v>
      </c>
      <c r="I440" s="437" t="str">
        <f>'19U BOYS PLATINUM-27 TEAMS'!I75&amp;""</f>
        <v>N bracket</v>
      </c>
      <c r="J440" s="438" t="str">
        <f>'19U BOYS PLATINUM-27 TEAMS'!J75&amp;""</f>
        <v>19U_BOYS_PLATINUM</v>
      </c>
      <c r="K440" s="438" t="str">
        <f t="shared" si="8"/>
        <v>202602011200</v>
      </c>
    </row>
    <row r="441" spans="1:11">
      <c r="A441" s="346">
        <f>'10U BOYS-8 TEAMS'!A26</f>
        <v>46054</v>
      </c>
      <c r="B441" s="347">
        <f>'10U BOYS-8 TEAMS'!B26</f>
        <v>0.52083333333333304</v>
      </c>
      <c r="C441" s="348" t="str">
        <f>'10U BOYS-8 TEAMS'!C26&amp;""</f>
        <v>BECKMAN HS 2</v>
      </c>
      <c r="D441" s="348" t="str">
        <f>'10U BOYS-8 TEAMS'!D26&amp;""</f>
        <v>10B13</v>
      </c>
      <c r="E441" s="348" t="str">
        <f>'10U BOYS-8 TEAMS'!E26&amp;""</f>
        <v>4thA-LA PREMIER</v>
      </c>
      <c r="F441" s="348" t="str">
        <f>'10U BOYS-8 TEAMS'!F26&amp;""</f>
        <v>11</v>
      </c>
      <c r="G441" s="348" t="str">
        <f>'10U BOYS-8 TEAMS'!G26&amp;""</f>
        <v>4thB-680 BLUE</v>
      </c>
      <c r="H441" s="348" t="str">
        <f>'10U BOYS-8 TEAMS'!H26&amp;""</f>
        <v>4</v>
      </c>
      <c r="I441" s="348" t="str">
        <f>'10U BOYS-8 TEAMS'!I26&amp;""</f>
        <v>7th</v>
      </c>
      <c r="J441" s="348" t="str">
        <f>'10U BOYS-8 TEAMS'!J26&amp;""</f>
        <v>10U_BOYS</v>
      </c>
      <c r="K441" s="348" t="str">
        <f t="shared" si="8"/>
        <v>202602011230</v>
      </c>
    </row>
    <row r="442" spans="1:11">
      <c r="A442" s="337">
        <f>'10U COED GOLD-16 TEAMS CUSTOM'!A39</f>
        <v>46054</v>
      </c>
      <c r="B442" s="338">
        <f>'10U COED GOLD-16 TEAMS CUSTOM'!B39</f>
        <v>0.52083333333333304</v>
      </c>
      <c r="C442" s="338" t="str">
        <f>'10U COED GOLD-16 TEAMS CUSTOM'!C39&amp;""</f>
        <v>EL TORO HS 2</v>
      </c>
      <c r="D442" s="339" t="str">
        <f>'10U COED GOLD-16 TEAMS CUSTOM'!D39&amp;""</f>
        <v>10Cau27</v>
      </c>
      <c r="E442" s="339" t="str">
        <f>'10U COED GOLD-16 TEAMS CUSTOM'!E39&amp;""</f>
        <v>L#19-TROJAN</v>
      </c>
      <c r="F442" s="339" t="str">
        <f>'10U COED GOLD-16 TEAMS CUSTOM'!F39&amp;""</f>
        <v>18</v>
      </c>
      <c r="G442" s="339" t="str">
        <f>'10U COED GOLD-16 TEAMS CUSTOM'!G39&amp;""</f>
        <v>L#20-ORANGE COUNTY WPC RED</v>
      </c>
      <c r="H442" s="339" t="str">
        <f>'10U COED GOLD-16 TEAMS CUSTOM'!H39&amp;""</f>
        <v>12</v>
      </c>
      <c r="I442" s="339" t="str">
        <f>'10U COED GOLD-16 TEAMS CUSTOM'!I39&amp;""</f>
        <v>7th Coed</v>
      </c>
      <c r="J442" s="339" t="str">
        <f>'10U COED GOLD-16 TEAMS CUSTOM'!J39&amp;""</f>
        <v>10U_COED_GOLD</v>
      </c>
      <c r="K442" s="339" t="str">
        <f t="shared" si="8"/>
        <v>202602011230</v>
      </c>
    </row>
    <row r="443" spans="1:11">
      <c r="A443" s="337">
        <f>'10U COED GOLD-16 TEAMS CUSTOM'!A40</f>
        <v>46054</v>
      </c>
      <c r="B443" s="338">
        <f>'10U COED GOLD-16 TEAMS CUSTOM'!B40</f>
        <v>0.52083333333333304</v>
      </c>
      <c r="C443" s="338" t="str">
        <f>'10U COED GOLD-16 TEAMS CUSTOM'!C40&amp;""</f>
        <v>WOOLLETT FAR LEFT</v>
      </c>
      <c r="D443" s="339" t="str">
        <f>'10U COED GOLD-16 TEAMS CUSTOM'!D40&amp;""</f>
        <v>10Cau29</v>
      </c>
      <c r="E443" s="339" t="str">
        <f>'10U COED GOLD-16 TEAMS CUSTOM'!E40&amp;""</f>
        <v>L#21-YOLO YELLOW</v>
      </c>
      <c r="F443" s="339" t="str">
        <f>'10U COED GOLD-16 TEAMS CUSTOM'!F40&amp;""</f>
        <v>11.2</v>
      </c>
      <c r="G443" s="339" t="str">
        <f>'10U COED GOLD-16 TEAMS CUSTOM'!G40&amp;""</f>
        <v>L#22-SOUTH BAY UNITED</v>
      </c>
      <c r="H443" s="339" t="str">
        <f>'10U COED GOLD-16 TEAMS CUSTOM'!H40&amp;""</f>
        <v>11.1</v>
      </c>
      <c r="I443" s="339" t="str">
        <f>'10U COED GOLD-16 TEAMS CUSTOM'!I40&amp;""</f>
        <v>3rd Coed</v>
      </c>
      <c r="J443" s="339" t="str">
        <f>'10U COED GOLD-16 TEAMS CUSTOM'!J40&amp;""</f>
        <v>10U_COED_GOLD</v>
      </c>
      <c r="K443" s="339" t="str">
        <f t="shared" si="8"/>
        <v>202602011230</v>
      </c>
    </row>
    <row r="444" spans="1:11">
      <c r="A444" s="382">
        <f>'14U GIRLS PLATINUM-10 TEAMS'!A30</f>
        <v>46054</v>
      </c>
      <c r="B444" s="383">
        <f>'14U GIRLS PLATINUM-10 TEAMS'!B30</f>
        <v>0.53472222222222199</v>
      </c>
      <c r="C444" s="383" t="str">
        <f>'14U GIRLS PLATINUM-10 TEAMS'!C30&amp;""</f>
        <v>ALISO NIGUEL HS</v>
      </c>
      <c r="D444" s="384" t="str">
        <f>'14U GIRLS PLATINUM-10 TEAMS'!D30&amp;""</f>
        <v>14Gpt18</v>
      </c>
      <c r="E444" s="384" t="str">
        <f>'14U GIRLS PLATINUM-10 TEAMS'!E30&amp;""</f>
        <v>L#13-NEWPORT BEACH</v>
      </c>
      <c r="F444" s="384" t="str">
        <f>'14U GIRLS PLATINUM-10 TEAMS'!F30&amp;""</f>
        <v>4</v>
      </c>
      <c r="G444" s="384" t="str">
        <f>'14U GIRLS PLATINUM-10 TEAMS'!G30&amp;""</f>
        <v>3rdC-LAMORINDA B</v>
      </c>
      <c r="H444" s="384" t="str">
        <f>'14U GIRLS PLATINUM-10 TEAMS'!H30&amp;""</f>
        <v>9</v>
      </c>
      <c r="I444" s="384" t="str">
        <f>'14U GIRLS PLATINUM-10 TEAMS'!I30&amp;""</f>
        <v>7th-10th</v>
      </c>
      <c r="J444" s="384" t="str">
        <f>'14U GIRLS PLATINUM-10 TEAMS'!J30&amp;""</f>
        <v>14U_GIRLS_PLATINUM</v>
      </c>
      <c r="K444" s="384" t="str">
        <f t="shared" si="8"/>
        <v>202602011250</v>
      </c>
    </row>
    <row r="445" spans="1:11">
      <c r="A445" s="370">
        <f>'12U BOYS PLATINUM-10 TEAMS'!A32</f>
        <v>46054</v>
      </c>
      <c r="B445" s="371">
        <f>'12U BOYS PLATINUM-10 TEAMS'!B32</f>
        <v>0.53472222222222199</v>
      </c>
      <c r="C445" s="371" t="str">
        <f>'12U BOYS PLATINUM-10 TEAMS'!C32&amp;""</f>
        <v>BECKMAN HS 1</v>
      </c>
      <c r="D445" s="373" t="str">
        <f>'12U BOYS PLATINUM-10 TEAMS'!D32&amp;""</f>
        <v>12Bpt20</v>
      </c>
      <c r="E445" s="373" t="str">
        <f>'12U BOYS PLATINUM-10 TEAMS'!E32&amp;""</f>
        <v>L#15-ORWP A</v>
      </c>
      <c r="F445" s="373" t="str">
        <f>'12U BOYS PLATINUM-10 TEAMS'!F32&amp;""</f>
        <v>4</v>
      </c>
      <c r="G445" s="373" t="str">
        <f>'12U BOYS PLATINUM-10 TEAMS'!G32&amp;""</f>
        <v>L#16-CC UNITED BLACK</v>
      </c>
      <c r="H445" s="373" t="str">
        <f>'12U BOYS PLATINUM-10 TEAMS'!H32&amp;""</f>
        <v>16</v>
      </c>
      <c r="I445" s="373" t="str">
        <f>'12U BOYS PLATINUM-10 TEAMS'!I32&amp;""</f>
        <v>3rd</v>
      </c>
      <c r="J445" s="373" t="str">
        <f>'12U BOYS PLATINUM-10 TEAMS'!J32&amp;""</f>
        <v>12U_BOYS_PLATINUM</v>
      </c>
      <c r="K445" s="373" t="str">
        <f t="shared" si="8"/>
        <v>202602011250</v>
      </c>
    </row>
    <row r="446" spans="1:11">
      <c r="A446" s="387">
        <f>'14U BOYS SILVER-18 TEAMS'!A50</f>
        <v>46054</v>
      </c>
      <c r="B446" s="388">
        <f>'14U BOYS SILVER-18 TEAMS'!B50</f>
        <v>0.53472222222222199</v>
      </c>
      <c r="C446" s="388" t="str">
        <f>'14U BOYS SILVER-18 TEAMS'!C50&amp;""</f>
        <v>COSTA MESA HS 1</v>
      </c>
      <c r="D446" s="389" t="str">
        <f>'14U BOYS SILVER-18 TEAMS'!D50&amp;""</f>
        <v>14Bag31</v>
      </c>
      <c r="E446" s="388" t="str">
        <f>'14U BOYS SILVER-18 TEAMS'!E50&amp;""</f>
        <v>G2(1stB)-SAN FRANCISCO</v>
      </c>
      <c r="F446" s="392" t="str">
        <f>'14U BOYS SILVER-18 TEAMS'!F50&amp;""</f>
        <v>6</v>
      </c>
      <c r="G446" s="388" t="str">
        <f>'14U BOYS SILVER-18 TEAMS'!G50&amp;""</f>
        <v>G3(1stC)-PASADENA AC</v>
      </c>
      <c r="H446" s="391" t="str">
        <f>'14U BOYS SILVER-18 TEAMS'!H50&amp;""</f>
        <v>11</v>
      </c>
      <c r="I446" s="392" t="str">
        <f>'14U BOYS SILVER-18 TEAMS'!I50&amp;""</f>
        <v>1st-6th</v>
      </c>
      <c r="J446" s="389" t="str">
        <f>'14U BOYS SILVER-18 TEAMS'!J50&amp;""</f>
        <v>14U_BOYS_SILVER</v>
      </c>
      <c r="K446" s="389" t="str">
        <f t="shared" si="8"/>
        <v>202602011250</v>
      </c>
    </row>
    <row r="447" spans="1:11">
      <c r="A447" s="357">
        <f>'12U BOYS GOLD-24 TEAMS'!A50</f>
        <v>46054</v>
      </c>
      <c r="B447" s="358">
        <f>'12U BOYS GOLD-24 TEAMS'!B50</f>
        <v>0.53472222222222199</v>
      </c>
      <c r="C447" s="358" t="str">
        <f>'12U BOYS GOLD-24 TEAMS'!C50&amp;""</f>
        <v>COSTA MESA HS 2</v>
      </c>
      <c r="D447" s="365" t="str">
        <f>'12U BOYS GOLD-24 TEAMS'!D50&amp;""</f>
        <v>12Bau24A</v>
      </c>
      <c r="E447" s="360" t="str">
        <f>'12U BOYS GOLD-24 TEAMS'!E50&amp;""</f>
        <v>W#17A-FOOTHILL RED</v>
      </c>
      <c r="F447" s="360" t="str">
        <f>'12U BOYS GOLD-24 TEAMS'!F50&amp;""</f>
        <v>9</v>
      </c>
      <c r="G447" s="359" t="str">
        <f>'12U BOYS GOLD-24 TEAMS'!G50&amp;""</f>
        <v>W#18A-680 BLUE</v>
      </c>
      <c r="H447" s="360" t="str">
        <f>'12U BOYS GOLD-24 TEAMS'!H50&amp;""</f>
        <v>4</v>
      </c>
      <c r="I447" s="360" t="str">
        <f>'12U BOYS GOLD-24 TEAMS'!I50&amp;""</f>
        <v>overall 1-4 semi</v>
      </c>
      <c r="J447" s="359" t="str">
        <f>'12U BOYS GOLD-24 TEAMS'!J50&amp;""</f>
        <v>12U_BOYS_GOLD</v>
      </c>
      <c r="K447" s="359" t="str">
        <f t="shared" si="8"/>
        <v>202602011250</v>
      </c>
    </row>
    <row r="448" spans="1:11">
      <c r="A448" s="399">
        <f>'14U BOYS PLATINUM-20 TEAMS'!A54</f>
        <v>46054</v>
      </c>
      <c r="B448" s="400">
        <f>'14U BOYS PLATINUM-20 TEAMS'!B54</f>
        <v>0.53472222222222199</v>
      </c>
      <c r="C448" s="400" t="str">
        <f>'14U BOYS PLATINUM-20 TEAMS'!C54&amp;""</f>
        <v>EL TORO HS 1</v>
      </c>
      <c r="D448" s="401" t="str">
        <f>'14U BOYS PLATINUM-20 TEAMS'!D54&amp;""</f>
        <v>14Bpt28</v>
      </c>
      <c r="E448" s="401" t="str">
        <f>'14U BOYS PLATINUM-20 TEAMS'!E54&amp;""</f>
        <v>G1(1stA)-MISSION WPC A</v>
      </c>
      <c r="F448" s="401" t="str">
        <f>'14U BOYS PLATINUM-20 TEAMS'!F54&amp;""</f>
        <v>8</v>
      </c>
      <c r="G448" s="401" t="str">
        <f>'14U BOYS PLATINUM-20 TEAMS'!G54&amp;""</f>
        <v>G2(1stB)-PALOS VERDES A</v>
      </c>
      <c r="H448" s="401" t="str">
        <f>'14U BOYS PLATINUM-20 TEAMS'!H54&amp;""</f>
        <v>7</v>
      </c>
      <c r="I448" s="401" t="str">
        <f>'14U BOYS PLATINUM-20 TEAMS'!I54&amp;""</f>
        <v>G bracket</v>
      </c>
      <c r="J448" s="401" t="str">
        <f>'14U BOYS PLATINUM-20 TEAMS'!J54&amp;""</f>
        <v>14U_BOYS_PLATINUM</v>
      </c>
      <c r="K448" s="401" t="str">
        <f t="shared" si="8"/>
        <v>202602011250</v>
      </c>
    </row>
    <row r="449" spans="1:11">
      <c r="A449" s="394">
        <f>'14U BOYS GOLD-26 TEAMS'!A62</f>
        <v>46054</v>
      </c>
      <c r="B449" s="395">
        <f>'14U BOYS GOLD-26 TEAMS'!B62</f>
        <v>0.53472222222222199</v>
      </c>
      <c r="C449" s="396" t="str">
        <f>'14U BOYS GOLD-26 TEAMS'!C62&amp;""</f>
        <v>ESTANCIA HS 2</v>
      </c>
      <c r="D449" s="396" t="str">
        <f>'14U BOYS GOLD-26 TEAMS'!D62&amp;""</f>
        <v>14Bau39</v>
      </c>
      <c r="E449" s="398" t="str">
        <f>'14U BOYS GOLD-26 TEAMS'!E62&amp;""</f>
        <v>L#27-SAN CLEMENTE RED</v>
      </c>
      <c r="F449" s="397" t="str">
        <f>'14U BOYS GOLD-26 TEAMS'!F62&amp;""</f>
        <v>13</v>
      </c>
      <c r="G449" s="397" t="str">
        <f>'14U BOYS GOLD-26 TEAMS'!G62&amp;""</f>
        <v>L#28-BACK BAY</v>
      </c>
      <c r="H449" s="397" t="str">
        <f>'14U BOYS GOLD-26 TEAMS'!H62&amp;""</f>
        <v>11</v>
      </c>
      <c r="I449" s="396" t="str">
        <f>'14U BOYS GOLD-26 TEAMS'!I62&amp;""</f>
        <v>3rd/4thJ</v>
      </c>
      <c r="J449" s="397" t="str">
        <f>'14U BOYS GOLD-26 TEAMS'!J62&amp;""</f>
        <v>14U_BOYS_GOLD</v>
      </c>
      <c r="K449" s="397" t="str">
        <f t="shared" si="8"/>
        <v>202602011250</v>
      </c>
    </row>
    <row r="450" spans="1:11">
      <c r="A450" s="394">
        <f>'14U BOYS GOLD-26 TEAMS'!A73</f>
        <v>46054</v>
      </c>
      <c r="B450" s="395">
        <f>'14U BOYS GOLD-26 TEAMS'!B73</f>
        <v>0.53472222222222199</v>
      </c>
      <c r="C450" s="396" t="str">
        <f>'14U BOYS GOLD-26 TEAMS'!C73&amp;""</f>
        <v>LAGUNA HILLS HS</v>
      </c>
      <c r="D450" s="396" t="str">
        <f>'14U BOYS GOLD-26 TEAMS'!D73&amp;""</f>
        <v>14Bau46</v>
      </c>
      <c r="E450" s="397" t="str">
        <f>'14U BOYS GOLD-26 TEAMS'!E73&amp;""</f>
        <v>O1(3rdE)-FOOTHILL RED</v>
      </c>
      <c r="F450" s="397" t="str">
        <f>'14U BOYS GOLD-26 TEAMS'!F73&amp;""</f>
        <v>10</v>
      </c>
      <c r="G450" s="398" t="str">
        <f>'14U BOYS GOLD-26 TEAMS'!G73&amp;""</f>
        <v>O2(3rdC)-STANFORD 13</v>
      </c>
      <c r="H450" s="397" t="str">
        <f>'14U BOYS GOLD-26 TEAMS'!H73&amp;""</f>
        <v>3</v>
      </c>
      <c r="I450" s="396" t="str">
        <f>'14U BOYS GOLD-26 TEAMS'!I73&amp;""</f>
        <v>O bracket</v>
      </c>
      <c r="J450" s="397" t="str">
        <f>'14U BOYS GOLD-26 TEAMS'!J73&amp;""</f>
        <v>14U_BOYS_GOLD</v>
      </c>
      <c r="K450" s="397" t="str">
        <f t="shared" si="8"/>
        <v>202602011250</v>
      </c>
    </row>
    <row r="451" spans="1:11">
      <c r="A451" s="378">
        <f>'14U GIRLS GOLD-14 TEAMS'!A36</f>
        <v>46054</v>
      </c>
      <c r="B451" s="379">
        <f>'14U GIRLS GOLD-14 TEAMS'!B36</f>
        <v>0.53472222222222199</v>
      </c>
      <c r="C451" s="379" t="str">
        <f>'14U GIRLS GOLD-14 TEAMS'!C36&amp;""</f>
        <v>SAN CLEMENTE HS</v>
      </c>
      <c r="D451" s="380" t="str">
        <f>'14U GIRLS GOLD-14 TEAMS'!D36&amp;""</f>
        <v>14Gau27</v>
      </c>
      <c r="E451" s="380" t="str">
        <f>'14U GIRLS GOLD-14 TEAMS'!E36&amp;""</f>
        <v>W#23-LA JOLLA UNITED</v>
      </c>
      <c r="F451" s="380" t="str">
        <f>'14U GIRLS GOLD-14 TEAMS'!F36&amp;""</f>
        <v>10.3</v>
      </c>
      <c r="G451" s="380" t="str">
        <f>'14U GIRLS GOLD-14 TEAMS'!G36&amp;""</f>
        <v>W#24-SHAQ</v>
      </c>
      <c r="H451" s="380" t="str">
        <f>'14U GIRLS GOLD-14 TEAMS'!H36&amp;""</f>
        <v>10.2</v>
      </c>
      <c r="I451" s="380" t="str">
        <f>'14U GIRLS GOLD-14 TEAMS'!I36&amp;""</f>
        <v>5th</v>
      </c>
      <c r="J451" s="380" t="str">
        <f>'14U GIRLS GOLD-14 TEAMS'!J36&amp;""</f>
        <v>14U_GIRLS_GOLD</v>
      </c>
      <c r="K451" s="380" t="str">
        <f t="shared" si="8"/>
        <v>202602011250</v>
      </c>
    </row>
    <row r="452" spans="1:11">
      <c r="A452" s="399">
        <f>'14U BOYS PLATINUM-20 TEAMS'!A67</f>
        <v>46054</v>
      </c>
      <c r="B452" s="400">
        <f>'14U BOYS PLATINUM-20 TEAMS'!B67</f>
        <v>0.53472222222222199</v>
      </c>
      <c r="C452" s="400" t="str">
        <f>'14U BOYS PLATINUM-20 TEAMS'!C67&amp;""</f>
        <v>TUSTIN HS 1</v>
      </c>
      <c r="D452" s="401" t="str">
        <f>'14U BOYS PLATINUM-20 TEAMS'!D67&amp;""</f>
        <v>14Bpt40</v>
      </c>
      <c r="E452" s="401" t="str">
        <f>'14U BOYS PLATINUM-20 TEAMS'!E67&amp;""</f>
        <v>H1(2ndA)-TROJAN CARDINAL</v>
      </c>
      <c r="F452" s="401" t="str">
        <f>'14U BOYS PLATINUM-20 TEAMS'!F67&amp;""</f>
        <v>7</v>
      </c>
      <c r="G452" s="401" t="str">
        <f>'14U BOYS PLATINUM-20 TEAMS'!G67&amp;""</f>
        <v>H2(2ndB)-NORCAL</v>
      </c>
      <c r="H452" s="401" t="str">
        <f>'14U BOYS PLATINUM-20 TEAMS'!H67&amp;""</f>
        <v>12</v>
      </c>
      <c r="I452" s="401" t="str">
        <f>'14U BOYS PLATINUM-20 TEAMS'!I67&amp;""</f>
        <v>H bracket</v>
      </c>
      <c r="J452" s="401" t="str">
        <f>'14U BOYS PLATINUM-20 TEAMS'!J67&amp;""</f>
        <v>14U_BOYS_PLATINUM</v>
      </c>
      <c r="K452" s="401" t="str">
        <f t="shared" si="8"/>
        <v>202602011250</v>
      </c>
    </row>
    <row r="453" spans="1:11">
      <c r="A453" s="375">
        <f>'12U COED-7 TEAMS'!A27</f>
        <v>46054</v>
      </c>
      <c r="B453" s="376">
        <f>'12U COED-7 TEAMS'!B27</f>
        <v>0.53472222222222199</v>
      </c>
      <c r="C453" s="377" t="str">
        <f>'12U COED-7 TEAMS'!C27&amp;""</f>
        <v>TUSTIN HS 2</v>
      </c>
      <c r="D453" s="377" t="str">
        <f>'12U COED-7 TEAMS'!D27&amp;""</f>
        <v>12C12</v>
      </c>
      <c r="E453" s="377" t="str">
        <f>'12U COED-7 TEAMS'!E27&amp;""</f>
        <v>1stB-YOLO BLACK</v>
      </c>
      <c r="F453" s="377" t="str">
        <f>'12U COED-7 TEAMS'!F27&amp;""</f>
        <v>20</v>
      </c>
      <c r="G453" s="377" t="str">
        <f>'12U COED-7 TEAMS'!G27&amp;""</f>
        <v>2ndA-PALOS VERDES</v>
      </c>
      <c r="H453" s="377" t="str">
        <f>'12U COED-7 TEAMS'!H27&amp;""</f>
        <v>1</v>
      </c>
      <c r="I453" s="377" t="str">
        <f>'12U COED-7 TEAMS'!I27&amp;""</f>
        <v>1-4 semi</v>
      </c>
      <c r="J453" s="377" t="str">
        <f>'12U COED-7 TEAMS'!J27&amp;""</f>
        <v>12U_COED</v>
      </c>
      <c r="K453" s="377" t="str">
        <f t="shared" si="8"/>
        <v>202602011250</v>
      </c>
    </row>
    <row r="454" spans="1:11">
      <c r="A454" s="351">
        <f>'12U GIRLS PLATINUM-12 TEAMS'!A34</f>
        <v>46054</v>
      </c>
      <c r="B454" s="352">
        <f>'12U GIRLS PLATINUM-12 TEAMS'!B34</f>
        <v>0.53472222222222199</v>
      </c>
      <c r="C454" s="351" t="str">
        <f>'12U GIRLS PLATINUM-12 TEAMS'!C34&amp;""</f>
        <v>WOOLLETT FAR RIGHT</v>
      </c>
      <c r="D454" s="353" t="str">
        <f>'12U GIRLS PLATINUM-12 TEAMS'!D34&amp;""</f>
        <v>12Gpt19</v>
      </c>
      <c r="E454" s="351" t="str">
        <f>'12U GIRLS PLATINUM-12 TEAMS'!E34&amp;""</f>
        <v xml:space="preserve">W#15-LA JOLLA UNITED	</v>
      </c>
      <c r="F454" s="353" t="str">
        <f>'12U GIRLS PLATINUM-12 TEAMS'!F34&amp;""</f>
        <v>3</v>
      </c>
      <c r="G454" s="351" t="str">
        <f>'12U GIRLS PLATINUM-12 TEAMS'!G34&amp;""</f>
        <v xml:space="preserve">W#16-ORANGE COUNTY WPC BLUE	</v>
      </c>
      <c r="H454" s="353" t="str">
        <f>'12U GIRLS PLATINUM-12 TEAMS'!H34&amp;""</f>
        <v>13</v>
      </c>
      <c r="I454" s="353" t="str">
        <f>'12U GIRLS PLATINUM-12 TEAMS'!I34&amp;""</f>
        <v>5th</v>
      </c>
      <c r="J454" s="353" t="str">
        <f>'12U GIRLS PLATINUM-12 TEAMS'!J34&amp;""</f>
        <v>12U_GIRLS_PLATINUM</v>
      </c>
      <c r="K454" s="353" t="str">
        <f t="shared" si="8"/>
        <v>202602011250</v>
      </c>
    </row>
    <row r="455" spans="1:11">
      <c r="A455" s="432">
        <f>'19U BOYS GOLD-16 TEAMS'!A34</f>
        <v>46054</v>
      </c>
      <c r="B455" s="433">
        <f>'19U BOYS GOLD-16 TEAMS'!B34</f>
        <v>0.54166666666666663</v>
      </c>
      <c r="C455" s="433" t="str">
        <f>'19U BOYS GOLD-16 TEAMS'!C34&amp;""</f>
        <v>ESPERANZA HS</v>
      </c>
      <c r="D455" s="434" t="str">
        <f>'19U BOYS GOLD-16 TEAMS'!D34&amp;""</f>
        <v>19Bau28</v>
      </c>
      <c r="E455" s="434" t="str">
        <f>'19U BOYS GOLD-16 TEAMS'!E34&amp;""</f>
        <v>3rdB-FARALLON</v>
      </c>
      <c r="F455" s="434" t="str">
        <f>'19U BOYS GOLD-16 TEAMS'!F34&amp;""</f>
        <v>9</v>
      </c>
      <c r="G455" s="434" t="str">
        <f>'19U BOYS GOLD-16 TEAMS'!G34&amp;""</f>
        <v>3rdC-NORTHWEST</v>
      </c>
      <c r="H455" s="434" t="str">
        <f>'19U BOYS GOLD-16 TEAMS'!H34&amp;""</f>
        <v>10</v>
      </c>
      <c r="I455" s="434" t="str">
        <f>'19U BOYS GOLD-16 TEAMS'!I34&amp;""</f>
        <v>9-12 semi 3B/3C</v>
      </c>
      <c r="J455" s="434" t="str">
        <f>'19U BOYS GOLD-16 TEAMS'!J34&amp;""</f>
        <v>19U_BOYS_GOLD</v>
      </c>
      <c r="K455" s="434" t="str">
        <f t="shared" si="8"/>
        <v>202602011300</v>
      </c>
    </row>
    <row r="456" spans="1:11">
      <c r="A456" s="435">
        <f>'19U BOYS PLATINUM-27 TEAMS'!A86</f>
        <v>46054</v>
      </c>
      <c r="B456" s="436">
        <f>'19U BOYS PLATINUM-27 TEAMS'!B86</f>
        <v>0.54166666666666696</v>
      </c>
      <c r="C456" s="437" t="str">
        <f>'19U BOYS PLATINUM-27 TEAMS'!C86&amp;""</f>
        <v>EDISON HS</v>
      </c>
      <c r="D456" s="437" t="str">
        <f>'19U BOYS PLATINUM-27 TEAMS'!D86&amp;""</f>
        <v>19Bpt51</v>
      </c>
      <c r="E456" s="438" t="str">
        <f>'19U BOYS PLATINUM-27 TEAMS'!E86&amp;""</f>
        <v>M1(2ndE)-VANGUARD BLUE</v>
      </c>
      <c r="F456" s="438" t="str">
        <f>'19U BOYS PLATINUM-27 TEAMS'!F86&amp;""</f>
        <v>15</v>
      </c>
      <c r="G456" s="438" t="str">
        <f>'19U BOYS PLATINUM-27 TEAMS'!G86&amp;""</f>
        <v>CT PREMIER</v>
      </c>
      <c r="H456" s="438" t="str">
        <f>'19U BOYS PLATINUM-27 TEAMS'!H86&amp;""</f>
        <v>17</v>
      </c>
      <c r="I456" s="437" t="str">
        <f>'19U BOYS PLATINUM-27 TEAMS'!I86&amp;""</f>
        <v>9th16th M1/M4</v>
      </c>
      <c r="J456" s="438" t="str">
        <f>'19U BOYS PLATINUM-27 TEAMS'!J86&amp;""</f>
        <v>19U_BOYS_PLATINUM</v>
      </c>
      <c r="K456" s="438" t="str">
        <f t="shared" si="8"/>
        <v>202602011300</v>
      </c>
    </row>
    <row r="457" spans="1:11">
      <c r="A457" s="428">
        <f>'19U BOYS SILVER-6 TEAMS CUST'!A23</f>
        <v>46054</v>
      </c>
      <c r="B457" s="429">
        <f>'19U BOYS SILVER-6 TEAMS CUST'!B23</f>
        <v>0.54166666666666696</v>
      </c>
      <c r="C457" s="429" t="str">
        <f>'19U BOYS SILVER-6 TEAMS CUST'!C23&amp;""</f>
        <v>ESTANCIA HS 1</v>
      </c>
      <c r="D457" s="430" t="str">
        <f>'19U BOYS SILVER-6 TEAMS CUST'!D23&amp;""</f>
        <v>19Bag10</v>
      </c>
      <c r="E457" s="430" t="str">
        <f>'19U BOYS SILVER-6 TEAMS CUST'!E23&amp;""</f>
        <v>A1-SHORE AQUATICS</v>
      </c>
      <c r="F457" s="430" t="str">
        <f>'19U BOYS SILVER-6 TEAMS CUST'!F23&amp;""</f>
        <v>5</v>
      </c>
      <c r="G457" s="430" t="str">
        <f>'19U BOYS SILVER-6 TEAMS CUST'!G23&amp;""</f>
        <v>B1-CHARGERS WHITE</v>
      </c>
      <c r="H457" s="430" t="str">
        <f>'19U BOYS SILVER-6 TEAMS CUST'!H23&amp;""</f>
        <v>9</v>
      </c>
      <c r="I457" s="430" t="str">
        <f>'19U BOYS SILVER-6 TEAMS CUST'!I23&amp;""</f>
        <v>A1,B1</v>
      </c>
      <c r="J457" s="430" t="str">
        <f>'19U BOYS SILVER-6 TEAMS CUST'!J23&amp;""</f>
        <v>19U_BOYS_SILVER</v>
      </c>
      <c r="K457" s="430" t="str">
        <f t="shared" si="8"/>
        <v>202602011300</v>
      </c>
    </row>
    <row r="458" spans="1:11">
      <c r="A458" s="432">
        <f>'19U BOYS GOLD-16 TEAMS'!A32</f>
        <v>46054</v>
      </c>
      <c r="B458" s="433">
        <f>'19U BOYS GOLD-16 TEAMS'!B32</f>
        <v>0.54166666666666696</v>
      </c>
      <c r="C458" s="433" t="str">
        <f>'19U BOYS GOLD-16 TEAMS'!C32&amp;""</f>
        <v>FULLERTON COLLEGE</v>
      </c>
      <c r="D458" s="434" t="str">
        <f>'19U BOYS GOLD-16 TEAMS'!D32&amp;""</f>
        <v>19Bau21</v>
      </c>
      <c r="E458" s="434" t="str">
        <f>'19U BOYS GOLD-16 TEAMS'!E32&amp;""</f>
        <v>2ndD-BIG VALLEY</v>
      </c>
      <c r="F458" s="434" t="str">
        <f>'19U BOYS GOLD-16 TEAMS'!F32&amp;""</f>
        <v>12</v>
      </c>
      <c r="G458" s="434" t="str">
        <f>'19U BOYS GOLD-16 TEAMS'!G32&amp;""</f>
        <v>2ndA-CLOVIS BLACK</v>
      </c>
      <c r="H458" s="434" t="str">
        <f>'19U BOYS GOLD-16 TEAMS'!H32&amp;""</f>
        <v>6</v>
      </c>
      <c r="I458" s="434" t="str">
        <f>'19U BOYS GOLD-16 TEAMS'!I32&amp;""</f>
        <v>5-8 semi 2D/2A</v>
      </c>
      <c r="J458" s="434" t="str">
        <f>'19U BOYS GOLD-16 TEAMS'!J32&amp;""</f>
        <v>19U_BOYS_GOLD</v>
      </c>
      <c r="K458" s="434" t="str">
        <f t="shared" si="8"/>
        <v>202602011300</v>
      </c>
    </row>
    <row r="459" spans="1:11">
      <c r="A459" s="413">
        <f>'16U BOYS GOLD-19 TEAMS'!A66</f>
        <v>46054</v>
      </c>
      <c r="B459" s="414">
        <f>'16U BOYS GOLD-19 TEAMS'!B66</f>
        <v>0.54166666666666696</v>
      </c>
      <c r="C459" s="414" t="str">
        <f>'16U BOYS GOLD-19 TEAMS'!C66&amp;""</f>
        <v>SADDLEBACK COLLEGE</v>
      </c>
      <c r="D459" s="415" t="str">
        <f>'16U BOYS GOLD-19 TEAMS'!D66&amp;""</f>
        <v>16Bau37</v>
      </c>
      <c r="E459" s="416" t="str">
        <f>'16U BOYS GOLD-19 TEAMS'!E66&amp;""</f>
        <v>L#33-BOA BLUE</v>
      </c>
      <c r="F459" s="417" t="str">
        <f>'16U BOYS GOLD-19 TEAMS'!F66&amp;""</f>
        <v>7</v>
      </c>
      <c r="G459" s="416" t="str">
        <f>'16U BOYS GOLD-19 TEAMS'!G66&amp;""</f>
        <v>L#34-ORANGE COUNTY WPC BLUE</v>
      </c>
      <c r="H459" s="417" t="str">
        <f>'16U BOYS GOLD-19 TEAMS'!H66&amp;""</f>
        <v>5</v>
      </c>
      <c r="I459" s="418" t="str">
        <f>'16U BOYS GOLD-19 TEAMS'!I66&amp;""</f>
        <v>3rd/4thL</v>
      </c>
      <c r="J459" s="415" t="str">
        <f>'16U BOYS GOLD-19 TEAMS'!J66&amp;""</f>
        <v>16U_BOYS_GOLD</v>
      </c>
      <c r="K459" s="415" t="str">
        <f t="shared" si="8"/>
        <v>202602011300</v>
      </c>
    </row>
    <row r="460" spans="1:11">
      <c r="A460" s="410">
        <f>'16U BOYS GOLD-19 TEAMS'!A54</f>
        <v>46054</v>
      </c>
      <c r="B460" s="411">
        <f>'16U BOYS GOLD-19 TEAMS'!B54</f>
        <v>0.54166666666666696</v>
      </c>
      <c r="C460" s="411" t="str">
        <f>'16U BOYS GOLD-19 TEAMS'!C54&amp;""</f>
        <v>SAN JUAN HILLS HS</v>
      </c>
      <c r="D460" s="412" t="str">
        <f>'16U BOYS GOLD-19 TEAMS'!D54&amp;""</f>
        <v>16Bau26</v>
      </c>
      <c r="E460" s="412" t="str">
        <f>'16U BOYS GOLD-19 TEAMS'!E54&amp;""</f>
        <v>G1(1stA)-SAN JOSE EXPRESS BLUE</v>
      </c>
      <c r="F460" s="412" t="str">
        <f>'16U BOYS GOLD-19 TEAMS'!F54&amp;""</f>
        <v>5</v>
      </c>
      <c r="G460" s="412" t="str">
        <f>'16U BOYS GOLD-19 TEAMS'!G54&amp;""</f>
        <v>G2(1stB)-SOUTH COAST WHITE (B)</v>
      </c>
      <c r="H460" s="412" t="str">
        <f>'16U BOYS GOLD-19 TEAMS'!H54&amp;""</f>
        <v>6</v>
      </c>
      <c r="I460" s="412" t="str">
        <f>'16U BOYS GOLD-19 TEAMS'!I54&amp;""</f>
        <v>G bracket G1,G2</v>
      </c>
      <c r="J460" s="412" t="str">
        <f>'16U BOYS GOLD-19 TEAMS'!J54&amp;""</f>
        <v>16U_BOYS_GOLD</v>
      </c>
      <c r="K460" s="412" t="str">
        <f t="shared" si="8"/>
        <v>202602011300</v>
      </c>
    </row>
    <row r="461" spans="1:11">
      <c r="A461" s="406">
        <f>'16U BOYS SILVER-20 TEAMS'!A57</f>
        <v>46054</v>
      </c>
      <c r="B461" s="407">
        <f>'16U BOYS SILVER-20 TEAMS'!B57</f>
        <v>0.54166666666666696</v>
      </c>
      <c r="C461" s="407" t="str">
        <f>'16U BOYS SILVER-20 TEAMS'!C57&amp;""</f>
        <v>SONORA HS</v>
      </c>
      <c r="D461" s="408" t="str">
        <f>'16U BOYS SILVER-20 TEAMS'!D57&amp;""</f>
        <v>16Bag30</v>
      </c>
      <c r="E461" s="408" t="str">
        <f>'16U BOYS SILVER-20 TEAMS'!E57&amp;""</f>
        <v>K1(2ndD)-SD ECA</v>
      </c>
      <c r="F461" s="408" t="str">
        <f>'16U BOYS SILVER-20 TEAMS'!F57&amp;""</f>
        <v>3</v>
      </c>
      <c r="G461" s="408" t="str">
        <f>'16U BOYS SILVER-20 TEAMS'!G57&amp;""</f>
        <v>K2(2ndE)-STANFORD WHITE</v>
      </c>
      <c r="H461" s="408" t="str">
        <f>'16U BOYS SILVER-20 TEAMS'!H57&amp;""</f>
        <v>15</v>
      </c>
      <c r="I461" s="408" t="str">
        <f>'16U BOYS SILVER-20 TEAMS'!I57&amp;""</f>
        <v>K bracket</v>
      </c>
      <c r="J461" s="408" t="str">
        <f>'16U BOYS SILVER-20 TEAMS'!J57&amp;""</f>
        <v>16U_BOYS_SILVER</v>
      </c>
      <c r="K461" s="408" t="str">
        <f t="shared" si="8"/>
        <v>202602011300</v>
      </c>
    </row>
    <row r="462" spans="1:11">
      <c r="A462" s="421">
        <f>'16U BOYS PLATINUM-18 TEAMS'!A60</f>
        <v>46054</v>
      </c>
      <c r="B462" s="422">
        <f>'16U BOYS PLATINUM-18 TEAMS'!B60</f>
        <v>0.54166666666666696</v>
      </c>
      <c r="C462" s="422" t="str">
        <f>'16U BOYS PLATINUM-18 TEAMS'!C60&amp;""</f>
        <v>WESTMINSTER HS</v>
      </c>
      <c r="D462" s="422" t="str">
        <f>'16U BOYS PLATINUM-18 TEAMS'!D60&amp;""</f>
        <v>16Bpt32</v>
      </c>
      <c r="E462" s="423" t="str">
        <f>'16U BOYS PLATINUM-18 TEAMS'!E60&amp;""</f>
        <v>K2(2ndB)-AMERICAN RIVER BLUE</v>
      </c>
      <c r="F462" s="424" t="str">
        <f>'16U BOYS PLATINUM-18 TEAMS'!F60&amp;""</f>
        <v>10</v>
      </c>
      <c r="G462" s="425" t="str">
        <f>'16U BOYS PLATINUM-18 TEAMS'!G60&amp;""</f>
        <v xml:space="preserve">K3(2ndA)-SAND CANYON	</v>
      </c>
      <c r="H462" s="424" t="str">
        <f>'16U BOYS PLATINUM-18 TEAMS'!H60&amp;""</f>
        <v>6</v>
      </c>
      <c r="I462" s="425" t="str">
        <f>'16U BOYS PLATINUM-18 TEAMS'!I60&amp;""</f>
        <v>7th-12th</v>
      </c>
      <c r="J462" s="426" t="str">
        <f>'16U BOYS PLATINUM-18 TEAMS'!J60&amp;""</f>
        <v>16U_BOYS_PLATINUM</v>
      </c>
      <c r="K462" s="426" t="str">
        <f t="shared" si="8"/>
        <v>202602011300</v>
      </c>
    </row>
    <row r="463" spans="1:11">
      <c r="A463" s="435">
        <f>'19U BOYS PLATINUM-27 TEAMS'!A65</f>
        <v>46054</v>
      </c>
      <c r="B463" s="436">
        <f>'19U BOYS PLATINUM-27 TEAMS'!B65</f>
        <v>0.54166666666666696</v>
      </c>
      <c r="C463" s="437" t="str">
        <f>'19U BOYS PLATINUM-27 TEAMS'!C65&amp;""</f>
        <v>WOOLLETT NEAR LEFT</v>
      </c>
      <c r="D463" s="437" t="str">
        <f>'19U BOYS PLATINUM-27 TEAMS'!D65&amp;""</f>
        <v>19Bpt33</v>
      </c>
      <c r="E463" s="438" t="str">
        <f>'19U BOYS PLATINUM-27 TEAMS'!E65&amp;""</f>
        <v>W#30-LAMORINDA A</v>
      </c>
      <c r="F463" s="438" t="str">
        <f>'19U BOYS PLATINUM-27 TEAMS'!F65&amp;""</f>
        <v>9</v>
      </c>
      <c r="G463" s="438" t="str">
        <f>'19U BOYS PLATINUM-27 TEAMS'!G65&amp;""</f>
        <v>W#31-CHANNEL ISLANDS UNITED TEAL</v>
      </c>
      <c r="H463" s="438" t="str">
        <f>'19U BOYS PLATINUM-27 TEAMS'!H65&amp;""</f>
        <v>8</v>
      </c>
      <c r="I463" s="437" t="str">
        <f>'19U BOYS PLATINUM-27 TEAMS'!I65&amp;""</f>
        <v>1st/2ndK</v>
      </c>
      <c r="J463" s="438" t="str">
        <f>'19U BOYS PLATINUM-27 TEAMS'!J65&amp;""</f>
        <v>19U_BOYS_PLATINUM</v>
      </c>
      <c r="K463" s="438" t="str">
        <f t="shared" si="8"/>
        <v>202602011300</v>
      </c>
    </row>
    <row r="464" spans="1:11">
      <c r="A464" s="421">
        <f>'16U BOYS PLATINUM-18 TEAMS'!A50</f>
        <v>46054</v>
      </c>
      <c r="B464" s="422">
        <f>'16U BOYS PLATINUM-18 TEAMS'!B50</f>
        <v>0.54166666666666696</v>
      </c>
      <c r="C464" s="422" t="str">
        <f>'16U BOYS PLATINUM-18 TEAMS'!C50&amp;""</f>
        <v>WOOLLETT NEAR RIGHT</v>
      </c>
      <c r="D464" s="422" t="str">
        <f>'16U BOYS PLATINUM-18 TEAMS'!D50&amp;""</f>
        <v>16Bpt31</v>
      </c>
      <c r="E464" s="423" t="str">
        <f>'16U BOYS PLATINUM-18 TEAMS'!E50&amp;""</f>
        <v>G2(1stB)-IMPERIAL WPC</v>
      </c>
      <c r="F464" s="422" t="str">
        <f>'16U BOYS PLATINUM-18 TEAMS'!F50&amp;""</f>
        <v>10</v>
      </c>
      <c r="G464" s="426" t="str">
        <f>'16U BOYS PLATINUM-18 TEAMS'!G50&amp;""</f>
        <v>G3(1stC)-680 RED</v>
      </c>
      <c r="H464" s="422" t="str">
        <f>'16U BOYS PLATINUM-18 TEAMS'!H50&amp;""</f>
        <v>9</v>
      </c>
      <c r="I464" s="425" t="str">
        <f>'16U BOYS PLATINUM-18 TEAMS'!I50&amp;""</f>
        <v>1st-6th</v>
      </c>
      <c r="J464" s="426" t="str">
        <f>'16U BOYS PLATINUM-18 TEAMS'!J50&amp;""</f>
        <v>16U_BOYS_PLATINUM</v>
      </c>
      <c r="K464" s="426" t="str">
        <f t="shared" si="8"/>
        <v>202602011300</v>
      </c>
    </row>
    <row r="465" spans="1:11">
      <c r="A465" s="432">
        <f>'19U BOYS GOLD-16 TEAMS'!A33</f>
        <v>46054</v>
      </c>
      <c r="B465" s="433">
        <f>'19U BOYS GOLD-16 TEAMS'!B33</f>
        <v>0.54166666666666696</v>
      </c>
      <c r="C465" s="433" t="str">
        <f>'19U BOYS GOLD-16 TEAMS'!C33&amp;""</f>
        <v>YORBA LINDA HS</v>
      </c>
      <c r="D465" s="434" t="str">
        <f>'19U BOYS GOLD-16 TEAMS'!D33&amp;""</f>
        <v>19Bau22</v>
      </c>
      <c r="E465" s="434" t="str">
        <f>'19U BOYS GOLD-16 TEAMS'!E33&amp;""</f>
        <v>2ndC-AMERICAN RIVER GOLD</v>
      </c>
      <c r="F465" s="434" t="str">
        <f>'19U BOYS GOLD-16 TEAMS'!F33&amp;""</f>
        <v>8</v>
      </c>
      <c r="G465" s="434" t="str">
        <f>'19U BOYS GOLD-16 TEAMS'!G33&amp;""</f>
        <v>2ndB-MID PEN</v>
      </c>
      <c r="H465" s="434" t="str">
        <f>'19U BOYS GOLD-16 TEAMS'!H33&amp;""</f>
        <v>6</v>
      </c>
      <c r="I465" s="434" t="str">
        <f>'19U BOYS GOLD-16 TEAMS'!I33&amp;""</f>
        <v>5-8 semi 2C/2B</v>
      </c>
      <c r="J465" s="434" t="str">
        <f>'19U BOYS GOLD-16 TEAMS'!J33&amp;""</f>
        <v>19U_BOYS_GOLD</v>
      </c>
      <c r="K465" s="434" t="str">
        <f t="shared" si="8"/>
        <v>202602011300</v>
      </c>
    </row>
    <row r="466" spans="1:11">
      <c r="A466" s="346">
        <f>'10U BOYS-8 TEAMS'!A27</f>
        <v>46054</v>
      </c>
      <c r="B466" s="347">
        <f>'10U BOYS-8 TEAMS'!B27</f>
        <v>0.55208333333333304</v>
      </c>
      <c r="C466" s="348" t="str">
        <f>'10U BOYS-8 TEAMS'!C27&amp;""</f>
        <v>BECKMAN HS 2</v>
      </c>
      <c r="D466" s="348" t="str">
        <f>'10U BOYS-8 TEAMS'!D27&amp;""</f>
        <v>10B14</v>
      </c>
      <c r="E466" s="348" t="str">
        <f>'10U BOYS-8 TEAMS'!E27&amp;""</f>
        <v>3rdA-CC UNITED BLUE</v>
      </c>
      <c r="F466" s="348" t="str">
        <f>'10U BOYS-8 TEAMS'!F27&amp;""</f>
        <v>1</v>
      </c>
      <c r="G466" s="348" t="str">
        <f>'10U BOYS-8 TEAMS'!G27&amp;""</f>
        <v>3rdB-STANFORD RED</v>
      </c>
      <c r="H466" s="348" t="str">
        <f>'10U BOYS-8 TEAMS'!H27&amp;""</f>
        <v>8</v>
      </c>
      <c r="I466" s="348" t="str">
        <f>'10U BOYS-8 TEAMS'!I27&amp;""</f>
        <v>5th</v>
      </c>
      <c r="J466" s="348" t="str">
        <f>'10U BOYS-8 TEAMS'!J27&amp;""</f>
        <v>10U_BOYS</v>
      </c>
      <c r="K466" s="348" t="str">
        <f t="shared" si="8"/>
        <v>202602011315</v>
      </c>
    </row>
    <row r="467" spans="1:11">
      <c r="A467" s="337">
        <f>'10U COED GOLD-16 TEAMS CUSTOM'!A41</f>
        <v>46054</v>
      </c>
      <c r="B467" s="338">
        <f>'10U COED GOLD-16 TEAMS CUSTOM'!B41</f>
        <v>0.55208333333333304</v>
      </c>
      <c r="C467" s="338" t="str">
        <f>'10U COED GOLD-16 TEAMS CUSTOM'!C41&amp;""</f>
        <v>EL TORO HS 2</v>
      </c>
      <c r="D467" s="339" t="str">
        <f>'10U COED GOLD-16 TEAMS CUSTOM'!D41&amp;""</f>
        <v>10Cau28</v>
      </c>
      <c r="E467" s="339" t="str">
        <f>'10U COED GOLD-16 TEAMS CUSTOM'!E41&amp;""</f>
        <v>W#19-LOYOLA WPC</v>
      </c>
      <c r="F467" s="339" t="str">
        <f>'10U COED GOLD-16 TEAMS CUSTOM'!F41&amp;""</f>
        <v>10</v>
      </c>
      <c r="G467" s="339" t="str">
        <f>'10U COED GOLD-16 TEAMS CUSTOM'!G41&amp;""</f>
        <v>W#20-SAN CLEMENTE BLACK</v>
      </c>
      <c r="H467" s="339" t="str">
        <f>'10U COED GOLD-16 TEAMS CUSTOM'!H41&amp;""</f>
        <v>6</v>
      </c>
      <c r="I467" s="339" t="str">
        <f>'10U COED GOLD-16 TEAMS CUSTOM'!I41&amp;""</f>
        <v>5th Coed</v>
      </c>
      <c r="J467" s="339" t="str">
        <f>'10U COED GOLD-16 TEAMS CUSTOM'!J41&amp;""</f>
        <v>10U_COED_GOLD</v>
      </c>
      <c r="K467" s="339" t="str">
        <f t="shared" si="8"/>
        <v>202602011315</v>
      </c>
    </row>
    <row r="468" spans="1:11">
      <c r="A468" s="337">
        <f>'10U COED GOLD-16 TEAMS CUSTOM'!A42</f>
        <v>46054</v>
      </c>
      <c r="B468" s="338">
        <f>'10U COED GOLD-16 TEAMS CUSTOM'!B42</f>
        <v>0.55208333333333304</v>
      </c>
      <c r="C468" s="338" t="str">
        <f>'10U COED GOLD-16 TEAMS CUSTOM'!C42&amp;""</f>
        <v>WOOLLETT FAR LEFT</v>
      </c>
      <c r="D468" s="339" t="str">
        <f>'10U COED GOLD-16 TEAMS CUSTOM'!D42&amp;""</f>
        <v>10Cau30</v>
      </c>
      <c r="E468" s="339" t="str">
        <f>'10U COED GOLD-16 TEAMS CUSTOM'!E42&amp;""</f>
        <v>W#21-LA JOLLA UNITED</v>
      </c>
      <c r="F468" s="339" t="str">
        <f>'10U COED GOLD-16 TEAMS CUSTOM'!F42&amp;""</f>
        <v>7</v>
      </c>
      <c r="G468" s="339" t="str">
        <f>'10U COED GOLD-16 TEAMS CUSTOM'!G42&amp;""</f>
        <v>W#22-DAVIS</v>
      </c>
      <c r="H468" s="339" t="str">
        <f>'10U COED GOLD-16 TEAMS CUSTOM'!H42&amp;""</f>
        <v>13</v>
      </c>
      <c r="I468" s="339" t="str">
        <f>'10U COED GOLD-16 TEAMS CUSTOM'!I42&amp;""</f>
        <v>1st Coed</v>
      </c>
      <c r="J468" s="339" t="str">
        <f>'10U COED GOLD-16 TEAMS CUSTOM'!J42&amp;""</f>
        <v>10U_COED_GOLD</v>
      </c>
      <c r="K468" s="339" t="str">
        <f t="shared" si="8"/>
        <v>202602011315</v>
      </c>
    </row>
    <row r="469" spans="1:11">
      <c r="A469" s="382">
        <f>'14U GIRLS PLATINUM-10 TEAMS'!A31</f>
        <v>46054</v>
      </c>
      <c r="B469" s="383">
        <f>'14U GIRLS PLATINUM-10 TEAMS'!B31</f>
        <v>0.56944444444444497</v>
      </c>
      <c r="C469" s="383" t="str">
        <f>'14U GIRLS PLATINUM-10 TEAMS'!C31&amp;""</f>
        <v>ALISO NIGUEL HS</v>
      </c>
      <c r="D469" s="384" t="str">
        <f>'14U GIRLS PLATINUM-10 TEAMS'!D31&amp;""</f>
        <v>14Gpt20</v>
      </c>
      <c r="E469" s="384" t="str">
        <f>'14U GIRLS PLATINUM-10 TEAMS'!E31&amp;""</f>
        <v xml:space="preserve">L#15-SOUTH COAST RED (A)	</v>
      </c>
      <c r="F469" s="384" t="str">
        <f>'14U GIRLS PLATINUM-10 TEAMS'!F31&amp;""</f>
        <v>6.2</v>
      </c>
      <c r="G469" s="384" t="str">
        <f>'14U GIRLS PLATINUM-10 TEAMS'!G31&amp;""</f>
        <v>L#16-PATRIOT RED</v>
      </c>
      <c r="H469" s="384" t="str">
        <f>'14U GIRLS PLATINUM-10 TEAMS'!H31&amp;""</f>
        <v>6.1</v>
      </c>
      <c r="I469" s="384" t="str">
        <f>'14U GIRLS PLATINUM-10 TEAMS'!I31&amp;""</f>
        <v>3rd</v>
      </c>
      <c r="J469" s="384" t="str">
        <f>'14U GIRLS PLATINUM-10 TEAMS'!J31&amp;""</f>
        <v>14U_GIRLS_PLATINUM</v>
      </c>
      <c r="K469" s="384" t="str">
        <f t="shared" si="8"/>
        <v>202602011340</v>
      </c>
    </row>
    <row r="470" spans="1:11">
      <c r="A470" s="370">
        <f>'12U BOYS PLATINUM-10 TEAMS'!A33</f>
        <v>46054</v>
      </c>
      <c r="B470" s="371">
        <f>'12U BOYS PLATINUM-10 TEAMS'!B33</f>
        <v>0.56944444444444497</v>
      </c>
      <c r="C470" s="371" t="str">
        <f>'12U BOYS PLATINUM-10 TEAMS'!C33&amp;""</f>
        <v>BECKMAN HS 1</v>
      </c>
      <c r="D470" s="373" t="str">
        <f>'12U BOYS PLATINUM-10 TEAMS'!D33&amp;""</f>
        <v>12Bpt21</v>
      </c>
      <c r="E470" s="373" t="str">
        <f>'12U BOYS PLATINUM-10 TEAMS'!E33&amp;""</f>
        <v>W#15-MISSION WPC A</v>
      </c>
      <c r="F470" s="373" t="str">
        <f>'12U BOYS PLATINUM-10 TEAMS'!F33&amp;""</f>
        <v>18</v>
      </c>
      <c r="G470" s="373" t="str">
        <f>'12U BOYS PLATINUM-10 TEAMS'!G33&amp;""</f>
        <v>W#16-STANFORD RED</v>
      </c>
      <c r="H470" s="373" t="str">
        <f>'12U BOYS PLATINUM-10 TEAMS'!H33&amp;""</f>
        <v>4</v>
      </c>
      <c r="I470" s="373" t="str">
        <f>'12U BOYS PLATINUM-10 TEAMS'!I33&amp;""</f>
        <v>1st</v>
      </c>
      <c r="J470" s="373" t="str">
        <f>'12U BOYS PLATINUM-10 TEAMS'!J33&amp;""</f>
        <v>12U_BOYS_PLATINUM</v>
      </c>
      <c r="K470" s="373" t="str">
        <f t="shared" si="8"/>
        <v>202602011340</v>
      </c>
    </row>
    <row r="471" spans="1:11">
      <c r="A471" s="387">
        <f>'14U BOYS SILVER-18 TEAMS'!A51</f>
        <v>46054</v>
      </c>
      <c r="B471" s="388">
        <f>'14U BOYS SILVER-18 TEAMS'!B51</f>
        <v>0.56944444444444497</v>
      </c>
      <c r="C471" s="388" t="str">
        <f>'14U BOYS SILVER-18 TEAMS'!C51&amp;""</f>
        <v>COSTA MESA HS 1</v>
      </c>
      <c r="D471" s="389" t="str">
        <f>'14U BOYS SILVER-18 TEAMS'!D51&amp;""</f>
        <v>14Bag33</v>
      </c>
      <c r="E471" s="388" t="str">
        <f>'14U BOYS SILVER-18 TEAMS'!E51&amp;""</f>
        <v>H2(1stE)-GOLD COAST</v>
      </c>
      <c r="F471" s="392" t="str">
        <f>'14U BOYS SILVER-18 TEAMS'!F51&amp;""</f>
        <v>14</v>
      </c>
      <c r="G471" s="388" t="str">
        <f>'14U BOYS SILVER-18 TEAMS'!G51&amp;""</f>
        <v>H3(1stF)-680 WHITE</v>
      </c>
      <c r="H471" s="391" t="str">
        <f>'14U BOYS SILVER-18 TEAMS'!H51&amp;""</f>
        <v>10</v>
      </c>
      <c r="I471" s="392" t="str">
        <f>'14U BOYS SILVER-18 TEAMS'!I51&amp;""</f>
        <v>1st-6th</v>
      </c>
      <c r="J471" s="389" t="str">
        <f>'14U BOYS SILVER-18 TEAMS'!J51&amp;""</f>
        <v>14U_BOYS_SILVER</v>
      </c>
      <c r="K471" s="389" t="str">
        <f t="shared" si="8"/>
        <v>202602011340</v>
      </c>
    </row>
    <row r="472" spans="1:11">
      <c r="A472" s="354">
        <f>'12U BOYS GOLD-24 TEAMS'!A51</f>
        <v>46054</v>
      </c>
      <c r="B472" s="355">
        <f>'12U BOYS GOLD-24 TEAMS'!B51</f>
        <v>0.56944444444444497</v>
      </c>
      <c r="C472" s="355" t="str">
        <f>'12U BOYS GOLD-24 TEAMS'!C51&amp;""</f>
        <v>COSTA MESA HS 2</v>
      </c>
      <c r="D472" s="356" t="str">
        <f>'12U BOYS GOLD-24 TEAMS'!D51&amp;""</f>
        <v>12Bau15</v>
      </c>
      <c r="E472" s="362" t="str">
        <f>'12U BOYS GOLD-24 TEAMS'!E51&amp;""</f>
        <v>2ndA-STANFORD BLACK</v>
      </c>
      <c r="F472" s="362" t="str">
        <f>'12U BOYS GOLD-24 TEAMS'!F51&amp;""</f>
        <v>9</v>
      </c>
      <c r="G472" s="362" t="str">
        <f>'12U BOYS GOLD-24 TEAMS'!G51&amp;""</f>
        <v>2ndD-GOLD COAST</v>
      </c>
      <c r="H472" s="362" t="str">
        <f>'12U BOYS GOLD-24 TEAMS'!H51&amp;""</f>
        <v>4</v>
      </c>
      <c r="I472" s="362" t="str">
        <f>'12U BOYS GOLD-24 TEAMS'!I51&amp;""</f>
        <v>9-16 cross 2A/2D</v>
      </c>
      <c r="J472" s="356" t="str">
        <f>'12U BOYS GOLD-24 TEAMS'!J51&amp;""</f>
        <v>12U_BOYS_GOLD</v>
      </c>
      <c r="K472" s="356" t="str">
        <f t="shared" si="8"/>
        <v>202602011340</v>
      </c>
    </row>
    <row r="473" spans="1:11">
      <c r="A473" s="399">
        <f>'14U BOYS PLATINUM-20 TEAMS'!A55</f>
        <v>46054</v>
      </c>
      <c r="B473" s="400">
        <f>'14U BOYS PLATINUM-20 TEAMS'!B55</f>
        <v>0.56944444444444497</v>
      </c>
      <c r="C473" s="400" t="str">
        <f>'14U BOYS PLATINUM-20 TEAMS'!C55&amp;""</f>
        <v>EL TORO HS 1</v>
      </c>
      <c r="D473" s="401" t="str">
        <f>'14U BOYS PLATINUM-20 TEAMS'!D55&amp;""</f>
        <v>14Bpt30</v>
      </c>
      <c r="E473" s="401" t="str">
        <f>'14U BOYS PLATINUM-20 TEAMS'!E55&amp;""</f>
        <v>K1(2ndD)-PRIDE BLACK</v>
      </c>
      <c r="F473" s="401" t="str">
        <f>'14U BOYS PLATINUM-20 TEAMS'!F55&amp;""</f>
        <v>6</v>
      </c>
      <c r="G473" s="401" t="str">
        <f>'14U BOYS PLATINUM-20 TEAMS'!G55&amp;""</f>
        <v>K2(2ndE)-ORANGE COUNTY WPC BLUE</v>
      </c>
      <c r="H473" s="401" t="str">
        <f>'14U BOYS PLATINUM-20 TEAMS'!H55&amp;""</f>
        <v>9</v>
      </c>
      <c r="I473" s="401" t="str">
        <f>'14U BOYS PLATINUM-20 TEAMS'!I55&amp;""</f>
        <v>K bracket</v>
      </c>
      <c r="J473" s="401" t="str">
        <f>'14U BOYS PLATINUM-20 TEAMS'!J55&amp;""</f>
        <v>14U_BOYS_PLATINUM</v>
      </c>
      <c r="K473" s="401" t="str">
        <f t="shared" si="8"/>
        <v>202602011340</v>
      </c>
    </row>
    <row r="474" spans="1:11">
      <c r="A474" s="394">
        <f>'14U BOYS GOLD-26 TEAMS'!A63</f>
        <v>46054</v>
      </c>
      <c r="B474" s="395">
        <f>'14U BOYS GOLD-26 TEAMS'!B63</f>
        <v>0.56944444444444497</v>
      </c>
      <c r="C474" s="396" t="str">
        <f>'14U BOYS GOLD-26 TEAMS'!C63&amp;""</f>
        <v>ESTANCIA HS 2</v>
      </c>
      <c r="D474" s="396" t="str">
        <f>'14U BOYS GOLD-26 TEAMS'!D63&amp;""</f>
        <v>14Bau40</v>
      </c>
      <c r="E474" s="397" t="str">
        <f>'14U BOYS GOLD-26 TEAMS'!E63&amp;""</f>
        <v>L#29-HIELAND</v>
      </c>
      <c r="F474" s="397" t="str">
        <f>'14U BOYS GOLD-26 TEAMS'!F63&amp;""</f>
        <v>4</v>
      </c>
      <c r="G474" s="397" t="str">
        <f>'14U BOYS GOLD-26 TEAMS'!G63&amp;""</f>
        <v>L#30-680 BLUE</v>
      </c>
      <c r="H474" s="397" t="str">
        <f>'14U BOYS GOLD-26 TEAMS'!H63&amp;""</f>
        <v>11</v>
      </c>
      <c r="I474" s="396" t="str">
        <f>'14U BOYS GOLD-26 TEAMS'!I63&amp;""</f>
        <v>3rd/4thK</v>
      </c>
      <c r="J474" s="397" t="str">
        <f>'14U BOYS GOLD-26 TEAMS'!J63&amp;""</f>
        <v>14U_BOYS_GOLD</v>
      </c>
      <c r="K474" s="397" t="str">
        <f t="shared" si="8"/>
        <v>202602011340</v>
      </c>
    </row>
    <row r="475" spans="1:11">
      <c r="A475" s="394">
        <f>'14U BOYS GOLD-26 TEAMS'!A74</f>
        <v>46054</v>
      </c>
      <c r="B475" s="395">
        <f>'14U BOYS GOLD-26 TEAMS'!B74</f>
        <v>0.56944444444444497</v>
      </c>
      <c r="C475" s="396" t="str">
        <f>'14U BOYS GOLD-26 TEAMS'!C74&amp;""</f>
        <v>LAGUNA HILLS HS</v>
      </c>
      <c r="D475" s="396" t="str">
        <f>'14U BOYS GOLD-26 TEAMS'!D74&amp;""</f>
        <v>14Bau47</v>
      </c>
      <c r="E475" s="396" t="str">
        <f>'14U BOYS GOLD-26 TEAMS'!E74&amp;""</f>
        <v>W#43-SOUTH COAST WHITE (B)</v>
      </c>
      <c r="F475" s="396" t="str">
        <f>'14U BOYS GOLD-26 TEAMS'!F74&amp;""</f>
        <v>5.2</v>
      </c>
      <c r="G475" s="396" t="str">
        <f>'14U BOYS GOLD-26 TEAMS'!G74&amp;""</f>
        <v>W#44-LA JOLLA UNITED GOLD</v>
      </c>
      <c r="H475" s="396" t="str">
        <f>'14U BOYS GOLD-26 TEAMS'!H74&amp;""</f>
        <v>5</v>
      </c>
      <c r="I475" s="396" t="str">
        <f>'14U BOYS GOLD-26 TEAMS'!I74&amp;""</f>
        <v>1st/2ndP</v>
      </c>
      <c r="J475" s="397" t="str">
        <f>'14U BOYS GOLD-26 TEAMS'!J74&amp;""</f>
        <v>14U_BOYS_GOLD</v>
      </c>
      <c r="K475" s="397" t="str">
        <f t="shared" si="8"/>
        <v>202602011340</v>
      </c>
    </row>
    <row r="476" spans="1:11">
      <c r="A476" s="378">
        <f>'14U GIRLS GOLD-14 TEAMS'!A37</f>
        <v>46054</v>
      </c>
      <c r="B476" s="379">
        <f>'14U GIRLS GOLD-14 TEAMS'!B37</f>
        <v>0.56944444444444497</v>
      </c>
      <c r="C476" s="379" t="str">
        <f>'14U GIRLS GOLD-14 TEAMS'!C37&amp;""</f>
        <v>SAN CLEMENTE HS</v>
      </c>
      <c r="D476" s="380" t="str">
        <f>'14U GIRLS GOLD-14 TEAMS'!D37&amp;""</f>
        <v>14Gau28</v>
      </c>
      <c r="E476" s="380" t="str">
        <f>'14U GIRLS GOLD-14 TEAMS'!E37&amp;""</f>
        <v>L#23-SD ECA</v>
      </c>
      <c r="F476" s="380" t="str">
        <f>'14U GIRLS GOLD-14 TEAMS'!F37&amp;""</f>
        <v>8</v>
      </c>
      <c r="G476" s="380" t="str">
        <f>'14U GIRLS GOLD-14 TEAMS'!G37&amp;""</f>
        <v>L#24-BACK BAY</v>
      </c>
      <c r="H476" s="380" t="str">
        <f>'14U GIRLS GOLD-14 TEAMS'!H37&amp;""</f>
        <v>10</v>
      </c>
      <c r="I476" s="380" t="str">
        <f>'14U GIRLS GOLD-14 TEAMS'!I37&amp;""</f>
        <v>7th</v>
      </c>
      <c r="J476" s="380" t="str">
        <f>'14U GIRLS GOLD-14 TEAMS'!J37&amp;""</f>
        <v>14U_GIRLS_GOLD</v>
      </c>
      <c r="K476" s="380" t="str">
        <f t="shared" si="8"/>
        <v>202602011340</v>
      </c>
    </row>
    <row r="477" spans="1:11">
      <c r="A477" s="399">
        <f>'14U BOYS PLATINUM-20 TEAMS'!A68</f>
        <v>46054</v>
      </c>
      <c r="B477" s="400">
        <f>'14U BOYS PLATINUM-20 TEAMS'!B68</f>
        <v>0.56944444444444497</v>
      </c>
      <c r="C477" s="400" t="str">
        <f>'14U BOYS PLATINUM-20 TEAMS'!C68&amp;""</f>
        <v>TUSTIN HS 1</v>
      </c>
      <c r="D477" s="401" t="str">
        <f>'14U BOYS PLATINUM-20 TEAMS'!D68&amp;""</f>
        <v>14Bpt41</v>
      </c>
      <c r="E477" s="401" t="str">
        <f>'14U BOYS PLATINUM-20 TEAMS'!E68&amp;""</f>
        <v>W#33-STANFORD RED</v>
      </c>
      <c r="F477" s="401" t="str">
        <f>'14U BOYS PLATINUM-20 TEAMS'!F68&amp;""</f>
        <v>12</v>
      </c>
      <c r="G477" s="401" t="str">
        <f>'14U BOYS PLATINUM-20 TEAMS'!G68&amp;""</f>
        <v>W#35-DEVIL'S GATE</v>
      </c>
      <c r="H477" s="401" t="str">
        <f>'14U BOYS PLATINUM-20 TEAMS'!H68&amp;""</f>
        <v>7</v>
      </c>
      <c r="I477" s="401" t="str">
        <f>'14U BOYS PLATINUM-20 TEAMS'!I68&amp;""</f>
        <v>1st/2ndL</v>
      </c>
      <c r="J477" s="401" t="str">
        <f>'14U BOYS PLATINUM-20 TEAMS'!J68&amp;""</f>
        <v>14U_BOYS_PLATINUM</v>
      </c>
      <c r="K477" s="401" t="str">
        <f t="shared" si="8"/>
        <v>202602011340</v>
      </c>
    </row>
    <row r="478" spans="1:11">
      <c r="A478" s="375">
        <f>'12U COED-7 TEAMS'!A28</f>
        <v>46054</v>
      </c>
      <c r="B478" s="376">
        <f>'12U COED-7 TEAMS'!B28</f>
        <v>0.56944444444444497</v>
      </c>
      <c r="C478" s="377" t="str">
        <f>'12U COED-7 TEAMS'!C28&amp;""</f>
        <v>TUSTIN HS 2</v>
      </c>
      <c r="D478" s="377" t="str">
        <f>'12U COED-7 TEAMS'!D28&amp;""</f>
        <v>12C13</v>
      </c>
      <c r="E478" s="377" t="str">
        <f>'12U COED-7 TEAMS'!E28&amp;""</f>
        <v>3rdA-CMAC</v>
      </c>
      <c r="F478" s="377" t="str">
        <f>'12U COED-7 TEAMS'!F28&amp;""</f>
        <v>2</v>
      </c>
      <c r="G478" s="377" t="str">
        <f>'12U COED-7 TEAMS'!G28&amp;""</f>
        <v>3rdB-POWAY VALLEY</v>
      </c>
      <c r="H478" s="377" t="str">
        <f>'12U COED-7 TEAMS'!H28&amp;""</f>
        <v>9</v>
      </c>
      <c r="I478" s="377" t="str">
        <f>'12U COED-7 TEAMS'!I28&amp;""</f>
        <v>5th-7th</v>
      </c>
      <c r="J478" s="377" t="str">
        <f>'12U COED-7 TEAMS'!J28&amp;""</f>
        <v>12U_COED</v>
      </c>
      <c r="K478" s="377" t="str">
        <f t="shared" si="8"/>
        <v>202602011340</v>
      </c>
    </row>
    <row r="479" spans="1:11">
      <c r="A479" s="351">
        <f>'12U GIRLS PLATINUM-12 TEAMS'!A35</f>
        <v>46054</v>
      </c>
      <c r="B479" s="352">
        <f>'12U GIRLS PLATINUM-12 TEAMS'!B35</f>
        <v>0.56944444444444497</v>
      </c>
      <c r="C479" s="351" t="str">
        <f>'12U GIRLS PLATINUM-12 TEAMS'!C35&amp;""</f>
        <v>WOOLLETT FAR RIGHT</v>
      </c>
      <c r="D479" s="353" t="str">
        <f>'12U GIRLS PLATINUM-12 TEAMS'!D35&amp;""</f>
        <v>12Gpt24</v>
      </c>
      <c r="E479" s="351" t="str">
        <f>'12U GIRLS PLATINUM-12 TEAMS'!E35&amp;""</f>
        <v>L#21-GOLD COAST</v>
      </c>
      <c r="F479" s="353" t="str">
        <f>'12U GIRLS PLATINUM-12 TEAMS'!F35&amp;""</f>
        <v>4</v>
      </c>
      <c r="G479" s="351" t="str">
        <f>'12U GIRLS PLATINUM-12 TEAMS'!G35&amp;""</f>
        <v>L#22-DAVIS</v>
      </c>
      <c r="H479" s="353" t="str">
        <f>'12U GIRLS PLATINUM-12 TEAMS'!H35&amp;""</f>
        <v>16</v>
      </c>
      <c r="I479" s="353" t="str">
        <f>'12U GIRLS PLATINUM-12 TEAMS'!I35&amp;""</f>
        <v>11th</v>
      </c>
      <c r="J479" s="353" t="str">
        <f>'12U GIRLS PLATINUM-12 TEAMS'!J35&amp;""</f>
        <v>12U_GIRLS_PLATINUM</v>
      </c>
      <c r="K479" s="353" t="str">
        <f t="shared" si="8"/>
        <v>202602011340</v>
      </c>
    </row>
    <row r="480" spans="1:11">
      <c r="A480" s="341">
        <f>'10U COED PLATINUM-8 TEAMS'!A27</f>
        <v>46054</v>
      </c>
      <c r="B480" s="342">
        <f>'10U COED PLATINUM-8 TEAMS'!B27</f>
        <v>0.58333333333333304</v>
      </c>
      <c r="C480" s="343" t="str">
        <f>'10U COED PLATINUM-8 TEAMS'!C27&amp;""</f>
        <v>BECKMAN HS 2</v>
      </c>
      <c r="D480" s="343" t="str">
        <f>'10U COED PLATINUM-8 TEAMS'!D27&amp;""</f>
        <v>10Cpt13</v>
      </c>
      <c r="E480" s="343" t="str">
        <f>'10U COED PLATINUM-8 TEAMS'!E27&amp;""</f>
        <v>4thA-FOOTHILL RED</v>
      </c>
      <c r="F480" s="343" t="str">
        <f>'10U COED PLATINUM-8 TEAMS'!F27&amp;""</f>
        <v>15</v>
      </c>
      <c r="G480" s="343" t="str">
        <f>'10U COED PLATINUM-8 TEAMS'!G27&amp;""</f>
        <v>4thB-LAMORINDA GOLD (B)</v>
      </c>
      <c r="H480" s="343" t="str">
        <f>'10U COED PLATINUM-8 TEAMS'!H27&amp;""</f>
        <v>5</v>
      </c>
      <c r="I480" s="343" t="str">
        <f>'10U COED PLATINUM-8 TEAMS'!I27&amp;""</f>
        <v>7th</v>
      </c>
      <c r="J480" s="343" t="str">
        <f>'10U COED PLATINUM-8 TEAMS'!J27&amp;""</f>
        <v>10U_COED_PLATINUM</v>
      </c>
      <c r="K480" s="343" t="str">
        <f t="shared" si="8"/>
        <v>202602011400</v>
      </c>
    </row>
    <row r="481" spans="1:11">
      <c r="A481" s="435">
        <f>'19U BOYS PLATINUM-27 TEAMS'!A87</f>
        <v>46054</v>
      </c>
      <c r="B481" s="436">
        <f>'19U BOYS PLATINUM-27 TEAMS'!B87</f>
        <v>0.58333333333333304</v>
      </c>
      <c r="C481" s="437" t="str">
        <f>'19U BOYS PLATINUM-27 TEAMS'!C87&amp;""</f>
        <v>EDISON HS</v>
      </c>
      <c r="D481" s="437" t="str">
        <f>'19U BOYS PLATINUM-27 TEAMS'!D87&amp;""</f>
        <v>19Bpt52</v>
      </c>
      <c r="E481" s="438" t="str">
        <f>'19U BOYS PLATINUM-27 TEAMS'!E87&amp;""</f>
        <v>M2(2ndF)-NORCAL</v>
      </c>
      <c r="F481" s="438" t="str">
        <f>'19U BOYS PLATINUM-27 TEAMS'!F87&amp;""</f>
        <v>14</v>
      </c>
      <c r="G481" s="438" t="str">
        <f>'19U BOYS PLATINUM-27 TEAMS'!G87&amp;""</f>
        <v>TROJAN</v>
      </c>
      <c r="H481" s="438" t="str">
        <f>'19U BOYS PLATINUM-27 TEAMS'!H87&amp;""</f>
        <v>6</v>
      </c>
      <c r="I481" s="437" t="str">
        <f>'19U BOYS PLATINUM-27 TEAMS'!I87&amp;""</f>
        <v>9th16th M2/M3</v>
      </c>
      <c r="J481" s="438" t="str">
        <f>'19U BOYS PLATINUM-27 TEAMS'!J87&amp;""</f>
        <v>19U_BOYS_PLATINUM</v>
      </c>
      <c r="K481" s="438" t="str">
        <f t="shared" si="8"/>
        <v>202602011400</v>
      </c>
    </row>
    <row r="482" spans="1:11">
      <c r="A482" s="337">
        <f>'10U COED GOLD-16 TEAMS CUSTOM'!A43</f>
        <v>46054</v>
      </c>
      <c r="B482" s="338">
        <f>'10U COED GOLD-16 TEAMS CUSTOM'!B43</f>
        <v>0.58333333333333304</v>
      </c>
      <c r="C482" s="338" t="str">
        <f>'10U COED GOLD-16 TEAMS CUSTOM'!C43&amp;""</f>
        <v>EL TORO HS 2</v>
      </c>
      <c r="D482" s="339" t="str">
        <f>'10U COED GOLD-16 TEAMS CUSTOM'!D43&amp;""</f>
        <v>10Cau31</v>
      </c>
      <c r="E482" s="339" t="str">
        <f>'10U COED GOLD-16 TEAMS CUSTOM'!E43&amp;""</f>
        <v>3rdA-LAMORINDA C</v>
      </c>
      <c r="F482" s="339" t="str">
        <f>'10U COED GOLD-16 TEAMS CUSTOM'!F43&amp;""</f>
        <v>12.3</v>
      </c>
      <c r="G482" s="339" t="str">
        <f>'10U COED GOLD-16 TEAMS CUSTOM'!G43&amp;""</f>
        <v>3rdD-PATRIOT WHITE</v>
      </c>
      <c r="H482" s="339" t="str">
        <f>'10U COED GOLD-16 TEAMS CUSTOM'!H43&amp;""</f>
        <v>12.2</v>
      </c>
      <c r="I482" s="339" t="str">
        <f>'10U COED GOLD-16 TEAMS CUSTOM'!I43&amp;""</f>
        <v>coed 9-12</v>
      </c>
      <c r="J482" s="339" t="str">
        <f>'10U COED GOLD-16 TEAMS CUSTOM'!J43&amp;""</f>
        <v>10U_COED_GOLD</v>
      </c>
      <c r="K482" s="339" t="str">
        <f t="shared" si="8"/>
        <v>202602011400</v>
      </c>
    </row>
    <row r="483" spans="1:11">
      <c r="A483" s="432">
        <f>'19U BOYS GOLD-16 TEAMS'!A36</f>
        <v>46054</v>
      </c>
      <c r="B483" s="433">
        <f>'19U BOYS GOLD-16 TEAMS'!B36</f>
        <v>0.58333333333333304</v>
      </c>
      <c r="C483" s="433" t="str">
        <f>'19U BOYS GOLD-16 TEAMS'!C36&amp;""</f>
        <v>ESTANCIA HS 1</v>
      </c>
      <c r="D483" s="434" t="str">
        <f>'19U BOYS GOLD-16 TEAMS'!D36&amp;""</f>
        <v>19Bau34</v>
      </c>
      <c r="E483" s="434" t="str">
        <f>'19U BOYS GOLD-16 TEAMS'!E36&amp;""</f>
        <v>W#29-WCAC UNITED</v>
      </c>
      <c r="F483" s="434" t="str">
        <f>'19U BOYS GOLD-16 TEAMS'!F36&amp;""</f>
        <v>20</v>
      </c>
      <c r="G483" s="434" t="str">
        <f>'19U BOYS GOLD-16 TEAMS'!G36&amp;""</f>
        <v>W#30-PASADENA AC</v>
      </c>
      <c r="H483" s="434" t="str">
        <f>'19U BOYS GOLD-16 TEAMS'!H36&amp;""</f>
        <v>9</v>
      </c>
      <c r="I483" s="434" t="str">
        <f>'19U BOYS GOLD-16 TEAMS'!I36&amp;""</f>
        <v>13th</v>
      </c>
      <c r="J483" s="434" t="str">
        <f>'19U BOYS GOLD-16 TEAMS'!J36&amp;""</f>
        <v>19U_BOYS_GOLD</v>
      </c>
      <c r="K483" s="434" t="str">
        <f t="shared" si="8"/>
        <v>202602011400</v>
      </c>
    </row>
    <row r="484" spans="1:11">
      <c r="A484" s="432">
        <f>'19U BOYS GOLD-16 TEAMS'!A35</f>
        <v>46054</v>
      </c>
      <c r="B484" s="433">
        <f>'19U BOYS GOLD-16 TEAMS'!B35</f>
        <v>0.58333333333333304</v>
      </c>
      <c r="C484" s="433" t="str">
        <f>'19U BOYS GOLD-16 TEAMS'!C35&amp;""</f>
        <v>FULLERTON COLLEGE</v>
      </c>
      <c r="D484" s="434" t="str">
        <f>'19U BOYS GOLD-16 TEAMS'!D35&amp;""</f>
        <v>19Bau19</v>
      </c>
      <c r="E484" s="434" t="str">
        <f>'19U BOYS GOLD-16 TEAMS'!E35&amp;""</f>
        <v>1stA-HIELAND</v>
      </c>
      <c r="F484" s="434" t="str">
        <f>'19U BOYS GOLD-16 TEAMS'!F35&amp;""</f>
        <v>2</v>
      </c>
      <c r="G484" s="434" t="str">
        <f>'19U BOYS GOLD-16 TEAMS'!G35&amp;""</f>
        <v>1stD-LONGHORN</v>
      </c>
      <c r="H484" s="434" t="str">
        <f>'19U BOYS GOLD-16 TEAMS'!H35&amp;""</f>
        <v>14</v>
      </c>
      <c r="I484" s="434" t="str">
        <f>'19U BOYS GOLD-16 TEAMS'!I35&amp;""</f>
        <v>1-4 semi 1A/1D</v>
      </c>
      <c r="J484" s="434" t="str">
        <f>'19U BOYS GOLD-16 TEAMS'!J35&amp;""</f>
        <v>19U_BOYS_GOLD</v>
      </c>
      <c r="K484" s="434" t="str">
        <f t="shared" si="8"/>
        <v>202602011400</v>
      </c>
    </row>
    <row r="485" spans="1:11">
      <c r="A485" s="413">
        <f>'16U BOYS GOLD-19 TEAMS'!A67</f>
        <v>46054</v>
      </c>
      <c r="B485" s="414">
        <f>'16U BOYS GOLD-19 TEAMS'!B67</f>
        <v>0.58333333333333304</v>
      </c>
      <c r="C485" s="414" t="str">
        <f>'16U BOYS GOLD-19 TEAMS'!C67&amp;""</f>
        <v>SADDLEBACK COLLEGE</v>
      </c>
      <c r="D485" s="415" t="str">
        <f>'16U BOYS GOLD-19 TEAMS'!D67&amp;""</f>
        <v>16Bau38</v>
      </c>
      <c r="E485" s="414" t="str">
        <f>'16U BOYS GOLD-19 TEAMS'!E67&amp;""</f>
        <v>W#33-BIG VALLEY</v>
      </c>
      <c r="F485" s="418" t="str">
        <f>'16U BOYS GOLD-19 TEAMS'!F67&amp;""</f>
        <v>6</v>
      </c>
      <c r="G485" s="414" t="str">
        <f>'16U BOYS GOLD-19 TEAMS'!G67&amp;""</f>
        <v>W#34-VANGUARD SILVER</v>
      </c>
      <c r="H485" s="417" t="str">
        <f>'16U BOYS GOLD-19 TEAMS'!H67&amp;""</f>
        <v>14</v>
      </c>
      <c r="I485" s="418" t="str">
        <f>'16U BOYS GOLD-19 TEAMS'!I67&amp;""</f>
        <v>1st/2ndL</v>
      </c>
      <c r="J485" s="415" t="str">
        <f>'16U BOYS GOLD-19 TEAMS'!J67&amp;""</f>
        <v>16U_BOYS_GOLD</v>
      </c>
      <c r="K485" s="415" t="str">
        <f t="shared" si="8"/>
        <v>202602011400</v>
      </c>
    </row>
    <row r="486" spans="1:11">
      <c r="A486" s="410">
        <f>'16U BOYS GOLD-19 TEAMS'!A55</f>
        <v>46054</v>
      </c>
      <c r="B486" s="411">
        <f>'16U BOYS GOLD-19 TEAMS'!B55</f>
        <v>0.58333333333333304</v>
      </c>
      <c r="C486" s="411" t="str">
        <f>'16U BOYS GOLD-19 TEAMS'!C55&amp;""</f>
        <v>SAN JUAN HILLS HS</v>
      </c>
      <c r="D486" s="412" t="str">
        <f>'16U BOYS GOLD-19 TEAMS'!D55&amp;""</f>
        <v>16Bau27</v>
      </c>
      <c r="E486" s="412" t="str">
        <f>'16U BOYS GOLD-19 TEAMS'!E55&amp;""</f>
        <v>H2(1stE)-CT PREMIER</v>
      </c>
      <c r="F486" s="412" t="str">
        <f>'16U BOYS GOLD-19 TEAMS'!F55&amp;""</f>
        <v>11</v>
      </c>
      <c r="G486" s="412" t="str">
        <f>'16U BOYS GOLD-19 TEAMS'!G55&amp;""</f>
        <v>H3(1stF)-LA JOLLA UNITED GOLD</v>
      </c>
      <c r="H486" s="412" t="str">
        <f>'16U BOYS GOLD-19 TEAMS'!H55&amp;""</f>
        <v>14</v>
      </c>
      <c r="I486" s="412" t="str">
        <f>'16U BOYS GOLD-19 TEAMS'!I55&amp;""</f>
        <v>H bracket H2,H3</v>
      </c>
      <c r="J486" s="412" t="str">
        <f>'16U BOYS GOLD-19 TEAMS'!J55&amp;""</f>
        <v>16U_BOYS_GOLD</v>
      </c>
      <c r="K486" s="412" t="str">
        <f t="shared" si="8"/>
        <v>202602011400</v>
      </c>
    </row>
    <row r="487" spans="1:11">
      <c r="A487" s="406">
        <f>'16U BOYS SILVER-20 TEAMS'!A58</f>
        <v>46054</v>
      </c>
      <c r="B487" s="407">
        <f>'16U BOYS SILVER-20 TEAMS'!B58</f>
        <v>0.58333333333333304</v>
      </c>
      <c r="C487" s="407" t="str">
        <f>'16U BOYS SILVER-20 TEAMS'!C58&amp;""</f>
        <v>SONORA HS</v>
      </c>
      <c r="D487" s="408" t="str">
        <f>'16U BOYS SILVER-20 TEAMS'!D58&amp;""</f>
        <v>16Bag40</v>
      </c>
      <c r="E487" s="408" t="str">
        <f>'16U BOYS SILVER-20 TEAMS'!E58&amp;""</f>
        <v>H1(2ndA)-TRITON GOLD</v>
      </c>
      <c r="F487" s="408" t="str">
        <f>'16U BOYS SILVER-20 TEAMS'!F58&amp;""</f>
        <v>8.3</v>
      </c>
      <c r="G487" s="409" t="str">
        <f>'16U BOYS SILVER-20 TEAMS'!G58&amp;""</f>
        <v>H2(2ndB)-LA JOLLA UNITED SILVER</v>
      </c>
      <c r="H487" s="408" t="str">
        <f>'16U BOYS SILVER-20 TEAMS'!H58&amp;""</f>
        <v>8.4</v>
      </c>
      <c r="I487" s="408" t="str">
        <f>'16U BOYS SILVER-20 TEAMS'!I58&amp;""</f>
        <v>H bracket</v>
      </c>
      <c r="J487" s="408" t="str">
        <f>'16U BOYS SILVER-20 TEAMS'!J58&amp;""</f>
        <v>16U_BOYS_SILVER</v>
      </c>
      <c r="K487" s="408" t="str">
        <f t="shared" si="8"/>
        <v>202602011400</v>
      </c>
    </row>
    <row r="488" spans="1:11">
      <c r="A488" s="421">
        <f>'16U BOYS PLATINUM-18 TEAMS'!A61</f>
        <v>46054</v>
      </c>
      <c r="B488" s="422">
        <f>'16U BOYS PLATINUM-18 TEAMS'!B61</f>
        <v>0.58333333333333304</v>
      </c>
      <c r="C488" s="422" t="str">
        <f>'16U BOYS PLATINUM-18 TEAMS'!C61&amp;""</f>
        <v>WESTMINSTER HS</v>
      </c>
      <c r="D488" s="422" t="str">
        <f>'16U BOYS PLATINUM-18 TEAMS'!D61&amp;""</f>
        <v>16Bpt34</v>
      </c>
      <c r="E488" s="423" t="str">
        <f>'16U BOYS PLATINUM-18 TEAMS'!E61&amp;""</f>
        <v>M2(3rdB)-LA JOLLA UNITED NAVY</v>
      </c>
      <c r="F488" s="424" t="str">
        <f>'16U BOYS PLATINUM-18 TEAMS'!F61&amp;""</f>
        <v>18</v>
      </c>
      <c r="G488" s="425" t="str">
        <f>'16U BOYS PLATINUM-18 TEAMS'!G61&amp;""</f>
        <v>M3(3rdC)-FOOTHILL RED</v>
      </c>
      <c r="H488" s="427" t="str">
        <f>'16U BOYS PLATINUM-18 TEAMS'!H61&amp;""</f>
        <v>4</v>
      </c>
      <c r="I488" s="425" t="str">
        <f>'16U BOYS PLATINUM-18 TEAMS'!I61&amp;""</f>
        <v>13th-18th</v>
      </c>
      <c r="J488" s="426" t="str">
        <f>'16U BOYS PLATINUM-18 TEAMS'!J61&amp;""</f>
        <v>16U_BOYS_PLATINUM</v>
      </c>
      <c r="K488" s="426" t="str">
        <f t="shared" si="8"/>
        <v>202602011400</v>
      </c>
    </row>
    <row r="489" spans="1:11">
      <c r="A489" s="346">
        <f>'10U BOYS-8 TEAMS'!A28</f>
        <v>46054</v>
      </c>
      <c r="B489" s="347">
        <f>'10U BOYS-8 TEAMS'!B28</f>
        <v>0.58333333333333304</v>
      </c>
      <c r="C489" s="348" t="str">
        <f>'10U BOYS-8 TEAMS'!C28&amp;""</f>
        <v>WOOLLETT FAR LEFT</v>
      </c>
      <c r="D489" s="348" t="str">
        <f>'10U BOYS-8 TEAMS'!D28&amp;""</f>
        <v>10B15</v>
      </c>
      <c r="E489" s="348" t="str">
        <f>'10U BOYS-8 TEAMS'!E28&amp;""</f>
        <v>2ndA-LAMORINDA BLUE (A)</v>
      </c>
      <c r="F489" s="348" t="str">
        <f>'10U BOYS-8 TEAMS'!F28&amp;""</f>
        <v>6</v>
      </c>
      <c r="G489" s="348" t="str">
        <f>'10U BOYS-8 TEAMS'!G28&amp;""</f>
        <v>2ndB-SAN CLEMENTE RED</v>
      </c>
      <c r="H489" s="348" t="str">
        <f>'10U BOYS-8 TEAMS'!H28&amp;""</f>
        <v>14</v>
      </c>
      <c r="I489" s="348" t="str">
        <f>'10U BOYS-8 TEAMS'!I28&amp;""</f>
        <v>3rd</v>
      </c>
      <c r="J489" s="348" t="str">
        <f>'10U BOYS-8 TEAMS'!J28&amp;""</f>
        <v>10U_BOYS</v>
      </c>
      <c r="K489" s="348" t="str">
        <f t="shared" si="8"/>
        <v>202602011400</v>
      </c>
    </row>
    <row r="490" spans="1:11">
      <c r="A490" s="435">
        <f>'19U BOYS PLATINUM-27 TEAMS'!A66</f>
        <v>46054</v>
      </c>
      <c r="B490" s="436">
        <f>'19U BOYS PLATINUM-27 TEAMS'!B66</f>
        <v>0.58333333333333304</v>
      </c>
      <c r="C490" s="437" t="str">
        <f>'19U BOYS PLATINUM-27 TEAMS'!C66&amp;""</f>
        <v>WOOLLETT NEAR LEFT</v>
      </c>
      <c r="D490" s="437" t="str">
        <f>'19U BOYS PLATINUM-27 TEAMS'!D66&amp;""</f>
        <v>19Bpt34</v>
      </c>
      <c r="E490" s="438" t="str">
        <f>'19U BOYS PLATINUM-27 TEAMS'!E66&amp;""</f>
        <v>L#28-AMERICAN RIVER BLUE</v>
      </c>
      <c r="F490" s="438" t="str">
        <f>'19U BOYS PLATINUM-27 TEAMS'!F66&amp;""</f>
        <v>11</v>
      </c>
      <c r="G490" s="438" t="str">
        <f>'19U BOYS PLATINUM-27 TEAMS'!G66&amp;""</f>
        <v>L#29-BERKELEY WPC</v>
      </c>
      <c r="H490" s="438" t="str">
        <f>'19U BOYS PLATINUM-27 TEAMS'!H66&amp;""</f>
        <v>15</v>
      </c>
      <c r="I490" s="437" t="str">
        <f>'19U BOYS PLATINUM-27 TEAMS'!I66&amp;""</f>
        <v>3rd/4thJ</v>
      </c>
      <c r="J490" s="438" t="str">
        <f>'19U BOYS PLATINUM-27 TEAMS'!J66&amp;""</f>
        <v>19U_BOYS_PLATINUM</v>
      </c>
      <c r="K490" s="438" t="str">
        <f t="shared" si="8"/>
        <v>202602011400</v>
      </c>
    </row>
    <row r="491" spans="1:11">
      <c r="A491" s="421">
        <f>'16U BOYS PLATINUM-18 TEAMS'!A51</f>
        <v>46054</v>
      </c>
      <c r="B491" s="422">
        <f>'16U BOYS PLATINUM-18 TEAMS'!B51</f>
        <v>0.58333333333333304</v>
      </c>
      <c r="C491" s="422" t="str">
        <f>'16U BOYS PLATINUM-18 TEAMS'!C51&amp;""</f>
        <v>WOOLLETT NEAR RIGHT</v>
      </c>
      <c r="D491" s="422" t="str">
        <f>'16U BOYS PLATINUM-18 TEAMS'!D51&amp;""</f>
        <v>16Bpt33</v>
      </c>
      <c r="E491" s="423" t="str">
        <f>'16U BOYS PLATINUM-18 TEAMS'!E51&amp;""</f>
        <v>H2(1stE)-CHANNEL ISLANDS UNITED GOLD</v>
      </c>
      <c r="F491" s="424" t="str">
        <f>'16U BOYS PLATINUM-18 TEAMS'!F51&amp;""</f>
        <v>11</v>
      </c>
      <c r="G491" s="425" t="str">
        <f>'16U BOYS PLATINUM-18 TEAMS'!G51&amp;""</f>
        <v>H3(1stF)-SD SHORES BLACK</v>
      </c>
      <c r="H491" s="427" t="str">
        <f>'16U BOYS PLATINUM-18 TEAMS'!H51&amp;""</f>
        <v>9</v>
      </c>
      <c r="I491" s="425" t="str">
        <f>'16U BOYS PLATINUM-18 TEAMS'!I51&amp;""</f>
        <v>1st-6th</v>
      </c>
      <c r="J491" s="426" t="str">
        <f>'16U BOYS PLATINUM-18 TEAMS'!J51&amp;""</f>
        <v>16U_BOYS_PLATINUM</v>
      </c>
      <c r="K491" s="426" t="str">
        <f t="shared" si="8"/>
        <v>202602011400</v>
      </c>
    </row>
    <row r="492" spans="1:11">
      <c r="A492" s="435">
        <f>'19U BOYS PLATINUM-27 TEAMS'!A77</f>
        <v>46054</v>
      </c>
      <c r="B492" s="436">
        <f>'19U BOYS PLATINUM-27 TEAMS'!B77</f>
        <v>0.58333333333333304</v>
      </c>
      <c r="C492" s="437" t="str">
        <f>'19U BOYS PLATINUM-27 TEAMS'!C77&amp;""</f>
        <v>YORBA LINDA HS</v>
      </c>
      <c r="D492" s="437" t="str">
        <f>'19U BOYS PLATINUM-27 TEAMS'!D77&amp;""</f>
        <v>19Bpt43</v>
      </c>
      <c r="E492" s="438" t="str">
        <f>'19U BOYS PLATINUM-27 TEAMS'!E77&amp;""</f>
        <v>W#38-CC UNITED BLUE</v>
      </c>
      <c r="F492" s="438" t="str">
        <f>'19U BOYS PLATINUM-27 TEAMS'!F77&amp;""</f>
        <v>10</v>
      </c>
      <c r="G492" s="438" t="str">
        <f>'19U BOYS PLATINUM-27 TEAMS'!G77&amp;""</f>
        <v>W#39-NORTH IRVINE BLACK</v>
      </c>
      <c r="H492" s="438" t="str">
        <f>'19U BOYS PLATINUM-27 TEAMS'!H77&amp;""</f>
        <v>18</v>
      </c>
      <c r="I492" s="437" t="str">
        <f>'19U BOYS PLATINUM-27 TEAMS'!I77&amp;""</f>
        <v>1st/2ndO</v>
      </c>
      <c r="J492" s="438" t="str">
        <f>'19U BOYS PLATINUM-27 TEAMS'!J77&amp;""</f>
        <v>19U_BOYS_PLATINUM</v>
      </c>
      <c r="K492" s="438" t="str">
        <f t="shared" si="8"/>
        <v>202602011400</v>
      </c>
    </row>
    <row r="493" spans="1:11">
      <c r="A493" s="394">
        <f>'14U BOYS GOLD-26 TEAMS'!A84</f>
        <v>46054</v>
      </c>
      <c r="B493" s="395">
        <f>'14U BOYS GOLD-26 TEAMS'!B84</f>
        <v>0.58333333333333337</v>
      </c>
      <c r="C493" s="396" t="str">
        <f>'14U BOYS GOLD-26 TEAMS'!C84&amp;""</f>
        <v>ESPERANZA HS</v>
      </c>
      <c r="D493" s="396" t="str">
        <f>'14U BOYS GOLD-26 TEAMS'!D84&amp;""</f>
        <v>14Bau51</v>
      </c>
      <c r="E493" s="396" t="str">
        <f>'14U BOYS GOLD-26 TEAMS'!E84&amp;""</f>
        <v>W#31-NORTH IRVINE RED</v>
      </c>
      <c r="F493" s="396" t="str">
        <f>'14U BOYS GOLD-26 TEAMS'!F84&amp;""</f>
        <v>5</v>
      </c>
      <c r="G493" s="396" t="str">
        <f>'14U BOYS GOLD-26 TEAMS'!G84&amp;""</f>
        <v>W#32-LAWPC</v>
      </c>
      <c r="H493" s="396" t="str">
        <f>'14U BOYS GOLD-26 TEAMS'!H84&amp;""</f>
        <v>11</v>
      </c>
      <c r="I493" s="396" t="str">
        <f>'14U BOYS GOLD-26 TEAMS'!I84&amp;""</f>
        <v>1st/2ndL</v>
      </c>
      <c r="J493" s="397" t="str">
        <f>'14U BOYS GOLD-26 TEAMS'!J84&amp;""</f>
        <v>14U_BOYS_GOLD</v>
      </c>
      <c r="K493" s="397" t="str">
        <f t="shared" si="8"/>
        <v>202602011400</v>
      </c>
    </row>
    <row r="494" spans="1:11">
      <c r="A494" s="382">
        <f>'14U GIRLS PLATINUM-10 TEAMS'!A32</f>
        <v>46054</v>
      </c>
      <c r="B494" s="383">
        <f>'14U GIRLS PLATINUM-10 TEAMS'!B32</f>
        <v>0.60416666666666696</v>
      </c>
      <c r="C494" s="383" t="str">
        <f>'14U GIRLS PLATINUM-10 TEAMS'!C32&amp;""</f>
        <v>ALISO NIGUEL HS</v>
      </c>
      <c r="D494" s="384" t="str">
        <f>'14U GIRLS PLATINUM-10 TEAMS'!D32&amp;""</f>
        <v>14Gpt21</v>
      </c>
      <c r="E494" s="384" t="str">
        <f>'14U GIRLS PLATINUM-10 TEAMS'!E32&amp;""</f>
        <v>W#15-CDM PINK</v>
      </c>
      <c r="F494" s="384" t="str">
        <f>'14U GIRLS PLATINUM-10 TEAMS'!F32&amp;""</f>
        <v>5</v>
      </c>
      <c r="G494" s="384" t="str">
        <f>'14U GIRLS PLATINUM-10 TEAMS'!G32&amp;""</f>
        <v>W#16-SANTA CRUZ BLACK</v>
      </c>
      <c r="H494" s="384" t="str">
        <f>'14U GIRLS PLATINUM-10 TEAMS'!H32&amp;""</f>
        <v>6</v>
      </c>
      <c r="I494" s="384" t="str">
        <f>'14U GIRLS PLATINUM-10 TEAMS'!I32&amp;""</f>
        <v>1st</v>
      </c>
      <c r="J494" s="384" t="str">
        <f>'14U GIRLS PLATINUM-10 TEAMS'!J32&amp;""</f>
        <v>14U_GIRLS_PLATINUM</v>
      </c>
      <c r="K494" s="384" t="str">
        <f t="shared" si="8"/>
        <v>202602011430</v>
      </c>
    </row>
    <row r="495" spans="1:11">
      <c r="A495" s="370">
        <f>'12U BOYS PLATINUM-10 TEAMS'!A34</f>
        <v>46054</v>
      </c>
      <c r="B495" s="371">
        <f>'12U BOYS PLATINUM-10 TEAMS'!B34</f>
        <v>0.60416666666666696</v>
      </c>
      <c r="C495" s="371" t="str">
        <f>'12U BOYS PLATINUM-10 TEAMS'!C34&amp;""</f>
        <v>BECKMAN HS 1</v>
      </c>
      <c r="D495" s="373" t="str">
        <f>'12U BOYS PLATINUM-10 TEAMS'!D34&amp;""</f>
        <v>12Bpt17</v>
      </c>
      <c r="E495" s="373" t="str">
        <f>'12U BOYS PLATINUM-10 TEAMS'!E34&amp;""</f>
        <v>W#13-680 RED</v>
      </c>
      <c r="F495" s="373" t="str">
        <f>'12U BOYS PLATINUM-10 TEAMS'!F34&amp;""</f>
        <v>5</v>
      </c>
      <c r="G495" s="373" t="str">
        <f>'12U BOYS PLATINUM-10 TEAMS'!G34&amp;""</f>
        <v>W#14-NORTH IRVINE BLACK</v>
      </c>
      <c r="H495" s="373" t="str">
        <f>'12U BOYS PLATINUM-10 TEAMS'!H34&amp;""</f>
        <v>6</v>
      </c>
      <c r="I495" s="373" t="str">
        <f>'12U BOYS PLATINUM-10 TEAMS'!I34&amp;""</f>
        <v>5th</v>
      </c>
      <c r="J495" s="373" t="str">
        <f>'12U BOYS PLATINUM-10 TEAMS'!J34&amp;""</f>
        <v>12U_BOYS_PLATINUM</v>
      </c>
      <c r="K495" s="373" t="str">
        <f t="shared" si="8"/>
        <v>202602011430</v>
      </c>
    </row>
    <row r="496" spans="1:11">
      <c r="A496" s="387">
        <f>'14U BOYS SILVER-18 TEAMS'!A52</f>
        <v>46054</v>
      </c>
      <c r="B496" s="388">
        <f>'14U BOYS SILVER-18 TEAMS'!B52</f>
        <v>0.60416666666666696</v>
      </c>
      <c r="C496" s="388" t="str">
        <f>'14U BOYS SILVER-18 TEAMS'!C52&amp;""</f>
        <v>COSTA MESA HS 1</v>
      </c>
      <c r="D496" s="389" t="str">
        <f>'14U BOYS SILVER-18 TEAMS'!D52&amp;""</f>
        <v>14Bag29</v>
      </c>
      <c r="E496" s="390" t="str">
        <f>'14U BOYS SILVER-18 TEAMS'!E52&amp;""</f>
        <v>J1(2ndF)-NADO</v>
      </c>
      <c r="F496" s="391" t="str">
        <f>'14U BOYS SILVER-18 TEAMS'!F52&amp;""</f>
        <v>11</v>
      </c>
      <c r="G496" s="390" t="str">
        <f>'14U BOYS SILVER-18 TEAMS'!G52&amp;""</f>
        <v>J3(2ndD)-PALOS VERDES B</v>
      </c>
      <c r="H496" s="391" t="str">
        <f>'14U BOYS SILVER-18 TEAMS'!H52&amp;""</f>
        <v>10</v>
      </c>
      <c r="I496" s="392" t="str">
        <f>'14U BOYS SILVER-18 TEAMS'!I52&amp;""</f>
        <v>7th-12th</v>
      </c>
      <c r="J496" s="389" t="str">
        <f>'14U BOYS SILVER-18 TEAMS'!J52&amp;""</f>
        <v>14U_BOYS_SILVER</v>
      </c>
      <c r="K496" s="389" t="str">
        <f t="shared" si="8"/>
        <v>202602011430</v>
      </c>
    </row>
    <row r="497" spans="1:11">
      <c r="A497" s="354">
        <f>'12U BOYS GOLD-24 TEAMS'!A52</f>
        <v>46054</v>
      </c>
      <c r="B497" s="355">
        <f>'12U BOYS GOLD-24 TEAMS'!B52</f>
        <v>0.60416666666666696</v>
      </c>
      <c r="C497" s="355" t="str">
        <f>'12U BOYS GOLD-24 TEAMS'!C52&amp;""</f>
        <v>COSTA MESA HS 2</v>
      </c>
      <c r="D497" s="356" t="str">
        <f>'12U BOYS GOLD-24 TEAMS'!D52&amp;""</f>
        <v>12Bau16</v>
      </c>
      <c r="E497" s="356" t="str">
        <f>'12U BOYS GOLD-24 TEAMS'!E52&amp;""</f>
        <v>2ndB-MARIN</v>
      </c>
      <c r="F497" s="356" t="str">
        <f>'12U BOYS GOLD-24 TEAMS'!F52&amp;""</f>
        <v>4</v>
      </c>
      <c r="G497" s="356" t="str">
        <f>'12U BOYS GOLD-24 TEAMS'!G52&amp;""</f>
        <v>2ndC-CC UNITED BLUE</v>
      </c>
      <c r="H497" s="356" t="str">
        <f>'12U BOYS GOLD-24 TEAMS'!H52&amp;""</f>
        <v>15</v>
      </c>
      <c r="I497" s="356" t="str">
        <f>'12U BOYS GOLD-24 TEAMS'!I52&amp;""</f>
        <v>9-16 cross 2B,2C</v>
      </c>
      <c r="J497" s="356" t="str">
        <f>'12U BOYS GOLD-24 TEAMS'!J52&amp;""</f>
        <v>12U_BOYS_GOLD</v>
      </c>
      <c r="K497" s="356" t="str">
        <f t="shared" ref="K497:K560" si="9">TEXT(DATE(2026, MONTH(A497), DAY(A497)) + TIME(HOUR(B497), MINUTE(B497), 0), "yyyymmddhhmm")</f>
        <v>202602011430</v>
      </c>
    </row>
    <row r="498" spans="1:11">
      <c r="A498" s="399">
        <f>'14U BOYS PLATINUM-20 TEAMS'!A56</f>
        <v>46054</v>
      </c>
      <c r="B498" s="400">
        <f>'14U BOYS PLATINUM-20 TEAMS'!B56</f>
        <v>0.60416666666666696</v>
      </c>
      <c r="C498" s="400" t="str">
        <f>'14U BOYS PLATINUM-20 TEAMS'!C56&amp;""</f>
        <v>EL TORO HS 1</v>
      </c>
      <c r="D498" s="401" t="str">
        <f>'14U BOYS PLATINUM-20 TEAMS'!D56&amp;""</f>
        <v>14Bpt29</v>
      </c>
      <c r="E498" s="404" t="str">
        <f>'14U BOYS PLATINUM-20 TEAMS'!E56&amp;""</f>
        <v>J1(1stD)-LA JOLLA UNITED NAVY</v>
      </c>
      <c r="F498" s="401" t="str">
        <f>'14U BOYS PLATINUM-20 TEAMS'!F56&amp;""</f>
        <v>9</v>
      </c>
      <c r="G498" s="401" t="str">
        <f>'14U BOYS PLATINUM-20 TEAMS'!G56&amp;""</f>
        <v>J2(1stE)-CHANNEL ISLANDS UNITED GOLD</v>
      </c>
      <c r="H498" s="401" t="str">
        <f>'14U BOYS PLATINUM-20 TEAMS'!H56&amp;""</f>
        <v>6</v>
      </c>
      <c r="I498" s="405" t="str">
        <f>'14U BOYS PLATINUM-20 TEAMS'!I56&amp;""</f>
        <v>J bracket</v>
      </c>
      <c r="J498" s="401" t="str">
        <f>'14U BOYS PLATINUM-20 TEAMS'!J56&amp;""</f>
        <v>14U_BOYS_PLATINUM</v>
      </c>
      <c r="K498" s="401" t="str">
        <f t="shared" si="9"/>
        <v>202602011430</v>
      </c>
    </row>
    <row r="499" spans="1:11">
      <c r="A499" s="394">
        <f>'14U BOYS GOLD-26 TEAMS'!A64</f>
        <v>46054</v>
      </c>
      <c r="B499" s="395">
        <f>'14U BOYS GOLD-26 TEAMS'!B64</f>
        <v>0.60416666666666696</v>
      </c>
      <c r="C499" s="396" t="str">
        <f>'14U BOYS GOLD-26 TEAMS'!C64&amp;""</f>
        <v>ESTANCIA HS 2</v>
      </c>
      <c r="D499" s="396" t="str">
        <f>'14U BOYS GOLD-26 TEAMS'!D64&amp;""</f>
        <v>14Bau35</v>
      </c>
      <c r="E499" s="396" t="str">
        <f>'14U BOYS GOLD-26 TEAMS'!E64&amp;""</f>
        <v>Q1(2ndJ)-NORTHWEST</v>
      </c>
      <c r="F499" s="396" t="str">
        <f>'14U BOYS GOLD-26 TEAMS'!F64&amp;""</f>
        <v>13</v>
      </c>
      <c r="G499" s="396" t="str">
        <f>'14U BOYS GOLD-26 TEAMS'!G64&amp;""</f>
        <v>Q2(2ndK)-VANGUARD SILVER</v>
      </c>
      <c r="H499" s="396" t="str">
        <f>'14U BOYS GOLD-26 TEAMS'!H64&amp;""</f>
        <v>14</v>
      </c>
      <c r="I499" s="396" t="str">
        <f>'14U BOYS GOLD-26 TEAMS'!I64&amp;""</f>
        <v>overall 3rd</v>
      </c>
      <c r="J499" s="397" t="str">
        <f>'14U BOYS GOLD-26 TEAMS'!J64&amp;""</f>
        <v>14U_BOYS_GOLD</v>
      </c>
      <c r="K499" s="397" t="str">
        <f t="shared" si="9"/>
        <v>202602011430</v>
      </c>
    </row>
    <row r="500" spans="1:11">
      <c r="A500" s="394">
        <f>'14U BOYS GOLD-26 TEAMS'!A75</f>
        <v>46054</v>
      </c>
      <c r="B500" s="395">
        <f>'14U BOYS GOLD-26 TEAMS'!B75</f>
        <v>0.60416666666666696</v>
      </c>
      <c r="C500" s="396" t="str">
        <f>'14U BOYS GOLD-26 TEAMS'!C75&amp;""</f>
        <v>LAGUNA HILLS HS</v>
      </c>
      <c r="D500" s="396" t="str">
        <f>'14U BOYS GOLD-26 TEAMS'!D75&amp;""</f>
        <v>14Bau48</v>
      </c>
      <c r="E500" s="397" t="str">
        <f>'14U BOYS GOLD-26 TEAMS'!E75&amp;""</f>
        <v>L#43-BOA</v>
      </c>
      <c r="F500" s="397" t="str">
        <f>'14U BOYS GOLD-26 TEAMS'!F75&amp;""</f>
        <v>11</v>
      </c>
      <c r="G500" s="398" t="str">
        <f>'14U BOYS GOLD-26 TEAMS'!G75&amp;""</f>
        <v>L#44-STANFORD BLACK</v>
      </c>
      <c r="H500" s="397" t="str">
        <f>'14U BOYS GOLD-26 TEAMS'!H75&amp;""</f>
        <v>12</v>
      </c>
      <c r="I500" s="396" t="str">
        <f>'14U BOYS GOLD-26 TEAMS'!I75&amp;""</f>
        <v>3rd/4thP</v>
      </c>
      <c r="J500" s="397" t="str">
        <f>'14U BOYS GOLD-26 TEAMS'!J75&amp;""</f>
        <v>14U_BOYS_GOLD</v>
      </c>
      <c r="K500" s="397" t="str">
        <f t="shared" si="9"/>
        <v>202602011430</v>
      </c>
    </row>
    <row r="501" spans="1:11">
      <c r="A501" s="378">
        <f>'14U GIRLS GOLD-14 TEAMS'!A38</f>
        <v>46054</v>
      </c>
      <c r="B501" s="379">
        <f>'14U GIRLS GOLD-14 TEAMS'!B38</f>
        <v>0.60416666666666696</v>
      </c>
      <c r="C501" s="379" t="str">
        <f>'14U GIRLS GOLD-14 TEAMS'!C38&amp;""</f>
        <v>SAN CLEMENTE HS</v>
      </c>
      <c r="D501" s="380" t="str">
        <f>'14U GIRLS GOLD-14 TEAMS'!D38&amp;""</f>
        <v>14Gau25</v>
      </c>
      <c r="E501" s="380" t="str">
        <f>'14U GIRLS GOLD-14 TEAMS'!E38&amp;""</f>
        <v>3rdA-SANTA CRUZ BLUE</v>
      </c>
      <c r="F501" s="380" t="str">
        <f>'14U GIRLS GOLD-14 TEAMS'!F38&amp;""</f>
        <v>3</v>
      </c>
      <c r="G501" s="380" t="str">
        <f>'14U GIRLS GOLD-14 TEAMS'!G38&amp;""</f>
        <v>3rdC-PALOS VERDES</v>
      </c>
      <c r="H501" s="380" t="str">
        <f>'14U GIRLS GOLD-14 TEAMS'!H38&amp;""</f>
        <v>13</v>
      </c>
      <c r="I501" s="380" t="str">
        <f>'14U GIRLS GOLD-14 TEAMS'!I38&amp;""</f>
        <v>9th-14th 3A,3C</v>
      </c>
      <c r="J501" s="380" t="str">
        <f>'14U GIRLS GOLD-14 TEAMS'!J38&amp;""</f>
        <v>14U_GIRLS_GOLD</v>
      </c>
      <c r="K501" s="380" t="str">
        <f t="shared" si="9"/>
        <v>202602011430</v>
      </c>
    </row>
    <row r="502" spans="1:11">
      <c r="A502" s="399">
        <f>'14U BOYS PLATINUM-20 TEAMS'!A69</f>
        <v>46054</v>
      </c>
      <c r="B502" s="400">
        <f>'14U BOYS PLATINUM-20 TEAMS'!B69</f>
        <v>0.60416666666666696</v>
      </c>
      <c r="C502" s="400" t="str">
        <f>'14U BOYS PLATINUM-20 TEAMS'!C69&amp;""</f>
        <v>TUSTIN HS 1</v>
      </c>
      <c r="D502" s="401" t="str">
        <f>'14U BOYS PLATINUM-20 TEAMS'!D69&amp;""</f>
        <v>14Bpt38</v>
      </c>
      <c r="E502" s="401" t="str">
        <f>'14U BOYS PLATINUM-20 TEAMS'!E69&amp;""</f>
        <v>W#36-680 RED</v>
      </c>
      <c r="F502" s="401" t="str">
        <f>'14U BOYS PLATINUM-20 TEAMS'!F69&amp;""</f>
        <v>7</v>
      </c>
      <c r="G502" s="401" t="str">
        <f>'14U BOYS PLATINUM-20 TEAMS'!G69&amp;""</f>
        <v>W#37-NORTH IRVINE BLACK</v>
      </c>
      <c r="H502" s="401" t="str">
        <f>'14U BOYS PLATINUM-20 TEAMS'!H69&amp;""</f>
        <v>10</v>
      </c>
      <c r="I502" s="401" t="str">
        <f>'14U BOYS PLATINUM-20 TEAMS'!I69&amp;""</f>
        <v>1st/2ndI</v>
      </c>
      <c r="J502" s="401" t="str">
        <f>'14U BOYS PLATINUM-20 TEAMS'!J69&amp;""</f>
        <v>14U_BOYS_PLATINUM</v>
      </c>
      <c r="K502" s="401" t="str">
        <f t="shared" si="9"/>
        <v>202602011430</v>
      </c>
    </row>
    <row r="503" spans="1:11">
      <c r="A503" s="357">
        <f>'12U BOYS GOLD-24 TEAMS'!A64</f>
        <v>46054</v>
      </c>
      <c r="B503" s="358">
        <f>'12U BOYS GOLD-24 TEAMS'!B64</f>
        <v>0.60416666666666696</v>
      </c>
      <c r="C503" s="358" t="str">
        <f>'12U BOYS GOLD-24 TEAMS'!C64&amp;""</f>
        <v>TUSTIN HS 2</v>
      </c>
      <c r="D503" s="359" t="str">
        <f>'12U BOYS GOLD-24 TEAMS'!D64&amp;""</f>
        <v>12Bau15A</v>
      </c>
      <c r="E503" s="360" t="str">
        <f>'12U BOYS GOLD-24 TEAMS'!E64&amp;""</f>
        <v>2ndE-LA JOLLA UNITED GOLD</v>
      </c>
      <c r="F503" s="360" t="str">
        <f>'12U BOYS GOLD-24 TEAMS'!F64&amp;""</f>
        <v>10</v>
      </c>
      <c r="G503" s="360" t="str">
        <f>'12U BOYS GOLD-24 TEAMS'!G64&amp;""</f>
        <v>2ndH-STANFORD WHITE</v>
      </c>
      <c r="H503" s="360" t="str">
        <f>'12U BOYS GOLD-24 TEAMS'!H64&amp;""</f>
        <v>7</v>
      </c>
      <c r="I503" s="360" t="str">
        <f>'12U BOYS GOLD-24 TEAMS'!I64&amp;""</f>
        <v>9-16 cross 2E/2H</v>
      </c>
      <c r="J503" s="359" t="str">
        <f>'12U BOYS GOLD-24 TEAMS'!J64&amp;""</f>
        <v>12U_BOYS_GOLD</v>
      </c>
      <c r="K503" s="359" t="str">
        <f t="shared" si="9"/>
        <v>202602011430</v>
      </c>
    </row>
    <row r="504" spans="1:11">
      <c r="A504" s="351">
        <f>'12U GIRLS PLATINUM-12 TEAMS'!A36</f>
        <v>46054</v>
      </c>
      <c r="B504" s="352">
        <f>'12U GIRLS PLATINUM-12 TEAMS'!B36</f>
        <v>0.60416666666666696</v>
      </c>
      <c r="C504" s="351" t="str">
        <f>'12U GIRLS PLATINUM-12 TEAMS'!C36&amp;""</f>
        <v>WOOLLETT FAR RIGHT</v>
      </c>
      <c r="D504" s="353" t="str">
        <f>'12U GIRLS PLATINUM-12 TEAMS'!D36&amp;""</f>
        <v>12Gpt20</v>
      </c>
      <c r="E504" s="351" t="str">
        <f>'12U GIRLS PLATINUM-12 TEAMS'!E36&amp;""</f>
        <v>L#15-LAMORINDA C</v>
      </c>
      <c r="F504" s="353" t="str">
        <f>'12U GIRLS PLATINUM-12 TEAMS'!F36&amp;""</f>
        <v>5</v>
      </c>
      <c r="G504" s="351" t="str">
        <f>'12U GIRLS PLATINUM-12 TEAMS'!G36&amp;""</f>
        <v>L#16-LAMORINDA B</v>
      </c>
      <c r="H504" s="353" t="str">
        <f>'12U GIRLS PLATINUM-12 TEAMS'!H36&amp;""</f>
        <v>18</v>
      </c>
      <c r="I504" s="353" t="str">
        <f>'12U GIRLS PLATINUM-12 TEAMS'!I36&amp;""</f>
        <v>7th</v>
      </c>
      <c r="J504" s="353" t="str">
        <f>'12U GIRLS PLATINUM-12 TEAMS'!J36&amp;""</f>
        <v>12U_GIRLS_PLATINUM</v>
      </c>
      <c r="K504" s="353" t="str">
        <f t="shared" si="9"/>
        <v>202602011430</v>
      </c>
    </row>
    <row r="505" spans="1:11">
      <c r="A505" s="341">
        <f>'10U COED PLATINUM-8 TEAMS'!A28</f>
        <v>46054</v>
      </c>
      <c r="B505" s="342">
        <f>'10U COED PLATINUM-8 TEAMS'!B28</f>
        <v>0.61458333333333304</v>
      </c>
      <c r="C505" s="343" t="str">
        <f>'10U COED PLATINUM-8 TEAMS'!C28&amp;""</f>
        <v>BECKMAN HS 2</v>
      </c>
      <c r="D505" s="343" t="str">
        <f>'10U COED PLATINUM-8 TEAMS'!D28&amp;""</f>
        <v>10Cpt14</v>
      </c>
      <c r="E505" s="343" t="str">
        <f>'10U COED PLATINUM-8 TEAMS'!E28&amp;""</f>
        <v>3rdA-YOLO BLACK</v>
      </c>
      <c r="F505" s="343" t="str">
        <f>'10U COED PLATINUM-8 TEAMS'!F28&amp;""</f>
        <v>17</v>
      </c>
      <c r="G505" s="343" t="str">
        <f>'10U COED PLATINUM-8 TEAMS'!G28&amp;""</f>
        <v>3rdB-PATRIOT RED</v>
      </c>
      <c r="H505" s="343" t="str">
        <f>'10U COED PLATINUM-8 TEAMS'!H28&amp;""</f>
        <v>4</v>
      </c>
      <c r="I505" s="343" t="str">
        <f>'10U COED PLATINUM-8 TEAMS'!I28&amp;""</f>
        <v>5th</v>
      </c>
      <c r="J505" s="343" t="str">
        <f>'10U COED PLATINUM-8 TEAMS'!J28&amp;""</f>
        <v>10U_COED_PLATINUM</v>
      </c>
      <c r="K505" s="343" t="str">
        <f t="shared" si="9"/>
        <v>202602011445</v>
      </c>
    </row>
    <row r="506" spans="1:11">
      <c r="A506" s="337">
        <f>'10U COED GOLD-16 TEAMS CUSTOM'!A44</f>
        <v>46054</v>
      </c>
      <c r="B506" s="338">
        <f>'10U COED GOLD-16 TEAMS CUSTOM'!B44</f>
        <v>0.61458333333333304</v>
      </c>
      <c r="C506" s="338" t="str">
        <f>'10U COED GOLD-16 TEAMS CUSTOM'!C44&amp;""</f>
        <v>EL TORO HS 2</v>
      </c>
      <c r="D506" s="339" t="str">
        <f>'10U COED GOLD-16 TEAMS CUSTOM'!D44&amp;""</f>
        <v>10Cau32</v>
      </c>
      <c r="E506" s="339" t="str">
        <f>'10U COED GOLD-16 TEAMS CUSTOM'!E44&amp;""</f>
        <v>3rdB-DEL MAR WHITE</v>
      </c>
      <c r="F506" s="339" t="str">
        <f>'10U COED GOLD-16 TEAMS CUSTOM'!F44&amp;""</f>
        <v/>
      </c>
      <c r="G506" s="339" t="str">
        <f>'10U COED GOLD-16 TEAMS CUSTOM'!G44&amp;""</f>
        <v>3rdC-SOUTH COAST RED</v>
      </c>
      <c r="H506" s="339" t="str">
        <f>'10U COED GOLD-16 TEAMS CUSTOM'!H44&amp;""</f>
        <v>12</v>
      </c>
      <c r="I506" s="339" t="str">
        <f>'10U COED GOLD-16 TEAMS CUSTOM'!I44&amp;""</f>
        <v>coed 9-12</v>
      </c>
      <c r="J506" s="339" t="str">
        <f>'10U COED GOLD-16 TEAMS CUSTOM'!J44&amp;""</f>
        <v>10U_COED_GOLD</v>
      </c>
      <c r="K506" s="339" t="str">
        <f t="shared" si="9"/>
        <v>202602011445</v>
      </c>
    </row>
    <row r="507" spans="1:11">
      <c r="A507" s="346">
        <f>'10U BOYS-8 TEAMS'!A29</f>
        <v>46054</v>
      </c>
      <c r="B507" s="347">
        <f>'10U BOYS-8 TEAMS'!B29</f>
        <v>0.61458333333333304</v>
      </c>
      <c r="C507" s="348" t="str">
        <f>'10U BOYS-8 TEAMS'!C29&amp;""</f>
        <v>WOOLLETT FAR LEFT</v>
      </c>
      <c r="D507" s="348" t="str">
        <f>'10U BOYS-8 TEAMS'!D29&amp;""</f>
        <v>10B16</v>
      </c>
      <c r="E507" s="348" t="str">
        <f>'10U BOYS-8 TEAMS'!E29&amp;""</f>
        <v>1stA-680 RED</v>
      </c>
      <c r="F507" s="348" t="str">
        <f>'10U BOYS-8 TEAMS'!F29&amp;""</f>
        <v>6</v>
      </c>
      <c r="G507" s="348" t="str">
        <f>'10U BOYS-8 TEAMS'!G29&amp;""</f>
        <v>1stB-CC UNITED BLACK</v>
      </c>
      <c r="H507" s="348" t="str">
        <f>'10U BOYS-8 TEAMS'!H29&amp;""</f>
        <v>3</v>
      </c>
      <c r="I507" s="348" t="str">
        <f>'10U BOYS-8 TEAMS'!I29&amp;""</f>
        <v>1st</v>
      </c>
      <c r="J507" s="348" t="str">
        <f>'10U BOYS-8 TEAMS'!J29&amp;""</f>
        <v>10U_BOYS</v>
      </c>
      <c r="K507" s="348" t="str">
        <f t="shared" si="9"/>
        <v>202602011445</v>
      </c>
    </row>
    <row r="508" spans="1:11">
      <c r="A508" s="394">
        <f>'14U BOYS GOLD-26 TEAMS'!A85</f>
        <v>46054</v>
      </c>
      <c r="B508" s="395">
        <f>'14U BOYS GOLD-26 TEAMS'!B85</f>
        <v>0.61805555555555558</v>
      </c>
      <c r="C508" s="396" t="str">
        <f>'14U BOYS GOLD-26 TEAMS'!C85&amp;""</f>
        <v>ESPERANZA HS</v>
      </c>
      <c r="D508" s="396" t="str">
        <f>'14U BOYS GOLD-26 TEAMS'!D85&amp;""</f>
        <v>14Bau52</v>
      </c>
      <c r="E508" s="397" t="str">
        <f>'14U BOYS GOLD-26 TEAMS'!E85&amp;""</f>
        <v>L#31-PRIDE RED</v>
      </c>
      <c r="F508" s="397" t="str">
        <f>'14U BOYS GOLD-26 TEAMS'!F85&amp;""</f>
        <v>8</v>
      </c>
      <c r="G508" s="398" t="str">
        <f>'14U BOYS GOLD-26 TEAMS'!G85&amp;""</f>
        <v>L#32-DAVIS</v>
      </c>
      <c r="H508" s="397" t="str">
        <f>'14U BOYS GOLD-26 TEAMS'!H85&amp;""</f>
        <v>13</v>
      </c>
      <c r="I508" s="396" t="str">
        <f>'14U BOYS GOLD-26 TEAMS'!I85&amp;""</f>
        <v>3rd/4thL</v>
      </c>
      <c r="J508" s="397" t="str">
        <f>'14U BOYS GOLD-26 TEAMS'!J85&amp;""</f>
        <v>14U_BOYS_GOLD</v>
      </c>
      <c r="K508" s="397" t="str">
        <f t="shared" si="9"/>
        <v>202602011450</v>
      </c>
    </row>
    <row r="509" spans="1:11">
      <c r="A509" s="435">
        <f>'19U BOYS PLATINUM-27 TEAMS'!A88</f>
        <v>46054</v>
      </c>
      <c r="B509" s="436">
        <f>'19U BOYS PLATINUM-27 TEAMS'!B88</f>
        <v>0.625</v>
      </c>
      <c r="C509" s="437" t="str">
        <f>'19U BOYS PLATINUM-27 TEAMS'!C88&amp;""</f>
        <v>EDISON HS</v>
      </c>
      <c r="D509" s="437" t="str">
        <f>'19U BOYS PLATINUM-27 TEAMS'!D88&amp;""</f>
        <v>19Bpt53</v>
      </c>
      <c r="E509" s="438" t="str">
        <f>'19U BOYS PLATINUM-27 TEAMS'!E88&amp;""</f>
        <v>W#49-SAND CANYON</v>
      </c>
      <c r="F509" s="438" t="str">
        <f>'19U BOYS PLATINUM-27 TEAMS'!F88&amp;""</f>
        <v>17</v>
      </c>
      <c r="G509" s="438" t="str">
        <f>'19U BOYS PLATINUM-27 TEAMS'!G88&amp;""</f>
        <v>W#50-SD SHORES BLACK</v>
      </c>
      <c r="H509" s="438" t="str">
        <f>'19U BOYS PLATINUM-27 TEAMS'!H88&amp;""</f>
        <v>14</v>
      </c>
      <c r="I509" s="437" t="str">
        <f>'19U BOYS PLATINUM-27 TEAMS'!I88&amp;""</f>
        <v>1st/2ndL</v>
      </c>
      <c r="J509" s="438" t="str">
        <f>'19U BOYS PLATINUM-27 TEAMS'!J88&amp;""</f>
        <v>19U_BOYS_PLATINUM</v>
      </c>
      <c r="K509" s="438" t="str">
        <f t="shared" si="9"/>
        <v>202602011500</v>
      </c>
    </row>
    <row r="510" spans="1:11">
      <c r="A510" s="432">
        <f>'19U BOYS GOLD-16 TEAMS'!A37</f>
        <v>46054</v>
      </c>
      <c r="B510" s="433">
        <f>'19U BOYS GOLD-16 TEAMS'!B37</f>
        <v>0.625</v>
      </c>
      <c r="C510" s="433" t="str">
        <f>'19U BOYS GOLD-16 TEAMS'!C37&amp;""</f>
        <v>ESTANCIA HS 1</v>
      </c>
      <c r="D510" s="434" t="str">
        <f>'19U BOYS GOLD-16 TEAMS'!D37&amp;""</f>
        <v>19Bau33</v>
      </c>
      <c r="E510" s="434" t="str">
        <f>'19U BOYS GOLD-16 TEAMS'!E37&amp;""</f>
        <v>L#29-LA JOLLA UNITED GOLD</v>
      </c>
      <c r="F510" s="434" t="str">
        <f>'19U BOYS GOLD-16 TEAMS'!F37&amp;""</f>
        <v>25</v>
      </c>
      <c r="G510" s="434" t="str">
        <f>'19U BOYS GOLD-16 TEAMS'!G37&amp;""</f>
        <v>L#30-MARIN</v>
      </c>
      <c r="H510" s="434" t="str">
        <f>'19U BOYS GOLD-16 TEAMS'!H37&amp;""</f>
        <v>11</v>
      </c>
      <c r="I510" s="434" t="str">
        <f>'19U BOYS GOLD-16 TEAMS'!I37&amp;""</f>
        <v>15th</v>
      </c>
      <c r="J510" s="434" t="str">
        <f>'19U BOYS GOLD-16 TEAMS'!J37&amp;""</f>
        <v>19U_BOYS_GOLD</v>
      </c>
      <c r="K510" s="434" t="str">
        <f t="shared" si="9"/>
        <v>202602011500</v>
      </c>
    </row>
    <row r="511" spans="1:11">
      <c r="A511" s="432">
        <f>'19U BOYS GOLD-16 TEAMS'!A38</f>
        <v>46054</v>
      </c>
      <c r="B511" s="433">
        <f>'19U BOYS GOLD-16 TEAMS'!B38</f>
        <v>0.625</v>
      </c>
      <c r="C511" s="433" t="str">
        <f>'19U BOYS GOLD-16 TEAMS'!C38&amp;""</f>
        <v>FULLERTON COLLEGE</v>
      </c>
      <c r="D511" s="434" t="str">
        <f>'19U BOYS GOLD-16 TEAMS'!D38&amp;""</f>
        <v>19Bau20</v>
      </c>
      <c r="E511" s="434" t="str">
        <f>'19U BOYS GOLD-16 TEAMS'!E38&amp;""</f>
        <v>1stB-ORANGE COUNTY WPC BLUE</v>
      </c>
      <c r="F511" s="434" t="str">
        <f>'19U BOYS GOLD-16 TEAMS'!F38&amp;""</f>
        <v>6.5</v>
      </c>
      <c r="G511" s="434" t="str">
        <f>'19U BOYS GOLD-16 TEAMS'!G38&amp;""</f>
        <v>1stC-MISSON WPC</v>
      </c>
      <c r="H511" s="434" t="str">
        <f>'19U BOYS GOLD-16 TEAMS'!H38&amp;""</f>
        <v>6.6</v>
      </c>
      <c r="I511" s="434" t="str">
        <f>'19U BOYS GOLD-16 TEAMS'!I38&amp;""</f>
        <v>1-4 semi 1B/1C</v>
      </c>
      <c r="J511" s="434" t="str">
        <f>'19U BOYS GOLD-16 TEAMS'!J38&amp;""</f>
        <v>19U_BOYS_GOLD</v>
      </c>
      <c r="K511" s="434" t="str">
        <f t="shared" si="9"/>
        <v>202602011500</v>
      </c>
    </row>
    <row r="512" spans="1:11">
      <c r="A512" s="413">
        <f>'16U BOYS GOLD-19 TEAMS'!A68</f>
        <v>46054</v>
      </c>
      <c r="B512" s="414">
        <f>'16U BOYS GOLD-19 TEAMS'!B68</f>
        <v>0.625</v>
      </c>
      <c r="C512" s="414" t="str">
        <f>'16U BOYS GOLD-19 TEAMS'!C68&amp;""</f>
        <v>SADDLEBACK COLLEGE</v>
      </c>
      <c r="D512" s="415" t="str">
        <f>'16U BOYS GOLD-19 TEAMS'!D68&amp;""</f>
        <v>16Bau39</v>
      </c>
      <c r="E512" s="416" t="str">
        <f>'16U BOYS GOLD-19 TEAMS'!E68&amp;""</f>
        <v>J1(2ndD)-POWAY VALLEY BLACK</v>
      </c>
      <c r="F512" s="417" t="str">
        <f>'16U BOYS GOLD-19 TEAMS'!F68&amp;""</f>
        <v>6</v>
      </c>
      <c r="G512" s="416" t="str">
        <f>'16U BOYS GOLD-19 TEAMS'!G68&amp;""</f>
        <v>J2(2ndE)-STANFORD BLACK</v>
      </c>
      <c r="H512" s="417" t="str">
        <f>'16U BOYS GOLD-19 TEAMS'!H68&amp;""</f>
        <v>12</v>
      </c>
      <c r="I512" s="418" t="str">
        <f>'16U BOYS GOLD-19 TEAMS'!I68&amp;""</f>
        <v>J bracket J1,J2</v>
      </c>
      <c r="J512" s="415" t="str">
        <f>'16U BOYS GOLD-19 TEAMS'!J68&amp;""</f>
        <v>16U_BOYS_GOLD</v>
      </c>
      <c r="K512" s="415" t="str">
        <f t="shared" si="9"/>
        <v>202602011500</v>
      </c>
    </row>
    <row r="513" spans="1:11">
      <c r="A513" s="410">
        <f>'16U BOYS GOLD-19 TEAMS'!A56</f>
        <v>46054</v>
      </c>
      <c r="B513" s="411">
        <f>'16U BOYS GOLD-19 TEAMS'!B56</f>
        <v>0.625</v>
      </c>
      <c r="C513" s="411" t="str">
        <f>'16U BOYS GOLD-19 TEAMS'!C56&amp;""</f>
        <v>SAN JUAN HILLS HS</v>
      </c>
      <c r="D513" s="412" t="str">
        <f>'16U BOYS GOLD-19 TEAMS'!D56&amp;""</f>
        <v>16Bau28</v>
      </c>
      <c r="E513" s="412" t="str">
        <f>'16U BOYS GOLD-19 TEAMS'!E56&amp;""</f>
        <v>I1(2ndA)-CHANNEL ISLANDS UNITED BLUE</v>
      </c>
      <c r="F513" s="412" t="str">
        <f>'16U BOYS GOLD-19 TEAMS'!F56&amp;""</f>
        <v>8</v>
      </c>
      <c r="G513" s="412" t="str">
        <f>'16U BOYS GOLD-19 TEAMS'!G56&amp;""</f>
        <v>I2(2ndB)-DAVIS BLUE</v>
      </c>
      <c r="H513" s="412" t="str">
        <f>'16U BOYS GOLD-19 TEAMS'!H56&amp;""</f>
        <v>15</v>
      </c>
      <c r="I513" s="412" t="str">
        <f>'16U BOYS GOLD-19 TEAMS'!I56&amp;""</f>
        <v>I bracket I1,I2</v>
      </c>
      <c r="J513" s="412" t="str">
        <f>'16U BOYS GOLD-19 TEAMS'!J56&amp;""</f>
        <v>16U_BOYS_GOLD</v>
      </c>
      <c r="K513" s="412" t="str">
        <f t="shared" si="9"/>
        <v>202602011500</v>
      </c>
    </row>
    <row r="514" spans="1:11">
      <c r="A514" s="406">
        <f>'16U BOYS SILVER-20 TEAMS'!A59</f>
        <v>46054</v>
      </c>
      <c r="B514" s="407">
        <f>'16U BOYS SILVER-20 TEAMS'!B59</f>
        <v>0.625</v>
      </c>
      <c r="C514" s="407" t="str">
        <f>'16U BOYS SILVER-20 TEAMS'!C59&amp;""</f>
        <v>SONORA HS</v>
      </c>
      <c r="D514" s="408" t="str">
        <f>'16U BOYS SILVER-20 TEAMS'!D59&amp;""</f>
        <v>16Bag43</v>
      </c>
      <c r="E514" s="408" t="str">
        <f>'16U BOYS SILVER-20 TEAMS'!E59&amp;""</f>
        <v>3rdG-MID PEN</v>
      </c>
      <c r="F514" s="408" t="str">
        <f>'16U BOYS SILVER-20 TEAMS'!F59&amp;""</f>
        <v>8</v>
      </c>
      <c r="G514" s="408" t="str">
        <f>'16U BOYS SILVER-20 TEAMS'!G59&amp;""</f>
        <v>3rdJ-HIELAND</v>
      </c>
      <c r="H514" s="408" t="str">
        <f>'16U BOYS SILVER-20 TEAMS'!H59&amp;""</f>
        <v>9</v>
      </c>
      <c r="I514" s="408" t="str">
        <f>'16U BOYS SILVER-20 TEAMS'!I59&amp;""</f>
        <v>5th</v>
      </c>
      <c r="J514" s="408" t="str">
        <f>'16U BOYS SILVER-20 TEAMS'!J59&amp;""</f>
        <v>16U_BOYS_SILVER</v>
      </c>
      <c r="K514" s="408" t="str">
        <f t="shared" si="9"/>
        <v>202602011500</v>
      </c>
    </row>
    <row r="515" spans="1:11">
      <c r="A515" s="421">
        <f>'16U BOYS PLATINUM-18 TEAMS'!A62</f>
        <v>46054</v>
      </c>
      <c r="B515" s="422">
        <f>'16U BOYS PLATINUM-18 TEAMS'!B62</f>
        <v>0.625</v>
      </c>
      <c r="C515" s="422" t="str">
        <f>'16U BOYS PLATINUM-18 TEAMS'!C62&amp;""</f>
        <v>WESTMINSTER HS</v>
      </c>
      <c r="D515" s="422" t="str">
        <f>'16U BOYS PLATINUM-18 TEAMS'!D62&amp;""</f>
        <v>16Bpt36</v>
      </c>
      <c r="E515" s="423" t="str">
        <f>'16U BOYS PLATINUM-18 TEAMS'!E62&amp;""</f>
        <v>N2(3rdE)-TROJAN CARDINAL</v>
      </c>
      <c r="F515" s="424" t="str">
        <f>'16U BOYS PLATINUM-18 TEAMS'!F62&amp;""</f>
        <v>8</v>
      </c>
      <c r="G515" s="425" t="str">
        <f>'16U BOYS PLATINUM-18 TEAMS'!G62&amp;""</f>
        <v>N3(3rdF)-ASPHALT GREEN</v>
      </c>
      <c r="H515" s="427" t="str">
        <f>'16U BOYS PLATINUM-18 TEAMS'!H62&amp;""</f>
        <v>7</v>
      </c>
      <c r="I515" s="425" t="str">
        <f>'16U BOYS PLATINUM-18 TEAMS'!I62&amp;""</f>
        <v>13th-18th</v>
      </c>
      <c r="J515" s="426" t="str">
        <f>'16U BOYS PLATINUM-18 TEAMS'!J62&amp;""</f>
        <v>16U_BOYS_PLATINUM</v>
      </c>
      <c r="K515" s="426" t="str">
        <f t="shared" si="9"/>
        <v>202602011500</v>
      </c>
    </row>
    <row r="516" spans="1:11">
      <c r="A516" s="435">
        <f>'19U BOYS PLATINUM-27 TEAMS'!A67</f>
        <v>46054</v>
      </c>
      <c r="B516" s="436">
        <f>'19U BOYS PLATINUM-27 TEAMS'!B67</f>
        <v>0.625</v>
      </c>
      <c r="C516" s="437" t="str">
        <f>'19U BOYS PLATINUM-27 TEAMS'!C67&amp;""</f>
        <v>WOOLLETT NEAR LEFT</v>
      </c>
      <c r="D516" s="437" t="str">
        <f>'19U BOYS PLATINUM-27 TEAMS'!D67&amp;""</f>
        <v>19Bpt35</v>
      </c>
      <c r="E516" s="438" t="str">
        <f>'19U BOYS PLATINUM-27 TEAMS'!E67&amp;""</f>
        <v>L#30-RIVERSIDE</v>
      </c>
      <c r="F516" s="438" t="str">
        <f>'19U BOYS PLATINUM-27 TEAMS'!F67&amp;""</f>
        <v>15</v>
      </c>
      <c r="G516" s="438" t="str">
        <f>'19U BOYS PLATINUM-27 TEAMS'!G67&amp;""</f>
        <v>L#31-FOOTHILL RED</v>
      </c>
      <c r="H516" s="438" t="str">
        <f>'19U BOYS PLATINUM-27 TEAMS'!H67&amp;""</f>
        <v>8</v>
      </c>
      <c r="I516" s="437" t="str">
        <f>'19U BOYS PLATINUM-27 TEAMS'!I67&amp;""</f>
        <v>3rd/4thK</v>
      </c>
      <c r="J516" s="438" t="str">
        <f>'19U BOYS PLATINUM-27 TEAMS'!J67&amp;""</f>
        <v>19U_BOYS_PLATINUM</v>
      </c>
      <c r="K516" s="438" t="str">
        <f t="shared" si="9"/>
        <v>202602011500</v>
      </c>
    </row>
    <row r="517" spans="1:11">
      <c r="A517" s="421">
        <f>'16U BOYS PLATINUM-18 TEAMS'!A52</f>
        <v>46054</v>
      </c>
      <c r="B517" s="422">
        <f>'16U BOYS PLATINUM-18 TEAMS'!B52</f>
        <v>0.625</v>
      </c>
      <c r="C517" s="422" t="str">
        <f>'16U BOYS PLATINUM-18 TEAMS'!C52&amp;""</f>
        <v>WOOLLETT NEAR RIGHT</v>
      </c>
      <c r="D517" s="422" t="str">
        <f>'16U BOYS PLATINUM-18 TEAMS'!D52&amp;""</f>
        <v>16Bpt35</v>
      </c>
      <c r="E517" s="423" t="str">
        <f>'16U BOYS PLATINUM-18 TEAMS'!E52&amp;""</f>
        <v>J2(2ndE)-SAN CLEMENTE RED</v>
      </c>
      <c r="F517" s="424" t="str">
        <f>'16U BOYS PLATINUM-18 TEAMS'!F52&amp;""</f>
        <v>10.5</v>
      </c>
      <c r="G517" s="425" t="str">
        <f>'16U BOYS PLATINUM-18 TEAMS'!G52&amp;""</f>
        <v>J3(2ndD)-SOUTH COAST RED (A)</v>
      </c>
      <c r="H517" s="424" t="str">
        <f>'16U BOYS PLATINUM-18 TEAMS'!H52&amp;""</f>
        <v>10.6</v>
      </c>
      <c r="I517" s="425" t="str">
        <f>'16U BOYS PLATINUM-18 TEAMS'!I52&amp;""</f>
        <v>7th-12th</v>
      </c>
      <c r="J517" s="426" t="str">
        <f>'16U BOYS PLATINUM-18 TEAMS'!J52&amp;""</f>
        <v>16U_BOYS_PLATINUM</v>
      </c>
      <c r="K517" s="426" t="str">
        <f t="shared" si="9"/>
        <v>202602011500</v>
      </c>
    </row>
    <row r="518" spans="1:11">
      <c r="A518" s="435">
        <f>'19U BOYS PLATINUM-27 TEAMS'!A78</f>
        <v>46054</v>
      </c>
      <c r="B518" s="436">
        <f>'19U BOYS PLATINUM-27 TEAMS'!B78</f>
        <v>0.625</v>
      </c>
      <c r="C518" s="437" t="str">
        <f>'19U BOYS PLATINUM-27 TEAMS'!C78&amp;""</f>
        <v>YORBA LINDA HS</v>
      </c>
      <c r="D518" s="437" t="str">
        <f>'19U BOYS PLATINUM-27 TEAMS'!D78&amp;""</f>
        <v>19Bpt44</v>
      </c>
      <c r="E518" s="438" t="str">
        <f>'19U BOYS PLATINUM-27 TEAMS'!E78&amp;""</f>
        <v>L#38-CHULA VISTA PREMIER</v>
      </c>
      <c r="F518" s="438" t="str">
        <f>'19U BOYS PLATINUM-27 TEAMS'!F78&amp;""</f>
        <v>5</v>
      </c>
      <c r="G518" s="438" t="str">
        <f>'19U BOYS PLATINUM-27 TEAMS'!G78&amp;""</f>
        <v>L#39-SOUTH COAST RED (A)</v>
      </c>
      <c r="H518" s="438" t="str">
        <f>'19U BOYS PLATINUM-27 TEAMS'!H78&amp;""</f>
        <v>16</v>
      </c>
      <c r="I518" s="437" t="str">
        <f>'19U BOYS PLATINUM-27 TEAMS'!I78&amp;""</f>
        <v>3rd/4thO</v>
      </c>
      <c r="J518" s="438" t="str">
        <f>'19U BOYS PLATINUM-27 TEAMS'!J78&amp;""</f>
        <v>19U_BOYS_PLATINUM</v>
      </c>
      <c r="K518" s="438" t="str">
        <f t="shared" si="9"/>
        <v>202602011500</v>
      </c>
    </row>
    <row r="519" spans="1:11">
      <c r="A519" s="382">
        <f>'14U GIRLS PLATINUM-10 TEAMS'!A33</f>
        <v>46054</v>
      </c>
      <c r="B519" s="383">
        <f>'14U GIRLS PLATINUM-10 TEAMS'!B33</f>
        <v>0.63888888888888895</v>
      </c>
      <c r="C519" s="383" t="str">
        <f>'14U GIRLS PLATINUM-10 TEAMS'!C33&amp;""</f>
        <v>ALISO NIGUEL HS</v>
      </c>
      <c r="D519" s="384" t="str">
        <f>'14U GIRLS PLATINUM-10 TEAMS'!D33&amp;""</f>
        <v>14Gpt17</v>
      </c>
      <c r="E519" s="384" t="str">
        <f>'14U GIRLS PLATINUM-10 TEAMS'!E33&amp;""</f>
        <v>W#13-STANFORD</v>
      </c>
      <c r="F519" s="384" t="str">
        <f>'14U GIRLS PLATINUM-10 TEAMS'!F33&amp;""</f>
        <v>2</v>
      </c>
      <c r="G519" s="384" t="str">
        <f>'14U GIRLS PLATINUM-10 TEAMS'!G33&amp;""</f>
        <v>W#14-DAVIS</v>
      </c>
      <c r="H519" s="384" t="str">
        <f>'14U GIRLS PLATINUM-10 TEAMS'!H33&amp;""</f>
        <v>7</v>
      </c>
      <c r="I519" s="384" t="str">
        <f>'14U GIRLS PLATINUM-10 TEAMS'!I33&amp;""</f>
        <v>5th</v>
      </c>
      <c r="J519" s="384" t="str">
        <f>'14U GIRLS PLATINUM-10 TEAMS'!J33&amp;""</f>
        <v>14U_GIRLS_PLATINUM</v>
      </c>
      <c r="K519" s="384" t="str">
        <f t="shared" si="9"/>
        <v>202602011520</v>
      </c>
    </row>
    <row r="520" spans="1:11">
      <c r="A520" s="370">
        <f>'12U BOYS PLATINUM-10 TEAMS'!A35</f>
        <v>46054</v>
      </c>
      <c r="B520" s="371">
        <f>'12U BOYS PLATINUM-10 TEAMS'!B35</f>
        <v>0.63888888888888895</v>
      </c>
      <c r="C520" s="371" t="str">
        <f>'12U BOYS PLATINUM-10 TEAMS'!C35&amp;""</f>
        <v>BECKMAN HS 1</v>
      </c>
      <c r="D520" s="373" t="str">
        <f>'12U BOYS PLATINUM-10 TEAMS'!D35&amp;""</f>
        <v>12Bpt19</v>
      </c>
      <c r="E520" s="373" t="str">
        <f>'12U BOYS PLATINUM-10 TEAMS'!E35&amp;""</f>
        <v>L#14-LAMORINDA A</v>
      </c>
      <c r="F520" s="373" t="str">
        <f>'12U BOYS PLATINUM-10 TEAMS'!F35&amp;""</f>
        <v>17</v>
      </c>
      <c r="G520" s="373" t="str">
        <f>'12U BOYS PLATINUM-10 TEAMS'!G35&amp;""</f>
        <v>4thC-DAVIS</v>
      </c>
      <c r="H520" s="373" t="str">
        <f>'12U BOYS PLATINUM-10 TEAMS'!H35&amp;""</f>
        <v>7</v>
      </c>
      <c r="I520" s="373" t="str">
        <f>'12U BOYS PLATINUM-10 TEAMS'!I35&amp;""</f>
        <v>7th-10th</v>
      </c>
      <c r="J520" s="373" t="str">
        <f>'12U BOYS PLATINUM-10 TEAMS'!J35&amp;""</f>
        <v>12U_BOYS_PLATINUM</v>
      </c>
      <c r="K520" s="373" t="str">
        <f t="shared" si="9"/>
        <v>202602011520</v>
      </c>
    </row>
    <row r="521" spans="1:11">
      <c r="A521" s="387">
        <f>'14U BOYS SILVER-18 TEAMS'!A53</f>
        <v>46054</v>
      </c>
      <c r="B521" s="388">
        <f>'14U BOYS SILVER-18 TEAMS'!B53</f>
        <v>0.63888888888888895</v>
      </c>
      <c r="C521" s="388" t="str">
        <f>'14U BOYS SILVER-18 TEAMS'!C53&amp;""</f>
        <v>COSTA MESA HS 1</v>
      </c>
      <c r="D521" s="389" t="str">
        <f>'14U BOYS SILVER-18 TEAMS'!D53&amp;""</f>
        <v>14Bag37</v>
      </c>
      <c r="E521" s="388" t="str">
        <f>'14U BOYS SILVER-18 TEAMS'!E53&amp;""</f>
        <v>2ndG-PASADENA AC</v>
      </c>
      <c r="F521" s="392" t="str">
        <f>'14U BOYS SILVER-18 TEAMS'!F53&amp;""</f>
        <v>15</v>
      </c>
      <c r="G521" s="388" t="str">
        <f>'14U BOYS SILVER-18 TEAMS'!G53&amp;""</f>
        <v>2ndH-SAND CANYON</v>
      </c>
      <c r="H521" s="391" t="str">
        <f>'14U BOYS SILVER-18 TEAMS'!H53&amp;""</f>
        <v>14</v>
      </c>
      <c r="I521" s="392" t="str">
        <f>'14U BOYS SILVER-18 TEAMS'!I53&amp;""</f>
        <v>overall 3rd</v>
      </c>
      <c r="J521" s="389" t="str">
        <f>'14U BOYS SILVER-18 TEAMS'!J53&amp;""</f>
        <v>14U_BOYS_SILVER</v>
      </c>
      <c r="K521" s="389" t="str">
        <f t="shared" si="9"/>
        <v>202602011520</v>
      </c>
    </row>
    <row r="522" spans="1:11">
      <c r="A522" s="357">
        <f>'12U BOYS GOLD-24 TEAMS'!A53</f>
        <v>46054</v>
      </c>
      <c r="B522" s="358">
        <f>'12U BOYS GOLD-24 TEAMS'!B53</f>
        <v>0.63888888888888895</v>
      </c>
      <c r="C522" s="358" t="str">
        <f>'12U BOYS GOLD-24 TEAMS'!C53&amp;""</f>
        <v>COSTA MESA HS 2</v>
      </c>
      <c r="D522" s="359" t="str">
        <f>'12U BOYS GOLD-24 TEAMS'!D53&amp;""</f>
        <v>12Bau20A</v>
      </c>
      <c r="E522" s="360" t="str">
        <f>'12U BOYS GOLD-24 TEAMS'!E53&amp;""</f>
        <v>W#13A-AMERICAN RIVER BLUE</v>
      </c>
      <c r="F522" s="360" t="str">
        <f>'12U BOYS GOLD-24 TEAMS'!F53&amp;""</f>
        <v>5</v>
      </c>
      <c r="G522" s="360" t="str">
        <f>'12U BOYS GOLD-24 TEAMS'!G53&amp;""</f>
        <v>W#14A-PATRIOT 10 NAVY</v>
      </c>
      <c r="H522" s="360" t="str">
        <f>'12U BOYS GOLD-24 TEAMS'!H53&amp;""</f>
        <v>13</v>
      </c>
      <c r="I522" s="359" t="str">
        <f>'12U BOYS GOLD-24 TEAMS'!I53&amp;""</f>
        <v>tie 17th</v>
      </c>
      <c r="J522" s="359" t="str">
        <f>'12U BOYS GOLD-24 TEAMS'!J53&amp;""</f>
        <v>12U_BOYS_GOLD</v>
      </c>
      <c r="K522" s="359" t="str">
        <f t="shared" si="9"/>
        <v>202602011520</v>
      </c>
    </row>
    <row r="523" spans="1:11">
      <c r="A523" s="399">
        <f>'14U BOYS PLATINUM-20 TEAMS'!A57</f>
        <v>46054</v>
      </c>
      <c r="B523" s="400">
        <f>'14U BOYS PLATINUM-20 TEAMS'!B57</f>
        <v>0.63888888888888895</v>
      </c>
      <c r="C523" s="400" t="str">
        <f>'14U BOYS PLATINUM-20 TEAMS'!C57&amp;""</f>
        <v>EL TORO HS 1</v>
      </c>
      <c r="D523" s="401" t="str">
        <f>'14U BOYS PLATINUM-20 TEAMS'!D57&amp;""</f>
        <v>14Bpt43</v>
      </c>
      <c r="E523" s="401" t="str">
        <f>'14U BOYS PLATINUM-20 TEAMS'!E57&amp;""</f>
        <v>3rdG-PALOS VERDES A</v>
      </c>
      <c r="F523" s="401" t="str">
        <f>'14U BOYS PLATINUM-20 TEAMS'!F57&amp;""</f>
        <v>8</v>
      </c>
      <c r="G523" s="405" t="str">
        <f>'14U BOYS PLATINUM-20 TEAMS'!G57&amp;""</f>
        <v xml:space="preserve">3rdJ-CHANNEL ISLANDS UNITED GOLD	</v>
      </c>
      <c r="H523" s="401" t="str">
        <f>'14U BOYS PLATINUM-20 TEAMS'!H57&amp;""</f>
        <v>7</v>
      </c>
      <c r="I523" s="401" t="str">
        <f>'14U BOYS PLATINUM-20 TEAMS'!I57&amp;""</f>
        <v>5th</v>
      </c>
      <c r="J523" s="401" t="str">
        <f>'14U BOYS PLATINUM-20 TEAMS'!J57&amp;""</f>
        <v>14U_BOYS_PLATINUM</v>
      </c>
      <c r="K523" s="401" t="str">
        <f t="shared" si="9"/>
        <v>202602011520</v>
      </c>
    </row>
    <row r="524" spans="1:11">
      <c r="A524" s="394">
        <f>'14U BOYS GOLD-26 TEAMS'!A65</f>
        <v>46054</v>
      </c>
      <c r="B524" s="395">
        <f>'14U BOYS GOLD-26 TEAMS'!B65</f>
        <v>0.63888888888888895</v>
      </c>
      <c r="C524" s="396" t="str">
        <f>'14U BOYS GOLD-26 TEAMS'!C65&amp;""</f>
        <v>ESTANCIA HS 2</v>
      </c>
      <c r="D524" s="396" t="str">
        <f>'14U BOYS GOLD-26 TEAMS'!D65&amp;""</f>
        <v>14Bau36</v>
      </c>
      <c r="E524" s="397" t="str">
        <f>'14U BOYS GOLD-26 TEAMS'!E65&amp;""</f>
        <v>R1(1stJ)-SHORE AQUATICS</v>
      </c>
      <c r="F524" s="397" t="str">
        <f>'14U BOYS GOLD-26 TEAMS'!F65&amp;""</f>
        <v>6</v>
      </c>
      <c r="G524" s="398" t="str">
        <f>'14U BOYS GOLD-26 TEAMS'!G65&amp;""</f>
        <v>R2(1stK)-MISSION WPC B</v>
      </c>
      <c r="H524" s="397" t="str">
        <f>'14U BOYS GOLD-26 TEAMS'!H65&amp;""</f>
        <v>7</v>
      </c>
      <c r="I524" s="396" t="str">
        <f>'14U BOYS GOLD-26 TEAMS'!I65&amp;""</f>
        <v>overall 1st</v>
      </c>
      <c r="J524" s="397" t="str">
        <f>'14U BOYS GOLD-26 TEAMS'!J65&amp;""</f>
        <v>14U_BOYS_GOLD</v>
      </c>
      <c r="K524" s="397" t="str">
        <f t="shared" si="9"/>
        <v>202602011520</v>
      </c>
    </row>
    <row r="525" spans="1:11">
      <c r="A525" s="394">
        <f>'14U BOYS GOLD-26 TEAMS'!A76</f>
        <v>46054</v>
      </c>
      <c r="B525" s="395">
        <f>'14U BOYS GOLD-26 TEAMS'!B76</f>
        <v>0.63888888888888895</v>
      </c>
      <c r="C525" s="396" t="str">
        <f>'14U BOYS GOLD-26 TEAMS'!C76&amp;""</f>
        <v>LAGUNA HILLS HS</v>
      </c>
      <c r="D525" s="396" t="str">
        <f>'14U BOYS GOLD-26 TEAMS'!D76&amp;""</f>
        <v>14Bau45</v>
      </c>
      <c r="E525" s="396" t="str">
        <f>'14U BOYS GOLD-26 TEAMS'!E76&amp;""</f>
        <v>N2(3rdG)-SD ECA</v>
      </c>
      <c r="F525" s="396" t="str">
        <f>'14U BOYS GOLD-26 TEAMS'!F76&amp;""</f>
        <v>8</v>
      </c>
      <c r="G525" s="396" t="str">
        <f>'14U BOYS GOLD-26 TEAMS'!G76&amp;""</f>
        <v>N3(3rdH)-PATRIOT RED</v>
      </c>
      <c r="H525" s="396" t="str">
        <f>'14U BOYS GOLD-26 TEAMS'!H76&amp;""</f>
        <v>9</v>
      </c>
      <c r="I525" s="396" t="str">
        <f>'14U BOYS GOLD-26 TEAMS'!I76&amp;""</f>
        <v>N bracket</v>
      </c>
      <c r="J525" s="397" t="str">
        <f>'14U BOYS GOLD-26 TEAMS'!J76&amp;""</f>
        <v>14U_BOYS_GOLD</v>
      </c>
      <c r="K525" s="397" t="str">
        <f t="shared" si="9"/>
        <v>202602011520</v>
      </c>
    </row>
    <row r="526" spans="1:11">
      <c r="A526" s="378">
        <f>'14U GIRLS GOLD-14 TEAMS'!A39</f>
        <v>46054</v>
      </c>
      <c r="B526" s="379">
        <f>'14U GIRLS GOLD-14 TEAMS'!B39</f>
        <v>0.63888888888888895</v>
      </c>
      <c r="C526" s="379" t="str">
        <f>'14U GIRLS GOLD-14 TEAMS'!C39&amp;""</f>
        <v>SAN CLEMENTE HS</v>
      </c>
      <c r="D526" s="380" t="str">
        <f>'14U GIRLS GOLD-14 TEAMS'!D39&amp;""</f>
        <v>14Gau21</v>
      </c>
      <c r="E526" s="380" t="str">
        <f>'14U GIRLS GOLD-14 TEAMS'!E39&amp;""</f>
        <v>L#15-NORTH IRVINE</v>
      </c>
      <c r="F526" s="380" t="str">
        <f>'14U GIRLS GOLD-14 TEAMS'!F39&amp;""</f>
        <v>9</v>
      </c>
      <c r="G526" s="380" t="str">
        <f>'14U GIRLS GOLD-14 TEAMS'!G39&amp;""</f>
        <v>L#17-ROGUE 619</v>
      </c>
      <c r="H526" s="380" t="str">
        <f>'14U GIRLS GOLD-14 TEAMS'!H39&amp;""</f>
        <v>18</v>
      </c>
      <c r="I526" s="380" t="str">
        <f>'14U GIRLS GOLD-14 TEAMS'!I39&amp;""</f>
        <v>3rd</v>
      </c>
      <c r="J526" s="380" t="str">
        <f>'14U GIRLS GOLD-14 TEAMS'!J39&amp;""</f>
        <v>14U_GIRLS_GOLD</v>
      </c>
      <c r="K526" s="380" t="str">
        <f t="shared" si="9"/>
        <v>202602011520</v>
      </c>
    </row>
    <row r="527" spans="1:11">
      <c r="A527" s="399">
        <f>'14U BOYS PLATINUM-20 TEAMS'!A70</f>
        <v>46054</v>
      </c>
      <c r="B527" s="400">
        <f>'14U BOYS PLATINUM-20 TEAMS'!B70</f>
        <v>0.63888888888888895</v>
      </c>
      <c r="C527" s="400" t="str">
        <f>'14U BOYS PLATINUM-20 TEAMS'!C70&amp;""</f>
        <v>TUSTIN HS 1</v>
      </c>
      <c r="D527" s="401" t="str">
        <f>'14U BOYS PLATINUM-20 TEAMS'!D70&amp;""</f>
        <v>14Bpt39</v>
      </c>
      <c r="E527" s="401" t="str">
        <f>'14U BOYS PLATINUM-20 TEAMS'!E70&amp;""</f>
        <v>L#33-ROUTE 66 AQUATICS</v>
      </c>
      <c r="F527" s="401" t="str">
        <f>'14U BOYS PLATINUM-20 TEAMS'!F70&amp;""</f>
        <v>10</v>
      </c>
      <c r="G527" s="401" t="str">
        <f>'14U BOYS PLATINUM-20 TEAMS'!G70&amp;""</f>
        <v>L#35-LAMORINDA A</v>
      </c>
      <c r="H527" s="401" t="str">
        <f>'14U BOYS PLATINUM-20 TEAMS'!H70&amp;""</f>
        <v>14</v>
      </c>
      <c r="I527" s="401" t="str">
        <f>'14U BOYS PLATINUM-20 TEAMS'!I70&amp;""</f>
        <v>3rd/4thL</v>
      </c>
      <c r="J527" s="401" t="str">
        <f>'14U BOYS PLATINUM-20 TEAMS'!J70&amp;""</f>
        <v>14U_BOYS_PLATINUM</v>
      </c>
      <c r="K527" s="401" t="str">
        <f t="shared" si="9"/>
        <v>202602011520</v>
      </c>
    </row>
    <row r="528" spans="1:11">
      <c r="A528" s="357">
        <f>'12U BOYS GOLD-24 TEAMS'!A65</f>
        <v>46054</v>
      </c>
      <c r="B528" s="358">
        <f>'12U BOYS GOLD-24 TEAMS'!B65</f>
        <v>0.63888888888888895</v>
      </c>
      <c r="C528" s="358" t="str">
        <f>'12U BOYS GOLD-24 TEAMS'!C65&amp;""</f>
        <v>TUSTIN HS 2</v>
      </c>
      <c r="D528" s="359" t="str">
        <f>'12U BOYS GOLD-24 TEAMS'!D65&amp;""</f>
        <v>12Bau16A</v>
      </c>
      <c r="E528" s="359" t="str">
        <f>'12U BOYS GOLD-24 TEAMS'!E65&amp;""</f>
        <v>2ndF-CMAC</v>
      </c>
      <c r="F528" s="359" t="str">
        <f>'12U BOYS GOLD-24 TEAMS'!F65&amp;""</f>
        <v>10.4</v>
      </c>
      <c r="G528" s="359" t="str">
        <f>'12U BOYS GOLD-24 TEAMS'!G65&amp;""</f>
        <v>2ndG-SOUTH COAST RED</v>
      </c>
      <c r="H528" s="359" t="str">
        <f>'12U BOYS GOLD-24 TEAMS'!H65&amp;""</f>
        <v>10.1</v>
      </c>
      <c r="I528" s="359" t="str">
        <f>'12U BOYS GOLD-24 TEAMS'!I65&amp;""</f>
        <v>9-16 cross 2F/2G</v>
      </c>
      <c r="J528" s="359" t="str">
        <f>'12U BOYS GOLD-24 TEAMS'!J65&amp;""</f>
        <v>12U_BOYS_GOLD</v>
      </c>
      <c r="K528" s="359" t="str">
        <f t="shared" si="9"/>
        <v>202602011520</v>
      </c>
    </row>
    <row r="529" spans="1:11">
      <c r="A529" s="351">
        <f>'12U GIRLS PLATINUM-12 TEAMS'!A37</f>
        <v>46054</v>
      </c>
      <c r="B529" s="352">
        <f>'12U GIRLS PLATINUM-12 TEAMS'!B37</f>
        <v>0.63888888888888895</v>
      </c>
      <c r="C529" s="351" t="str">
        <f>'12U GIRLS PLATINUM-12 TEAMS'!C37&amp;""</f>
        <v>WOOLLETT FAR RIGHT</v>
      </c>
      <c r="D529" s="353" t="str">
        <f>'12U GIRLS PLATINUM-12 TEAMS'!D37&amp;""</f>
        <v>12Gpt17</v>
      </c>
      <c r="E529" s="351" t="str">
        <f>'12U GIRLS PLATINUM-12 TEAMS'!E37&amp;""</f>
        <v>L#13-SHAQ</v>
      </c>
      <c r="F529" s="353" t="str">
        <f>'12U GIRLS PLATINUM-12 TEAMS'!F37&amp;""</f>
        <v>3</v>
      </c>
      <c r="G529" s="351" t="str">
        <f>'12U GIRLS PLATINUM-12 TEAMS'!G37&amp;""</f>
        <v>L#14-NEWPORT BEACH</v>
      </c>
      <c r="H529" s="353" t="str">
        <f>'12U GIRLS PLATINUM-12 TEAMS'!H37&amp;""</f>
        <v>2</v>
      </c>
      <c r="I529" s="353" t="str">
        <f>'12U GIRLS PLATINUM-12 TEAMS'!I37&amp;""</f>
        <v>3rd</v>
      </c>
      <c r="J529" s="353" t="str">
        <f>'12U GIRLS PLATINUM-12 TEAMS'!J37&amp;""</f>
        <v>12U_GIRLS_PLATINUM</v>
      </c>
      <c r="K529" s="353" t="str">
        <f t="shared" si="9"/>
        <v>202602011520</v>
      </c>
    </row>
    <row r="530" spans="1:11">
      <c r="A530" s="354">
        <f>'12U BOYS GOLD-24 TEAMS'!A54</f>
        <v>46054</v>
      </c>
      <c r="B530" s="355">
        <f>'12U BOYS GOLD-24 TEAMS'!B54</f>
        <v>0.64583333333333304</v>
      </c>
      <c r="C530" s="355" t="str">
        <f>'12U BOYS GOLD-24 TEAMS'!C54&amp;""</f>
        <v>EL TORO HS 2</v>
      </c>
      <c r="D530" s="356" t="str">
        <f>'12U BOYS GOLD-24 TEAMS'!D54&amp;""</f>
        <v>12Bau20</v>
      </c>
      <c r="E530" s="362" t="str">
        <f>'12U BOYS GOLD-24 TEAMS'!E54&amp;""</f>
        <v>W#13-NORTH IRVINE RED</v>
      </c>
      <c r="F530" s="356" t="str">
        <f>'12U BOYS GOLD-24 TEAMS'!F54&amp;""</f>
        <v>7</v>
      </c>
      <c r="G530" s="356" t="str">
        <f>'12U BOYS GOLD-24 TEAMS'!G54&amp;""</f>
        <v>W#14-BACK BAY</v>
      </c>
      <c r="H530" s="362" t="str">
        <f>'12U BOYS GOLD-24 TEAMS'!H54&amp;""</f>
        <v>10</v>
      </c>
      <c r="I530" s="356" t="str">
        <f>'12U BOYS GOLD-24 TEAMS'!I54&amp;""</f>
        <v>tie 17th</v>
      </c>
      <c r="J530" s="356" t="str">
        <f>'12U BOYS GOLD-24 TEAMS'!J54&amp;""</f>
        <v>12U_BOYS_GOLD</v>
      </c>
      <c r="K530" s="356" t="str">
        <f t="shared" si="9"/>
        <v>202602011530</v>
      </c>
    </row>
    <row r="531" spans="1:11">
      <c r="A531" s="341">
        <f>'10U COED PLATINUM-8 TEAMS'!A29</f>
        <v>46054</v>
      </c>
      <c r="B531" s="342">
        <f>'10U COED PLATINUM-8 TEAMS'!B29</f>
        <v>0.64583333333333304</v>
      </c>
      <c r="C531" s="343" t="str">
        <f>'10U COED PLATINUM-8 TEAMS'!C29&amp;""</f>
        <v>WOOLLETT FAR LEFT</v>
      </c>
      <c r="D531" s="343" t="str">
        <f>'10U COED PLATINUM-8 TEAMS'!D29&amp;""</f>
        <v>10Cpt15</v>
      </c>
      <c r="E531" s="343" t="str">
        <f>'10U COED PLATINUM-8 TEAMS'!E29&amp;""</f>
        <v>2ndA-CHANNEL ISLANDS UNITED</v>
      </c>
      <c r="F531" s="343" t="str">
        <f>'10U COED PLATINUM-8 TEAMS'!F29&amp;""</f>
        <v>9</v>
      </c>
      <c r="G531" s="343" t="str">
        <f>'10U COED PLATINUM-8 TEAMS'!G29&amp;""</f>
        <v>2ndB-CHULA VISTA PREMIER</v>
      </c>
      <c r="H531" s="343" t="str">
        <f>'10U COED PLATINUM-8 TEAMS'!H29&amp;""</f>
        <v>8</v>
      </c>
      <c r="I531" s="343" t="str">
        <f>'10U COED PLATINUM-8 TEAMS'!I29&amp;""</f>
        <v>3rd</v>
      </c>
      <c r="J531" s="343" t="str">
        <f>'10U COED PLATINUM-8 TEAMS'!J29&amp;""</f>
        <v>10U_COED_PLATINUM</v>
      </c>
      <c r="K531" s="343" t="str">
        <f t="shared" si="9"/>
        <v>202602011530</v>
      </c>
    </row>
    <row r="532" spans="1:11">
      <c r="A532" s="394">
        <f>'14U BOYS GOLD-26 TEAMS'!A86</f>
        <v>46054</v>
      </c>
      <c r="B532" s="395">
        <f>'14U BOYS GOLD-26 TEAMS'!B86</f>
        <v>0.65277777777777779</v>
      </c>
      <c r="C532" s="396" t="str">
        <f>'14U BOYS GOLD-26 TEAMS'!C86&amp;""</f>
        <v>ESPERANZA HS</v>
      </c>
      <c r="D532" s="396" t="str">
        <f>'14U BOYS GOLD-26 TEAMS'!D86&amp;""</f>
        <v>14Bau53</v>
      </c>
      <c r="E532" s="396" t="str">
        <f>'14U BOYS GOLD-26 TEAMS'!E86&amp;""</f>
        <v>W#33-CC UNITED BLUE</v>
      </c>
      <c r="F532" s="396" t="str">
        <f>'14U BOYS GOLD-26 TEAMS'!F86&amp;""</f>
        <v>13</v>
      </c>
      <c r="G532" s="396" t="str">
        <f>'14U BOYS GOLD-26 TEAMS'!G86&amp;""</f>
        <v xml:space="preserve">W#34-LAMORINDA B	</v>
      </c>
      <c r="H532" s="396" t="str">
        <f>'14U BOYS GOLD-26 TEAMS'!H86&amp;""</f>
        <v>14</v>
      </c>
      <c r="I532" s="396" t="str">
        <f>'14U BOYS GOLD-26 TEAMS'!I86&amp;""</f>
        <v>1st/2ndM</v>
      </c>
      <c r="J532" s="397" t="str">
        <f>'14U BOYS GOLD-26 TEAMS'!J86&amp;""</f>
        <v>14U_BOYS_GOLD</v>
      </c>
      <c r="K532" s="397" t="str">
        <f t="shared" si="9"/>
        <v>202602011540</v>
      </c>
    </row>
    <row r="533" spans="1:11">
      <c r="A533" s="435">
        <f>'19U BOYS PLATINUM-27 TEAMS'!A89</f>
        <v>46054</v>
      </c>
      <c r="B533" s="436">
        <f>'19U BOYS PLATINUM-27 TEAMS'!B89</f>
        <v>0.66666666666666696</v>
      </c>
      <c r="C533" s="437" t="str">
        <f>'19U BOYS PLATINUM-27 TEAMS'!C89&amp;""</f>
        <v>EDISON HS</v>
      </c>
      <c r="D533" s="437" t="str">
        <f>'19U BOYS PLATINUM-27 TEAMS'!D89&amp;""</f>
        <v>19Bpt54</v>
      </c>
      <c r="E533" s="438" t="str">
        <f>'19U BOYS PLATINUM-27 TEAMS'!E89&amp;""</f>
        <v>L#49-POWAY VALLEY BLACK</v>
      </c>
      <c r="F533" s="438" t="str">
        <f>'19U BOYS PLATINUM-27 TEAMS'!F89&amp;""</f>
        <v>7</v>
      </c>
      <c r="G533" s="438" t="str">
        <f>'19U BOYS PLATINUM-27 TEAMS'!G89&amp;""</f>
        <v>L#50-SANTA CRUZ</v>
      </c>
      <c r="H533" s="438" t="str">
        <f>'19U BOYS PLATINUM-27 TEAMS'!H89&amp;""</f>
        <v>15</v>
      </c>
      <c r="I533" s="437" t="str">
        <f>'19U BOYS PLATINUM-27 TEAMS'!I89&amp;""</f>
        <v>3rd/4thL</v>
      </c>
      <c r="J533" s="438" t="str">
        <f>'19U BOYS PLATINUM-27 TEAMS'!J89&amp;""</f>
        <v>19U_BOYS_PLATINUM</v>
      </c>
      <c r="K533" s="438" t="str">
        <f t="shared" si="9"/>
        <v>202602011600</v>
      </c>
    </row>
    <row r="534" spans="1:11">
      <c r="A534" s="428">
        <f>'19U BOYS SILVER-6 TEAMS CUST'!A25</f>
        <v>46054</v>
      </c>
      <c r="B534" s="429">
        <f>'19U BOYS SILVER-6 TEAMS CUST'!B25</f>
        <v>0.66666666666666696</v>
      </c>
      <c r="C534" s="429" t="str">
        <f>'19U BOYS SILVER-6 TEAMS CUST'!C25&amp;""</f>
        <v>ESTANCIA HS 1</v>
      </c>
      <c r="D534" s="430" t="str">
        <f>'19U BOYS SILVER-6 TEAMS CUST'!D25&amp;""</f>
        <v>19Bag11</v>
      </c>
      <c r="E534" s="430" t="str">
        <f>'19U BOYS SILVER-6 TEAMS CUST'!E25&amp;""</f>
        <v>A2-OPA</v>
      </c>
      <c r="F534" s="430" t="str">
        <f>'19U BOYS SILVER-6 TEAMS CUST'!F25&amp;""</f>
        <v>5</v>
      </c>
      <c r="G534" s="430" t="str">
        <f>'19U BOYS SILVER-6 TEAMS CUST'!G25&amp;""</f>
        <v>B1-CHARGERS WHITE</v>
      </c>
      <c r="H534" s="430" t="str">
        <f>'19U BOYS SILVER-6 TEAMS CUST'!H25&amp;""</f>
        <v>16</v>
      </c>
      <c r="I534" s="430" t="str">
        <f>'19U BOYS SILVER-6 TEAMS CUST'!I25&amp;""</f>
        <v>A2,B1</v>
      </c>
      <c r="J534" s="430" t="str">
        <f>'19U BOYS SILVER-6 TEAMS CUST'!J25&amp;""</f>
        <v>19U_BOYS_SILVER</v>
      </c>
      <c r="K534" s="430" t="str">
        <f t="shared" si="9"/>
        <v>202602011600</v>
      </c>
    </row>
    <row r="535" spans="1:11">
      <c r="A535" s="432">
        <f>'19U BOYS GOLD-16 TEAMS'!A39</f>
        <v>46054</v>
      </c>
      <c r="B535" s="433">
        <f>'19U BOYS GOLD-16 TEAMS'!B39</f>
        <v>0.66666666666666696</v>
      </c>
      <c r="C535" s="433" t="str">
        <f>'19U BOYS GOLD-16 TEAMS'!C39&amp;""</f>
        <v>FULLERTON COLLEGE</v>
      </c>
      <c r="D535" s="434" t="str">
        <f>'19U BOYS GOLD-16 TEAMS'!D39&amp;""</f>
        <v>19Bau25</v>
      </c>
      <c r="E535" s="434" t="str">
        <f>'19U BOYS GOLD-16 TEAMS'!E39&amp;""</f>
        <v>W#21-BIG VALLEY</v>
      </c>
      <c r="F535" s="434" t="str">
        <f>'19U BOYS GOLD-16 TEAMS'!F39&amp;""</f>
        <v>18</v>
      </c>
      <c r="G535" s="434" t="str">
        <f>'19U BOYS GOLD-16 TEAMS'!G39&amp;""</f>
        <v>W#22-AMERICAN RIVER GOLD</v>
      </c>
      <c r="H535" s="434" t="str">
        <f>'19U BOYS GOLD-16 TEAMS'!H39&amp;""</f>
        <v>6</v>
      </c>
      <c r="I535" s="434" t="str">
        <f>'19U BOYS GOLD-16 TEAMS'!I39&amp;""</f>
        <v>5th</v>
      </c>
      <c r="J535" s="434" t="str">
        <f>'19U BOYS GOLD-16 TEAMS'!J39&amp;""</f>
        <v>19U_BOYS_GOLD</v>
      </c>
      <c r="K535" s="434" t="str">
        <f t="shared" si="9"/>
        <v>202602011600</v>
      </c>
    </row>
    <row r="536" spans="1:11">
      <c r="A536" s="413">
        <f>'16U BOYS GOLD-19 TEAMS'!A69</f>
        <v>46054</v>
      </c>
      <c r="B536" s="414">
        <f>'16U BOYS GOLD-19 TEAMS'!B69</f>
        <v>0.66666666666666696</v>
      </c>
      <c r="C536" s="414" t="str">
        <f>'16U BOYS GOLD-19 TEAMS'!C69&amp;""</f>
        <v>SADDLEBACK COLLEGE</v>
      </c>
      <c r="D536" s="420" t="str">
        <f>'16U BOYS GOLD-19 TEAMS'!D69&amp;""</f>
        <v>16Bau40</v>
      </c>
      <c r="E536" s="414" t="str">
        <f>'16U BOYS GOLD-19 TEAMS'!E69&amp;""</f>
        <v>K1(3rdA)-AMERICAN RIVER GOLD</v>
      </c>
      <c r="F536" s="418" t="str">
        <f>'16U BOYS GOLD-19 TEAMS'!F69&amp;""</f>
        <v>10</v>
      </c>
      <c r="G536" s="414" t="str">
        <f>'16U BOYS GOLD-19 TEAMS'!G69&amp;""</f>
        <v>K2(3rdB)-CMAC</v>
      </c>
      <c r="H536" s="417" t="str">
        <f>'16U BOYS GOLD-19 TEAMS'!H69&amp;""</f>
        <v>8</v>
      </c>
      <c r="I536" s="418" t="str">
        <f>'16U BOYS GOLD-19 TEAMS'!I69&amp;""</f>
        <v>K bracket K1,K2</v>
      </c>
      <c r="J536" s="415" t="str">
        <f>'16U BOYS GOLD-19 TEAMS'!J69&amp;""</f>
        <v>16U_BOYS_GOLD</v>
      </c>
      <c r="K536" s="415" t="str">
        <f t="shared" si="9"/>
        <v>202602011600</v>
      </c>
    </row>
    <row r="537" spans="1:11">
      <c r="A537" s="410">
        <f>'16U BOYS GOLD-19 TEAMS'!A57</f>
        <v>46054</v>
      </c>
      <c r="B537" s="411">
        <f>'16U BOYS GOLD-19 TEAMS'!B57</f>
        <v>0.66666666666666696</v>
      </c>
      <c r="C537" s="411" t="str">
        <f>'16U BOYS GOLD-19 TEAMS'!C57&amp;""</f>
        <v>SAN JUAN HILLS HS</v>
      </c>
      <c r="D537" s="412" t="str">
        <f>'16U BOYS GOLD-19 TEAMS'!D57&amp;""</f>
        <v>16Bau29</v>
      </c>
      <c r="E537" s="412" t="str">
        <f>'16U BOYS GOLD-19 TEAMS'!E57&amp;""</f>
        <v>N1(2ndG)-SAN JOSE EXPRESS BLUE</v>
      </c>
      <c r="F537" s="412" t="str">
        <f>'16U BOYS GOLD-19 TEAMS'!F57&amp;""</f>
        <v>8</v>
      </c>
      <c r="G537" s="412" t="str">
        <f>'16U BOYS GOLD-19 TEAMS'!G57&amp;""</f>
        <v>N2(2ndH)-CT PREMIER</v>
      </c>
      <c r="H537" s="412" t="str">
        <f>'16U BOYS GOLD-19 TEAMS'!H57&amp;""</f>
        <v>10</v>
      </c>
      <c r="I537" s="412" t="str">
        <f>'16U BOYS GOLD-19 TEAMS'!I57&amp;""</f>
        <v>3rd 2ndG/2ndH</v>
      </c>
      <c r="J537" s="412" t="str">
        <f>'16U BOYS GOLD-19 TEAMS'!J57&amp;""</f>
        <v>16U_BOYS_GOLD</v>
      </c>
      <c r="K537" s="412" t="str">
        <f t="shared" si="9"/>
        <v>202602011600</v>
      </c>
    </row>
    <row r="538" spans="1:11">
      <c r="A538" s="406">
        <f>'16U BOYS SILVER-20 TEAMS'!A60</f>
        <v>46054</v>
      </c>
      <c r="B538" s="407">
        <f>'16U BOYS SILVER-20 TEAMS'!B60</f>
        <v>0.66666666666666696</v>
      </c>
      <c r="C538" s="407" t="str">
        <f>'16U BOYS SILVER-20 TEAMS'!C60&amp;""</f>
        <v>SONORA HS</v>
      </c>
      <c r="D538" s="408" t="str">
        <f>'16U BOYS SILVER-20 TEAMS'!D60&amp;""</f>
        <v>16Bag31</v>
      </c>
      <c r="E538" s="408" t="str">
        <f>'16U BOYS SILVER-20 TEAMS'!E60&amp;""</f>
        <v>2ndG-SANTA CRUZ</v>
      </c>
      <c r="F538" s="408" t="str">
        <f>'16U BOYS SILVER-20 TEAMS'!F60&amp;""</f>
        <v>5</v>
      </c>
      <c r="G538" s="408" t="str">
        <f>'16U BOYS SILVER-20 TEAMS'!G60&amp;""</f>
        <v>2ndJ-CC UNITED WHITE</v>
      </c>
      <c r="H538" s="408" t="str">
        <f>'16U BOYS SILVER-20 TEAMS'!H60&amp;""</f>
        <v>4</v>
      </c>
      <c r="I538" s="408" t="str">
        <f>'16U BOYS SILVER-20 TEAMS'!I60&amp;""</f>
        <v>3rd</v>
      </c>
      <c r="J538" s="408" t="str">
        <f>'16U BOYS SILVER-20 TEAMS'!J60&amp;""</f>
        <v>16U_BOYS_SILVER</v>
      </c>
      <c r="K538" s="408" t="str">
        <f t="shared" si="9"/>
        <v>202602011600</v>
      </c>
    </row>
    <row r="539" spans="1:11">
      <c r="A539" s="421">
        <f>'16U BOYS PLATINUM-18 TEAMS'!A63</f>
        <v>46054</v>
      </c>
      <c r="B539" s="422">
        <f>'16U BOYS PLATINUM-18 TEAMS'!B63</f>
        <v>0.66666666666666696</v>
      </c>
      <c r="C539" s="422" t="str">
        <f>'16U BOYS PLATINUM-18 TEAMS'!C63&amp;""</f>
        <v>WESTMINSTER HS</v>
      </c>
      <c r="D539" s="422" t="str">
        <f>'16U BOYS PLATINUM-18 TEAMS'!D63&amp;""</f>
        <v>16Bpt20</v>
      </c>
      <c r="E539" s="423" t="str">
        <f>'16U BOYS PLATINUM-18 TEAMS'!E63&amp;""</f>
        <v>K1(2ndC)-VANGUARD BLUE</v>
      </c>
      <c r="F539" s="424" t="str">
        <f>'16U BOYS PLATINUM-18 TEAMS'!F63&amp;""</f>
        <v>14</v>
      </c>
      <c r="G539" s="425" t="str">
        <f>'16U BOYS PLATINUM-18 TEAMS'!G63&amp;""</f>
        <v>K2(2ndB)-AMERICAN RIVER BLUE</v>
      </c>
      <c r="H539" s="424" t="str">
        <f>'16U BOYS PLATINUM-18 TEAMS'!H63&amp;""</f>
        <v>6</v>
      </c>
      <c r="I539" s="425" t="str">
        <f>'16U BOYS PLATINUM-18 TEAMS'!I63&amp;""</f>
        <v>7th-12th</v>
      </c>
      <c r="J539" s="426" t="str">
        <f>'16U BOYS PLATINUM-18 TEAMS'!J63&amp;""</f>
        <v>16U_BOYS_PLATINUM</v>
      </c>
      <c r="K539" s="426" t="str">
        <f t="shared" si="9"/>
        <v>202602011600</v>
      </c>
    </row>
    <row r="540" spans="1:11">
      <c r="A540" s="435">
        <f>'19U BOYS PLATINUM-27 TEAMS'!A68</f>
        <v>46054</v>
      </c>
      <c r="B540" s="436">
        <f>'19U BOYS PLATINUM-27 TEAMS'!B68</f>
        <v>0.66666666666666696</v>
      </c>
      <c r="C540" s="437" t="str">
        <f>'19U BOYS PLATINUM-27 TEAMS'!C68&amp;""</f>
        <v>WOOLLETT NEAR LEFT</v>
      </c>
      <c r="D540" s="437" t="str">
        <f>'19U BOYS PLATINUM-27 TEAMS'!D68&amp;""</f>
        <v>19Bpt37</v>
      </c>
      <c r="E540" s="438" t="str">
        <f>'19U BOYS PLATINUM-27 TEAMS'!E68&amp;""</f>
        <v>R1(1stJ)-CC UNITED BLACK</v>
      </c>
      <c r="F540" s="438" t="str">
        <f>'19U BOYS PLATINUM-27 TEAMS'!F68&amp;""</f>
        <v>12.4</v>
      </c>
      <c r="G540" s="438" t="str">
        <f>'19U BOYS PLATINUM-27 TEAMS'!G68&amp;""</f>
        <v>R2(1stK)-LAMORINDA A</v>
      </c>
      <c r="H540" s="438" t="str">
        <f>'19U BOYS PLATINUM-27 TEAMS'!H68&amp;""</f>
        <v>12.3</v>
      </c>
      <c r="I540" s="437" t="str">
        <f>'19U BOYS PLATINUM-27 TEAMS'!I68&amp;""</f>
        <v>overall 1st</v>
      </c>
      <c r="J540" s="438" t="str">
        <f>'19U BOYS PLATINUM-27 TEAMS'!J68&amp;""</f>
        <v>19U_BOYS_PLATINUM</v>
      </c>
      <c r="K540" s="438" t="str">
        <f t="shared" si="9"/>
        <v>202602011600</v>
      </c>
    </row>
    <row r="541" spans="1:11">
      <c r="A541" s="421">
        <f>'16U BOYS PLATINUM-18 TEAMS'!A53</f>
        <v>46054</v>
      </c>
      <c r="B541" s="422">
        <f>'16U BOYS PLATINUM-18 TEAMS'!B53</f>
        <v>0.66666666666666696</v>
      </c>
      <c r="C541" s="422" t="str">
        <f>'16U BOYS PLATINUM-18 TEAMS'!C53&amp;""</f>
        <v>WOOLLETT NEAR RIGHT</v>
      </c>
      <c r="D541" s="422" t="str">
        <f>'16U BOYS PLATINUM-18 TEAMS'!D53&amp;""</f>
        <v>16Bpt37</v>
      </c>
      <c r="E541" s="423" t="str">
        <f>'16U BOYS PLATINUM-18 TEAMS'!E53&amp;""</f>
        <v>2ndG-IMPERIAL WPC</v>
      </c>
      <c r="F541" s="422" t="str">
        <f>'16U BOYS PLATINUM-18 TEAMS'!F53&amp;""</f>
        <v>13</v>
      </c>
      <c r="G541" s="426" t="str">
        <f>'16U BOYS PLATINUM-18 TEAMS'!G53&amp;""</f>
        <v>2ndH-LAMORINDA A</v>
      </c>
      <c r="H541" s="422" t="str">
        <f>'16U BOYS PLATINUM-18 TEAMS'!H53&amp;""</f>
        <v>10</v>
      </c>
      <c r="I541" s="425" t="str">
        <f>'16U BOYS PLATINUM-18 TEAMS'!I53&amp;""</f>
        <v>overall 3rd</v>
      </c>
      <c r="J541" s="426" t="str">
        <f>'16U BOYS PLATINUM-18 TEAMS'!J53&amp;""</f>
        <v>16U_BOYS_PLATINUM</v>
      </c>
      <c r="K541" s="426" t="str">
        <f t="shared" si="9"/>
        <v>202602011600</v>
      </c>
    </row>
    <row r="542" spans="1:11">
      <c r="A542" s="435">
        <f>'19U BOYS PLATINUM-27 TEAMS'!A79</f>
        <v>46054</v>
      </c>
      <c r="B542" s="436">
        <f>'19U BOYS PLATINUM-27 TEAMS'!B79</f>
        <v>0.66666666666666696</v>
      </c>
      <c r="C542" s="437" t="str">
        <f>'19U BOYS PLATINUM-27 TEAMS'!C79&amp;""</f>
        <v>YORBA LINDA HS</v>
      </c>
      <c r="D542" s="437" t="str">
        <f>'19U BOYS PLATINUM-27 TEAMS'!D79&amp;""</f>
        <v>19Bpt45</v>
      </c>
      <c r="E542" s="438" t="str">
        <f>'19U BOYS PLATINUM-27 TEAMS'!E79&amp;""</f>
        <v>N2(3rdG)-SAN JOSE EXPRESS BLUE</v>
      </c>
      <c r="F542" s="438" t="str">
        <f>'19U BOYS PLATINUM-27 TEAMS'!F79&amp;""</f>
        <v>11</v>
      </c>
      <c r="G542" s="438" t="str">
        <f>'19U BOYS PLATINUM-27 TEAMS'!G79&amp;""</f>
        <v>N3(3rdH)-SHAQ</v>
      </c>
      <c r="H542" s="438" t="str">
        <f>'19U BOYS PLATINUM-27 TEAMS'!H79&amp;""</f>
        <v>21</v>
      </c>
      <c r="I542" s="437" t="str">
        <f>'19U BOYS PLATINUM-27 TEAMS'!I79&amp;""</f>
        <v>N bracket</v>
      </c>
      <c r="J542" s="438" t="str">
        <f>'19U BOYS PLATINUM-27 TEAMS'!J79&amp;""</f>
        <v>19U_BOYS_PLATINUM</v>
      </c>
      <c r="K542" s="438" t="str">
        <f t="shared" si="9"/>
        <v>202602011600</v>
      </c>
    </row>
    <row r="543" spans="1:11">
      <c r="A543" s="382">
        <f>'14U GIRLS PLATINUM-10 TEAMS'!A34</f>
        <v>46054</v>
      </c>
      <c r="B543" s="383">
        <f>'14U GIRLS PLATINUM-10 TEAMS'!B34</f>
        <v>0.67361111111111105</v>
      </c>
      <c r="C543" s="383" t="str">
        <f>'14U GIRLS PLATINUM-10 TEAMS'!C34&amp;""</f>
        <v>ALISO NIGUEL HS</v>
      </c>
      <c r="D543" s="384" t="str">
        <f>'14U GIRLS PLATINUM-10 TEAMS'!D34&amp;""</f>
        <v>14Gpt19</v>
      </c>
      <c r="E543" s="384" t="str">
        <f>'14U GIRLS PLATINUM-10 TEAMS'!E34&amp;""</f>
        <v>L#14-CC UNITED BLACK</v>
      </c>
      <c r="F543" s="384" t="str">
        <f>'14U GIRLS PLATINUM-10 TEAMS'!F34&amp;""</f>
        <v>8</v>
      </c>
      <c r="G543" s="384" t="str">
        <f>'14U GIRLS PLATINUM-10 TEAMS'!G34&amp;""</f>
        <v>4thC-FOOTHILL RED</v>
      </c>
      <c r="H543" s="384" t="str">
        <f>'14U GIRLS PLATINUM-10 TEAMS'!H34&amp;""</f>
        <v>6</v>
      </c>
      <c r="I543" s="384" t="str">
        <f>'14U GIRLS PLATINUM-10 TEAMS'!I34&amp;""</f>
        <v>7th-10th</v>
      </c>
      <c r="J543" s="384" t="str">
        <f>'14U GIRLS PLATINUM-10 TEAMS'!J34&amp;""</f>
        <v>14U_GIRLS_PLATINUM</v>
      </c>
      <c r="K543" s="384" t="str">
        <f t="shared" si="9"/>
        <v>202602011610</v>
      </c>
    </row>
    <row r="544" spans="1:11">
      <c r="A544" s="366">
        <f>'12U BOYS GOLD-24 TEAMS'!A67</f>
        <v>46054</v>
      </c>
      <c r="B544" s="367">
        <f>'12U BOYS GOLD-24 TEAMS'!B67</f>
        <v>0.67361111111111105</v>
      </c>
      <c r="C544" s="367" t="str">
        <f>'12U BOYS GOLD-24 TEAMS'!C67&amp;""</f>
        <v>BECKMAN HS 1</v>
      </c>
      <c r="D544" s="368" t="str">
        <f>'12U BOYS GOLD-24 TEAMS'!D67&amp;""</f>
        <v>12Bau25</v>
      </c>
      <c r="E544" s="368" t="str">
        <f>'12U BOYS GOLD-24 TEAMS'!E67&amp;""</f>
        <v>L#24-SAN CLEMENTE BLACK</v>
      </c>
      <c r="F544" s="368" t="str">
        <f>'12U BOYS GOLD-24 TEAMS'!F67&amp;""</f>
        <v>8</v>
      </c>
      <c r="G544" s="368" t="str">
        <f>'12U BOYS GOLD-24 TEAMS'!G67&amp;""</f>
        <v>L#24A-680 BLUE</v>
      </c>
      <c r="H544" s="368" t="str">
        <f>'12U BOYS GOLD-24 TEAMS'!H67&amp;""</f>
        <v>6</v>
      </c>
      <c r="I544" s="368" t="str">
        <f>'12U BOYS GOLD-24 TEAMS'!I67&amp;""</f>
        <v>3rd</v>
      </c>
      <c r="J544" s="368" t="str">
        <f>'12U BOYS GOLD-24 TEAMS'!J67&amp;""</f>
        <v>12U_BOYS_GOLD</v>
      </c>
      <c r="K544" s="368" t="str">
        <f t="shared" si="9"/>
        <v>202602011610</v>
      </c>
    </row>
    <row r="545" spans="1:11">
      <c r="A545" s="387">
        <f>'14U BOYS SILVER-18 TEAMS'!A54</f>
        <v>46054</v>
      </c>
      <c r="B545" s="388">
        <f>'14U BOYS SILVER-18 TEAMS'!B54</f>
        <v>0.67361111111111105</v>
      </c>
      <c r="C545" s="388" t="str">
        <f>'14U BOYS SILVER-18 TEAMS'!C54&amp;""</f>
        <v>COSTA MESA HS 1</v>
      </c>
      <c r="D545" s="389" t="str">
        <f>'14U BOYS SILVER-18 TEAMS'!D54&amp;""</f>
        <v>14Bag38</v>
      </c>
      <c r="E545" s="388" t="str">
        <f>'14U BOYS SILVER-18 TEAMS'!E54&amp;""</f>
        <v>1stG-POWAY VALLEY BLACK</v>
      </c>
      <c r="F545" s="392" t="str">
        <f>'14U BOYS SILVER-18 TEAMS'!F54&amp;""</f>
        <v>11</v>
      </c>
      <c r="G545" s="388" t="str">
        <f>'14U BOYS SILVER-18 TEAMS'!G54&amp;""</f>
        <v>1stH-GOLD COAST</v>
      </c>
      <c r="H545" s="391" t="str">
        <f>'14U BOYS SILVER-18 TEAMS'!H54&amp;""</f>
        <v>6</v>
      </c>
      <c r="I545" s="392" t="str">
        <f>'14U BOYS SILVER-18 TEAMS'!I54&amp;""</f>
        <v>overall 1st</v>
      </c>
      <c r="J545" s="389" t="str">
        <f>'14U BOYS SILVER-18 TEAMS'!J54&amp;""</f>
        <v>14U_BOYS_SILVER</v>
      </c>
      <c r="K545" s="389" t="str">
        <f t="shared" si="9"/>
        <v>202602011610</v>
      </c>
    </row>
    <row r="546" spans="1:11">
      <c r="A546" s="354">
        <f>'12U BOYS GOLD-24 TEAMS'!A55</f>
        <v>46054</v>
      </c>
      <c r="B546" s="355">
        <f>'12U BOYS GOLD-24 TEAMS'!B55</f>
        <v>0.67361111111111105</v>
      </c>
      <c r="C546" s="355" t="str">
        <f>'12U BOYS GOLD-24 TEAMS'!C55&amp;""</f>
        <v>COSTA MESA HS 2</v>
      </c>
      <c r="D546" s="356" t="str">
        <f>'12U BOYS GOLD-24 TEAMS'!D55&amp;""</f>
        <v>12Bau23</v>
      </c>
      <c r="E546" s="362" t="str">
        <f>'12U BOYS GOLD-24 TEAMS'!E55&amp;""</f>
        <v>L#17-LAMORINDA B</v>
      </c>
      <c r="F546" s="362" t="str">
        <f>'12U BOYS GOLD-24 TEAMS'!F55&amp;""</f>
        <v>5</v>
      </c>
      <c r="G546" s="362" t="str">
        <f>'12U BOYS GOLD-24 TEAMS'!G55&amp;""</f>
        <v>L#18-MISSION WPC B</v>
      </c>
      <c r="H546" s="362" t="str">
        <f>'12U BOYS GOLD-24 TEAMS'!H55&amp;""</f>
        <v>16</v>
      </c>
      <c r="I546" s="362" t="str">
        <f>'12U BOYS GOLD-24 TEAMS'!I55&amp;""</f>
        <v>tie 5th</v>
      </c>
      <c r="J546" s="356" t="str">
        <f>'12U BOYS GOLD-24 TEAMS'!J55&amp;""</f>
        <v>12U_BOYS_GOLD</v>
      </c>
      <c r="K546" s="356" t="str">
        <f t="shared" si="9"/>
        <v>202602011610</v>
      </c>
    </row>
    <row r="547" spans="1:11">
      <c r="A547" s="399">
        <f>'14U BOYS PLATINUM-20 TEAMS'!A58</f>
        <v>46054</v>
      </c>
      <c r="B547" s="400">
        <f>'14U BOYS PLATINUM-20 TEAMS'!B58</f>
        <v>0.67361111111111105</v>
      </c>
      <c r="C547" s="400" t="str">
        <f>'14U BOYS PLATINUM-20 TEAMS'!C58&amp;""</f>
        <v>EL TORO HS 1</v>
      </c>
      <c r="D547" s="401" t="str">
        <f>'14U BOYS PLATINUM-20 TEAMS'!D58&amp;""</f>
        <v>14Bpt31</v>
      </c>
      <c r="E547" s="401" t="str">
        <f>'14U BOYS PLATINUM-20 TEAMS'!E58&amp;""</f>
        <v>2ndG-VANGUARD BLUE</v>
      </c>
      <c r="F547" s="401" t="str">
        <f>'14U BOYS PLATINUM-20 TEAMS'!F58&amp;""</f>
        <v>8</v>
      </c>
      <c r="G547" s="401" t="str">
        <f>'14U BOYS PLATINUM-20 TEAMS'!G58&amp;""</f>
        <v>2ndJ-PATRIOT NAVY</v>
      </c>
      <c r="H547" s="401" t="str">
        <f>'14U BOYS PLATINUM-20 TEAMS'!H58&amp;""</f>
        <v>13</v>
      </c>
      <c r="I547" s="401" t="str">
        <f>'14U BOYS PLATINUM-20 TEAMS'!I58&amp;""</f>
        <v>3rd</v>
      </c>
      <c r="J547" s="401" t="str">
        <f>'14U BOYS PLATINUM-20 TEAMS'!J58&amp;""</f>
        <v>14U_BOYS_PLATINUM</v>
      </c>
      <c r="K547" s="401" t="str">
        <f t="shared" si="9"/>
        <v>202602011610</v>
      </c>
    </row>
    <row r="548" spans="1:11">
      <c r="A548" s="354">
        <f>'12U BOYS GOLD-24 TEAMS'!A56</f>
        <v>46054</v>
      </c>
      <c r="B548" s="355">
        <f>'12U BOYS GOLD-24 TEAMS'!B56</f>
        <v>0.67361111111111105</v>
      </c>
      <c r="C548" s="355" t="str">
        <f>'12U BOYS GOLD-24 TEAMS'!C56&amp;""</f>
        <v>ESTANCIA HS 2</v>
      </c>
      <c r="D548" s="356" t="str">
        <f>'12U BOYS GOLD-24 TEAMS'!D56&amp;""</f>
        <v>12Bau21</v>
      </c>
      <c r="E548" s="362" t="str">
        <f>'12U BOYS GOLD-24 TEAMS'!E56&amp;""</f>
        <v>L#15-GOLD COAST</v>
      </c>
      <c r="F548" s="362" t="str">
        <f>'12U BOYS GOLD-24 TEAMS'!F56&amp;""</f>
        <v>13</v>
      </c>
      <c r="G548" s="362" t="str">
        <f>'12U BOYS GOLD-24 TEAMS'!G56&amp;""</f>
        <v>L#16-MARIN</v>
      </c>
      <c r="H548" s="362" t="str">
        <f>'12U BOYS GOLD-24 TEAMS'!H56&amp;""</f>
        <v>10</v>
      </c>
      <c r="I548" s="356" t="str">
        <f>'12U BOYS GOLD-24 TEAMS'!I56&amp;""</f>
        <v>tie 13th</v>
      </c>
      <c r="J548" s="356" t="str">
        <f>'12U BOYS GOLD-24 TEAMS'!J56&amp;""</f>
        <v>12U_BOYS_GOLD</v>
      </c>
      <c r="K548" s="356" t="str">
        <f t="shared" si="9"/>
        <v>202602011610</v>
      </c>
    </row>
    <row r="549" spans="1:11">
      <c r="A549" s="394">
        <f>'14U BOYS GOLD-26 TEAMS'!A77</f>
        <v>46054</v>
      </c>
      <c r="B549" s="395">
        <f>'14U BOYS GOLD-26 TEAMS'!B77</f>
        <v>0.67361111111111105</v>
      </c>
      <c r="C549" s="396" t="str">
        <f>'14U BOYS GOLD-26 TEAMS'!C77&amp;""</f>
        <v>LAGUNA HILLS HS</v>
      </c>
      <c r="D549" s="396" t="str">
        <f>'14U BOYS GOLD-26 TEAMS'!D77&amp;""</f>
        <v>14Bau50</v>
      </c>
      <c r="E549" s="397" t="str">
        <f>'14U BOYS GOLD-26 TEAMS'!E77&amp;""</f>
        <v>O2(3rdC)-STANFORD 13</v>
      </c>
      <c r="F549" s="397" t="str">
        <f>'14U BOYS GOLD-26 TEAMS'!F77&amp;""</f>
        <v>7</v>
      </c>
      <c r="G549" s="398" t="str">
        <f>'14U BOYS GOLD-26 TEAMS'!G77&amp;""</f>
        <v>O3(3rdD)-AMERICAN RIVER BLUE</v>
      </c>
      <c r="H549" s="397" t="str">
        <f>'14U BOYS GOLD-26 TEAMS'!H77&amp;""</f>
        <v>9</v>
      </c>
      <c r="I549" s="396" t="str">
        <f>'14U BOYS GOLD-26 TEAMS'!I77&amp;""</f>
        <v>O bracket</v>
      </c>
      <c r="J549" s="397" t="str">
        <f>'14U BOYS GOLD-26 TEAMS'!J77&amp;""</f>
        <v>14U_BOYS_GOLD</v>
      </c>
      <c r="K549" s="397" t="str">
        <f t="shared" si="9"/>
        <v>202602011610</v>
      </c>
    </row>
    <row r="550" spans="1:11">
      <c r="A550" s="378">
        <f>'14U GIRLS GOLD-14 TEAMS'!A40</f>
        <v>46054</v>
      </c>
      <c r="B550" s="379">
        <f>'14U GIRLS GOLD-14 TEAMS'!B40</f>
        <v>0.67361111111111105</v>
      </c>
      <c r="C550" s="379" t="str">
        <f>'14U GIRLS GOLD-14 TEAMS'!C40&amp;""</f>
        <v>SAN CLEMENTE HS</v>
      </c>
      <c r="D550" s="380" t="str">
        <f>'14U GIRLS GOLD-14 TEAMS'!D40&amp;""</f>
        <v>14Gau22</v>
      </c>
      <c r="E550" s="380" t="str">
        <f>'14U GIRLS GOLD-14 TEAMS'!E40&amp;""</f>
        <v>W#15-PASADENA AC</v>
      </c>
      <c r="F550" s="380" t="str">
        <f>'14U GIRLS GOLD-14 TEAMS'!F40&amp;""</f>
        <v>9</v>
      </c>
      <c r="G550" s="380" t="str">
        <f>'14U GIRLS GOLD-14 TEAMS'!G40&amp;""</f>
        <v>W#17-GOLD COAST</v>
      </c>
      <c r="H550" s="380" t="str">
        <f>'14U GIRLS GOLD-14 TEAMS'!H40&amp;""</f>
        <v>16</v>
      </c>
      <c r="I550" s="380" t="str">
        <f>'14U GIRLS GOLD-14 TEAMS'!I40&amp;""</f>
        <v>1st</v>
      </c>
      <c r="J550" s="380" t="str">
        <f>'14U GIRLS GOLD-14 TEAMS'!J40&amp;""</f>
        <v>14U_GIRLS_GOLD</v>
      </c>
      <c r="K550" s="380" t="str">
        <f t="shared" si="9"/>
        <v>202602011610</v>
      </c>
    </row>
    <row r="551" spans="1:11">
      <c r="A551" s="399">
        <f>'14U BOYS PLATINUM-20 TEAMS'!A71</f>
        <v>46054</v>
      </c>
      <c r="B551" s="400">
        <f>'14U BOYS PLATINUM-20 TEAMS'!B71</f>
        <v>0.67361111111111105</v>
      </c>
      <c r="C551" s="400" t="str">
        <f>'14U BOYS PLATINUM-20 TEAMS'!C71&amp;""</f>
        <v>TUSTIN HS 1</v>
      </c>
      <c r="D551" s="401" t="str">
        <f>'14U BOYS PLATINUM-20 TEAMS'!D71&amp;""</f>
        <v>14Bpt42</v>
      </c>
      <c r="E551" s="401" t="str">
        <f>'14U BOYS PLATINUM-20 TEAMS'!E71&amp;""</f>
        <v>L#36-CC UNITED BLACK</v>
      </c>
      <c r="F551" s="401" t="str">
        <f>'14U BOYS PLATINUM-20 TEAMS'!F71&amp;""</f>
        <v>14</v>
      </c>
      <c r="G551" s="401" t="str">
        <f>'14U BOYS PLATINUM-20 TEAMS'!G71&amp;""</f>
        <v>L#37-SHAQ BLUE</v>
      </c>
      <c r="H551" s="401" t="str">
        <f>'14U BOYS PLATINUM-20 TEAMS'!H71&amp;""</f>
        <v>9</v>
      </c>
      <c r="I551" s="401" t="str">
        <f>'14U BOYS PLATINUM-20 TEAMS'!I71&amp;""</f>
        <v>3rd/4thI</v>
      </c>
      <c r="J551" s="401" t="str">
        <f>'14U BOYS PLATINUM-20 TEAMS'!J71&amp;""</f>
        <v>14U_BOYS_PLATINUM</v>
      </c>
      <c r="K551" s="401" t="str">
        <f t="shared" si="9"/>
        <v>202602011610</v>
      </c>
    </row>
    <row r="552" spans="1:11">
      <c r="A552" s="357">
        <f>'12U BOYS GOLD-24 TEAMS'!A66</f>
        <v>46054</v>
      </c>
      <c r="B552" s="358">
        <f>'12U BOYS GOLD-24 TEAMS'!B66</f>
        <v>0.67361111111111105</v>
      </c>
      <c r="C552" s="358" t="str">
        <f>'12U BOYS GOLD-24 TEAMS'!C66&amp;""</f>
        <v>TUSTIN HS 2</v>
      </c>
      <c r="D552" s="359" t="str">
        <f>'12U BOYS GOLD-24 TEAMS'!D66&amp;""</f>
        <v>12Bau19A</v>
      </c>
      <c r="E552" s="360" t="str">
        <f>'12U BOYS GOLD-24 TEAMS'!E66&amp;""</f>
        <v>L#13A-CC UNITED WHITE</v>
      </c>
      <c r="F552" s="360" t="str">
        <f>'12U BOYS GOLD-24 TEAMS'!F66&amp;""</f>
        <v>18</v>
      </c>
      <c r="G552" s="360" t="str">
        <f>'12U BOYS GOLD-24 TEAMS'!G66&amp;""</f>
        <v>L#14A-NORTH IRVINE WHITE</v>
      </c>
      <c r="H552" s="359" t="str">
        <f>'12U BOYS GOLD-24 TEAMS'!H66&amp;""</f>
        <v>0</v>
      </c>
      <c r="I552" s="359" t="str">
        <f>'12U BOYS GOLD-24 TEAMS'!I66&amp;""</f>
        <v>tie 21st</v>
      </c>
      <c r="J552" s="359" t="str">
        <f>'12U BOYS GOLD-24 TEAMS'!J66&amp;""</f>
        <v>12U_BOYS_GOLD</v>
      </c>
      <c r="K552" s="359" t="str">
        <f t="shared" si="9"/>
        <v>202602011610</v>
      </c>
    </row>
    <row r="553" spans="1:11">
      <c r="A553" s="351">
        <f>'12U GIRLS PLATINUM-12 TEAMS'!A38</f>
        <v>46054</v>
      </c>
      <c r="B553" s="352">
        <f>'12U GIRLS PLATINUM-12 TEAMS'!B38</f>
        <v>0.67361111111111105</v>
      </c>
      <c r="C553" s="351" t="str">
        <f>'12U GIRLS PLATINUM-12 TEAMS'!C38&amp;""</f>
        <v>WOOLLETT FAR RIGHT</v>
      </c>
      <c r="D553" s="353" t="str">
        <f>'12U GIRLS PLATINUM-12 TEAMS'!D38&amp;""</f>
        <v>12Gpt18</v>
      </c>
      <c r="E553" s="351" t="str">
        <f>'12U GIRLS PLATINUM-12 TEAMS'!E38&amp;""</f>
        <v>W#13-BACK BAY NAVY</v>
      </c>
      <c r="F553" s="353" t="str">
        <f>'12U GIRLS PLATINUM-12 TEAMS'!F38&amp;""</f>
        <v>4</v>
      </c>
      <c r="G553" s="351" t="str">
        <f>'12U GIRLS PLATINUM-12 TEAMS'!G38&amp;""</f>
        <v>W#14-680 RED</v>
      </c>
      <c r="H553" s="353" t="str">
        <f>'12U GIRLS PLATINUM-12 TEAMS'!H38&amp;""</f>
        <v>13</v>
      </c>
      <c r="I553" s="353" t="str">
        <f>'12U GIRLS PLATINUM-12 TEAMS'!I38&amp;""</f>
        <v>1st</v>
      </c>
      <c r="J553" s="353" t="str">
        <f>'12U GIRLS PLATINUM-12 TEAMS'!J38&amp;""</f>
        <v>12U_GIRLS_PLATINUM</v>
      </c>
      <c r="K553" s="353" t="str">
        <f t="shared" si="9"/>
        <v>202602011610</v>
      </c>
    </row>
    <row r="554" spans="1:11">
      <c r="A554" s="341">
        <f>'10U COED PLATINUM-8 TEAMS'!A30</f>
        <v>46054</v>
      </c>
      <c r="B554" s="342">
        <f>'10U COED PLATINUM-8 TEAMS'!B30</f>
        <v>0.67708333333333304</v>
      </c>
      <c r="C554" s="343" t="str">
        <f>'10U COED PLATINUM-8 TEAMS'!C30&amp;""</f>
        <v>WOOLLETT FAR LEFT</v>
      </c>
      <c r="D554" s="343" t="str">
        <f>'10U COED PLATINUM-8 TEAMS'!D30&amp;""</f>
        <v>10Cpt16</v>
      </c>
      <c r="E554" s="343" t="str">
        <f>'10U COED PLATINUM-8 TEAMS'!E30&amp;""</f>
        <v>1stA-NORTH IRVINE BLACK</v>
      </c>
      <c r="F554" s="343" t="str">
        <f>'10U COED PLATINUM-8 TEAMS'!F30&amp;""</f>
        <v>8</v>
      </c>
      <c r="G554" s="343" t="str">
        <f>'10U COED PLATINUM-8 TEAMS'!G30&amp;""</f>
        <v>1stB-ORANGE COUNTY WPC BLUE</v>
      </c>
      <c r="H554" s="343" t="str">
        <f>'10U COED PLATINUM-8 TEAMS'!H30&amp;""</f>
        <v>4</v>
      </c>
      <c r="I554" s="343" t="str">
        <f>'10U COED PLATINUM-8 TEAMS'!I30&amp;""</f>
        <v>1st</v>
      </c>
      <c r="J554" s="343" t="str">
        <f>'10U COED PLATINUM-8 TEAMS'!J30&amp;""</f>
        <v>10U_COED_PLATINUM</v>
      </c>
      <c r="K554" s="343" t="str">
        <f t="shared" si="9"/>
        <v>202602011615</v>
      </c>
    </row>
    <row r="555" spans="1:11">
      <c r="A555" s="354">
        <f>'12U BOYS GOLD-24 TEAMS'!A57</f>
        <v>46054</v>
      </c>
      <c r="B555" s="369">
        <f>'12U BOYS GOLD-24 TEAMS'!B57</f>
        <v>0.68055555555555558</v>
      </c>
      <c r="C555" s="355" t="str">
        <f>'12U BOYS GOLD-24 TEAMS'!C57&amp;""</f>
        <v>EL TORO HS 2</v>
      </c>
      <c r="D555" s="356" t="str">
        <f>'12U BOYS GOLD-24 TEAMS'!D57&amp;""</f>
        <v>12Bau19</v>
      </c>
      <c r="E555" s="356" t="str">
        <f>'12U BOYS GOLD-24 TEAMS'!E57&amp;""</f>
        <v>L#13-680 WHITE</v>
      </c>
      <c r="F555" s="356" t="str">
        <f>'12U BOYS GOLD-24 TEAMS'!F57&amp;""</f>
        <v>13</v>
      </c>
      <c r="G555" s="356" t="str">
        <f>'12U BOYS GOLD-24 TEAMS'!G57&amp;""</f>
        <v>L#14-LAMORINDA C</v>
      </c>
      <c r="H555" s="356" t="str">
        <f>'12U BOYS GOLD-24 TEAMS'!H57&amp;""</f>
        <v>3</v>
      </c>
      <c r="I555" s="356" t="str">
        <f>'12U BOYS GOLD-24 TEAMS'!I57&amp;""</f>
        <v>tie 21st</v>
      </c>
      <c r="J555" s="356" t="str">
        <f>'12U BOYS GOLD-24 TEAMS'!J57&amp;""</f>
        <v>12U_BOYS_GOLD</v>
      </c>
      <c r="K555" s="356" t="str">
        <f t="shared" si="9"/>
        <v>202602011620</v>
      </c>
    </row>
    <row r="556" spans="1:11">
      <c r="A556" s="394">
        <f>'14U BOYS GOLD-26 TEAMS'!A87</f>
        <v>46054</v>
      </c>
      <c r="B556" s="395">
        <f>'14U BOYS GOLD-26 TEAMS'!B87</f>
        <v>0.6875</v>
      </c>
      <c r="C556" s="396" t="str">
        <f>'14U BOYS GOLD-26 TEAMS'!C87&amp;""</f>
        <v>ESPERANZA HS</v>
      </c>
      <c r="D556" s="396" t="str">
        <f>'14U BOYS GOLD-26 TEAMS'!D87&amp;""</f>
        <v>14Bau54</v>
      </c>
      <c r="E556" s="397" t="str">
        <f>'14U BOYS GOLD-26 TEAMS'!E87&amp;""</f>
        <v>L#33-SHAQ WHITE</v>
      </c>
      <c r="F556" s="397" t="str">
        <f>'14U BOYS GOLD-26 TEAMS'!F87&amp;""</f>
        <v>13.4</v>
      </c>
      <c r="G556" s="398" t="str">
        <f>'14U BOYS GOLD-26 TEAMS'!G87&amp;""</f>
        <v>L#34-CT PREMIER</v>
      </c>
      <c r="H556" s="397" t="str">
        <f>'14U BOYS GOLD-26 TEAMS'!H87&amp;""</f>
        <v>13.2</v>
      </c>
      <c r="I556" s="396" t="str">
        <f>'14U BOYS GOLD-26 TEAMS'!I87&amp;""</f>
        <v>3rd/4thM</v>
      </c>
      <c r="J556" s="397" t="str">
        <f>'14U BOYS GOLD-26 TEAMS'!J87&amp;""</f>
        <v>14U_BOYS_GOLD</v>
      </c>
      <c r="K556" s="397" t="str">
        <f t="shared" si="9"/>
        <v>202602011630</v>
      </c>
    </row>
    <row r="557" spans="1:11">
      <c r="A557" s="435">
        <f>'19U BOYS PLATINUM-27 TEAMS'!A90</f>
        <v>46054</v>
      </c>
      <c r="B557" s="436">
        <f>'19U BOYS PLATINUM-27 TEAMS'!B90</f>
        <v>0.70833333333333304</v>
      </c>
      <c r="C557" s="437" t="str">
        <f>'19U BOYS PLATINUM-27 TEAMS'!C90&amp;""</f>
        <v>EDISON HS</v>
      </c>
      <c r="D557" s="437" t="str">
        <f>'19U BOYS PLATINUM-27 TEAMS'!D90&amp;""</f>
        <v>19Bpt55</v>
      </c>
      <c r="E557" s="438" t="str">
        <f>'19U BOYS PLATINUM-27 TEAMS'!E90&amp;""</f>
        <v>NORCAL</v>
      </c>
      <c r="F557" s="438" t="str">
        <f>'19U BOYS PLATINUM-27 TEAMS'!F90&amp;""</f>
        <v>11</v>
      </c>
      <c r="G557" s="438" t="str">
        <f>'19U BOYS PLATINUM-27 TEAMS'!G90&amp;""</f>
        <v>CT PREMIER</v>
      </c>
      <c r="H557" s="438" t="str">
        <f>'19U BOYS PLATINUM-27 TEAMS'!H90&amp;""</f>
        <v>14</v>
      </c>
      <c r="I557" s="437" t="str">
        <f>'19U BOYS PLATINUM-27 TEAMS'!I90&amp;""</f>
        <v>1st/2ndM</v>
      </c>
      <c r="J557" s="438" t="str">
        <f>'19U BOYS PLATINUM-27 TEAMS'!J90&amp;""</f>
        <v>19U_BOYS_PLATINUM</v>
      </c>
      <c r="K557" s="438" t="str">
        <f t="shared" si="9"/>
        <v>202602011700</v>
      </c>
    </row>
    <row r="558" spans="1:11">
      <c r="A558" s="428">
        <f>'19U BOYS SILVER-6 TEAMS CUST'!A26</f>
        <v>46054</v>
      </c>
      <c r="B558" s="429">
        <f>'19U BOYS SILVER-6 TEAMS CUST'!B26</f>
        <v>0.70833333333333304</v>
      </c>
      <c r="C558" s="429" t="str">
        <f>'19U BOYS SILVER-6 TEAMS CUST'!C26&amp;""</f>
        <v>ESTANCIA HS 1</v>
      </c>
      <c r="D558" s="430" t="str">
        <f>'19U BOYS SILVER-6 TEAMS CUST'!D26&amp;""</f>
        <v>19Bag12</v>
      </c>
      <c r="E558" s="430" t="str">
        <f>'19U BOYS SILVER-6 TEAMS CUST'!E26&amp;""</f>
        <v>A3-SD ECA</v>
      </c>
      <c r="F558" s="430" t="str">
        <f>'19U BOYS SILVER-6 TEAMS CUST'!F26&amp;""</f>
        <v>17</v>
      </c>
      <c r="G558" s="430" t="str">
        <f>'19U BOYS SILVER-6 TEAMS CUST'!G26&amp;""</f>
        <v>B3-OHANA</v>
      </c>
      <c r="H558" s="430" t="str">
        <f>'19U BOYS SILVER-6 TEAMS CUST'!H26&amp;""</f>
        <v>12</v>
      </c>
      <c r="I558" s="430" t="str">
        <f>'19U BOYS SILVER-6 TEAMS CUST'!I26&amp;""</f>
        <v>A3,B3</v>
      </c>
      <c r="J558" s="430" t="str">
        <f>'19U BOYS SILVER-6 TEAMS CUST'!J26&amp;""</f>
        <v>19U_BOYS_SILVER</v>
      </c>
      <c r="K558" s="430" t="str">
        <f t="shared" si="9"/>
        <v>202602011700</v>
      </c>
    </row>
    <row r="559" spans="1:11">
      <c r="A559" s="432">
        <f>'19U BOYS GOLD-16 TEAMS'!A40</f>
        <v>46054</v>
      </c>
      <c r="B559" s="433">
        <f>'19U BOYS GOLD-16 TEAMS'!B40</f>
        <v>0.70833333333333304</v>
      </c>
      <c r="C559" s="433" t="str">
        <f>'19U BOYS GOLD-16 TEAMS'!C40&amp;""</f>
        <v>FULLERTON COLLEGE</v>
      </c>
      <c r="D559" s="434" t="str">
        <f>'19U BOYS GOLD-16 TEAMS'!D40&amp;""</f>
        <v>19Bau26</v>
      </c>
      <c r="E559" s="434" t="str">
        <f>'19U BOYS GOLD-16 TEAMS'!E40&amp;""</f>
        <v>L#21-CLOVIS BLACK</v>
      </c>
      <c r="F559" s="434" t="str">
        <f>'19U BOYS GOLD-16 TEAMS'!F40&amp;""</f>
        <v>8</v>
      </c>
      <c r="G559" s="434" t="str">
        <f>'19U BOYS GOLD-16 TEAMS'!G40&amp;""</f>
        <v>L#22-MID PEN</v>
      </c>
      <c r="H559" s="434" t="str">
        <f>'19U BOYS GOLD-16 TEAMS'!H40&amp;""</f>
        <v>6</v>
      </c>
      <c r="I559" s="434" t="str">
        <f>'19U BOYS GOLD-16 TEAMS'!I40&amp;""</f>
        <v>7th</v>
      </c>
      <c r="J559" s="434" t="str">
        <f>'19U BOYS GOLD-16 TEAMS'!J40&amp;""</f>
        <v>19U_BOYS_GOLD</v>
      </c>
      <c r="K559" s="434" t="str">
        <f t="shared" si="9"/>
        <v>202602011700</v>
      </c>
    </row>
    <row r="560" spans="1:11">
      <c r="A560" s="410">
        <f>'16U BOYS GOLD-19 TEAMS'!A58</f>
        <v>46054</v>
      </c>
      <c r="B560" s="411">
        <f>'16U BOYS GOLD-19 TEAMS'!B58</f>
        <v>0.70833333333333304</v>
      </c>
      <c r="C560" s="411" t="str">
        <f>'16U BOYS GOLD-19 TEAMS'!C58&amp;""</f>
        <v>SAN JUAN HILLS HS</v>
      </c>
      <c r="D560" s="412" t="str">
        <f>'16U BOYS GOLD-19 TEAMS'!D58&amp;""</f>
        <v>16Bau30</v>
      </c>
      <c r="E560" s="412" t="str">
        <f>'16U BOYS GOLD-19 TEAMS'!E58&amp;""</f>
        <v>O1(1stG)-SOUTH COAST WHITE (B)</v>
      </c>
      <c r="F560" s="412" t="str">
        <f>'16U BOYS GOLD-19 TEAMS'!F58&amp;""</f>
        <v>4</v>
      </c>
      <c r="G560" s="412" t="str">
        <f>'16U BOYS GOLD-19 TEAMS'!G58&amp;""</f>
        <v>O2(1stH)-LA JOLLA UNITED GOLD</v>
      </c>
      <c r="H560" s="412" t="str">
        <f>'16U BOYS GOLD-19 TEAMS'!H58&amp;""</f>
        <v>10</v>
      </c>
      <c r="I560" s="412" t="str">
        <f>'16U BOYS GOLD-19 TEAMS'!I58&amp;""</f>
        <v>1st 1stG/1stH</v>
      </c>
      <c r="J560" s="412" t="str">
        <f>'16U BOYS GOLD-19 TEAMS'!J58&amp;""</f>
        <v>16U_BOYS_GOLD</v>
      </c>
      <c r="K560" s="412" t="str">
        <f t="shared" si="9"/>
        <v>202602011700</v>
      </c>
    </row>
    <row r="561" spans="1:11">
      <c r="A561" s="406">
        <f>'16U BOYS SILVER-20 TEAMS'!A61</f>
        <v>46054</v>
      </c>
      <c r="B561" s="407">
        <f>'16U BOYS SILVER-20 TEAMS'!B61</f>
        <v>0.70833333333333304</v>
      </c>
      <c r="C561" s="407" t="str">
        <f>'16U BOYS SILVER-20 TEAMS'!C61&amp;""</f>
        <v>SONORA HS</v>
      </c>
      <c r="D561" s="408" t="str">
        <f>'16U BOYS SILVER-20 TEAMS'!D61&amp;""</f>
        <v>16Bag32</v>
      </c>
      <c r="E561" s="408" t="str">
        <f>'16U BOYS SILVER-20 TEAMS'!E61&amp;""</f>
        <v>1stG-LAMORINDA B</v>
      </c>
      <c r="F561" s="408" t="str">
        <f>'16U BOYS SILVER-20 TEAMS'!F61&amp;""</f>
        <v>12</v>
      </c>
      <c r="G561" s="408" t="str">
        <f>'16U BOYS SILVER-20 TEAMS'!G61&amp;""</f>
        <v xml:space="preserve">1stJ-LA JOLLA UNITED WHITE	</v>
      </c>
      <c r="H561" s="408" t="str">
        <f>'16U BOYS SILVER-20 TEAMS'!H61&amp;""</f>
        <v>15</v>
      </c>
      <c r="I561" s="408" t="str">
        <f>'16U BOYS SILVER-20 TEAMS'!I61&amp;""</f>
        <v>1st</v>
      </c>
      <c r="J561" s="408" t="str">
        <f>'16U BOYS SILVER-20 TEAMS'!J61&amp;""</f>
        <v>16U_BOYS_SILVER</v>
      </c>
      <c r="K561" s="408" t="str">
        <f t="shared" ref="K561:K580" si="10">TEXT(DATE(2026, MONTH(A561), DAY(A561)) + TIME(HOUR(B561), MINUTE(B561), 0), "yyyymmddhhmm")</f>
        <v>202602011700</v>
      </c>
    </row>
    <row r="562" spans="1:11">
      <c r="A562" s="421">
        <f>'16U BOYS PLATINUM-18 TEAMS'!A64</f>
        <v>46054</v>
      </c>
      <c r="B562" s="422">
        <f>'16U BOYS PLATINUM-18 TEAMS'!B64</f>
        <v>0.70833333333333304</v>
      </c>
      <c r="C562" s="422" t="str">
        <f>'16U BOYS PLATINUM-18 TEAMS'!C64&amp;""</f>
        <v>WESTMINSTER HS</v>
      </c>
      <c r="D562" s="422" t="str">
        <f>'16U BOYS PLATINUM-18 TEAMS'!D64&amp;""</f>
        <v>16Bpt22</v>
      </c>
      <c r="E562" s="423" t="str">
        <f>'16U BOYS PLATINUM-18 TEAMS'!E64&amp;""</f>
        <v>M1(3rdA)-CAPITAL</v>
      </c>
      <c r="F562" s="422" t="str">
        <f>'16U BOYS PLATINUM-18 TEAMS'!F64&amp;""</f>
        <v>6</v>
      </c>
      <c r="G562" s="426" t="str">
        <f>'16U BOYS PLATINUM-18 TEAMS'!G64&amp;""</f>
        <v>M2(3rdB)-LA JOLLA UNITED NAVY</v>
      </c>
      <c r="H562" s="422" t="str">
        <f>'16U BOYS PLATINUM-18 TEAMS'!H64&amp;""</f>
        <v>16</v>
      </c>
      <c r="I562" s="425" t="str">
        <f>'16U BOYS PLATINUM-18 TEAMS'!I64&amp;""</f>
        <v>13th-18th</v>
      </c>
      <c r="J562" s="426" t="str">
        <f>'16U BOYS PLATINUM-18 TEAMS'!J64&amp;""</f>
        <v>16U_BOYS_PLATINUM</v>
      </c>
      <c r="K562" s="426" t="str">
        <f t="shared" si="10"/>
        <v>202602011700</v>
      </c>
    </row>
    <row r="563" spans="1:11">
      <c r="A563" s="435">
        <f>'19U BOYS PLATINUM-27 TEAMS'!A69</f>
        <v>46054</v>
      </c>
      <c r="B563" s="436">
        <f>'19U BOYS PLATINUM-27 TEAMS'!B69</f>
        <v>0.70833333333333304</v>
      </c>
      <c r="C563" s="437" t="str">
        <f>'19U BOYS PLATINUM-27 TEAMS'!C69&amp;""</f>
        <v>WOOLLETT NEAR LEFT</v>
      </c>
      <c r="D563" s="437" t="str">
        <f>'19U BOYS PLATINUM-27 TEAMS'!D69&amp;""</f>
        <v>19Bpt36</v>
      </c>
      <c r="E563" s="438" t="str">
        <f>'19U BOYS PLATINUM-27 TEAMS'!E69&amp;""</f>
        <v>Q1(2ndJ)-LA JOLLA UNITED NAVY</v>
      </c>
      <c r="F563" s="438" t="str">
        <f>'19U BOYS PLATINUM-27 TEAMS'!F69&amp;""</f>
        <v>12</v>
      </c>
      <c r="G563" s="438" t="str">
        <f>'19U BOYS PLATINUM-27 TEAMS'!G69&amp;""</f>
        <v>Q2(2ndK)-CHANNEL ISLANDS UNITED TEAL</v>
      </c>
      <c r="H563" s="438" t="str">
        <f>'19U BOYS PLATINUM-27 TEAMS'!H69&amp;""</f>
        <v>11</v>
      </c>
      <c r="I563" s="437" t="str">
        <f>'19U BOYS PLATINUM-27 TEAMS'!I69&amp;""</f>
        <v>overall 3rd</v>
      </c>
      <c r="J563" s="438" t="str">
        <f>'19U BOYS PLATINUM-27 TEAMS'!J69&amp;""</f>
        <v>19U_BOYS_PLATINUM</v>
      </c>
      <c r="K563" s="438" t="str">
        <f t="shared" si="10"/>
        <v>202602011700</v>
      </c>
    </row>
    <row r="564" spans="1:11">
      <c r="A564" s="421">
        <f>'16U BOYS PLATINUM-18 TEAMS'!A54</f>
        <v>46054</v>
      </c>
      <c r="B564" s="422">
        <f>'16U BOYS PLATINUM-18 TEAMS'!B54</f>
        <v>0.70833333333333304</v>
      </c>
      <c r="C564" s="422" t="str">
        <f>'16U BOYS PLATINUM-18 TEAMS'!C54&amp;""</f>
        <v>WOOLLETT NEAR RIGHT</v>
      </c>
      <c r="D564" s="422" t="str">
        <f>'16U BOYS PLATINUM-18 TEAMS'!D54&amp;""</f>
        <v>16Bpt38</v>
      </c>
      <c r="E564" s="423" t="str">
        <f>'16U BOYS PLATINUM-18 TEAMS'!E54&amp;""</f>
        <v>1stG-CC UNITED BLACK</v>
      </c>
      <c r="F564" s="424" t="str">
        <f>'16U BOYS PLATINUM-18 TEAMS'!F54&amp;""</f>
        <v>11</v>
      </c>
      <c r="G564" s="425" t="str">
        <f>'16U BOYS PLATINUM-18 TEAMS'!G54&amp;""</f>
        <v>1stH-CHANNEL ISLANDS UNITED GOLD</v>
      </c>
      <c r="H564" s="424" t="str">
        <f>'16U BOYS PLATINUM-18 TEAMS'!H54&amp;""</f>
        <v>8</v>
      </c>
      <c r="I564" s="425" t="str">
        <f>'16U BOYS PLATINUM-18 TEAMS'!I54&amp;""</f>
        <v>overall 1st</v>
      </c>
      <c r="J564" s="426" t="str">
        <f>'16U BOYS PLATINUM-18 TEAMS'!J54&amp;""</f>
        <v>16U_BOYS_PLATINUM</v>
      </c>
      <c r="K564" s="426" t="str">
        <f t="shared" si="10"/>
        <v>202602011700</v>
      </c>
    </row>
    <row r="565" spans="1:11">
      <c r="A565" s="435">
        <f>'19U BOYS PLATINUM-27 TEAMS'!A80</f>
        <v>46054</v>
      </c>
      <c r="B565" s="436">
        <f>'19U BOYS PLATINUM-27 TEAMS'!B80</f>
        <v>0.70833333333333304</v>
      </c>
      <c r="C565" s="437" t="str">
        <f>'19U BOYS PLATINUM-27 TEAMS'!C80&amp;""</f>
        <v>YORBA LINDA HS</v>
      </c>
      <c r="D565" s="437" t="str">
        <f>'19U BOYS PLATINUM-27 TEAMS'!D80&amp;""</f>
        <v>19Bpt46</v>
      </c>
      <c r="E565" s="438" t="str">
        <f>'19U BOYS PLATINUM-27 TEAMS'!E80&amp;""</f>
        <v>W#40-SHADOW MEN</v>
      </c>
      <c r="F565" s="438" t="str">
        <f>'19U BOYS PLATINUM-27 TEAMS'!F80&amp;""</f>
        <v>13</v>
      </c>
      <c r="G565" s="438" t="str">
        <f>'19U BOYS PLATINUM-27 TEAMS'!G80&amp;""</f>
        <v>W#41-IMPERIAL BLUE</v>
      </c>
      <c r="H565" s="438" t="str">
        <f>'19U BOYS PLATINUM-27 TEAMS'!H80&amp;""</f>
        <v>18</v>
      </c>
      <c r="I565" s="437" t="str">
        <f>'19U BOYS PLATINUM-27 TEAMS'!I80&amp;""</f>
        <v>1st/2ndP</v>
      </c>
      <c r="J565" s="438" t="str">
        <f>'19U BOYS PLATINUM-27 TEAMS'!J80&amp;""</f>
        <v>19U_BOYS_PLATINUM</v>
      </c>
      <c r="K565" s="438" t="str">
        <f t="shared" si="10"/>
        <v>202602011700</v>
      </c>
    </row>
    <row r="566" spans="1:11">
      <c r="A566" s="366">
        <f>'12U BOYS GOLD-24 TEAMS'!A68</f>
        <v>46054</v>
      </c>
      <c r="B566" s="367">
        <f>'12U BOYS GOLD-24 TEAMS'!B68</f>
        <v>0.70833333333333404</v>
      </c>
      <c r="C566" s="367" t="str">
        <f>'12U BOYS GOLD-24 TEAMS'!C68&amp;""</f>
        <v>BECKMAN HS 1</v>
      </c>
      <c r="D566" s="368" t="str">
        <f>'12U BOYS GOLD-24 TEAMS'!D68&amp;""</f>
        <v>12Bau26</v>
      </c>
      <c r="E566" s="368" t="str">
        <f>'12U BOYS GOLD-24 TEAMS'!E68&amp;""</f>
        <v>W#24-ORANGE COUNTY WPC BLUE</v>
      </c>
      <c r="F566" s="368" t="str">
        <f>'12U BOYS GOLD-24 TEAMS'!F68&amp;""</f>
        <v>19</v>
      </c>
      <c r="G566" s="368" t="str">
        <f>'12U BOYS GOLD-24 TEAMS'!G68&amp;""</f>
        <v>W#24A-FOOTHILL RED</v>
      </c>
      <c r="H566" s="368" t="str">
        <f>'12U BOYS GOLD-24 TEAMS'!H68&amp;""</f>
        <v>5</v>
      </c>
      <c r="I566" s="368" t="str">
        <f>'12U BOYS GOLD-24 TEAMS'!I68&amp;""</f>
        <v>1st</v>
      </c>
      <c r="J566" s="368" t="str">
        <f>'12U BOYS GOLD-24 TEAMS'!J68&amp;""</f>
        <v>12U_BOYS_GOLD</v>
      </c>
      <c r="K566" s="368" t="str">
        <f t="shared" si="10"/>
        <v>202602011700</v>
      </c>
    </row>
    <row r="567" spans="1:11">
      <c r="A567" s="432">
        <f>'19U BOYS GOLD-16 TEAMS'!A41</f>
        <v>46054</v>
      </c>
      <c r="B567" s="433">
        <f>'19U BOYS GOLD-16 TEAMS'!B41</f>
        <v>0.70833333333333404</v>
      </c>
      <c r="C567" s="433" t="str">
        <f>'19U BOYS GOLD-16 TEAMS'!C41&amp;""</f>
        <v>COSTA MESA HS 1</v>
      </c>
      <c r="D567" s="434" t="str">
        <f>'19U BOYS GOLD-16 TEAMS'!D41&amp;""</f>
        <v>19Bau31</v>
      </c>
      <c r="E567" s="434" t="str">
        <f>'19U BOYS GOLD-16 TEAMS'!E41&amp;""</f>
        <v>W#27-SET</v>
      </c>
      <c r="F567" s="434" t="str">
        <f>'19U BOYS GOLD-16 TEAMS'!F41&amp;""</f>
        <v>8.4</v>
      </c>
      <c r="G567" s="434" t="str">
        <f>'19U BOYS GOLD-16 TEAMS'!G41&amp;""</f>
        <v>W#28-NORTHWEST</v>
      </c>
      <c r="H567" s="434" t="str">
        <f>'19U BOYS GOLD-16 TEAMS'!H41&amp;""</f>
        <v>8.3</v>
      </c>
      <c r="I567" s="434" t="str">
        <f>'19U BOYS GOLD-16 TEAMS'!I41&amp;""</f>
        <v>9th</v>
      </c>
      <c r="J567" s="434" t="str">
        <f>'19U BOYS GOLD-16 TEAMS'!J41&amp;""</f>
        <v>19U_BOYS_GOLD</v>
      </c>
      <c r="K567" s="434" t="str">
        <f t="shared" si="10"/>
        <v>202602011700</v>
      </c>
    </row>
    <row r="568" spans="1:11">
      <c r="A568" s="354">
        <f>'12U BOYS GOLD-24 TEAMS'!A58</f>
        <v>46054</v>
      </c>
      <c r="B568" s="355">
        <f>'12U BOYS GOLD-24 TEAMS'!B58</f>
        <v>0.70833333333333404</v>
      </c>
      <c r="C568" s="355" t="str">
        <f>'12U BOYS GOLD-24 TEAMS'!C58&amp;""</f>
        <v>COSTA MESA HS 2</v>
      </c>
      <c r="D568" s="356" t="str">
        <f>'12U BOYS GOLD-24 TEAMS'!D58&amp;""</f>
        <v>12Bau22</v>
      </c>
      <c r="E568" s="362" t="str">
        <f>'12U BOYS GOLD-24 TEAMS'!E58&amp;""</f>
        <v>W#15-STANFORD BLACK</v>
      </c>
      <c r="F568" s="362" t="str">
        <f>'12U BOYS GOLD-24 TEAMS'!F58&amp;""</f>
        <v>6</v>
      </c>
      <c r="G568" s="362" t="str">
        <f>'12U BOYS GOLD-24 TEAMS'!G58&amp;""</f>
        <v>W#16-CC UNITED BLUE</v>
      </c>
      <c r="H568" s="362" t="str">
        <f>'12U BOYS GOLD-24 TEAMS'!H58&amp;""</f>
        <v>9</v>
      </c>
      <c r="I568" s="362" t="str">
        <f>'12U BOYS GOLD-24 TEAMS'!I58&amp;""</f>
        <v>tie 9th</v>
      </c>
      <c r="J568" s="356" t="str">
        <f>'12U BOYS GOLD-24 TEAMS'!J58&amp;""</f>
        <v>12U_BOYS_GOLD</v>
      </c>
      <c r="K568" s="356" t="str">
        <f t="shared" si="10"/>
        <v>202602011700</v>
      </c>
    </row>
    <row r="569" spans="1:11">
      <c r="A569" s="399">
        <f>'14U BOYS PLATINUM-20 TEAMS'!A59</f>
        <v>46054</v>
      </c>
      <c r="B569" s="400">
        <f>'14U BOYS PLATINUM-20 TEAMS'!B59</f>
        <v>0.70833333333333404</v>
      </c>
      <c r="C569" s="400" t="str">
        <f>'14U BOYS PLATINUM-20 TEAMS'!C59&amp;""</f>
        <v>EL TORO HS 1</v>
      </c>
      <c r="D569" s="401" t="str">
        <f>'14U BOYS PLATINUM-20 TEAMS'!D59&amp;""</f>
        <v>14Bpt32</v>
      </c>
      <c r="E569" s="401" t="str">
        <f>'14U BOYS PLATINUM-20 TEAMS'!E59&amp;""</f>
        <v>1stG-MISSION WPC A</v>
      </c>
      <c r="F569" s="401" t="str">
        <f>'14U BOYS PLATINUM-20 TEAMS'!F59&amp;""</f>
        <v>8</v>
      </c>
      <c r="G569" s="401" t="str">
        <f>'14U BOYS PLATINUM-20 TEAMS'!G59&amp;""</f>
        <v>1stJ-LA JOLLA UNITED NAVY</v>
      </c>
      <c r="H569" s="401" t="str">
        <f>'14U BOYS PLATINUM-20 TEAMS'!H59&amp;""</f>
        <v>12</v>
      </c>
      <c r="I569" s="401" t="str">
        <f>'14U BOYS PLATINUM-20 TEAMS'!I59&amp;""</f>
        <v>1st</v>
      </c>
      <c r="J569" s="401" t="str">
        <f>'14U BOYS PLATINUM-20 TEAMS'!J59&amp;""</f>
        <v>14U_BOYS_PLATINUM</v>
      </c>
      <c r="K569" s="401" t="str">
        <f t="shared" si="10"/>
        <v>202602011700</v>
      </c>
    </row>
    <row r="570" spans="1:11">
      <c r="A570" s="432">
        <f>'19U BOYS GOLD-16 TEAMS'!A42</f>
        <v>46054</v>
      </c>
      <c r="B570" s="433">
        <f>'19U BOYS GOLD-16 TEAMS'!B42</f>
        <v>0.70833333333333404</v>
      </c>
      <c r="C570" s="433" t="str">
        <f>'19U BOYS GOLD-16 TEAMS'!C42&amp;""</f>
        <v>TUSTIN HS 1</v>
      </c>
      <c r="D570" s="434" t="str">
        <f>'19U BOYS GOLD-16 TEAMS'!D42&amp;""</f>
        <v>19Bau32</v>
      </c>
      <c r="E570" s="434" t="str">
        <f>'19U BOYS GOLD-16 TEAMS'!E42&amp;""</f>
        <v>L#27-VANGUARD SILVER</v>
      </c>
      <c r="F570" s="434" t="str">
        <f>'19U BOYS GOLD-16 TEAMS'!F42&amp;""</f>
        <v>7</v>
      </c>
      <c r="G570" s="434" t="str">
        <f>'19U BOYS GOLD-16 TEAMS'!G42&amp;""</f>
        <v>L#28-FARALLON</v>
      </c>
      <c r="H570" s="434" t="str">
        <f>'19U BOYS GOLD-16 TEAMS'!H42&amp;""</f>
        <v>6</v>
      </c>
      <c r="I570" s="434" t="str">
        <f>'19U BOYS GOLD-16 TEAMS'!I42&amp;""</f>
        <v>11th</v>
      </c>
      <c r="J570" s="434" t="str">
        <f>'19U BOYS GOLD-16 TEAMS'!J42&amp;""</f>
        <v>19U_BOYS_GOLD</v>
      </c>
      <c r="K570" s="434" t="str">
        <f t="shared" si="10"/>
        <v>202602011700</v>
      </c>
    </row>
    <row r="571" spans="1:11">
      <c r="A571" s="357">
        <f>'12U BOYS GOLD-24 TEAMS'!A70</f>
        <v>46054</v>
      </c>
      <c r="B571" s="358">
        <f>'12U BOYS GOLD-24 TEAMS'!B70</f>
        <v>0.70833333333333404</v>
      </c>
      <c r="C571" s="358" t="str">
        <f>'12U BOYS GOLD-24 TEAMS'!C70&amp;""</f>
        <v>TUSTIN HS 2</v>
      </c>
      <c r="D571" s="359" t="str">
        <f>'12U BOYS GOLD-24 TEAMS'!D70&amp;""</f>
        <v>12Bau22A</v>
      </c>
      <c r="E571" s="360" t="str">
        <f>'12U BOYS GOLD-24 TEAMS'!E70&amp;""</f>
        <v>W#15A-LA JOLLA UNITED GOLD</v>
      </c>
      <c r="F571" s="360" t="str">
        <f>'12U BOYS GOLD-24 TEAMS'!F70&amp;""</f>
        <v>6</v>
      </c>
      <c r="G571" s="360" t="str">
        <f>'12U BOYS GOLD-24 TEAMS'!G70&amp;""</f>
        <v>W#16A-CMAC</v>
      </c>
      <c r="H571" s="360" t="str">
        <f>'12U BOYS GOLD-24 TEAMS'!H70&amp;""</f>
        <v>13</v>
      </c>
      <c r="I571" s="360" t="str">
        <f>'12U BOYS GOLD-24 TEAMS'!I70&amp;""</f>
        <v>tie 9th</v>
      </c>
      <c r="J571" s="359" t="str">
        <f>'12U BOYS GOLD-24 TEAMS'!J70&amp;""</f>
        <v>12U_BOYS_GOLD</v>
      </c>
      <c r="K571" s="359" t="str">
        <f t="shared" si="10"/>
        <v>202602011700</v>
      </c>
    </row>
    <row r="572" spans="1:11">
      <c r="A572" s="357">
        <f>'12U BOYS GOLD-24 TEAMS'!A69</f>
        <v>46054</v>
      </c>
      <c r="B572" s="358">
        <f>'12U BOYS GOLD-24 TEAMS'!B69</f>
        <v>0.70833333333333404</v>
      </c>
      <c r="C572" s="358" t="str">
        <f>'12U BOYS GOLD-24 TEAMS'!C69&amp;""</f>
        <v>TUSTIN HS 2</v>
      </c>
      <c r="D572" s="359" t="str">
        <f>'12U BOYS GOLD-24 TEAMS'!D69&amp;""</f>
        <v>12Bau23A</v>
      </c>
      <c r="E572" s="360" t="str">
        <f>'12U BOYS GOLD-24 TEAMS'!E69&amp;""</f>
        <v>L#17A-TROJAN</v>
      </c>
      <c r="F572" s="360" t="str">
        <f>'12U BOYS GOLD-24 TEAMS'!F69&amp;""</f>
        <v>5</v>
      </c>
      <c r="G572" s="360" t="str">
        <f>'12U BOYS GOLD-24 TEAMS'!G69&amp;""</f>
        <v>L#18A-SAN MATEO</v>
      </c>
      <c r="H572" s="360" t="str">
        <f>'12U BOYS GOLD-24 TEAMS'!H69&amp;""</f>
        <v>0</v>
      </c>
      <c r="I572" s="360" t="str">
        <f>'12U BOYS GOLD-24 TEAMS'!I69&amp;""</f>
        <v>tie 5th</v>
      </c>
      <c r="J572" s="359" t="str">
        <f>'12U BOYS GOLD-24 TEAMS'!J69&amp;""</f>
        <v>12U_BOYS_GOLD</v>
      </c>
      <c r="K572" s="359" t="str">
        <f t="shared" si="10"/>
        <v>202602011700</v>
      </c>
    </row>
    <row r="573" spans="1:11">
      <c r="A573" s="375">
        <f>'12U COED-7 TEAMS'!A30</f>
        <v>46054</v>
      </c>
      <c r="B573" s="376">
        <f>'12U COED-7 TEAMS'!B30</f>
        <v>0.70833333333333404</v>
      </c>
      <c r="C573" s="377" t="str">
        <f>'12U COED-7 TEAMS'!C30&amp;""</f>
        <v>WOOLLETT FAR RIGHT</v>
      </c>
      <c r="D573" s="377" t="str">
        <f>'12U COED-7 TEAMS'!D30&amp;""</f>
        <v>12C15</v>
      </c>
      <c r="E573" s="377" t="str">
        <f>'12U COED-7 TEAMS'!E30&amp;""</f>
        <v>W#11-SET</v>
      </c>
      <c r="F573" s="377" t="str">
        <f>'12U COED-7 TEAMS'!F30&amp;""</f>
        <v>7</v>
      </c>
      <c r="G573" s="377" t="str">
        <f>'12U COED-7 TEAMS'!G30&amp;""</f>
        <v>W#12-YOLO BLACK</v>
      </c>
      <c r="H573" s="377" t="str">
        <f>'12U COED-7 TEAMS'!H30&amp;""</f>
        <v>21</v>
      </c>
      <c r="I573" s="377" t="str">
        <f>'12U COED-7 TEAMS'!I30&amp;""</f>
        <v>1st</v>
      </c>
      <c r="J573" s="377" t="str">
        <f>'12U COED-7 TEAMS'!J30&amp;""</f>
        <v>12U_COED</v>
      </c>
      <c r="K573" s="377" t="str">
        <f t="shared" si="10"/>
        <v>202602011700</v>
      </c>
    </row>
    <row r="574" spans="1:11">
      <c r="A574" s="357">
        <f>'12U BOYS GOLD-24 TEAMS'!A71</f>
        <v>46054</v>
      </c>
      <c r="B574" s="358">
        <f>'12U BOYS GOLD-24 TEAMS'!B71</f>
        <v>0.74305555555555602</v>
      </c>
      <c r="C574" s="358" t="str">
        <f>'12U BOYS GOLD-24 TEAMS'!C71&amp;""</f>
        <v>BECKMAN HS 1</v>
      </c>
      <c r="D574" s="359" t="str">
        <f>'12U BOYS GOLD-24 TEAMS'!D71&amp;""</f>
        <v>12Bau21A</v>
      </c>
      <c r="E574" s="360" t="str">
        <f>'12U BOYS GOLD-24 TEAMS'!E71&amp;""</f>
        <v>L#15A-STANFORD WHITE</v>
      </c>
      <c r="F574" s="360" t="str">
        <f>'12U BOYS GOLD-24 TEAMS'!F71&amp;""</f>
        <v>6.3</v>
      </c>
      <c r="G574" s="360" t="str">
        <f>'12U BOYS GOLD-24 TEAMS'!G71&amp;""</f>
        <v>L#16A-SOUTH COAST RED</v>
      </c>
      <c r="H574" s="360" t="str">
        <f>'12U BOYS GOLD-24 TEAMS'!H71&amp;""</f>
        <v>6.2</v>
      </c>
      <c r="I574" s="359" t="str">
        <f>'12U BOYS GOLD-24 TEAMS'!I71&amp;""</f>
        <v>tie 13th</v>
      </c>
      <c r="J574" s="359" t="str">
        <f>'12U BOYS GOLD-24 TEAMS'!J71&amp;""</f>
        <v>12U_BOYS_GOLD</v>
      </c>
      <c r="K574" s="359" t="str">
        <f t="shared" si="10"/>
        <v>202602011750</v>
      </c>
    </row>
    <row r="575" spans="1:11">
      <c r="A575" s="375">
        <f>'12U COED-7 TEAMS'!A31</f>
        <v>46054</v>
      </c>
      <c r="B575" s="376">
        <f>'12U COED-7 TEAMS'!B31</f>
        <v>0.74305555555555602</v>
      </c>
      <c r="C575" s="377" t="str">
        <f>'12U COED-7 TEAMS'!C31&amp;""</f>
        <v>WOOLLETT FAR RIGHT</v>
      </c>
      <c r="D575" s="377" t="str">
        <f>'12U COED-7 TEAMS'!D31&amp;""</f>
        <v>12C14</v>
      </c>
      <c r="E575" s="377" t="str">
        <f>'12U COED-7 TEAMS'!E31&amp;""</f>
        <v>L#11-LA CITY UNITED</v>
      </c>
      <c r="F575" s="377" t="str">
        <f>'12U COED-7 TEAMS'!F31&amp;""</f>
        <v>15</v>
      </c>
      <c r="G575" s="377" t="str">
        <f>'12U COED-7 TEAMS'!G31&amp;""</f>
        <v>L#12-PALOS VERDES</v>
      </c>
      <c r="H575" s="377" t="str">
        <f>'12U COED-7 TEAMS'!H31&amp;""</f>
        <v>8</v>
      </c>
      <c r="I575" s="377" t="str">
        <f>'12U COED-7 TEAMS'!I31&amp;""</f>
        <v>3rd</v>
      </c>
      <c r="J575" s="377" t="str">
        <f>'12U COED-7 TEAMS'!J31&amp;""</f>
        <v>12U_COED</v>
      </c>
      <c r="K575" s="377" t="str">
        <f t="shared" si="10"/>
        <v>202602011750</v>
      </c>
    </row>
    <row r="576" spans="1:11">
      <c r="A576" s="435">
        <f>'19U BOYS PLATINUM-27 TEAMS'!A91</f>
        <v>46054</v>
      </c>
      <c r="B576" s="436">
        <f>'19U BOYS PLATINUM-27 TEAMS'!B91</f>
        <v>0.75</v>
      </c>
      <c r="C576" s="437" t="str">
        <f>'19U BOYS PLATINUM-27 TEAMS'!C91&amp;""</f>
        <v>EDISON HS</v>
      </c>
      <c r="D576" s="437" t="str">
        <f>'19U BOYS PLATINUM-27 TEAMS'!D91&amp;""</f>
        <v>19Bpt56</v>
      </c>
      <c r="E576" s="438" t="str">
        <f>'19U BOYS PLATINUM-27 TEAMS'!E91&amp;""</f>
        <v>VANGUARD</v>
      </c>
      <c r="F576" s="438" t="str">
        <f>'19U BOYS PLATINUM-27 TEAMS'!F91&amp;""</f>
        <v>19</v>
      </c>
      <c r="G576" s="438" t="str">
        <f>'19U BOYS PLATINUM-27 TEAMS'!G91&amp;""</f>
        <v>TROJAN</v>
      </c>
      <c r="H576" s="438" t="str">
        <f>'19U BOYS PLATINUM-27 TEAMS'!H91&amp;""</f>
        <v>17</v>
      </c>
      <c r="I576" s="437" t="str">
        <f>'19U BOYS PLATINUM-27 TEAMS'!I91&amp;""</f>
        <v>3rd/4thM</v>
      </c>
      <c r="J576" s="438" t="str">
        <f>'19U BOYS PLATINUM-27 TEAMS'!J91&amp;""</f>
        <v>19U_BOYS_PLATINUM</v>
      </c>
      <c r="K576" s="438" t="str">
        <f t="shared" si="10"/>
        <v>202602011800</v>
      </c>
    </row>
    <row r="577" spans="1:11">
      <c r="A577" s="421">
        <f>'16U BOYS PLATINUM-18 TEAMS'!A65</f>
        <v>46054</v>
      </c>
      <c r="B577" s="422">
        <f>'16U BOYS PLATINUM-18 TEAMS'!B65</f>
        <v>0.75</v>
      </c>
      <c r="C577" s="422" t="str">
        <f>'16U BOYS PLATINUM-18 TEAMS'!C65&amp;""</f>
        <v>WESTMINSTER HS</v>
      </c>
      <c r="D577" s="422" t="str">
        <f>'16U BOYS PLATINUM-18 TEAMS'!D65&amp;""</f>
        <v>16Bpt24</v>
      </c>
      <c r="E577" s="423" t="str">
        <f>'16U BOYS PLATINUM-18 TEAMS'!E65&amp;""</f>
        <v>N1(3rdD)-SANTA CRUZ</v>
      </c>
      <c r="F577" s="424" t="str">
        <f>'16U BOYS PLATINUM-18 TEAMS'!F65&amp;""</f>
        <v>8</v>
      </c>
      <c r="G577" s="425" t="str">
        <f>'16U BOYS PLATINUM-18 TEAMS'!G65&amp;""</f>
        <v>N2(3rdE)-TROJAN CARDINAL</v>
      </c>
      <c r="H577" s="424" t="str">
        <f>'16U BOYS PLATINUM-18 TEAMS'!H65&amp;""</f>
        <v>12</v>
      </c>
      <c r="I577" s="425" t="str">
        <f>'16U BOYS PLATINUM-18 TEAMS'!I65&amp;""</f>
        <v>13th-18th</v>
      </c>
      <c r="J577" s="426" t="str">
        <f>'16U BOYS PLATINUM-18 TEAMS'!J65&amp;""</f>
        <v>16U_BOYS_PLATINUM</v>
      </c>
      <c r="K577" s="426" t="str">
        <f t="shared" si="10"/>
        <v>202602011800</v>
      </c>
    </row>
    <row r="578" spans="1:11">
      <c r="A578" s="432">
        <f>'19U BOYS GOLD-16 TEAMS'!A44</f>
        <v>46054</v>
      </c>
      <c r="B578" s="433">
        <f>'19U BOYS GOLD-16 TEAMS'!B44</f>
        <v>0.75</v>
      </c>
      <c r="C578" s="433" t="str">
        <f>'19U BOYS GOLD-16 TEAMS'!C44&amp;""</f>
        <v>WOOLLETT NEAR LEFT</v>
      </c>
      <c r="D578" s="434" t="str">
        <f>'19U BOYS GOLD-16 TEAMS'!D44&amp;""</f>
        <v>19Bau24</v>
      </c>
      <c r="E578" s="434" t="str">
        <f>'19U BOYS GOLD-16 TEAMS'!E44&amp;""</f>
        <v>W#19-LONGHORN</v>
      </c>
      <c r="F578" s="434" t="str">
        <f>'19U BOYS GOLD-16 TEAMS'!F44&amp;""</f>
        <v>12</v>
      </c>
      <c r="G578" s="434" t="str">
        <f>'19U BOYS GOLD-16 TEAMS'!G44&amp;""</f>
        <v>W#20-MISSON WPC</v>
      </c>
      <c r="H578" s="434" t="str">
        <f>'19U BOYS GOLD-16 TEAMS'!H44&amp;""</f>
        <v>9</v>
      </c>
      <c r="I578" s="434" t="str">
        <f>'19U BOYS GOLD-16 TEAMS'!I44&amp;""</f>
        <v>1st</v>
      </c>
      <c r="J578" s="434" t="str">
        <f>'19U BOYS GOLD-16 TEAMS'!J44&amp;""</f>
        <v>19U_BOYS_GOLD</v>
      </c>
      <c r="K578" s="434" t="str">
        <f t="shared" si="10"/>
        <v>202602011800</v>
      </c>
    </row>
    <row r="579" spans="1:11">
      <c r="A579" s="432">
        <f>'19U BOYS GOLD-16 TEAMS'!A43</f>
        <v>46054</v>
      </c>
      <c r="B579" s="433">
        <f>'19U BOYS GOLD-16 TEAMS'!B43</f>
        <v>0.75</v>
      </c>
      <c r="C579" s="433" t="str">
        <f>'19U BOYS GOLD-16 TEAMS'!C43&amp;""</f>
        <v>WOOLLETT NEAR RIGHT</v>
      </c>
      <c r="D579" s="434" t="str">
        <f>'19U BOYS GOLD-16 TEAMS'!D43&amp;""</f>
        <v>19Bau23</v>
      </c>
      <c r="E579" s="434" t="str">
        <f>'19U BOYS GOLD-16 TEAMS'!E43&amp;""</f>
        <v>L#19-HIELAND</v>
      </c>
      <c r="F579" s="434" t="str">
        <f>'19U BOYS GOLD-16 TEAMS'!F43&amp;""</f>
        <v>9</v>
      </c>
      <c r="G579" s="434" t="str">
        <f>'19U BOYS GOLD-16 TEAMS'!G43&amp;""</f>
        <v>L#20-ORANGE COUNTY WPC BLUE</v>
      </c>
      <c r="H579" s="434" t="str">
        <f>'19U BOYS GOLD-16 TEAMS'!H43&amp;""</f>
        <v>10</v>
      </c>
      <c r="I579" s="434" t="str">
        <f>'19U BOYS GOLD-16 TEAMS'!I43&amp;""</f>
        <v>3rd</v>
      </c>
      <c r="J579" s="434" t="str">
        <f>'19U BOYS GOLD-16 TEAMS'!J43&amp;""</f>
        <v>19U_BOYS_GOLD</v>
      </c>
      <c r="K579" s="434" t="str">
        <f t="shared" si="10"/>
        <v>202602011800</v>
      </c>
    </row>
    <row r="580" spans="1:11">
      <c r="A580" s="435">
        <f>'19U BOYS PLATINUM-27 TEAMS'!A81</f>
        <v>46054</v>
      </c>
      <c r="B580" s="436">
        <f>'19U BOYS PLATINUM-27 TEAMS'!B81</f>
        <v>0.75</v>
      </c>
      <c r="C580" s="437" t="str">
        <f>'19U BOYS PLATINUM-27 TEAMS'!C81&amp;""</f>
        <v>YORBA LINDA HS</v>
      </c>
      <c r="D580" s="437" t="str">
        <f>'19U BOYS PLATINUM-27 TEAMS'!D81&amp;""</f>
        <v>19Bpt47</v>
      </c>
      <c r="E580" s="438" t="str">
        <f>'19U BOYS PLATINUM-27 TEAMS'!E81&amp;""</f>
        <v>L#40-FOOTHILL BLACK</v>
      </c>
      <c r="F580" s="438" t="str">
        <f>'19U BOYS PLATINUM-27 TEAMS'!F81&amp;""</f>
        <v>9</v>
      </c>
      <c r="G580" s="438" t="str">
        <f>'19U BOYS PLATINUM-27 TEAMS'!G81&amp;""</f>
        <v>L#41-SUPREME</v>
      </c>
      <c r="H580" s="438" t="str">
        <f>'19U BOYS PLATINUM-27 TEAMS'!H81&amp;""</f>
        <v>14</v>
      </c>
      <c r="I580" s="437" t="str">
        <f>'19U BOYS PLATINUM-27 TEAMS'!I81&amp;""</f>
        <v>3rd/4thP</v>
      </c>
      <c r="J580" s="438" t="str">
        <f>'19U BOYS PLATINUM-27 TEAMS'!J81&amp;""</f>
        <v>19U_BOYS_PLATINUM</v>
      </c>
      <c r="K580" s="438" t="str">
        <f t="shared" si="10"/>
        <v>202602011800</v>
      </c>
    </row>
  </sheetData>
  <sortState xmlns:xlrd2="http://schemas.microsoft.com/office/spreadsheetml/2017/richdata2" ref="A1:K580">
    <sortCondition ref="A2:A580"/>
    <sortCondition ref="B2:B580"/>
    <sortCondition ref="C2:C580"/>
    <sortCondition ref="D2:D580"/>
  </sortState>
  <pageMargins left="0.7" right="0.7" top="0.75" bottom="0.75" header="0.3" footer="0.3"/>
  <pageSetup scale="51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D0A26-5498-4C8F-B2A5-B1D963826113}">
  <dimension ref="A1:AM65"/>
  <sheetViews>
    <sheetView tabSelected="1" topLeftCell="AB1" workbookViewId="0">
      <selection activeCell="AC44" sqref="AC44"/>
    </sheetView>
  </sheetViews>
  <sheetFormatPr defaultRowHeight="18"/>
  <cols>
    <col min="1" max="1" width="33.28515625" style="14" customWidth="1"/>
    <col min="2" max="2" width="39.7109375" style="14" customWidth="1"/>
    <col min="3" max="3" width="43.5703125" style="14" customWidth="1"/>
    <col min="4" max="4" width="44.85546875" style="14" customWidth="1"/>
    <col min="5" max="5" width="5.7109375" style="14" customWidth="1"/>
    <col min="6" max="6" width="13.140625" style="14" customWidth="1"/>
    <col min="7" max="7" width="41.85546875" style="14" customWidth="1"/>
    <col min="8" max="8" width="45.28515625" style="14" customWidth="1"/>
    <col min="9" max="9" width="41" style="14" customWidth="1"/>
    <col min="10" max="10" width="45.85546875" style="14" customWidth="1"/>
    <col min="11" max="11" width="42.85546875" style="14" customWidth="1"/>
    <col min="12" max="12" width="34.85546875" style="14" customWidth="1"/>
    <col min="13" max="13" width="31.42578125" style="14" bestFit="1" customWidth="1"/>
    <col min="14" max="14" width="41.42578125" style="14" customWidth="1"/>
    <col min="15" max="15" width="40.85546875" style="14" customWidth="1"/>
    <col min="16" max="16" width="39" style="14" bestFit="1" customWidth="1"/>
    <col min="17" max="17" width="42.42578125" style="14" customWidth="1"/>
    <col min="18" max="18" width="3.85546875" style="14" customWidth="1"/>
    <col min="19" max="19" width="14.28515625" style="21" customWidth="1"/>
    <col min="20" max="20" width="39.140625" style="14" customWidth="1"/>
    <col min="21" max="21" width="5" style="14" customWidth="1"/>
    <col min="22" max="22" width="16.140625" style="21" customWidth="1"/>
    <col min="23" max="23" width="43.7109375" style="14" customWidth="1"/>
    <col min="24" max="24" width="42.28515625" style="14" customWidth="1"/>
    <col min="25" max="25" width="40.7109375" style="14" customWidth="1"/>
    <col min="26" max="26" width="38.42578125" style="14" customWidth="1"/>
    <col min="27" max="27" width="38.7109375" style="14" customWidth="1"/>
    <col min="28" max="28" width="34.28515625" style="14" customWidth="1"/>
    <col min="29" max="29" width="39.7109375" style="14" customWidth="1"/>
    <col min="30" max="30" width="44.42578125" style="14" customWidth="1"/>
    <col min="31" max="31" width="35.140625" style="14" customWidth="1"/>
    <col min="32" max="32" width="7.42578125" style="14" customWidth="1"/>
    <col min="33" max="33" width="13.140625" style="21" customWidth="1"/>
    <col min="34" max="34" width="42.7109375" style="14" customWidth="1"/>
    <col min="35" max="35" width="6.7109375" style="14" customWidth="1"/>
    <col min="36" max="36" width="25.42578125" style="14" customWidth="1"/>
    <col min="37" max="16384" width="9.140625" style="14"/>
  </cols>
  <sheetData>
    <row r="1" spans="1:36">
      <c r="A1" s="14" t="s">
        <v>1186</v>
      </c>
    </row>
    <row r="2" spans="1:36">
      <c r="A2" s="14" t="s">
        <v>1187</v>
      </c>
      <c r="J2" s="7" t="s">
        <v>1188</v>
      </c>
      <c r="Z2" s="7" t="s">
        <v>1189</v>
      </c>
      <c r="AH2" s="7" t="s">
        <v>1190</v>
      </c>
    </row>
    <row r="3" spans="1:36">
      <c r="A3" s="14" t="s">
        <v>1191</v>
      </c>
      <c r="B3" s="18" t="s">
        <v>1192</v>
      </c>
      <c r="C3" s="18" t="s">
        <v>1192</v>
      </c>
      <c r="D3" s="18" t="s">
        <v>1192</v>
      </c>
      <c r="G3" s="17" t="s">
        <v>1193</v>
      </c>
      <c r="H3" s="17" t="s">
        <v>1193</v>
      </c>
      <c r="I3" s="17" t="s">
        <v>1193</v>
      </c>
      <c r="J3" s="17" t="s">
        <v>1193</v>
      </c>
      <c r="K3" s="19" t="s">
        <v>1194</v>
      </c>
      <c r="L3" s="19" t="s">
        <v>1194</v>
      </c>
      <c r="M3" s="19" t="s">
        <v>1194</v>
      </c>
      <c r="N3" s="19" t="s">
        <v>1194</v>
      </c>
      <c r="O3" s="19" t="s">
        <v>1194</v>
      </c>
      <c r="P3" s="19" t="s">
        <v>1194</v>
      </c>
      <c r="Q3" s="19" t="s">
        <v>1194</v>
      </c>
      <c r="S3" s="147"/>
      <c r="T3" s="19" t="s">
        <v>1194</v>
      </c>
      <c r="U3" s="19"/>
      <c r="V3" s="147"/>
      <c r="W3" s="20" t="s">
        <v>1195</v>
      </c>
      <c r="X3" s="20" t="s">
        <v>1195</v>
      </c>
      <c r="Y3" s="20" t="s">
        <v>1195</v>
      </c>
      <c r="Z3" s="20" t="s">
        <v>1195</v>
      </c>
      <c r="AA3" s="20" t="s">
        <v>1195</v>
      </c>
      <c r="AB3" s="20" t="s">
        <v>1195</v>
      </c>
      <c r="AC3" s="20" t="s">
        <v>1195</v>
      </c>
      <c r="AD3" s="20" t="s">
        <v>1195</v>
      </c>
      <c r="AE3" s="20" t="s">
        <v>1195</v>
      </c>
      <c r="AG3" s="22"/>
      <c r="AH3" s="20" t="s">
        <v>1195</v>
      </c>
      <c r="AJ3" s="14" t="s">
        <v>1196</v>
      </c>
    </row>
    <row r="4" spans="1:36">
      <c r="B4" s="14" t="s">
        <v>1197</v>
      </c>
      <c r="C4" s="14" t="s">
        <v>1198</v>
      </c>
      <c r="D4" s="14" t="s">
        <v>1199</v>
      </c>
      <c r="G4" s="14" t="s">
        <v>1200</v>
      </c>
      <c r="H4" s="14" t="s">
        <v>1201</v>
      </c>
      <c r="I4" s="14" t="s">
        <v>1202</v>
      </c>
      <c r="J4" s="14" t="s">
        <v>1203</v>
      </c>
      <c r="K4" s="14" t="s">
        <v>1204</v>
      </c>
      <c r="L4" s="14" t="s">
        <v>1205</v>
      </c>
      <c r="M4" s="14" t="s">
        <v>1206</v>
      </c>
      <c r="N4" s="14" t="s">
        <v>1207</v>
      </c>
      <c r="O4" s="14" t="s">
        <v>1208</v>
      </c>
      <c r="P4" s="14" t="s">
        <v>1209</v>
      </c>
      <c r="Q4" s="14" t="s">
        <v>1210</v>
      </c>
      <c r="T4" s="14" t="s">
        <v>1211</v>
      </c>
      <c r="W4" s="14" t="s">
        <v>1212</v>
      </c>
      <c r="X4" s="14" t="s">
        <v>1213</v>
      </c>
      <c r="Y4" s="14" t="s">
        <v>1214</v>
      </c>
      <c r="Z4" s="14" t="s">
        <v>1215</v>
      </c>
      <c r="AA4" s="14" t="s">
        <v>1216</v>
      </c>
      <c r="AB4" s="14" t="s">
        <v>1217</v>
      </c>
      <c r="AC4" s="14" t="s">
        <v>1218</v>
      </c>
      <c r="AD4" s="14" t="s">
        <v>1219</v>
      </c>
      <c r="AE4" s="14" t="s">
        <v>1220</v>
      </c>
      <c r="AH4" s="14" t="s">
        <v>1221</v>
      </c>
      <c r="AJ4" s="14">
        <f>COUNTA(A4:AH4)</f>
        <v>25</v>
      </c>
    </row>
    <row r="5" spans="1:36">
      <c r="F5" s="16">
        <v>0.29166666666666669</v>
      </c>
      <c r="G5" s="140" t="str">
        <f>'12U GIRLS PLATINUM-12 TEAMS'!D9&amp;"-"&amp;'12U GIRLS PLATINUM-12 TEAMS'!I9&amp;"-"&amp;TEXT('12U GIRLS PLATINUM-12 TEAMS'!B9,"h:mm am/pm")</f>
        <v>12Gpt01-A bracket A1,A3-7:00 AM</v>
      </c>
      <c r="H5" s="139" t="str">
        <f>'12U BOYS PLATINUM-10 TEAMS'!D10&amp;"-"&amp;'12U BOYS PLATINUM-10 TEAMS'!I10&amp;"-"&amp;TEXT('12U BOYS PLATINUM-10 TEAMS'!B10,"h:mm am/pm")</f>
        <v>12Bpt01-A bracket A1,A3-7:00 AM</v>
      </c>
      <c r="I5" s="15"/>
      <c r="J5" s="15"/>
      <c r="K5" s="15"/>
      <c r="L5" s="144" t="str">
        <f>'14U BOYS PLATINUM-20 TEAMS'!D20&amp;"-"&amp;'14U BOYS PLATINUM-20 TEAMS'!I20&amp;"-"&amp;TEXT('14U BOYS PLATINUM-20 TEAMS'!B20,"h:mm am/pm")</f>
        <v>14Bpt12-D bracket-7:00 AM</v>
      </c>
      <c r="M5" s="15"/>
      <c r="N5" s="97" t="str">
        <f>'14U GIRLS PLATINUM-10 TEAMS'!D10&amp;"-"&amp;'14U GIRLS PLATINUM-10 TEAMS'!I10&amp;"-"&amp;TEXT('14U GIRLS PLATINUM-10 TEAMS'!B10,"h:mm am/pm")</f>
        <v>14Gpt01-A bracket A1,A3-7:00 AM</v>
      </c>
      <c r="O5" s="145" t="str">
        <f>'14U GIRLS GOLD-14 TEAMS'!D10&amp;"-"&amp;'14U GIRLS GOLD-14 TEAMS'!I10&amp;"-"&amp;TEXT('14U GIRLS GOLD-14 TEAMS'!B10,"h:mm am/pm")</f>
        <v>14Gau12-A bracket A1,A2-7:00 AM</v>
      </c>
      <c r="P5" s="145" t="str">
        <f>'14U GIRLS GOLD-14 TEAMS'!D11&amp;"-"&amp;'14U GIRLS GOLD-14 TEAMS'!I11&amp;"-"&amp;TEXT('14U GIRLS GOLD-14 TEAMS'!B11,"h:mm am/pm")</f>
        <v>14Gau03-W/L D1/D4-7:00 AM</v>
      </c>
      <c r="Q5" s="15"/>
      <c r="S5" s="23">
        <v>0.29166666666666669</v>
      </c>
      <c r="T5" s="98" t="str">
        <f>'14U BOYS GOLD-26 TEAMS'!D40&amp;"-"&amp;'14U BOYS GOLD-26 TEAMS'!I40&amp;"-"&amp;TEXT('14U BOYS GOLD-26 TEAMS'!B40,"h:mm am/pm")</f>
        <v>14Bau15-W/L H1/H4-7:00 AM</v>
      </c>
      <c r="V5" s="23">
        <v>0.29166666666666669</v>
      </c>
      <c r="W5" s="109" t="str">
        <f>'19U BOYS PLATINUM-27 TEAMS'!D28&amp;"-"&amp;'19U BOYS PLATINUM-27 TEAMS'!I28&amp;"-"&amp;TEXT('19U BOYS PLATINUM-27 TEAMS'!B28,"h:mm am/pm")</f>
        <v>19Bpt02-W/L D1/D4-7:00 AM</v>
      </c>
      <c r="X5" s="109" t="str">
        <f>'19U BOYS PLATINUM-27 TEAMS'!D43&amp;"-"&amp;'19U BOYS PLATINUM-27 TEAMS'!I43&amp;"-"&amp;TEXT('19U BOYS PLATINUM-27 TEAMS'!B43,"h:mm am/pm")</f>
        <v>19Bpt15-W/L G2/G3-7:00 AM</v>
      </c>
      <c r="Y5" s="109" t="str">
        <f>'19U BOYS PLATINUM-27 TEAMS'!D27&amp;"-"&amp;'19U BOYS PLATINUM-27 TEAMS'!I27&amp;"-"&amp;TEXT('19U BOYS PLATINUM-27 TEAMS'!B27,"h:mm am/pm")</f>
        <v>19Bpt01-A bracket A1,A3-7:00 AM</v>
      </c>
      <c r="Z5" s="15"/>
      <c r="AA5" s="154" t="str">
        <f>'16U BOYS SILVER-20 TEAMS'!D35&amp;"-"&amp;'16U BOYS SILVER-20 TEAMS'!I35&amp;"-"&amp;TEXT('16U BOYS SILVER-20 TEAMS'!B35,"h:mm am/pm")</f>
        <v>16Bag12-D bracket-7:00 AM</v>
      </c>
      <c r="AB5" s="151" t="str">
        <f>'16U BOYS GOLD-19 TEAMS'!D24&amp;"-"&amp;'16U BOYS GOLD-19 TEAMS'!I24&amp;"-"&amp;TEXT('16U BOYS GOLD-19 TEAMS'!B24,"h:mm am/pm")</f>
        <v>16Bau01-A bracket-7:00 AM</v>
      </c>
      <c r="AC5" s="152" t="str">
        <f>'16U BOYS GOLD-19 TEAMS'!D35&amp;"-"&amp;'16U BOYS GOLD-19 TEAMS'!I35&amp;"-"&amp;TEXT('16U BOYS GOLD-19 TEAMS'!B35,"h:mm am/pm")</f>
        <v>16Bau10-D bracket-7:00 AM</v>
      </c>
      <c r="AD5" s="154" t="str">
        <f>'16U BOYS SILVER-20 TEAMS'!D20&amp;"-"&amp;'16U BOYS SILVER-20 TEAMS'!I20&amp;"-"&amp;TEXT('16U BOYS SILVER-20 TEAMS'!B20,"h:mm am/pm")</f>
        <v>16Bag03-A bracket-7:00 AM</v>
      </c>
      <c r="AE5" s="15"/>
      <c r="AH5" s="15"/>
    </row>
    <row r="6" spans="1:36">
      <c r="A6" s="16">
        <v>0.33333333333333331</v>
      </c>
      <c r="B6" s="111" t="str">
        <f>'10U COED PLATINUM-8 TEAMS'!D10&amp;"-"&amp;'10U COED PLATINUM-8 TEAMS'!I10&amp;"-"&amp;TEXT('10U COED PLATINUM-8 TEAMS'!B10,"h:mm am/pm")</f>
        <v>10Cpt01-bracket, B1/B3-8:00 AM</v>
      </c>
      <c r="C6" s="112" t="str">
        <f>'10U BOYS-8 TEAMS'!D10&amp;"-"&amp;'10U BOYS-8 TEAMS'!I10&amp;"-"&amp;TEXT('10U BOYS-8 TEAMS'!B10,"h:mm am/pm")</f>
        <v>10B01-bracket, B1/B3-8:00 AM</v>
      </c>
      <c r="D6" s="110" t="str">
        <f>'10U COED GOLD-16 TEAMS CUSTOM'!D10&amp;"-"&amp;'10U COED GOLD-16 TEAMS CUSTOM'!I10&amp;"-"&amp;TEXT('10U COED GOLD-16 TEAMS CUSTOM'!B10,"h:mm am/pm")</f>
        <v>10Cau01-D bracket D1,D3-8:00 AM</v>
      </c>
      <c r="F6" s="16">
        <v>0.3263888888888889</v>
      </c>
      <c r="G6" s="140" t="str">
        <f>'12U GIRLS PLATINUM-12 TEAMS'!D10&amp;"-"&amp;'12U GIRLS PLATINUM-12 TEAMS'!I10&amp;"-"&amp;TEXT('12U GIRLS PLATINUM-12 TEAMS'!B10,"h:mm am/pm")</f>
        <v>12Gpt02-D bracket D1,D3-7:50 AM</v>
      </c>
      <c r="H6" s="139" t="str">
        <f>'12U BOYS PLATINUM-10 TEAMS'!D11&amp;"-"&amp;'12U BOYS PLATINUM-10 TEAMS'!I11&amp;"-"&amp;TEXT('12U BOYS PLATINUM-10 TEAMS'!B11,"h:mm am/pm")</f>
        <v>12Bpt02-B bracket B1,B2-7:50 AM</v>
      </c>
      <c r="I6" s="141" t="str">
        <f>'12U COED-7 TEAMS'!D10&amp;"-"&amp;'12U COED-7 TEAMS'!I10&amp;"-"&amp;TEXT('12U COED-7 TEAMS'!B10,"h:mm am/pm")</f>
        <v>12C01-A bracket A1,A3-7:50 AM</v>
      </c>
      <c r="J6" s="15"/>
      <c r="K6" s="98" t="str">
        <f>'14U BOYS GOLD-26 TEAMS'!D26&amp;"-"&amp;'14U BOYS GOLD-26 TEAMS'!I26&amp;"-"&amp;TEXT('14U BOYS GOLD-26 TEAMS'!B26,"h:mm am/pm")</f>
        <v>14Bau01-A bracket A1,A2-7:50 AM</v>
      </c>
      <c r="L6" s="144" t="str">
        <f>'14U BOYS PLATINUM-20 TEAMS'!D21&amp;"-"&amp;'14U BOYS PLATINUM-20 TEAMS'!I21&amp;"-"&amp;TEXT('14U BOYS PLATINUM-20 TEAMS'!B21,"h:mm am/pm")</f>
        <v>14Bpt13-B bracket-7:50 AM</v>
      </c>
      <c r="M6" s="15"/>
      <c r="N6" s="97" t="str">
        <f>'14U GIRLS PLATINUM-10 TEAMS'!D11&amp;"-"&amp;'14U GIRLS PLATINUM-10 TEAMS'!I11&amp;"-"&amp;TEXT('14U GIRLS PLATINUM-10 TEAMS'!B11,"h:mm am/pm")</f>
        <v>14Gpt02-B bracket B1,B3-7:50 AM</v>
      </c>
      <c r="O6" s="146" t="str">
        <f>'14U BOYS SILVER-18 TEAMS'!D20&amp;"-"&amp;'14U BOYS SILVER-18 TEAMS'!I20&amp;"-"&amp;TEXT('14U BOYS SILVER-18 TEAMS'!B20,"h:mm am/pm")</f>
        <v>14Bag01-A bracket A1,A3-7:50 AM</v>
      </c>
      <c r="P6" s="145" t="str">
        <f>'14U GIRLS GOLD-14 TEAMS'!D12&amp;"-"&amp;'14U GIRLS GOLD-14 TEAMS'!I12&amp;"-"&amp;TEXT('14U GIRLS GOLD-14 TEAMS'!B12,"h:mm am/pm")</f>
        <v>14Gau04-W/L D2/D3-7:50 AM</v>
      </c>
      <c r="Q6" s="98" t="str">
        <f>'14U BOYS GOLD-26 TEAMS'!D42&amp;"-"&amp;'14U BOYS GOLD-26 TEAMS'!I42&amp;"-"&amp;TEXT('14U BOYS GOLD-26 TEAMS'!B42,"h:mm am/pm")</f>
        <v>14Bau14-G bracket G1,G3-7:50 AM</v>
      </c>
      <c r="S6" s="23">
        <v>0.3263888888888889</v>
      </c>
      <c r="T6" s="98" t="str">
        <f>'14U BOYS GOLD-26 TEAMS'!D41&amp;"-"&amp;'14U BOYS GOLD-26 TEAMS'!I41&amp;"-"&amp;TEXT('14U BOYS GOLD-26 TEAMS'!B41,"h:mm am/pm")</f>
        <v>14Bau16-W/L H2/H3-7:50 AM</v>
      </c>
      <c r="V6" s="23">
        <v>0.33333333333333298</v>
      </c>
      <c r="W6" s="109" t="str">
        <f>'19U BOYS PLATINUM-27 TEAMS'!D29&amp;"-"&amp;'19U BOYS PLATINUM-27 TEAMS'!I29&amp;"-"&amp;TEXT('19U BOYS PLATINUM-27 TEAMS'!B29,"h:mm am/pm")</f>
        <v>19Bpt14-W/L G1/G4-8:00 AM</v>
      </c>
      <c r="X6" s="109" t="str">
        <f>'19U BOYS PLATINUM-27 TEAMS'!D44&amp;"-"&amp;'19U BOYS PLATINUM-27 TEAMS'!I44&amp;"-"&amp;TEXT('19U BOYS PLATINUM-27 TEAMS'!B44,"h:mm am/pm")</f>
        <v>19Bpt16-W/L H-8:00 AM</v>
      </c>
      <c r="Y6" s="107" t="str">
        <f>'19U BOYS GOLD-16 TEAMS'!D10&amp;"-"&amp;'19U BOYS GOLD-16 TEAMS'!I10&amp;"-"&amp;TEXT('19U BOYS GOLD-16 TEAMS'!B10,"h:mm am/pm")</f>
        <v>19Bau01-W/L A2/A3-8:00 AM</v>
      </c>
      <c r="Z6" s="15"/>
      <c r="AA6" s="154" t="str">
        <f>'16U BOYS SILVER-20 TEAMS'!D36&amp;"-"&amp;'16U BOYS SILVER-20 TEAMS'!I36&amp;"-"&amp;TEXT('16U BOYS SILVER-20 TEAMS'!B36,"h:mm am/pm")</f>
        <v>16Bag13-B bracket-8:00 AM</v>
      </c>
      <c r="AB6" s="151" t="str">
        <f>'16U BOYS GOLD-19 TEAMS'!D25&amp;"-"&amp;'16U BOYS GOLD-19 TEAMS'!I25&amp;"-"&amp;TEXT('16U BOYS GOLD-19 TEAMS'!B25,"h:mm am/pm")</f>
        <v>16Bau02-B bracket-8:00 AM</v>
      </c>
      <c r="AC6" s="152" t="str">
        <f>'16U BOYS GOLD-19 TEAMS'!D36&amp;"-"&amp;'16U BOYS GOLD-19 TEAMS'!I36&amp;"-"&amp;TEXT('16U BOYS GOLD-19 TEAMS'!B36,"h:mm am/pm")</f>
        <v>16Bau11-E bracket-8:00 AM</v>
      </c>
      <c r="AD6" s="149" t="str">
        <f>'16U BOYS PLATINUM-18 TEAMS'!D20&amp;"-"&amp;'16U BOYS PLATINUM-18 TEAMS'!I20&amp;"-"&amp;TEXT('16U BOYS PLATINUM-18 TEAMS'!B20,"h:mm am/pm")</f>
        <v>16Bpt01-A bracket A1,A3-8:00 AM</v>
      </c>
      <c r="AE6" s="154" t="str">
        <f>'16U BOYS SILVER-20 TEAMS'!D21&amp;"-"&amp;'16U BOYS SILVER-20 TEAMS'!I21&amp;"-"&amp;TEXT('16U BOYS SILVER-20 TEAMS'!B21,"h:mm am/pm")</f>
        <v>16Bag07-W/L F-8:00 AM</v>
      </c>
      <c r="AH6" s="15"/>
    </row>
    <row r="7" spans="1:36">
      <c r="A7" s="16">
        <v>0.36458333333333331</v>
      </c>
      <c r="B7" s="111" t="str">
        <f>'10U COED PLATINUM-8 TEAMS'!D11&amp;"-"&amp;'10U COED PLATINUM-8 TEAMS'!I11&amp;"-"&amp;TEXT('10U COED PLATINUM-8 TEAMS'!B11,"h:mm am/pm")</f>
        <v>10Cpt02-bracket, B2/B4-8:45 AM</v>
      </c>
      <c r="C7" s="112" t="str">
        <f>'10U BOYS-8 TEAMS'!D11&amp;"-"&amp;'10U BOYS-8 TEAMS'!I11&amp;"-"&amp;TEXT('10U BOYS-8 TEAMS'!B11,"h:mm am/pm")</f>
        <v>10B02-bracket, B2/B4-8:45 AM</v>
      </c>
      <c r="D7" s="110" t="str">
        <f>'10U COED GOLD-16 TEAMS CUSTOM'!D11&amp;"-"&amp;'10U COED GOLD-16 TEAMS CUSTOM'!I11&amp;"-"&amp;TEXT('10U COED GOLD-16 TEAMS CUSTOM'!B11,"h:mm am/pm")</f>
        <v>10Cau02-A bracket A1,A3-8:45 AM</v>
      </c>
      <c r="F7" s="16">
        <v>0.36111111111111099</v>
      </c>
      <c r="G7" s="310" t="str">
        <f>'12U BOYS GOLD-24 TEAMS'!D28&amp;"-"&amp;'12U BOYS GOLD-24 TEAMS'!I28&amp;"-"&amp;TEXT('12U BOYS GOLD-24 TEAMS'!B28,"h:mm am/pm")</f>
        <v>12Bau04A-G bracket G1,G3-8:40 AM</v>
      </c>
      <c r="H7" s="139" t="str">
        <f>'12U BOYS PLATINUM-10 TEAMS'!D12&amp;"-"&amp;'12U BOYS PLATINUM-10 TEAMS'!I12&amp;"-"&amp;TEXT('12U BOYS PLATINUM-10 TEAMS'!B12,"h:mm am/pm")</f>
        <v>12Bpt03-C bracket C1,C4-8:40 AM</v>
      </c>
      <c r="I7" s="320" t="str">
        <f>'12U BOYS GOLD-24 TEAMS'!D14&amp;"-"&amp;'12U BOYS GOLD-24 TEAMS'!I19&amp;"-"&amp;TEXT('12U BOYS GOLD-24 TEAMS'!B14,"h:mm am/pm")</f>
        <v>12Bau01-A bracket A1,A3-8:40 AM</v>
      </c>
      <c r="J7" s="15"/>
      <c r="K7" s="98" t="str">
        <f>'14U BOYS GOLD-26 TEAMS'!D27&amp;"-"&amp;'14U BOYS GOLD-26 TEAMS'!I27&amp;"-"&amp;TEXT('14U BOYS GOLD-26 TEAMS'!B27,"h:mm am/pm")</f>
        <v>14Bau08-B bracket B1,B3-8:40 AM</v>
      </c>
      <c r="L7" s="144" t="str">
        <f>'14U BOYS PLATINUM-20 TEAMS'!D22&amp;"-"&amp;'14U BOYS PLATINUM-20 TEAMS'!I22&amp;"-"&amp;TEXT('14U BOYS PLATINUM-20 TEAMS'!B22,"h:mm am/pm")</f>
        <v>14Bpt09-A bracket-8:40 AM</v>
      </c>
      <c r="M7" s="15"/>
      <c r="N7" s="97" t="str">
        <f>'14U GIRLS PLATINUM-10 TEAMS'!D12&amp;"-"&amp;'14U GIRLS PLATINUM-10 TEAMS'!I12&amp;"-"&amp;TEXT('14U GIRLS PLATINUM-10 TEAMS'!B12,"h:mm am/pm")</f>
        <v>14Gpt03-C bracket C1,C4-8:40 AM</v>
      </c>
      <c r="O7" s="146" t="str">
        <f>'14U BOYS SILVER-18 TEAMS'!D21&amp;"-"&amp;'14U BOYS SILVER-18 TEAMS'!I21&amp;"-"&amp;TEXT('14U BOYS SILVER-18 TEAMS'!B21,"h:mm am/pm")</f>
        <v>14Bag03-B bracket B1,B3-8:40 AM</v>
      </c>
      <c r="P7" s="145" t="str">
        <f>'14U GIRLS GOLD-14 TEAMS'!D13&amp;"-"&amp;'14U GIRLS GOLD-14 TEAMS'!I13&amp;"-"&amp;TEXT('14U GIRLS GOLD-14 TEAMS'!B13,"h:mm am/pm")</f>
        <v>14Gau09-B bracket B2,B3-8:40 AM</v>
      </c>
      <c r="Q7" s="98" t="str">
        <f>'14U BOYS GOLD-26 TEAMS'!D43&amp;"-"&amp;'14U BOYS GOLD-26 TEAMS'!I43&amp;"-"&amp;TEXT('14U BOYS GOLD-26 TEAMS'!B43,"h:mm am/pm")</f>
        <v>14Bau21-E bracket E1,E3-8:40 AM</v>
      </c>
      <c r="S7" s="23">
        <v>0.36111111111111099</v>
      </c>
      <c r="T7" s="146" t="str">
        <f>'14U BOYS SILVER-18 TEAMS'!D32&amp;"-"&amp;'14U BOYS SILVER-18 TEAMS'!I32&amp;"-"&amp;TEXT('14U BOYS SILVER-18 TEAMS'!B32,"h:mm am/pm")</f>
        <v>14Bag02-D bracket D1,D3-8:40 AM</v>
      </c>
      <c r="V7" s="23">
        <v>0.375</v>
      </c>
      <c r="W7" s="109" t="str">
        <f>'19U BOYS PLATINUM-27 TEAMS'!D30&amp;"-"&amp;'19U BOYS PLATINUM-27 TEAMS'!I30&amp;"-"&amp;TEXT('19U BOYS PLATINUM-27 TEAMS'!B30,"h:mm am/pm")</f>
        <v>19Bpt03-W/L D2/D3-9:00 AM</v>
      </c>
      <c r="X7" s="109" t="str">
        <f>'19U BOYS PLATINUM-27 TEAMS'!D45&amp;"-"&amp;'19U BOYS PLATINUM-27 TEAMS'!I45&amp;"-"&amp;TEXT('19U BOYS PLATINUM-27 TEAMS'!B45,"h:mm am/pm")</f>
        <v>19Bpt17-W/L H-9:00 AM</v>
      </c>
      <c r="Y7" s="107" t="str">
        <f>'19U BOYS GOLD-16 TEAMS'!D11&amp;"-"&amp;'19U BOYS GOLD-16 TEAMS'!I11&amp;"-"&amp;TEXT('19U BOYS GOLD-16 TEAMS'!B11,"h:mm am/pm")</f>
        <v>19Bau02-W/L A1/A4-9:00 AM</v>
      </c>
      <c r="Z7" s="15"/>
      <c r="AA7" s="154" t="str">
        <f>'16U BOYS SILVER-20 TEAMS'!D37&amp;"-"&amp;'16U BOYS SILVER-20 TEAMS'!I37&amp;"-"&amp;TEXT('16U BOYS SILVER-20 TEAMS'!B37,"h:mm am/pm")</f>
        <v>16Bag14-C bracket-9:00 AM</v>
      </c>
      <c r="AB7" s="151" t="str">
        <f>'16U BOYS GOLD-19 TEAMS'!D26&amp;"-"&amp;'16U BOYS GOLD-19 TEAMS'!I26&amp;"-"&amp;TEXT('16U BOYS GOLD-19 TEAMS'!B26,"h:mm am/pm")</f>
        <v>16Bau03-C bracket-9:00 AM</v>
      </c>
      <c r="AC7" s="152" t="str">
        <f>'16U BOYS GOLD-19 TEAMS'!D37&amp;"-"&amp;'16U BOYS GOLD-19 TEAMS'!I37&amp;"-"&amp;TEXT('16U BOYS GOLD-19 TEAMS'!B37,"h:mm am/pm")</f>
        <v>16Bau12-F bracket-9:00 AM</v>
      </c>
      <c r="AD7" s="149" t="str">
        <f>'16U BOYS PLATINUM-18 TEAMS'!D21&amp;"-"&amp;'16U BOYS PLATINUM-18 TEAMS'!I21&amp;"-"&amp;TEXT('16U BOYS PLATINUM-18 TEAMS'!B21,"h:mm am/pm")</f>
        <v>16Bpt03-B bracket B2,B3-9:00 AM</v>
      </c>
      <c r="AE7" s="154" t="str">
        <f>'16U BOYS SILVER-20 TEAMS'!D22&amp;"-"&amp;'16U BOYS SILVER-20 TEAMS'!I22&amp;"-"&amp;TEXT('16U BOYS SILVER-20 TEAMS'!B22,"h:mm am/pm")</f>
        <v>16Bag08-W/L F-9:00 AM</v>
      </c>
      <c r="AH7" s="15"/>
    </row>
    <row r="8" spans="1:36">
      <c r="A8" s="16">
        <v>0.39583333333333298</v>
      </c>
      <c r="B8" s="111" t="str">
        <f>'10U COED PLATINUM-8 TEAMS'!D12&amp;"-"&amp;'10U COED PLATINUM-8 TEAMS'!I12&amp;"-"&amp;TEXT('10U COED PLATINUM-8 TEAMS'!B12,"h:mm am/pm")</f>
        <v>10Cpt03-bracket, A1/A3-9:30 AM</v>
      </c>
      <c r="C8" s="112" t="str">
        <f>'10U BOYS-8 TEAMS'!D12&amp;"-"&amp;'10U BOYS-8 TEAMS'!I12&amp;"-"&amp;TEXT('10U BOYS-8 TEAMS'!B12,"h:mm am/pm")</f>
        <v>10B03-bracket, A1/A3-9:30 AM</v>
      </c>
      <c r="D8" s="110" t="str">
        <f>'10U COED GOLD-16 TEAMS CUSTOM'!D12&amp;"-"&amp;'10U COED GOLD-16 TEAMS CUSTOM'!I12&amp;"-"&amp;TEXT('10U COED GOLD-16 TEAMS CUSTOM'!B12,"h:mm am/pm")</f>
        <v>10Cau03-B bracket B1,B3-9:30 AM</v>
      </c>
      <c r="F8" s="16">
        <v>0.39583333333333398</v>
      </c>
      <c r="G8" s="140" t="str">
        <f>'12U GIRLS PLATINUM-12 TEAMS'!D12&amp;"-"&amp;'12U GIRLS PLATINUM-12 TEAMS'!I12&amp;"-"&amp;TEXT('12U GIRLS PLATINUM-12 TEAMS'!B12,"h:mm am/pm")</f>
        <v>12Gpt03-B bracket B1,B2-9:30 AM</v>
      </c>
      <c r="H8" s="139" t="str">
        <f>'12U BOYS PLATINUM-10 TEAMS'!D13&amp;"-"&amp;'12U BOYS PLATINUM-10 TEAMS'!I13&amp;"-"&amp;TEXT('12U BOYS PLATINUM-10 TEAMS'!B13,"h:mm am/pm")</f>
        <v>12Bpt04-C bracket C2,C3-9:30 AM</v>
      </c>
      <c r="I8" s="320" t="str">
        <f>'12U BOYS GOLD-24 TEAMS'!D15&amp;"-"&amp;'12U BOYS GOLD-24 TEAMS'!I15&amp;"-"&amp;TEXT('12U BOYS GOLD-24 TEAMS'!B15,"h:mm am/pm")</f>
        <v>12Bau02-C bracket C1,C3-9:30 AM</v>
      </c>
      <c r="J8" s="15"/>
      <c r="K8" s="98" t="str">
        <f>'14U BOYS GOLD-26 TEAMS'!D28&amp;"-"&amp;'14U BOYS GOLD-26 TEAMS'!I28&amp;"-"&amp;TEXT('14U BOYS GOLD-26 TEAMS'!B28,"h:mm am/pm")</f>
        <v>14Bau09-C bracket C1,C3-9:30 AM</v>
      </c>
      <c r="L8" s="144" t="str">
        <f>'14U BOYS PLATINUM-20 TEAMS'!D23&amp;"-"&amp;'14U BOYS PLATINUM-20 TEAMS'!I23&amp;"-"&amp;TEXT('14U BOYS PLATINUM-20 TEAMS'!B23,"h:mm am/pm")</f>
        <v>14Bpt07-W/L F-9:30 AM</v>
      </c>
      <c r="M8" s="15"/>
      <c r="N8" s="97" t="str">
        <f>'14U GIRLS PLATINUM-10 TEAMS'!D13&amp;"-"&amp;'14U GIRLS PLATINUM-10 TEAMS'!I13&amp;"-"&amp;TEXT('14U GIRLS PLATINUM-10 TEAMS'!B13,"h:mm am/pm")</f>
        <v>14Gpt04-A bracket A2,A3-9:30 AM</v>
      </c>
      <c r="O8" s="146" t="str">
        <f>'14U BOYS SILVER-18 TEAMS'!D22&amp;"-"&amp;'14U BOYS SILVER-18 TEAMS'!I22&amp;"-"&amp;TEXT('14U BOYS SILVER-18 TEAMS'!B22,"h:mm am/pm")</f>
        <v>14Bag05-C bracket C1,C3-9:30 AM</v>
      </c>
      <c r="P8" s="145" t="str">
        <f>'14U GIRLS GOLD-14 TEAMS'!D14&amp;"-"&amp;'14U GIRLS GOLD-14 TEAMS'!I14&amp;"-"&amp;TEXT('14U GIRLS GOLD-14 TEAMS'!B14,"h:mm am/pm")</f>
        <v>14Gau01-W/L C2/C3-9:30 AM</v>
      </c>
      <c r="Q8" s="98" t="str">
        <f>'14U BOYS GOLD-26 TEAMS'!D44&amp;"-"&amp;'14U BOYS GOLD-26 TEAMS'!I44&amp;"-"&amp;TEXT('14U BOYS GOLD-26 TEAMS'!B44,"h:mm am/pm")</f>
        <v>14Bau22-F bracket F2,F3-9:30 AM</v>
      </c>
      <c r="S8" s="23">
        <v>0.39583333333333398</v>
      </c>
      <c r="T8" s="146" t="str">
        <f>'14U BOYS SILVER-18 TEAMS'!D33&amp;"-"&amp;'14U BOYS SILVER-18 TEAMS'!I33&amp;"-"&amp;TEXT('14U BOYS SILVER-18 TEAMS'!B33,"h:mm am/pm")</f>
        <v>14Bag04-E bracket E1,E3-9:30 AM</v>
      </c>
      <c r="V8" s="23">
        <v>0.41666666666666702</v>
      </c>
      <c r="W8" s="109" t="str">
        <f>'19U BOYS PLATINUM-27 TEAMS'!D31&amp;"-"&amp;'19U BOYS PLATINUM-27 TEAMS'!I31&amp;"-"&amp;TEXT('19U BOYS PLATINUM-27 TEAMS'!B31,"h:mm am/pm")</f>
        <v>19Bpt04-A bracket A2,A3-10:00 AM</v>
      </c>
      <c r="X8" s="109" t="str">
        <f>'19U BOYS PLATINUM-27 TEAMS'!D46&amp;"-"&amp;'19U BOYS PLATINUM-27 TEAMS'!I46&amp;"-"&amp;TEXT('19U BOYS PLATINUM-27 TEAMS'!B46,"h:mm am/pm")</f>
        <v>19Bpt22-E bracket E1,E3-10:00 AM</v>
      </c>
      <c r="Y8" s="107" t="str">
        <f>'19U BOYS GOLD-16 TEAMS'!D12&amp;"-"&amp;'19U BOYS GOLD-16 TEAMS'!I12&amp;"-"&amp;TEXT('19U BOYS GOLD-16 TEAMS'!B12,"h:mm am/pm")</f>
        <v>19Bau03-W/L C2/C3-10:00 AM</v>
      </c>
      <c r="Z8" s="15"/>
      <c r="AA8" s="154" t="str">
        <f>'16U BOYS SILVER-20 TEAMS'!D38&amp;"-"&amp;'16U BOYS SILVER-20 TEAMS'!I38&amp;"-"&amp;TEXT('16U BOYS SILVER-20 TEAMS'!B38,"h:mm am/pm")</f>
        <v>16Bag15-D bracket-10:00 AM</v>
      </c>
      <c r="AB8" s="151" t="str">
        <f>'16U BOYS GOLD-19 TEAMS'!D27&amp;"-"&amp;'16U BOYS GOLD-19 TEAMS'!I27&amp;"-"&amp;TEXT('16U BOYS GOLD-19 TEAMS'!B27,"h:mm am/pm")</f>
        <v>16Bau04-A bracket-10:00 AM</v>
      </c>
      <c r="AC8" s="152" t="str">
        <f>'16U BOYS GOLD-19 TEAMS'!D38&amp;"-"&amp;'16U BOYS GOLD-19 TEAMS'!I38&amp;"-"&amp;TEXT('16U BOYS GOLD-19 TEAMS'!B38,"h:mm am/pm")</f>
        <v>16Bau13-F bracket-10:00 AM</v>
      </c>
      <c r="AD8" s="154" t="str">
        <f>'16U BOYS SILVER-20 TEAMS'!D23&amp;"-"&amp;'16U BOYS SILVER-20 TEAMS'!I23&amp;"-"&amp;TEXT('16U BOYS SILVER-20 TEAMS'!B23,"h:mm am/pm")</f>
        <v>16Bag06-A bracket-10:00 AM</v>
      </c>
      <c r="AE8" s="154" t="str">
        <f>'16U BOYS SILVER-20 TEAMS'!D24&amp;"-"&amp;'16U BOYS SILVER-20 TEAMS'!I24&amp;"-"&amp;TEXT('16U BOYS SILVER-20 TEAMS'!B24,"h:mm am/pm")</f>
        <v>16Bag01-W/L E-10:00 AM</v>
      </c>
      <c r="AH8" s="15"/>
    </row>
    <row r="9" spans="1:36">
      <c r="A9" s="16">
        <v>0.42708333333333298</v>
      </c>
      <c r="B9" s="111" t="str">
        <f>'10U COED PLATINUM-8 TEAMS'!D13&amp;"-"&amp;'10U COED PLATINUM-8 TEAMS'!I13&amp;"-"&amp;TEXT('10U COED PLATINUM-8 TEAMS'!B13,"h:mm am/pm")</f>
        <v>10Cpt04-bracket, A2/A4-10:15 AM</v>
      </c>
      <c r="C9" s="112" t="str">
        <f>'10U BOYS-8 TEAMS'!D13&amp;"-"&amp;'10U BOYS-8 TEAMS'!I13&amp;"-"&amp;TEXT('10U BOYS-8 TEAMS'!B13,"h:mm am/pm")</f>
        <v>10B04-bracket, A2/A4-10:15 AM</v>
      </c>
      <c r="D9" s="110" t="str">
        <f>'10U COED GOLD-16 TEAMS CUSTOM'!D13&amp;"-"&amp;'10U COED GOLD-16 TEAMS CUSTOM'!I13&amp;"-"&amp;TEXT('10U COED GOLD-16 TEAMS CUSTOM'!B13,"h:mm am/pm")</f>
        <v>10Cau04-C bracket C1,C3-10:15 AM</v>
      </c>
      <c r="F9" s="16">
        <v>0.43055555555555602</v>
      </c>
      <c r="G9" s="140" t="str">
        <f>'12U GIRLS PLATINUM-12 TEAMS'!D13&amp;"-"&amp;'12U GIRLS PLATINUM-12 TEAMS'!I13&amp;"-"&amp;TEXT('12U GIRLS PLATINUM-12 TEAMS'!B13,"h:mm am/pm")</f>
        <v>12Gpt04-C bracket C2,C3-10:20 AM</v>
      </c>
      <c r="H9" s="141" t="str">
        <f>'12U COED-7 TEAMS'!D12&amp;"-"&amp;'12U COED-7 TEAMS'!I12&amp;"-"&amp;TEXT('12U COED-7 TEAMS'!B12,"h:mm am/pm")</f>
        <v>12C02-B bracket B1,B4-10:20 AM</v>
      </c>
      <c r="I9" s="141" t="str">
        <f>'12U COED-7 TEAMS'!D13&amp;"-"&amp;'12U COED-7 TEAMS'!I13&amp;"-"&amp;TEXT('12U COED-7 TEAMS'!B13,"h:mm am/pm")</f>
        <v>12C04-A bracket A1,A2-10:20 AM</v>
      </c>
      <c r="J9" s="15"/>
      <c r="K9" s="98" t="str">
        <f>'14U BOYS GOLD-26 TEAMS'!D29&amp;"-"&amp;'14U BOYS GOLD-26 TEAMS'!I29&amp;"-"&amp;TEXT('14U BOYS GOLD-26 TEAMS'!B29,"h:mm am/pm")</f>
        <v>14Bau02-W/L D1/D4-10:20 AM</v>
      </c>
      <c r="L9" s="144" t="str">
        <f>'14U BOYS PLATINUM-20 TEAMS'!D24&amp;"-"&amp;'14U BOYS PLATINUM-20 TEAMS'!I24&amp;"-"&amp;TEXT('14U BOYS PLATINUM-20 TEAMS'!B24,"h:mm am/pm")</f>
        <v>14Bpt08-W/L F-10:20 AM</v>
      </c>
      <c r="M9" s="15"/>
      <c r="N9" s="97" t="str">
        <f>'14U GIRLS PLATINUM-10 TEAMS'!D14&amp;"-"&amp;'14U GIRLS PLATINUM-10 TEAMS'!I14&amp;"-"&amp;TEXT('14U GIRLS PLATINUM-10 TEAMS'!B14,"h:mm am/pm")</f>
        <v>14Gpt05-B bracket B2,B3-10:20 AM</v>
      </c>
      <c r="O9" s="145" t="str">
        <f>'14U GIRLS GOLD-14 TEAMS'!D16&amp;"-"&amp;'14U GIRLS GOLD-14 TEAMS'!I16&amp;"-"&amp;TEXT('14U GIRLS GOLD-14 TEAMS'!B16,"h:mm am/pm")</f>
        <v>14Gau10-A bracket A2,A3-10:20 AM</v>
      </c>
      <c r="P9" s="145" t="str">
        <f>'14U GIRLS GOLD-14 TEAMS'!D15&amp;"-"&amp;'14U GIRLS GOLD-14 TEAMS'!I15&amp;"-"&amp;TEXT('14U GIRLS GOLD-14 TEAMS'!B15,"h:mm am/pm")</f>
        <v>14Gau02-W/L C1/C4-10:20 AM</v>
      </c>
      <c r="Q9" s="98" t="str">
        <f>'14U BOYS GOLD-26 TEAMS'!D45&amp;"-"&amp;'14U BOYS GOLD-26 TEAMS'!I45&amp;"-"&amp;TEXT('14U BOYS GOLD-26 TEAMS'!B45,"h:mm am/pm")</f>
        <v>14Bau18-3rd/4th H-10:20 AM</v>
      </c>
      <c r="S9" s="23">
        <v>0.43055555555555602</v>
      </c>
      <c r="T9" s="146" t="str">
        <f>'14U BOYS SILVER-18 TEAMS'!D34&amp;"-"&amp;'14U BOYS SILVER-18 TEAMS'!I34&amp;"-"&amp;TEXT('14U BOYS SILVER-18 TEAMS'!B34,"h:mm am/pm")</f>
        <v>14Bag06-F bracket F1,F3-10:20 AM</v>
      </c>
      <c r="V9" s="23">
        <v>0.45833333333333298</v>
      </c>
      <c r="W9" s="109" t="str">
        <f>'19U BOYS PLATINUM-27 TEAMS'!D32&amp;"-"&amp;'19U BOYS PLATINUM-27 TEAMS'!I32&amp;"-"&amp;TEXT('19U BOYS PLATINUM-27 TEAMS'!B32,"h:mm am/pm")</f>
        <v>19Bpt08-B bracket B1,B3-11:00 AM</v>
      </c>
      <c r="X9" s="109" t="str">
        <f>'19U BOYS PLATINUM-27 TEAMS'!D47&amp;"-"&amp;'19U BOYS PLATINUM-27 TEAMS'!I47&amp;"-"&amp;TEXT('19U BOYS PLATINUM-27 TEAMS'!B47,"h:mm am/pm")</f>
        <v>19Bpt23-F bracket F1,F3-11:00 AM</v>
      </c>
      <c r="Y9" s="107" t="str">
        <f>'19U BOYS GOLD-16 TEAMS'!D13&amp;"-"&amp;'19U BOYS GOLD-16 TEAMS'!I13&amp;"-"&amp;TEXT('19U BOYS GOLD-16 TEAMS'!B13,"h:mm am/pm")</f>
        <v>19Bau04-W/L C1/C4-11:00 AM</v>
      </c>
      <c r="Z9" s="15"/>
      <c r="AA9" s="149" t="str">
        <f>'16U BOYS PLATINUM-18 TEAMS'!D32&amp;"-"&amp;'16U BOYS PLATINUM-18 TEAMS'!I32&amp;"-"&amp;TEXT('16U BOYS PLATINUM-18 TEAMS'!B32,"h:mm am/pm")</f>
        <v>16Bpt02-D bracket D1,D3-11:00 AM</v>
      </c>
      <c r="AB9" s="151" t="str">
        <f>'16U BOYS GOLD-19 TEAMS'!D28&amp;"-"&amp;'16U BOYS GOLD-19 TEAMS'!I28&amp;"-"&amp;TEXT('16U BOYS GOLD-19 TEAMS'!B28,"h:mm am/pm")</f>
        <v>16Bau05-B bracket-11:00 AM</v>
      </c>
      <c r="AC9" s="152" t="str">
        <f>'16U BOYS GOLD-19 TEAMS'!D39&amp;"-"&amp;'16U BOYS GOLD-19 TEAMS'!I39&amp;"-"&amp;TEXT('16U BOYS GOLD-19 TEAMS'!B39,"h:mm am/pm")</f>
        <v>16Bau14-D bracket-11:00 AM</v>
      </c>
      <c r="AD9" s="149" t="str">
        <f>'16U BOYS PLATINUM-18 TEAMS'!D23&amp;"-"&amp;'16U BOYS PLATINUM-18 TEAMS'!I23&amp;"-"&amp;TEXT('16U BOYS PLATINUM-18 TEAMS'!B23,"h:mm am/pm")</f>
        <v>16Bpt05-C bracket C1,C3-11:00 AM</v>
      </c>
      <c r="AE9" s="154" t="str">
        <f>'16U BOYS SILVER-20 TEAMS'!D25&amp;"-"&amp;'16U BOYS SILVER-20 TEAMS'!I25&amp;"-"&amp;TEXT('16U BOYS SILVER-20 TEAMS'!B25,"h:mm am/pm")</f>
        <v>16Bag02-W/L E-11:00 AM</v>
      </c>
      <c r="AH9" s="15"/>
    </row>
    <row r="10" spans="1:36">
      <c r="A10" s="16">
        <v>0.45833333333333298</v>
      </c>
      <c r="B10" s="113" t="str">
        <f>'10U COED GOLD-16 TEAMS CUSTOM'!D14&amp;"-"&amp;'10U COED GOLD-16 TEAMS CUSTOM'!I14&amp;"-"&amp;TEXT('10U COED GOLD-16 TEAMS CUSTOM'!B14,"h:mm am/pm")</f>
        <v>10Cau05-girls 1st-4th-11:00 AM</v>
      </c>
      <c r="C10" s="112" t="str">
        <f>'10U BOYS-8 TEAMS'!D14&amp;"-"&amp;'10U BOYS-8 TEAMS'!I14&amp;"-"&amp;TEXT('10U BOYS-8 TEAMS'!B14,"h:mm am/pm")</f>
        <v>10B05-bracket, B1/B4-11:00 AM</v>
      </c>
      <c r="D10" s="110" t="str">
        <f>'10U COED GOLD-16 TEAMS CUSTOM'!D15&amp;"-"&amp;'10U COED GOLD-16 TEAMS CUSTOM'!I15&amp;"-"&amp;TEXT('10U COED GOLD-16 TEAMS CUSTOM'!B15,"h:mm am/pm")</f>
        <v>10Cau07-D bracket D2,D3-11:00 AM</v>
      </c>
      <c r="F10" s="16">
        <v>0.46527777777777801</v>
      </c>
      <c r="G10" s="310" t="str">
        <f>'12U BOYS GOLD-24 TEAMS'!D31&amp;"-"&amp;'12U BOYS GOLD-24 TEAMS'!I31&amp;"-"&amp;TEXT('12U BOYS GOLD-24 TEAMS'!B31,"h:mm am/pm")</f>
        <v>12Bau08A-G bracket G1,G2-11:10 AM</v>
      </c>
      <c r="H10" s="141" t="str">
        <f>'12U COED-7 TEAMS'!D14&amp;"-"&amp;'12U COED-7 TEAMS'!I14&amp;"-"&amp;TEXT('12U COED-7 TEAMS'!B14,"h:mm am/pm")</f>
        <v>12C03-B bracket B2,B3-11:10 AM</v>
      </c>
      <c r="I10" s="310" t="str">
        <f>'12U BOYS GOLD-24 TEAMS'!D30&amp;"-"&amp;'12U BOYS GOLD-24 TEAMS'!I30&amp;"-"&amp;TEXT('12U BOYS GOLD-24 TEAMS'!B30,"h:mm am/pm")</f>
        <v>12Bau01A-E bracket E1,E3-11:10 AM</v>
      </c>
      <c r="J10" s="320" t="str">
        <f>'12U BOYS GOLD-24 TEAMS'!D17&amp;"-"&amp;'12U BOYS GOLD-24 TEAMS'!I17&amp;"-"&amp;TEXT('12U BOYS GOLD-24 TEAMS'!B17,"h:mm am/pm")</f>
        <v>12Bau03-D bracket D1,D3-11:10 AM</v>
      </c>
      <c r="K10" s="98" t="str">
        <f>'14U BOYS GOLD-26 TEAMS'!D30&amp;"-"&amp;'14U BOYS GOLD-26 TEAMS'!I30&amp;"-"&amp;TEXT('14U BOYS GOLD-26 TEAMS'!B30,"h:mm am/pm")</f>
        <v>14Bau03-W/L D2/D3-11:10 AM</v>
      </c>
      <c r="L10" s="144" t="str">
        <f>'14U BOYS PLATINUM-20 TEAMS'!D25&amp;"-"&amp;'14U BOYS PLATINUM-20 TEAMS'!I25&amp;"-"&amp;TEXT('14U BOYS PLATINUM-20 TEAMS'!B25,"h:mm am/pm")</f>
        <v>14Bpt03-A bracket-11:10 AM</v>
      </c>
      <c r="M10" s="144" t="str">
        <f>'14U BOYS PLATINUM-20 TEAMS'!D35&amp;"-"&amp;'14U BOYS PLATINUM-20 TEAMS'!I35&amp;"-"&amp;TEXT('14U BOYS PLATINUM-20 TEAMS'!B35,"h:mm am/pm")</f>
        <v>14Bpt14-C bracket-11:10 AM</v>
      </c>
      <c r="N10" s="97" t="str">
        <f>'14U GIRLS PLATINUM-10 TEAMS'!D15&amp;"-"&amp;'14U GIRLS PLATINUM-10 TEAMS'!I15&amp;"-"&amp;TEXT('14U GIRLS PLATINUM-10 TEAMS'!B15,"h:mm am/pm")</f>
        <v>14Gpt06-C bracket C3,C4-11:10 AM</v>
      </c>
      <c r="O10" s="146" t="str">
        <f>'14U BOYS SILVER-18 TEAMS'!D24&amp;"-"&amp;'14U BOYS SILVER-18 TEAMS'!I24&amp;"-"&amp;TEXT('14U BOYS SILVER-18 TEAMS'!B24,"h:mm am/pm")</f>
        <v>14Bag07-A bracket A2,A3-11:10 AM</v>
      </c>
      <c r="P10" s="145" t="str">
        <f>'14U GIRLS GOLD-14 TEAMS'!D17&amp;"-"&amp;'14U GIRLS GOLD-14 TEAMS'!I17&amp;"-"&amp;TEXT('14U GIRLS GOLD-14 TEAMS'!B17,"h:mm am/pm")</f>
        <v>14Gau11-B bracket B1,B2-11:10 AM</v>
      </c>
      <c r="Q10" s="98" t="str">
        <f>'14U BOYS GOLD-26 TEAMS'!D46&amp;"-"&amp;'14U BOYS GOLD-26 TEAMS'!I46&amp;"-"&amp;TEXT('14U BOYS GOLD-26 TEAMS'!B46,"h:mm am/pm")</f>
        <v>14Bau19-1st/2nd H-11:10 AM</v>
      </c>
      <c r="S10" s="23">
        <v>0.46527777777777801</v>
      </c>
      <c r="T10" s="146" t="str">
        <f>'14U BOYS SILVER-18 TEAMS'!D35&amp;"-"&amp;'14U BOYS SILVER-18 TEAMS'!I35&amp;"-"&amp;TEXT('14U BOYS SILVER-18 TEAMS'!B35,"h:mm am/pm")</f>
        <v>14Bag08-D bracket D2,D3-11:10 AM</v>
      </c>
      <c r="V10" s="23">
        <v>0.5</v>
      </c>
      <c r="W10" s="109" t="str">
        <f>'19U BOYS PLATINUM-27 TEAMS'!D33&amp;"-"&amp;'19U BOYS PLATINUM-27 TEAMS'!I33&amp;"-"&amp;TEXT('19U BOYS PLATINUM-27 TEAMS'!B33,"h:mm am/pm")</f>
        <v>19Bpt09-C bracket C1,C3-12:00 PM</v>
      </c>
      <c r="X10" s="109" t="str">
        <f>'19U BOYS PLATINUM-27 TEAMS'!D48&amp;"-"&amp;'19U BOYS PLATINUM-27 TEAMS'!I48&amp;"-"&amp;TEXT('19U BOYS PLATINUM-27 TEAMS'!B48,"h:mm am/pm")</f>
        <v>19Bpt18-1st/2ndG-12:00 PM</v>
      </c>
      <c r="Y10" s="107" t="str">
        <f>'19U BOYS GOLD-16 TEAMS'!D14&amp;"-"&amp;'19U BOYS GOLD-16 TEAMS'!I14&amp;"-"&amp;TEXT('19U BOYS GOLD-16 TEAMS'!B14,"h:mm am/pm")</f>
        <v>19Bau05-3rd/4thA-12:00 PM</v>
      </c>
      <c r="Z10" s="15"/>
      <c r="AA10" s="149" t="str">
        <f>'16U BOYS PLATINUM-18 TEAMS'!D33&amp;"-"&amp;'16U BOYS PLATINUM-18 TEAMS'!I33&amp;"-"&amp;TEXT('16U BOYS PLATINUM-18 TEAMS'!B33,"h:mm am/pm")</f>
        <v>16Bpt04-E bracket E1,E3-12:00 PM</v>
      </c>
      <c r="AB10" s="151" t="str">
        <f>'16U BOYS GOLD-19 TEAMS'!D29&amp;"-"&amp;'16U BOYS GOLD-19 TEAMS'!I29&amp;"-"&amp;TEXT('16U BOYS GOLD-19 TEAMS'!B29,"h:mm am/pm")</f>
        <v>16Bau06-C bracket-12:00 PM</v>
      </c>
      <c r="AC10" s="152" t="str">
        <f>'16U BOYS GOLD-19 TEAMS'!D40&amp;"-"&amp;'16U BOYS GOLD-19 TEAMS'!I40&amp;"-"&amp;TEXT('16U BOYS GOLD-19 TEAMS'!B40,"h:mm am/pm")</f>
        <v>16Bau15-E bracket-12:00 PM</v>
      </c>
      <c r="AD10" s="149" t="str">
        <f>'16U BOYS PLATINUM-18 TEAMS'!D24&amp;"-"&amp;'16U BOYS PLATINUM-18 TEAMS'!I24&amp;"-"&amp;TEXT('16U BOYS PLATINUM-18 TEAMS'!B24,"h:mm am/pm")</f>
        <v>16Bpt07-A bracket A1,A2-12:00 PM</v>
      </c>
      <c r="AE10" s="154" t="str">
        <f>'16U BOYS SILVER-20 TEAMS'!D40&amp;"-"&amp;'16U BOYS SILVER-20 TEAMS'!I40&amp;"-"&amp;TEXT('16U BOYS SILVER-20 TEAMS'!B40,"h:mm am/pm")</f>
        <v>16Bag16-B bracket-12:00 PM</v>
      </c>
      <c r="AH10" s="15"/>
    </row>
    <row r="11" spans="1:36">
      <c r="A11" s="16">
        <v>0.48958333333333298</v>
      </c>
      <c r="B11" s="113" t="str">
        <f>'10U COED GOLD-16 TEAMS CUSTOM'!D16&amp;"-"&amp;'10U COED GOLD-16 TEAMS CUSTOM'!I16&amp;"-"&amp;TEXT('10U COED GOLD-16 TEAMS CUSTOM'!B16,"h:mm am/pm")</f>
        <v>10Cau06-girls 1st-4th-11:45 AM</v>
      </c>
      <c r="C11" s="112" t="str">
        <f>'10U BOYS-8 TEAMS'!D15&amp;"-"&amp;'10U BOYS-8 TEAMS'!I15&amp;"-"&amp;TEXT('10U BOYS-8 TEAMS'!B15,"h:mm am/pm")</f>
        <v>10B06-bracket, B2/B3-11:45 AM</v>
      </c>
      <c r="D11" s="110" t="str">
        <f>'10U COED GOLD-16 TEAMS CUSTOM'!D17&amp;"-"&amp;'10U COED GOLD-16 TEAMS CUSTOM'!I17&amp;"-"&amp;TEXT('10U COED GOLD-16 TEAMS CUSTOM'!B17,"h:mm am/pm")</f>
        <v>10Cau08-A bracket A2,A3-11:45 AM</v>
      </c>
      <c r="F11" s="16">
        <v>0.5</v>
      </c>
      <c r="G11" s="140" t="str">
        <f>'12U GIRLS PLATINUM-12 TEAMS'!D15&amp;"-"&amp;'12U GIRLS PLATINUM-12 TEAMS'!I15&amp;"-"&amp;TEXT('12U GIRLS PLATINUM-12 TEAMS'!B15,"h:mm am/pm")</f>
        <v>12Gpt05-A bracket A1,A2-12:00 PM</v>
      </c>
      <c r="H11" s="139" t="str">
        <f>'12U BOYS PLATINUM-10 TEAMS'!D15&amp;"-"&amp;'12U BOYS PLATINUM-10 TEAMS'!I15&amp;"-"&amp;TEXT('12U BOYS PLATINUM-10 TEAMS'!B15,"h:mm am/pm")</f>
        <v>12Bpt05-A bracket A2,A3-12:00 PM</v>
      </c>
      <c r="I11" s="310" t="str">
        <f>'12U BOYS GOLD-24 TEAMS'!D32&amp;"-"&amp;'12U BOYS GOLD-24 TEAMS'!I32&amp;"-"&amp;TEXT('12U BOYS GOLD-24 TEAMS'!B32,"h:mm am/pm")</f>
        <v>12Bau02A-H bracket H1,H3-12:00 PM</v>
      </c>
      <c r="J11" s="320" t="str">
        <f>'12U BOYS GOLD-24 TEAMS'!D18&amp;"-"&amp;'12U BOYS GOLD-24 TEAMS'!I18&amp;"-"&amp;TEXT('12U BOYS GOLD-24 TEAMS'!B18,"h:mm am/pm")</f>
        <v>12Bau04-B bracket B1,B3-12:00 PM</v>
      </c>
      <c r="K11" s="98" t="str">
        <f>'14U BOYS GOLD-26 TEAMS'!D31&amp;"-"&amp;'14U BOYS GOLD-26 TEAMS'!I31&amp;"-"&amp;TEXT('14U BOYS GOLD-26 TEAMS'!B31,"h:mm am/pm")</f>
        <v>14Bau04-A bracket A2,A3-12:00 PM</v>
      </c>
      <c r="L11" s="144" t="str">
        <f>'14U BOYS PLATINUM-20 TEAMS'!D26&amp;"-"&amp;'14U BOYS PLATINUM-20 TEAMS'!I26&amp;"-"&amp;TEXT('14U BOYS PLATINUM-20 TEAMS'!B26,"h:mm am/pm")</f>
        <v>14Bpt01-W/L E-12:00 PM</v>
      </c>
      <c r="M11" s="144" t="str">
        <f>'14U BOYS PLATINUM-20 TEAMS'!D36&amp;"-"&amp;'14U BOYS PLATINUM-20 TEAMS'!I36&amp;"-"&amp;TEXT('14U BOYS PLATINUM-20 TEAMS'!B36,"h:mm am/pm")</f>
        <v>14Bpt15-D bracket-12:00 PM</v>
      </c>
      <c r="N11" s="97" t="str">
        <f>'14U GIRLS PLATINUM-10 TEAMS'!D16&amp;"-"&amp;'14U GIRLS PLATINUM-10 TEAMS'!I16&amp;"-"&amp;TEXT('14U GIRLS PLATINUM-10 TEAMS'!B16,"h:mm am/pm")</f>
        <v>14Gpt07-C bracket C1,C2-12:00 PM</v>
      </c>
      <c r="O11" s="146" t="str">
        <f>'14U BOYS SILVER-18 TEAMS'!D25&amp;"-"&amp;'14U BOYS SILVER-18 TEAMS'!I25&amp;"-"&amp;TEXT('14U BOYS SILVER-18 TEAMS'!B25,"h:mm am/pm")</f>
        <v>14Bag09-B bracket B2,B3-12:00 PM</v>
      </c>
      <c r="P11" s="145" t="str">
        <f>'14U GIRLS GOLD-14 TEAMS'!D18&amp;"-"&amp;'14U GIRLS GOLD-14 TEAMS'!I18&amp;"-"&amp;TEXT('14U GIRLS GOLD-14 TEAMS'!B18,"h:mm am/pm")</f>
        <v>14Gau08-3rd/4thD-12:00 PM</v>
      </c>
      <c r="Q11" s="98" t="str">
        <f>'14U BOYS GOLD-26 TEAMS'!D47&amp;"-"&amp;'14U BOYS GOLD-26 TEAMS'!I47&amp;"-"&amp;TEXT('14U BOYS GOLD-26 TEAMS'!B47,"h:mm am/pm")</f>
        <v>14Bau17-G bracket G1,G2-12:00 PM</v>
      </c>
      <c r="S11" s="23">
        <v>0.5</v>
      </c>
      <c r="T11" s="146" t="str">
        <f>'14U BOYS SILVER-18 TEAMS'!D36&amp;"-"&amp;'14U BOYS SILVER-18 TEAMS'!I36&amp;"-"&amp;TEXT('14U BOYS SILVER-18 TEAMS'!B36,"h:mm am/pm")</f>
        <v>14Bag10-E bracket E2,E3-12:00 PM</v>
      </c>
      <c r="V11" s="23">
        <v>0.54166666666666696</v>
      </c>
      <c r="W11" s="109" t="str">
        <f>'19U BOYS PLATINUM-27 TEAMS'!D34&amp;"-"&amp;'19U BOYS PLATINUM-27 TEAMS'!I34&amp;"-"&amp;TEXT('19U BOYS PLATINUM-27 TEAMS'!B34,"h:mm am/pm")</f>
        <v>19Bpt05-3rd/4th D-1:00 PM</v>
      </c>
      <c r="X11" s="109" t="str">
        <f>'19U BOYS PLATINUM-27 TEAMS'!D49&amp;"-"&amp;'19U BOYS PLATINUM-27 TEAMS'!I49&amp;"-"&amp;TEXT('19U BOYS PLATINUM-27 TEAMS'!B49,"h:mm am/pm")</f>
        <v>19Bpt19-3rd/4thG-1:00 PM</v>
      </c>
      <c r="Y11" s="107" t="str">
        <f>'19U BOYS GOLD-16 TEAMS'!D15&amp;"-"&amp;'19U BOYS GOLD-16 TEAMS'!I15&amp;"-"&amp;TEXT('19U BOYS GOLD-16 TEAMS'!B15,"h:mm am/pm")</f>
        <v>19Bau06-1st/2ndA-1:00 PM</v>
      </c>
      <c r="Z11" s="154" t="str">
        <f>'16U BOYS SILVER-20 TEAMS'!D41&amp;"-"&amp;'16U BOYS SILVER-20 TEAMS'!I41&amp;"-"&amp;TEXT('16U BOYS SILVER-20 TEAMS'!B41,"h:mm am/pm")</f>
        <v>16Bag17-C bracket-1:00 PM</v>
      </c>
      <c r="AA11" s="149" t="str">
        <f>'16U BOYS PLATINUM-18 TEAMS'!D34&amp;"-"&amp;'16U BOYS PLATINUM-18 TEAMS'!I34&amp;"-"&amp;TEXT('16U BOYS PLATINUM-18 TEAMS'!B34,"h:mm am/pm")</f>
        <v>16Bpt06-F bracket F1,F3-1:00 PM</v>
      </c>
      <c r="AB11" s="107" t="str">
        <f>'19U BOYS GOLD-16 TEAMS'!D16&amp;"-"&amp;'19U BOYS GOLD-16 TEAMS'!I16&amp;"-"&amp;TEXT('19U BOYS GOLD-16 TEAMS'!B16,"h:mm am/pm")</f>
        <v>19Bau09-W/L D1/D4-1:00 PM</v>
      </c>
      <c r="AC11" s="152" t="str">
        <f>'16U BOYS GOLD-19 TEAMS'!D41&amp;"-"&amp;'16U BOYS GOLD-19 TEAMS'!I41&amp;"-"&amp;TEXT('16U BOYS GOLD-19 TEAMS'!B41,"h:mm am/pm")</f>
        <v>16Bau16-3rd/4thF-1:00 PM</v>
      </c>
      <c r="AD11" s="154" t="str">
        <f>'16U BOYS SILVER-20 TEAMS'!D27&amp;"-"&amp;'16U BOYS SILVER-20 TEAMS'!I27&amp;"-"&amp;TEXT('16U BOYS SILVER-20 TEAMS'!B27,"h:mm am/pm")</f>
        <v>16Bag09-A bracket-1:00 PM</v>
      </c>
      <c r="AE11" s="154" t="str">
        <f>'16U BOYS SILVER-20 TEAMS'!D28&amp;"-"&amp;'16U BOYS SILVER-20 TEAMS'!I28&amp;"-"&amp;TEXT('16U BOYS SILVER-20 TEAMS'!B28,"h:mm am/pm")</f>
        <v>16Bag10-1st/2ndF-1:00 PM</v>
      </c>
      <c r="AH11" s="15"/>
    </row>
    <row r="12" spans="1:36">
      <c r="A12" s="16">
        <v>0.52083333333333304</v>
      </c>
      <c r="B12" s="111" t="str">
        <f>'10U COED PLATINUM-8 TEAMS'!D15&amp;"-"&amp;'10U COED PLATINUM-8 TEAMS'!I15&amp;"-"&amp;TEXT('10U COED PLATINUM-8 TEAMS'!B15,"h:mm am/pm")</f>
        <v>10Cpt05-bracket, B1/B4-12:30 PM</v>
      </c>
      <c r="C12" s="112" t="str">
        <f>'10U BOYS-8 TEAMS'!D16&amp;"-"&amp;'10U BOYS-8 TEAMS'!I16&amp;"-"&amp;TEXT('10U BOYS-8 TEAMS'!B16,"h:mm am/pm")</f>
        <v>10B07-bracket, A1/A4-12:30 PM</v>
      </c>
      <c r="D12" s="110" t="str">
        <f>'10U COED GOLD-16 TEAMS CUSTOM'!D18&amp;"-"&amp;'10U COED GOLD-16 TEAMS CUSTOM'!I18&amp;"-"&amp;TEXT('10U COED GOLD-16 TEAMS CUSTOM'!B18,"h:mm am/pm")</f>
        <v>10Cau09-B bracket B2,B3-12:30 PM</v>
      </c>
      <c r="F12" s="16">
        <v>0.53472222222222199</v>
      </c>
      <c r="G12" s="140" t="str">
        <f>'12U GIRLS PLATINUM-12 TEAMS'!D16&amp;"-"&amp;'12U GIRLS PLATINUM-12 TEAMS'!I16&amp;"-"&amp;TEXT('12U GIRLS PLATINUM-12 TEAMS'!B16,"h:mm am/pm")</f>
        <v>12Gpt06-D bracket D1,D2-12:50 PM</v>
      </c>
      <c r="H12" s="139" t="str">
        <f>'12U BOYS PLATINUM-10 TEAMS'!D16&amp;"-"&amp;'12U BOYS PLATINUM-10 TEAMS'!I16&amp;"-"&amp;TEXT('12U BOYS PLATINUM-10 TEAMS'!B16,"h:mm am/pm")</f>
        <v>12Bpt06-B bracket B2,B3-12:50 PM</v>
      </c>
      <c r="I12" s="310" t="str">
        <f>'12U BOYS GOLD-24 TEAMS'!D33&amp;"-"&amp;'12U BOYS GOLD-24 TEAMS'!I33&amp;"-"&amp;TEXT('12U BOYS GOLD-24 TEAMS'!B33,"h:mm am/pm")</f>
        <v>12Bau03A-F bracket F1,F3-12:50 PM</v>
      </c>
      <c r="J12" s="320" t="str">
        <f>'12U BOYS GOLD-24 TEAMS'!D19&amp;"-"&amp;'12U BOYS GOLD-24 TEAMS'!I14&amp;"-"&amp;TEXT('12U BOYS GOLD-24 TEAMS'!B19,"h:mm am/pm")</f>
        <v>12Bau05-A bracket A1,A2-12:50 PM</v>
      </c>
      <c r="K12" s="98" t="str">
        <f>'14U BOYS GOLD-26 TEAMS'!D32&amp;"-"&amp;'14U BOYS GOLD-26 TEAMS'!I32&amp;"-"&amp;TEXT('14U BOYS GOLD-26 TEAMS'!B32,"h:mm am/pm")</f>
        <v>14Bau10-B bracket B2,B3-12:50 PM</v>
      </c>
      <c r="L12" s="144" t="str">
        <f>'14U BOYS PLATINUM-20 TEAMS'!D27&amp;"-"&amp;'14U BOYS PLATINUM-20 TEAMS'!I27&amp;"-"&amp;TEXT('14U BOYS PLATINUM-20 TEAMS'!B27,"h:mm am/pm")</f>
        <v>14Bpt02-W/L E-12:50 PM</v>
      </c>
      <c r="M12" s="144" t="str">
        <f>'14U BOYS PLATINUM-20 TEAMS'!D37&amp;"-"&amp;'14U BOYS PLATINUM-20 TEAMS'!I37&amp;"-"&amp;TEXT('14U BOYS PLATINUM-20 TEAMS'!B37,"h:mm am/pm")</f>
        <v>14Bpt16-B bracket-12:50 PM</v>
      </c>
      <c r="N12" s="97" t="str">
        <f>'14U GIRLS PLATINUM-10 TEAMS'!D17&amp;"-"&amp;'14U GIRLS PLATINUM-10 TEAMS'!I17&amp;"-"&amp;TEXT('14U GIRLS PLATINUM-10 TEAMS'!B17,"h:mm am/pm")</f>
        <v>14Gpt08-A bracket A1,A2-12:50 PM</v>
      </c>
      <c r="O12" s="146" t="str">
        <f>'14U BOYS SILVER-18 TEAMS'!D26&amp;"-"&amp;'14U BOYS SILVER-18 TEAMS'!I26&amp;"-"&amp;TEXT('14U BOYS SILVER-18 TEAMS'!B26,"h:mm am/pm")</f>
        <v>14Bag11-C bracket C2,C3-12:50 PM</v>
      </c>
      <c r="P12" s="145" t="str">
        <f>'14U GIRLS GOLD-14 TEAMS'!D19&amp;"-"&amp;'14U GIRLS GOLD-14 TEAMS'!I19&amp;"-"&amp;TEXT('14U GIRLS GOLD-14 TEAMS'!B19,"h:mm am/pm")</f>
        <v>14Gau07-1st/2ndD-12:50 PM</v>
      </c>
      <c r="Q12" s="98" t="str">
        <f>'14U BOYS GOLD-26 TEAMS'!D48&amp;"-"&amp;'14U BOYS GOLD-26 TEAMS'!I48&amp;"-"&amp;TEXT('14U BOYS GOLD-26 TEAMS'!B48,"h:mm am/pm")</f>
        <v>14Bau23-E bracket E2,E3-12:50 PM</v>
      </c>
      <c r="S12" s="23">
        <v>0.53472222222222199</v>
      </c>
      <c r="T12" s="146" t="str">
        <f>'14U BOYS SILVER-18 TEAMS'!D37&amp;"-"&amp;'14U BOYS SILVER-18 TEAMS'!I37&amp;"-"&amp;TEXT('14U BOYS SILVER-18 TEAMS'!B37,"h:mm am/pm")</f>
        <v>14Bag12-F bracket F2,F3-12:50 PM</v>
      </c>
      <c r="V12" s="23">
        <v>0.58333333333333304</v>
      </c>
      <c r="W12" s="109" t="str">
        <f>'19U BOYS PLATINUM-27 TEAMS'!D35&amp;"-"&amp;'19U BOYS PLATINUM-27 TEAMS'!I35&amp;"-"&amp;TEXT('19U BOYS PLATINUM-27 TEAMS'!B35,"h:mm am/pm")</f>
        <v>19Bpt06-1st/2nd D-2:00 PM</v>
      </c>
      <c r="X12" s="109" t="str">
        <f>'19U BOYS PLATINUM-27 TEAMS'!D50&amp;"-"&amp;'19U BOYS PLATINUM-27 TEAMS'!I50&amp;"-"&amp;TEXT('19U BOYS PLATINUM-27 TEAMS'!B50,"h:mm am/pm")</f>
        <v>19Bpt24-E bracket E2,E3-2:00 PM</v>
      </c>
      <c r="Y12" s="107" t="str">
        <f>'19U BOYS GOLD-16 TEAMS'!D18&amp;"-"&amp;'19U BOYS GOLD-16 TEAMS'!I18&amp;"-"&amp;TEXT('19U BOYS GOLD-16 TEAMS'!B18,"h:mm am/pm")</f>
        <v>19Bau11-W/L B2/B3-2:00 PM</v>
      </c>
      <c r="Z12" s="154" t="str">
        <f>'16U BOYS SILVER-20 TEAMS'!D42&amp;"-"&amp;'16U BOYS SILVER-20 TEAMS'!I42&amp;"-"&amp;TEXT('16U BOYS SILVER-20 TEAMS'!B42,"h:mm am/pm")</f>
        <v>16Bag18-D bracket-2:00 PM</v>
      </c>
      <c r="AA12" s="149" t="str">
        <f>'16U BOYS PLATINUM-18 TEAMS'!D35&amp;"-"&amp;'16U BOYS PLATINUM-18 TEAMS'!I35&amp;"-"&amp;TEXT('16U BOYS PLATINUM-18 TEAMS'!B35,"h:mm am/pm")</f>
        <v>16Bpt08-D bracket D2,D3-2:00 PM</v>
      </c>
      <c r="AB12" s="107" t="str">
        <f>'19U BOYS GOLD-16 TEAMS'!D17&amp;"-"&amp;'19U BOYS GOLD-16 TEAMS'!I17&amp;"-"&amp;TEXT('19U BOYS GOLD-16 TEAMS'!B17,"h:mm am/pm")</f>
        <v>19Bau10-W/L D2/D3-2:00 PM</v>
      </c>
      <c r="AC12" s="152" t="str">
        <f>'16U BOYS GOLD-19 TEAMS'!D42&amp;"-"&amp;'16U BOYS GOLD-19 TEAMS'!I42&amp;"-"&amp;TEXT('16U BOYS GOLD-19 TEAMS'!B42,"h:mm am/pm")</f>
        <v>16Bau17-1st/2ndF-2:00 PM</v>
      </c>
      <c r="AD12" s="149" t="str">
        <f>'16U BOYS PLATINUM-18 TEAMS'!D26&amp;"-"&amp;'16U BOYS PLATINUM-18 TEAMS'!I26&amp;"-"&amp;TEXT('16U BOYS PLATINUM-18 TEAMS'!B26,"h:mm am/pm")</f>
        <v>16Bpt09-B bracket B1,B3-2:00 PM</v>
      </c>
      <c r="AE12" s="154" t="str">
        <f>'16U BOYS SILVER-20 TEAMS'!D29&amp;"-"&amp;'16U BOYS SILVER-20 TEAMS'!I29&amp;"-"&amp;TEXT('16U BOYS SILVER-20 TEAMS'!B29,"h:mm am/pm")</f>
        <v>16Bag11-3rd/4thF-2:00 PM</v>
      </c>
      <c r="AG12" s="23">
        <v>0.52083333333333337</v>
      </c>
      <c r="AH12" s="108" t="str">
        <f>'19U BOYS SILVER-6 TEAMS CUST'!D10&amp;"-"&amp;'19U BOYS SILVER-6 TEAMS CUST'!I10&amp;"-"&amp;TEXT('19U BOYS SILVER-6 TEAMS CUST'!B10,"h:mm am/pm")</f>
        <v>19Bag01-A bracket A1,A3-12:30 PM</v>
      </c>
    </row>
    <row r="13" spans="1:36">
      <c r="A13" s="16">
        <v>0.55208333333333304</v>
      </c>
      <c r="B13" s="111" t="str">
        <f>'10U COED PLATINUM-8 TEAMS'!D16&amp;"-"&amp;'10U COED PLATINUM-8 TEAMS'!I16&amp;"-"&amp;TEXT('10U COED PLATINUM-8 TEAMS'!B16,"h:mm am/pm")</f>
        <v>10Cpt06-bracket, B2/B3-1:15 PM</v>
      </c>
      <c r="C13" s="112" t="str">
        <f>'10U BOYS-8 TEAMS'!D17&amp;"-"&amp;'10U BOYS-8 TEAMS'!I17&amp;"-"&amp;TEXT('10U BOYS-8 TEAMS'!B17,"h:mm am/pm")</f>
        <v>10B08-bracket, A2/A3-1:15 PM</v>
      </c>
      <c r="D13" s="110" t="str">
        <f>'10U COED GOLD-16 TEAMS CUSTOM'!D19&amp;"-"&amp;'10U COED GOLD-16 TEAMS CUSTOM'!I19&amp;"-"&amp;TEXT('10U COED GOLD-16 TEAMS CUSTOM'!B19,"h:mm am/pm")</f>
        <v>10Cau10-C bracket C2,C3-1:15 PM</v>
      </c>
      <c r="F13" s="16">
        <v>0.56944444444444497</v>
      </c>
      <c r="G13" s="310" t="str">
        <f>'12U BOYS GOLD-24 TEAMS'!D35&amp;"-"&amp;'12U BOYS GOLD-24 TEAMS'!I35&amp;"-"&amp;TEXT('12U BOYS GOLD-24 TEAMS'!B35,"h:mm am/pm")</f>
        <v>12Bau12A-G bracket G2,G3-1:40 PM</v>
      </c>
      <c r="H13" s="141" t="str">
        <f>'12U COED-7 TEAMS'!D16&amp;"-"&amp;'12U COED-7 TEAMS'!I16&amp;"-"&amp;TEXT('12U COED-7 TEAMS'!B16,"h:mm am/pm")</f>
        <v>12C05-B bracket B1,B3-1:40 PM</v>
      </c>
      <c r="I13" s="310" t="str">
        <f>'12U BOYS GOLD-24 TEAMS'!D34&amp;"-"&amp;'12U BOYS GOLD-24 TEAMS'!I34&amp;"-"&amp;TEXT('12U BOYS GOLD-24 TEAMS'!B34,"h:mm am/pm")</f>
        <v>12Bau05A-E bracket E2,E3-1:40 PM</v>
      </c>
      <c r="J13" s="320" t="str">
        <f>'12U BOYS GOLD-24 TEAMS'!D20&amp;"-"&amp;'12U BOYS GOLD-24 TEAMS'!I20&amp;"-"&amp;TEXT('12U BOYS GOLD-24 TEAMS'!B20,"h:mm am/pm")</f>
        <v>12Bau06-C bracket C2,C3-1:40 PM</v>
      </c>
      <c r="K13" s="98" t="str">
        <f>'14U BOYS GOLD-26 TEAMS'!D33&amp;"-"&amp;'14U BOYS GOLD-26 TEAMS'!I33&amp;"-"&amp;TEXT('14U BOYS GOLD-26 TEAMS'!B33,"h:mm am/pm")</f>
        <v>14Bau11-C bracket C1,C2-1:40 PM</v>
      </c>
      <c r="L13" s="144" t="str">
        <f>'14U BOYS PLATINUM-20 TEAMS'!D28&amp;"-"&amp;'14U BOYS PLATINUM-20 TEAMS'!I28&amp;"-"&amp;TEXT('14U BOYS PLATINUM-20 TEAMS'!B28,"h:mm am/pm")</f>
        <v>14Bpt10-1st/2ndF-1:40 PM</v>
      </c>
      <c r="M13" s="144" t="str">
        <f>'14U BOYS PLATINUM-20 TEAMS'!D38&amp;"-"&amp;'14U BOYS PLATINUM-20 TEAMS'!I38&amp;"-"&amp;TEXT('14U BOYS PLATINUM-20 TEAMS'!B38,"h:mm am/pm")</f>
        <v>14Bpt17-C bracket-1:40 PM</v>
      </c>
      <c r="N13" s="97" t="str">
        <f>'14U GIRLS PLATINUM-10 TEAMS'!D18&amp;"-"&amp;'14U GIRLS PLATINUM-10 TEAMS'!I18&amp;"-"&amp;TEXT('14U GIRLS PLATINUM-10 TEAMS'!B18,"h:mm am/pm")</f>
        <v>14Gpt09-B bracket B1,B2-1:40 PM</v>
      </c>
      <c r="O13" s="145" t="str">
        <f>'14U GIRLS GOLD-14 TEAMS'!D20&amp;"-"&amp;'14U GIRLS GOLD-14 TEAMS'!I20&amp;"-"&amp;TEXT('14U GIRLS GOLD-14 TEAMS'!B20,"h:mm am/pm")</f>
        <v>14Gau14-A bracket A1,A3-1:40 PM</v>
      </c>
      <c r="P13" s="145" t="str">
        <f>'14U GIRLS GOLD-14 TEAMS'!D21&amp;"-"&amp;'14U GIRLS GOLD-14 TEAMS'!I21&amp;"-"&amp;TEXT('14U GIRLS GOLD-14 TEAMS'!B21,"h:mm am/pm")</f>
        <v>14Gau13-B bracket B1,B3-1:40 PM</v>
      </c>
      <c r="Q13" s="98" t="str">
        <f>'14U BOYS GOLD-26 TEAMS'!D49&amp;"-"&amp;'14U BOYS GOLD-26 TEAMS'!I49&amp;"-"&amp;TEXT('14U BOYS GOLD-26 TEAMS'!B49,"h:mm am/pm")</f>
        <v>14Bau24-F bracket F1,F2-1:40 PM</v>
      </c>
      <c r="S13" s="23">
        <v>0.56944444444444497</v>
      </c>
      <c r="T13" s="146" t="str">
        <f>'14U BOYS SILVER-18 TEAMS'!D38&amp;"-"&amp;'14U BOYS SILVER-18 TEAMS'!I38&amp;"-"&amp;TEXT('14U BOYS SILVER-18 TEAMS'!B38,"h:mm am/pm")</f>
        <v>14Bag14-D bracket D1,D2-1:40 PM</v>
      </c>
      <c r="V13" s="23">
        <v>0.625</v>
      </c>
      <c r="W13" s="109" t="str">
        <f>'19U BOYS PLATINUM-27 TEAMS'!D36&amp;"-"&amp;'19U BOYS PLATINUM-27 TEAMS'!I36&amp;"-"&amp;TEXT('19U BOYS PLATINUM-27 TEAMS'!B36,"h:mm am/pm")</f>
        <v>19Bpt10-B bracket B2,B3-3:00 PM</v>
      </c>
      <c r="X13" s="109" t="str">
        <f>'19U BOYS PLATINUM-27 TEAMS'!D51&amp;"-"&amp;'19U BOYS PLATINUM-27 TEAMS'!I51&amp;"-"&amp;TEXT('19U BOYS PLATINUM-27 TEAMS'!B51,"h:mm am/pm")</f>
        <v>19Bpt25-F bracket F2,F3-3:00 PM</v>
      </c>
      <c r="Y13" s="107" t="str">
        <f>'19U BOYS GOLD-16 TEAMS'!D19&amp;"-"&amp;'19U BOYS GOLD-16 TEAMS'!I19&amp;"-"&amp;TEXT('19U BOYS GOLD-16 TEAMS'!B19,"h:mm am/pm")</f>
        <v>19Bau12-W/L B1/B4-3:00 PM</v>
      </c>
      <c r="Z13" s="154" t="str">
        <f>'16U BOYS SILVER-20 TEAMS'!D43&amp;"-"&amp;'16U BOYS SILVER-20 TEAMS'!I43&amp;"-"&amp;TEXT('16U BOYS SILVER-20 TEAMS'!B43,"h:mm am/pm")</f>
        <v>16Bag19-B bracket-3:00 PM</v>
      </c>
      <c r="AA13" s="149" t="str">
        <f>'16U BOYS PLATINUM-18 TEAMS'!D36&amp;"-"&amp;'16U BOYS PLATINUM-18 TEAMS'!I36&amp;"-"&amp;TEXT('16U BOYS PLATINUM-18 TEAMS'!B36,"h:mm am/pm")</f>
        <v>16Bpt10-E bracket E1,E2-3:00 PM</v>
      </c>
      <c r="AB13" s="151" t="str">
        <f>'16U BOYS GOLD-19 TEAMS'!D31&amp;"-"&amp;'16U BOYS GOLD-19 TEAMS'!I31&amp;"-"&amp;TEXT('16U BOYS GOLD-19 TEAMS'!B31,"h:mm am/pm")</f>
        <v>16Bau07-A bracket-3:00 PM</v>
      </c>
      <c r="AC13" s="152" t="str">
        <f>'16U BOYS GOLD-19 TEAMS'!D43&amp;"-"&amp;'16U BOYS GOLD-19 TEAMS'!I43&amp;"-"&amp;TEXT('16U BOYS GOLD-19 TEAMS'!B43,"h:mm am/pm")</f>
        <v>16Bau18-D bracket-3:00 PM</v>
      </c>
      <c r="AD13" s="149" t="str">
        <f>'16U BOYS PLATINUM-18 TEAMS'!D27&amp;"-"&amp;'16U BOYS PLATINUM-18 TEAMS'!I27&amp;"-"&amp;TEXT('16U BOYS PLATINUM-18 TEAMS'!B27,"h:mm am/pm")</f>
        <v>16Bpt11-C bracket C2,C3-3:00 PM</v>
      </c>
      <c r="AE13" s="154" t="str">
        <f>'16U BOYS SILVER-20 TEAMS'!D30&amp;"-"&amp;'16U BOYS SILVER-20 TEAMS'!I30&amp;"-"&amp;TEXT('16U BOYS SILVER-20 TEAMS'!B30,"h:mm am/pm")</f>
        <v>16Bag04-3rd/4thE-3:00 PM</v>
      </c>
      <c r="AG13" s="23">
        <v>0.5625</v>
      </c>
      <c r="AH13" s="108" t="str">
        <f>'19U BOYS SILVER-6 TEAMS CUST'!D11&amp;"-"&amp;'19U BOYS SILVER-6 TEAMS CUST'!I11&amp;"-"&amp;TEXT('19U BOYS SILVER-6 TEAMS CUST'!B11,"h:mm am/pm")</f>
        <v>19Bag02-B bracket B1,B3-1:30 PM</v>
      </c>
    </row>
    <row r="14" spans="1:36">
      <c r="A14" s="16">
        <v>0.58333333333333304</v>
      </c>
      <c r="B14" s="111" t="str">
        <f>'10U COED PLATINUM-8 TEAMS'!D17&amp;"-"&amp;'10U COED PLATINUM-8 TEAMS'!I17&amp;"-"&amp;TEXT('10U COED PLATINUM-8 TEAMS'!B17,"h:mm am/pm")</f>
        <v>10Cpt07-bracket, A1/A4-2:00 PM</v>
      </c>
      <c r="C14" s="110" t="str">
        <f>'10U COED GOLD-16 TEAMS CUSTOM'!D20&amp;"-"&amp;'10U COED GOLD-16 TEAMS CUSTOM'!I20&amp;"-"&amp;TEXT('10U COED GOLD-16 TEAMS CUSTOM'!B20,"h:mm am/pm")</f>
        <v>10Cau13-D bracket D1,D2-2:00 PM</v>
      </c>
      <c r="F14" s="16">
        <v>0.60416666666666696</v>
      </c>
      <c r="G14" s="140" t="str">
        <f>'12U GIRLS PLATINUM-12 TEAMS'!D18&amp;"-"&amp;'12U GIRLS PLATINUM-12 TEAMS'!I18&amp;"-"&amp;TEXT('12U GIRLS PLATINUM-12 TEAMS'!B18,"h:mm am/pm")</f>
        <v>12Gpt07-B bracket B1,B3-2:30 PM</v>
      </c>
      <c r="H14" s="141" t="str">
        <f>'12U COED-7 TEAMS'!D17&amp;"-"&amp;'12U COED-7 TEAMS'!I17&amp;"-"&amp;TEXT('12U COED-7 TEAMS'!B17,"h:mm am/pm")</f>
        <v>12C06-B bracket B2,B4-2:30 PM</v>
      </c>
      <c r="I14" s="310" t="str">
        <f>'12U BOYS GOLD-24 TEAMS'!D36&amp;"-"&amp;'12U BOYS GOLD-24 TEAMS'!I36&amp;"-"&amp;TEXT('12U BOYS GOLD-24 TEAMS'!B36,"h:mm am/pm")</f>
        <v>12Bau06A-H bracket H2,H3-2:30 PM</v>
      </c>
      <c r="J14" s="320" t="str">
        <f>'12U BOYS GOLD-24 TEAMS'!D21&amp;"-"&amp;'12U BOYS GOLD-24 TEAMS'!I21&amp;"-"&amp;TEXT('12U BOYS GOLD-24 TEAMS'!B21,"h:mm am/pm")</f>
        <v>12Bau07-D bracket D2,D3-2:30 PM</v>
      </c>
      <c r="K14" s="98" t="str">
        <f>'14U BOYS GOLD-26 TEAMS'!D34&amp;"-"&amp;'14U BOYS GOLD-26 TEAMS'!I34&amp;"-"&amp;TEXT('14U BOYS GOLD-26 TEAMS'!B34,"h:mm am/pm")</f>
        <v>14Bau05-3rd/4th D-2:30 PM</v>
      </c>
      <c r="L14" s="144" t="str">
        <f>'14U BOYS PLATINUM-20 TEAMS'!D29&amp;"-"&amp;'14U BOYS PLATINUM-20 TEAMS'!I29&amp;"-"&amp;TEXT('14U BOYS PLATINUM-20 TEAMS'!B29,"h:mm am/pm")</f>
        <v>14Bpt11-3rd/4thF-2:30 PM</v>
      </c>
      <c r="M14" s="144" t="str">
        <f>'14U BOYS PLATINUM-20 TEAMS'!D39&amp;"-"&amp;'14U BOYS PLATINUM-20 TEAMS'!I39&amp;"-"&amp;TEXT('14U BOYS PLATINUM-20 TEAMS'!B39,"h:mm am/pm")</f>
        <v>14Bpt18-D bracket-2:30 PM</v>
      </c>
      <c r="N14" s="97" t="str">
        <f>'14U GIRLS PLATINUM-10 TEAMS'!D19&amp;"-"&amp;'14U GIRLS PLATINUM-10 TEAMS'!I19&amp;"-"&amp;TEXT('14U GIRLS PLATINUM-10 TEAMS'!B19,"h:mm am/pm")</f>
        <v>14Gpt10-C bracket C2,C3-2:30 PM</v>
      </c>
      <c r="O14" s="146" t="str">
        <f>'14U BOYS SILVER-18 TEAMS'!D28&amp;"-"&amp;'14U BOYS SILVER-18 TEAMS'!I28&amp;"-"&amp;TEXT('14U BOYS SILVER-18 TEAMS'!B28,"h:mm am/pm")</f>
        <v>14Bag13-A bracket A1,A2-2:30 PM</v>
      </c>
      <c r="P14" s="145" t="str">
        <f>'14U GIRLS GOLD-14 TEAMS'!D22&amp;"-"&amp;'14U GIRLS GOLD-14 TEAMS'!I22&amp;"-"&amp;TEXT('14U GIRLS GOLD-14 TEAMS'!B22,"h:mm am/pm")</f>
        <v>14Gau05-1st/2ndC-2:30 PM</v>
      </c>
      <c r="Q14" s="98" t="str">
        <f>'14U BOYS GOLD-26 TEAMS'!D50&amp;"-"&amp;'14U BOYS GOLD-26 TEAMS'!I50&amp;"-"&amp;TEXT('14U BOYS GOLD-26 TEAMS'!B50,"h:mm am/pm")</f>
        <v>14Bau20-G bracket G2,G3-2:30 PM</v>
      </c>
      <c r="S14" s="23">
        <v>0.60416666666666696</v>
      </c>
      <c r="T14" s="146" t="str">
        <f>'14U BOYS SILVER-18 TEAMS'!D39&amp;"-"&amp;'14U BOYS SILVER-18 TEAMS'!I39&amp;"-"&amp;TEXT('14U BOYS SILVER-18 TEAMS'!B39,"h:mm am/pm")</f>
        <v>14Bag16-E bracket E1,E2-2:30 PM</v>
      </c>
      <c r="V14" s="23">
        <v>0.66666666666666696</v>
      </c>
      <c r="W14" s="109" t="str">
        <f>'19U BOYS PLATINUM-27 TEAMS'!D37&amp;"-"&amp;'19U BOYS PLATINUM-27 TEAMS'!I37&amp;"-"&amp;TEXT('19U BOYS PLATINUM-27 TEAMS'!B37,"h:mm am/pm")</f>
        <v>19Bpt11-C bracket C1,C2-4:00 PM</v>
      </c>
      <c r="X14" s="109" t="str">
        <f>'19U BOYS PLATINUM-27 TEAMS'!D52&amp;"-"&amp;'19U BOYS PLATINUM-27 TEAMS'!I52&amp;"-"&amp;TEXT('19U BOYS PLATINUM-27 TEAMS'!B52,"h:mm am/pm")</f>
        <v>19Bpt20-1st/2nd H-4:00 PM</v>
      </c>
      <c r="Y14" s="107" t="str">
        <f>'19U BOYS GOLD-16 TEAMS'!D20&amp;"-"&amp;'19U BOYS GOLD-16 TEAMS'!I20&amp;"-"&amp;TEXT('19U BOYS GOLD-16 TEAMS'!B20,"h:mm am/pm")</f>
        <v>19Bau07-3rd/4thC-4:00 PM</v>
      </c>
      <c r="Z14" s="154" t="str">
        <f>'16U BOYS SILVER-20 TEAMS'!D44&amp;"-"&amp;'16U BOYS SILVER-20 TEAMS'!I44&amp;"-"&amp;TEXT('16U BOYS SILVER-20 TEAMS'!B44,"h:mm am/pm")</f>
        <v>16Bag20-C bracket-4:00 PM</v>
      </c>
      <c r="AA14" s="149" t="str">
        <f>'16U BOYS PLATINUM-18 TEAMS'!D37&amp;"-"&amp;'16U BOYS PLATINUM-18 TEAMS'!I37&amp;"-"&amp;TEXT('16U BOYS PLATINUM-18 TEAMS'!B37,"h:mm am/pm")</f>
        <v>16Bpt12-F bracket F2,F3-4:00 PM</v>
      </c>
      <c r="AB14" s="151" t="str">
        <f>'16U BOYS GOLD-19 TEAMS'!D32&amp;"-"&amp;'16U BOYS GOLD-19 TEAMS'!I32&amp;"-"&amp;TEXT('16U BOYS GOLD-19 TEAMS'!B32,"h:mm am/pm")</f>
        <v>16Bau08-B bracket-4:00 PM</v>
      </c>
      <c r="AC14" s="152" t="str">
        <f>'16U BOYS GOLD-19 TEAMS'!D44&amp;"-"&amp;'16U BOYS GOLD-19 TEAMS'!I44&amp;"-"&amp;TEXT('16U BOYS GOLD-19 TEAMS'!B44,"h:mm am/pm")</f>
        <v>16Bau19-E bracket-4:00 PM</v>
      </c>
      <c r="AD14" s="149" t="str">
        <f>'16U BOYS PLATINUM-18 TEAMS'!D28&amp;"-"&amp;'16U BOYS PLATINUM-18 TEAMS'!I28&amp;"-"&amp;TEXT('16U BOYS PLATINUM-18 TEAMS'!B28,"h:mm am/pm")</f>
        <v>16Bpt13-A bracket A2,A3-4:00 PM</v>
      </c>
      <c r="AE14" s="154" t="str">
        <f>'16U BOYS SILVER-20 TEAMS'!D31&amp;"-"&amp;'16U BOYS SILVER-20 TEAMS'!I31&amp;"-"&amp;TEXT('16U BOYS SILVER-20 TEAMS'!B31,"h:mm am/pm")</f>
        <v>16Bag05-1st/2ndE-4:00 PM</v>
      </c>
      <c r="AG14" s="23">
        <v>0.60416666666666696</v>
      </c>
      <c r="AH14" s="108" t="str">
        <f>'19U BOYS SILVER-6 TEAMS CUST'!D12&amp;"-"&amp;'19U BOYS SILVER-6 TEAMS CUST'!I12&amp;"-"&amp;TEXT('19U BOYS SILVER-6 TEAMS CUST'!B12,"h:mm am/pm")</f>
        <v>19Bag03-A bracket A2,A3-2:30 PM</v>
      </c>
    </row>
    <row r="15" spans="1:36">
      <c r="A15" s="16">
        <v>0.61458333333333304</v>
      </c>
      <c r="B15" s="111" t="str">
        <f>'10U COED PLATINUM-8 TEAMS'!D18&amp;"-"&amp;'10U COED PLATINUM-8 TEAMS'!I18&amp;"-"&amp;TEXT('10U COED PLATINUM-8 TEAMS'!B18,"h:mm am/pm")</f>
        <v>10Cpt08-bracket, A2/A3-2:45 PM</v>
      </c>
      <c r="C15" s="110" t="str">
        <f>'10U COED GOLD-16 TEAMS CUSTOM'!D21&amp;"-"&amp;'10U COED GOLD-16 TEAMS CUSTOM'!I21&amp;"-"&amp;TEXT('10U COED GOLD-16 TEAMS CUSTOM'!B21,"h:mm am/pm")</f>
        <v>10Cau14-A bracket A1,A2-2:45 PM</v>
      </c>
      <c r="F15" s="16">
        <v>0.63888888888888895</v>
      </c>
      <c r="G15" s="140" t="str">
        <f>'12U GIRLS PLATINUM-12 TEAMS'!D19&amp;"-"&amp;'12U GIRLS PLATINUM-12 TEAMS'!I19&amp;"-"&amp;TEXT('12U GIRLS PLATINUM-12 TEAMS'!B19,"h:mm am/pm")</f>
        <v>12Gpt09-A bracket A2,A3-3:20 PM</v>
      </c>
      <c r="H15" s="141" t="str">
        <f>'12U COED-7 TEAMS'!D18&amp;"-"&amp;'12U COED-7 TEAMS'!I18&amp;"-"&amp;TEXT('12U COED-7 TEAMS'!B18,"h:mm am/pm")</f>
        <v>12C07-A bracket A2,A3-3:20 PM</v>
      </c>
      <c r="I15" s="310" t="str">
        <f>'12U BOYS GOLD-24 TEAMS'!D37&amp;"-"&amp;'12U BOYS GOLD-24 TEAMS'!I37&amp;"-"&amp;TEXT('12U BOYS GOLD-24 TEAMS'!B37,"h:mm am/pm")</f>
        <v>12Bau07A-F bracket F2,F3-3:20 PM</v>
      </c>
      <c r="J15" s="320" t="str">
        <f>'12U BOYS GOLD-24 TEAMS'!D22&amp;"-"&amp;'12U BOYS GOLD-24 TEAMS'!I22&amp;"-"&amp;TEXT('12U BOYS GOLD-24 TEAMS'!B22,"h:mm am/pm")</f>
        <v>12Bau08-B bracket B2,B3-3:20 PM</v>
      </c>
      <c r="K15" s="98" t="str">
        <f>'14U BOYS GOLD-26 TEAMS'!D35&amp;"-"&amp;'14U BOYS GOLD-26 TEAMS'!I35&amp;"-"&amp;TEXT('14U BOYS GOLD-26 TEAMS'!B35,"h:mm am/pm")</f>
        <v>14Bau06-1st/2nd D-3:20 PM</v>
      </c>
      <c r="L15" s="144" t="str">
        <f>'14U BOYS PLATINUM-20 TEAMS'!D30&amp;"-"&amp;'14U BOYS PLATINUM-20 TEAMS'!I30&amp;"-"&amp;TEXT('14U BOYS PLATINUM-20 TEAMS'!B30,"h:mm am/pm")</f>
        <v>14Bpt04-3rd/4thE-3:20 PM</v>
      </c>
      <c r="M15" s="144" t="str">
        <f>'14U BOYS PLATINUM-20 TEAMS'!D40&amp;"-"&amp;'14U BOYS PLATINUM-20 TEAMS'!I40&amp;"-"&amp;TEXT('14U BOYS PLATINUM-20 TEAMS'!B40,"h:mm am/pm")</f>
        <v>14Bpt19-B bracket-3:20 PM</v>
      </c>
      <c r="O15" s="146" t="str">
        <f>'14U BOYS SILVER-18 TEAMS'!D29&amp;"-"&amp;'14U BOYS SILVER-18 TEAMS'!I29&amp;"-"&amp;TEXT('14U BOYS SILVER-18 TEAMS'!B29,"h:mm am/pm")</f>
        <v>14Bag15-B bracket B1,B2-3:20 PM</v>
      </c>
      <c r="P15" s="145" t="str">
        <f>'14U GIRLS GOLD-14 TEAMS'!D23&amp;"-"&amp;'14U GIRLS GOLD-14 TEAMS'!I23&amp;"-"&amp;TEXT('14U GIRLS GOLD-14 TEAMS'!B23,"h:mm am/pm")</f>
        <v>14Gau06-3rd/4thC-3:20 PM</v>
      </c>
      <c r="Q15" s="98" t="str">
        <f>'14U BOYS GOLD-26 TEAMS'!D51&amp;"-"&amp;'14U BOYS GOLD-26 TEAMS'!I51&amp;"-"&amp;TEXT('14U BOYS GOLD-26 TEAMS'!B51,"h:mm am/pm")</f>
        <v>14Bau25-E bracket E1,E2-3:20 PM</v>
      </c>
      <c r="S15" s="23">
        <v>0.63888888888888895</v>
      </c>
      <c r="T15" s="146" t="str">
        <f>'14U BOYS SILVER-18 TEAMS'!D40&amp;"-"&amp;'14U BOYS SILVER-18 TEAMS'!I40&amp;"-"&amp;TEXT('14U BOYS SILVER-18 TEAMS'!B40,"h:mm am/pm")</f>
        <v>14Bag18-F bracket F1,F2-3:20 PM</v>
      </c>
      <c r="V15" s="23">
        <v>0.70833333333333304</v>
      </c>
      <c r="W15" s="109" t="str">
        <f>'19U BOYS PLATINUM-27 TEAMS'!D38&amp;"-"&amp;'19U BOYS PLATINUM-27 TEAMS'!I38&amp;"-"&amp;TEXT('19U BOYS PLATINUM-27 TEAMS'!B38,"h:mm am/pm")</f>
        <v>19Bpt07-A bracket A1,A2-5:00 PM</v>
      </c>
      <c r="X15" s="109" t="str">
        <f>'19U BOYS PLATINUM-27 TEAMS'!D53&amp;"-"&amp;'19U BOYS PLATINUM-27 TEAMS'!I53&amp;"-"&amp;TEXT('19U BOYS PLATINUM-27 TEAMS'!B53,"h:mm am/pm")</f>
        <v>19Bpt21-3rd/4th H-5:00 PM</v>
      </c>
      <c r="Y15" s="107" t="str">
        <f>'19U BOYS GOLD-16 TEAMS'!D21&amp;"-"&amp;'19U BOYS GOLD-16 TEAMS'!I21&amp;"-"&amp;TEXT('19U BOYS GOLD-16 TEAMS'!B21,"h:mm am/pm")</f>
        <v>19Bau08-1st/2ndC-5:00 PM</v>
      </c>
      <c r="Z15" s="154" t="str">
        <f>'16U BOYS SILVER-20 TEAMS'!D45&amp;"-"&amp;'16U BOYS SILVER-20 TEAMS'!I45&amp;"-"&amp;TEXT('16U BOYS SILVER-20 TEAMS'!B45,"h:mm am/pm")</f>
        <v>16Bag23-K bracket-5:00 PM</v>
      </c>
      <c r="AA15" s="149" t="str">
        <f>'16U BOYS PLATINUM-18 TEAMS'!D38&amp;"-"&amp;'16U BOYS PLATINUM-18 TEAMS'!I38&amp;"-"&amp;TEXT('16U BOYS PLATINUM-18 TEAMS'!B38,"h:mm am/pm")</f>
        <v>16Bpt14-D bracket D1,D2-5:00 PM</v>
      </c>
      <c r="AB15" s="151" t="str">
        <f>'16U BOYS GOLD-19 TEAMS'!D33&amp;"-"&amp;'16U BOYS GOLD-19 TEAMS'!I33&amp;"-"&amp;TEXT('16U BOYS GOLD-19 TEAMS'!B33,"h:mm am/pm")</f>
        <v>16Bau09-C bracket-5:00 PM</v>
      </c>
      <c r="AC15" s="107" t="str">
        <f>'19U BOYS GOLD-16 TEAMS'!D22&amp;"-"&amp;'19U BOYS GOLD-16 TEAMS'!I22&amp;"-"&amp;TEXT('19U BOYS GOLD-16 TEAMS'!B22,"h:mm am/pm")</f>
        <v>19Bau13-3rd/4thD-5:00 PM</v>
      </c>
      <c r="AD15" s="149" t="str">
        <f>'16U BOYS PLATINUM-18 TEAMS'!D29&amp;"-"&amp;'16U BOYS PLATINUM-18 TEAMS'!I29&amp;"-"&amp;TEXT('16U BOYS PLATINUM-18 TEAMS'!B29,"h:mm am/pm")</f>
        <v>16Bpt15-B bracket B1,B2-5:00 PM</v>
      </c>
      <c r="AE15" s="154" t="str">
        <f>'16U BOYS SILVER-20 TEAMS'!D32&amp;"-"&amp;'16U BOYS SILVER-20 TEAMS'!I32&amp;"-"&amp;TEXT('16U BOYS SILVER-20 TEAMS'!B32,"h:mm am/pm")</f>
        <v>16Bag21-J bracket-5:00 PM</v>
      </c>
      <c r="AG15" s="23">
        <v>0.64583333333333304</v>
      </c>
      <c r="AH15" s="108" t="str">
        <f>'19U BOYS SILVER-6 TEAMS CUST'!D13&amp;"-"&amp;'19U BOYS SILVER-6 TEAMS CUST'!I13&amp;"-"&amp;TEXT('19U BOYS SILVER-6 TEAMS CUST'!B13,"h:mm am/pm")</f>
        <v>19Bag04-B bracket B1,B2-3:30 PM</v>
      </c>
    </row>
    <row r="16" spans="1:36">
      <c r="A16" s="16">
        <v>0.64583333333333304</v>
      </c>
      <c r="B16" s="113" t="str">
        <f>'10U COED GOLD-16 TEAMS CUSTOM'!D22&amp;"-"&amp;'10U COED GOLD-16 TEAMS CUSTOM'!I22&amp;"-"&amp;TEXT('10U COED GOLD-16 TEAMS CUSTOM'!B22,"h:mm am/pm")</f>
        <v>10Cau11-girls 1st-4th-3:30 PM</v>
      </c>
      <c r="C16" s="110" t="str">
        <f>'10U COED GOLD-16 TEAMS CUSTOM'!D23&amp;"-"&amp;'10U COED GOLD-16 TEAMS CUSTOM'!I23&amp;"-"&amp;TEXT('10U COED GOLD-16 TEAMS CUSTOM'!B23,"h:mm am/pm")</f>
        <v>10Cau15-B bracket B1,B2-3:30 PM</v>
      </c>
      <c r="F16" s="16">
        <v>0.67361111111111105</v>
      </c>
      <c r="G16" s="140" t="str">
        <f>'12U GIRLS PLATINUM-12 TEAMS'!D20&amp;"-"&amp;'12U GIRLS PLATINUM-12 TEAMS'!I20&amp;"-"&amp;TEXT('12U GIRLS PLATINUM-12 TEAMS'!B20,"h:mm am/pm")</f>
        <v>12Gpt08-C bracket C1,C3-4:10 PM</v>
      </c>
      <c r="H16" s="139" t="str">
        <f>'12U BOYS PLATINUM-10 TEAMS'!D18&amp;"-"&amp;'12U BOYS PLATINUM-10 TEAMS'!I18&amp;"-"&amp;TEXT('12U BOYS PLATINUM-10 TEAMS'!B18,"h:mm am/pm")</f>
        <v>12Bpt07-C bracket C1,C2-4:10 PM</v>
      </c>
      <c r="I16" s="310" t="str">
        <f>'12U BOYS GOLD-24 TEAMS'!D38&amp;"-"&amp;'12U BOYS GOLD-24 TEAMS'!I38&amp;"-"&amp;TEXT('12U BOYS GOLD-24 TEAMS'!B38,"h:mm am/pm")</f>
        <v>12Bau09A-E bracket E1,E2-4:10 PM</v>
      </c>
      <c r="J16" s="320" t="str">
        <f>'12U BOYS GOLD-24 TEAMS'!D23&amp;"-"&amp;'12U BOYS GOLD-24 TEAMS'!I23&amp;"-"&amp;TEXT('12U BOYS GOLD-24 TEAMS'!B23,"h:mm am/pm")</f>
        <v>12Bau09-A bracket A2,A3-4:10 PM</v>
      </c>
      <c r="K16" s="98" t="str">
        <f>'14U BOYS GOLD-26 TEAMS'!D36&amp;"-"&amp;'14U BOYS GOLD-26 TEAMS'!I36&amp;"-"&amp;TEXT('14U BOYS GOLD-26 TEAMS'!B36,"h:mm am/pm")</f>
        <v>14Bau07-A bracket A1,A3-4:10 PM</v>
      </c>
      <c r="L16" s="144" t="str">
        <f>'14U BOYS PLATINUM-20 TEAMS'!D31&amp;"-"&amp;'14U BOYS PLATINUM-20 TEAMS'!I31&amp;"-"&amp;TEXT('14U BOYS PLATINUM-20 TEAMS'!B31,"h:mm am/pm")</f>
        <v>14Bpt06-A bracket-4:10 PM</v>
      </c>
      <c r="M16" s="144" t="str">
        <f>'14U BOYS PLATINUM-20 TEAMS'!D41&amp;"-"&amp;'14U BOYS PLATINUM-20 TEAMS'!I41&amp;"-"&amp;TEXT('14U BOYS PLATINUM-20 TEAMS'!B41,"h:mm am/pm")</f>
        <v>14Bpt20-C bracket-4:10 PM</v>
      </c>
      <c r="O16" s="146" t="str">
        <f>'14U BOYS SILVER-18 TEAMS'!D30&amp;"-"&amp;'14U BOYS SILVER-18 TEAMS'!I30&amp;"-"&amp;TEXT('14U BOYS SILVER-18 TEAMS'!B30,"h:mm am/pm")</f>
        <v>14Bag17-C bracket C1,C2-4:10 PM</v>
      </c>
      <c r="Q16" s="98" t="str">
        <f>'14U BOYS GOLD-26 TEAMS'!D52&amp;"-"&amp;'14U BOYS GOLD-26 TEAMS'!I52&amp;"-"&amp;TEXT('14U BOYS GOLD-26 TEAMS'!B52,"h:mm am/pm")</f>
        <v>14Bau26-F bracket F1,F3-4:10 PM</v>
      </c>
      <c r="S16" s="23">
        <v>0.67361111111111105</v>
      </c>
      <c r="V16" s="23">
        <v>0.75</v>
      </c>
      <c r="W16" s="109" t="str">
        <f>'19U BOYS PLATINUM-27 TEAMS'!D39&amp;"-"&amp;'19U BOYS PLATINUM-27 TEAMS'!I39&amp;"-"&amp;TEXT('19U BOYS PLATINUM-27 TEAMS'!B39,"h:mm am/pm")</f>
        <v>19Bpt12-B bracket B1,B2-6:00 PM</v>
      </c>
      <c r="X16" s="109" t="str">
        <f>'19U BOYS PLATINUM-27 TEAMS'!D54&amp;"-"&amp;'19U BOYS PLATINUM-27 TEAMS'!I54&amp;"-"&amp;TEXT('19U BOYS PLATINUM-27 TEAMS'!B54,"h:mm am/pm")</f>
        <v>19Bpt26-E bracket E1,E2-6:00 PM</v>
      </c>
      <c r="Y16" s="107" t="str">
        <f>'19U BOYS GOLD-16 TEAMS'!D24&amp;"-"&amp;'19U BOYS GOLD-16 TEAMS'!I24&amp;"-"&amp;TEXT('19U BOYS GOLD-16 TEAMS'!B24,"h:mm am/pm")</f>
        <v>19Bau15-3rd/4thB-6:00 PM</v>
      </c>
      <c r="Z16" s="154" t="str">
        <f>'16U BOYS SILVER-20 TEAMS'!D46&amp;"-"&amp;'16U BOYS SILVER-20 TEAMS'!I46&amp;"-"&amp;TEXT('16U BOYS SILVER-20 TEAMS'!B46,"h:mm am/pm")</f>
        <v>16Bag22-H bracket-6:00 PM</v>
      </c>
      <c r="AA16" s="149" t="str">
        <f>'16U BOYS PLATINUM-18 TEAMS'!D39&amp;"-"&amp;'16U BOYS PLATINUM-18 TEAMS'!I39&amp;"-"&amp;TEXT('16U BOYS PLATINUM-18 TEAMS'!B39,"h:mm am/pm")</f>
        <v>16Bpt16-E bracket E2,E3-6:00 PM</v>
      </c>
      <c r="AC16" s="107" t="str">
        <f>'19U BOYS GOLD-16 TEAMS'!D23&amp;"-"&amp;'19U BOYS GOLD-16 TEAMS'!I23&amp;"-"&amp;TEXT('19U BOYS GOLD-16 TEAMS'!B23,"h:mm am/pm")</f>
        <v>19Bau14-1st/2ndD-6:00 PM</v>
      </c>
      <c r="AD16" s="149" t="str">
        <f>'16U BOYS PLATINUM-18 TEAMS'!D30&amp;"-"&amp;'16U BOYS PLATINUM-18 TEAMS'!I30&amp;"-"&amp;TEXT('16U BOYS PLATINUM-18 TEAMS'!B30,"h:mm am/pm")</f>
        <v>16Bpt17-C bracket C1,C2-6:00 PM</v>
      </c>
      <c r="AG16" s="23">
        <v>0.6875</v>
      </c>
      <c r="AH16" s="108" t="str">
        <f>'19U BOYS SILVER-6 TEAMS CUST'!D14&amp;"-"&amp;'19U BOYS SILVER-6 TEAMS CUST'!I14&amp;"-"&amp;TEXT('19U BOYS SILVER-6 TEAMS CUST'!B14,"h:mm am/pm")</f>
        <v>19Bag05-A bracket A1,A2-4:30 PM</v>
      </c>
    </row>
    <row r="17" spans="1:39">
      <c r="A17" s="16">
        <v>0.67708333333333304</v>
      </c>
      <c r="B17" s="113" t="str">
        <f>'10U COED GOLD-16 TEAMS CUSTOM'!D24&amp;"-"&amp;'10U COED GOLD-16 TEAMS CUSTOM'!I24&amp;"-"&amp;TEXT('10U COED GOLD-16 TEAMS CUSTOM'!B24,"h:mm am/pm")</f>
        <v>10Cau12-girls 1st-4th-4:15 PM</v>
      </c>
      <c r="C17" s="110" t="str">
        <f>'10U COED GOLD-16 TEAMS CUSTOM'!D25&amp;"-"&amp;'10U COED GOLD-16 TEAMS CUSTOM'!I25&amp;"-"&amp;TEXT('10U COED GOLD-16 TEAMS CUSTOM'!B25,"h:mm am/pm")</f>
        <v>10Cau16-C bracket C1,C2-4:15 PM</v>
      </c>
      <c r="F17" s="16">
        <v>0.70833333333333404</v>
      </c>
      <c r="G17" s="140" t="str">
        <f>'12U GIRLS PLATINUM-12 TEAMS'!D21&amp;"-"&amp;'12U GIRLS PLATINUM-12 TEAMS'!I21&amp;"-"&amp;TEXT('12U GIRLS PLATINUM-12 TEAMS'!B21,"h:mm am/pm")</f>
        <v>12Gpt10-D bracket D2,D3-5:00 PM</v>
      </c>
      <c r="H17" s="139" t="str">
        <f>'12U BOYS PLATINUM-10 TEAMS'!D19&amp;"-"&amp;'12U BOYS PLATINUM-10 TEAMS'!I19&amp;"-"&amp;TEXT('12U BOYS PLATINUM-10 TEAMS'!B19,"h:mm am/pm")</f>
        <v>12Bpt08-C bracket C3,C4-5:00 PM</v>
      </c>
      <c r="I17" s="310" t="str">
        <f>'12U BOYS GOLD-24 TEAMS'!D39&amp;"-"&amp;'12U BOYS GOLD-24 TEAMS'!I39&amp;"-"&amp;TEXT('12U BOYS GOLD-24 TEAMS'!B39,"h:mm am/pm")</f>
        <v>12Bau10A-H bracket H1,H2-5:00 PM</v>
      </c>
      <c r="J17" s="320" t="str">
        <f>'12U BOYS GOLD-24 TEAMS'!D24&amp;"-"&amp;'12U BOYS GOLD-24 TEAMS'!I24&amp;"-"&amp;TEXT('12U BOYS GOLD-24 TEAMS'!B24,"h:mm am/pm")</f>
        <v>12Bau10-C bracket C1,C2-5:00 PM</v>
      </c>
      <c r="K17" s="98" t="str">
        <f>'14U BOYS GOLD-26 TEAMS'!D37&amp;"-"&amp;'14U BOYS GOLD-26 TEAMS'!I37&amp;"-"&amp;TEXT('14U BOYS GOLD-26 TEAMS'!B37,"h:mm am/pm")</f>
        <v>14Bau12-B bracket B1,B2-5:00 PM</v>
      </c>
      <c r="L17" s="144" t="str">
        <f>'14U BOYS PLATINUM-20 TEAMS'!D32&amp;"-"&amp;'14U BOYS PLATINUM-20 TEAMS'!I32&amp;"-"&amp;TEXT('14U BOYS PLATINUM-20 TEAMS'!B32,"h:mm am/pm")</f>
        <v>14Bpt21-J bracket-5:00 PM</v>
      </c>
      <c r="M17" s="144" t="str">
        <f>'14U BOYS PLATINUM-20 TEAMS'!D42&amp;"-"&amp;'14U BOYS PLATINUM-20 TEAMS'!I42&amp;"-"&amp;TEXT('14U BOYS PLATINUM-20 TEAMS'!B42,"h:mm am/pm")</f>
        <v>14Bpt05-1st/2ndE-5:00 PM</v>
      </c>
      <c r="S17" s="23">
        <v>0.70833333333333404</v>
      </c>
      <c r="V17" s="23">
        <v>0.79166666666666696</v>
      </c>
      <c r="W17" s="109" t="str">
        <f>'19U BOYS PLATINUM-27 TEAMS'!D40&amp;"-"&amp;'19U BOYS PLATINUM-27 TEAMS'!I40&amp;"-"&amp;TEXT('19U BOYS PLATINUM-27 TEAMS'!B40,"h:mm am/pm")</f>
        <v>19Bpt13-C bracket C2,C3-7:00 PM</v>
      </c>
      <c r="X17" s="109" t="str">
        <f>'19U BOYS PLATINUM-27 TEAMS'!D55&amp;"-"&amp;'19U BOYS PLATINUM-27 TEAMS'!I55&amp;"-"&amp;TEXT('19U BOYS PLATINUM-27 TEAMS'!B55,"h:mm am/pm")</f>
        <v>19Bpt27-F bracket F1,F2-7:00 PM</v>
      </c>
      <c r="Y17" s="107" t="str">
        <f>'19U BOYS GOLD-16 TEAMS'!D25&amp;"-"&amp;'19U BOYS GOLD-16 TEAMS'!I25&amp;"-"&amp;TEXT('19U BOYS GOLD-16 TEAMS'!B25,"h:mm am/pm")</f>
        <v>19Bau16-1st/2ndB-7:00 PM</v>
      </c>
      <c r="Z17" s="154" t="str">
        <f>'16U BOYS SILVER-20 TEAMS'!D47&amp;"-"&amp;'16U BOYS SILVER-20 TEAMS'!I47&amp;"-"&amp;TEXT('16U BOYS SILVER-20 TEAMS'!B47,"h:mm am/pm")</f>
        <v>16Bag34-G bracket-7:00 PM</v>
      </c>
      <c r="AA17" s="149" t="str">
        <f>'16U BOYS PLATINUM-18 TEAMS'!D40&amp;"-"&amp;'16U BOYS PLATINUM-18 TEAMS'!I40&amp;"-"&amp;TEXT('16U BOYS PLATINUM-18 TEAMS'!B40,"h:mm am/pm")</f>
        <v>16Bpt18-F bracket F1,F2-7:00 PM</v>
      </c>
      <c r="AG17" s="23">
        <v>0.72916666666666696</v>
      </c>
      <c r="AH17" s="108" t="str">
        <f>'19U BOYS SILVER-6 TEAMS CUST'!D15&amp;"-"&amp;'19U BOYS SILVER-6 TEAMS CUST'!I15&amp;"-"&amp;TEXT('19U BOYS SILVER-6 TEAMS CUST'!B15,"h:mm am/pm")</f>
        <v>19Bag06-B bracket B2,B3-5:30 PM</v>
      </c>
    </row>
    <row r="18" spans="1:39">
      <c r="F18" s="16">
        <v>0.74305555555555602</v>
      </c>
      <c r="G18" s="140" t="str">
        <f>'12U GIRLS PLATINUM-12 TEAMS'!D22&amp;"-"&amp;'12U GIRLS PLATINUM-12 TEAMS'!I22&amp;"-"&amp;TEXT('12U GIRLS PLATINUM-12 TEAMS'!B22,"h:mm am/pm")</f>
        <v>12Gpt11-B bracket B2,B3-5:50 PM</v>
      </c>
      <c r="H18" s="139" t="str">
        <f>'12U BOYS PLATINUM-10 TEAMS'!D20&amp;"-"&amp;'12U BOYS PLATINUM-10 TEAMS'!I20&amp;"-"&amp;TEXT('12U BOYS PLATINUM-10 TEAMS'!B20,"h:mm am/pm")</f>
        <v>12Bpt09-A bracket A1,A2-5:50 PM</v>
      </c>
      <c r="I18" s="310" t="str">
        <f>'12U BOYS GOLD-24 TEAMS'!D40&amp;"-"&amp;'12U BOYS GOLD-24 TEAMS'!I40&amp;"-"&amp;TEXT('12U BOYS GOLD-24 TEAMS'!B40,"h:mm am/pm")</f>
        <v>12Bau11A-F bracket F1,F2-5:50 PM</v>
      </c>
      <c r="J18" s="320" t="str">
        <f>'12U BOYS GOLD-24 TEAMS'!D25&amp;"-"&amp;'12U BOYS GOLD-24 TEAMS'!I25&amp;"-"&amp;TEXT('12U BOYS GOLD-24 TEAMS'!B25,"h:mm am/pm")</f>
        <v>12Bau11-D bracket D1,D2-5:50 PM</v>
      </c>
      <c r="K18" s="98" t="str">
        <f>'14U BOYS GOLD-26 TEAMS'!D38&amp;"-"&amp;'14U BOYS GOLD-26 TEAMS'!I38&amp;"-"&amp;TEXT('14U BOYS GOLD-26 TEAMS'!B38,"h:mm am/pm")</f>
        <v>14Bau13-C bracket C2,C3-5:50 PM</v>
      </c>
      <c r="L18" s="144" t="str">
        <f>'14U BOYS PLATINUM-20 TEAMS'!D33&amp;"-"&amp;'14U BOYS PLATINUM-20 TEAMS'!I33&amp;"-"&amp;TEXT('14U BOYS PLATINUM-20 TEAMS'!B33,"h:mm am/pm")</f>
        <v>14Bpt23-K bracket-5:50 PM</v>
      </c>
      <c r="M18" s="144" t="str">
        <f>'14U BOYS PLATINUM-20 TEAMS'!D43&amp;"-"&amp;'14U BOYS PLATINUM-20 TEAMS'!I43&amp;"-"&amp;TEXT('14U BOYS PLATINUM-20 TEAMS'!B43,"h:mm am/pm")</f>
        <v>14Bpt22-H bracket-5:50 PM</v>
      </c>
      <c r="S18" s="23">
        <v>0.74305555555555602</v>
      </c>
      <c r="AG18" s="23">
        <v>0.77083333333333304</v>
      </c>
    </row>
    <row r="19" spans="1:39">
      <c r="F19" s="16">
        <v>0.77777777777777801</v>
      </c>
      <c r="G19" s="140" t="str">
        <f>'12U GIRLS PLATINUM-12 TEAMS'!D23&amp;"-"&amp;'12U GIRLS PLATINUM-12 TEAMS'!I23&amp;"-"&amp;TEXT('12U GIRLS PLATINUM-12 TEAMS'!B23,"h:mm am/pm")</f>
        <v>12Gpt12-C bracket C1,C2-6:40 PM</v>
      </c>
      <c r="H19" s="139" t="str">
        <f>'12U BOYS PLATINUM-10 TEAMS'!D21&amp;"-"&amp;'12U BOYS PLATINUM-10 TEAMS'!I21&amp;"-"&amp;TEXT('12U BOYS PLATINUM-10 TEAMS'!B21,"h:mm am/pm")</f>
        <v>12Bpt10-B bracket B1,B3-6:40 PM</v>
      </c>
      <c r="J19" s="320" t="str">
        <f>'12U BOYS GOLD-24 TEAMS'!D26&amp;"-"&amp;'12U BOYS GOLD-24 TEAMS'!I26&amp;"-"&amp;TEXT('12U BOYS GOLD-24 TEAMS'!B26,"h:mm am/pm")</f>
        <v>12Bau12-B bracket B1,B2-6:40 PM</v>
      </c>
      <c r="M19" s="144" t="str">
        <f>'14U BOYS PLATINUM-20 TEAMS'!D44&amp;"-"&amp;'14U BOYS PLATINUM-20 TEAMS'!I44&amp;"-"&amp;TEXT('14U BOYS PLATINUM-20 TEAMS'!B44,"h:mm am/pm")</f>
        <v>14Bpt34-G bracket-6:40 PM</v>
      </c>
      <c r="S19" s="23">
        <v>0.77777777777777801</v>
      </c>
    </row>
    <row r="20" spans="1:39">
      <c r="AJ20" s="14" t="s">
        <v>1222</v>
      </c>
    </row>
    <row r="21" spans="1:39">
      <c r="A21" s="14" t="s">
        <v>1223</v>
      </c>
      <c r="B21" s="14">
        <f>COUNTA(B5:B20)</f>
        <v>12</v>
      </c>
      <c r="C21" s="14">
        <f>COUNTA(C5:C20)</f>
        <v>12</v>
      </c>
      <c r="D21" s="14">
        <f>COUNTA(D5:D20)</f>
        <v>8</v>
      </c>
      <c r="G21" s="14">
        <f t="shared" ref="G21:Q21" si="0">COUNTA(G5:G20)</f>
        <v>15</v>
      </c>
      <c r="H21" s="14">
        <f t="shared" si="0"/>
        <v>15</v>
      </c>
      <c r="I21" s="14">
        <f t="shared" si="0"/>
        <v>13</v>
      </c>
      <c r="J21" s="14">
        <f t="shared" si="0"/>
        <v>10</v>
      </c>
      <c r="K21" s="14">
        <f t="shared" si="0"/>
        <v>13</v>
      </c>
      <c r="L21" s="14">
        <f t="shared" si="0"/>
        <v>14</v>
      </c>
      <c r="M21" s="14">
        <f t="shared" si="0"/>
        <v>10</v>
      </c>
      <c r="N21" s="14">
        <f t="shared" si="0"/>
        <v>10</v>
      </c>
      <c r="O21" s="14">
        <f>COUNTA(O5:O20)</f>
        <v>12</v>
      </c>
      <c r="P21" s="14">
        <f>COUNTA(P5:P20)</f>
        <v>11</v>
      </c>
      <c r="Q21" s="14">
        <f t="shared" si="0"/>
        <v>11</v>
      </c>
      <c r="T21" s="14">
        <f>COUNTA(T5:T20)</f>
        <v>11</v>
      </c>
      <c r="W21" s="14">
        <f>COUNTA(W5:W20)</f>
        <v>13</v>
      </c>
      <c r="X21" s="14">
        <f>COUNTA(X5:X20)</f>
        <v>13</v>
      </c>
      <c r="Y21" s="14">
        <f>COUNTA(Y5:Y20)</f>
        <v>13</v>
      </c>
      <c r="Z21" s="14">
        <f t="shared" ref="Z21:AE21" si="1">COUNTA(Z5:Z20)</f>
        <v>7</v>
      </c>
      <c r="AA21" s="14">
        <f>COUNTA(AA5:AA20)</f>
        <v>13</v>
      </c>
      <c r="AB21" s="14">
        <f t="shared" si="1"/>
        <v>11</v>
      </c>
      <c r="AC21" s="14">
        <f>COUNTA(AC5:AC20)</f>
        <v>12</v>
      </c>
      <c r="AD21" s="14">
        <f>COUNTA(AD5:AD20)</f>
        <v>12</v>
      </c>
      <c r="AE21" s="14">
        <f t="shared" si="1"/>
        <v>10</v>
      </c>
      <c r="AH21" s="14">
        <f>COUNTA(AH5:AH20)</f>
        <v>6</v>
      </c>
      <c r="AJ21" s="14">
        <f>SUM(B21:AH21)</f>
        <v>287</v>
      </c>
    </row>
    <row r="22" spans="1:39">
      <c r="X22" s="14" t="s">
        <v>1224</v>
      </c>
    </row>
    <row r="23" spans="1:39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24"/>
      <c r="T23" s="15"/>
      <c r="U23" s="15"/>
      <c r="V23" s="24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15"/>
      <c r="AI23" s="15"/>
      <c r="AJ23" s="15"/>
      <c r="AK23" s="15"/>
      <c r="AL23" s="15"/>
    </row>
    <row r="24" spans="1:39">
      <c r="J24" s="7" t="s">
        <v>1225</v>
      </c>
      <c r="Z24" s="7" t="s">
        <v>1189</v>
      </c>
      <c r="AH24" s="7" t="s">
        <v>1226</v>
      </c>
    </row>
    <row r="25" spans="1:39">
      <c r="A25" s="14" t="s">
        <v>1227</v>
      </c>
      <c r="B25" s="18" t="s">
        <v>1192</v>
      </c>
      <c r="C25" s="18" t="s">
        <v>1192</v>
      </c>
      <c r="D25" s="18" t="s">
        <v>1192</v>
      </c>
      <c r="G25" s="17" t="s">
        <v>1193</v>
      </c>
      <c r="H25" s="17" t="s">
        <v>1193</v>
      </c>
      <c r="I25" s="17" t="s">
        <v>1193</v>
      </c>
      <c r="J25" s="17" t="s">
        <v>1193</v>
      </c>
      <c r="K25" s="19" t="s">
        <v>1194</v>
      </c>
      <c r="L25" s="19" t="s">
        <v>1194</v>
      </c>
      <c r="M25" s="19" t="s">
        <v>1194</v>
      </c>
      <c r="N25" s="19" t="s">
        <v>1194</v>
      </c>
      <c r="O25" s="19" t="s">
        <v>1194</v>
      </c>
      <c r="P25" s="19" t="s">
        <v>1194</v>
      </c>
      <c r="Q25" s="19" t="s">
        <v>1194</v>
      </c>
      <c r="S25" s="304" t="s">
        <v>1228</v>
      </c>
      <c r="T25" s="19" t="s">
        <v>1229</v>
      </c>
      <c r="V25" s="22"/>
      <c r="W25" s="20" t="s">
        <v>1195</v>
      </c>
      <c r="X25" s="20" t="s">
        <v>1195</v>
      </c>
      <c r="Y25" s="20" t="s">
        <v>1195</v>
      </c>
      <c r="Z25" s="20" t="s">
        <v>1195</v>
      </c>
      <c r="AA25" s="20" t="s">
        <v>1195</v>
      </c>
      <c r="AB25" s="20" t="s">
        <v>1195</v>
      </c>
      <c r="AC25" s="20" t="s">
        <v>1195</v>
      </c>
      <c r="AD25" s="20" t="s">
        <v>1195</v>
      </c>
      <c r="AE25" s="20" t="s">
        <v>1195</v>
      </c>
      <c r="AG25" s="22"/>
      <c r="AH25" s="20" t="s">
        <v>1195</v>
      </c>
      <c r="AJ25" s="14" t="s">
        <v>1196</v>
      </c>
    </row>
    <row r="26" spans="1:39">
      <c r="B26" s="14" t="s">
        <v>1197</v>
      </c>
      <c r="C26" s="14" t="s">
        <v>1198</v>
      </c>
      <c r="D26" s="14" t="s">
        <v>1199</v>
      </c>
      <c r="G26" s="14" t="s">
        <v>1200</v>
      </c>
      <c r="H26" s="14" t="s">
        <v>1201</v>
      </c>
      <c r="I26" s="14" t="s">
        <v>1202</v>
      </c>
      <c r="J26" s="14" t="s">
        <v>1203</v>
      </c>
      <c r="K26" s="14" t="s">
        <v>1204</v>
      </c>
      <c r="L26" s="14" t="s">
        <v>1205</v>
      </c>
      <c r="M26" s="14" t="s">
        <v>1206</v>
      </c>
      <c r="N26" s="14" t="s">
        <v>1207</v>
      </c>
      <c r="O26" s="14" t="s">
        <v>1208</v>
      </c>
      <c r="P26" s="14" t="s">
        <v>1209</v>
      </c>
      <c r="Q26" s="14" t="s">
        <v>1210</v>
      </c>
      <c r="T26" s="14" t="s">
        <v>1211</v>
      </c>
      <c r="W26" s="14" t="s">
        <v>1212</v>
      </c>
      <c r="X26" s="14" t="s">
        <v>1213</v>
      </c>
      <c r="Y26" s="14" t="s">
        <v>1214</v>
      </c>
      <c r="Z26" s="14" t="s">
        <v>1215</v>
      </c>
      <c r="AA26" s="14" t="s">
        <v>1216</v>
      </c>
      <c r="AB26" s="14" t="s">
        <v>1217</v>
      </c>
      <c r="AC26" s="14" t="s">
        <v>1218</v>
      </c>
      <c r="AD26" s="14" t="s">
        <v>1219</v>
      </c>
      <c r="AE26" s="14" t="s">
        <v>1220</v>
      </c>
      <c r="AH26" s="14" t="s">
        <v>1221</v>
      </c>
      <c r="AJ26" s="14">
        <f>COUNTA(A26:AH26)</f>
        <v>25</v>
      </c>
    </row>
    <row r="27" spans="1:39">
      <c r="F27" s="16">
        <v>0.29166666666666669</v>
      </c>
      <c r="G27" s="140" t="str">
        <f>'12U GIRLS PLATINUM-12 TEAMS'!D27&amp;"-"&amp;'12U GIRLS PLATINUM-12 TEAMS'!I27&amp;"-"&amp;TEXT('12U GIRLS PLATINUM-12 TEAMS'!B27,"h:mm am/pm")</f>
        <v>12Gpt15-5-8 semi 2A/2D-7:00 AM</v>
      </c>
      <c r="H27" s="139" t="str">
        <f>'12U BOYS PLATINUM-10 TEAMS'!D25&amp;"-"&amp;'12U BOYS PLATINUM-10 TEAMS'!I25&amp;"-"&amp;TEXT('12U BOYS PLATINUM-10 TEAMS'!B25,"h:mm am/pm")</f>
        <v>12Bpt11-C bracket C2,C4-7:00 AM</v>
      </c>
      <c r="I27" s="15"/>
      <c r="J27" s="141" t="str">
        <f>'12U COED-7 TEAMS'!D22&amp;"-"&amp;'12U COED-7 TEAMS'!I22&amp;"-"&amp;TEXT('12U COED-7 TEAMS'!B22,"h:mm am/pm")</f>
        <v>12C08-B bracket B3,B4-7:00 AM</v>
      </c>
      <c r="K27" s="15"/>
      <c r="L27" s="146" t="str">
        <f>'14U BOYS SILVER-18 TEAMS'!D57&amp;"-"&amp;'14U BOYS SILVER-18 TEAMS'!I57&amp;"-"&amp;TEXT('14U BOYS SILVER-18 TEAMS'!B57,"h:mm am/pm")</f>
        <v>14Bag28-13th-18th-7:00 AM</v>
      </c>
      <c r="M27" s="146" t="str">
        <f>'14U BOYS SILVER-18 TEAMS'!D56&amp;"-"&amp;'14U BOYS SILVER-18 TEAMS'!I56&amp;"-"&amp;TEXT('14U BOYS SILVER-18 TEAMS'!B56,"h:mm am/pm")</f>
        <v>14Bag26-7th-12th-7:00 AM</v>
      </c>
      <c r="N27" s="97" t="str">
        <f>'14U GIRLS PLATINUM-10 TEAMS'!D23&amp;"-"&amp;'14U GIRLS PLATINUM-10 TEAMS'!I23&amp;"-"&amp;TEXT('14U GIRLS PLATINUM-10 TEAMS'!B23,"h:mm am/pm")</f>
        <v>14Gpt11-C bracket C2,C4-7:00 AM</v>
      </c>
      <c r="O27" s="145" t="str">
        <f>'14U GIRLS GOLD-14 TEAMS'!D27&amp;"-"&amp;'14U GIRLS GOLD-14 TEAMS'!I27&amp;"-"&amp;TEXT('14U GIRLS GOLD-14 TEAMS'!B27,"h:mm am/pm")</f>
        <v>14Gau24-5-8 semi-7:00 AM</v>
      </c>
      <c r="P27" s="146" t="str">
        <f>'14U BOYS SILVER-18 TEAMS'!D58&amp;"-"&amp;'14U BOYS SILVER-18 TEAMS'!I58&amp;"-"&amp;TEXT('14U BOYS SILVER-18 TEAMS'!B58,"h:mm am/pm")</f>
        <v>14Bag30-13th-18th-7:00 AM</v>
      </c>
      <c r="Q27" s="15"/>
      <c r="S27" s="23">
        <v>0.29166666666666669</v>
      </c>
      <c r="T27" s="145" t="str">
        <f>'14U GIRLS GOLD-14 TEAMS'!D28&amp;"-"&amp;'14U GIRLS GOLD-14 TEAMS'!I28&amp;"-"&amp;TEXT('14U GIRLS GOLD-14 TEAMS'!B28,"h:mm am/pm")</f>
        <v>14Gau18-9th-14th 3B,4D-7:00 AM</v>
      </c>
      <c r="V27" s="23">
        <v>0.29166666666666669</v>
      </c>
      <c r="W27" s="109" t="str">
        <f>'19U BOYS PLATINUM-27 TEAMS'!D59&amp;"-"&amp;'19U BOYS PLATINUM-27 TEAMS'!I59&amp;"-"&amp;TEXT('19U BOYS PLATINUM-27 TEAMS'!B59,"h:mm am/pm")</f>
        <v>19Bpt39-W/L O-7:00 AM</v>
      </c>
      <c r="X27" s="149" t="str">
        <f>'16U BOYS PLATINUM-18 TEAMS'!D44&amp;"-"&amp;'16U BOYS PLATINUM-18 TEAMS'!I44&amp;"-"&amp;TEXT('16U BOYS PLATINUM-18 TEAMS'!B44,"h:mm am/pm")</f>
        <v>16Bpt19-1st-6th-7:00 AM</v>
      </c>
      <c r="Y27" s="151" t="str">
        <f>'16U BOYS GOLD-19 TEAMS'!D48&amp;"-"&amp;'16U BOYS GOLD-19 TEAMS'!I48&amp;"-"&amp;TEXT('16U BOYS GOLD-19 TEAMS'!B48,"h:mm am/pm")</f>
        <v>16Bau20-G bracket G1,G3-7:00 AM</v>
      </c>
      <c r="Z27" s="15"/>
      <c r="AA27" s="154" t="str">
        <f>'16U BOYS SILVER-20 TEAMS'!D63&amp;"-"&amp;'16U BOYS SILVER-20 TEAMS'!I63&amp;"-"&amp;TEXT('16U BOYS SILVER-20 TEAMS'!B63,"h:mm am/pm")</f>
        <v>16Bag36-W/L I-7:00 AM</v>
      </c>
      <c r="AB27" s="154" t="str">
        <f>'16U BOYS SILVER-20 TEAMS'!D64&amp;"-"&amp;'16U BOYS SILVER-20 TEAMS'!I64&amp;"-"&amp;TEXT('16U BOYS SILVER-20 TEAMS'!B64,"h:mm am/pm")</f>
        <v>16Bag37-W/L I-7:00 AM</v>
      </c>
      <c r="AC27" s="154" t="str">
        <f>'16U BOYS SILVER-20 TEAMS'!D65&amp;"-"&amp;'16U BOYS SILVER-20 TEAMS'!I65&amp;"-"&amp;TEXT('16U BOYS SILVER-20 TEAMS'!B65,"h:mm am/pm")</f>
        <v>16Bag33-W/L L-7:00 AM</v>
      </c>
      <c r="AD27" s="154" t="str">
        <f>'16U BOYS SILVER-20 TEAMS'!D51&amp;"-"&amp;'16U BOYS SILVER-20 TEAMS'!I51&amp;"-"&amp;TEXT('16U BOYS SILVER-20 TEAMS'!B51,"h:mm am/pm")</f>
        <v>16Bag24-H bracket-7:00 AM</v>
      </c>
      <c r="AE27" s="15"/>
      <c r="AG27" s="23">
        <v>0.29166666666666669</v>
      </c>
      <c r="AH27" s="152" t="str">
        <f>'16U BOYS GOLD-19 TEAMS'!D60&amp;"-"&amp;'16U BOYS GOLD-19 TEAMS'!I60&amp;"-"&amp;TEXT('16U BOYS GOLD-19 TEAMS'!B60,"h:mm am/pm")</f>
        <v>16Bau31-J bracket J1,J3-7:00 AM</v>
      </c>
    </row>
    <row r="28" spans="1:39">
      <c r="A28" s="16">
        <v>0.33333333333333331</v>
      </c>
      <c r="B28" s="113" t="str">
        <f>'10U COED GOLD-16 TEAMS CUSTOM'!D29&amp;"-"&amp;'10U COED GOLD-16 TEAMS CUSTOM'!I29&amp;"-"&amp;TEXT('10U COED GOLD-16 TEAMS CUSTOM'!B29,"h:mm am/pm")</f>
        <v>10Cau17-girls 1st-4th-8:00 AM</v>
      </c>
      <c r="C28" s="112" t="str">
        <f>'10U BOYS-8 TEAMS'!D21&amp;"-"&amp;'10U BOYS-8 TEAMS'!I21&amp;"-"&amp;TEXT('10U BOYS-8 TEAMS'!B21,"h:mm am/pm")</f>
        <v>10B09-bracket, B3/B4-8:00 AM</v>
      </c>
      <c r="D28" s="110" t="str">
        <f>'10U COED GOLD-16 TEAMS CUSTOM'!D30&amp;"-"&amp;'10U COED GOLD-16 TEAMS CUSTOM'!I30&amp;"-"&amp;TEXT('10U COED GOLD-16 TEAMS CUSTOM'!B30,"h:mm am/pm")</f>
        <v>10Cau19-5-8 coed semi-8:00 AM</v>
      </c>
      <c r="F28" s="16">
        <v>0.3263888888888889</v>
      </c>
      <c r="G28" s="140" t="str">
        <f>'12U GIRLS PLATINUM-12 TEAMS'!D28&amp;"-"&amp;'12U GIRLS PLATINUM-12 TEAMS'!I28&amp;"-"&amp;TEXT('12U GIRLS PLATINUM-12 TEAMS'!B28,"h:mm am/pm")</f>
        <v>12Gpt21-9-12 semi 3A/3D-7:50 AM</v>
      </c>
      <c r="H28" s="139" t="str">
        <f>'12U BOYS PLATINUM-10 TEAMS'!D26&amp;"-"&amp;'12U BOYS PLATINUM-10 TEAMS'!I26&amp;"-"&amp;TEXT('12U BOYS PLATINUM-10 TEAMS'!B26,"h:mm am/pm")</f>
        <v>12Bpt12-C bracket C1,C3-7:50 AM</v>
      </c>
      <c r="I28" s="320" t="str">
        <f>'12U BOYS GOLD-24 TEAMS'!D44&amp;"-"&amp;'12U BOYS GOLD-24 TEAMS'!I44&amp;"-"&amp;TEXT('12U BOYS GOLD-24 TEAMS'!B44,"h:mm am/pm")</f>
        <v>12Bau17-1-8 cross 1A/1D-7:50 AM</v>
      </c>
      <c r="J28" s="141" t="str">
        <f>'12U COED-7 TEAMS'!D23&amp;"-"&amp;'12U COED-7 TEAMS'!I23&amp;"-"&amp;TEXT('12U COED-7 TEAMS'!B23,"h:mm am/pm")</f>
        <v>12C09-B bracket B1,B2-7:50 AM</v>
      </c>
      <c r="K28" s="146" t="str">
        <f>'14U BOYS SILVER-18 TEAMS'!D44&amp;"-"&amp;'14U BOYS SILVER-18 TEAMS'!I44&amp;"-"&amp;TEXT('14U BOYS SILVER-18 TEAMS'!B44,"h:mm am/pm")</f>
        <v>14Bag19-1st-6th-7:50 AM</v>
      </c>
      <c r="L28" s="144" t="str">
        <f>'14U BOYS PLATINUM-20 TEAMS'!D48&amp;"-"&amp;'14U BOYS PLATINUM-20 TEAMS'!I48&amp;"-"&amp;TEXT('14U BOYS PLATINUM-20 TEAMS'!B48,"h:mm am/pm")</f>
        <v>14Bpt24-H bracket-7:50 AM</v>
      </c>
      <c r="M28" s="144" t="str">
        <f>'14U BOYS PLATINUM-20 TEAMS'!D61&amp;"-"&amp;'14U BOYS PLATINUM-20 TEAMS'!I61&amp;"-"&amp;TEXT('14U BOYS PLATINUM-20 TEAMS'!B61,"h:mm am/pm")</f>
        <v>14Bpt33-W/L L-7:50 AM</v>
      </c>
      <c r="N28" s="97" t="str">
        <f>'14U GIRLS PLATINUM-10 TEAMS'!D24&amp;"-"&amp;'14U GIRLS PLATINUM-10 TEAMS'!I24&amp;"-"&amp;TEXT('14U GIRLS PLATINUM-10 TEAMS'!B24,"h:mm am/pm")</f>
        <v>14Gpt12-C bracket C1,C3-7:50 AM</v>
      </c>
      <c r="O28" s="380" t="str">
        <f>'14U GIRLS GOLD-14 TEAMS'!D29&amp;"-"&amp;'14U GIRLS GOLD-14 TEAMS'!I29&amp;"-"&amp;TEXT('14U GIRLS GOLD-14 TEAMS'!B29,"h:mm am/pm")</f>
        <v>14Gau23-5-8 semi-7:50 AM</v>
      </c>
      <c r="P28" s="98" t="str">
        <f>'14U BOYS GOLD-26 TEAMS'!D67&amp;"-"&amp;'14U BOYS GOLD-26 TEAMS'!I67&amp;"-"&amp;TEXT('14U BOYS GOLD-26 TEAMS'!B67,"h:mm am/pm")</f>
        <v>14Bau41-N bracket-7:50 AM</v>
      </c>
      <c r="Q28" s="98" t="str">
        <f>'14U BOYS GOLD-26 TEAMS'!D56&amp;"-"&amp;'14U BOYS GOLD-26 TEAMS'!I56&amp;"-"&amp;TEXT('14U BOYS GOLD-26 TEAMS'!B56,"h:mm am/pm")</f>
        <v>14Bau27-1st-8th-7:50 AM</v>
      </c>
      <c r="S28" s="23">
        <v>0.3263888888888889</v>
      </c>
      <c r="T28" s="145" t="str">
        <f>'14U GIRLS GOLD-14 TEAMS'!D30&amp;"-"&amp;'14U GIRLS GOLD-14 TEAMS'!I30&amp;"-"&amp;TEXT('14U GIRLS GOLD-14 TEAMS'!B30,"h:mm am/pm")</f>
        <v>14Gau16-9th-14th 3A,3D-7:50 AM</v>
      </c>
      <c r="V28" s="23">
        <v>0.33333333333333298</v>
      </c>
      <c r="W28" s="109" t="str">
        <f>'19U BOYS PLATINUM-27 TEAMS'!D60&amp;"-"&amp;'19U BOYS PLATINUM-27 TEAMS'!I60&amp;"-"&amp;TEXT('19U BOYS PLATINUM-27 TEAMS'!B60,"h:mm am/pm")</f>
        <v>19Bpt28-1st-8th-8:00 AM</v>
      </c>
      <c r="X28" s="149" t="str">
        <f>'16U BOYS PLATINUM-18 TEAMS'!D45&amp;"-"&amp;'16U BOYS PLATINUM-18 TEAMS'!I45&amp;"-"&amp;TEXT('16U BOYS PLATINUM-18 TEAMS'!B45,"h:mm am/pm")</f>
        <v>16Bpt21-1st-6th-8:00 AM</v>
      </c>
      <c r="Y28" s="151" t="str">
        <f>'16U BOYS GOLD-19 TEAMS'!D49&amp;"-"&amp;'16U BOYS GOLD-19 TEAMS'!I49&amp;"-"&amp;TEXT('16U BOYS GOLD-19 TEAMS'!B49,"h:mm am/pm")</f>
        <v>16Bau21-H bracket H1,H3-8:00 AM</v>
      </c>
      <c r="Z28" s="15"/>
      <c r="AA28" s="109" t="str">
        <f>'19U BOYS PLATINUM-27 TEAMS'!D72&amp;"-"&amp;'19U BOYS PLATINUM-27 TEAMS'!I72&amp;"-"&amp;TEXT('19U BOYS PLATINUM-27 TEAMS'!B72,"h:mm am/pm")</f>
        <v>19Bpt38-W/L O-9:00 AM</v>
      </c>
      <c r="AB28" s="149" t="str">
        <f>'16U BOYS PLATINUM-18 TEAMS'!D56&amp;"-"&amp;'16U BOYS PLATINUM-18 TEAMS'!I56&amp;"-"&amp;TEXT('16U BOYS PLATINUM-18 TEAMS'!B56,"h:mm am/pm")</f>
        <v>16Bpt26-7th-12th-8:00 AM</v>
      </c>
      <c r="AC28" s="154" t="str">
        <f>'16U BOYS SILVER-20 TEAMS'!D66&amp;"-"&amp;'16U BOYS SILVER-20 TEAMS'!I66&amp;"-"&amp;TEXT('16U BOYS SILVER-20 TEAMS'!B66,"h:mm am/pm")</f>
        <v>16Bag35-W/L L-8:00 AM</v>
      </c>
      <c r="AD28" s="154" t="str">
        <f>'16U BOYS SILVER-20 TEAMS'!D52&amp;"-"&amp;'16U BOYS SILVER-20 TEAMS'!I52&amp;"-"&amp;TEXT('16U BOYS SILVER-20 TEAMS'!B52,"h:mm am/pm")</f>
        <v>16Bag25-G bracket-8:00 AM</v>
      </c>
      <c r="AE28" s="108" t="str">
        <f>'19U BOYS SILVER-6 TEAMS CUST'!D19&amp;"-"&amp;'19U BOYS SILVER-6 TEAMS CUST'!I19&amp;"-"&amp;TEXT('19U BOYS SILVER-6 TEAMS CUST'!B19,"h:mm am/pm")</f>
        <v>19Bag07-A1,B2-8:00 AM</v>
      </c>
      <c r="AG28" s="23">
        <v>0.33333333333333298</v>
      </c>
      <c r="AH28" s="152" t="str">
        <f>'16U BOYS GOLD-19 TEAMS'!D61&amp;"-"&amp;'16U BOYS GOLD-19 TEAMS'!I61&amp;"-"&amp;TEXT('16U BOYS GOLD-19 TEAMS'!B61,"h:mm am/pm")</f>
        <v>16Bau32-K bracket K1,K3-8:00 AM</v>
      </c>
    </row>
    <row r="29" spans="1:39">
      <c r="A29" s="16">
        <v>0.36458333333333331</v>
      </c>
      <c r="B29" s="113" t="str">
        <f>'10U COED GOLD-16 TEAMS CUSTOM'!D31&amp;"-"&amp;'10U COED GOLD-16 TEAMS CUSTOM'!I31&amp;"-"&amp;TEXT('10U COED GOLD-16 TEAMS CUSTOM'!B31,"h:mm am/pm")</f>
        <v>10Cau18-girls 1st-4th-8:45 AM</v>
      </c>
      <c r="C29" s="112" t="str">
        <f>'10U BOYS-8 TEAMS'!D22&amp;"-"&amp;'10U BOYS-8 TEAMS'!I22&amp;"-"&amp;TEXT('10U BOYS-8 TEAMS'!B22,"h:mm am/pm")</f>
        <v>10B10-bracket, A3/A4-8:45 AM</v>
      </c>
      <c r="D29" s="110" t="str">
        <f>'10U COED GOLD-16 TEAMS CUSTOM'!D32&amp;"-"&amp;'10U COED GOLD-16 TEAMS CUSTOM'!I32&amp;"-"&amp;TEXT('10U COED GOLD-16 TEAMS CUSTOM'!B32,"h:mm am/pm")</f>
        <v>10Cau20-5-8 coed semi-8:45 AM</v>
      </c>
      <c r="F29" s="16">
        <v>0.36111111111111099</v>
      </c>
      <c r="G29" s="140" t="str">
        <f>'12U GIRLS PLATINUM-12 TEAMS'!D29&amp;"-"&amp;'12U GIRLS PLATINUM-12 TEAMS'!I29&amp;"-"&amp;TEXT('12U GIRLS PLATINUM-12 TEAMS'!B29,"h:mm am/pm")</f>
        <v>12Gpt22-9-12 semi 3B/3C-8:40 AM</v>
      </c>
      <c r="H29" s="139" t="str">
        <f>'12U BOYS PLATINUM-10 TEAMS'!D27&amp;"-"&amp;'12U BOYS PLATINUM-10 TEAMS'!I27&amp;"-"&amp;TEXT('12U BOYS PLATINUM-10 TEAMS'!B27,"h:mm am/pm")</f>
        <v>12Bpt13-5th-10th 2A/3B-8:40 AM</v>
      </c>
      <c r="I29" s="320" t="str">
        <f>'12U BOYS GOLD-24 TEAMS'!D45&amp;"-"&amp;'12U BOYS GOLD-24 TEAMS'!I45&amp;"-"&amp;TEXT('12U BOYS GOLD-24 TEAMS'!B45,"h:mm am/pm")</f>
        <v>12Bau18-1-8 cross 1B/1C-8:40 AM</v>
      </c>
      <c r="J29" s="310" t="str">
        <f>'12U BOYS GOLD-24 TEAMS'!D60&amp;"-"&amp;'12U BOYS GOLD-24 TEAMS'!I60&amp;"-"&amp;TEXT('12U BOYS GOLD-24 TEAMS'!B60,"h:mm am/pm")</f>
        <v>12Bau17A-1-8 cross 1E/1H-8:40 AM</v>
      </c>
      <c r="K29" s="146" t="str">
        <f>'14U BOYS SILVER-18 TEAMS'!D45&amp;"-"&amp;'14U BOYS SILVER-18 TEAMS'!I45&amp;"-"&amp;TEXT('14U BOYS SILVER-18 TEAMS'!B45,"h:mm am/pm")</f>
        <v>14Bag21-1st-6th-8:40 AM</v>
      </c>
      <c r="L29" s="144" t="str">
        <f>'14U BOYS PLATINUM-20 TEAMS'!D49&amp;"-"&amp;'14U BOYS PLATINUM-20 TEAMS'!I49&amp;"-"&amp;TEXT('14U BOYS PLATINUM-20 TEAMS'!B49,"h:mm am/pm")</f>
        <v>14Bpt25-G bracket-8:40 AM</v>
      </c>
      <c r="M29" s="144" t="str">
        <f>'14U BOYS PLATINUM-20 TEAMS'!D62&amp;"-"&amp;'14U BOYS PLATINUM-20 TEAMS'!I62&amp;"-"&amp;TEXT('14U BOYS PLATINUM-20 TEAMS'!B62,"h:mm am/pm")</f>
        <v>14Bpt35-W/L L-8:40 AM</v>
      </c>
      <c r="N29" s="97" t="str">
        <f>'14U GIRLS PLATINUM-10 TEAMS'!D25&amp;"-"&amp;'14U GIRLS PLATINUM-10 TEAMS'!I25&amp;"-"&amp;TEXT('14U GIRLS PLATINUM-10 TEAMS'!B25,"h:mm am/pm")</f>
        <v>14Gpt13-5th-10th 2A/3B-8:40 AM</v>
      </c>
      <c r="O29" s="380" t="str">
        <f>'14U GIRLS GOLD-14 TEAMS'!D31&amp;"-"&amp;'14U GIRLS GOLD-14 TEAMS'!I31&amp;"-"&amp;TEXT('14U GIRLS GOLD-14 TEAMS'!B31,"h:mm am/pm")</f>
        <v>14Gau15-1-4 semi-8:40 AM</v>
      </c>
      <c r="P29" s="98" t="str">
        <f>'14U BOYS GOLD-26 TEAMS'!D68&amp;"-"&amp;'14U BOYS GOLD-26 TEAMS'!I68&amp;"-"&amp;TEXT('14U BOYS GOLD-26 TEAMS'!B68,"h:mm am/pm")</f>
        <v>14Bau42-O bracket-8:40 AM</v>
      </c>
      <c r="Q29" s="98" t="str">
        <f>'14U BOYS GOLD-26 TEAMS'!D57&amp;"-"&amp;'14U BOYS GOLD-26 TEAMS'!I57&amp;"-"&amp;TEXT('14U BOYS GOLD-26 TEAMS'!B57,"h:mm am/pm")</f>
        <v>14Bau28-1st-8th-8:40 AM</v>
      </c>
      <c r="S29" s="23">
        <v>0.36111111111111099</v>
      </c>
      <c r="T29" s="98" t="str">
        <f>'14U BOYS GOLD-26 TEAMS'!D79&amp;"-"&amp;'14U BOYS GOLD-26 TEAMS'!I79&amp;"-"&amp;TEXT('14U BOYS GOLD-26 TEAMS'!B79,"h:mm am/pm")</f>
        <v>14Bau31-9th16th-8:40 AM</v>
      </c>
      <c r="V29" s="23">
        <v>0.375</v>
      </c>
      <c r="W29" s="109" t="str">
        <f>'19U BOYS PLATINUM-27 TEAMS'!D61&amp;"-"&amp;'19U BOYS PLATINUM-27 TEAMS'!I61&amp;"-"&amp;TEXT('19U BOYS PLATINUM-27 TEAMS'!B61,"h:mm am/pm")</f>
        <v>19Bpt29-1st-8th-9:00 AM</v>
      </c>
      <c r="X29" s="149" t="str">
        <f>'16U BOYS PLATINUM-18 TEAMS'!D46&amp;"-"&amp;'16U BOYS PLATINUM-18 TEAMS'!I46&amp;"-"&amp;TEXT('16U BOYS PLATINUM-18 TEAMS'!B46,"h:mm am/pm")</f>
        <v>16Bpt23-7th-12th-9:00 AM</v>
      </c>
      <c r="Y29" s="151" t="str">
        <f>'16U BOYS GOLD-19 TEAMS'!D50&amp;"-"&amp;'16U BOYS GOLD-19 TEAMS'!I50&amp;"-"&amp;TEXT('16U BOYS GOLD-19 TEAMS'!B50,"h:mm am/pm")</f>
        <v>16Bau22-I bracket I1,I3-9:00 AM</v>
      </c>
      <c r="Z29" s="15"/>
      <c r="AA29" s="109" t="str">
        <f>'19U BOYS PLATINUM-27 TEAMS'!D73&amp;"-"&amp;'19U BOYS PLATINUM-27 TEAMS'!I73&amp;"-"&amp;TEXT('19U BOYS PLATINUM-27 TEAMS'!B73,"h:mm am/pm")</f>
        <v>19Bpt40-W/L P-10:00 AM</v>
      </c>
      <c r="AB29" s="149" t="str">
        <f>'16U BOYS PLATINUM-18 TEAMS'!D57&amp;"-"&amp;'16U BOYS PLATINUM-18 TEAMS'!I57&amp;"-"&amp;TEXT('16U BOYS PLATINUM-18 TEAMS'!B57,"h:mm am/pm")</f>
        <v>16Bpt28-13th-18th-9:00 AM</v>
      </c>
      <c r="AC29" s="109" t="str">
        <f>'19U BOYS PLATINUM-27 TEAMS'!D83&amp;"-"&amp;'19U BOYS PLATINUM-27 TEAMS'!I83&amp;"-"&amp;TEXT('19U BOYS PLATINUM-27 TEAMS'!B83,"h:mm am/pm")</f>
        <v>19Bpt49-9th16th L1/L4-9:00 AM</v>
      </c>
      <c r="AD29" s="154" t="str">
        <f>'16U BOYS SILVER-20 TEAMS'!D53&amp;"-"&amp;'16U BOYS SILVER-20 TEAMS'!I53&amp;"-"&amp;TEXT('16U BOYS SILVER-20 TEAMS'!B53,"h:mm am/pm")</f>
        <v>16Bag26-J bracket-9:00 AM</v>
      </c>
      <c r="AE29" s="108" t="str">
        <f>'19U BOYS SILVER-6 TEAMS CUST'!D20&amp;"-"&amp;'19U BOYS SILVER-6 TEAMS CUST'!I20&amp;"-"&amp;TEXT('19U BOYS SILVER-6 TEAMS CUST'!B20,"h:mm am/pm")</f>
        <v>19Bag08-A2,B3-9:00 AM</v>
      </c>
      <c r="AG29" s="23">
        <v>0.375</v>
      </c>
      <c r="AH29" s="152" t="str">
        <f>'16U BOYS GOLD-19 TEAMS'!D62&amp;"-"&amp;'16U BOYS GOLD-19 TEAMS'!I62&amp;"-"&amp;TEXT('16U BOYS GOLD-19 TEAMS'!B62,"h:mm am/pm")</f>
        <v>16Bau33-W/L L1/L4-9:00 AM</v>
      </c>
    </row>
    <row r="30" spans="1:39">
      <c r="A30" s="16">
        <v>0.39583333333333298</v>
      </c>
      <c r="B30" s="111" t="str">
        <f>'10U COED PLATINUM-8 TEAMS'!D22&amp;"-"&amp;'10U COED PLATINUM-8 TEAMS'!I22&amp;"-"&amp;TEXT('10U COED PLATINUM-8 TEAMS'!B22,"h:mm am/pm")</f>
        <v>10Cpt09-bracket, B3/B4-9:30 AM</v>
      </c>
      <c r="C30" s="112" t="str">
        <f>'10U BOYS-8 TEAMS'!D23&amp;"-"&amp;'10U BOYS-8 TEAMS'!I23&amp;"-"&amp;TEXT('10U BOYS-8 TEAMS'!B23,"h:mm am/pm")</f>
        <v>10B11-bracket, B1/B2-9:30 AM</v>
      </c>
      <c r="D30" s="110" t="str">
        <f>'10U COED GOLD-16 TEAMS CUSTOM'!D33&amp;"-"&amp;'10U COED GOLD-16 TEAMS CUSTOM'!I33&amp;"-"&amp;TEXT('10U COED GOLD-16 TEAMS CUSTOM'!B33,"h:mm am/pm")</f>
        <v>10Cau21-1-4 coed semi-9:30 AM</v>
      </c>
      <c r="F30" s="16">
        <v>0.39583333333333398</v>
      </c>
      <c r="G30" s="140" t="str">
        <f>'12U GIRLS PLATINUM-12 TEAMS'!D30&amp;"-"&amp;'12U GIRLS PLATINUM-12 TEAMS'!I30&amp;"-"&amp;TEXT('12U GIRLS PLATINUM-12 TEAMS'!B30,"h:mm am/pm")</f>
        <v>12Gpt16-5-8 semi 2B/2C-9:30 AM</v>
      </c>
      <c r="H30" s="139" t="str">
        <f>'12U BOYS PLATINUM-10 TEAMS'!D28&amp;"-"&amp;'12U BOYS PLATINUM-10 TEAMS'!I28&amp;"-"&amp;TEXT('12U BOYS PLATINUM-10 TEAMS'!B28,"h:mm am/pm")</f>
        <v>12Bpt14-5th-10th 3A/2B-9:30 AM</v>
      </c>
      <c r="I30" s="320" t="str">
        <f>'12U BOYS GOLD-24 TEAMS'!D46&amp;"-"&amp;'12U BOYS GOLD-24 TEAMS'!I46&amp;"-"&amp;TEXT('12U BOYS GOLD-24 TEAMS'!B46,"h:mm am/pm")</f>
        <v>12Bau13-17-24 cross 3A/3D-9:30 AM</v>
      </c>
      <c r="J30" s="310" t="str">
        <f>'12U BOYS GOLD-24 TEAMS'!D61&amp;"-"&amp;'12U BOYS GOLD-24 TEAMS'!I61&amp;"-"&amp;TEXT('12U BOYS GOLD-24 TEAMS'!B61,"h:mm am/pm")</f>
        <v>12Bau18A-1-8 cross 1F/1G-9:30 AM</v>
      </c>
      <c r="K30" s="146" t="str">
        <f>'14U BOYS SILVER-18 TEAMS'!D46&amp;"-"&amp;'14U BOYS SILVER-18 TEAMS'!I46&amp;"-"&amp;TEXT('14U BOYS SILVER-18 TEAMS'!B46,"h:mm am/pm")</f>
        <v>14Bag23-7th-12th-9:30 AM</v>
      </c>
      <c r="L30" s="146" t="str">
        <f>'14U BOYS SILVER-18 TEAMS'!D61&amp;"-"&amp;'14U BOYS SILVER-18 TEAMS'!I61&amp;"-"&amp;TEXT('14U BOYS SILVER-18 TEAMS'!B61,"h:mm am/pm")</f>
        <v>14Bag34-13th-18th-9:30 AM</v>
      </c>
      <c r="M30" s="146" t="str">
        <f>'14U BOYS SILVER-18 TEAMS'!D60&amp;"-"&amp;'14U BOYS SILVER-18 TEAMS'!I60&amp;"-"&amp;TEXT('14U BOYS SILVER-18 TEAMS'!B60,"h:mm am/pm")</f>
        <v>14Bag32-7th-12th-9:30 AM</v>
      </c>
      <c r="N30" s="97" t="str">
        <f>'14U GIRLS PLATINUM-10 TEAMS'!D26&amp;"-"&amp;'14U GIRLS PLATINUM-10 TEAMS'!I26&amp;"-"&amp;TEXT('14U GIRLS PLATINUM-10 TEAMS'!B26,"h:mm am/pm")</f>
        <v>14Gpt14-5th-10th 3A/2B-9:30 AM</v>
      </c>
      <c r="O30" s="145" t="str">
        <f>'14U GIRLS GOLD-14 TEAMS'!D32&amp;"-"&amp;'14U GIRLS GOLD-14 TEAMS'!I32&amp;"-"&amp;TEXT('14U GIRLS GOLD-14 TEAMS'!B32,"h:mm am/pm")</f>
        <v>14Gau17-1-4 semi-9:30 AM</v>
      </c>
      <c r="P30" s="146" t="str">
        <f>'14U BOYS SILVER-18 TEAMS'!D62&amp;"-"&amp;'14U BOYS SILVER-18 TEAMS'!I62&amp;"-"&amp;TEXT('14U BOYS SILVER-18 TEAMS'!B62,"h:mm am/pm")</f>
        <v>14Bag36-13th-18th-9:30 AM</v>
      </c>
      <c r="Q30" s="98" t="str">
        <f>'14U BOYS GOLD-26 TEAMS'!D58&amp;"-"&amp;'14U BOYS GOLD-26 TEAMS'!I58&amp;"-"&amp;TEXT('14U BOYS GOLD-26 TEAMS'!B58,"h:mm am/pm")</f>
        <v>14Bau29-1st-8th-9:30 AM</v>
      </c>
      <c r="S30" s="23">
        <v>0.39583333333333398</v>
      </c>
      <c r="T30" s="98" t="str">
        <f>'14U BOYS GOLD-26 TEAMS'!D80&amp;"-"&amp;'14U BOYS GOLD-26 TEAMS'!I80&amp;"-"&amp;TEXT('14U BOYS GOLD-26 TEAMS'!B80,"h:mm am/pm")</f>
        <v>14Bau32-9th16th-9:30 AM</v>
      </c>
      <c r="V30" s="23">
        <v>0.41666666666666702</v>
      </c>
      <c r="W30" s="109" t="str">
        <f>'19U BOYS PLATINUM-27 TEAMS'!D62&amp;"-"&amp;'19U BOYS PLATINUM-27 TEAMS'!I62&amp;"-"&amp;TEXT('19U BOYS PLATINUM-27 TEAMS'!B62,"h:mm am/pm")</f>
        <v>19Bpt30-1st-8th-10:00 AM</v>
      </c>
      <c r="X30" s="149" t="str">
        <f>'16U BOYS PLATINUM-18 TEAMS'!D47&amp;"-"&amp;'16U BOYS PLATINUM-18 TEAMS'!I47&amp;"-"&amp;TEXT('16U BOYS PLATINUM-18 TEAMS'!B47,"h:mm am/pm")</f>
        <v>16Bpt25-1st-6th-10:00 AM</v>
      </c>
      <c r="Y30" s="151" t="str">
        <f>'16U BOYS GOLD-19 TEAMS'!D51&amp;"-"&amp;'16U BOYS GOLD-19 TEAMS'!I51&amp;"-"&amp;TEXT('16U BOYS GOLD-19 TEAMS'!B51,"h:mm am/pm")</f>
        <v>16Bau23-G bracket G2,G3-10:00 AM</v>
      </c>
      <c r="Z30" s="15"/>
      <c r="AA30" s="109" t="str">
        <f>'19U BOYS PLATINUM-27 TEAMS'!D74&amp;"-"&amp;'19U BOYS PLATINUM-27 TEAMS'!I74&amp;"-"&amp;TEXT('19U BOYS PLATINUM-27 TEAMS'!B74,"h:mm am/pm")</f>
        <v>19Bpt41-W/L P-11:00 AM</v>
      </c>
      <c r="AB30" s="149" t="str">
        <f>'16U BOYS PLATINUM-18 TEAMS'!D58&amp;"-"&amp;'16U BOYS PLATINUM-18 TEAMS'!I58&amp;"-"&amp;TEXT('16U BOYS PLATINUM-18 TEAMS'!B58,"h:mm am/pm")</f>
        <v>16Bpt30-13th-18th-10:00 AM</v>
      </c>
      <c r="AC30" s="109" t="str">
        <f>'19U BOYS PLATINUM-27 TEAMS'!D84&amp;"-"&amp;'19U BOYS PLATINUM-27 TEAMS'!I84&amp;"-"&amp;TEXT('19U BOYS PLATINUM-27 TEAMS'!B84,"h:mm am/pm")</f>
        <v>19Bpt50-9th16th L2/L3-10:00 AM</v>
      </c>
      <c r="AD30" s="154" t="str">
        <f>'16U BOYS SILVER-20 TEAMS'!D54&amp;"-"&amp;'16U BOYS SILVER-20 TEAMS'!I54&amp;"-"&amp;TEXT('16U BOYS SILVER-20 TEAMS'!B54,"h:mm am/pm")</f>
        <v>16Bag27-K bracket-10:00 AM</v>
      </c>
      <c r="AE30" s="107" t="str">
        <f>'19U BOYS GOLD-16 TEAMS'!D28&amp;"-"&amp;'19U BOYS GOLD-16 TEAMS'!I28&amp;"-"&amp;TEXT('19U BOYS GOLD-16 TEAMS'!B28,"h:mm am/pm")</f>
        <v>19Bau29-13-16 semi-10:00 AM</v>
      </c>
      <c r="AG30" s="23">
        <v>0.41666666666666702</v>
      </c>
      <c r="AH30" s="152" t="str">
        <f>'16U BOYS GOLD-19 TEAMS'!D63&amp;"-"&amp;'16U BOYS GOLD-19 TEAMS'!I63&amp;"-"&amp;TEXT('16U BOYS GOLD-19 TEAMS'!B63,"h:mm am/pm")</f>
        <v>16Bau34-W/L L2/L3-10:00 AM</v>
      </c>
      <c r="AM30" s="21"/>
    </row>
    <row r="31" spans="1:39">
      <c r="A31" s="16">
        <v>0.42708333333333298</v>
      </c>
      <c r="B31" s="111" t="str">
        <f>'10U COED PLATINUM-8 TEAMS'!D23&amp;"-"&amp;'10U COED PLATINUM-8 TEAMS'!I23&amp;"-"&amp;TEXT('10U COED PLATINUM-8 TEAMS'!B23,"h:mm am/pm")</f>
        <v>10Cpt10-bracket, A3/A4-10:15 AM</v>
      </c>
      <c r="C31" s="112" t="str">
        <f>'10U BOYS-8 TEAMS'!D24&amp;"-"&amp;'10U BOYS-8 TEAMS'!I24&amp;"-"&amp;TEXT('10U BOYS-8 TEAMS'!B24,"h:mm am/pm")</f>
        <v>10B12-bracket, A1/A2-10:15 AM</v>
      </c>
      <c r="D31" s="110" t="str">
        <f>'10U COED GOLD-16 TEAMS CUSTOM'!D34&amp;"-"&amp;'10U COED GOLD-16 TEAMS CUSTOM'!I34&amp;"-"&amp;TEXT('10U COED GOLD-16 TEAMS CUSTOM'!B34,"h:mm am/pm")</f>
        <v>10Cau22-1-4 coed semi-10:15 AM</v>
      </c>
      <c r="F31" s="16">
        <v>0.43055555555555602</v>
      </c>
      <c r="G31" s="140" t="str">
        <f>'12U GIRLS PLATINUM-12 TEAMS'!D31&amp;"-"&amp;'12U GIRLS PLATINUM-12 TEAMS'!I31&amp;"-"&amp;TEXT('12U GIRLS PLATINUM-12 TEAMS'!B31,"h:mm am/pm")</f>
        <v>12Gpt13-1-4 semi 1A/1D-10:20 AM</v>
      </c>
      <c r="H31" s="139" t="str">
        <f>'12U BOYS PLATINUM-10 TEAMS'!D29&amp;"-"&amp;'12U BOYS PLATINUM-10 TEAMS'!I29&amp;"-"&amp;TEXT('12U BOYS PLATINUM-10 TEAMS'!B29,"h:mm am/pm")</f>
        <v>12Bpt15-1-4 semi 1A/2C-10:20 AM</v>
      </c>
      <c r="I31" s="320" t="str">
        <f>'12U BOYS GOLD-24 TEAMS'!D47&amp;"-"&amp;'12U BOYS GOLD-24 TEAMS'!I47&amp;"-"&amp;TEXT('12U BOYS GOLD-24 TEAMS'!B47,"h:mm am/pm")</f>
        <v>12Bau14-17-24 cross 3B/3C-10:20 AM</v>
      </c>
      <c r="J31" s="310" t="str">
        <f>'12U BOYS GOLD-24 TEAMS'!D62&amp;"-"&amp;'12U BOYS GOLD-24 TEAMS'!I62&amp;"-"&amp;TEXT('12U BOYS GOLD-24 TEAMS'!B62,"h:mm am/pm")</f>
        <v>12Bau13A-17-24 cross 3E/3H-10:20 AM</v>
      </c>
      <c r="K31" s="146" t="str">
        <f>'14U BOYS SILVER-18 TEAMS'!D47&amp;"-"&amp;'14U BOYS SILVER-18 TEAMS'!I47&amp;"-"&amp;TEXT('14U BOYS SILVER-18 TEAMS'!B47,"h:mm am/pm")</f>
        <v>14Bag25-1st-6th-10:20 AM</v>
      </c>
      <c r="L31" s="144" t="str">
        <f>'14U BOYS PLATINUM-20 TEAMS'!D51&amp;"-"&amp;'14U BOYS PLATINUM-20 TEAMS'!I51&amp;"-"&amp;TEXT('14U BOYS PLATINUM-20 TEAMS'!B51,"h:mm am/pm")</f>
        <v>14Bpt26-J bracket-10:20 AM</v>
      </c>
      <c r="M31" s="144" t="str">
        <f>'14U BOYS PLATINUM-20 TEAMS'!D64&amp;"-"&amp;'14U BOYS PLATINUM-20 TEAMS'!I64&amp;"-"&amp;TEXT('14U BOYS PLATINUM-20 TEAMS'!B64,"h:mm am/pm")</f>
        <v>14Bpt36-W/L I-10:20 AM</v>
      </c>
      <c r="N31" s="97" t="str">
        <f>'14U GIRLS PLATINUM-10 TEAMS'!D27&amp;"-"&amp;'14U GIRLS PLATINUM-10 TEAMS'!I27&amp;"-"&amp;TEXT('14U GIRLS PLATINUM-10 TEAMS'!B27,"h:mm am/pm")</f>
        <v>14Gpt15-1-4 semi 1A/2C-10:20 AM</v>
      </c>
      <c r="O31" s="145" t="str">
        <f>'14U GIRLS GOLD-14 TEAMS'!D33&amp;"-"&amp;'14U GIRLS GOLD-14 TEAMS'!I33&amp;"-"&amp;TEXT('14U GIRLS GOLD-14 TEAMS'!B33,"h:mm am/pm")</f>
        <v>14Gau26-9th-14th 4C,4D-10:20 AM</v>
      </c>
      <c r="P31" s="98" t="str">
        <f>'14U BOYS GOLD-26 TEAMS'!D70&amp;"-"&amp;'14U BOYS GOLD-26 TEAMS'!I70&amp;"-"&amp;TEXT('14U BOYS GOLD-26 TEAMS'!B70,"h:mm am/pm")</f>
        <v>14Bau43-W/L P-10:20 AM</v>
      </c>
      <c r="Q31" s="98" t="str">
        <f>'14U BOYS GOLD-26 TEAMS'!D59&amp;"-"&amp;'14U BOYS GOLD-26 TEAMS'!I59&amp;"-"&amp;TEXT('14U BOYS GOLD-26 TEAMS'!B59,"h:mm am/pm")</f>
        <v>14Bau30-1st-8th-10:20 AM</v>
      </c>
      <c r="S31" s="23">
        <v>0.43055555555555602</v>
      </c>
      <c r="T31" s="98" t="str">
        <f>'14U BOYS GOLD-26 TEAMS'!D81&amp;"-"&amp;'14U BOYS GOLD-26 TEAMS'!I81&amp;"-"&amp;TEXT('14U BOYS GOLD-26 TEAMS'!B81,"h:mm am/pm")</f>
        <v>14Bau33-9th16th-10:20 AM</v>
      </c>
      <c r="V31" s="23">
        <v>0.45833333333333298</v>
      </c>
      <c r="W31" s="109" t="str">
        <f>'19U BOYS PLATINUM-27 TEAMS'!D63&amp;"-"&amp;'19U BOYS PLATINUM-27 TEAMS'!I63&amp;"-"&amp;TEXT('19U BOYS PLATINUM-27 TEAMS'!B63,"h:mm am/pm")</f>
        <v>19Bpt31-1st-8th-11:00 AM</v>
      </c>
      <c r="X31" s="149" t="str">
        <f>'16U BOYS PLATINUM-18 TEAMS'!D48&amp;"-"&amp;'16U BOYS PLATINUM-18 TEAMS'!I48&amp;"-"&amp;TEXT('16U BOYS PLATINUM-18 TEAMS'!B48,"h:mm am/pm")</f>
        <v>16Bpt27-1st-6th-11:00 AM</v>
      </c>
      <c r="Y31" s="151" t="str">
        <f>'16U BOYS GOLD-19 TEAMS'!D52&amp;"-"&amp;'16U BOYS GOLD-19 TEAMS'!I52&amp;"-"&amp;TEXT('16U BOYS GOLD-19 TEAMS'!B52,"h:mm am/pm")</f>
        <v>16Bau24-H bracket H1,H2-11:00 AM</v>
      </c>
      <c r="Z31" s="15"/>
      <c r="AA31" s="109" t="str">
        <f>'19U BOYS PLATINUM-27 TEAMS'!D75&amp;"-"&amp;'19U BOYS PLATINUM-27 TEAMS'!I75&amp;"-"&amp;TEXT('19U BOYS PLATINUM-27 TEAMS'!B75,"h:mm am/pm")</f>
        <v>19Bpt42-N bracket-12:00 PM</v>
      </c>
      <c r="AB31" s="154" t="str">
        <f>'16U BOYS SILVER-20 TEAMS'!D68&amp;"-"&amp;'16U BOYS SILVER-20 TEAMS'!I68&amp;"-"&amp;TEXT('16U BOYS SILVER-20 TEAMS'!B68,"h:mm am/pm")</f>
        <v>16Bag38-1st/2ndI-11:00 AM</v>
      </c>
      <c r="AC31" s="154" t="str">
        <f>'16U BOYS SILVER-20 TEAMS'!D69&amp;"-"&amp;'16U BOYS SILVER-20 TEAMS'!I69&amp;"-"&amp;TEXT('16U BOYS SILVER-20 TEAMS'!B69,"h:mm am/pm")</f>
        <v>16Bag41-1st/2ndL-11:00 AM</v>
      </c>
      <c r="AD31" s="154" t="str">
        <f>'16U BOYS SILVER-20 TEAMS'!D55&amp;"-"&amp;'16U BOYS SILVER-20 TEAMS'!I55&amp;"-"&amp;TEXT('16U BOYS SILVER-20 TEAMS'!B55,"h:mm am/pm")</f>
        <v>16Bag28-G bracket-11:00 AM</v>
      </c>
      <c r="AE31" s="107" t="str">
        <f>'19U BOYS GOLD-16 TEAMS'!D29&amp;"-"&amp;'19U BOYS GOLD-16 TEAMS'!I29&amp;"-"&amp;TEXT('19U BOYS GOLD-16 TEAMS'!B29,"h:mm am/pm")</f>
        <v>19Bau30-13-16 semi-11:00 AM</v>
      </c>
      <c r="AG31" s="23">
        <v>0.45833333333333298</v>
      </c>
      <c r="AH31" s="152" t="str">
        <f>'16U BOYS GOLD-19 TEAMS'!D64&amp;"-"&amp;'16U BOYS GOLD-19 TEAMS'!I64&amp;"-"&amp;TEXT('16U BOYS GOLD-19 TEAMS'!B64,"h:mm am/pm")</f>
        <v>16Bau35-J bracket J2,J3-11:00 AM</v>
      </c>
    </row>
    <row r="32" spans="1:39">
      <c r="A32" s="16">
        <v>0.45833333333333298</v>
      </c>
      <c r="B32" s="111" t="str">
        <f>'10U COED PLATINUM-8 TEAMS'!D24&amp;"-"&amp;'10U COED PLATINUM-8 TEAMS'!I24&amp;"-"&amp;TEXT('10U COED PLATINUM-8 TEAMS'!B24,"h:mm am/pm")</f>
        <v>10Cpt11-bracket, B1/B2-11:00 AM</v>
      </c>
      <c r="C32" s="113" t="str">
        <f>'10U COED GOLD-16 TEAMS CUSTOM'!D35&amp;"-"&amp;'10U COED GOLD-16 TEAMS CUSTOM'!I35&amp;"-"&amp;TEXT('10U COED GOLD-16 TEAMS CUSTOM'!B35,"h:mm am/pm")</f>
        <v>10Cau23-girls-coed interact-11:00 AM</v>
      </c>
      <c r="D32" s="113" t="str">
        <f>'10U COED GOLD-16 TEAMS CUSTOM'!D36&amp;"-"&amp;'10U COED GOLD-16 TEAMS CUSTOM'!I36&amp;"-"&amp;TEXT('10U COED GOLD-16 TEAMS CUSTOM'!B36,"h:mm am/pm")</f>
        <v>10Cau25-girls-coed interact-11:00 AM</v>
      </c>
      <c r="F32" s="16">
        <v>0.46527777777777801</v>
      </c>
      <c r="G32" s="140" t="str">
        <f>'12U GIRLS PLATINUM-12 TEAMS'!D32&amp;"-"&amp;'12U GIRLS PLATINUM-12 TEAMS'!I32&amp;"-"&amp;TEXT('12U GIRLS PLATINUM-12 TEAMS'!B32,"h:mm am/pm")</f>
        <v>12Gpt14-1-4 semi 1B/1C-11:10 AM</v>
      </c>
      <c r="H32" s="139" t="str">
        <f>'12U BOYS PLATINUM-10 TEAMS'!D30&amp;"-"&amp;'12U BOYS PLATINUM-10 TEAMS'!I30&amp;"-"&amp;TEXT('12U BOYS PLATINUM-10 TEAMS'!B30,"h:mm am/pm")</f>
        <v>12Bpt16-1-4 semi 1B/1C-11:10 AM</v>
      </c>
      <c r="I32" s="310" t="str">
        <f>'12U BOYS GOLD-24 TEAMS'!D48&amp;"-"&amp;'12U BOYS GOLD-24 TEAMS'!I48&amp;"-"&amp;TEXT('12U BOYS GOLD-24 TEAMS'!B48,"h:mm am/pm")</f>
        <v>12Bau14A-17-24 cross 3F/3G-11:10 AM</v>
      </c>
      <c r="J32" s="141" t="str">
        <f>'12U COED-7 TEAMS'!D25&amp;"-"&amp;'12U COED-7 TEAMS'!I25&amp;"-"&amp;TEXT('12U COED-7 TEAMS'!B25,"h:mm am/pm")</f>
        <v>12C10-5th-7th-11:10 AM</v>
      </c>
      <c r="K32" s="146" t="str">
        <f>'14U BOYS SILVER-18 TEAMS'!D48&amp;"-"&amp;'14U BOYS SILVER-18 TEAMS'!I48&amp;"-"&amp;TEXT('14U BOYS SILVER-18 TEAMS'!B48,"h:mm am/pm")</f>
        <v>14Bag27-1st-6th-11:10 AM</v>
      </c>
      <c r="L32" s="144" t="str">
        <f>'14U BOYS PLATINUM-20 TEAMS'!D52&amp;"-"&amp;'14U BOYS PLATINUM-20 TEAMS'!I52&amp;"-"&amp;TEXT('14U BOYS PLATINUM-20 TEAMS'!B52,"h:mm am/pm")</f>
        <v>14Bpt27-K bracket-11:10 AM</v>
      </c>
      <c r="M32" s="144" t="str">
        <f>'14U BOYS PLATINUM-20 TEAMS'!D65&amp;"-"&amp;'14U BOYS PLATINUM-20 TEAMS'!I65&amp;"-"&amp;TEXT('14U BOYS PLATINUM-20 TEAMS'!B65,"h:mm am/pm")</f>
        <v>14Bpt37-W/L I-11:10 AM</v>
      </c>
      <c r="N32" s="97" t="str">
        <f>'14U GIRLS PLATINUM-10 TEAMS'!D28&amp;"-"&amp;'14U GIRLS PLATINUM-10 TEAMS'!I28&amp;"-"&amp;TEXT('14U GIRLS PLATINUM-10 TEAMS'!B28,"h:mm am/pm")</f>
        <v>14Gpt16-1-4 semi 1B/1C-11:10 AM</v>
      </c>
      <c r="O32" s="145" t="str">
        <f>'14U GIRLS GOLD-14 TEAMS'!D34&amp;"-"&amp;'14U GIRLS GOLD-14 TEAMS'!I34&amp;"-"&amp;TEXT('14U GIRLS GOLD-14 TEAMS'!B34,"h:mm am/pm")</f>
        <v>14Gau20-9th-14th 3C,3D-11:10 AM</v>
      </c>
      <c r="P32" s="98" t="str">
        <f>'14U BOYS GOLD-26 TEAMS'!D71&amp;"-"&amp;'14U BOYS GOLD-26 TEAMS'!I71&amp;"-"&amp;TEXT('14U BOYS GOLD-26 TEAMS'!B71,"h:mm am/pm")</f>
        <v>14Bau44-W/L P-11:10 AM</v>
      </c>
      <c r="Q32" s="98" t="str">
        <f>'14U BOYS GOLD-26 TEAMS'!D60&amp;"-"&amp;'14U BOYS GOLD-26 TEAMS'!I60&amp;"-"&amp;TEXT('14U BOYS GOLD-26 TEAMS'!B60,"h:mm am/pm")</f>
        <v>14Bau37-1st/2ndJ-11:10 AM</v>
      </c>
      <c r="S32" s="23">
        <v>0.46527777777777801</v>
      </c>
      <c r="T32" s="98" t="str">
        <f>'14U BOYS GOLD-26 TEAMS'!D82&amp;"-"&amp;'14U BOYS GOLD-26 TEAMS'!I82&amp;"-"&amp;TEXT('14U BOYS GOLD-26 TEAMS'!B82,"h:mm am/pm")</f>
        <v>14Bau34-9th16th-11:10 AM</v>
      </c>
      <c r="V32" s="23">
        <v>0.5</v>
      </c>
      <c r="W32" s="109" t="str">
        <f>'19U BOYS PLATINUM-27 TEAMS'!D64&amp;"-"&amp;'19U BOYS PLATINUM-27 TEAMS'!I64&amp;"-"&amp;TEXT('19U BOYS PLATINUM-27 TEAMS'!B64,"h:mm am/pm")</f>
        <v>19Bpt32-1st/2ndJ-12:00 PM</v>
      </c>
      <c r="X32" s="149" t="str">
        <f>'16U BOYS PLATINUM-18 TEAMS'!D49&amp;"-"&amp;'16U BOYS PLATINUM-18 TEAMS'!I49&amp;"-"&amp;TEXT('16U BOYS PLATINUM-18 TEAMS'!B49,"h:mm am/pm")</f>
        <v>16Bpt29-7th-12th-12:00 PM</v>
      </c>
      <c r="Y32" s="151" t="str">
        <f>'16U BOYS GOLD-19 TEAMS'!D53&amp;"-"&amp;'16U BOYS GOLD-19 TEAMS'!I53&amp;"-"&amp;TEXT('16U BOYS GOLD-19 TEAMS'!B53,"h:mm am/pm")</f>
        <v>16Bau25-I bracket I2,I3-12:00 PM</v>
      </c>
      <c r="Z32" s="15"/>
      <c r="AA32" s="109" t="str">
        <f>'19U BOYS PLATINUM-27 TEAMS'!D77&amp;"-"&amp;'19U BOYS PLATINUM-27 TEAMS'!I77&amp;"-"&amp;TEXT('19U BOYS PLATINUM-27 TEAMS'!B77,"h:mm am/pm")</f>
        <v>19Bpt43-1st/2ndO-2:00 PM</v>
      </c>
      <c r="AB32" s="154" t="str">
        <f>'16U BOYS SILVER-20 TEAMS'!D71&amp;"-"&amp;'16U BOYS SILVER-20 TEAMS'!I71&amp;"-"&amp;TEXT('16U BOYS SILVER-20 TEAMS'!B71,"h:mm am/pm")</f>
        <v>16Bag42-3rd/4thI-12:00 PM</v>
      </c>
      <c r="AC32" s="154" t="str">
        <f>'16U BOYS SILVER-20 TEAMS'!D70&amp;"-"&amp;'16U BOYS SILVER-20 TEAMS'!I70&amp;"-"&amp;TEXT('16U BOYS SILVER-20 TEAMS'!B70,"h:mm am/pm")</f>
        <v>16Bag39-3rd/4thL-12:00 PM</v>
      </c>
      <c r="AD32" s="154" t="str">
        <f>'16U BOYS SILVER-20 TEAMS'!D56&amp;"-"&amp;'16U BOYS SILVER-20 TEAMS'!I56&amp;"-"&amp;TEXT('16U BOYS SILVER-20 TEAMS'!B56,"h:mm am/pm")</f>
        <v>16Bag29-J bracket-12:00 PM</v>
      </c>
      <c r="AE32" s="108" t="str">
        <f>'19U BOYS SILVER-6 TEAMS CUST'!D22&amp;"-"&amp;'19U BOYS SILVER-6 TEAMS CUST'!I22&amp;"-"&amp;TEXT('19U BOYS SILVER-6 TEAMS CUST'!B22,"h:mm am/pm")</f>
        <v>19Bag09-A3,B2-12:00 PM</v>
      </c>
      <c r="AG32" s="23">
        <v>0.5</v>
      </c>
      <c r="AH32" s="152" t="str">
        <f>'16U BOYS GOLD-19 TEAMS'!D65&amp;"-"&amp;'16U BOYS GOLD-19 TEAMS'!I65&amp;"-"&amp;TEXT('16U BOYS GOLD-19 TEAMS'!B65,"h:mm am/pm")</f>
        <v>16Bau36-K bracket K2,K3-12:00 PM</v>
      </c>
    </row>
    <row r="33" spans="1:37">
      <c r="A33" s="16">
        <v>0.48958333333333298</v>
      </c>
      <c r="B33" s="111" t="str">
        <f>'10U COED PLATINUM-8 TEAMS'!D25&amp;"-"&amp;'10U COED PLATINUM-8 TEAMS'!I25&amp;"-"&amp;TEXT('10U COED PLATINUM-8 TEAMS'!B25,"h:mm am/pm")</f>
        <v>10Cpt12-bracket, A1/A2-11:45 AM</v>
      </c>
      <c r="C33" s="113" t="str">
        <f>'10U COED GOLD-16 TEAMS CUSTOM'!D37&amp;"-"&amp;'10U COED GOLD-16 TEAMS CUSTOM'!I37&amp;"-"&amp;TEXT('10U COED GOLD-16 TEAMS CUSTOM'!B37,"h:mm am/pm")</f>
        <v>10Cau24-girls-coed interact-11:45 AM</v>
      </c>
      <c r="D33" s="113" t="str">
        <f>'10U COED GOLD-16 TEAMS CUSTOM'!D38&amp;"-"&amp;'10U COED GOLD-16 TEAMS CUSTOM'!I38&amp;"-"&amp;TEXT('10U COED GOLD-16 TEAMS CUSTOM'!B38,"h:mm am/pm")</f>
        <v>10Cau26-girls-coed interact-11:45 AM</v>
      </c>
      <c r="F33" s="16">
        <v>0.5</v>
      </c>
      <c r="G33" s="140" t="str">
        <f>'12U GIRLS PLATINUM-12 TEAMS'!D33&amp;"-"&amp;'12U GIRLS PLATINUM-12 TEAMS'!I33&amp;"-"&amp;TEXT('12U GIRLS PLATINUM-12 TEAMS'!B33,"h:mm am/pm")</f>
        <v>12Gpt23-9th-12:00 PM</v>
      </c>
      <c r="H33" s="139" t="str">
        <f>'12U BOYS PLATINUM-10 TEAMS'!D31&amp;"-"&amp;'12U BOYS PLATINUM-10 TEAMS'!I31&amp;"-"&amp;TEXT('12U BOYS PLATINUM-10 TEAMS'!B31,"h:mm am/pm")</f>
        <v>12Bpt18-7th-10th-12:00 PM</v>
      </c>
      <c r="I33" s="324" t="str">
        <f>'12U BOYS GOLD-24 TEAMS'!D49&amp;"-"&amp;'12U BOYS GOLD-24 TEAMS'!I49&amp;"-"&amp;TEXT('12U BOYS GOLD-24 TEAMS'!B49,"h:mm am/pm")</f>
        <v>12Bau24-overall 1-4 semi-12:00 PM</v>
      </c>
      <c r="J33" s="141" t="str">
        <f>'12U COED-7 TEAMS'!D26&amp;"-"&amp;'12U COED-7 TEAMS'!I26&amp;"-"&amp;TEXT('12U COED-7 TEAMS'!B26,"h:mm am/pm")</f>
        <v>12C11-1-4 semi-12:00 PM</v>
      </c>
      <c r="K33" s="146" t="str">
        <f>'14U BOYS SILVER-18 TEAMS'!D52&amp;"-"&amp;'14U BOYS SILVER-18 TEAMS'!I52&amp;"-"&amp;TEXT('14U BOYS SILVER-18 TEAMS'!B52,"h:mm am/pm")</f>
        <v>14Bag29-7th-12th-2:30 PM</v>
      </c>
      <c r="L33" s="146" t="str">
        <f>'14U BOYS SILVER-18 TEAMS'!D65&amp;"-"&amp;'14U BOYS SILVER-18 TEAMS'!I65&amp;"-"&amp;TEXT('14U BOYS SILVER-18 TEAMS'!B65,"h:mm am/pm")</f>
        <v>14Bag22-13th-18th-12:00 PM</v>
      </c>
      <c r="M33" s="146" t="str">
        <f>'14U BOYS SILVER-18 TEAMS'!D64&amp;"-"&amp;'14U BOYS SILVER-18 TEAMS'!I64&amp;"-"&amp;TEXT('14U BOYS SILVER-18 TEAMS'!B64,"h:mm am/pm")</f>
        <v>14Bag20-7th-12th-12:00 PM</v>
      </c>
      <c r="N33" s="146" t="str">
        <f>'14U BOYS SILVER-18 TEAMS'!D66&amp;"-"&amp;'14U BOYS SILVER-18 TEAMS'!I66&amp;"-"&amp;TEXT('14U BOYS SILVER-18 TEAMS'!B66,"h:mm am/pm")</f>
        <v>14Bag24-13th-18th-12:00 PM</v>
      </c>
      <c r="O33" s="145" t="str">
        <f>'14U GIRLS GOLD-14 TEAMS'!D35&amp;"-"&amp;'14U GIRLS GOLD-14 TEAMS'!I35&amp;"-"&amp;TEXT('14U GIRLS GOLD-14 TEAMS'!B35,"h:mm am/pm")</f>
        <v>14Gau19-9th-14th 4C,3B-12:00 PM</v>
      </c>
      <c r="P33" s="98" t="str">
        <f>'14U BOYS GOLD-26 TEAMS'!D76&amp;"-"&amp;'14U BOYS GOLD-26 TEAMS'!I76&amp;"-"&amp;TEXT('14U BOYS GOLD-26 TEAMS'!B76,"h:mm am/pm")</f>
        <v>14Bau45-N bracket-3:20 PM</v>
      </c>
      <c r="Q33" s="98" t="str">
        <f>'14U BOYS GOLD-26 TEAMS'!D61&amp;"-"&amp;'14U BOYS GOLD-26 TEAMS'!I61&amp;"-"&amp;TEXT('14U BOYS GOLD-26 TEAMS'!B61,"h:mm am/pm")</f>
        <v>14Bau38-1st/2ndK-12:00 PM</v>
      </c>
      <c r="S33" s="23">
        <v>0.5</v>
      </c>
      <c r="T33" s="107" t="str">
        <f>'19U BOYS GOLD-16 TEAMS'!D31&amp;"-"&amp;'19U BOYS GOLD-16 TEAMS'!I31&amp;"-"&amp;TEXT('19U BOYS GOLD-16 TEAMS'!B31,"h:mm am/pm")</f>
        <v>19Bau27-9-12 semi 3A/3D-12:00 PM</v>
      </c>
      <c r="V33" s="23">
        <v>0.54166666666666696</v>
      </c>
      <c r="W33" s="109" t="str">
        <f>'19U BOYS PLATINUM-27 TEAMS'!D65&amp;"-"&amp;'19U BOYS PLATINUM-27 TEAMS'!I65&amp;"-"&amp;TEXT('19U BOYS PLATINUM-27 TEAMS'!B65,"h:mm am/pm")</f>
        <v>19Bpt33-1st/2ndK-1:00 PM</v>
      </c>
      <c r="X33" s="149" t="str">
        <f>'16U BOYS PLATINUM-18 TEAMS'!D50&amp;"-"&amp;'16U BOYS PLATINUM-18 TEAMS'!I50&amp;"-"&amp;TEXT('16U BOYS PLATINUM-18 TEAMS'!B50,"h:mm am/pm")</f>
        <v>16Bpt31-1st-6th-1:00 PM</v>
      </c>
      <c r="Y33" s="151" t="str">
        <f>'16U BOYS GOLD-19 TEAMS'!D54&amp;"-"&amp;'16U BOYS GOLD-19 TEAMS'!I54&amp;"-"&amp;TEXT('16U BOYS GOLD-19 TEAMS'!B54,"h:mm am/pm")</f>
        <v>16Bau26-G bracket G1,G2-1:00 PM</v>
      </c>
      <c r="Z33" s="107" t="str">
        <f>'19U BOYS GOLD-16 TEAMS'!D32&amp;"-"&amp;'19U BOYS GOLD-16 TEAMS'!I32&amp;"-"&amp;TEXT('19U BOYS GOLD-16 TEAMS'!B32,"h:mm am/pm")</f>
        <v>19Bau21-5-8 semi 2D/2A-1:00 PM</v>
      </c>
      <c r="AA33" s="107" t="str">
        <f>'19U BOYS GOLD-16 TEAMS'!D33&amp;"-"&amp;'19U BOYS GOLD-16 TEAMS'!I33&amp;"-"&amp;TEXT('19U BOYS GOLD-16 TEAMS'!B33,"h:mm am/pm")</f>
        <v>19Bau22-5-8 semi 2C/2B-1:00 PM</v>
      </c>
      <c r="AB33" s="149" t="str">
        <f>'16U BOYS PLATINUM-18 TEAMS'!D60&amp;"-"&amp;'16U BOYS PLATINUM-18 TEAMS'!I60&amp;"-"&amp;TEXT('16U BOYS PLATINUM-18 TEAMS'!B60,"h:mm am/pm")</f>
        <v>16Bpt32-7th-12th-1:00 PM</v>
      </c>
      <c r="AC33" s="109" t="str">
        <f>'19U BOYS PLATINUM-27 TEAMS'!D86&amp;"-"&amp;'19U BOYS PLATINUM-27 TEAMS'!I86&amp;"-"&amp;TEXT('19U BOYS PLATINUM-27 TEAMS'!B86,"h:mm am/pm")</f>
        <v>19Bpt51-9th16th M1/M4-1:00 PM</v>
      </c>
      <c r="AD33" s="154" t="str">
        <f>'16U BOYS SILVER-20 TEAMS'!D57&amp;"-"&amp;'16U BOYS SILVER-20 TEAMS'!I57&amp;"-"&amp;TEXT('16U BOYS SILVER-20 TEAMS'!B57,"h:mm am/pm")</f>
        <v>16Bag30-K bracket-1:00 PM</v>
      </c>
      <c r="AE33" s="108" t="str">
        <f>'19U BOYS SILVER-6 TEAMS CUST'!D23&amp;"-"&amp;'19U BOYS SILVER-6 TEAMS CUST'!I23&amp;"-"&amp;TEXT('19U BOYS SILVER-6 TEAMS CUST'!B23,"h:mm am/pm")</f>
        <v>19Bag10-A1,B1-1:00 PM</v>
      </c>
      <c r="AG33" s="23">
        <v>0.54166666666666696</v>
      </c>
      <c r="AH33" s="152" t="str">
        <f>'16U BOYS GOLD-19 TEAMS'!D66&amp;"-"&amp;'16U BOYS GOLD-19 TEAMS'!I66&amp;"-"&amp;TEXT('16U BOYS GOLD-19 TEAMS'!B66,"h:mm am/pm")</f>
        <v>16Bau37-3rd/4thL-1:00 PM</v>
      </c>
    </row>
    <row r="34" spans="1:37">
      <c r="A34" s="16">
        <v>0.52083333333333304</v>
      </c>
      <c r="B34" s="110" t="str">
        <f>'10U COED GOLD-16 TEAMS CUSTOM'!D40&amp;"-"&amp;'10U COED GOLD-16 TEAMS CUSTOM'!I40&amp;"-"&amp;TEXT('10U COED GOLD-16 TEAMS CUSTOM'!B40,"h:mm am/pm")</f>
        <v>10Cau29-3rd Coed-12:30 PM</v>
      </c>
      <c r="C34" s="112" t="str">
        <f>'10U BOYS-8 TEAMS'!D26&amp;"-"&amp;'10U BOYS-8 TEAMS'!I26&amp;"-"&amp;TEXT('10U BOYS-8 TEAMS'!B26,"h:mm am/pm")</f>
        <v>10B13-7th-12:30 PM</v>
      </c>
      <c r="D34" s="110" t="str">
        <f>'10U COED GOLD-16 TEAMS CUSTOM'!D39&amp;"-"&amp;'10U COED GOLD-16 TEAMS CUSTOM'!I39&amp;"-"&amp;TEXT('10U COED GOLD-16 TEAMS CUSTOM'!B39,"h:mm am/pm")</f>
        <v>10Cau27-7th Coed-12:30 PM</v>
      </c>
      <c r="F34" s="16">
        <v>0.53472222222222199</v>
      </c>
      <c r="G34" s="140" t="str">
        <f>'12U GIRLS PLATINUM-12 TEAMS'!D34&amp;"-"&amp;'12U GIRLS PLATINUM-12 TEAMS'!I34&amp;"-"&amp;TEXT('12U GIRLS PLATINUM-12 TEAMS'!B34,"h:mm am/pm")</f>
        <v>12Gpt19-5th-12:50 PM</v>
      </c>
      <c r="H34" s="139" t="str">
        <f>'12U BOYS PLATINUM-10 TEAMS'!D32&amp;"-"&amp;'12U BOYS PLATINUM-10 TEAMS'!I32&amp;"-"&amp;TEXT('12U BOYS PLATINUM-10 TEAMS'!B32,"h:mm am/pm")</f>
        <v>12Bpt20-3rd-12:50 PM</v>
      </c>
      <c r="I34" s="319" t="str">
        <f>'12U BOYS GOLD-24 TEAMS'!D50&amp;"-"&amp;'12U BOYS GOLD-24 TEAMS'!I50&amp;"-"&amp;TEXT('12U BOYS GOLD-24 TEAMS'!B50,"h:mm am/pm")</f>
        <v>12Bau24A-overall 1-4 semi-12:50 PM</v>
      </c>
      <c r="J34" s="141" t="str">
        <f>'12U COED-7 TEAMS'!D27&amp;"-"&amp;'12U COED-7 TEAMS'!I27&amp;"-"&amp;TEXT('12U COED-7 TEAMS'!B27,"h:mm am/pm")</f>
        <v>12C12-1-4 semi-12:50 PM</v>
      </c>
      <c r="K34" s="146" t="str">
        <f>'14U BOYS SILVER-18 TEAMS'!D50&amp;"-"&amp;'14U BOYS SILVER-18 TEAMS'!I50&amp;"-"&amp;TEXT('14U BOYS SILVER-18 TEAMS'!B50,"h:mm am/pm")</f>
        <v>14Bag31-1st-6th-12:50 PM</v>
      </c>
      <c r="L34" s="144" t="str">
        <f>'14U BOYS PLATINUM-20 TEAMS'!D54&amp;"-"&amp;'14U BOYS PLATINUM-20 TEAMS'!I54&amp;"-"&amp;TEXT('14U BOYS PLATINUM-20 TEAMS'!B54,"h:mm am/pm")</f>
        <v>14Bpt28-G bracket-12:50 PM</v>
      </c>
      <c r="M34" s="144" t="str">
        <f>'14U BOYS PLATINUM-20 TEAMS'!D67&amp;"-"&amp;'14U BOYS PLATINUM-20 TEAMS'!I67&amp;"-"&amp;TEXT('14U BOYS PLATINUM-20 TEAMS'!B67,"h:mm am/pm")</f>
        <v>14Bpt40-H bracket-12:50 PM</v>
      </c>
      <c r="N34" s="97" t="str">
        <f>'14U GIRLS PLATINUM-10 TEAMS'!D30&amp;"-"&amp;'14U GIRLS PLATINUM-10 TEAMS'!I30&amp;"-"&amp;TEXT('14U GIRLS PLATINUM-10 TEAMS'!B30,"h:mm am/pm")</f>
        <v>14Gpt18-7th-10th-12:50 PM</v>
      </c>
      <c r="O34" s="145" t="str">
        <f>'14U GIRLS GOLD-14 TEAMS'!D36&amp;"-"&amp;'14U GIRLS GOLD-14 TEAMS'!I36&amp;"-"&amp;TEXT('14U GIRLS GOLD-14 TEAMS'!B36,"h:mm am/pm")</f>
        <v>14Gau27-5th-12:50 PM</v>
      </c>
      <c r="P34" s="98" t="str">
        <f>'14U BOYS GOLD-26 TEAMS'!D73&amp;"-"&amp;'14U BOYS GOLD-26 TEAMS'!I73&amp;"-"&amp;TEXT('14U BOYS GOLD-26 TEAMS'!B73,"h:mm am/pm")</f>
        <v>14Bau46-O bracket-12:50 PM</v>
      </c>
      <c r="Q34" s="98" t="str">
        <f>'14U BOYS GOLD-26 TEAMS'!D62&amp;"-"&amp;'14U BOYS GOLD-26 TEAMS'!I62&amp;"-"&amp;TEXT('14U BOYS GOLD-26 TEAMS'!B62,"h:mm am/pm")</f>
        <v>14Bau39-3rd/4thJ-12:50 PM</v>
      </c>
      <c r="S34" s="303">
        <v>0.54166666666666663</v>
      </c>
      <c r="T34" s="107" t="str">
        <f>'19U BOYS GOLD-16 TEAMS'!D34&amp;"-"&amp;'19U BOYS GOLD-16 TEAMS'!I34&amp;"-"&amp;TEXT('19U BOYS GOLD-16 TEAMS'!B34,"h:mm am/pm")</f>
        <v>19Bau28-9-12 semi 3B/3C-1:00 PM</v>
      </c>
      <c r="V34" s="23">
        <v>0.58333333333333304</v>
      </c>
      <c r="W34" s="109" t="str">
        <f>'19U BOYS PLATINUM-27 TEAMS'!D66&amp;"-"&amp;'19U BOYS PLATINUM-27 TEAMS'!I66&amp;"-"&amp;TEXT('19U BOYS PLATINUM-27 TEAMS'!B66,"h:mm am/pm")</f>
        <v>19Bpt34-3rd/4thJ-2:00 PM</v>
      </c>
      <c r="X34" s="149" t="str">
        <f>'16U BOYS PLATINUM-18 TEAMS'!D51&amp;"-"&amp;'16U BOYS PLATINUM-18 TEAMS'!I51&amp;"-"&amp;TEXT('16U BOYS PLATINUM-18 TEAMS'!B51,"h:mm am/pm")</f>
        <v>16Bpt33-1st-6th-2:00 PM</v>
      </c>
      <c r="Y34" s="151" t="str">
        <f>'16U BOYS GOLD-19 TEAMS'!D55&amp;"-"&amp;'16U BOYS GOLD-19 TEAMS'!I55&amp;"-"&amp;TEXT('16U BOYS GOLD-19 TEAMS'!B55,"h:mm am/pm")</f>
        <v>16Bau27-H bracket H2,H3-2:00 PM</v>
      </c>
      <c r="Z34" s="107" t="str">
        <f>'19U BOYS GOLD-16 TEAMS'!D35&amp;"-"&amp;'19U BOYS GOLD-16 TEAMS'!I35&amp;"-"&amp;TEXT('19U BOYS GOLD-16 TEAMS'!B35,"h:mm am/pm")</f>
        <v>19Bau19-1-4 semi 1A/1D-2:00 PM</v>
      </c>
      <c r="AA34" s="109" t="str">
        <f>'19U BOYS PLATINUM-27 TEAMS'!D78&amp;"-"&amp;'19U BOYS PLATINUM-27 TEAMS'!I78&amp;"-"&amp;TEXT('19U BOYS PLATINUM-27 TEAMS'!B78,"h:mm am/pm")</f>
        <v>19Bpt44-3rd/4thO-3:00 PM</v>
      </c>
      <c r="AB34" s="149" t="str">
        <f>'16U BOYS PLATINUM-18 TEAMS'!D61&amp;"-"&amp;'16U BOYS PLATINUM-18 TEAMS'!I61&amp;"-"&amp;TEXT('16U BOYS PLATINUM-18 TEAMS'!B61,"h:mm am/pm")</f>
        <v>16Bpt34-13th-18th-2:00 PM</v>
      </c>
      <c r="AC34" s="109" t="str">
        <f>'19U BOYS PLATINUM-27 TEAMS'!D87&amp;"-"&amp;'19U BOYS PLATINUM-27 TEAMS'!I87&amp;"-"&amp;TEXT('19U BOYS PLATINUM-27 TEAMS'!B87,"h:mm am/pm")</f>
        <v>19Bpt52-9th16th M2/M3-2:00 PM</v>
      </c>
      <c r="AD34" s="154" t="str">
        <f>'16U BOYS SILVER-20 TEAMS'!D58&amp;"-"&amp;'16U BOYS SILVER-20 TEAMS'!I58&amp;"-"&amp;TEXT('16U BOYS SILVER-20 TEAMS'!B58,"h:mm am/pm")</f>
        <v>16Bag40-H bracket-2:00 PM</v>
      </c>
      <c r="AE34" s="107" t="str">
        <f>'19U BOYS GOLD-16 TEAMS'!D36&amp;"-"&amp;'19U BOYS GOLD-16 TEAMS'!I36&amp;"-"&amp;TEXT('19U BOYS GOLD-16 TEAMS'!B36,"h:mm am/pm")</f>
        <v>19Bau34-13th-2:00 PM</v>
      </c>
      <c r="AG34" s="23">
        <v>0.58333333333333304</v>
      </c>
      <c r="AH34" s="152" t="str">
        <f>'16U BOYS GOLD-19 TEAMS'!D67&amp;"-"&amp;'16U BOYS GOLD-19 TEAMS'!I67&amp;"-"&amp;TEXT('16U BOYS GOLD-19 TEAMS'!B67,"h:mm am/pm")</f>
        <v>16Bau38-1st/2ndL-2:00 PM</v>
      </c>
    </row>
    <row r="35" spans="1:37">
      <c r="A35" s="16">
        <v>0.55208333333333304</v>
      </c>
      <c r="B35" s="110" t="str">
        <f>'10U COED GOLD-16 TEAMS CUSTOM'!D42&amp;"-"&amp;'10U COED GOLD-16 TEAMS CUSTOM'!I42&amp;"-"&amp;TEXT('10U COED GOLD-16 TEAMS CUSTOM'!B42,"h:mm am/pm")</f>
        <v>10Cau30-1st Coed-1:15 PM</v>
      </c>
      <c r="C35" s="112" t="str">
        <f>'10U BOYS-8 TEAMS'!D27&amp;"-"&amp;'10U BOYS-8 TEAMS'!I27&amp;"-"&amp;TEXT('10U BOYS-8 TEAMS'!B27,"h:mm am/pm")</f>
        <v>10B14-5th-1:15 PM</v>
      </c>
      <c r="D35" s="110" t="str">
        <f>'10U COED GOLD-16 TEAMS CUSTOM'!D41&amp;"-"&amp;'10U COED GOLD-16 TEAMS CUSTOM'!I41&amp;"-"&amp;TEXT('10U COED GOLD-16 TEAMS CUSTOM'!B41,"h:mm am/pm")</f>
        <v>10Cau28-5th Coed-1:15 PM</v>
      </c>
      <c r="F35" s="16">
        <v>0.56944444444444497</v>
      </c>
      <c r="G35" s="140" t="str">
        <f>'12U GIRLS PLATINUM-12 TEAMS'!D35&amp;"-"&amp;'12U GIRLS PLATINUM-12 TEAMS'!I35&amp;"-"&amp;TEXT('12U GIRLS PLATINUM-12 TEAMS'!B35,"h:mm am/pm")</f>
        <v>12Gpt24-11th-1:40 PM</v>
      </c>
      <c r="H35" s="139" t="str">
        <f>'12U BOYS PLATINUM-10 TEAMS'!D33&amp;"-"&amp;'12U BOYS PLATINUM-10 TEAMS'!I33&amp;"-"&amp;TEXT('12U BOYS PLATINUM-10 TEAMS'!B33,"h:mm am/pm")</f>
        <v>12Bpt21-1st-1:40 PM</v>
      </c>
      <c r="I35" s="320" t="str">
        <f>'12U BOYS GOLD-24 TEAMS'!D51&amp;"-"&amp;'12U BOYS GOLD-24 TEAMS'!I51&amp;"-"&amp;TEXT('12U BOYS GOLD-24 TEAMS'!B51,"h:mm am/pm")</f>
        <v>12Bau15-9-16 cross 2A/2D-1:40 PM</v>
      </c>
      <c r="J35" s="141" t="str">
        <f>'12U COED-7 TEAMS'!D28&amp;"-"&amp;'12U COED-7 TEAMS'!I28&amp;"-"&amp;TEXT('12U COED-7 TEAMS'!B28,"h:mm am/pm")</f>
        <v>12C13-5th-7th-1:40 PM</v>
      </c>
      <c r="K35" s="146" t="str">
        <f>'14U BOYS SILVER-18 TEAMS'!D51&amp;"-"&amp;'14U BOYS SILVER-18 TEAMS'!I51&amp;"-"&amp;TEXT('14U BOYS SILVER-18 TEAMS'!B51,"h:mm am/pm")</f>
        <v>14Bag33-1st-6th-1:40 PM</v>
      </c>
      <c r="L35" s="144" t="str">
        <f>'14U BOYS PLATINUM-20 TEAMS'!D55&amp;"-"&amp;'14U BOYS PLATINUM-20 TEAMS'!I55&amp;"-"&amp;TEXT('14U BOYS PLATINUM-20 TEAMS'!B55,"h:mm am/pm")</f>
        <v>14Bpt30-K bracket-1:40 PM</v>
      </c>
      <c r="M35" s="144" t="str">
        <f>'14U BOYS PLATINUM-20 TEAMS'!D68&amp;"-"&amp;'14U BOYS PLATINUM-20 TEAMS'!I68&amp;"-"&amp;TEXT('14U BOYS PLATINUM-20 TEAMS'!B68,"h:mm am/pm")</f>
        <v>14Bpt41-1st/2ndL-1:40 PM</v>
      </c>
      <c r="N35" s="97" t="str">
        <f>'14U GIRLS PLATINUM-10 TEAMS'!D31&amp;"-"&amp;'14U GIRLS PLATINUM-10 TEAMS'!I31&amp;"-"&amp;TEXT('14U GIRLS PLATINUM-10 TEAMS'!B31,"h:mm am/pm")</f>
        <v>14Gpt20-3rd-1:40 PM</v>
      </c>
      <c r="O35" s="145" t="str">
        <f>'14U GIRLS GOLD-14 TEAMS'!D37&amp;"-"&amp;'14U GIRLS GOLD-14 TEAMS'!I37&amp;"-"&amp;TEXT('14U GIRLS GOLD-14 TEAMS'!B37,"h:mm am/pm")</f>
        <v>14Gau28-7th-1:40 PM</v>
      </c>
      <c r="P35" s="98" t="str">
        <f>'14U BOYS GOLD-26 TEAMS'!D74&amp;"-"&amp;'14U BOYS GOLD-26 TEAMS'!I74&amp;"-"&amp;TEXT('14U BOYS GOLD-26 TEAMS'!B74,"h:mm am/pm")</f>
        <v>14Bau47-1st/2ndP-1:40 PM</v>
      </c>
      <c r="Q35" s="98" t="str">
        <f>'14U BOYS GOLD-26 TEAMS'!D63&amp;"-"&amp;'14U BOYS GOLD-26 TEAMS'!I63&amp;"-"&amp;TEXT('14U BOYS GOLD-26 TEAMS'!B63,"h:mm am/pm")</f>
        <v>14Bau40-3rd/4thK-1:40 PM</v>
      </c>
      <c r="S35" s="303">
        <v>0.58333333333333337</v>
      </c>
      <c r="T35" s="98" t="str">
        <f>'14U BOYS GOLD-26 TEAMS'!D84&amp;"-"&amp;'14U BOYS GOLD-26 TEAMS'!I84&amp;"-"&amp;TEXT('14U BOYS GOLD-26 TEAMS'!B84,"h:mm am/pm")</f>
        <v>14Bau51-1st/2ndL-2:00 PM</v>
      </c>
      <c r="V35" s="23">
        <v>0.625</v>
      </c>
      <c r="W35" s="109" t="str">
        <f>'19U BOYS PLATINUM-27 TEAMS'!D67&amp;"-"&amp;'19U BOYS PLATINUM-27 TEAMS'!I67&amp;"-"&amp;TEXT('19U BOYS PLATINUM-27 TEAMS'!B67,"h:mm am/pm")</f>
        <v>19Bpt35-3rd/4thK-3:00 PM</v>
      </c>
      <c r="X35" s="149" t="str">
        <f>'16U BOYS PLATINUM-18 TEAMS'!D52&amp;"-"&amp;'16U BOYS PLATINUM-18 TEAMS'!I52&amp;"-"&amp;TEXT('16U BOYS PLATINUM-18 TEAMS'!B52,"h:mm am/pm")</f>
        <v>16Bpt35-7th-12th-3:00 PM</v>
      </c>
      <c r="Y35" s="151" t="str">
        <f>'16U BOYS GOLD-19 TEAMS'!D56&amp;"-"&amp;'16U BOYS GOLD-19 TEAMS'!I56&amp;"-"&amp;TEXT('16U BOYS GOLD-19 TEAMS'!B56,"h:mm am/pm")</f>
        <v>16Bau28-I bracket I1,I2-3:00 PM</v>
      </c>
      <c r="Z35" s="107" t="str">
        <f>'19U BOYS GOLD-16 TEAMS'!D38&amp;"-"&amp;'19U BOYS GOLD-16 TEAMS'!I38&amp;"-"&amp;TEXT('19U BOYS GOLD-16 TEAMS'!B38,"h:mm am/pm")</f>
        <v>19Bau20-1-4 semi 1B/1C-3:00 PM</v>
      </c>
      <c r="AA35" s="109" t="str">
        <f>'19U BOYS PLATINUM-27 TEAMS'!D79&amp;"-"&amp;'19U BOYS PLATINUM-27 TEAMS'!I79&amp;"-"&amp;TEXT('19U BOYS PLATINUM-27 TEAMS'!B79,"h:mm am/pm")</f>
        <v>19Bpt45-N bracket-4:00 PM</v>
      </c>
      <c r="AB35" s="149" t="str">
        <f>'16U BOYS PLATINUM-18 TEAMS'!D62&amp;"-"&amp;'16U BOYS PLATINUM-18 TEAMS'!I62&amp;"-"&amp;TEXT('16U BOYS PLATINUM-18 TEAMS'!B62,"h:mm am/pm")</f>
        <v>16Bpt36-13th-18th-3:00 PM</v>
      </c>
      <c r="AC35" s="109" t="str">
        <f>'19U BOYS PLATINUM-27 TEAMS'!D88&amp;"-"&amp;'19U BOYS PLATINUM-27 TEAMS'!I88&amp;"-"&amp;TEXT('19U BOYS PLATINUM-27 TEAMS'!B88,"h:mm am/pm")</f>
        <v>19Bpt53-1st/2ndL-3:00 PM</v>
      </c>
      <c r="AD35" s="154" t="str">
        <f>'16U BOYS SILVER-20 TEAMS'!D59&amp;"-"&amp;'16U BOYS SILVER-20 TEAMS'!I59&amp;"-"&amp;TEXT('16U BOYS SILVER-20 TEAMS'!B59,"h:mm am/pm")</f>
        <v>16Bag43-5th-3:00 PM</v>
      </c>
      <c r="AE35" s="107" t="str">
        <f>'19U BOYS GOLD-16 TEAMS'!D37&amp;"-"&amp;'19U BOYS GOLD-16 TEAMS'!I37&amp;"-"&amp;TEXT('19U BOYS GOLD-16 TEAMS'!B37,"h:mm am/pm")</f>
        <v>19Bau33-15th-3:00 PM</v>
      </c>
      <c r="AG35" s="23">
        <v>0.625</v>
      </c>
      <c r="AH35" s="152" t="str">
        <f>'16U BOYS GOLD-19 TEAMS'!D68&amp;"-"&amp;'16U BOYS GOLD-19 TEAMS'!I68&amp;"-"&amp;TEXT('16U BOYS GOLD-19 TEAMS'!B68,"h:mm am/pm")</f>
        <v>16Bau39-J bracket J1,J2-3:00 PM</v>
      </c>
    </row>
    <row r="36" spans="1:37">
      <c r="A36" s="16">
        <v>0.58333333333333304</v>
      </c>
      <c r="B36" s="112" t="str">
        <f>'10U BOYS-8 TEAMS'!D28&amp;"-"&amp;'10U BOYS-8 TEAMS'!I28&amp;"-"&amp;TEXT('10U BOYS-8 TEAMS'!B28,"h:mm am/pm")</f>
        <v>10B15-3rd-2:00 PM</v>
      </c>
      <c r="C36" s="111" t="str">
        <f>'10U COED PLATINUM-8 TEAMS'!D27&amp;"-"&amp;'10U COED PLATINUM-8 TEAMS'!I27&amp;"-"&amp;TEXT('10U COED PLATINUM-8 TEAMS'!B27,"h:mm am/pm")</f>
        <v>10Cpt13-7th-2:00 PM</v>
      </c>
      <c r="D36" s="110" t="str">
        <f>'10U COED GOLD-16 TEAMS CUSTOM'!D43&amp;"-"&amp;'10U COED GOLD-16 TEAMS CUSTOM'!I43&amp;"-"&amp;TEXT('10U COED GOLD-16 TEAMS CUSTOM'!B43,"h:mm am/pm")</f>
        <v>10Cau31-coed 9-12-2:00 PM</v>
      </c>
      <c r="F36" s="16">
        <v>0.60416666666666696</v>
      </c>
      <c r="G36" s="140" t="str">
        <f>'12U GIRLS PLATINUM-12 TEAMS'!D36&amp;"-"&amp;'12U GIRLS PLATINUM-12 TEAMS'!I36&amp;"-"&amp;TEXT('12U GIRLS PLATINUM-12 TEAMS'!B36,"h:mm am/pm")</f>
        <v>12Gpt20-7th-2:30 PM</v>
      </c>
      <c r="H36" s="139" t="str">
        <f>'12U BOYS PLATINUM-10 TEAMS'!D34&amp;"-"&amp;'12U BOYS PLATINUM-10 TEAMS'!I34&amp;"-"&amp;TEXT('12U BOYS PLATINUM-10 TEAMS'!B34,"h:mm am/pm")</f>
        <v>12Bpt17-5th-2:30 PM</v>
      </c>
      <c r="I36" s="320" t="str">
        <f>'12U BOYS GOLD-24 TEAMS'!D52&amp;"-"&amp;'12U BOYS GOLD-24 TEAMS'!I52&amp;"-"&amp;TEXT('12U BOYS GOLD-24 TEAMS'!B52,"h:mm am/pm")</f>
        <v>12Bau16-9-16 cross 2B,2C-2:30 PM</v>
      </c>
      <c r="J36" s="310" t="str">
        <f>'12U BOYS GOLD-24 TEAMS'!D64&amp;"-"&amp;'12U BOYS GOLD-24 TEAMS'!I64&amp;"-"&amp;TEXT('12U BOYS GOLD-24 TEAMS'!B64,"h:mm am/pm")</f>
        <v>12Bau15A-9-16 cross 2E/2H-2:30 PM</v>
      </c>
      <c r="K36" s="146" t="str">
        <f>'14U BOYS SILVER-18 TEAMS'!D49&amp;"-"&amp;'14U BOYS SILVER-18 TEAMS'!I49&amp;"-"&amp;TEXT('14U BOYS SILVER-18 TEAMS'!B49,"h:mm am/pm")</f>
        <v>14Bag35-7th-12th-12:00 PM</v>
      </c>
      <c r="L36" s="144" t="str">
        <f>'14U BOYS PLATINUM-20 TEAMS'!D56&amp;"-"&amp;'14U BOYS PLATINUM-20 TEAMS'!I56&amp;"-"&amp;TEXT('14U BOYS PLATINUM-20 TEAMS'!B56,"h:mm am/pm")</f>
        <v>14Bpt29-J bracket-2:30 PM</v>
      </c>
      <c r="M36" s="144" t="str">
        <f>'14U BOYS PLATINUM-20 TEAMS'!D69&amp;"-"&amp;'14U BOYS PLATINUM-20 TEAMS'!I69&amp;"-"&amp;TEXT('14U BOYS PLATINUM-20 TEAMS'!B69,"h:mm am/pm")</f>
        <v>14Bpt38-1st/2ndI-2:30 PM</v>
      </c>
      <c r="N36" s="97" t="str">
        <f>'14U GIRLS PLATINUM-10 TEAMS'!D32&amp;"-"&amp;'14U GIRLS PLATINUM-10 TEAMS'!I32&amp;"-"&amp;TEXT('14U GIRLS PLATINUM-10 TEAMS'!B32,"h:mm am/pm")</f>
        <v>14Gpt21-1st-2:30 PM</v>
      </c>
      <c r="O36" s="145" t="str">
        <f>'14U GIRLS GOLD-14 TEAMS'!D38&amp;"-"&amp;'14U GIRLS GOLD-14 TEAMS'!I38&amp;"-"&amp;TEXT('14U GIRLS GOLD-14 TEAMS'!B38,"h:mm am/pm")</f>
        <v>14Gau25-9th-14th 3A,3C-2:30 PM</v>
      </c>
      <c r="P36" s="98" t="str">
        <f>'14U BOYS GOLD-26 TEAMS'!D75&amp;"-"&amp;'14U BOYS GOLD-26 TEAMS'!I75&amp;"-"&amp;TEXT('14U BOYS GOLD-26 TEAMS'!B75,"h:mm am/pm")</f>
        <v>14Bau48-3rd/4thP-2:30 PM</v>
      </c>
      <c r="Q36" s="98" t="str">
        <f>'14U BOYS GOLD-26 TEAMS'!D64&amp;"-"&amp;'14U BOYS GOLD-26 TEAMS'!I64&amp;"-"&amp;TEXT('14U BOYS GOLD-26 TEAMS'!B64,"h:mm am/pm")</f>
        <v>14Bau35-overall 3rd-2:30 PM</v>
      </c>
      <c r="S36" s="303">
        <v>0.61805555555555558</v>
      </c>
      <c r="T36" s="98" t="str">
        <f>'14U BOYS GOLD-26 TEAMS'!D85&amp;"-"&amp;'14U BOYS GOLD-26 TEAMS'!I85&amp;"-"&amp;TEXT('14U BOYS GOLD-26 TEAMS'!B85,"h:mm am/pm")</f>
        <v>14Bau52-3rd/4thL-2:50 PM</v>
      </c>
      <c r="V36" s="23">
        <v>0.66666666666666696</v>
      </c>
      <c r="W36" s="109" t="str">
        <f>'19U BOYS PLATINUM-27 TEAMS'!D69&amp;"-"&amp;'19U BOYS PLATINUM-27 TEAMS'!I69&amp;"-"&amp;TEXT('19U BOYS PLATINUM-27 TEAMS'!B69,"h:mm am/pm")</f>
        <v>19Bpt36-overall 3rd-5:00 PM</v>
      </c>
      <c r="X36" s="149" t="str">
        <f>'16U BOYS PLATINUM-18 TEAMS'!D53&amp;"-"&amp;'16U BOYS PLATINUM-18 TEAMS'!I53&amp;"-"&amp;TEXT('16U BOYS PLATINUM-18 TEAMS'!B53,"h:mm am/pm")</f>
        <v>16Bpt37-overall 3rd-4:00 PM</v>
      </c>
      <c r="Y36" s="151" t="str">
        <f>'16U BOYS GOLD-19 TEAMS'!D57&amp;"-"&amp;'16U BOYS GOLD-19 TEAMS'!I57&amp;"-"&amp;TEXT('16U BOYS GOLD-19 TEAMS'!B57,"h:mm am/pm")</f>
        <v>16Bau29-3rd 2ndG/2ndH-4:00 PM</v>
      </c>
      <c r="Z36" s="107" t="str">
        <f>'19U BOYS GOLD-16 TEAMS'!D39&amp;"-"&amp;'19U BOYS GOLD-16 TEAMS'!I39&amp;"-"&amp;TEXT('19U BOYS GOLD-16 TEAMS'!B39,"h:mm am/pm")</f>
        <v>19Bau25-5th-4:00 PM</v>
      </c>
      <c r="AA36" s="109" t="str">
        <f>'19U BOYS PLATINUM-27 TEAMS'!D80&amp;"-"&amp;'19U BOYS PLATINUM-27 TEAMS'!I80&amp;"-"&amp;TEXT('19U BOYS PLATINUM-27 TEAMS'!B80,"h:mm am/pm")</f>
        <v>19Bpt46-1st/2ndP-5:00 PM</v>
      </c>
      <c r="AB36" s="149" t="str">
        <f>'16U BOYS PLATINUM-18 TEAMS'!D63&amp;"-"&amp;'16U BOYS PLATINUM-18 TEAMS'!I63&amp;"-"&amp;TEXT('16U BOYS PLATINUM-18 TEAMS'!B63,"h:mm am/pm")</f>
        <v>16Bpt20-7th-12th-4:00 PM</v>
      </c>
      <c r="AC36" s="109" t="str">
        <f>'19U BOYS PLATINUM-27 TEAMS'!D89&amp;"-"&amp;'19U BOYS PLATINUM-27 TEAMS'!I89&amp;"-"&amp;TEXT('19U BOYS PLATINUM-27 TEAMS'!B89,"h:mm am/pm")</f>
        <v>19Bpt54-3rd/4thL-4:00 PM</v>
      </c>
      <c r="AD36" s="154" t="str">
        <f>'16U BOYS SILVER-20 TEAMS'!D60&amp;"-"&amp;'16U BOYS SILVER-20 TEAMS'!I60&amp;"-"&amp;TEXT('16U BOYS SILVER-20 TEAMS'!B60,"h:mm am/pm")</f>
        <v>16Bag31-3rd-4:00 PM</v>
      </c>
      <c r="AE36" s="108" t="str">
        <f>'19U BOYS SILVER-6 TEAMS CUST'!D25&amp;"-"&amp;'19U BOYS SILVER-6 TEAMS CUST'!I25&amp;"-"&amp;TEXT('19U BOYS SILVER-6 TEAMS CUST'!B25,"h:mm am/pm")</f>
        <v>19Bag11-A2,B1-4:00 PM</v>
      </c>
      <c r="AG36" s="23">
        <v>0.66666666666666696</v>
      </c>
      <c r="AH36" s="153" t="str">
        <f>'16U BOYS GOLD-19 TEAMS'!D69&amp;"-"&amp;'16U BOYS GOLD-19 TEAMS'!I69&amp;"-"&amp;TEXT('16U BOYS GOLD-19 TEAMS'!B69,"h:mm am/pm")</f>
        <v>16Bau40-K bracket K1,K2-4:00 PM</v>
      </c>
    </row>
    <row r="37" spans="1:37">
      <c r="A37" s="16">
        <v>0.61458333333333304</v>
      </c>
      <c r="B37" s="112" t="str">
        <f>'10U BOYS-8 TEAMS'!D29&amp;"-"&amp;'10U BOYS-8 TEAMS'!I29&amp;"-"&amp;TEXT('10U BOYS-8 TEAMS'!B29,"h:mm am/pm")</f>
        <v>10B16-1st-2:45 PM</v>
      </c>
      <c r="C37" s="111" t="str">
        <f>'10U COED PLATINUM-8 TEAMS'!D28&amp;"-"&amp;'10U COED PLATINUM-8 TEAMS'!I28&amp;"-"&amp;TEXT('10U COED PLATINUM-8 TEAMS'!B28,"h:mm am/pm")</f>
        <v>10Cpt14-5th-2:45 PM</v>
      </c>
      <c r="D37" s="110" t="str">
        <f>'10U COED GOLD-16 TEAMS CUSTOM'!D44&amp;"-"&amp;'10U COED GOLD-16 TEAMS CUSTOM'!I44&amp;"-"&amp;TEXT('10U COED GOLD-16 TEAMS CUSTOM'!B44,"h:mm am/pm")</f>
        <v>10Cau32-coed 9-12-2:45 PM</v>
      </c>
      <c r="F37" s="16">
        <v>0.63888888888888895</v>
      </c>
      <c r="G37" s="140" t="str">
        <f>'12U GIRLS PLATINUM-12 TEAMS'!D37&amp;"-"&amp;'12U GIRLS PLATINUM-12 TEAMS'!I37&amp;"-"&amp;TEXT('12U GIRLS PLATINUM-12 TEAMS'!B37,"h:mm am/pm")</f>
        <v>12Gpt17-3rd-3:20 PM</v>
      </c>
      <c r="H37" s="139" t="str">
        <f>'12U BOYS PLATINUM-10 TEAMS'!D35&amp;"-"&amp;'12U BOYS PLATINUM-10 TEAMS'!I35&amp;"-"&amp;TEXT('12U BOYS PLATINUM-10 TEAMS'!B35,"h:mm am/pm")</f>
        <v>12Bpt19-7th-10th-3:20 PM</v>
      </c>
      <c r="I37" s="310" t="str">
        <f>'12U BOYS GOLD-24 TEAMS'!D53&amp;"-"&amp;'12U BOYS GOLD-24 TEAMS'!I53&amp;"-"&amp;TEXT('12U BOYS GOLD-24 TEAMS'!B53,"h:mm am/pm")</f>
        <v>12Bau20A-tie 17th-3:20 PM</v>
      </c>
      <c r="J37" s="310" t="str">
        <f>'12U BOYS GOLD-24 TEAMS'!D65&amp;"-"&amp;'12U BOYS GOLD-24 TEAMS'!I65&amp;"-"&amp;TEXT('12U BOYS GOLD-24 TEAMS'!B65,"h:mm am/pm")</f>
        <v>12Bau16A-9-16 cross 2F/2G-3:20 PM</v>
      </c>
      <c r="K37" s="146" t="str">
        <f>'14U BOYS SILVER-18 TEAMS'!D53&amp;"-"&amp;'14U BOYS SILVER-18 TEAMS'!I53&amp;"-"&amp;TEXT('14U BOYS SILVER-18 TEAMS'!B53,"h:mm am/pm")</f>
        <v>14Bag37-overall 3rd-3:20 PM</v>
      </c>
      <c r="L37" s="144" t="str">
        <f>'14U BOYS PLATINUM-20 TEAMS'!D57&amp;"-"&amp;'14U BOYS PLATINUM-20 TEAMS'!I57&amp;"-"&amp;TEXT('14U BOYS PLATINUM-20 TEAMS'!B57,"h:mm am/pm")</f>
        <v>14Bpt43-5th-3:20 PM</v>
      </c>
      <c r="M37" s="144" t="str">
        <f>'14U BOYS PLATINUM-20 TEAMS'!D70&amp;"-"&amp;'14U BOYS PLATINUM-20 TEAMS'!I70&amp;"-"&amp;TEXT('14U BOYS PLATINUM-20 TEAMS'!B70,"h:mm am/pm")</f>
        <v>14Bpt39-3rd/4thL-3:20 PM</v>
      </c>
      <c r="N37" s="97" t="str">
        <f>'14U GIRLS PLATINUM-10 TEAMS'!D33&amp;"-"&amp;'14U GIRLS PLATINUM-10 TEAMS'!I33&amp;"-"&amp;TEXT('14U GIRLS PLATINUM-10 TEAMS'!B33,"h:mm am/pm")</f>
        <v>14Gpt17-5th-3:20 PM</v>
      </c>
      <c r="O37" s="145" t="str">
        <f>'14U GIRLS GOLD-14 TEAMS'!D39&amp;"-"&amp;'14U GIRLS GOLD-14 TEAMS'!I39&amp;"-"&amp;TEXT('14U GIRLS GOLD-14 TEAMS'!B39,"h:mm am/pm")</f>
        <v>14Gau21-3rd-3:20 PM</v>
      </c>
      <c r="P37" s="98" t="str">
        <f>'14U BOYS GOLD-26 TEAMS'!D72&amp;"-"&amp;'14U BOYS GOLD-26 TEAMS'!I72&amp;"-"&amp;TEXT('14U BOYS GOLD-26 TEAMS'!B72,"h:mm am/pm")</f>
        <v>14Bau49-N bracket-12:00 PM</v>
      </c>
      <c r="Q37" s="98" t="str">
        <f>'14U BOYS GOLD-26 TEAMS'!D65&amp;"-"&amp;'14U BOYS GOLD-26 TEAMS'!I65&amp;"-"&amp;TEXT('14U BOYS GOLD-26 TEAMS'!B65,"h:mm am/pm")</f>
        <v>14Bau36-overall 1st-3:20 PM</v>
      </c>
      <c r="S37" s="23">
        <v>0.65277777777777779</v>
      </c>
      <c r="T37" s="98" t="str">
        <f>'14U BOYS GOLD-26 TEAMS'!D86&amp;"-"&amp;'14U BOYS GOLD-26 TEAMS'!I86&amp;"-"&amp;TEXT('14U BOYS GOLD-26 TEAMS'!B86,"h:mm am/pm")</f>
        <v>14Bau53-1st/2ndM-3:40 PM</v>
      </c>
      <c r="V37" s="23">
        <v>0.70833333333333304</v>
      </c>
      <c r="W37" s="109" t="str">
        <f>'19U BOYS PLATINUM-27 TEAMS'!D68&amp;"-"&amp;'19U BOYS PLATINUM-27 TEAMS'!I68&amp;"-"&amp;TEXT('19U BOYS PLATINUM-27 TEAMS'!B68,"h:mm am/pm")</f>
        <v>19Bpt37-overall 1st-4:00 PM</v>
      </c>
      <c r="X37" s="149" t="str">
        <f>'16U BOYS PLATINUM-18 TEAMS'!D54&amp;"-"&amp;'16U BOYS PLATINUM-18 TEAMS'!I54&amp;"-"&amp;TEXT('16U BOYS PLATINUM-18 TEAMS'!B54,"h:mm am/pm")</f>
        <v>16Bpt38-overall 1st-5:00 PM</v>
      </c>
      <c r="Y37" s="151" t="str">
        <f>'16U BOYS GOLD-19 TEAMS'!D58&amp;"-"&amp;'16U BOYS GOLD-19 TEAMS'!I58&amp;"-"&amp;TEXT('16U BOYS GOLD-19 TEAMS'!B58,"h:mm am/pm")</f>
        <v>16Bau30-1st 1stG/1stH-5:00 PM</v>
      </c>
      <c r="Z37" s="107" t="str">
        <f>'19U BOYS GOLD-16 TEAMS'!D40&amp;"-"&amp;'19U BOYS GOLD-16 TEAMS'!I40&amp;"-"&amp;TEXT('19U BOYS GOLD-16 TEAMS'!B40,"h:mm am/pm")</f>
        <v>19Bau26-7th-5:00 PM</v>
      </c>
      <c r="AA37" s="109" t="str">
        <f>'19U BOYS PLATINUM-27 TEAMS'!D81&amp;"-"&amp;'19U BOYS PLATINUM-27 TEAMS'!I81&amp;"-"&amp;TEXT('19U BOYS PLATINUM-27 TEAMS'!B81,"h:mm am/pm")</f>
        <v>19Bpt47-3rd/4thP-6:00 PM</v>
      </c>
      <c r="AB37" s="149" t="str">
        <f>'16U BOYS PLATINUM-18 TEAMS'!D64&amp;"-"&amp;'16U BOYS PLATINUM-18 TEAMS'!I64&amp;"-"&amp;TEXT('16U BOYS PLATINUM-18 TEAMS'!B64,"h:mm am/pm")</f>
        <v>16Bpt22-13th-18th-5:00 PM</v>
      </c>
      <c r="AC37" s="109" t="str">
        <f>'19U BOYS PLATINUM-27 TEAMS'!D90&amp;"-"&amp;'19U BOYS PLATINUM-27 TEAMS'!I90&amp;"-"&amp;TEXT('19U BOYS PLATINUM-27 TEAMS'!B90,"h:mm am/pm")</f>
        <v>19Bpt55-1st/2ndM-5:00 PM</v>
      </c>
      <c r="AD37" s="154" t="str">
        <f>'16U BOYS SILVER-20 TEAMS'!D61&amp;"-"&amp;'16U BOYS SILVER-20 TEAMS'!I61&amp;"-"&amp;TEXT('16U BOYS SILVER-20 TEAMS'!B61,"h:mm am/pm")</f>
        <v>16Bag32-1st-5:00 PM</v>
      </c>
      <c r="AE37" s="108" t="str">
        <f>'19U BOYS SILVER-6 TEAMS CUST'!D26&amp;"-"&amp;'19U BOYS SILVER-6 TEAMS CUST'!I26&amp;"-"&amp;TEXT('19U BOYS SILVER-6 TEAMS CUST'!B26,"h:mm am/pm")</f>
        <v>19Bag12-A3,B3-5:00 PM</v>
      </c>
      <c r="AG37" s="23">
        <v>0.70833333333333404</v>
      </c>
    </row>
    <row r="38" spans="1:37">
      <c r="A38" s="16">
        <v>0.64583333333333304</v>
      </c>
      <c r="B38" s="111" t="str">
        <f>'10U COED PLATINUM-8 TEAMS'!D29&amp;"-"&amp;'10U COED PLATINUM-8 TEAMS'!I29&amp;"-"&amp;TEXT('10U COED PLATINUM-8 TEAMS'!B29,"h:mm am/pm")</f>
        <v>10Cpt15-3rd-3:30 PM</v>
      </c>
      <c r="D38" s="320" t="str">
        <f>'12U BOYS GOLD-24 TEAMS'!D54&amp;"-"&amp;'12U BOYS GOLD-24 TEAMS'!I54&amp;"-"&amp;TEXT('12U BOYS GOLD-24 TEAMS'!B54,"h:mm am/pm")</f>
        <v>12Bau20-tie 17th-3:30 PM</v>
      </c>
      <c r="F38" s="16">
        <v>0.67361111111111105</v>
      </c>
      <c r="G38" s="140" t="str">
        <f>'12U GIRLS PLATINUM-12 TEAMS'!D38&amp;"-"&amp;'12U GIRLS PLATINUM-12 TEAMS'!I38&amp;"-"&amp;TEXT('12U GIRLS PLATINUM-12 TEAMS'!B38,"h:mm am/pm")</f>
        <v>12Gpt18-1st-4:10 PM</v>
      </c>
      <c r="H38" s="320" t="str">
        <f>'12U BOYS GOLD-24 TEAMS'!D67&amp;"-"&amp;'12U BOYS GOLD-24 TEAMS'!I67&amp;"-"&amp;TEXT('12U BOYS GOLD-24 TEAMS'!B67,"h:mm am/pm")</f>
        <v>12Bau25-3rd-4:10 PM</v>
      </c>
      <c r="I38" s="320" t="str">
        <f>'12U BOYS GOLD-24 TEAMS'!D55&amp;"-"&amp;'12U BOYS GOLD-24 TEAMS'!I55&amp;"-"&amp;TEXT('12U BOYS GOLD-24 TEAMS'!B55,"h:mm am/pm")</f>
        <v>12Bau23-tie 5th-4:10 PM</v>
      </c>
      <c r="J38" s="310" t="str">
        <f>'12U BOYS GOLD-24 TEAMS'!D66&amp;"-"&amp;'12U BOYS GOLD-24 TEAMS'!I66&amp;"-"&amp;TEXT('12U BOYS GOLD-24 TEAMS'!B66,"h:mm am/pm")</f>
        <v>12Bau19A-tie 21st-4:10 PM</v>
      </c>
      <c r="K38" s="146" t="str">
        <f>'14U BOYS SILVER-18 TEAMS'!D54&amp;"-"&amp;'14U BOYS SILVER-18 TEAMS'!I54&amp;"-"&amp;TEXT('14U BOYS SILVER-18 TEAMS'!B54,"h:mm am/pm")</f>
        <v>14Bag38-overall 1st-4:10 PM</v>
      </c>
      <c r="L38" s="144" t="str">
        <f>'14U BOYS PLATINUM-20 TEAMS'!D58&amp;"-"&amp;'14U BOYS PLATINUM-20 TEAMS'!I58&amp;"-"&amp;TEXT('14U BOYS PLATINUM-20 TEAMS'!B58,"h:mm am/pm")</f>
        <v>14Bpt31-3rd-4:10 PM</v>
      </c>
      <c r="M38" s="144" t="str">
        <f>'14U BOYS PLATINUM-20 TEAMS'!D71&amp;"-"&amp;'14U BOYS PLATINUM-20 TEAMS'!I71&amp;"-"&amp;TEXT('14U BOYS PLATINUM-20 TEAMS'!B71,"h:mm am/pm")</f>
        <v>14Bpt42-3rd/4thI-4:10 PM</v>
      </c>
      <c r="N38" s="97" t="str">
        <f>'14U GIRLS PLATINUM-10 TEAMS'!D34&amp;"-"&amp;'14U GIRLS PLATINUM-10 TEAMS'!I34&amp;"-"&amp;TEXT('14U GIRLS PLATINUM-10 TEAMS'!B34,"h:mm am/pm")</f>
        <v>14Gpt19-7th-10th-4:10 PM</v>
      </c>
      <c r="O38" s="145" t="str">
        <f>'14U GIRLS GOLD-14 TEAMS'!D40&amp;"-"&amp;'14U GIRLS GOLD-14 TEAMS'!I40&amp;"-"&amp;TEXT('14U GIRLS GOLD-14 TEAMS'!B40,"h:mm am/pm")</f>
        <v>14Gau22-1st-4:10 PM</v>
      </c>
      <c r="P38" s="98" t="str">
        <f>'14U BOYS GOLD-26 TEAMS'!D77&amp;"-"&amp;'14U BOYS GOLD-26 TEAMS'!I77&amp;"-"&amp;TEXT('14U BOYS GOLD-26 TEAMS'!B77,"h:mm am/pm")</f>
        <v>14Bau50-O bracket-4:10 PM</v>
      </c>
      <c r="Q38" s="320" t="str">
        <f>'12U BOYS GOLD-24 TEAMS'!D56&amp;"-"&amp;'12U BOYS GOLD-24 TEAMS'!I56&amp;"-"&amp;TEXT('12U BOYS GOLD-24 TEAMS'!B56,"h:mm am/pm")</f>
        <v>12Bau21-tie 13th-4:10 PM</v>
      </c>
      <c r="S38" s="23">
        <v>0.6875</v>
      </c>
      <c r="T38" s="98" t="str">
        <f>'14U BOYS GOLD-26 TEAMS'!D87&amp;"-"&amp;'14U BOYS GOLD-26 TEAMS'!I87&amp;"-"&amp;TEXT('14U BOYS GOLD-26 TEAMS'!B87,"h:mm am/pm")</f>
        <v>14Bau54-3rd/4thM-4:30 PM</v>
      </c>
      <c r="V38" s="23">
        <v>0.75</v>
      </c>
      <c r="W38" s="107" t="str">
        <f>'19U BOYS GOLD-16 TEAMS'!D44&amp;"-"&amp;'19U BOYS GOLD-16 TEAMS'!I44&amp;"-"&amp;TEXT('19U BOYS GOLD-16 TEAMS'!B44,"h:mm am/pm")</f>
        <v>19Bau24-1st-6:00 PM</v>
      </c>
      <c r="X38" s="107" t="str">
        <f>'19U BOYS GOLD-16 TEAMS'!D43&amp;"-"&amp;'19U BOYS GOLD-16 TEAMS'!I43&amp;"-"&amp;TEXT('19U BOYS GOLD-16 TEAMS'!B43,"h:mm am/pm")</f>
        <v>19Bau23-3rd-6:00 PM</v>
      </c>
      <c r="Y38" s="155"/>
      <c r="AA38" s="109" t="str">
        <f>'19U BOYS PLATINUM-27 TEAMS'!D71&amp;"-"&amp;'19U BOYS PLATINUM-27 TEAMS'!I71&amp;"-"&amp;TEXT('19U BOYS PLATINUM-27 TEAMS'!B71,"h:mm am/pm")</f>
        <v>19Bpt48-N bracket-8:00 AM</v>
      </c>
      <c r="AB38" s="149" t="str">
        <f>'16U BOYS PLATINUM-18 TEAMS'!D65&amp;"-"&amp;'16U BOYS PLATINUM-18 TEAMS'!I65&amp;"-"&amp;TEXT('16U BOYS PLATINUM-18 TEAMS'!B65,"h:mm am/pm")</f>
        <v>16Bpt24-13th-18th-6:00 PM</v>
      </c>
      <c r="AC38" s="109" t="str">
        <f>'19U BOYS PLATINUM-27 TEAMS'!D91&amp;"-"&amp;'19U BOYS PLATINUM-27 TEAMS'!I91&amp;"-"&amp;TEXT('19U BOYS PLATINUM-27 TEAMS'!B91,"h:mm am/pm")</f>
        <v>19Bpt56-3rd/4thM-6:00 PM</v>
      </c>
      <c r="AD38" s="155"/>
      <c r="AE38" s="155"/>
      <c r="AF38" s="155"/>
      <c r="AG38" s="156"/>
      <c r="AH38" s="155"/>
      <c r="AI38" s="155"/>
      <c r="AJ38" s="155"/>
      <c r="AK38" s="155"/>
    </row>
    <row r="39" spans="1:37">
      <c r="A39" s="16">
        <v>0.67708333333333304</v>
      </c>
      <c r="B39" s="111" t="str">
        <f>'10U COED PLATINUM-8 TEAMS'!D30&amp;"-"&amp;'10U COED PLATINUM-8 TEAMS'!I30&amp;"-"&amp;TEXT('10U COED PLATINUM-8 TEAMS'!B30,"h:mm am/pm")</f>
        <v>10Cpt16-1st-4:15 PM</v>
      </c>
      <c r="D39" s="324" t="str">
        <f>'12U BOYS GOLD-24 TEAMS'!D57&amp;"-"&amp;'12U BOYS GOLD-24 TEAMS'!I57&amp;"-"&amp;TEXT('12U BOYS GOLD-24 TEAMS'!B57,"h:mm am/pm")</f>
        <v>12Bau19-tie 21st-4:20 PM</v>
      </c>
      <c r="F39" s="16">
        <v>0.70833333333333404</v>
      </c>
      <c r="G39" s="141" t="str">
        <f>'12U COED-7 TEAMS'!D31&amp;"-"&amp;'12U COED-7 TEAMS'!I31&amp;"-"&amp;TEXT('12U COED-7 TEAMS'!B31,"h:mm am/pm")</f>
        <v>12C14-3rd-5:50 PM</v>
      </c>
      <c r="H39" s="320" t="str">
        <f>'12U BOYS GOLD-24 TEAMS'!D68&amp;"-"&amp;'12U BOYS GOLD-24 TEAMS'!I68&amp;"-"&amp;TEXT('12U BOYS GOLD-24 TEAMS'!B68,"h:mm am/pm")</f>
        <v>12Bau26-1st-5:00 PM</v>
      </c>
      <c r="I39" s="320" t="str">
        <f>'12U BOYS GOLD-24 TEAMS'!D58&amp;"-"&amp;'12U BOYS GOLD-24 TEAMS'!I58&amp;"-"&amp;TEXT('12U BOYS GOLD-24 TEAMS'!B58,"h:mm am/pm")</f>
        <v>12Bau22-tie 9th-5:00 PM</v>
      </c>
      <c r="J39" s="310" t="str">
        <f>'12U BOYS GOLD-24 TEAMS'!D69&amp;"-"&amp;'12U BOYS GOLD-24 TEAMS'!I69&amp;"-"&amp;TEXT('12U BOYS GOLD-24 TEAMS'!B69,"h:mm am/pm")</f>
        <v>12Bau23A-tie 5th-5:00 PM</v>
      </c>
      <c r="K39" s="107" t="str">
        <f>'19U BOYS GOLD-16 TEAMS'!D41&amp;"-"&amp;'19U BOYS GOLD-16 TEAMS'!I41&amp;"-"&amp;TEXT('19U BOYS GOLD-16 TEAMS'!B41,"h:mm am/pm")</f>
        <v>19Bau31-9th-5:00 PM</v>
      </c>
      <c r="L39" s="144" t="str">
        <f>'14U BOYS PLATINUM-20 TEAMS'!D59&amp;"-"&amp;'14U BOYS PLATINUM-20 TEAMS'!I59&amp;"-"&amp;TEXT('14U BOYS PLATINUM-20 TEAMS'!B59,"h:mm am/pm")</f>
        <v>14Bpt32-1st-5:00 PM</v>
      </c>
      <c r="M39" s="107" t="str">
        <f>'19U BOYS GOLD-16 TEAMS'!D42&amp;"-"&amp;'19U BOYS GOLD-16 TEAMS'!I42&amp;"-"&amp;TEXT('19U BOYS GOLD-16 TEAMS'!B42,"h:mm am/pm")</f>
        <v>19Bau32-11th-5:00 PM</v>
      </c>
      <c r="S39" s="23"/>
      <c r="V39" s="23"/>
    </row>
    <row r="40" spans="1:37">
      <c r="F40" s="16">
        <v>0.74305555555555602</v>
      </c>
      <c r="G40" s="141" t="str">
        <f>'12U COED-7 TEAMS'!D30&amp;"-"&amp;'12U COED-7 TEAMS'!I30&amp;"-"&amp;TEXT('12U COED-7 TEAMS'!B30,"h:mm am/pm")</f>
        <v>12C15-1st-5:00 PM</v>
      </c>
      <c r="H40" s="310" t="str">
        <f>'12U BOYS GOLD-24 TEAMS'!D71&amp;"-"&amp;'12U BOYS GOLD-24 TEAMS'!I71&amp;"-"&amp;TEXT('12U BOYS GOLD-24 TEAMS'!B71,"h:mm am/pm")</f>
        <v>12Bau21A-tie 13th-5:50 PM</v>
      </c>
      <c r="J40" s="310" t="str">
        <f>'12U BOYS GOLD-24 TEAMS'!D70&amp;"-"&amp;'12U BOYS GOLD-24 TEAMS'!I70&amp;"-"&amp;TEXT('12U BOYS GOLD-24 TEAMS'!B70,"h:mm am/pm")</f>
        <v>12Bau22A-tie 9th-5:00 PM</v>
      </c>
    </row>
    <row r="41" spans="1:37">
      <c r="F41" s="16"/>
    </row>
    <row r="42" spans="1:37">
      <c r="AJ42" s="14" t="s">
        <v>1230</v>
      </c>
    </row>
    <row r="43" spans="1:37">
      <c r="A43" s="14" t="s">
        <v>1223</v>
      </c>
      <c r="B43" s="14">
        <f>COUNTA(B27:B42)</f>
        <v>12</v>
      </c>
      <c r="C43" s="14">
        <f t="shared" ref="C43:D43" si="2">COUNTA(C27:C42)</f>
        <v>10</v>
      </c>
      <c r="D43" s="14">
        <f t="shared" si="2"/>
        <v>12</v>
      </c>
      <c r="G43" s="14">
        <f>COUNTA(G27:G42)</f>
        <v>14</v>
      </c>
      <c r="H43" s="14">
        <f>COUNTA(H27:H42)</f>
        <v>14</v>
      </c>
      <c r="I43" s="14">
        <f t="shared" ref="I43:Q43" si="3">COUNTA(I27:I42)</f>
        <v>12</v>
      </c>
      <c r="J43" s="14">
        <f>COUNTA(J27:J42)</f>
        <v>14</v>
      </c>
      <c r="K43" s="14">
        <f t="shared" si="3"/>
        <v>12</v>
      </c>
      <c r="L43" s="14">
        <f>COUNTA(L27:L42)</f>
        <v>13</v>
      </c>
      <c r="M43" s="14">
        <f>COUNTA(M27:M42)</f>
        <v>13</v>
      </c>
      <c r="N43" s="14">
        <f t="shared" si="3"/>
        <v>12</v>
      </c>
      <c r="O43" s="14">
        <f>COUNTA(O27:O42)</f>
        <v>12</v>
      </c>
      <c r="P43" s="14">
        <f>COUNTA(P27:P42)</f>
        <v>12</v>
      </c>
      <c r="Q43" s="14">
        <f t="shared" si="3"/>
        <v>11</v>
      </c>
      <c r="T43" s="14">
        <f>COUNTA(T27:T42)</f>
        <v>12</v>
      </c>
      <c r="W43" s="14">
        <f>COUNTA(W27:W42)</f>
        <v>12</v>
      </c>
      <c r="X43" s="14">
        <f>COUNTA(X27:X42)</f>
        <v>12</v>
      </c>
      <c r="Y43" s="14">
        <f>COUNTA(Y27:Y42)</f>
        <v>11</v>
      </c>
      <c r="Z43" s="14">
        <f t="shared" ref="Z43:AE43" si="4">COUNTA(Z27:Z42)</f>
        <v>5</v>
      </c>
      <c r="AA43" s="14">
        <f>COUNTA(AA27:AA42)</f>
        <v>12</v>
      </c>
      <c r="AB43" s="14">
        <f>COUNTA(AB27:AB42)</f>
        <v>12</v>
      </c>
      <c r="AC43" s="14">
        <f>COUNTA(AC27:AC42)</f>
        <v>12</v>
      </c>
      <c r="AD43" s="14">
        <f>COUNTA(AD27:AD42)</f>
        <v>11</v>
      </c>
      <c r="AE43" s="14">
        <f t="shared" si="4"/>
        <v>10</v>
      </c>
      <c r="AH43" s="14">
        <f>COUNTA(AH27:AH42)</f>
        <v>10</v>
      </c>
      <c r="AJ43" s="14">
        <f>SUM(B43:AH43)</f>
        <v>292</v>
      </c>
    </row>
    <row r="44" spans="1:37">
      <c r="D44" s="7" t="s">
        <v>1231</v>
      </c>
      <c r="AH44" s="21"/>
    </row>
    <row r="45" spans="1:37">
      <c r="D45" s="7" t="s">
        <v>1232</v>
      </c>
      <c r="AH45" s="21"/>
      <c r="AJ45" s="14" t="s">
        <v>1233</v>
      </c>
    </row>
    <row r="46" spans="1:37">
      <c r="D46" s="8"/>
      <c r="O46" s="380" t="str">
        <f>'14U GIRLS GOLD-14 TEAMS'!D28&amp;"-"&amp;'14U GIRLS GOLD-14 TEAMS'!I28&amp;"-"&amp;TEXT('14U GIRLS GOLD-14 TEAMS'!B28,"h:mm am/pm")</f>
        <v>14Gau18-9th-14th 3B,4D-7:00 AM</v>
      </c>
      <c r="AH46" s="21"/>
      <c r="AJ46" s="14">
        <f>AJ43+AJ21</f>
        <v>579</v>
      </c>
    </row>
    <row r="48" spans="1:37">
      <c r="O48" s="380" t="str">
        <f>'14U GIRLS GOLD-14 TEAMS'!D30&amp;"-"&amp;'14U GIRLS GOLD-14 TEAMS'!I30&amp;"-"&amp;TEXT('14U GIRLS GOLD-14 TEAMS'!B30,"h:mm am/pm")</f>
        <v>14Gau16-9th-14th 3A,3D-7:50 AM</v>
      </c>
    </row>
    <row r="49" spans="15:34">
      <c r="AH49" s="21"/>
    </row>
    <row r="50" spans="15:34">
      <c r="O50" s="380" t="str">
        <f>'14U GIRLS GOLD-14 TEAMS'!D32&amp;"-"&amp;'14U GIRLS GOLD-14 TEAMS'!I32&amp;"-"&amp;TEXT('14U GIRLS GOLD-14 TEAMS'!B32,"h:mm am/pm")</f>
        <v>14Gau17-1-4 semi-9:30 AM</v>
      </c>
    </row>
    <row r="51" spans="15:34">
      <c r="O51" s="380" t="str">
        <f>'14U GIRLS GOLD-14 TEAMS'!D33&amp;"-"&amp;'14U GIRLS GOLD-14 TEAMS'!I33&amp;"-"&amp;TEXT('14U GIRLS GOLD-14 TEAMS'!B33,"h:mm am/pm")</f>
        <v>14Gau26-9th-14th 4C,4D-10:20 AM</v>
      </c>
    </row>
    <row r="52" spans="15:34">
      <c r="O52" s="380" t="str">
        <f>'14U GIRLS GOLD-14 TEAMS'!D34&amp;"-"&amp;'14U GIRLS GOLD-14 TEAMS'!I34&amp;"-"&amp;TEXT('14U GIRLS GOLD-14 TEAMS'!B34,"h:mm am/pm")</f>
        <v>14Gau20-9th-14th 3C,3D-11:10 AM</v>
      </c>
      <c r="AH52" s="21"/>
    </row>
    <row r="53" spans="15:34">
      <c r="O53" s="380" t="str">
        <f>'14U GIRLS GOLD-14 TEAMS'!D35&amp;"-"&amp;'14U GIRLS GOLD-14 TEAMS'!I35&amp;"-"&amp;TEXT('14U GIRLS GOLD-14 TEAMS'!B35,"h:mm am/pm")</f>
        <v>14Gau19-9th-14th 4C,3B-12:00 PM</v>
      </c>
    </row>
    <row r="54" spans="15:34">
      <c r="O54" s="380" t="str">
        <f>'14U GIRLS GOLD-14 TEAMS'!D36&amp;"-"&amp;'14U GIRLS GOLD-14 TEAMS'!I36&amp;"-"&amp;TEXT('14U GIRLS GOLD-14 TEAMS'!B36,"h:mm am/pm")</f>
        <v>14Gau27-5th-12:50 PM</v>
      </c>
    </row>
    <row r="55" spans="15:34">
      <c r="O55" s="380" t="str">
        <f>'14U GIRLS GOLD-14 TEAMS'!D37&amp;"-"&amp;'14U GIRLS GOLD-14 TEAMS'!I37&amp;"-"&amp;TEXT('14U GIRLS GOLD-14 TEAMS'!B37,"h:mm am/pm")</f>
        <v>14Gau28-7th-1:40 PM</v>
      </c>
      <c r="AH55" s="21"/>
    </row>
    <row r="56" spans="15:34">
      <c r="O56" s="380" t="str">
        <f>'14U GIRLS GOLD-14 TEAMS'!D38&amp;"-"&amp;'14U GIRLS GOLD-14 TEAMS'!I38&amp;"-"&amp;TEXT('14U GIRLS GOLD-14 TEAMS'!B38,"h:mm am/pm")</f>
        <v>14Gau25-9th-14th 3A,3C-2:30 PM</v>
      </c>
      <c r="AH56" s="21"/>
    </row>
    <row r="57" spans="15:34">
      <c r="O57" s="380" t="str">
        <f>'14U GIRLS GOLD-14 TEAMS'!D39&amp;"-"&amp;'14U GIRLS GOLD-14 TEAMS'!I39&amp;"-"&amp;TEXT('14U GIRLS GOLD-14 TEAMS'!B39,"h:mm am/pm")</f>
        <v>14Gau21-3rd-3:20 PM</v>
      </c>
      <c r="AH57" s="21"/>
    </row>
    <row r="58" spans="15:34">
      <c r="O58" s="380" t="str">
        <f>'14U GIRLS GOLD-14 TEAMS'!D40&amp;"-"&amp;'14U GIRLS GOLD-14 TEAMS'!I40&amp;"-"&amp;TEXT('14U GIRLS GOLD-14 TEAMS'!B40,"h:mm am/pm")</f>
        <v>14Gau22-1st-4:10 PM</v>
      </c>
      <c r="AH58" s="21"/>
    </row>
    <row r="59" spans="15:34">
      <c r="O59" s="380" t="str">
        <f>'14U GIRLS GOLD-14 TEAMS'!D41&amp;"-"&amp;'14U GIRLS GOLD-14 TEAMS'!I41&amp;"-"&amp;TEXT('14U GIRLS GOLD-14 TEAMS'!B41,"h:mm am/pm")</f>
        <v>--12:00 AM</v>
      </c>
      <c r="AH59" s="21"/>
    </row>
    <row r="60" spans="15:34">
      <c r="O60" s="380" t="str">
        <f>'14U GIRLS GOLD-14 TEAMS'!D42&amp;"-"&amp;'14U GIRLS GOLD-14 TEAMS'!I42&amp;"-"&amp;TEXT('14U GIRLS GOLD-14 TEAMS'!B42,"h:mm am/pm")</f>
        <v>--12:00 AM</v>
      </c>
      <c r="AH60" s="21"/>
    </row>
    <row r="61" spans="15:34">
      <c r="O61" s="380" t="str">
        <f>'14U GIRLS GOLD-14 TEAMS'!D43&amp;"-"&amp;'14U GIRLS GOLD-14 TEAMS'!I43&amp;"-"&amp;TEXT('14U GIRLS GOLD-14 TEAMS'!B43,"h:mm am/pm")</f>
        <v>-1st-12:00 AM</v>
      </c>
      <c r="AH61" s="21"/>
    </row>
    <row r="62" spans="15:34">
      <c r="O62" s="380" t="str">
        <f>'14U GIRLS GOLD-14 TEAMS'!D44&amp;"-"&amp;'14U GIRLS GOLD-14 TEAMS'!I44&amp;"-"&amp;TEXT('14U GIRLS GOLD-14 TEAMS'!B44,"h:mm am/pm")</f>
        <v>-2nd-12:00 AM</v>
      </c>
      <c r="AH62" s="21"/>
    </row>
    <row r="63" spans="15:34">
      <c r="O63" s="380" t="str">
        <f>'14U GIRLS GOLD-14 TEAMS'!D45&amp;"-"&amp;'14U GIRLS GOLD-14 TEAMS'!I45&amp;"-"&amp;TEXT('14U GIRLS GOLD-14 TEAMS'!B45,"h:mm am/pm")</f>
        <v>-3rd-12:00 AM</v>
      </c>
      <c r="AH63" s="21"/>
    </row>
    <row r="64" spans="15:34">
      <c r="O64" s="380" t="str">
        <f>'14U GIRLS GOLD-14 TEAMS'!D46&amp;"-"&amp;'14U GIRLS GOLD-14 TEAMS'!I46&amp;"-"&amp;TEXT('14U GIRLS GOLD-14 TEAMS'!B46,"h:mm am/pm")</f>
        <v>--12:00 AM</v>
      </c>
      <c r="AH64" s="21"/>
    </row>
    <row r="65" spans="34:34">
      <c r="AH65" s="21"/>
    </row>
  </sheetData>
  <sortState xmlns:xlrd2="http://schemas.microsoft.com/office/spreadsheetml/2017/richdata2" ref="AM1:AM41">
    <sortCondition ref="AM1:AM4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C763F-DD30-4775-8942-7662ED6FA6C9}">
  <sheetPr>
    <tabColor rgb="FF1E7C66"/>
    <pageSetUpPr fitToPage="1"/>
  </sheetPr>
  <dimension ref="A1:L53"/>
  <sheetViews>
    <sheetView workbookViewId="0"/>
  </sheetViews>
  <sheetFormatPr defaultColWidth="9.140625" defaultRowHeight="18"/>
  <cols>
    <col min="1" max="1" width="37.42578125" style="14" bestFit="1" customWidth="1"/>
    <col min="2" max="2" width="42.5703125" style="14" bestFit="1" customWidth="1"/>
    <col min="3" max="3" width="39.140625" style="14" customWidth="1"/>
    <col min="4" max="4" width="45.5703125" style="14" customWidth="1"/>
    <col min="5" max="5" width="45.140625" style="14" customWidth="1"/>
    <col min="6" max="6" width="25.85546875" style="14" bestFit="1" customWidth="1"/>
    <col min="7" max="7" width="45.85546875" style="14" bestFit="1" customWidth="1"/>
    <col min="8" max="8" width="5.5703125" style="14" customWidth="1"/>
    <col min="9" max="9" width="22.5703125" style="14" customWidth="1"/>
    <col min="10" max="10" width="30.140625" style="14" customWidth="1"/>
    <col min="11" max="11" width="9.140625" style="14"/>
    <col min="12" max="12" width="29.140625" style="14" bestFit="1" customWidth="1"/>
    <col min="13" max="16384" width="9.140625" style="14"/>
  </cols>
  <sheetData>
    <row r="1" spans="1:12">
      <c r="A1" s="69" t="s">
        <v>37</v>
      </c>
      <c r="B1" s="69" t="s">
        <v>1234</v>
      </c>
      <c r="C1" s="120" t="s">
        <v>1235</v>
      </c>
      <c r="D1" s="14" t="s">
        <v>1236</v>
      </c>
      <c r="L1" s="2"/>
    </row>
    <row r="2" spans="1:12">
      <c r="A2" s="119" t="s">
        <v>1237</v>
      </c>
      <c r="B2" s="118" t="s">
        <v>1238</v>
      </c>
      <c r="C2" s="117" t="s">
        <v>1239</v>
      </c>
      <c r="L2" s="2"/>
    </row>
    <row r="3" spans="1:12">
      <c r="A3" s="8" t="s">
        <v>644</v>
      </c>
      <c r="B3" s="8" t="s">
        <v>645</v>
      </c>
      <c r="C3" s="8" t="s">
        <v>646</v>
      </c>
      <c r="D3" s="8" t="s">
        <v>647</v>
      </c>
      <c r="E3" s="8" t="s">
        <v>624</v>
      </c>
      <c r="F3" s="69"/>
      <c r="L3" s="2"/>
    </row>
    <row r="4" spans="1:12">
      <c r="A4" s="2" t="s">
        <v>649</v>
      </c>
      <c r="B4" s="2" t="s">
        <v>650</v>
      </c>
      <c r="C4" s="2" t="s">
        <v>651</v>
      </c>
      <c r="D4" s="2" t="s">
        <v>652</v>
      </c>
      <c r="E4" s="2" t="s">
        <v>630</v>
      </c>
      <c r="L4" s="2"/>
    </row>
    <row r="5" spans="1:12">
      <c r="A5" s="2" t="s">
        <v>653</v>
      </c>
      <c r="B5" s="2" t="s">
        <v>654</v>
      </c>
      <c r="C5" s="2" t="s">
        <v>655</v>
      </c>
      <c r="D5" s="2" t="s">
        <v>656</v>
      </c>
      <c r="E5" s="2" t="s">
        <v>633</v>
      </c>
      <c r="L5" s="2"/>
    </row>
    <row r="6" spans="1:12">
      <c r="A6" s="2" t="s">
        <v>658</v>
      </c>
      <c r="B6" s="2" t="s">
        <v>659</v>
      </c>
      <c r="C6" s="2" t="s">
        <v>660</v>
      </c>
      <c r="D6" s="2" t="s">
        <v>661</v>
      </c>
      <c r="E6" s="2" t="s">
        <v>636</v>
      </c>
      <c r="L6" s="2"/>
    </row>
    <row r="7" spans="1:12">
      <c r="A7" s="2"/>
      <c r="B7" s="2"/>
      <c r="C7" s="2"/>
      <c r="D7" s="2"/>
      <c r="E7" s="2" t="s">
        <v>639</v>
      </c>
      <c r="L7" s="2"/>
    </row>
    <row r="8" spans="1:12">
      <c r="L8" s="2"/>
    </row>
    <row r="9" spans="1:12">
      <c r="A9" s="8" t="s">
        <v>1240</v>
      </c>
      <c r="B9" s="116" t="s">
        <v>1241</v>
      </c>
      <c r="C9" s="8" t="s">
        <v>1242</v>
      </c>
      <c r="D9" s="8" t="s">
        <v>1243</v>
      </c>
      <c r="E9" s="8" t="s">
        <v>1244</v>
      </c>
      <c r="F9" s="8" t="s">
        <v>1245</v>
      </c>
      <c r="G9" s="8" t="s">
        <v>1246</v>
      </c>
      <c r="H9" s="8" t="s">
        <v>1245</v>
      </c>
      <c r="I9" s="8" t="s">
        <v>11</v>
      </c>
      <c r="J9" s="8" t="s">
        <v>1180</v>
      </c>
      <c r="L9" s="2"/>
    </row>
    <row r="10" spans="1:12">
      <c r="A10" s="115">
        <v>46053</v>
      </c>
      <c r="B10" s="114">
        <f>CHICLETS!A6</f>
        <v>0.33333333333333331</v>
      </c>
      <c r="C10" s="114" t="str">
        <f>CHICLETS!$D$4</f>
        <v>EL TORO HS 2</v>
      </c>
      <c r="D10" s="110" t="s">
        <v>1247</v>
      </c>
      <c r="E10" s="110" t="str">
        <f>D4</f>
        <v>D1-TROJAN</v>
      </c>
      <c r="F10" s="110">
        <v>13</v>
      </c>
      <c r="G10" s="110" t="str">
        <f>D6</f>
        <v>D3-YOLO YELLOW</v>
      </c>
      <c r="H10" s="110">
        <v>15</v>
      </c>
      <c r="I10" s="110" t="s">
        <v>1248</v>
      </c>
      <c r="J10" s="110" t="s">
        <v>629</v>
      </c>
      <c r="L10" s="2"/>
    </row>
    <row r="11" spans="1:12">
      <c r="A11" s="115">
        <v>46053</v>
      </c>
      <c r="B11" s="114">
        <f>CHICLETS!A7</f>
        <v>0.36458333333333331</v>
      </c>
      <c r="C11" s="114" t="str">
        <f>CHICLETS!$D$4</f>
        <v>EL TORO HS 2</v>
      </c>
      <c r="D11" s="110" t="s">
        <v>1249</v>
      </c>
      <c r="E11" s="110" t="str">
        <f>A4</f>
        <v>A1-LA JOLLA UNITED</v>
      </c>
      <c r="F11" s="110">
        <v>18</v>
      </c>
      <c r="G11" s="110" t="str">
        <f>A6</f>
        <v>A3-LAMORINDA C</v>
      </c>
      <c r="H11" s="110">
        <v>8</v>
      </c>
      <c r="I11" s="110" t="s">
        <v>1250</v>
      </c>
      <c r="J11" s="110" t="s">
        <v>629</v>
      </c>
      <c r="L11" s="2"/>
    </row>
    <row r="12" spans="1:12">
      <c r="A12" s="115">
        <v>46053</v>
      </c>
      <c r="B12" s="114">
        <f>CHICLETS!A8</f>
        <v>0.39583333333333298</v>
      </c>
      <c r="C12" s="114" t="str">
        <f>CHICLETS!$D$4</f>
        <v>EL TORO HS 2</v>
      </c>
      <c r="D12" s="110" t="s">
        <v>1251</v>
      </c>
      <c r="E12" s="110" t="str">
        <f>B4</f>
        <v>B1-DAVIS</v>
      </c>
      <c r="F12" s="110">
        <v>16</v>
      </c>
      <c r="G12" s="110" t="str">
        <f>B6</f>
        <v>B3-DEL MAR WHITE</v>
      </c>
      <c r="H12" s="110">
        <v>5</v>
      </c>
      <c r="I12" s="110" t="s">
        <v>1252</v>
      </c>
      <c r="J12" s="110" t="s">
        <v>629</v>
      </c>
      <c r="L12" s="2"/>
    </row>
    <row r="13" spans="1:12">
      <c r="A13" s="115">
        <v>46053</v>
      </c>
      <c r="B13" s="114">
        <f>CHICLETS!A9</f>
        <v>0.42708333333333298</v>
      </c>
      <c r="C13" s="114" t="str">
        <f>CHICLETS!$D$4</f>
        <v>EL TORO HS 2</v>
      </c>
      <c r="D13" s="110" t="s">
        <v>1253</v>
      </c>
      <c r="E13" s="110" t="str">
        <f>C4</f>
        <v>C1-SOUTH COAST RED</v>
      </c>
      <c r="F13" s="110">
        <v>6</v>
      </c>
      <c r="G13" s="110" t="str">
        <f>C6</f>
        <v>C3-SAN CLEMENTE BLACK</v>
      </c>
      <c r="H13" s="110">
        <v>18</v>
      </c>
      <c r="I13" s="110" t="s">
        <v>1254</v>
      </c>
      <c r="J13" s="110" t="s">
        <v>629</v>
      </c>
      <c r="L13" s="2"/>
    </row>
    <row r="14" spans="1:12">
      <c r="A14" s="115">
        <v>46053</v>
      </c>
      <c r="B14" s="114">
        <f>CHICLETS!A10</f>
        <v>0.45833333333333298</v>
      </c>
      <c r="C14" s="114" t="str">
        <f>CHICLETS!$B$4</f>
        <v>WOOLLETT FAR LEFT</v>
      </c>
      <c r="D14" s="113" t="s">
        <v>1255</v>
      </c>
      <c r="E14" s="113" t="str">
        <f>E4</f>
        <v>G1-LAMORINDA BLUE (A) (girls)</v>
      </c>
      <c r="F14" s="113">
        <v>19</v>
      </c>
      <c r="G14" s="113" t="str">
        <f>E7</f>
        <v>G4-SAN CLEMENTE RED (girls)</v>
      </c>
      <c r="H14" s="110">
        <v>1</v>
      </c>
      <c r="I14" s="113" t="s">
        <v>1256</v>
      </c>
      <c r="J14" s="110" t="s">
        <v>629</v>
      </c>
      <c r="L14" s="2"/>
    </row>
    <row r="15" spans="1:12">
      <c r="A15" s="115">
        <v>46053</v>
      </c>
      <c r="B15" s="114">
        <f>CHICLETS!A10</f>
        <v>0.45833333333333298</v>
      </c>
      <c r="C15" s="114" t="str">
        <f>CHICLETS!$D$4</f>
        <v>EL TORO HS 2</v>
      </c>
      <c r="D15" s="110" t="s">
        <v>1257</v>
      </c>
      <c r="E15" s="110" t="str">
        <f>D5</f>
        <v>D2-PATRIOT WHITE</v>
      </c>
      <c r="F15" s="110">
        <v>5</v>
      </c>
      <c r="G15" s="110" t="str">
        <f>D6</f>
        <v>D3-YOLO YELLOW</v>
      </c>
      <c r="H15" s="110">
        <v>16</v>
      </c>
      <c r="I15" s="110" t="s">
        <v>1258</v>
      </c>
      <c r="J15" s="110" t="s">
        <v>629</v>
      </c>
    </row>
    <row r="16" spans="1:12">
      <c r="A16" s="115">
        <v>46053</v>
      </c>
      <c r="B16" s="114">
        <f>CHICLETS!A11</f>
        <v>0.48958333333333298</v>
      </c>
      <c r="C16" s="114" t="str">
        <f>CHICLETS!$B$4</f>
        <v>WOOLLETT FAR LEFT</v>
      </c>
      <c r="D16" s="113" t="s">
        <v>1259</v>
      </c>
      <c r="E16" s="113" t="str">
        <f>E5</f>
        <v>G2-DEL MAR BLUE (girls)</v>
      </c>
      <c r="F16" s="113">
        <v>12</v>
      </c>
      <c r="G16" s="113" t="str">
        <f>E6</f>
        <v>G3-680 RED (girls)</v>
      </c>
      <c r="H16" s="110">
        <v>5</v>
      </c>
      <c r="I16" s="113" t="s">
        <v>1256</v>
      </c>
      <c r="J16" s="110" t="s">
        <v>629</v>
      </c>
      <c r="L16" s="2"/>
    </row>
    <row r="17" spans="1:12">
      <c r="A17" s="115">
        <v>46053</v>
      </c>
      <c r="B17" s="114">
        <f>CHICLETS!A11</f>
        <v>0.48958333333333298</v>
      </c>
      <c r="C17" s="114" t="str">
        <f>CHICLETS!$D$4</f>
        <v>EL TORO HS 2</v>
      </c>
      <c r="D17" s="110" t="s">
        <v>1260</v>
      </c>
      <c r="E17" s="110" t="str">
        <f>A5</f>
        <v>A2-LOYOLA WPC</v>
      </c>
      <c r="F17" s="110">
        <v>17</v>
      </c>
      <c r="G17" s="110" t="str">
        <f>A6</f>
        <v>A3-LAMORINDA C</v>
      </c>
      <c r="H17" s="110">
        <v>1</v>
      </c>
      <c r="I17" s="110" t="s">
        <v>1261</v>
      </c>
      <c r="J17" s="110" t="s">
        <v>629</v>
      </c>
      <c r="L17" s="2"/>
    </row>
    <row r="18" spans="1:12">
      <c r="A18" s="115">
        <v>46053</v>
      </c>
      <c r="B18" s="114">
        <f>CHICLETS!A12</f>
        <v>0.52083333333333304</v>
      </c>
      <c r="C18" s="114" t="str">
        <f>CHICLETS!$D$4</f>
        <v>EL TORO HS 2</v>
      </c>
      <c r="D18" s="110" t="s">
        <v>1262</v>
      </c>
      <c r="E18" s="110" t="str">
        <f>B5</f>
        <v>B2-ORANGE COUNTY WPC RED</v>
      </c>
      <c r="F18" s="110">
        <v>19</v>
      </c>
      <c r="G18" s="110" t="str">
        <f>B6</f>
        <v>B3-DEL MAR WHITE</v>
      </c>
      <c r="H18" s="110">
        <v>6</v>
      </c>
      <c r="I18" s="110" t="s">
        <v>1263</v>
      </c>
      <c r="J18" s="110" t="s">
        <v>629</v>
      </c>
    </row>
    <row r="19" spans="1:12">
      <c r="A19" s="115">
        <v>46053</v>
      </c>
      <c r="B19" s="114">
        <f>CHICLETS!A13</f>
        <v>0.55208333333333304</v>
      </c>
      <c r="C19" s="114" t="str">
        <f>CHICLETS!$D$4</f>
        <v>EL TORO HS 2</v>
      </c>
      <c r="D19" s="110" t="s">
        <v>1264</v>
      </c>
      <c r="E19" s="110" t="str">
        <f>C5</f>
        <v>C2-SOUTH BAY UNITED</v>
      </c>
      <c r="F19" s="110">
        <v>11</v>
      </c>
      <c r="G19" s="110" t="str">
        <f>C6</f>
        <v>C3-SAN CLEMENTE BLACK</v>
      </c>
      <c r="H19" s="110">
        <v>8</v>
      </c>
      <c r="I19" s="110" t="s">
        <v>1265</v>
      </c>
      <c r="J19" s="110" t="s">
        <v>629</v>
      </c>
    </row>
    <row r="20" spans="1:12">
      <c r="A20" s="115">
        <v>46053</v>
      </c>
      <c r="B20" s="114">
        <f>CHICLETS!A14</f>
        <v>0.58333333333333304</v>
      </c>
      <c r="C20" s="114" t="str">
        <f>CHICLETS!$C$4</f>
        <v>BECKMAN HS 2</v>
      </c>
      <c r="D20" s="110" t="s">
        <v>1266</v>
      </c>
      <c r="E20" s="110" t="str">
        <f>D4</f>
        <v>D1-TROJAN</v>
      </c>
      <c r="F20" s="110">
        <v>1</v>
      </c>
      <c r="G20" s="110" t="str">
        <f>D5</f>
        <v>D2-PATRIOT WHITE</v>
      </c>
      <c r="H20" s="110">
        <v>2</v>
      </c>
      <c r="I20" s="110" t="s">
        <v>1267</v>
      </c>
      <c r="J20" s="110" t="s">
        <v>629</v>
      </c>
    </row>
    <row r="21" spans="1:12">
      <c r="A21" s="115">
        <v>46053</v>
      </c>
      <c r="B21" s="114">
        <f>CHICLETS!A15</f>
        <v>0.61458333333333304</v>
      </c>
      <c r="C21" s="114" t="str">
        <f>CHICLETS!$C$4</f>
        <v>BECKMAN HS 2</v>
      </c>
      <c r="D21" s="110" t="s">
        <v>1268</v>
      </c>
      <c r="E21" s="110" t="str">
        <f>A4</f>
        <v>A1-LA JOLLA UNITED</v>
      </c>
      <c r="F21" s="110">
        <v>9</v>
      </c>
      <c r="G21" s="110" t="str">
        <f>A5</f>
        <v>A2-LOYOLA WPC</v>
      </c>
      <c r="H21" s="110">
        <v>7</v>
      </c>
      <c r="I21" s="110" t="s">
        <v>1269</v>
      </c>
      <c r="J21" s="110" t="s">
        <v>629</v>
      </c>
    </row>
    <row r="22" spans="1:12">
      <c r="A22" s="115">
        <v>46053</v>
      </c>
      <c r="B22" s="114">
        <f>CHICLETS!A16</f>
        <v>0.64583333333333304</v>
      </c>
      <c r="C22" s="114" t="str">
        <f>CHICLETS!$B$4</f>
        <v>WOOLLETT FAR LEFT</v>
      </c>
      <c r="D22" s="113" t="s">
        <v>1270</v>
      </c>
      <c r="E22" s="113" t="str">
        <f>E4</f>
        <v>G1-LAMORINDA BLUE (A) (girls)</v>
      </c>
      <c r="F22" s="113">
        <v>17</v>
      </c>
      <c r="G22" s="113" t="str">
        <f>E6</f>
        <v>G3-680 RED (girls)</v>
      </c>
      <c r="H22" s="110">
        <v>3</v>
      </c>
      <c r="I22" s="113" t="s">
        <v>1256</v>
      </c>
      <c r="J22" s="110" t="s">
        <v>629</v>
      </c>
    </row>
    <row r="23" spans="1:12">
      <c r="A23" s="115">
        <v>46053</v>
      </c>
      <c r="B23" s="114">
        <f>CHICLETS!A16</f>
        <v>0.64583333333333304</v>
      </c>
      <c r="C23" s="114" t="str">
        <f>CHICLETS!$C$4</f>
        <v>BECKMAN HS 2</v>
      </c>
      <c r="D23" s="110" t="s">
        <v>1271</v>
      </c>
      <c r="E23" s="110" t="str">
        <f>B4</f>
        <v>B1-DAVIS</v>
      </c>
      <c r="F23" s="110">
        <v>14</v>
      </c>
      <c r="G23" s="110" t="str">
        <f>B5</f>
        <v>B2-ORANGE COUNTY WPC RED</v>
      </c>
      <c r="H23" s="110">
        <v>6</v>
      </c>
      <c r="I23" s="110" t="s">
        <v>1272</v>
      </c>
      <c r="J23" s="110" t="s">
        <v>629</v>
      </c>
    </row>
    <row r="24" spans="1:12">
      <c r="A24" s="115">
        <v>46053</v>
      </c>
      <c r="B24" s="114">
        <f>CHICLETS!A17</f>
        <v>0.67708333333333304</v>
      </c>
      <c r="C24" s="114" t="str">
        <f>CHICLETS!$B$4</f>
        <v>WOOLLETT FAR LEFT</v>
      </c>
      <c r="D24" s="113" t="s">
        <v>1273</v>
      </c>
      <c r="E24" s="113" t="str">
        <f>E5</f>
        <v>G2-DEL MAR BLUE (girls)</v>
      </c>
      <c r="F24" s="113">
        <v>17</v>
      </c>
      <c r="G24" s="113" t="str">
        <f>E7</f>
        <v>G4-SAN CLEMENTE RED (girls)</v>
      </c>
      <c r="H24" s="110">
        <v>4</v>
      </c>
      <c r="I24" s="113" t="s">
        <v>1256</v>
      </c>
      <c r="J24" s="110" t="s">
        <v>629</v>
      </c>
    </row>
    <row r="25" spans="1:12">
      <c r="A25" s="115">
        <v>46053</v>
      </c>
      <c r="B25" s="114">
        <f>CHICLETS!A17</f>
        <v>0.67708333333333304</v>
      </c>
      <c r="C25" s="114" t="str">
        <f>CHICLETS!$C$4</f>
        <v>BECKMAN HS 2</v>
      </c>
      <c r="D25" s="110" t="s">
        <v>1274</v>
      </c>
      <c r="E25" s="110" t="str">
        <f>C4</f>
        <v>C1-SOUTH COAST RED</v>
      </c>
      <c r="F25" s="110">
        <v>10</v>
      </c>
      <c r="G25" s="110" t="str">
        <f>C5</f>
        <v>C2-SOUTH BAY UNITED</v>
      </c>
      <c r="H25" s="110">
        <v>14</v>
      </c>
      <c r="I25" s="110" t="s">
        <v>1275</v>
      </c>
      <c r="J25" s="110" t="s">
        <v>629</v>
      </c>
    </row>
    <row r="26" spans="1:12">
      <c r="L26" s="2"/>
    </row>
    <row r="27" spans="1:12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2">
      <c r="A28" s="8"/>
      <c r="B28" s="116"/>
      <c r="C28" s="116"/>
      <c r="D28" s="8"/>
      <c r="E28" s="8"/>
      <c r="F28" s="8"/>
      <c r="G28" s="8"/>
      <c r="H28" s="8"/>
      <c r="I28" s="8"/>
      <c r="J28" s="8"/>
    </row>
    <row r="29" spans="1:12">
      <c r="A29" s="115">
        <v>46054</v>
      </c>
      <c r="B29" s="114">
        <f>CHICLETS!A28</f>
        <v>0.33333333333333331</v>
      </c>
      <c r="C29" s="114" t="str">
        <f>CHICLETS!$B$26</f>
        <v>WOOLLETT FAR LEFT</v>
      </c>
      <c r="D29" s="113" t="s">
        <v>1276</v>
      </c>
      <c r="E29" s="113" t="str">
        <f>E4</f>
        <v>G1-LAMORINDA BLUE (A) (girls)</v>
      </c>
      <c r="F29" s="113">
        <v>8</v>
      </c>
      <c r="G29" s="113" t="str">
        <f>E5</f>
        <v>G2-DEL MAR BLUE (girls)</v>
      </c>
      <c r="H29" s="110">
        <v>2</v>
      </c>
      <c r="I29" s="113" t="s">
        <v>1256</v>
      </c>
      <c r="J29" s="110" t="s">
        <v>629</v>
      </c>
    </row>
    <row r="30" spans="1:12">
      <c r="A30" s="115">
        <v>46054</v>
      </c>
      <c r="B30" s="114">
        <f>CHICLETS!A28</f>
        <v>0.33333333333333331</v>
      </c>
      <c r="C30" s="114" t="str">
        <f>CHICLETS!$D$26</f>
        <v>EL TORO HS 2</v>
      </c>
      <c r="D30" s="110" t="s">
        <v>1277</v>
      </c>
      <c r="E30" s="110" t="s">
        <v>1278</v>
      </c>
      <c r="F30" s="110">
        <v>18</v>
      </c>
      <c r="G30" s="110" t="s">
        <v>1279</v>
      </c>
      <c r="H30" s="110">
        <v>7</v>
      </c>
      <c r="I30" s="110" t="s">
        <v>1280</v>
      </c>
      <c r="J30" s="110" t="s">
        <v>629</v>
      </c>
    </row>
    <row r="31" spans="1:12">
      <c r="A31" s="115">
        <v>46054</v>
      </c>
      <c r="B31" s="114">
        <f>CHICLETS!A29</f>
        <v>0.36458333333333331</v>
      </c>
      <c r="C31" s="114" t="str">
        <f>CHICLETS!$B$26</f>
        <v>WOOLLETT FAR LEFT</v>
      </c>
      <c r="D31" s="113" t="s">
        <v>1281</v>
      </c>
      <c r="E31" s="113" t="str">
        <f>E6</f>
        <v>G3-680 RED (girls)</v>
      </c>
      <c r="F31" s="113">
        <v>11</v>
      </c>
      <c r="G31" s="113" t="str">
        <f>E7</f>
        <v>G4-SAN CLEMENTE RED (girls)</v>
      </c>
      <c r="H31" s="110">
        <v>8</v>
      </c>
      <c r="I31" s="113" t="s">
        <v>1256</v>
      </c>
      <c r="J31" s="110" t="s">
        <v>629</v>
      </c>
    </row>
    <row r="32" spans="1:12">
      <c r="A32" s="115">
        <v>46054</v>
      </c>
      <c r="B32" s="114">
        <f>CHICLETS!A29</f>
        <v>0.36458333333333331</v>
      </c>
      <c r="C32" s="114" t="str">
        <f>CHICLETS!$D$26</f>
        <v>EL TORO HS 2</v>
      </c>
      <c r="D32" s="110" t="s">
        <v>1282</v>
      </c>
      <c r="E32" s="110" t="s">
        <v>1283</v>
      </c>
      <c r="F32" s="110">
        <v>13</v>
      </c>
      <c r="G32" s="110" t="s">
        <v>1284</v>
      </c>
      <c r="H32" s="110">
        <v>19</v>
      </c>
      <c r="I32" s="110" t="s">
        <v>1280</v>
      </c>
      <c r="J32" s="110" t="s">
        <v>629</v>
      </c>
    </row>
    <row r="33" spans="1:10">
      <c r="A33" s="115">
        <v>46054</v>
      </c>
      <c r="B33" s="114">
        <f>CHICLETS!A30</f>
        <v>0.39583333333333298</v>
      </c>
      <c r="C33" s="114" t="str">
        <f>CHICLETS!$D$26</f>
        <v>EL TORO HS 2</v>
      </c>
      <c r="D33" s="110" t="s">
        <v>1285</v>
      </c>
      <c r="E33" s="110" t="s">
        <v>1286</v>
      </c>
      <c r="F33" s="110">
        <v>6.3</v>
      </c>
      <c r="G33" s="110" t="s">
        <v>1287</v>
      </c>
      <c r="H33" s="451">
        <v>6</v>
      </c>
      <c r="I33" s="110" t="s">
        <v>1288</v>
      </c>
      <c r="J33" s="110" t="s">
        <v>629</v>
      </c>
    </row>
    <row r="34" spans="1:10">
      <c r="A34" s="115">
        <v>46054</v>
      </c>
      <c r="B34" s="114">
        <f>CHICLETS!A31</f>
        <v>0.42708333333333298</v>
      </c>
      <c r="C34" s="114" t="str">
        <f>CHICLETS!$D$26</f>
        <v>EL TORO HS 2</v>
      </c>
      <c r="D34" s="110" t="s">
        <v>1289</v>
      </c>
      <c r="E34" s="110" t="s">
        <v>1290</v>
      </c>
      <c r="F34" s="110">
        <v>17</v>
      </c>
      <c r="G34" s="110" t="s">
        <v>1291</v>
      </c>
      <c r="H34" s="110">
        <v>4</v>
      </c>
      <c r="I34" s="110" t="s">
        <v>1288</v>
      </c>
      <c r="J34" s="110" t="s">
        <v>629</v>
      </c>
    </row>
    <row r="35" spans="1:10">
      <c r="A35" s="115">
        <v>46054</v>
      </c>
      <c r="B35" s="114">
        <f>CHICLETS!A32</f>
        <v>0.45833333333333298</v>
      </c>
      <c r="C35" s="114" t="str">
        <f>CHICLETS!$C$26</f>
        <v>BECKMAN HS 2</v>
      </c>
      <c r="D35" s="113" t="s">
        <v>1292</v>
      </c>
      <c r="E35" s="113" t="str">
        <f>E4</f>
        <v>G1-LAMORINDA BLUE (A) (girls)</v>
      </c>
      <c r="F35" s="110">
        <v>19</v>
      </c>
      <c r="G35" s="110" t="s">
        <v>1293</v>
      </c>
      <c r="H35" s="110">
        <v>0</v>
      </c>
      <c r="I35" s="110" t="s">
        <v>1294</v>
      </c>
      <c r="J35" s="110" t="s">
        <v>629</v>
      </c>
    </row>
    <row r="36" spans="1:10">
      <c r="A36" s="115">
        <v>46054</v>
      </c>
      <c r="B36" s="114">
        <f>CHICLETS!A32</f>
        <v>0.45833333333333298</v>
      </c>
      <c r="C36" s="114" t="str">
        <f>CHICLETS!$D$26</f>
        <v>EL TORO HS 2</v>
      </c>
      <c r="D36" s="113" t="s">
        <v>1295</v>
      </c>
      <c r="E36" s="113" t="str">
        <f>E6</f>
        <v>G3-680 RED (girls)</v>
      </c>
      <c r="F36" s="110">
        <v>17</v>
      </c>
      <c r="G36" s="110" t="s">
        <v>1296</v>
      </c>
      <c r="H36" s="110">
        <v>16</v>
      </c>
      <c r="I36" s="110" t="s">
        <v>1294</v>
      </c>
      <c r="J36" s="110" t="s">
        <v>629</v>
      </c>
    </row>
    <row r="37" spans="1:10">
      <c r="A37" s="115">
        <v>46054</v>
      </c>
      <c r="B37" s="114">
        <f>CHICLETS!A33</f>
        <v>0.48958333333333298</v>
      </c>
      <c r="C37" s="114" t="str">
        <f>CHICLETS!$C$26</f>
        <v>BECKMAN HS 2</v>
      </c>
      <c r="D37" s="113" t="s">
        <v>1297</v>
      </c>
      <c r="E37" s="113" t="str">
        <f>E5</f>
        <v>G2-DEL MAR BLUE (girls)</v>
      </c>
      <c r="F37" s="110">
        <v>15</v>
      </c>
      <c r="G37" s="110" t="s">
        <v>1298</v>
      </c>
      <c r="H37" s="110">
        <v>2</v>
      </c>
      <c r="I37" s="110" t="s">
        <v>1294</v>
      </c>
      <c r="J37" s="110" t="s">
        <v>629</v>
      </c>
    </row>
    <row r="38" spans="1:10">
      <c r="A38" s="115">
        <v>46054</v>
      </c>
      <c r="B38" s="114">
        <f>CHICLETS!A33</f>
        <v>0.48958333333333298</v>
      </c>
      <c r="C38" s="114" t="str">
        <f>CHICLETS!$D$26</f>
        <v>EL TORO HS 2</v>
      </c>
      <c r="D38" s="113" t="s">
        <v>1299</v>
      </c>
      <c r="E38" s="113" t="str">
        <f>E7</f>
        <v>G4-SAN CLEMENTE RED (girls)</v>
      </c>
      <c r="F38" s="110">
        <v>12</v>
      </c>
      <c r="G38" s="110" t="s">
        <v>1300</v>
      </c>
      <c r="H38" s="110">
        <v>7</v>
      </c>
      <c r="I38" s="110" t="s">
        <v>1294</v>
      </c>
      <c r="J38" s="110" t="s">
        <v>629</v>
      </c>
    </row>
    <row r="39" spans="1:10">
      <c r="A39" s="115">
        <v>46054</v>
      </c>
      <c r="B39" s="114">
        <f>CHICLETS!A34</f>
        <v>0.52083333333333304</v>
      </c>
      <c r="C39" s="114" t="str">
        <f>CHICLETS!$D$26</f>
        <v>EL TORO HS 2</v>
      </c>
      <c r="D39" s="110" t="s">
        <v>1301</v>
      </c>
      <c r="E39" s="110" t="str">
        <f>IF(F30="","L#19-",IF(F30&lt;H30,_xlfn.CONCAT("L#19-",RIGHT(E30,LEN(E30) - FIND("-",E30))), _xlfn.CONCAT("L#19-",RIGHT(G30,LEN(G30) - FIND("-",G30)))))</f>
        <v>L#19-TROJAN</v>
      </c>
      <c r="F39" s="110">
        <v>18</v>
      </c>
      <c r="G39" s="110" t="str">
        <f>IF(F32="","L#20-",IF(F32&lt;H32,_xlfn.CONCAT("L#20-",RIGHT(E32,LEN(E32) - FIND("-",E32))), _xlfn.CONCAT("L#20-",RIGHT(G32,LEN(G32) - FIND("-",G32)))))</f>
        <v>L#20-ORANGE COUNTY WPC RED</v>
      </c>
      <c r="H39" s="110">
        <v>12</v>
      </c>
      <c r="I39" s="110" t="s">
        <v>1302</v>
      </c>
      <c r="J39" s="110" t="s">
        <v>629</v>
      </c>
    </row>
    <row r="40" spans="1:10">
      <c r="A40" s="115">
        <v>46054</v>
      </c>
      <c r="B40" s="114">
        <f>CHICLETS!A34</f>
        <v>0.52083333333333304</v>
      </c>
      <c r="C40" s="114" t="str">
        <f>CHICLETS!$B$26</f>
        <v>WOOLLETT FAR LEFT</v>
      </c>
      <c r="D40" s="110" t="s">
        <v>1303</v>
      </c>
      <c r="E40" s="110" t="str">
        <f>IF(F33="","L#21-",IF(F33&lt;H33,_xlfn.CONCAT("L#21-",RIGHT(E33,LEN(E33) - FIND("-",E33))), _xlfn.CONCAT("L#21-",RIGHT(G33,LEN(G33) - FIND("-",G33)))))</f>
        <v>L#21-YOLO YELLOW</v>
      </c>
      <c r="F40" s="110">
        <v>11.2</v>
      </c>
      <c r="G40" s="110" t="str">
        <f>IF(F34="","L#22-",IF(F34&lt;H34,_xlfn.CONCAT("L#22-",RIGHT(E34,LEN(E34) - FIND("-",E34))), _xlfn.CONCAT("L#22-",RIGHT(G34,LEN(G34) - FIND("-",G34)))))</f>
        <v>L#22-SOUTH BAY UNITED</v>
      </c>
      <c r="H40" s="451">
        <v>11.1</v>
      </c>
      <c r="I40" s="110" t="s">
        <v>1304</v>
      </c>
      <c r="J40" s="110" t="s">
        <v>629</v>
      </c>
    </row>
    <row r="41" spans="1:10">
      <c r="A41" s="115">
        <v>46054</v>
      </c>
      <c r="B41" s="114">
        <f>CHICLETS!A35</f>
        <v>0.55208333333333304</v>
      </c>
      <c r="C41" s="114" t="str">
        <f>CHICLETS!$D$26</f>
        <v>EL TORO HS 2</v>
      </c>
      <c r="D41" s="110" t="s">
        <v>1305</v>
      </c>
      <c r="E41" s="110" t="str">
        <f>IF(F30="","W#19-",IF(F30&gt;H30,_xlfn.CONCAT("W#19-",RIGHT(E30,LEN(E30) - FIND("-",E30))), _xlfn.CONCAT("W#19-",RIGHT(G30,LEN(G30) - FIND("-",G30)))))</f>
        <v>W#19-LOYOLA WPC</v>
      </c>
      <c r="F41" s="110">
        <v>10</v>
      </c>
      <c r="G41" s="110" t="str">
        <f>IF(F32="","W#20-",IF(F32&gt;H32,_xlfn.CONCAT("W#20-",RIGHT(E32,LEN(E32) - FIND("-",E32))), _xlfn.CONCAT("W#20-",RIGHT(G32,LEN(G32) - FIND("-",G32)))))</f>
        <v>W#20-SAN CLEMENTE BLACK</v>
      </c>
      <c r="H41" s="110">
        <v>6</v>
      </c>
      <c r="I41" s="110" t="s">
        <v>1306</v>
      </c>
      <c r="J41" s="110" t="s">
        <v>629</v>
      </c>
    </row>
    <row r="42" spans="1:10">
      <c r="A42" s="115">
        <v>46054</v>
      </c>
      <c r="B42" s="114">
        <f>CHICLETS!A35</f>
        <v>0.55208333333333304</v>
      </c>
      <c r="C42" s="114" t="str">
        <f>CHICLETS!$B$26</f>
        <v>WOOLLETT FAR LEFT</v>
      </c>
      <c r="D42" s="110" t="s">
        <v>1307</v>
      </c>
      <c r="E42" s="110" t="str">
        <f>IF(F33="","W#21-",IF(F33&gt;H33,_xlfn.CONCAT("W#21-",RIGHT(E33,LEN(E33) - FIND("-",E33))), _xlfn.CONCAT("W#21-",RIGHT(G33,LEN(G33) - FIND("-",G33)))))</f>
        <v>W#21-LA JOLLA UNITED</v>
      </c>
      <c r="F42" s="110">
        <v>7</v>
      </c>
      <c r="G42" s="110" t="str">
        <f>IF(F34="","W#22-",IF(F34&gt;H34,_xlfn.CONCAT("W#22-",RIGHT(E34,LEN(E34) - FIND("-",E34))), _xlfn.CONCAT("W#22-",RIGHT(G34,LEN(G34) - FIND("-",G34)))))</f>
        <v>W#22-DAVIS</v>
      </c>
      <c r="H42" s="110">
        <v>13</v>
      </c>
      <c r="I42" s="110" t="s">
        <v>1308</v>
      </c>
      <c r="J42" s="110" t="s">
        <v>629</v>
      </c>
    </row>
    <row r="43" spans="1:10">
      <c r="A43" s="115">
        <v>46054</v>
      </c>
      <c r="B43" s="114">
        <f>CHICLETS!A36</f>
        <v>0.58333333333333304</v>
      </c>
      <c r="C43" s="114" t="str">
        <f>CHICLETS!$D$26</f>
        <v>EL TORO HS 2</v>
      </c>
      <c r="D43" s="110" t="s">
        <v>1309</v>
      </c>
      <c r="E43" s="110" t="s">
        <v>1300</v>
      </c>
      <c r="F43" s="110">
        <v>12.3</v>
      </c>
      <c r="G43" s="110" t="s">
        <v>1298</v>
      </c>
      <c r="H43" s="451">
        <v>12.2</v>
      </c>
      <c r="I43" s="110" t="s">
        <v>1310</v>
      </c>
      <c r="J43" s="110" t="s">
        <v>629</v>
      </c>
    </row>
    <row r="44" spans="1:10">
      <c r="A44" s="115">
        <v>46054</v>
      </c>
      <c r="B44" s="114">
        <f>CHICLETS!A37</f>
        <v>0.61458333333333304</v>
      </c>
      <c r="C44" s="114" t="str">
        <f>CHICLETS!$D$26</f>
        <v>EL TORO HS 2</v>
      </c>
      <c r="D44" s="110" t="s">
        <v>1311</v>
      </c>
      <c r="E44" s="110" t="s">
        <v>1293</v>
      </c>
      <c r="F44" s="110"/>
      <c r="G44" s="110" t="s">
        <v>1296</v>
      </c>
      <c r="H44" s="110">
        <v>12</v>
      </c>
      <c r="I44" s="110" t="s">
        <v>1310</v>
      </c>
      <c r="J44" s="110" t="s">
        <v>629</v>
      </c>
    </row>
    <row r="45" spans="1:10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>
      <c r="I46" s="110" t="s">
        <v>1312</v>
      </c>
      <c r="J46" s="110" t="s">
        <v>643</v>
      </c>
    </row>
    <row r="47" spans="1:10">
      <c r="I47" s="110" t="s">
        <v>1313</v>
      </c>
      <c r="J47" s="110" t="s">
        <v>448</v>
      </c>
    </row>
    <row r="48" spans="1:10">
      <c r="I48" s="110" t="s">
        <v>1314</v>
      </c>
      <c r="J48" s="110" t="s">
        <v>669</v>
      </c>
    </row>
    <row r="50" spans="9:10">
      <c r="I50" s="14" t="s">
        <v>1315</v>
      </c>
    </row>
    <row r="51" spans="9:10">
      <c r="I51" s="113" t="s">
        <v>1312</v>
      </c>
      <c r="J51" s="113" t="s">
        <v>635</v>
      </c>
    </row>
    <row r="52" spans="9:10">
      <c r="I52" s="113" t="s">
        <v>1313</v>
      </c>
      <c r="J52" s="113" t="s">
        <v>632</v>
      </c>
    </row>
    <row r="53" spans="9:10">
      <c r="I53" s="113" t="s">
        <v>1314</v>
      </c>
      <c r="J53" s="113" t="s">
        <v>628</v>
      </c>
    </row>
  </sheetData>
  <hyperlinks>
    <hyperlink ref="B2" r:id="rId1" xr:uid="{9C577281-6C13-4A94-8A8B-22B9D898F5D6}"/>
    <hyperlink ref="C2" r:id="rId2" xr:uid="{A602B445-3F4F-4935-88A2-527134D4246A}"/>
    <hyperlink ref="A2" r:id="rId3" xr:uid="{70F7D08F-F8A1-47A9-B905-76E2D3E139A5}"/>
  </hyperlinks>
  <pageMargins left="0.7" right="0.7" top="0.75" bottom="0.75" header="0.3" footer="0.3"/>
  <pageSetup scale="74" orientation="landscape"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6D592-7A13-4E33-9A67-2BD7C4053980}">
  <sheetPr>
    <tabColor rgb="FF00FFCC"/>
    <pageSetUpPr fitToPage="1"/>
  </sheetPr>
  <dimension ref="A1:K34"/>
  <sheetViews>
    <sheetView workbookViewId="0"/>
  </sheetViews>
  <sheetFormatPr defaultColWidth="9.140625" defaultRowHeight="18.75"/>
  <cols>
    <col min="1" max="1" width="35.140625" style="121" customWidth="1"/>
    <col min="2" max="2" width="38.85546875" style="121" customWidth="1"/>
    <col min="3" max="3" width="34.42578125" style="121" customWidth="1"/>
    <col min="4" max="4" width="20.140625" style="121" customWidth="1"/>
    <col min="5" max="5" width="39.85546875" style="121" customWidth="1"/>
    <col min="6" max="6" width="8.42578125" style="121" customWidth="1"/>
    <col min="7" max="7" width="39.140625" style="121" customWidth="1"/>
    <col min="8" max="8" width="25.85546875" style="121" bestFit="1" customWidth="1"/>
    <col min="9" max="9" width="23.42578125" style="121" customWidth="1"/>
    <col min="10" max="10" width="36.85546875" style="121" bestFit="1" customWidth="1"/>
    <col min="11" max="11" width="22.85546875" style="121" bestFit="1" customWidth="1"/>
    <col min="12" max="16384" width="9.140625" style="121"/>
  </cols>
  <sheetData>
    <row r="1" spans="1:11">
      <c r="A1" s="129" t="s">
        <v>122</v>
      </c>
      <c r="B1" s="129" t="s">
        <v>1316</v>
      </c>
      <c r="C1" s="134" t="s">
        <v>1317</v>
      </c>
      <c r="D1" s="129" t="s">
        <v>1318</v>
      </c>
      <c r="E1" s="129" t="s">
        <v>1319</v>
      </c>
      <c r="F1" s="131"/>
      <c r="G1" s="131"/>
      <c r="H1" s="131"/>
      <c r="I1" s="131"/>
      <c r="J1" s="131"/>
      <c r="K1" s="2"/>
    </row>
    <row r="2" spans="1:11">
      <c r="A2" s="119" t="s">
        <v>1237</v>
      </c>
      <c r="B2" s="118" t="s">
        <v>1238</v>
      </c>
      <c r="C2" s="117" t="s">
        <v>1239</v>
      </c>
      <c r="D2" s="129"/>
      <c r="E2" s="129"/>
      <c r="F2" s="131"/>
      <c r="G2" s="131"/>
      <c r="H2" s="131"/>
      <c r="I2" s="131"/>
      <c r="J2" s="131"/>
      <c r="K2" s="2"/>
    </row>
    <row r="3" spans="1:11">
      <c r="A3" s="8" t="s">
        <v>644</v>
      </c>
      <c r="B3" s="8" t="s">
        <v>645</v>
      </c>
      <c r="C3" s="130"/>
      <c r="D3" s="129"/>
      <c r="E3" s="131"/>
      <c r="F3" s="131"/>
      <c r="G3" s="131"/>
      <c r="H3" s="131"/>
      <c r="I3" s="131"/>
      <c r="J3" s="131"/>
      <c r="K3" s="2"/>
    </row>
    <row r="4" spans="1:11">
      <c r="A4" s="2" t="s">
        <v>673</v>
      </c>
      <c r="B4" s="2" t="s">
        <v>674</v>
      </c>
      <c r="C4" s="133"/>
      <c r="D4" s="131"/>
      <c r="E4" s="131"/>
      <c r="F4" s="131"/>
      <c r="G4" s="131"/>
      <c r="H4" s="131"/>
      <c r="I4" s="131"/>
      <c r="J4" s="131"/>
      <c r="K4" s="2"/>
    </row>
    <row r="5" spans="1:11">
      <c r="A5" s="2" t="s">
        <v>676</v>
      </c>
      <c r="B5" s="2" t="s">
        <v>677</v>
      </c>
      <c r="C5" s="132"/>
      <c r="D5" s="131"/>
      <c r="E5" s="131"/>
      <c r="F5" s="131"/>
      <c r="G5" s="131"/>
      <c r="H5" s="131"/>
      <c r="I5" s="131"/>
      <c r="J5" s="131"/>
      <c r="K5" s="2"/>
    </row>
    <row r="6" spans="1:11">
      <c r="A6" s="2" t="s">
        <v>679</v>
      </c>
      <c r="B6" s="2" t="s">
        <v>680</v>
      </c>
      <c r="C6" s="132"/>
      <c r="D6" s="131"/>
      <c r="E6" s="131"/>
      <c r="F6" s="131"/>
      <c r="G6" s="131"/>
      <c r="H6" s="131"/>
      <c r="I6" s="131"/>
      <c r="J6" s="131"/>
      <c r="K6" s="2"/>
    </row>
    <row r="7" spans="1:11">
      <c r="A7" s="2" t="s">
        <v>682</v>
      </c>
      <c r="B7" s="2" t="s">
        <v>683</v>
      </c>
      <c r="C7" s="132"/>
      <c r="D7" s="131"/>
      <c r="E7" s="131"/>
      <c r="F7" s="131"/>
      <c r="G7" s="131"/>
      <c r="H7" s="131"/>
      <c r="I7" s="131"/>
      <c r="J7" s="131"/>
      <c r="K7" s="2"/>
    </row>
    <row r="8" spans="1:11">
      <c r="A8" s="131"/>
      <c r="B8" s="131"/>
      <c r="C8" s="132"/>
      <c r="D8" s="131"/>
      <c r="E8" s="131"/>
      <c r="F8" s="131"/>
      <c r="G8" s="131"/>
      <c r="H8" s="131"/>
      <c r="I8" s="131"/>
      <c r="J8" s="131"/>
      <c r="K8" s="2"/>
    </row>
    <row r="9" spans="1:11">
      <c r="A9" s="129" t="s">
        <v>1240</v>
      </c>
      <c r="B9" s="130" t="s">
        <v>1241</v>
      </c>
      <c r="C9" s="129" t="s">
        <v>1242</v>
      </c>
      <c r="D9" s="129" t="s">
        <v>1243</v>
      </c>
      <c r="E9" s="129" t="s">
        <v>1244</v>
      </c>
      <c r="F9" s="129" t="s">
        <v>1245</v>
      </c>
      <c r="G9" s="129" t="s">
        <v>1246</v>
      </c>
      <c r="H9" s="129" t="s">
        <v>1245</v>
      </c>
      <c r="I9" s="129" t="s">
        <v>11</v>
      </c>
      <c r="J9" s="129" t="s">
        <v>1180</v>
      </c>
      <c r="K9" s="2"/>
    </row>
    <row r="10" spans="1:11">
      <c r="A10" s="125">
        <v>46053</v>
      </c>
      <c r="B10" s="124">
        <f>CHICLETS!A6</f>
        <v>0.33333333333333331</v>
      </c>
      <c r="C10" s="111" t="str">
        <f>CHICLETS!$B$4</f>
        <v>WOOLLETT FAR LEFT</v>
      </c>
      <c r="D10" s="111" t="s">
        <v>1320</v>
      </c>
      <c r="E10" s="111" t="str">
        <f>B4</f>
        <v>B1-ORANGE COUNTY WPC BLUE</v>
      </c>
      <c r="F10" s="128">
        <v>15</v>
      </c>
      <c r="G10" s="111" t="str">
        <f>B6</f>
        <v>B3-PATRIOT RED</v>
      </c>
      <c r="H10" s="111">
        <v>3</v>
      </c>
      <c r="I10" s="111" t="s">
        <v>1321</v>
      </c>
      <c r="J10" s="111" t="s">
        <v>671</v>
      </c>
    </row>
    <row r="11" spans="1:11">
      <c r="A11" s="125">
        <v>46053</v>
      </c>
      <c r="B11" s="124">
        <f>CHICLETS!A7</f>
        <v>0.36458333333333331</v>
      </c>
      <c r="C11" s="111" t="str">
        <f>CHICLETS!$B$4</f>
        <v>WOOLLETT FAR LEFT</v>
      </c>
      <c r="D11" s="111" t="s">
        <v>1322</v>
      </c>
      <c r="E11" s="111" t="str">
        <f>B5</f>
        <v>B2-CHULA VISTA PREMIER</v>
      </c>
      <c r="F11" s="111">
        <v>17</v>
      </c>
      <c r="G11" s="111" t="str">
        <f>B7</f>
        <v>B4-LAMORINDA GOLD (B)</v>
      </c>
      <c r="H11" s="111">
        <v>2</v>
      </c>
      <c r="I11" s="111" t="s">
        <v>1323</v>
      </c>
      <c r="J11" s="111" t="s">
        <v>671</v>
      </c>
    </row>
    <row r="12" spans="1:11">
      <c r="A12" s="125">
        <v>46053</v>
      </c>
      <c r="B12" s="124">
        <f>CHICLETS!A8</f>
        <v>0.39583333333333298</v>
      </c>
      <c r="C12" s="111" t="str">
        <f>CHICLETS!$B$4</f>
        <v>WOOLLETT FAR LEFT</v>
      </c>
      <c r="D12" s="111" t="s">
        <v>1324</v>
      </c>
      <c r="E12" s="111" t="str">
        <f>A4</f>
        <v>A1-CHANNEL ISLANDS UNITED</v>
      </c>
      <c r="F12" s="111">
        <v>10</v>
      </c>
      <c r="G12" s="111" t="str">
        <f>A6</f>
        <v>A3-YOLO BLACK</v>
      </c>
      <c r="H12" s="111">
        <v>9</v>
      </c>
      <c r="I12" s="111" t="s">
        <v>1325</v>
      </c>
      <c r="J12" s="111" t="s">
        <v>671</v>
      </c>
    </row>
    <row r="13" spans="1:11">
      <c r="A13" s="125">
        <v>46053</v>
      </c>
      <c r="B13" s="124">
        <f>CHICLETS!A9</f>
        <v>0.42708333333333298</v>
      </c>
      <c r="C13" s="111" t="str">
        <f>CHICLETS!$B$4</f>
        <v>WOOLLETT FAR LEFT</v>
      </c>
      <c r="D13" s="111" t="s">
        <v>1326</v>
      </c>
      <c r="E13" s="111" t="str">
        <f>A5</f>
        <v>A2-FOOTHILL RED</v>
      </c>
      <c r="F13" s="111">
        <v>2</v>
      </c>
      <c r="G13" s="111" t="str">
        <f>A7</f>
        <v>A4-NORTH IRVINE BLACK</v>
      </c>
      <c r="H13" s="111">
        <v>15</v>
      </c>
      <c r="I13" s="111" t="s">
        <v>1327</v>
      </c>
      <c r="J13" s="111" t="s">
        <v>671</v>
      </c>
    </row>
    <row r="14" spans="1:11">
      <c r="A14" s="131"/>
      <c r="B14" s="131"/>
      <c r="C14" s="132"/>
      <c r="D14" s="131"/>
      <c r="E14" s="131"/>
      <c r="F14" s="131"/>
      <c r="G14" s="131"/>
      <c r="H14" s="131"/>
      <c r="I14" s="131"/>
      <c r="J14" s="131"/>
      <c r="K14" s="2"/>
    </row>
    <row r="15" spans="1:11">
      <c r="A15" s="125">
        <v>46053</v>
      </c>
      <c r="B15" s="124">
        <f>CHICLETS!A12</f>
        <v>0.52083333333333304</v>
      </c>
      <c r="C15" s="111" t="str">
        <f>CHICLETS!$B$4</f>
        <v>WOOLLETT FAR LEFT</v>
      </c>
      <c r="D15" s="111" t="s">
        <v>1328</v>
      </c>
      <c r="E15" s="111" t="str">
        <f>B4</f>
        <v>B1-ORANGE COUNTY WPC BLUE</v>
      </c>
      <c r="F15" s="111">
        <v>16</v>
      </c>
      <c r="G15" s="111" t="str">
        <f>B7</f>
        <v>B4-LAMORINDA GOLD (B)</v>
      </c>
      <c r="H15" s="111">
        <v>3</v>
      </c>
      <c r="I15" s="111" t="s">
        <v>1329</v>
      </c>
      <c r="J15" s="111" t="s">
        <v>671</v>
      </c>
    </row>
    <row r="16" spans="1:11">
      <c r="A16" s="125">
        <v>46053</v>
      </c>
      <c r="B16" s="124">
        <f>CHICLETS!A13</f>
        <v>0.55208333333333304</v>
      </c>
      <c r="C16" s="111" t="str">
        <f>CHICLETS!$B$4</f>
        <v>WOOLLETT FAR LEFT</v>
      </c>
      <c r="D16" s="111" t="s">
        <v>1330</v>
      </c>
      <c r="E16" s="111" t="str">
        <f>B5</f>
        <v>B2-CHULA VISTA PREMIER</v>
      </c>
      <c r="F16" s="111">
        <v>18</v>
      </c>
      <c r="G16" s="111" t="str">
        <f>B6</f>
        <v>B3-PATRIOT RED</v>
      </c>
      <c r="H16" s="111">
        <v>8</v>
      </c>
      <c r="I16" s="111" t="s">
        <v>1331</v>
      </c>
      <c r="J16" s="111" t="s">
        <v>671</v>
      </c>
    </row>
    <row r="17" spans="1:10">
      <c r="A17" s="125">
        <v>46053</v>
      </c>
      <c r="B17" s="124">
        <f>CHICLETS!A14</f>
        <v>0.58333333333333304</v>
      </c>
      <c r="C17" s="111" t="str">
        <f>CHICLETS!$B$4</f>
        <v>WOOLLETT FAR LEFT</v>
      </c>
      <c r="D17" s="111" t="s">
        <v>1332</v>
      </c>
      <c r="E17" s="111" t="str">
        <f>A4</f>
        <v>A1-CHANNEL ISLANDS UNITED</v>
      </c>
      <c r="F17" s="111">
        <v>11</v>
      </c>
      <c r="G17" s="111" t="str">
        <f>A7</f>
        <v>A4-NORTH IRVINE BLACK</v>
      </c>
      <c r="H17" s="111">
        <v>12</v>
      </c>
      <c r="I17" s="111" t="s">
        <v>1333</v>
      </c>
      <c r="J17" s="111" t="s">
        <v>671</v>
      </c>
    </row>
    <row r="18" spans="1:10">
      <c r="A18" s="125">
        <v>46053</v>
      </c>
      <c r="B18" s="124">
        <f>CHICLETS!A15</f>
        <v>0.61458333333333304</v>
      </c>
      <c r="C18" s="111" t="str">
        <f>CHICLETS!$B$4</f>
        <v>WOOLLETT FAR LEFT</v>
      </c>
      <c r="D18" s="111" t="s">
        <v>1334</v>
      </c>
      <c r="E18" s="111" t="str">
        <f>A5</f>
        <v>A2-FOOTHILL RED</v>
      </c>
      <c r="F18" s="111">
        <v>5</v>
      </c>
      <c r="G18" s="111" t="str">
        <f>A6</f>
        <v>A3-YOLO BLACK</v>
      </c>
      <c r="H18" s="111">
        <v>11</v>
      </c>
      <c r="I18" s="111" t="s">
        <v>1335</v>
      </c>
      <c r="J18" s="111" t="s">
        <v>671</v>
      </c>
    </row>
    <row r="19" spans="1:10">
      <c r="A19" s="127"/>
      <c r="B19" s="127"/>
      <c r="C19" s="127"/>
      <c r="D19" s="127"/>
      <c r="E19" s="127"/>
      <c r="F19" s="127"/>
      <c r="G19" s="127"/>
      <c r="H19" s="127"/>
      <c r="I19" s="127"/>
      <c r="J19" s="127"/>
    </row>
    <row r="20" spans="1:10">
      <c r="A20" s="4"/>
      <c r="B20" s="126"/>
      <c r="C20" s="4"/>
      <c r="D20" s="4"/>
      <c r="E20" s="4"/>
      <c r="F20" s="4"/>
      <c r="G20" s="4"/>
      <c r="H20" s="4"/>
      <c r="I20" s="4"/>
      <c r="J20" s="4"/>
    </row>
    <row r="21" spans="1:10">
      <c r="A21" s="8"/>
      <c r="B21" s="116"/>
      <c r="C21" s="8"/>
      <c r="D21" s="8"/>
      <c r="E21" s="8"/>
      <c r="F21" s="8"/>
      <c r="G21" s="8"/>
      <c r="H21" s="8"/>
      <c r="I21" s="8"/>
      <c r="J21" s="8"/>
    </row>
    <row r="22" spans="1:10">
      <c r="A22" s="125">
        <v>46054</v>
      </c>
      <c r="B22" s="124">
        <f>CHICLETS!A30</f>
        <v>0.39583333333333298</v>
      </c>
      <c r="C22" s="111" t="str">
        <f>CHICLETS!$B$26</f>
        <v>WOOLLETT FAR LEFT</v>
      </c>
      <c r="D22" s="111" t="s">
        <v>1336</v>
      </c>
      <c r="E22" s="111" t="str">
        <f>B6</f>
        <v>B3-PATRIOT RED</v>
      </c>
      <c r="F22" s="111">
        <v>21</v>
      </c>
      <c r="G22" s="111" t="str">
        <f>B7</f>
        <v>B4-LAMORINDA GOLD (B)</v>
      </c>
      <c r="H22" s="111">
        <v>6</v>
      </c>
      <c r="I22" s="111" t="s">
        <v>1337</v>
      </c>
      <c r="J22" s="111" t="s">
        <v>671</v>
      </c>
    </row>
    <row r="23" spans="1:10">
      <c r="A23" s="125">
        <v>46054</v>
      </c>
      <c r="B23" s="124">
        <f>CHICLETS!A31</f>
        <v>0.42708333333333298</v>
      </c>
      <c r="C23" s="111" t="str">
        <f>CHICLETS!$B$26</f>
        <v>WOOLLETT FAR LEFT</v>
      </c>
      <c r="D23" s="111" t="s">
        <v>1338</v>
      </c>
      <c r="E23" s="111" t="str">
        <f>A6</f>
        <v>A3-YOLO BLACK</v>
      </c>
      <c r="F23" s="111">
        <v>7</v>
      </c>
      <c r="G23" s="111" t="str">
        <f>A7</f>
        <v>A4-NORTH IRVINE BLACK</v>
      </c>
      <c r="H23" s="111">
        <v>12</v>
      </c>
      <c r="I23" s="111" t="s">
        <v>1339</v>
      </c>
      <c r="J23" s="111" t="s">
        <v>671</v>
      </c>
    </row>
    <row r="24" spans="1:10">
      <c r="A24" s="125">
        <v>46054</v>
      </c>
      <c r="B24" s="124">
        <f>CHICLETS!A32</f>
        <v>0.45833333333333298</v>
      </c>
      <c r="C24" s="111" t="str">
        <f>CHICLETS!$B$26</f>
        <v>WOOLLETT FAR LEFT</v>
      </c>
      <c r="D24" s="111" t="s">
        <v>1340</v>
      </c>
      <c r="E24" s="111" t="str">
        <f>B4</f>
        <v>B1-ORANGE COUNTY WPC BLUE</v>
      </c>
      <c r="F24" s="111">
        <v>18</v>
      </c>
      <c r="G24" s="111" t="str">
        <f>B5</f>
        <v>B2-CHULA VISTA PREMIER</v>
      </c>
      <c r="H24" s="111">
        <v>10</v>
      </c>
      <c r="I24" s="111" t="s">
        <v>1341</v>
      </c>
      <c r="J24" s="111" t="s">
        <v>671</v>
      </c>
    </row>
    <row r="25" spans="1:10">
      <c r="A25" s="125">
        <v>46054</v>
      </c>
      <c r="B25" s="124">
        <f>CHICLETS!A33</f>
        <v>0.48958333333333298</v>
      </c>
      <c r="C25" s="111" t="str">
        <f>CHICLETS!$B$26</f>
        <v>WOOLLETT FAR LEFT</v>
      </c>
      <c r="D25" s="111" t="s">
        <v>1342</v>
      </c>
      <c r="E25" s="111" t="str">
        <f>A4</f>
        <v>A1-CHANNEL ISLANDS UNITED</v>
      </c>
      <c r="F25" s="111">
        <v>19</v>
      </c>
      <c r="G25" s="111" t="str">
        <f>A5</f>
        <v>A2-FOOTHILL RED</v>
      </c>
      <c r="H25" s="111">
        <v>6</v>
      </c>
      <c r="I25" s="111" t="s">
        <v>1343</v>
      </c>
      <c r="J25" s="111" t="s">
        <v>671</v>
      </c>
    </row>
    <row r="26" spans="1:10">
      <c r="A26" s="8"/>
      <c r="B26" s="116"/>
      <c r="C26" s="8"/>
      <c r="D26" s="8"/>
      <c r="E26" s="8"/>
      <c r="F26" s="8"/>
      <c r="G26" s="8"/>
      <c r="H26" s="8"/>
      <c r="I26" s="8"/>
      <c r="J26" s="8"/>
    </row>
    <row r="27" spans="1:10">
      <c r="A27" s="125">
        <v>46054</v>
      </c>
      <c r="B27" s="124">
        <f>CHICLETS!A36</f>
        <v>0.58333333333333304</v>
      </c>
      <c r="C27" s="111" t="str">
        <f>CHICLETS!$C$26</f>
        <v>BECKMAN HS 2</v>
      </c>
      <c r="D27" s="111" t="s">
        <v>1344</v>
      </c>
      <c r="E27" s="111" t="s">
        <v>1345</v>
      </c>
      <c r="F27" s="111">
        <v>15</v>
      </c>
      <c r="G27" s="111" t="s">
        <v>1346</v>
      </c>
      <c r="H27" s="111">
        <v>5</v>
      </c>
      <c r="I27" s="111" t="s">
        <v>1347</v>
      </c>
      <c r="J27" s="111" t="s">
        <v>671</v>
      </c>
    </row>
    <row r="28" spans="1:10">
      <c r="A28" s="125">
        <v>46054</v>
      </c>
      <c r="B28" s="124">
        <f>CHICLETS!A37</f>
        <v>0.61458333333333304</v>
      </c>
      <c r="C28" s="111" t="str">
        <f>CHICLETS!$C$26</f>
        <v>BECKMAN HS 2</v>
      </c>
      <c r="D28" s="111" t="s">
        <v>1348</v>
      </c>
      <c r="E28" s="111" t="s">
        <v>1349</v>
      </c>
      <c r="F28" s="111">
        <v>17</v>
      </c>
      <c r="G28" s="111" t="s">
        <v>1350</v>
      </c>
      <c r="H28" s="111">
        <v>4</v>
      </c>
      <c r="I28" s="111" t="s">
        <v>1351</v>
      </c>
      <c r="J28" s="111" t="s">
        <v>671</v>
      </c>
    </row>
    <row r="29" spans="1:10">
      <c r="A29" s="125">
        <v>46054</v>
      </c>
      <c r="B29" s="124">
        <f>CHICLETS!A38</f>
        <v>0.64583333333333304</v>
      </c>
      <c r="C29" s="111" t="str">
        <f>CHICLETS!$B$26</f>
        <v>WOOLLETT FAR LEFT</v>
      </c>
      <c r="D29" s="111" t="s">
        <v>1352</v>
      </c>
      <c r="E29" s="111" t="s">
        <v>1353</v>
      </c>
      <c r="F29" s="111">
        <v>9</v>
      </c>
      <c r="G29" s="111" t="s">
        <v>1354</v>
      </c>
      <c r="H29" s="111">
        <v>8</v>
      </c>
      <c r="I29" s="111" t="s">
        <v>1314</v>
      </c>
      <c r="J29" s="111" t="s">
        <v>671</v>
      </c>
    </row>
    <row r="30" spans="1:10">
      <c r="A30" s="125">
        <v>46054</v>
      </c>
      <c r="B30" s="124">
        <f>CHICLETS!A39</f>
        <v>0.67708333333333304</v>
      </c>
      <c r="C30" s="111" t="str">
        <f>CHICLETS!$B$26</f>
        <v>WOOLLETT FAR LEFT</v>
      </c>
      <c r="D30" s="111" t="s">
        <v>1355</v>
      </c>
      <c r="E30" s="123" t="s">
        <v>1356</v>
      </c>
      <c r="F30" s="111">
        <v>8</v>
      </c>
      <c r="G30" s="111" t="s">
        <v>1357</v>
      </c>
      <c r="H30" s="111">
        <v>4</v>
      </c>
      <c r="I30" s="111" t="s">
        <v>1312</v>
      </c>
      <c r="J30" s="111" t="s">
        <v>671</v>
      </c>
    </row>
    <row r="31" spans="1:10">
      <c r="E31" s="122"/>
    </row>
    <row r="32" spans="1:10">
      <c r="I32" s="111" t="s">
        <v>1312</v>
      </c>
      <c r="J32" s="111" t="s">
        <v>681</v>
      </c>
    </row>
    <row r="33" spans="9:10">
      <c r="I33" s="111" t="s">
        <v>1313</v>
      </c>
      <c r="J33" s="111" t="s">
        <v>684</v>
      </c>
    </row>
    <row r="34" spans="9:10">
      <c r="I34" s="111" t="s">
        <v>1314</v>
      </c>
      <c r="J34" s="111" t="s">
        <v>670</v>
      </c>
    </row>
  </sheetData>
  <hyperlinks>
    <hyperlink ref="B2" r:id="rId1" xr:uid="{81861550-3FE4-4B1D-9C3D-350320977D91}"/>
    <hyperlink ref="C2" r:id="rId2" xr:uid="{CBE25098-FB24-41E2-804A-46D54798F7E5}"/>
    <hyperlink ref="A2" r:id="rId3" xr:uid="{CBBBA937-67DE-4DF5-AF0C-52B21B86ABF3}"/>
  </hyperlinks>
  <pageMargins left="0.7" right="0.7" top="0.75" bottom="0.75" header="0.3" footer="0.3"/>
  <pageSetup scale="58" orientation="landscape"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6BACD-F1F8-4FE1-B052-1BA4D575F9FA}">
  <sheetPr>
    <tabColor theme="3" tint="0.89999084444715716"/>
    <pageSetUpPr fitToPage="1"/>
  </sheetPr>
  <dimension ref="A1:K33"/>
  <sheetViews>
    <sheetView workbookViewId="0"/>
  </sheetViews>
  <sheetFormatPr defaultColWidth="9.140625" defaultRowHeight="18.75"/>
  <cols>
    <col min="1" max="1" width="35.140625" style="121" customWidth="1"/>
    <col min="2" max="2" width="38.85546875" style="121" customWidth="1"/>
    <col min="3" max="3" width="34.42578125" style="121" customWidth="1"/>
    <col min="4" max="4" width="20.140625" style="121" customWidth="1"/>
    <col min="5" max="5" width="39.85546875" style="121" customWidth="1"/>
    <col min="6" max="6" width="8.42578125" style="121" customWidth="1"/>
    <col min="7" max="7" width="39.140625" style="121" customWidth="1"/>
    <col min="8" max="8" width="25.85546875" style="121" bestFit="1" customWidth="1"/>
    <col min="9" max="9" width="23.42578125" style="121" customWidth="1"/>
    <col min="10" max="10" width="26.85546875" style="121" bestFit="1" customWidth="1"/>
    <col min="11" max="11" width="22.85546875" style="121" bestFit="1" customWidth="1"/>
    <col min="12" max="16384" width="9.140625" style="121"/>
  </cols>
  <sheetData>
    <row r="1" spans="1:11">
      <c r="A1" s="129" t="s">
        <v>65</v>
      </c>
      <c r="B1" s="129" t="s">
        <v>1316</v>
      </c>
      <c r="C1" s="134" t="s">
        <v>1317</v>
      </c>
      <c r="D1" s="129" t="s">
        <v>1318</v>
      </c>
      <c r="E1" s="129" t="s">
        <v>1319</v>
      </c>
      <c r="F1" s="131"/>
      <c r="G1" s="131"/>
      <c r="H1" s="131"/>
      <c r="I1" s="131"/>
      <c r="J1" s="131"/>
      <c r="K1" s="2"/>
    </row>
    <row r="2" spans="1:11">
      <c r="A2" s="119" t="s">
        <v>1237</v>
      </c>
      <c r="B2" s="118" t="s">
        <v>1238</v>
      </c>
      <c r="C2" s="117" t="s">
        <v>1239</v>
      </c>
      <c r="D2" s="129"/>
      <c r="E2" s="129"/>
      <c r="F2" s="131"/>
      <c r="G2" s="131"/>
      <c r="H2" s="131"/>
      <c r="I2" s="131"/>
      <c r="J2" s="131"/>
      <c r="K2" s="2"/>
    </row>
    <row r="3" spans="1:11">
      <c r="A3" s="8" t="s">
        <v>644</v>
      </c>
      <c r="B3" s="8" t="s">
        <v>645</v>
      </c>
      <c r="C3" s="130"/>
      <c r="D3" s="129"/>
      <c r="E3" s="131"/>
      <c r="F3" s="131"/>
      <c r="G3" s="131"/>
      <c r="H3" s="131"/>
      <c r="I3" s="131"/>
      <c r="J3" s="131"/>
      <c r="K3" s="2"/>
    </row>
    <row r="4" spans="1:11">
      <c r="A4" s="2" t="s">
        <v>692</v>
      </c>
      <c r="B4" s="2" t="s">
        <v>693</v>
      </c>
      <c r="C4" s="133"/>
      <c r="D4" s="131"/>
      <c r="E4" s="131"/>
      <c r="F4" s="131"/>
      <c r="G4" s="131"/>
      <c r="H4" s="131"/>
      <c r="I4" s="131"/>
      <c r="J4" s="131"/>
      <c r="K4" s="2"/>
    </row>
    <row r="5" spans="1:11">
      <c r="A5" s="2" t="s">
        <v>695</v>
      </c>
      <c r="B5" s="2" t="s">
        <v>696</v>
      </c>
      <c r="C5" s="132"/>
      <c r="D5" s="131"/>
      <c r="E5" s="131"/>
      <c r="F5" s="131"/>
      <c r="G5" s="131"/>
      <c r="H5" s="131"/>
      <c r="I5" s="131"/>
      <c r="J5" s="131"/>
      <c r="K5" s="2"/>
    </row>
    <row r="6" spans="1:11">
      <c r="A6" s="2" t="s">
        <v>698</v>
      </c>
      <c r="B6" s="2" t="s">
        <v>699</v>
      </c>
      <c r="C6" s="132"/>
      <c r="D6" s="131"/>
      <c r="E6" s="131"/>
      <c r="F6" s="131"/>
      <c r="G6" s="131"/>
      <c r="H6" s="131"/>
      <c r="I6" s="131"/>
      <c r="J6" s="131"/>
      <c r="K6" s="2"/>
    </row>
    <row r="7" spans="1:11">
      <c r="A7" s="2" t="s">
        <v>701</v>
      </c>
      <c r="B7" s="2" t="s">
        <v>702</v>
      </c>
      <c r="C7" s="132"/>
      <c r="D7" s="131"/>
      <c r="E7" s="131"/>
      <c r="F7" s="131"/>
      <c r="G7" s="131"/>
      <c r="H7" s="131"/>
      <c r="I7" s="131"/>
      <c r="J7" s="131"/>
      <c r="K7" s="2"/>
    </row>
    <row r="8" spans="1:11">
      <c r="A8" s="131"/>
      <c r="B8" s="131"/>
      <c r="C8" s="132"/>
      <c r="D8" s="131"/>
      <c r="E8" s="131"/>
      <c r="F8" s="131"/>
      <c r="G8" s="131"/>
      <c r="H8" s="131"/>
      <c r="I8" s="131"/>
      <c r="J8" s="131"/>
      <c r="K8" s="2"/>
    </row>
    <row r="9" spans="1:11">
      <c r="A9" s="129" t="s">
        <v>1240</v>
      </c>
      <c r="B9" s="130" t="s">
        <v>1241</v>
      </c>
      <c r="C9" s="129" t="s">
        <v>1242</v>
      </c>
      <c r="D9" s="129" t="s">
        <v>1243</v>
      </c>
      <c r="E9" s="129" t="s">
        <v>1244</v>
      </c>
      <c r="F9" s="129" t="s">
        <v>1245</v>
      </c>
      <c r="G9" s="129" t="s">
        <v>1246</v>
      </c>
      <c r="H9" s="129" t="s">
        <v>1245</v>
      </c>
      <c r="I9" s="129" t="s">
        <v>11</v>
      </c>
      <c r="J9" s="129" t="s">
        <v>1180</v>
      </c>
      <c r="K9" s="2"/>
    </row>
    <row r="10" spans="1:11">
      <c r="A10" s="137">
        <v>46053</v>
      </c>
      <c r="B10" s="136">
        <f>CHICLETS!A6</f>
        <v>0.33333333333333331</v>
      </c>
      <c r="C10" s="112" t="str">
        <f>CHICLETS!$C$4</f>
        <v>BECKMAN HS 2</v>
      </c>
      <c r="D10" s="112" t="s">
        <v>1358</v>
      </c>
      <c r="E10" s="112" t="str">
        <f>B4</f>
        <v>B1-CC UNITED BLACK</v>
      </c>
      <c r="F10" s="138">
        <v>9</v>
      </c>
      <c r="G10" s="112" t="str">
        <f>B6</f>
        <v>B3-STANFORD RED</v>
      </c>
      <c r="H10" s="112">
        <v>8</v>
      </c>
      <c r="I10" s="112" t="s">
        <v>1321</v>
      </c>
      <c r="J10" s="112" t="s">
        <v>688</v>
      </c>
    </row>
    <row r="11" spans="1:11">
      <c r="A11" s="137">
        <v>46053</v>
      </c>
      <c r="B11" s="136">
        <f>CHICLETS!A7</f>
        <v>0.36458333333333331</v>
      </c>
      <c r="C11" s="112" t="str">
        <f>CHICLETS!$C$4</f>
        <v>BECKMAN HS 2</v>
      </c>
      <c r="D11" s="112" t="s">
        <v>1359</v>
      </c>
      <c r="E11" s="112" t="str">
        <f>B5</f>
        <v>B2-SAN CLEMENTE RED</v>
      </c>
      <c r="F11" s="112">
        <v>16</v>
      </c>
      <c r="G11" s="112" t="str">
        <f>B7</f>
        <v>B4-680 BLUE</v>
      </c>
      <c r="H11" s="112">
        <v>0</v>
      </c>
      <c r="I11" s="112" t="s">
        <v>1323</v>
      </c>
      <c r="J11" s="112" t="s">
        <v>688</v>
      </c>
    </row>
    <row r="12" spans="1:11">
      <c r="A12" s="137">
        <v>46053</v>
      </c>
      <c r="B12" s="136">
        <f>CHICLETS!A8</f>
        <v>0.39583333333333298</v>
      </c>
      <c r="C12" s="112" t="str">
        <f>CHICLETS!$C$4</f>
        <v>BECKMAN HS 2</v>
      </c>
      <c r="D12" s="112" t="s">
        <v>1360</v>
      </c>
      <c r="E12" s="112" t="str">
        <f>A4</f>
        <v>A1-LAMORINDA BLUE (A)</v>
      </c>
      <c r="F12" s="112">
        <v>10</v>
      </c>
      <c r="G12" s="112" t="str">
        <f>A6</f>
        <v>A3-LA PREMIER</v>
      </c>
      <c r="H12" s="112">
        <v>1</v>
      </c>
      <c r="I12" s="112" t="s">
        <v>1325</v>
      </c>
      <c r="J12" s="112" t="s">
        <v>688</v>
      </c>
    </row>
    <row r="13" spans="1:11">
      <c r="A13" s="137">
        <v>46053</v>
      </c>
      <c r="B13" s="136">
        <f>CHICLETS!A9</f>
        <v>0.42708333333333298</v>
      </c>
      <c r="C13" s="112" t="str">
        <f>CHICLETS!$C$4</f>
        <v>BECKMAN HS 2</v>
      </c>
      <c r="D13" s="112" t="s">
        <v>1361</v>
      </c>
      <c r="E13" s="112" t="str">
        <f>A5</f>
        <v>A2-680 RED</v>
      </c>
      <c r="F13" s="112">
        <v>14</v>
      </c>
      <c r="G13" s="112" t="str">
        <f>A7</f>
        <v>A4-CC UNITED BLUE</v>
      </c>
      <c r="H13" s="112">
        <v>0</v>
      </c>
      <c r="I13" s="112" t="s">
        <v>1327</v>
      </c>
      <c r="J13" s="112" t="s">
        <v>688</v>
      </c>
    </row>
    <row r="14" spans="1:11">
      <c r="A14" s="137">
        <v>46053</v>
      </c>
      <c r="B14" s="136">
        <f>CHICLETS!A10</f>
        <v>0.45833333333333298</v>
      </c>
      <c r="C14" s="112" t="str">
        <f>CHICLETS!$C$4</f>
        <v>BECKMAN HS 2</v>
      </c>
      <c r="D14" s="112" t="s">
        <v>1362</v>
      </c>
      <c r="E14" s="112" t="str">
        <f>B4</f>
        <v>B1-CC UNITED BLACK</v>
      </c>
      <c r="F14" s="112">
        <v>21</v>
      </c>
      <c r="G14" s="112" t="str">
        <f>B7</f>
        <v>B4-680 BLUE</v>
      </c>
      <c r="H14" s="112">
        <v>0</v>
      </c>
      <c r="I14" s="112" t="s">
        <v>1329</v>
      </c>
      <c r="J14" s="112" t="s">
        <v>688</v>
      </c>
    </row>
    <row r="15" spans="1:11">
      <c r="A15" s="137">
        <v>46053</v>
      </c>
      <c r="B15" s="136">
        <f>CHICLETS!A11</f>
        <v>0.48958333333333298</v>
      </c>
      <c r="C15" s="112" t="str">
        <f>CHICLETS!$C$4</f>
        <v>BECKMAN HS 2</v>
      </c>
      <c r="D15" s="112" t="s">
        <v>1363</v>
      </c>
      <c r="E15" s="112" t="str">
        <f>B5</f>
        <v>B2-SAN CLEMENTE RED</v>
      </c>
      <c r="F15" s="112">
        <v>14</v>
      </c>
      <c r="G15" s="112" t="str">
        <f>B6</f>
        <v>B3-STANFORD RED</v>
      </c>
      <c r="H15" s="112">
        <v>9</v>
      </c>
      <c r="I15" s="112" t="s">
        <v>1331</v>
      </c>
      <c r="J15" s="112" t="s">
        <v>688</v>
      </c>
    </row>
    <row r="16" spans="1:11">
      <c r="A16" s="137">
        <v>46053</v>
      </c>
      <c r="B16" s="136">
        <f>CHICLETS!A12</f>
        <v>0.52083333333333304</v>
      </c>
      <c r="C16" s="112" t="str">
        <f>CHICLETS!$C$4</f>
        <v>BECKMAN HS 2</v>
      </c>
      <c r="D16" s="112" t="s">
        <v>1364</v>
      </c>
      <c r="E16" s="112" t="str">
        <f>A4</f>
        <v>A1-LAMORINDA BLUE (A)</v>
      </c>
      <c r="F16" s="112">
        <v>10</v>
      </c>
      <c r="G16" s="112" t="str">
        <f>A7</f>
        <v>A4-CC UNITED BLUE</v>
      </c>
      <c r="H16" s="112">
        <v>6</v>
      </c>
      <c r="I16" s="112" t="s">
        <v>1333</v>
      </c>
      <c r="J16" s="112" t="s">
        <v>688</v>
      </c>
    </row>
    <row r="17" spans="1:10">
      <c r="A17" s="137">
        <v>46053</v>
      </c>
      <c r="B17" s="136">
        <f>CHICLETS!A13</f>
        <v>0.55208333333333304</v>
      </c>
      <c r="C17" s="112" t="str">
        <f>CHICLETS!$C$4</f>
        <v>BECKMAN HS 2</v>
      </c>
      <c r="D17" s="112" t="s">
        <v>1365</v>
      </c>
      <c r="E17" s="112" t="str">
        <f>A5</f>
        <v>A2-680 RED</v>
      </c>
      <c r="F17" s="112">
        <v>16</v>
      </c>
      <c r="G17" s="112" t="str">
        <f>A6</f>
        <v>A3-LA PREMIER</v>
      </c>
      <c r="H17" s="112">
        <v>4</v>
      </c>
      <c r="I17" s="112" t="s">
        <v>1335</v>
      </c>
      <c r="J17" s="112" t="s">
        <v>688</v>
      </c>
    </row>
    <row r="18" spans="1:10">
      <c r="A18" s="127"/>
      <c r="B18" s="127"/>
      <c r="C18" s="127"/>
      <c r="D18" s="127"/>
      <c r="E18" s="127"/>
      <c r="F18" s="127"/>
      <c r="G18" s="127"/>
      <c r="H18" s="127"/>
      <c r="I18" s="127"/>
      <c r="J18" s="127"/>
    </row>
    <row r="19" spans="1:10">
      <c r="A19" s="4"/>
      <c r="B19" s="126"/>
      <c r="C19" s="4"/>
      <c r="D19" s="4"/>
      <c r="E19" s="4"/>
      <c r="F19" s="4"/>
      <c r="G19" s="4"/>
      <c r="H19" s="4"/>
      <c r="I19" s="4"/>
      <c r="J19" s="4"/>
    </row>
    <row r="20" spans="1:10">
      <c r="A20" s="8"/>
      <c r="B20" s="116"/>
      <c r="C20" s="8"/>
      <c r="D20" s="8"/>
      <c r="E20" s="8"/>
      <c r="F20" s="8"/>
      <c r="G20" s="8"/>
      <c r="H20" s="8"/>
      <c r="I20" s="8"/>
      <c r="J20" s="8"/>
    </row>
    <row r="21" spans="1:10">
      <c r="A21" s="137">
        <v>46054</v>
      </c>
      <c r="B21" s="136">
        <f>CHICLETS!A28</f>
        <v>0.33333333333333331</v>
      </c>
      <c r="C21" s="112" t="str">
        <f>CHICLETS!$C$26</f>
        <v>BECKMAN HS 2</v>
      </c>
      <c r="D21" s="112" t="s">
        <v>1366</v>
      </c>
      <c r="E21" s="112" t="str">
        <f>B6</f>
        <v>B3-STANFORD RED</v>
      </c>
      <c r="F21" s="112">
        <v>12</v>
      </c>
      <c r="G21" s="112" t="str">
        <f>B7</f>
        <v>B4-680 BLUE</v>
      </c>
      <c r="H21" s="112">
        <v>0</v>
      </c>
      <c r="I21" s="112" t="s">
        <v>1337</v>
      </c>
      <c r="J21" s="112" t="s">
        <v>688</v>
      </c>
    </row>
    <row r="22" spans="1:10">
      <c r="A22" s="137">
        <v>46054</v>
      </c>
      <c r="B22" s="136">
        <f>CHICLETS!A29</f>
        <v>0.36458333333333331</v>
      </c>
      <c r="C22" s="112" t="str">
        <f>CHICLETS!$C$26</f>
        <v>BECKMAN HS 2</v>
      </c>
      <c r="D22" s="112" t="s">
        <v>1367</v>
      </c>
      <c r="E22" s="112" t="str">
        <f>A6</f>
        <v>A3-LA PREMIER</v>
      </c>
      <c r="F22" s="112">
        <v>2</v>
      </c>
      <c r="G22" s="112" t="str">
        <f>A7</f>
        <v>A4-CC UNITED BLUE</v>
      </c>
      <c r="H22" s="112">
        <v>9</v>
      </c>
      <c r="I22" s="112" t="s">
        <v>1339</v>
      </c>
      <c r="J22" s="112" t="s">
        <v>688</v>
      </c>
    </row>
    <row r="23" spans="1:10">
      <c r="A23" s="137">
        <v>46054</v>
      </c>
      <c r="B23" s="136">
        <f>CHICLETS!A30</f>
        <v>0.39583333333333298</v>
      </c>
      <c r="C23" s="112" t="str">
        <f>CHICLETS!$C$26</f>
        <v>BECKMAN HS 2</v>
      </c>
      <c r="D23" s="112" t="s">
        <v>1368</v>
      </c>
      <c r="E23" s="112" t="str">
        <f>B4</f>
        <v>B1-CC UNITED BLACK</v>
      </c>
      <c r="F23" s="112">
        <v>8</v>
      </c>
      <c r="G23" s="112" t="str">
        <f>B5</f>
        <v>B2-SAN CLEMENTE RED</v>
      </c>
      <c r="H23" s="112">
        <v>7</v>
      </c>
      <c r="I23" s="112" t="s">
        <v>1341</v>
      </c>
      <c r="J23" s="112" t="s">
        <v>688</v>
      </c>
    </row>
    <row r="24" spans="1:10">
      <c r="A24" s="137">
        <v>46054</v>
      </c>
      <c r="B24" s="136">
        <f>CHICLETS!A31</f>
        <v>0.42708333333333298</v>
      </c>
      <c r="C24" s="112" t="str">
        <f>CHICLETS!$C$26</f>
        <v>BECKMAN HS 2</v>
      </c>
      <c r="D24" s="112" t="s">
        <v>1369</v>
      </c>
      <c r="E24" s="112" t="str">
        <f>A4</f>
        <v>A1-LAMORINDA BLUE (A)</v>
      </c>
      <c r="F24" s="112">
        <v>6</v>
      </c>
      <c r="G24" s="112" t="str">
        <f>A5</f>
        <v>A2-680 RED</v>
      </c>
      <c r="H24" s="112">
        <v>16</v>
      </c>
      <c r="I24" s="112" t="s">
        <v>1343</v>
      </c>
      <c r="J24" s="112" t="s">
        <v>688</v>
      </c>
    </row>
    <row r="25" spans="1:10">
      <c r="A25" s="8"/>
      <c r="B25" s="116"/>
      <c r="C25" s="8"/>
      <c r="D25" s="8"/>
      <c r="E25" s="8"/>
      <c r="F25" s="8"/>
      <c r="G25" s="8"/>
      <c r="H25" s="8"/>
      <c r="I25" s="8"/>
      <c r="J25" s="8"/>
    </row>
    <row r="26" spans="1:10">
      <c r="A26" s="137">
        <v>46054</v>
      </c>
      <c r="B26" s="136">
        <f>CHICLETS!A34</f>
        <v>0.52083333333333304</v>
      </c>
      <c r="C26" s="112" t="str">
        <f>CHICLETS!$C$26</f>
        <v>BECKMAN HS 2</v>
      </c>
      <c r="D26" s="112" t="s">
        <v>1370</v>
      </c>
      <c r="E26" s="112" t="s">
        <v>1371</v>
      </c>
      <c r="F26" s="112">
        <v>11</v>
      </c>
      <c r="G26" s="112" t="s">
        <v>1372</v>
      </c>
      <c r="H26" s="112">
        <v>4</v>
      </c>
      <c r="I26" s="112" t="s">
        <v>1347</v>
      </c>
      <c r="J26" s="112" t="s">
        <v>688</v>
      </c>
    </row>
    <row r="27" spans="1:10">
      <c r="A27" s="137">
        <v>46054</v>
      </c>
      <c r="B27" s="136">
        <f>CHICLETS!A35</f>
        <v>0.55208333333333304</v>
      </c>
      <c r="C27" s="112" t="str">
        <f>CHICLETS!$C$26</f>
        <v>BECKMAN HS 2</v>
      </c>
      <c r="D27" s="112" t="s">
        <v>1373</v>
      </c>
      <c r="E27" s="112" t="s">
        <v>1374</v>
      </c>
      <c r="F27" s="112">
        <v>1</v>
      </c>
      <c r="G27" s="112" t="s">
        <v>1375</v>
      </c>
      <c r="H27" s="112">
        <v>8</v>
      </c>
      <c r="I27" s="112" t="s">
        <v>1351</v>
      </c>
      <c r="J27" s="112" t="s">
        <v>688</v>
      </c>
    </row>
    <row r="28" spans="1:10">
      <c r="A28" s="137">
        <v>46054</v>
      </c>
      <c r="B28" s="136">
        <f>CHICLETS!A36</f>
        <v>0.58333333333333304</v>
      </c>
      <c r="C28" s="112" t="str">
        <f>CHICLETS!$B$26</f>
        <v>WOOLLETT FAR LEFT</v>
      </c>
      <c r="D28" s="112" t="s">
        <v>1376</v>
      </c>
      <c r="E28" s="112" t="s">
        <v>1377</v>
      </c>
      <c r="F28" s="112">
        <v>6</v>
      </c>
      <c r="G28" s="112" t="s">
        <v>1378</v>
      </c>
      <c r="H28" s="112">
        <v>14</v>
      </c>
      <c r="I28" s="112" t="s">
        <v>1314</v>
      </c>
      <c r="J28" s="112" t="s">
        <v>688</v>
      </c>
    </row>
    <row r="29" spans="1:10">
      <c r="A29" s="137">
        <v>46054</v>
      </c>
      <c r="B29" s="136">
        <f>CHICLETS!A37</f>
        <v>0.61458333333333304</v>
      </c>
      <c r="C29" s="112" t="str">
        <f>CHICLETS!$B$26</f>
        <v>WOOLLETT FAR LEFT</v>
      </c>
      <c r="D29" s="112" t="s">
        <v>1379</v>
      </c>
      <c r="E29" s="135" t="s">
        <v>1380</v>
      </c>
      <c r="F29" s="112">
        <v>6</v>
      </c>
      <c r="G29" s="112" t="s">
        <v>1381</v>
      </c>
      <c r="H29" s="112">
        <v>3</v>
      </c>
      <c r="I29" s="112" t="s">
        <v>1312</v>
      </c>
      <c r="J29" s="112" t="s">
        <v>688</v>
      </c>
    </row>
    <row r="30" spans="1:10">
      <c r="E30" s="122"/>
    </row>
    <row r="31" spans="1:10">
      <c r="I31" s="112" t="s">
        <v>1312</v>
      </c>
      <c r="J31" s="112" t="s">
        <v>690</v>
      </c>
    </row>
    <row r="32" spans="1:10">
      <c r="I32" s="112" t="s">
        <v>1313</v>
      </c>
      <c r="J32" s="112" t="s">
        <v>691</v>
      </c>
    </row>
    <row r="33" spans="9:10">
      <c r="I33" s="112" t="s">
        <v>1314</v>
      </c>
      <c r="J33" s="112" t="s">
        <v>703</v>
      </c>
    </row>
  </sheetData>
  <hyperlinks>
    <hyperlink ref="B2" r:id="rId1" xr:uid="{32AF8BE9-9225-41CE-9BED-70EAD9B61B28}"/>
    <hyperlink ref="C2" r:id="rId2" xr:uid="{54C1EEC3-D4A2-4D54-846D-B6E86BCEB711}"/>
    <hyperlink ref="A2" r:id="rId3" xr:uid="{547EB03D-DBF3-4DEB-A928-26216308D8B6}"/>
  </hyperlinks>
  <pageMargins left="0.7" right="0.7" top="0.75" bottom="0.75" header="0.3" footer="0.3"/>
  <pageSetup scale="58" orientation="landscape"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20B60-4383-4464-A825-1992520F69CC}">
  <sheetPr>
    <tabColor rgb="FFD86DCD"/>
    <pageSetUpPr fitToPage="1"/>
  </sheetPr>
  <dimension ref="A1:J42"/>
  <sheetViews>
    <sheetView workbookViewId="0"/>
  </sheetViews>
  <sheetFormatPr defaultColWidth="9.140625" defaultRowHeight="18"/>
  <cols>
    <col min="1" max="1" width="37.140625" style="1" customWidth="1"/>
    <col min="2" max="2" width="39.5703125" style="1" customWidth="1"/>
    <col min="3" max="3" width="37.7109375" style="1" customWidth="1"/>
    <col min="4" max="4" width="41.140625" style="1" customWidth="1"/>
    <col min="5" max="5" width="46.7109375" style="1" bestFit="1" customWidth="1"/>
    <col min="6" max="6" width="8.28515625" style="1" customWidth="1"/>
    <col min="7" max="7" width="55.42578125" style="1" bestFit="1" customWidth="1"/>
    <col min="8" max="8" width="6.7109375" style="1" customWidth="1"/>
    <col min="9" max="9" width="30.42578125" style="1" customWidth="1"/>
    <col min="10" max="10" width="28" style="1" customWidth="1"/>
    <col min="11" max="16384" width="9.140625" style="1"/>
  </cols>
  <sheetData>
    <row r="1" spans="1:10">
      <c r="A1" s="8" t="s">
        <v>40</v>
      </c>
      <c r="B1" s="165" t="s">
        <v>1382</v>
      </c>
      <c r="C1" s="120" t="s">
        <v>1383</v>
      </c>
      <c r="D1" s="165" t="s">
        <v>1384</v>
      </c>
      <c r="E1" s="14"/>
      <c r="F1" s="14"/>
      <c r="G1" s="14"/>
      <c r="H1" s="14"/>
      <c r="I1" s="14"/>
      <c r="J1" s="14"/>
    </row>
    <row r="2" spans="1:10">
      <c r="A2" s="119" t="s">
        <v>1237</v>
      </c>
      <c r="B2" s="118" t="s">
        <v>1238</v>
      </c>
      <c r="C2" s="117" t="s">
        <v>1239</v>
      </c>
      <c r="D2" s="14"/>
      <c r="E2" s="14"/>
      <c r="F2" s="14"/>
      <c r="G2" s="14"/>
      <c r="H2" s="14"/>
      <c r="I2" s="14"/>
      <c r="J2" s="14"/>
    </row>
    <row r="3" spans="1:10">
      <c r="A3" s="8" t="s">
        <v>644</v>
      </c>
      <c r="B3" s="8" t="s">
        <v>645</v>
      </c>
      <c r="C3" s="8" t="s">
        <v>646</v>
      </c>
      <c r="D3" s="8" t="s">
        <v>647</v>
      </c>
      <c r="E3" s="14"/>
      <c r="F3" s="31"/>
      <c r="H3" s="31"/>
      <c r="I3" s="31"/>
      <c r="J3" s="31"/>
    </row>
    <row r="4" spans="1:10">
      <c r="A4" s="2" t="s">
        <v>707</v>
      </c>
      <c r="B4" s="2" t="s">
        <v>708</v>
      </c>
      <c r="C4" s="2" t="s">
        <v>709</v>
      </c>
      <c r="D4" s="2" t="s">
        <v>710</v>
      </c>
      <c r="J4" s="31"/>
    </row>
    <row r="5" spans="1:10">
      <c r="A5" s="2" t="s">
        <v>711</v>
      </c>
      <c r="B5" s="2" t="s">
        <v>712</v>
      </c>
      <c r="C5" s="2" t="s">
        <v>713</v>
      </c>
      <c r="D5" s="2" t="s">
        <v>714</v>
      </c>
      <c r="J5" s="31"/>
    </row>
    <row r="6" spans="1:10">
      <c r="A6" s="2" t="s">
        <v>658</v>
      </c>
      <c r="B6" s="2" t="s">
        <v>716</v>
      </c>
      <c r="C6" s="2" t="s">
        <v>717</v>
      </c>
      <c r="D6" s="2" t="s">
        <v>718</v>
      </c>
      <c r="J6" s="31"/>
    </row>
    <row r="7" spans="1:10">
      <c r="A7" s="14"/>
      <c r="B7" s="14"/>
      <c r="C7" s="14"/>
      <c r="D7" s="2"/>
      <c r="J7" s="31"/>
    </row>
    <row r="8" spans="1:10">
      <c r="A8" s="8" t="s">
        <v>1240</v>
      </c>
      <c r="B8" s="116" t="s">
        <v>1241</v>
      </c>
      <c r="C8" s="8" t="s">
        <v>1242</v>
      </c>
      <c r="D8" s="8" t="s">
        <v>1243</v>
      </c>
      <c r="E8" s="8" t="s">
        <v>1244</v>
      </c>
      <c r="F8" s="8" t="s">
        <v>1245</v>
      </c>
      <c r="G8" s="8" t="s">
        <v>1246</v>
      </c>
      <c r="H8" s="8" t="s">
        <v>1245</v>
      </c>
      <c r="I8" s="8" t="s">
        <v>11</v>
      </c>
      <c r="J8" s="8" t="s">
        <v>1180</v>
      </c>
    </row>
    <row r="9" spans="1:10">
      <c r="A9" s="32">
        <v>46053</v>
      </c>
      <c r="B9" s="157">
        <f>CHICLETS!F5</f>
        <v>0.29166666666666669</v>
      </c>
      <c r="C9" s="32" t="str">
        <f>CHICLETS!$G$4</f>
        <v>WOOLLETT FAR RIGHT</v>
      </c>
      <c r="D9" s="140" t="s">
        <v>1385</v>
      </c>
      <c r="E9" s="32" t="str">
        <f>A4</f>
        <v>A1-BACK BAY NAVY</v>
      </c>
      <c r="F9" s="140">
        <v>18</v>
      </c>
      <c r="G9" s="32" t="str">
        <f>A6</f>
        <v>A3-LAMORINDA C</v>
      </c>
      <c r="H9" s="140">
        <v>10</v>
      </c>
      <c r="I9" s="140" t="s">
        <v>1250</v>
      </c>
      <c r="J9" s="140" t="s">
        <v>705</v>
      </c>
    </row>
    <row r="10" spans="1:10">
      <c r="A10" s="32">
        <v>46053</v>
      </c>
      <c r="B10" s="157">
        <f>CHICLETS!F6</f>
        <v>0.3263888888888889</v>
      </c>
      <c r="C10" s="32" t="str">
        <f>CHICLETS!$G$4</f>
        <v>WOOLLETT FAR RIGHT</v>
      </c>
      <c r="D10" s="140" t="s">
        <v>1386</v>
      </c>
      <c r="E10" s="32" t="str">
        <f>D4</f>
        <v>D1-SHAQ</v>
      </c>
      <c r="F10" s="140">
        <v>12</v>
      </c>
      <c r="G10" s="32" t="str">
        <f>D6</f>
        <v>D3-NORTH IRVINE</v>
      </c>
      <c r="H10" s="140">
        <v>9</v>
      </c>
      <c r="I10" s="140" t="s">
        <v>1248</v>
      </c>
      <c r="J10" s="140" t="s">
        <v>705</v>
      </c>
    </row>
    <row r="11" spans="1:10">
      <c r="A11" s="14"/>
      <c r="B11" s="14"/>
      <c r="C11" s="14"/>
      <c r="D11" s="2"/>
      <c r="J11" s="31"/>
    </row>
    <row r="12" spans="1:10">
      <c r="A12" s="32">
        <v>46053</v>
      </c>
      <c r="B12" s="157">
        <f>CHICLETS!F8</f>
        <v>0.39583333333333398</v>
      </c>
      <c r="C12" s="32" t="str">
        <f>CHICLETS!$G$4</f>
        <v>WOOLLETT FAR RIGHT</v>
      </c>
      <c r="D12" s="140" t="s">
        <v>1387</v>
      </c>
      <c r="E12" s="32" t="str">
        <f>B4</f>
        <v>B1-680 RED</v>
      </c>
      <c r="F12" s="140">
        <v>14</v>
      </c>
      <c r="G12" s="32" t="str">
        <f>B5</f>
        <v>B2-SOUTH COAST RED</v>
      </c>
      <c r="H12" s="140">
        <v>4</v>
      </c>
      <c r="I12" s="140" t="s">
        <v>1272</v>
      </c>
      <c r="J12" s="140" t="s">
        <v>705</v>
      </c>
    </row>
    <row r="13" spans="1:10">
      <c r="A13" s="32">
        <v>46053</v>
      </c>
      <c r="B13" s="157">
        <f>CHICLETS!F9</f>
        <v>0.43055555555555602</v>
      </c>
      <c r="C13" s="32" t="str">
        <f>CHICLETS!$G$4</f>
        <v>WOOLLETT FAR RIGHT</v>
      </c>
      <c r="D13" s="140" t="s">
        <v>1388</v>
      </c>
      <c r="E13" s="32" t="str">
        <f>C5</f>
        <v>C2-DAVIS</v>
      </c>
      <c r="F13" s="140">
        <v>1</v>
      </c>
      <c r="G13" s="32" t="str">
        <f>C6</f>
        <v>C3-LAMORINDA B</v>
      </c>
      <c r="H13" s="140">
        <v>16</v>
      </c>
      <c r="I13" s="140" t="s">
        <v>1265</v>
      </c>
      <c r="J13" s="140" t="s">
        <v>705</v>
      </c>
    </row>
    <row r="14" spans="1:10">
      <c r="A14" s="14"/>
      <c r="B14" s="14"/>
      <c r="C14" s="14"/>
      <c r="D14" s="2"/>
      <c r="J14" s="31"/>
    </row>
    <row r="15" spans="1:10">
      <c r="A15" s="32">
        <v>46053</v>
      </c>
      <c r="B15" s="157">
        <f>CHICLETS!F11</f>
        <v>0.5</v>
      </c>
      <c r="C15" s="32" t="str">
        <f>CHICLETS!$G$4</f>
        <v>WOOLLETT FAR RIGHT</v>
      </c>
      <c r="D15" s="140" t="s">
        <v>1389</v>
      </c>
      <c r="E15" s="32" t="str">
        <f>A4</f>
        <v>A1-BACK BAY NAVY</v>
      </c>
      <c r="F15" s="140">
        <v>19</v>
      </c>
      <c r="G15" s="32" t="str">
        <f>A5</f>
        <v>A2-GOLD COAST</v>
      </c>
      <c r="H15" s="140">
        <v>2</v>
      </c>
      <c r="I15" s="140" t="s">
        <v>1269</v>
      </c>
      <c r="J15" s="140" t="s">
        <v>705</v>
      </c>
    </row>
    <row r="16" spans="1:10">
      <c r="A16" s="32">
        <v>46053</v>
      </c>
      <c r="B16" s="157">
        <f>CHICLETS!F12</f>
        <v>0.53472222222222199</v>
      </c>
      <c r="C16" s="32" t="str">
        <f>CHICLETS!$G$4</f>
        <v>WOOLLETT FAR RIGHT</v>
      </c>
      <c r="D16" s="140" t="s">
        <v>1390</v>
      </c>
      <c r="E16" s="32" t="str">
        <f>D4</f>
        <v>D1-SHAQ</v>
      </c>
      <c r="F16" s="140">
        <v>11</v>
      </c>
      <c r="G16" s="32" t="str">
        <f>D5</f>
        <v>D2-LA JOLLA UNITED</v>
      </c>
      <c r="H16" s="140">
        <v>2</v>
      </c>
      <c r="I16" s="140" t="s">
        <v>1267</v>
      </c>
      <c r="J16" s="140" t="s">
        <v>705</v>
      </c>
    </row>
    <row r="17" spans="1:10">
      <c r="A17" s="14"/>
      <c r="B17" s="14"/>
      <c r="C17" s="14"/>
      <c r="D17" s="2"/>
      <c r="J17" s="31"/>
    </row>
    <row r="18" spans="1:10">
      <c r="A18" s="32">
        <v>46053</v>
      </c>
      <c r="B18" s="157">
        <f>CHICLETS!F14</f>
        <v>0.60416666666666696</v>
      </c>
      <c r="C18" s="32" t="str">
        <f>CHICLETS!$G$4</f>
        <v>WOOLLETT FAR RIGHT</v>
      </c>
      <c r="D18" s="140" t="s">
        <v>1391</v>
      </c>
      <c r="E18" s="32" t="str">
        <f>B4</f>
        <v>B1-680 RED</v>
      </c>
      <c r="F18" s="140">
        <v>12</v>
      </c>
      <c r="G18" s="32" t="str">
        <f>B6</f>
        <v>B3-ORANGE COUNTY WPC BLUE</v>
      </c>
      <c r="H18" s="140">
        <v>8</v>
      </c>
      <c r="I18" s="140" t="s">
        <v>1252</v>
      </c>
      <c r="J18" s="140" t="s">
        <v>705</v>
      </c>
    </row>
    <row r="19" spans="1:10">
      <c r="A19" s="32">
        <v>46053</v>
      </c>
      <c r="B19" s="157">
        <f>CHICLETS!F15</f>
        <v>0.63888888888888895</v>
      </c>
      <c r="C19" s="32" t="str">
        <f>CHICLETS!$G$4</f>
        <v>WOOLLETT FAR RIGHT</v>
      </c>
      <c r="D19" s="140" t="s">
        <v>1392</v>
      </c>
      <c r="E19" s="32" t="str">
        <f>A5</f>
        <v>A2-GOLD COAST</v>
      </c>
      <c r="F19" s="140">
        <v>6</v>
      </c>
      <c r="G19" s="32" t="str">
        <f>A6</f>
        <v>A3-LAMORINDA C</v>
      </c>
      <c r="H19" s="140">
        <v>15</v>
      </c>
      <c r="I19" s="140" t="s">
        <v>1261</v>
      </c>
      <c r="J19" s="140" t="s">
        <v>705</v>
      </c>
    </row>
    <row r="20" spans="1:10">
      <c r="A20" s="32">
        <v>46053</v>
      </c>
      <c r="B20" s="157">
        <f>CHICLETS!F16</f>
        <v>0.67361111111111105</v>
      </c>
      <c r="C20" s="32" t="str">
        <f>CHICLETS!$G$4</f>
        <v>WOOLLETT FAR RIGHT</v>
      </c>
      <c r="D20" s="140" t="s">
        <v>1393</v>
      </c>
      <c r="E20" s="32" t="str">
        <f>C4</f>
        <v>C1-NEWPORT BEACH</v>
      </c>
      <c r="F20" s="140">
        <v>8</v>
      </c>
      <c r="G20" s="32" t="str">
        <f>C6</f>
        <v>C3-LAMORINDA B</v>
      </c>
      <c r="H20" s="140">
        <v>7</v>
      </c>
      <c r="I20" s="140" t="s">
        <v>1254</v>
      </c>
      <c r="J20" s="140" t="s">
        <v>705</v>
      </c>
    </row>
    <row r="21" spans="1:10">
      <c r="A21" s="32">
        <v>46053</v>
      </c>
      <c r="B21" s="157">
        <f>CHICLETS!F17</f>
        <v>0.70833333333333404</v>
      </c>
      <c r="C21" s="32" t="str">
        <f>CHICLETS!$G$4</f>
        <v>WOOLLETT FAR RIGHT</v>
      </c>
      <c r="D21" s="140" t="s">
        <v>1394</v>
      </c>
      <c r="E21" s="32" t="str">
        <f>D5</f>
        <v>D2-LA JOLLA UNITED</v>
      </c>
      <c r="F21" s="140">
        <v>7</v>
      </c>
      <c r="G21" s="32" t="str">
        <f>D6</f>
        <v>D3-NORTH IRVINE</v>
      </c>
      <c r="H21" s="140">
        <v>2</v>
      </c>
      <c r="I21" s="140" t="s">
        <v>1258</v>
      </c>
      <c r="J21" s="140" t="s">
        <v>705</v>
      </c>
    </row>
    <row r="22" spans="1:10">
      <c r="A22" s="32">
        <v>46053</v>
      </c>
      <c r="B22" s="157">
        <f>CHICLETS!F18</f>
        <v>0.74305555555555602</v>
      </c>
      <c r="C22" s="32" t="str">
        <f>CHICLETS!$G$4</f>
        <v>WOOLLETT FAR RIGHT</v>
      </c>
      <c r="D22" s="140" t="s">
        <v>1395</v>
      </c>
      <c r="E22" s="32" t="str">
        <f>B5</f>
        <v>B2-SOUTH COAST RED</v>
      </c>
      <c r="F22" s="140">
        <v>11</v>
      </c>
      <c r="G22" s="32" t="str">
        <f>B6</f>
        <v>B3-ORANGE COUNTY WPC BLUE</v>
      </c>
      <c r="H22" s="140">
        <v>13</v>
      </c>
      <c r="I22" s="140" t="s">
        <v>1263</v>
      </c>
      <c r="J22" s="140" t="s">
        <v>705</v>
      </c>
    </row>
    <row r="23" spans="1:10">
      <c r="A23" s="32">
        <v>46053</v>
      </c>
      <c r="B23" s="157">
        <f>CHICLETS!F19</f>
        <v>0.77777777777777801</v>
      </c>
      <c r="C23" s="32" t="str">
        <f>CHICLETS!$G$4</f>
        <v>WOOLLETT FAR RIGHT</v>
      </c>
      <c r="D23" s="140" t="s">
        <v>1396</v>
      </c>
      <c r="E23" s="32" t="str">
        <f>C4</f>
        <v>C1-NEWPORT BEACH</v>
      </c>
      <c r="F23" s="140">
        <v>10</v>
      </c>
      <c r="G23" s="32" t="str">
        <f>C5</f>
        <v>C2-DAVIS</v>
      </c>
      <c r="H23" s="140">
        <v>1</v>
      </c>
      <c r="I23" s="140" t="s">
        <v>1275</v>
      </c>
      <c r="J23" s="140" t="s">
        <v>705</v>
      </c>
    </row>
    <row r="24" spans="1:10">
      <c r="A24" s="163"/>
      <c r="B24" s="164"/>
      <c r="C24" s="163"/>
      <c r="D24" s="162"/>
      <c r="J24" s="162"/>
    </row>
    <row r="25" spans="1:10">
      <c r="A25" s="160"/>
      <c r="B25" s="161"/>
      <c r="C25" s="160"/>
      <c r="D25" s="158"/>
      <c r="E25" s="159"/>
      <c r="F25" s="159"/>
      <c r="G25" s="159"/>
      <c r="H25" s="159"/>
      <c r="I25" s="159"/>
      <c r="J25" s="158"/>
    </row>
    <row r="26" spans="1:10">
      <c r="A26" s="8"/>
      <c r="B26" s="116"/>
      <c r="C26" s="8"/>
      <c r="D26" s="8"/>
      <c r="E26" s="8"/>
      <c r="F26" s="8"/>
      <c r="G26" s="8"/>
      <c r="H26" s="8"/>
      <c r="I26" s="8"/>
      <c r="J26" s="8"/>
    </row>
    <row r="27" spans="1:10">
      <c r="A27" s="32">
        <v>46054</v>
      </c>
      <c r="B27" s="157">
        <f>CHICLETS!F27</f>
        <v>0.29166666666666669</v>
      </c>
      <c r="C27" s="32" t="str">
        <f>CHICLETS!$G$26</f>
        <v>WOOLLETT FAR RIGHT</v>
      </c>
      <c r="D27" s="140" t="s">
        <v>1397</v>
      </c>
      <c r="E27" s="32" t="s">
        <v>1398</v>
      </c>
      <c r="F27" s="140">
        <v>3</v>
      </c>
      <c r="G27" s="32" t="s">
        <v>1399</v>
      </c>
      <c r="H27" s="140">
        <v>7</v>
      </c>
      <c r="I27" s="140" t="s">
        <v>1400</v>
      </c>
      <c r="J27" s="140" t="s">
        <v>705</v>
      </c>
    </row>
    <row r="28" spans="1:10">
      <c r="A28" s="32">
        <v>46054</v>
      </c>
      <c r="B28" s="157">
        <f>CHICLETS!F28</f>
        <v>0.3263888888888889</v>
      </c>
      <c r="C28" s="32" t="str">
        <f>CHICLETS!$G$26</f>
        <v>WOOLLETT FAR RIGHT</v>
      </c>
      <c r="D28" s="140" t="s">
        <v>1401</v>
      </c>
      <c r="E28" s="32" t="s">
        <v>1402</v>
      </c>
      <c r="F28" s="140">
        <v>0</v>
      </c>
      <c r="G28" s="32" t="s">
        <v>1403</v>
      </c>
      <c r="H28" s="140">
        <v>16</v>
      </c>
      <c r="I28" s="140" t="s">
        <v>1404</v>
      </c>
      <c r="J28" s="140" t="s">
        <v>705</v>
      </c>
    </row>
    <row r="29" spans="1:10">
      <c r="A29" s="32">
        <v>46054</v>
      </c>
      <c r="B29" s="157">
        <f>CHICLETS!F29</f>
        <v>0.36111111111111099</v>
      </c>
      <c r="C29" s="32" t="str">
        <f>CHICLETS!$G$26</f>
        <v>WOOLLETT FAR RIGHT</v>
      </c>
      <c r="D29" s="140" t="s">
        <v>1405</v>
      </c>
      <c r="E29" s="32" t="s">
        <v>1406</v>
      </c>
      <c r="F29" s="140">
        <v>12</v>
      </c>
      <c r="G29" s="32" t="s">
        <v>1407</v>
      </c>
      <c r="H29" s="140">
        <v>2</v>
      </c>
      <c r="I29" s="140" t="s">
        <v>1408</v>
      </c>
      <c r="J29" s="140" t="s">
        <v>705</v>
      </c>
    </row>
    <row r="30" spans="1:10">
      <c r="A30" s="32">
        <v>46054</v>
      </c>
      <c r="B30" s="157">
        <f>CHICLETS!F30</f>
        <v>0.39583333333333398</v>
      </c>
      <c r="C30" s="32" t="str">
        <f>CHICLETS!$G$26</f>
        <v>WOOLLETT FAR RIGHT</v>
      </c>
      <c r="D30" s="140" t="s">
        <v>1409</v>
      </c>
      <c r="E30" s="32" t="s">
        <v>1410</v>
      </c>
      <c r="F30" s="140">
        <v>13</v>
      </c>
      <c r="G30" s="32" t="s">
        <v>1411</v>
      </c>
      <c r="H30" s="140">
        <v>9</v>
      </c>
      <c r="I30" s="140" t="s">
        <v>1412</v>
      </c>
      <c r="J30" s="140" t="s">
        <v>705</v>
      </c>
    </row>
    <row r="31" spans="1:10">
      <c r="A31" s="32">
        <v>46054</v>
      </c>
      <c r="B31" s="157">
        <f>CHICLETS!F31</f>
        <v>0.43055555555555602</v>
      </c>
      <c r="C31" s="32" t="str">
        <f>CHICLETS!$G$26</f>
        <v>WOOLLETT FAR RIGHT</v>
      </c>
      <c r="D31" s="140" t="s">
        <v>1413</v>
      </c>
      <c r="E31" s="32" t="s">
        <v>1414</v>
      </c>
      <c r="F31" s="140">
        <v>7</v>
      </c>
      <c r="G31" s="32" t="s">
        <v>1415</v>
      </c>
      <c r="H31" s="140">
        <v>2</v>
      </c>
      <c r="I31" s="140" t="s">
        <v>1416</v>
      </c>
      <c r="J31" s="140" t="s">
        <v>705</v>
      </c>
    </row>
    <row r="32" spans="1:10">
      <c r="A32" s="32">
        <v>46054</v>
      </c>
      <c r="B32" s="157">
        <f>CHICLETS!F32</f>
        <v>0.46527777777777801</v>
      </c>
      <c r="C32" s="32" t="str">
        <f>CHICLETS!$G$26</f>
        <v>WOOLLETT FAR RIGHT</v>
      </c>
      <c r="D32" s="140" t="s">
        <v>1417</v>
      </c>
      <c r="E32" s="32" t="s">
        <v>1418</v>
      </c>
      <c r="F32" s="140">
        <v>4</v>
      </c>
      <c r="G32" s="32" t="s">
        <v>1419</v>
      </c>
      <c r="H32" s="140">
        <v>2</v>
      </c>
      <c r="I32" s="140" t="s">
        <v>1420</v>
      </c>
      <c r="J32" s="140" t="s">
        <v>705</v>
      </c>
    </row>
    <row r="33" spans="1:10">
      <c r="A33" s="32">
        <v>46054</v>
      </c>
      <c r="B33" s="157">
        <f>CHICLETS!F33</f>
        <v>0.5</v>
      </c>
      <c r="C33" s="32" t="str">
        <f>CHICLETS!$G$26</f>
        <v>WOOLLETT FAR RIGHT</v>
      </c>
      <c r="D33" s="140" t="s">
        <v>1421</v>
      </c>
      <c r="E33" s="32" t="str">
        <f>IF(F28="","W#21-",IF(F28&gt;H28,_xlfn.CONCAT("W#21-",RIGHT(E28,LEN(E28) - FIND("-",E28))), _xlfn.CONCAT("W#21-",RIGHT(G28,LEN(G28) - FIND("-",G28)))))</f>
        <v>W#21-NORTH IRVINE</v>
      </c>
      <c r="F33" s="140">
        <v>6</v>
      </c>
      <c r="G33" s="32" t="str">
        <f>IF(F29="","W#22-",IF(F29&gt;H29,_xlfn.CONCAT("W#22-",RIGHT(E29,LEN(E29) - FIND("-",E29))), _xlfn.CONCAT("W#22-",RIGHT(G29,LEN(G29) - FIND("-",G29)))))</f>
        <v>W#22-SOUTH COAST RED</v>
      </c>
      <c r="H33" s="140">
        <v>10</v>
      </c>
      <c r="I33" s="140" t="s">
        <v>1422</v>
      </c>
      <c r="J33" s="140" t="s">
        <v>705</v>
      </c>
    </row>
    <row r="34" spans="1:10">
      <c r="A34" s="32">
        <v>46054</v>
      </c>
      <c r="B34" s="157">
        <f>CHICLETS!F34</f>
        <v>0.53472222222222199</v>
      </c>
      <c r="C34" s="32" t="str">
        <f>CHICLETS!$G$26</f>
        <v>WOOLLETT FAR RIGHT</v>
      </c>
      <c r="D34" s="140" t="s">
        <v>1423</v>
      </c>
      <c r="E34" s="32" t="str">
        <f>IF(F27="","W#15-",IF(F27&gt;H27,_xlfn.CONCAT("W#15-",RIGHT(E27,LEN(E27) - FIND("-",E27))), _xlfn.CONCAT("W#15-",RIGHT(G27,LEN(G27) - FIND("-",G27)))))</f>
        <v xml:space="preserve">W#15-LA JOLLA UNITED	</v>
      </c>
      <c r="F34" s="140">
        <v>3</v>
      </c>
      <c r="G34" s="32" t="str">
        <f>IF(F30="","W#16-",IF(F30&gt;H30,_xlfn.CONCAT("W#16-",RIGHT(E30,LEN(E30) - FIND("-",E30))), _xlfn.CONCAT("W#16-",RIGHT(G30,LEN(G30) - FIND("-",G30)))))</f>
        <v xml:space="preserve">W#16-ORANGE COUNTY WPC BLUE	</v>
      </c>
      <c r="H34" s="140">
        <v>13</v>
      </c>
      <c r="I34" s="140" t="s">
        <v>1351</v>
      </c>
      <c r="J34" s="140" t="s">
        <v>705</v>
      </c>
    </row>
    <row r="35" spans="1:10">
      <c r="A35" s="32">
        <v>46054</v>
      </c>
      <c r="B35" s="157">
        <f>CHICLETS!F35</f>
        <v>0.56944444444444497</v>
      </c>
      <c r="C35" s="32" t="str">
        <f>CHICLETS!$G$26</f>
        <v>WOOLLETT FAR RIGHT</v>
      </c>
      <c r="D35" s="140" t="s">
        <v>1424</v>
      </c>
      <c r="E35" s="32" t="str">
        <f>IF(F28="","L#21-",IF(F28&lt;H28,_xlfn.CONCAT("L#21-",RIGHT(E28,LEN(E28) - FIND("-",E28))), _xlfn.CONCAT("L#21-",RIGHT(G28,LEN(G28) - FIND("-",G28)))))</f>
        <v>L#21-GOLD COAST</v>
      </c>
      <c r="F35" s="140">
        <v>4</v>
      </c>
      <c r="G35" s="32" t="str">
        <f>IF(F29="","L#22-",IF(F29&lt;H29,_xlfn.CONCAT("L#22-",RIGHT(E29,LEN(E29) - FIND("-",E29))), _xlfn.CONCAT("L#22-",RIGHT(G29,LEN(G29) - FIND("-",G29)))))</f>
        <v>L#22-DAVIS</v>
      </c>
      <c r="H35" s="140">
        <v>16</v>
      </c>
      <c r="I35" s="140" t="s">
        <v>1425</v>
      </c>
      <c r="J35" s="140" t="s">
        <v>705</v>
      </c>
    </row>
    <row r="36" spans="1:10">
      <c r="A36" s="32">
        <v>46054</v>
      </c>
      <c r="B36" s="157">
        <f>CHICLETS!F36</f>
        <v>0.60416666666666696</v>
      </c>
      <c r="C36" s="32" t="str">
        <f>CHICLETS!$G$26</f>
        <v>WOOLLETT FAR RIGHT</v>
      </c>
      <c r="D36" s="140" t="s">
        <v>1426</v>
      </c>
      <c r="E36" s="32" t="str">
        <f>IF(F27="","L#15-",IF(F27&lt;H27,_xlfn.CONCAT("L#15-",RIGHT(E27,LEN(E27) - FIND("-",E27))), _xlfn.CONCAT("L#15-",RIGHT(G27,LEN(G27) - FIND("-",G27)))))</f>
        <v>L#15-LAMORINDA C</v>
      </c>
      <c r="F36" s="140">
        <v>5</v>
      </c>
      <c r="G36" s="32" t="str">
        <f>IF(F30="","L#16-",IF(F30&lt;H30,_xlfn.CONCAT("L#16-",RIGHT(E30,LEN(E30) - FIND("-",E30))), _xlfn.CONCAT("L#16-",RIGHT(G30,LEN(G30) - FIND("-",G30)))))</f>
        <v>L#16-LAMORINDA B</v>
      </c>
      <c r="H36" s="140">
        <v>18</v>
      </c>
      <c r="I36" s="140" t="s">
        <v>1347</v>
      </c>
      <c r="J36" s="140" t="s">
        <v>705</v>
      </c>
    </row>
    <row r="37" spans="1:10">
      <c r="A37" s="32">
        <v>46054</v>
      </c>
      <c r="B37" s="157">
        <f>CHICLETS!F37</f>
        <v>0.63888888888888895</v>
      </c>
      <c r="C37" s="32" t="str">
        <f>CHICLETS!$G$26</f>
        <v>WOOLLETT FAR RIGHT</v>
      </c>
      <c r="D37" s="140" t="s">
        <v>1427</v>
      </c>
      <c r="E37" s="32" t="str">
        <f>IF(F31="","L#13-",IF(F31&lt;H31,_xlfn.CONCAT("L#13-",RIGHT(E31,LEN(E31) - FIND("-",E31))), _xlfn.CONCAT("L#13-",RIGHT(G31,LEN(G31) - FIND("-",G31)))))</f>
        <v>L#13-SHAQ</v>
      </c>
      <c r="F37" s="140">
        <v>3</v>
      </c>
      <c r="G37" s="32" t="str">
        <f>IF(F32="","L#14-",IF(F32&lt;H32,_xlfn.CONCAT("L#14-",RIGHT(E32,LEN(E32) - FIND("-",E32))), _xlfn.CONCAT("L#14-",RIGHT(G32,LEN(G32) - FIND("-",G32)))))</f>
        <v>L#14-NEWPORT BEACH</v>
      </c>
      <c r="H37" s="140">
        <v>2</v>
      </c>
      <c r="I37" s="140" t="s">
        <v>1314</v>
      </c>
      <c r="J37" s="140" t="s">
        <v>705</v>
      </c>
    </row>
    <row r="38" spans="1:10">
      <c r="A38" s="32">
        <v>46054</v>
      </c>
      <c r="B38" s="157">
        <f>CHICLETS!F38</f>
        <v>0.67361111111111105</v>
      </c>
      <c r="C38" s="32" t="str">
        <f>CHICLETS!$G$26</f>
        <v>WOOLLETT FAR RIGHT</v>
      </c>
      <c r="D38" s="140" t="s">
        <v>1428</v>
      </c>
      <c r="E38" s="32" t="str">
        <f>IF(F31="","W#13-",IF(F31&gt;H31,_xlfn.CONCAT("W#13-",RIGHT(E31,LEN(E31) - FIND("-",E31))), _xlfn.CONCAT("W#13-",RIGHT(G31,LEN(G31) - FIND("-",G31)))))</f>
        <v>W#13-BACK BAY NAVY</v>
      </c>
      <c r="F38" s="140">
        <v>4</v>
      </c>
      <c r="G38" s="32" t="str">
        <f>IF(F32="","W#14-",IF(F32&gt;H32,_xlfn.CONCAT("W#14-",RIGHT(E32,LEN(E32) - FIND("-",E32))), _xlfn.CONCAT("W#14-",RIGHT(G32,LEN(G32) - FIND("-",G32)))))</f>
        <v>W#14-680 RED</v>
      </c>
      <c r="H38" s="140">
        <v>13</v>
      </c>
      <c r="I38" s="140" t="s">
        <v>1312</v>
      </c>
      <c r="J38" s="140" t="s">
        <v>705</v>
      </c>
    </row>
    <row r="40" spans="1:10">
      <c r="I40" s="140" t="s">
        <v>1312</v>
      </c>
      <c r="J40" s="140" t="s">
        <v>690</v>
      </c>
    </row>
    <row r="41" spans="1:10">
      <c r="I41" s="140" t="s">
        <v>1313</v>
      </c>
      <c r="J41" s="140" t="s">
        <v>706</v>
      </c>
    </row>
    <row r="42" spans="1:10">
      <c r="I42" s="140" t="s">
        <v>1314</v>
      </c>
      <c r="J42" s="140" t="s">
        <v>231</v>
      </c>
    </row>
  </sheetData>
  <hyperlinks>
    <hyperlink ref="B2" r:id="rId1" xr:uid="{96BB58F0-5F1A-41CC-8FEE-8414986700AC}"/>
    <hyperlink ref="C2" r:id="rId2" xr:uid="{FEB904D6-A84C-4C55-B267-22A21BA537AA}"/>
    <hyperlink ref="A2" r:id="rId3" xr:uid="{02B188D0-3041-4644-BB63-5879AF3D503F}"/>
  </hyperlinks>
  <pageMargins left="0.7" right="0.7" top="0.75" bottom="0.75" header="0.3" footer="0.3"/>
  <pageSetup scale="85" orientation="landscape"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9C13B-3BB8-46BE-93A0-02C4BA068125}">
  <sheetPr>
    <tabColor rgb="FF99FF33"/>
    <pageSetUpPr fitToPage="1"/>
  </sheetPr>
  <dimension ref="A1:K108"/>
  <sheetViews>
    <sheetView workbookViewId="0"/>
  </sheetViews>
  <sheetFormatPr defaultColWidth="9.140625" defaultRowHeight="18"/>
  <cols>
    <col min="1" max="1" width="46.140625" style="2" bestFit="1" customWidth="1"/>
    <col min="2" max="2" width="43.85546875" style="2" bestFit="1" customWidth="1"/>
    <col min="3" max="3" width="47" style="2" bestFit="1" customWidth="1"/>
    <col min="4" max="4" width="37.5703125" style="2" bestFit="1" customWidth="1"/>
    <col min="5" max="5" width="47" style="2" bestFit="1" customWidth="1"/>
    <col min="6" max="6" width="37.140625" style="2" bestFit="1" customWidth="1"/>
    <col min="7" max="7" width="46.140625" style="2" bestFit="1" customWidth="1"/>
    <col min="8" max="8" width="38.7109375" style="2" bestFit="1" customWidth="1"/>
    <col min="9" max="9" width="32.140625" style="2" customWidth="1"/>
    <col min="10" max="10" width="39.42578125" style="2" bestFit="1" customWidth="1"/>
    <col min="11" max="16384" width="9.140625" style="2"/>
  </cols>
  <sheetData>
    <row r="1" spans="1:10">
      <c r="A1" s="14" t="s">
        <v>69</v>
      </c>
      <c r="B1" s="8" t="s">
        <v>1429</v>
      </c>
      <c r="C1" s="120" t="s">
        <v>1383</v>
      </c>
      <c r="D1" s="8" t="s">
        <v>1430</v>
      </c>
      <c r="H1" s="8"/>
      <c r="I1" s="148"/>
    </row>
    <row r="2" spans="1:10">
      <c r="A2" s="119" t="s">
        <v>1237</v>
      </c>
      <c r="B2" s="118" t="s">
        <v>1238</v>
      </c>
      <c r="C2" s="117" t="s">
        <v>1239</v>
      </c>
      <c r="D2" s="8"/>
      <c r="H2" s="8"/>
      <c r="I2" s="148"/>
    </row>
    <row r="3" spans="1:10">
      <c r="A3" s="25" t="s">
        <v>644</v>
      </c>
      <c r="B3" s="25" t="s">
        <v>645</v>
      </c>
      <c r="C3" s="25" t="s">
        <v>646</v>
      </c>
      <c r="D3" s="26" t="s">
        <v>647</v>
      </c>
      <c r="E3" s="26" t="s">
        <v>723</v>
      </c>
      <c r="F3" s="26" t="s">
        <v>724</v>
      </c>
      <c r="H3" s="8"/>
    </row>
    <row r="4" spans="1:10">
      <c r="A4" s="27">
        <v>1</v>
      </c>
      <c r="B4" s="27">
        <v>4</v>
      </c>
      <c r="C4" s="27">
        <v>5</v>
      </c>
      <c r="D4" s="28">
        <v>2</v>
      </c>
      <c r="E4" s="28">
        <v>3</v>
      </c>
      <c r="F4" s="28">
        <v>6</v>
      </c>
    </row>
    <row r="5" spans="1:10">
      <c r="A5" s="27">
        <v>12</v>
      </c>
      <c r="B5" s="27">
        <v>9</v>
      </c>
      <c r="C5" s="27">
        <v>8</v>
      </c>
      <c r="D5" s="28">
        <v>11</v>
      </c>
      <c r="E5" s="28">
        <v>10</v>
      </c>
      <c r="F5" s="28">
        <v>7</v>
      </c>
    </row>
    <row r="6" spans="1:10">
      <c r="A6" s="27">
        <v>13</v>
      </c>
      <c r="B6" s="27">
        <v>16</v>
      </c>
      <c r="C6" s="27">
        <v>17</v>
      </c>
      <c r="D6" s="28">
        <v>14</v>
      </c>
      <c r="E6" s="28">
        <v>15</v>
      </c>
      <c r="F6" s="28">
        <v>18</v>
      </c>
    </row>
    <row r="7" spans="1:10">
      <c r="B7" s="27">
        <v>21</v>
      </c>
      <c r="C7" s="27">
        <v>20</v>
      </c>
      <c r="D7" s="28">
        <v>23</v>
      </c>
      <c r="E7" s="28">
        <v>22</v>
      </c>
      <c r="F7" s="28">
        <v>19</v>
      </c>
    </row>
    <row r="9" spans="1:10">
      <c r="A9" s="25" t="s">
        <v>644</v>
      </c>
      <c r="B9" s="25" t="s">
        <v>645</v>
      </c>
      <c r="C9" s="25" t="s">
        <v>646</v>
      </c>
      <c r="D9" s="26" t="s">
        <v>647</v>
      </c>
      <c r="E9" s="26" t="s">
        <v>723</v>
      </c>
      <c r="F9" s="26" t="s">
        <v>724</v>
      </c>
    </row>
    <row r="10" spans="1:10">
      <c r="A10" s="29" t="s">
        <v>731</v>
      </c>
      <c r="B10" s="29" t="s">
        <v>1431</v>
      </c>
      <c r="C10" s="29" t="s">
        <v>1432</v>
      </c>
      <c r="D10" s="30" t="s">
        <v>1433</v>
      </c>
      <c r="E10" s="30" t="s">
        <v>1434</v>
      </c>
      <c r="F10" s="30" t="s">
        <v>1435</v>
      </c>
    </row>
    <row r="11" spans="1:10">
      <c r="A11" s="29" t="s">
        <v>1436</v>
      </c>
      <c r="B11" s="29" t="s">
        <v>1437</v>
      </c>
      <c r="C11" s="29" t="s">
        <v>1438</v>
      </c>
      <c r="D11" s="30" t="s">
        <v>1439</v>
      </c>
      <c r="E11" s="30" t="s">
        <v>1440</v>
      </c>
      <c r="F11" s="30" t="s">
        <v>1441</v>
      </c>
    </row>
    <row r="12" spans="1:10">
      <c r="A12" s="29" t="s">
        <v>1442</v>
      </c>
      <c r="B12" s="29" t="s">
        <v>1443</v>
      </c>
      <c r="C12" s="29" t="s">
        <v>1444</v>
      </c>
      <c r="D12" s="30" t="s">
        <v>1445</v>
      </c>
      <c r="E12" s="30" t="s">
        <v>1446</v>
      </c>
      <c r="F12" s="30" t="s">
        <v>1447</v>
      </c>
    </row>
    <row r="13" spans="1:10">
      <c r="A13" s="14"/>
      <c r="B13" s="29" t="s">
        <v>1448</v>
      </c>
      <c r="C13" s="29" t="s">
        <v>1449</v>
      </c>
      <c r="D13" s="28" t="s">
        <v>1450</v>
      </c>
      <c r="E13" s="30" t="s">
        <v>1451</v>
      </c>
      <c r="F13" s="30" t="s">
        <v>1452</v>
      </c>
    </row>
    <row r="14" spans="1:10">
      <c r="B14" s="14"/>
      <c r="C14" s="14"/>
      <c r="D14" s="14"/>
      <c r="E14" s="14"/>
      <c r="F14" s="14"/>
      <c r="H14" s="31"/>
      <c r="I14" s="31"/>
      <c r="J14" s="31"/>
    </row>
    <row r="15" spans="1:10">
      <c r="A15" s="8" t="s">
        <v>1057</v>
      </c>
      <c r="B15" s="8" t="s">
        <v>1058</v>
      </c>
      <c r="C15" s="8" t="s">
        <v>1059</v>
      </c>
      <c r="D15" s="8" t="s">
        <v>1060</v>
      </c>
      <c r="E15" s="8" t="s">
        <v>1061</v>
      </c>
      <c r="F15" s="8" t="s">
        <v>1453</v>
      </c>
      <c r="G15" s="8" t="s">
        <v>1454</v>
      </c>
      <c r="H15" s="31"/>
      <c r="I15" s="31"/>
      <c r="J15" s="31"/>
    </row>
    <row r="16" spans="1:10">
      <c r="A16" s="2" t="s">
        <v>848</v>
      </c>
      <c r="B16" s="2" t="s">
        <v>849</v>
      </c>
      <c r="C16" s="2" t="s">
        <v>1063</v>
      </c>
      <c r="D16" s="2" t="s">
        <v>1064</v>
      </c>
      <c r="E16" s="2" t="s">
        <v>1065</v>
      </c>
      <c r="F16" s="2" t="s">
        <v>986</v>
      </c>
      <c r="G16" s="7" t="str">
        <f>IF(F54="","M1(4thF)-",IF(F54&lt;H54,_xlfn.CONCAT("M1(4thF)-",RIGHT(E54,LEN(E54) - FIND("-",E54))), _xlfn.CONCAT("M1(4thF)-",RIGHT(G54,LEN(G54) - FIND("-",G54)))))</f>
        <v>M1(4thF)-</v>
      </c>
      <c r="H16" s="31" t="str">
        <f>G16</f>
        <v>M1(4thF)-</v>
      </c>
      <c r="I16" s="31" t="str">
        <f>G20</f>
        <v>M5(4thD)-</v>
      </c>
      <c r="J16" s="31"/>
    </row>
    <row r="17" spans="1:10">
      <c r="A17" s="2" t="str">
        <f>IF(F37="","G2(1stB)-",IF(F37&gt;H37,_xlfn.CONCAT("G2(1stB)-",RIGHT(E37,LEN(E37) - FIND("-",E37))), _xlfn.CONCAT("G2(1stB)-",RIGHT(G37,LEN(G37) - FIND("-",G37)))))</f>
        <v>G2(1stB)-</v>
      </c>
      <c r="B17" s="2" t="str">
        <f>IF(F51="","H2(1stE)-",IF(F51&gt;H51,_xlfn.CONCAT("H2(1stE)-",RIGHT(E51,LEN(E51) - FIND("-",E51))), _xlfn.CONCAT("H2(1stE)-",RIGHT(G51,LEN(G51) - FIND("-",G51)))))</f>
        <v>H2(1stE)-</v>
      </c>
      <c r="C17" s="2" t="str">
        <f>IF(F37="","I2(2ndB)-",IF(F37&lt;H37,_xlfn.CONCAT("I2(2ndB)-",RIGHT(E37,LEN(E37) - FIND("-",E37))), _xlfn.CONCAT("I2(2ndB)-",RIGHT(G37,LEN(G37) - FIND("-",G37)))))</f>
        <v>I2(2ndB)-</v>
      </c>
      <c r="D17" s="2" t="str">
        <f>IF(F51="","J2(2ndE)-",IF(F51&lt;H51,_xlfn.CONCAT("J2(2ndE-",RIGHT(E51,LEN(E51) - FIND("-",E51))), _xlfn.CONCAT("J2(2ndE-",RIGHT(G51,LEN(G51) - FIND("-",G51)))))</f>
        <v>J2(2ndE)-</v>
      </c>
      <c r="E17" s="2" t="str">
        <f>IF(F38="","K2(3rdB)-",IF(F38&gt;H38,_xlfn.CONCAT("K2(3rdB)-",RIGHT(E38,LEN(E38) - FIND("-",E38))), _xlfn.CONCAT("K2(3rdB)-",RIGHT(G38,LEN(G38) - FIND("-",G38)))))</f>
        <v>K2(3rdB)-</v>
      </c>
      <c r="F17" s="2" t="str">
        <f>IF(F52="","L2(3rdE)-",IF(F52&gt;H52,_xlfn.CONCAT("L2(3rdE)-",RIGHT(E52,LEN(E52) - FIND("-",E52))), _xlfn.CONCAT("L2(3rdE)-",RIGHT(G52,LEN(G52) - FIND("-",G52)))))</f>
        <v>L2(3rdE)-</v>
      </c>
      <c r="G17" s="7" t="str">
        <f>IF(F36="","M2(4thC)-",IF(F36&lt;H36,_xlfn.CONCAT("M2(4thC)-",RIGHT(E36,LEN(E36) - FIND("-",E36))), _xlfn.CONCAT("M2(4thC)-",RIGHT(G36,LEN(G36) - FIND("-",G36)))))</f>
        <v>M2(4thC)-</v>
      </c>
      <c r="H17" s="31" t="str">
        <f>G17</f>
        <v>M2(4thC)-</v>
      </c>
      <c r="I17" s="31" t="str">
        <f>G19</f>
        <v>M4(4thE)-</v>
      </c>
      <c r="J17" s="31"/>
    </row>
    <row r="18" spans="1:10">
      <c r="A18" s="2" t="str">
        <f>IF(F35="","G3(1stC)-",IF(F35&gt;H35,_xlfn.CONCAT("G2(1stC)-",RIGHT(E35,LEN(E35) - FIND("-",E35))), _xlfn.CONCAT("G2(1stC)-",RIGHT(G35,LEN(G35) - FIND("-",G35)))))</f>
        <v>G3(1stC)-</v>
      </c>
      <c r="B18" s="2" t="str">
        <f>IF(F53="","H3(1stF)-",IF(F53&gt;H53,_xlfn.CONCAT("H3(1stF)-",RIGHT(E53,LEN(E53) - FIND("-",E53))), _xlfn.CONCAT("H3(1stF)-",RIGHT(G53,LEN(G53) - FIND("-",G53)))))</f>
        <v>H3(1stF)-</v>
      </c>
      <c r="C18" s="2" t="str">
        <f>IF(F35="","I3(2ndC)-",IF(F35&lt;H35,_xlfn.CONCAT("I3(2ndC)-",RIGHT(E35,LEN(E35) - FIND("-",E35))), _xlfn.CONCAT("I3(2ndC)-",RIGHT(G35,LEN(G35) - FIND("-",G35)))))</f>
        <v>I3(2ndC)-</v>
      </c>
      <c r="D18" s="2" t="str">
        <f>IF(F53="","J3(2ndF)-",IF(F53&lt;H53,_xlfn.CONCAT("J3(2ndF)-",RIGHT(E53,LEN(E53) - FIND("-",E53))), _xlfn.CONCAT("J3(2ndF)-",RIGHT(G53,LEN(G53) - FIND("-",G53)))))</f>
        <v>J3(2ndF)-</v>
      </c>
      <c r="E18" s="2" t="str">
        <f>IF(F36="","K3(3rdC)-",IF(F36&gt;H36,_xlfn.CONCAT("K3(3rdC)-",RIGHT(E36,LEN(E36) - FIND("-",E36))), _xlfn.CONCAT("K3(3rdC)-",RIGHT(G36,LEN(G36) - FIND("-",G36)))))</f>
        <v>K3(3rdC)-</v>
      </c>
      <c r="F18" s="2" t="str">
        <f>IF(F54="","L3(3rdF)-",IF(F54&gt;H54,_xlfn.CONCAT("L3(3rdF)-",RIGHT(E54,LEN(E54) - FIND("-",E54))), _xlfn.CONCAT("L3(3rdF)-",RIGHT(G54,LEN(G54) - FIND("-",G54)))))</f>
        <v>L3(3rdF)-</v>
      </c>
      <c r="G18" s="7" t="str">
        <f>IF(F38="","M3(4thB)-",IF(F38&lt;H38,_xlfn.CONCAT("M3(4thB)-",RIGHT(E38,LEN(E38) - FIND("-",E38))), _xlfn.CONCAT("M3(4thB)-",RIGHT(G38,LEN(G38) - FIND("-",G38)))))</f>
        <v>M3(4thB)-</v>
      </c>
      <c r="H18" s="31"/>
      <c r="I18" s="31"/>
      <c r="J18" s="31"/>
    </row>
    <row r="19" spans="1:10">
      <c r="A19" s="2" t="s">
        <v>1455</v>
      </c>
      <c r="B19" s="2" t="s">
        <v>1455</v>
      </c>
      <c r="C19" s="2" t="s">
        <v>1455</v>
      </c>
      <c r="D19" s="2" t="s">
        <v>1455</v>
      </c>
      <c r="E19" s="2" t="s">
        <v>1455</v>
      </c>
      <c r="F19" s="2" t="s">
        <v>1455</v>
      </c>
      <c r="G19" s="7" t="str">
        <f>IF(F52="","M4(4thE)-",IF(F52&lt;H52,_xlfn.CONCAT("M4(4thE)-",RIGHT(E52,LEN(E52) - FIND("-",E52))), _xlfn.CONCAT("M4(4thE)-",RIGHT(G52,LEN(G52) - FIND("-",G52)))))</f>
        <v>M4(4thE)-</v>
      </c>
      <c r="H19" s="31" t="str">
        <f>G16</f>
        <v>M1(4thF)-</v>
      </c>
      <c r="I19" s="31" t="str">
        <f>G18</f>
        <v>M3(4thB)-</v>
      </c>
      <c r="J19" s="31"/>
    </row>
    <row r="20" spans="1:10">
      <c r="G20" s="7" t="s">
        <v>1456</v>
      </c>
      <c r="H20" s="31" t="str">
        <f>G17</f>
        <v>M2(4thC)-</v>
      </c>
      <c r="I20" s="31" t="str">
        <f>G20</f>
        <v>M5(4thD)-</v>
      </c>
      <c r="J20" s="31"/>
    </row>
    <row r="21" spans="1:10">
      <c r="A21" s="8" t="s">
        <v>1076</v>
      </c>
      <c r="B21" s="8" t="s">
        <v>1077</v>
      </c>
      <c r="C21" s="8" t="s">
        <v>1457</v>
      </c>
      <c r="H21" s="31"/>
      <c r="I21" s="31"/>
      <c r="J21" s="31"/>
    </row>
    <row r="22" spans="1:10">
      <c r="A22" s="2" t="s">
        <v>1078</v>
      </c>
      <c r="B22" s="2" t="s">
        <v>1079</v>
      </c>
      <c r="C22" s="2" t="s">
        <v>1458</v>
      </c>
      <c r="H22" s="31" t="str">
        <f>G18</f>
        <v>M3(4thB)-</v>
      </c>
      <c r="I22" s="31" t="str">
        <f>G19</f>
        <v>M4(4thE)-</v>
      </c>
      <c r="J22" s="31"/>
    </row>
    <row r="23" spans="1:10">
      <c r="A23" s="2" t="s">
        <v>1080</v>
      </c>
      <c r="B23" s="2" t="s">
        <v>1081</v>
      </c>
      <c r="C23" s="2" t="s">
        <v>1459</v>
      </c>
      <c r="J23" s="31"/>
    </row>
    <row r="24" spans="1:10">
      <c r="A24" s="4"/>
      <c r="B24" s="4"/>
      <c r="C24" s="4"/>
      <c r="D24" s="4"/>
      <c r="E24" s="4"/>
      <c r="F24" s="4"/>
      <c r="G24" s="4"/>
      <c r="H24" s="183"/>
      <c r="I24" s="183"/>
      <c r="J24" s="183"/>
    </row>
    <row r="26" spans="1:10" s="14" customFormat="1">
      <c r="A26" s="8" t="s">
        <v>1240</v>
      </c>
      <c r="B26" s="116" t="s">
        <v>1241</v>
      </c>
      <c r="C26" s="8" t="s">
        <v>1242</v>
      </c>
      <c r="D26" s="8" t="s">
        <v>1243</v>
      </c>
      <c r="E26" s="8" t="s">
        <v>1244</v>
      </c>
      <c r="F26" s="8" t="s">
        <v>1245</v>
      </c>
      <c r="G26" s="8" t="s">
        <v>1246</v>
      </c>
      <c r="H26" s="8" t="s">
        <v>1245</v>
      </c>
      <c r="I26" s="8" t="s">
        <v>11</v>
      </c>
      <c r="J26" s="8" t="s">
        <v>1180</v>
      </c>
    </row>
    <row r="27" spans="1:10">
      <c r="A27" s="180">
        <v>46053</v>
      </c>
      <c r="B27" s="179">
        <f>CHICLETS!F7</f>
        <v>0.36111111111111099</v>
      </c>
      <c r="C27" s="93" t="str">
        <f>CHICLETS!$G$4</f>
        <v>WOOLLETT FAR RIGHT</v>
      </c>
      <c r="D27" s="34" t="s">
        <v>1460</v>
      </c>
      <c r="E27" s="34" t="str">
        <f>A10</f>
        <v>A1(1)-ORANGE COUNTY WPC BLUE</v>
      </c>
      <c r="F27" s="34"/>
      <c r="G27" s="34" t="str">
        <f>A12</f>
        <v>A3(13)-SAN CLEMENTE BLACK</v>
      </c>
      <c r="H27" s="27"/>
      <c r="I27" s="27" t="s">
        <v>1250</v>
      </c>
      <c r="J27" s="34" t="s">
        <v>722</v>
      </c>
    </row>
    <row r="29" spans="1:10">
      <c r="A29" s="180">
        <v>46053</v>
      </c>
      <c r="B29" s="179">
        <f>CHICLETS!F10</f>
        <v>0.46527777777777801</v>
      </c>
      <c r="C29" s="93" t="str">
        <f>CHICLETS!$J$4</f>
        <v>TUSTIN HS 2</v>
      </c>
      <c r="D29" s="34" t="s">
        <v>1461</v>
      </c>
      <c r="E29" s="34" t="str">
        <f>C10</f>
        <v>5-BACK BAY</v>
      </c>
      <c r="F29" s="34"/>
      <c r="G29" s="34" t="str">
        <f>C13</f>
        <v>20-CC UNITED WHITE</v>
      </c>
      <c r="H29" s="27"/>
      <c r="I29" s="27" t="s">
        <v>1462</v>
      </c>
      <c r="J29" s="34" t="s">
        <v>722</v>
      </c>
    </row>
    <row r="30" spans="1:10">
      <c r="A30" s="180">
        <v>46053</v>
      </c>
      <c r="B30" s="179">
        <f>CHICLETS!F10</f>
        <v>0.46527777777777801</v>
      </c>
      <c r="C30" s="93" t="str">
        <f>CHICLETS!$G$4</f>
        <v>WOOLLETT FAR RIGHT</v>
      </c>
      <c r="D30" s="34" t="s">
        <v>1463</v>
      </c>
      <c r="E30" s="34" t="str">
        <f>A10</f>
        <v>A1(1)-ORANGE COUNTY WPC BLUE</v>
      </c>
      <c r="F30" s="34"/>
      <c r="G30" s="34" t="str">
        <f>A11</f>
        <v>A2(12)-STANFORD BLACK</v>
      </c>
      <c r="H30" s="27"/>
      <c r="I30" s="27" t="s">
        <v>1269</v>
      </c>
      <c r="J30" s="34" t="s">
        <v>722</v>
      </c>
    </row>
    <row r="31" spans="1:10">
      <c r="A31" s="180">
        <v>46053</v>
      </c>
      <c r="B31" s="179">
        <f>CHICLETS!F11</f>
        <v>0.5</v>
      </c>
      <c r="C31" s="93" t="str">
        <f>CHICLETS!$J$4</f>
        <v>TUSTIN HS 2</v>
      </c>
      <c r="D31" s="34" t="s">
        <v>1464</v>
      </c>
      <c r="E31" s="34" t="str">
        <f>C11</f>
        <v>8-GOLD COAST</v>
      </c>
      <c r="F31" s="34"/>
      <c r="G31" s="34" t="str">
        <f>C12</f>
        <v>17-LA JOLLA UNITED GOLD</v>
      </c>
      <c r="H31" s="27"/>
      <c r="I31" s="27" t="s">
        <v>1465</v>
      </c>
      <c r="J31" s="34" t="s">
        <v>722</v>
      </c>
    </row>
    <row r="32" spans="1:10">
      <c r="A32" s="180">
        <v>46053</v>
      </c>
      <c r="B32" s="179">
        <f>CHICLETS!F12</f>
        <v>0.53472222222222199</v>
      </c>
      <c r="C32" s="93" t="str">
        <f>CHICLETS!$J$4</f>
        <v>TUSTIN HS 2</v>
      </c>
      <c r="D32" s="34" t="s">
        <v>1466</v>
      </c>
      <c r="E32" s="34" t="str">
        <f>B10</f>
        <v>4-MARIN</v>
      </c>
      <c r="F32" s="34"/>
      <c r="G32" s="34" t="str">
        <f>B13</f>
        <v>21-LAMORINDA C</v>
      </c>
      <c r="H32" s="27"/>
      <c r="I32" s="27" t="s">
        <v>1467</v>
      </c>
      <c r="J32" s="34" t="s">
        <v>722</v>
      </c>
    </row>
    <row r="33" spans="1:10">
      <c r="A33" s="180">
        <v>46053</v>
      </c>
      <c r="B33" s="179">
        <f>CHICLETS!F13</f>
        <v>0.56944444444444497</v>
      </c>
      <c r="C33" s="93" t="str">
        <f>CHICLETS!$J$4</f>
        <v>TUSTIN HS 2</v>
      </c>
      <c r="D33" s="34" t="s">
        <v>1468</v>
      </c>
      <c r="E33" s="34" t="str">
        <f>B11</f>
        <v>9-SOUTH COAST RED</v>
      </c>
      <c r="F33" s="34"/>
      <c r="G33" s="34" t="str">
        <f>B12</f>
        <v>16-NORTH IRVINE RED</v>
      </c>
      <c r="H33" s="27"/>
      <c r="I33" s="27" t="s">
        <v>1469</v>
      </c>
      <c r="J33" s="34" t="s">
        <v>722</v>
      </c>
    </row>
    <row r="34" spans="1:10">
      <c r="A34" s="180">
        <v>46053</v>
      </c>
      <c r="B34" s="179">
        <f>CHICLETS!F13</f>
        <v>0.56944444444444497</v>
      </c>
      <c r="C34" s="93" t="str">
        <f>CHICLETS!$G$4</f>
        <v>WOOLLETT FAR RIGHT</v>
      </c>
      <c r="D34" s="34" t="s">
        <v>1470</v>
      </c>
      <c r="E34" s="34" t="str">
        <f>A11</f>
        <v>A2(12)-STANFORD BLACK</v>
      </c>
      <c r="F34" s="34"/>
      <c r="G34" s="34" t="str">
        <f>A12</f>
        <v>A3(13)-SAN CLEMENTE BLACK</v>
      </c>
      <c r="H34" s="27"/>
      <c r="I34" s="27" t="s">
        <v>1250</v>
      </c>
      <c r="J34" s="34" t="s">
        <v>722</v>
      </c>
    </row>
    <row r="35" spans="1:10">
      <c r="A35" s="180">
        <v>46053</v>
      </c>
      <c r="B35" s="179">
        <f>CHICLETS!F14</f>
        <v>0.60416666666666696</v>
      </c>
      <c r="C35" s="93" t="str">
        <f>CHICLETS!$J$4</f>
        <v>TUSTIN HS 2</v>
      </c>
      <c r="D35" s="34" t="s">
        <v>1471</v>
      </c>
      <c r="E35" s="34" t="str">
        <f>IF(F29="","W#1-",IF(F29&gt;H29,_xlfn.CONCAT("W#1-",RIGHT(E29,LEN(E29) - FIND("-",E29))), _xlfn.CONCAT("W#1-",RIGHT(G29,LEN(G29) - FIND("-",G29)))))</f>
        <v>W#1-</v>
      </c>
      <c r="F35" s="34"/>
      <c r="G35" s="34" t="str">
        <f>IF(F31="","W#3-",IF(F31&gt;H31,_xlfn.CONCAT("W#3-",RIGHT(E31,LEN(E31) - FIND("-",E31))), _xlfn.CONCAT("W#3-",RIGHT(G31,LEN(G31) - FIND("-",G31)))))</f>
        <v>W#3-</v>
      </c>
      <c r="H35" s="27"/>
      <c r="I35" s="27" t="s">
        <v>1472</v>
      </c>
      <c r="J35" s="34" t="s">
        <v>722</v>
      </c>
    </row>
    <row r="36" spans="1:10">
      <c r="A36" s="180">
        <v>46053</v>
      </c>
      <c r="B36" s="179">
        <f>CHICLETS!F15</f>
        <v>0.63888888888888895</v>
      </c>
      <c r="C36" s="93" t="str">
        <f>CHICLETS!$J$4</f>
        <v>TUSTIN HS 2</v>
      </c>
      <c r="D36" s="34" t="s">
        <v>1473</v>
      </c>
      <c r="E36" s="34" t="str">
        <f>IF(F29="","L#1-",IF(F29&lt;H29,_xlfn.CONCAT("L#1-",RIGHT(E29,LEN(E29) - FIND("-",E29))), _xlfn.CONCAT("L#1-",RIGHT(G29,LEN(G29) - FIND("-",G29)))))</f>
        <v>L#1-</v>
      </c>
      <c r="F36" s="34"/>
      <c r="G36" s="34" t="str">
        <f>IF(F31="","L#3-",IF(F31&lt;H31,_xlfn.CONCAT("L#3-",RIGHT(E31,LEN(E31) - FIND("-",E31))), _xlfn.CONCAT("L#3-",RIGHT(G31,LEN(G31) - FIND("-",G31)))))</f>
        <v>L#3-</v>
      </c>
      <c r="H36" s="27"/>
      <c r="I36" s="27" t="s">
        <v>1474</v>
      </c>
      <c r="J36" s="34" t="s">
        <v>722</v>
      </c>
    </row>
    <row r="37" spans="1:10">
      <c r="A37" s="180">
        <v>46053</v>
      </c>
      <c r="B37" s="179">
        <f>CHICLETS!F16</f>
        <v>0.67361111111111105</v>
      </c>
      <c r="C37" s="93" t="str">
        <f>CHICLETS!$J$4</f>
        <v>TUSTIN HS 2</v>
      </c>
      <c r="D37" s="34" t="s">
        <v>1475</v>
      </c>
      <c r="E37" s="34" t="str">
        <f>IF(F32="","W#7-",IF(F32&gt;H32,_xlfn.CONCAT("W#7-",RIGHT(E32,LEN(E32) - FIND("-",E32))), _xlfn.CONCAT("W#7-",RIGHT(G32,LEN(G32) - FIND("-",G32)))))</f>
        <v>W#7-</v>
      </c>
      <c r="F37" s="34"/>
      <c r="G37" s="34" t="str">
        <f>IF(F33="","W#9-",IF(F33&gt;H33,_xlfn.CONCAT("W#9-",RIGHT(E33,LEN(E33) - FIND("-",E33))), _xlfn.CONCAT("W#9-",RIGHT(G33,LEN(G33) - FIND("-",G33)))))</f>
        <v>W#9-</v>
      </c>
      <c r="H37" s="27"/>
      <c r="I37" s="27" t="s">
        <v>1476</v>
      </c>
      <c r="J37" s="34" t="s">
        <v>722</v>
      </c>
    </row>
    <row r="38" spans="1:10">
      <c r="A38" s="180">
        <v>46053</v>
      </c>
      <c r="B38" s="179">
        <f>CHICLETS!F17</f>
        <v>0.70833333333333404</v>
      </c>
      <c r="C38" s="93" t="str">
        <f>CHICLETS!$J$4</f>
        <v>TUSTIN HS 2</v>
      </c>
      <c r="D38" s="34" t="s">
        <v>1477</v>
      </c>
      <c r="E38" s="34" t="str">
        <f>IF(F32="","L#7-",IF(F32&lt;H32,_xlfn.CONCAT("L#7-",RIGHT(E32,LEN(E32) - FIND("-",E32))), _xlfn.CONCAT("L#7-",RIGHT(G32,LEN(G32) - FIND("-",G32)))))</f>
        <v>L#7-</v>
      </c>
      <c r="F38" s="34"/>
      <c r="G38" s="34" t="str">
        <f>IF(F33="","L#9-",IF(F33&lt;H33,_xlfn.CONCAT("L#9-",RIGHT(E33,LEN(E33) - FIND("-",E33))), _xlfn.CONCAT("L#9-",RIGHT(G33,LEN(G33) - FIND("-",G33)))))</f>
        <v>L#9-</v>
      </c>
      <c r="H38" s="27"/>
      <c r="I38" s="27" t="s">
        <v>1478</v>
      </c>
      <c r="J38" s="34" t="s">
        <v>722</v>
      </c>
    </row>
    <row r="39" spans="1:10">
      <c r="A39" s="180">
        <v>46053</v>
      </c>
      <c r="B39" s="179">
        <f>CHICLETS!F18</f>
        <v>0.74305555555555602</v>
      </c>
      <c r="C39" s="93" t="str">
        <f>CHICLETS!$J$4</f>
        <v>TUSTIN HS 2</v>
      </c>
      <c r="D39" s="34" t="s">
        <v>1479</v>
      </c>
      <c r="E39" s="178" t="str">
        <f>A16</f>
        <v>G1(1stA)-</v>
      </c>
      <c r="F39" s="178"/>
      <c r="G39" s="178" t="str">
        <f>A18</f>
        <v>G3(1stC)-</v>
      </c>
      <c r="H39" s="178"/>
      <c r="I39" s="27" t="s">
        <v>1480</v>
      </c>
      <c r="J39" s="34" t="s">
        <v>722</v>
      </c>
    </row>
    <row r="40" spans="1:10">
      <c r="A40" s="188"/>
      <c r="J40" s="31"/>
    </row>
    <row r="41" spans="1:10">
      <c r="A41" s="188"/>
      <c r="B41" s="188"/>
      <c r="J41" s="31"/>
    </row>
    <row r="42" spans="1:10">
      <c r="A42" s="187">
        <v>46053</v>
      </c>
      <c r="B42" s="175">
        <f>CHICLETS!F7</f>
        <v>0.36111111111111099</v>
      </c>
      <c r="C42" s="186" t="str">
        <f>CHICLETS!$I$4</f>
        <v>COSTA MESA HS 2</v>
      </c>
      <c r="D42" s="91" t="s">
        <v>1481</v>
      </c>
      <c r="E42" s="174" t="str">
        <f>D10</f>
        <v>2-TROJAN</v>
      </c>
      <c r="F42" s="174"/>
      <c r="G42" s="174" t="str">
        <f>D13</f>
        <v>23-PATRIOT 10 NAVY</v>
      </c>
      <c r="H42" s="174"/>
      <c r="I42" s="28" t="s">
        <v>1482</v>
      </c>
      <c r="J42" s="91" t="s">
        <v>722</v>
      </c>
    </row>
    <row r="43" spans="1:10">
      <c r="A43" s="187">
        <v>46053</v>
      </c>
      <c r="B43" s="175">
        <f>CHICLETS!F8</f>
        <v>0.39583333333333398</v>
      </c>
      <c r="C43" s="186" t="str">
        <f>CHICLETS!$I$4</f>
        <v>COSTA MESA HS 2</v>
      </c>
      <c r="D43" s="91" t="s">
        <v>1483</v>
      </c>
      <c r="E43" s="174" t="str">
        <f>D11</f>
        <v>11-680 BLUE</v>
      </c>
      <c r="F43" s="174"/>
      <c r="G43" s="174" t="str">
        <f>D12</f>
        <v>14-CC UNITED BLUE</v>
      </c>
      <c r="H43" s="174"/>
      <c r="I43" s="28" t="s">
        <v>1484</v>
      </c>
      <c r="J43" s="91" t="s">
        <v>722</v>
      </c>
    </row>
    <row r="44" spans="1:10">
      <c r="A44" s="188"/>
      <c r="B44" s="188"/>
      <c r="J44" s="31"/>
    </row>
    <row r="45" spans="1:10">
      <c r="A45" s="187">
        <v>46053</v>
      </c>
      <c r="B45" s="175">
        <f>CHICLETS!F10</f>
        <v>0.46527777777777801</v>
      </c>
      <c r="C45" s="186" t="str">
        <f>CHICLETS!$I$4</f>
        <v>COSTA MESA HS 2</v>
      </c>
      <c r="D45" s="91" t="s">
        <v>1485</v>
      </c>
      <c r="E45" s="174" t="str">
        <f>E10</f>
        <v>3-CMAC</v>
      </c>
      <c r="F45" s="174"/>
      <c r="G45" s="174" t="str">
        <f>E13</f>
        <v>22-STANFORD WHITE</v>
      </c>
      <c r="H45" s="174"/>
      <c r="I45" s="28" t="s">
        <v>1486</v>
      </c>
      <c r="J45" s="91" t="s">
        <v>722</v>
      </c>
    </row>
    <row r="46" spans="1:10">
      <c r="A46" s="187">
        <v>46053</v>
      </c>
      <c r="B46" s="175">
        <f>CHICLETS!F11</f>
        <v>0.5</v>
      </c>
      <c r="C46" s="186" t="str">
        <f>CHICLETS!$I$4</f>
        <v>COSTA MESA HS 2</v>
      </c>
      <c r="D46" s="91" t="s">
        <v>1487</v>
      </c>
      <c r="E46" s="28" t="str">
        <f>E11</f>
        <v>10-AMERICAN RIVER BLUE</v>
      </c>
      <c r="F46" s="28"/>
      <c r="G46" s="28" t="str">
        <f>E12</f>
        <v>15-MISSION WPC B</v>
      </c>
      <c r="H46" s="28"/>
      <c r="I46" s="28" t="s">
        <v>1488</v>
      </c>
      <c r="J46" s="91" t="s">
        <v>722</v>
      </c>
    </row>
    <row r="47" spans="1:10">
      <c r="A47" s="187">
        <v>46053</v>
      </c>
      <c r="B47" s="175">
        <f>CHICLETS!F12</f>
        <v>0.53472222222222199</v>
      </c>
      <c r="C47" s="186" t="str">
        <f>CHICLETS!$I$4</f>
        <v>COSTA MESA HS 2</v>
      </c>
      <c r="D47" s="91" t="s">
        <v>1489</v>
      </c>
      <c r="E47" s="28" t="str">
        <f>F10</f>
        <v>6-SAN MATEO</v>
      </c>
      <c r="F47" s="28"/>
      <c r="G47" s="280" t="str">
        <f>F13</f>
        <v>19-680 WHITE</v>
      </c>
      <c r="H47" s="28"/>
      <c r="I47" s="28" t="s">
        <v>1490</v>
      </c>
      <c r="J47" s="91" t="s">
        <v>722</v>
      </c>
    </row>
    <row r="48" spans="1:10">
      <c r="A48" s="187">
        <v>46053</v>
      </c>
      <c r="B48" s="175">
        <f>CHICLETS!F13</f>
        <v>0.56944444444444497</v>
      </c>
      <c r="C48" s="186" t="str">
        <f>CHICLETS!$I$4</f>
        <v>COSTA MESA HS 2</v>
      </c>
      <c r="D48" s="91" t="s">
        <v>1491</v>
      </c>
      <c r="E48" s="174" t="str">
        <f>F11</f>
        <v>7-FOOTHILL RED</v>
      </c>
      <c r="F48" s="174"/>
      <c r="G48" s="174" t="str">
        <f>F12</f>
        <v>18-LAMORINDA B</v>
      </c>
      <c r="H48" s="174"/>
      <c r="I48" s="28" t="s">
        <v>1492</v>
      </c>
      <c r="J48" s="91" t="s">
        <v>722</v>
      </c>
    </row>
    <row r="49" spans="1:10">
      <c r="A49" s="187">
        <v>46053</v>
      </c>
      <c r="B49" s="175">
        <f>CHICLETS!F14</f>
        <v>0.60416666666666696</v>
      </c>
      <c r="C49" s="186" t="str">
        <f>CHICLETS!$I$4</f>
        <v>COSTA MESA HS 2</v>
      </c>
      <c r="D49" s="91" t="s">
        <v>1493</v>
      </c>
      <c r="E49" s="28" t="str">
        <f>IF(F42="","W#2-",IF(F42&gt;H42,_xlfn.CONCAT("W#2-",RIGHT(E42,LEN(E42) - FIND("-",E42))), _xlfn.CONCAT("W#2-",RIGHT(G42,LEN(G42) - FIND("-",G42)))))</f>
        <v>W#2-</v>
      </c>
      <c r="F49" s="28"/>
      <c r="G49" s="28" t="str">
        <f>IF(H43="","W#4-",IF(F43&gt;H43,_xlfn.CONCAT("W#4-",RIGHT(E43,LEN(E43) - FIND("-",E43))), _xlfn.CONCAT("W#4-",RIGHT(G43,LEN(G43) - FIND("-",G43)))))</f>
        <v>W#4-</v>
      </c>
      <c r="H49" s="28"/>
      <c r="I49" s="28" t="s">
        <v>1494</v>
      </c>
      <c r="J49" s="91" t="s">
        <v>722</v>
      </c>
    </row>
    <row r="50" spans="1:10">
      <c r="A50" s="187">
        <v>46053</v>
      </c>
      <c r="B50" s="175">
        <f>CHICLETS!F15</f>
        <v>0.63888888888888895</v>
      </c>
      <c r="C50" s="186" t="str">
        <f>CHICLETS!$I$4</f>
        <v>COSTA MESA HS 2</v>
      </c>
      <c r="D50" s="91" t="s">
        <v>1495</v>
      </c>
      <c r="E50" s="28" t="str">
        <f>IF(F42="","L#2-",IF(F42&lt;H42,_xlfn.CONCAT("L#2-",RIGHT(E42,LEN(E42) - FIND("-",E42))), _xlfn.CONCAT("L#2-",RIGHT(G42,LEN(G42) - FIND("-",G42)))))</f>
        <v>L#2-</v>
      </c>
      <c r="F50" s="28"/>
      <c r="G50" s="28" t="str">
        <f>IF(H43="","L#4-",IF(F43&lt;H43,_xlfn.CONCAT("L#4-",RIGHT(E43,LEN(E43) - FIND("-",E43))), _xlfn.CONCAT("L#4-",RIGHT(G43,LEN(G43) - FIND("-",G43)))))</f>
        <v>L#4-</v>
      </c>
      <c r="H50" s="28"/>
      <c r="I50" s="28" t="s">
        <v>1496</v>
      </c>
      <c r="J50" s="91" t="s">
        <v>722</v>
      </c>
    </row>
    <row r="51" spans="1:10">
      <c r="A51" s="187">
        <v>46053</v>
      </c>
      <c r="B51" s="175">
        <f>CHICLETS!F16</f>
        <v>0.67361111111111105</v>
      </c>
      <c r="C51" s="186" t="str">
        <f>CHICLETS!$I$4</f>
        <v>COSTA MESA HS 2</v>
      </c>
      <c r="D51" s="91" t="s">
        <v>1497</v>
      </c>
      <c r="E51" s="28" t="str">
        <f>IF(F45="","W#6-",IF(F45&gt;H45,_xlfn.CONCAT("W#6-",RIGHT(E45,LEN(E45) - FIND("-",E45))), _xlfn.CONCAT("W#6-",RIGHT(G45,LEN(G45) - FIND("-",G45)))))</f>
        <v>W#6-</v>
      </c>
      <c r="F51" s="174"/>
      <c r="G51" s="28" t="str">
        <f>IF(H46="","W#8-",IF(F46&gt;H46,_xlfn.CONCAT("W#8-",RIGHT(E46,LEN(E46) - FIND("-",E46))), _xlfn.CONCAT("W#8-",RIGHT(G46,LEN(G46) - FIND("-",G46)))))</f>
        <v>W#8-</v>
      </c>
      <c r="H51" s="174"/>
      <c r="I51" s="28" t="s">
        <v>1498</v>
      </c>
      <c r="J51" s="91" t="s">
        <v>722</v>
      </c>
    </row>
    <row r="52" spans="1:10">
      <c r="A52" s="187">
        <v>46053</v>
      </c>
      <c r="B52" s="175">
        <f>CHICLETS!F17</f>
        <v>0.70833333333333404</v>
      </c>
      <c r="C52" s="186" t="str">
        <f>CHICLETS!$I$4</f>
        <v>COSTA MESA HS 2</v>
      </c>
      <c r="D52" s="91" t="s">
        <v>1499</v>
      </c>
      <c r="E52" s="28" t="str">
        <f>IF(F45="","L#6-",IF(F45&lt;H45,_xlfn.CONCAT("L#6-",RIGHT(E45,LEN(E45) - FIND("-",E45))), _xlfn.CONCAT("L#6-",RIGHT(G45,LEN(G45) - FIND("-",G45)))))</f>
        <v>L#6-</v>
      </c>
      <c r="F52" s="28"/>
      <c r="G52" s="28" t="str">
        <f>IF(H46="","L#8-",IF(F46&lt;H46,_xlfn.CONCAT("L#8-",RIGHT(E46,LEN(E46) - FIND("-",E46))), _xlfn.CONCAT("L#8-",RIGHT(G46,LEN(G46) - FIND("-",G46)))))</f>
        <v>L#8-</v>
      </c>
      <c r="H52" s="28"/>
      <c r="I52" s="28" t="s">
        <v>1500</v>
      </c>
      <c r="J52" s="91" t="s">
        <v>722</v>
      </c>
    </row>
    <row r="53" spans="1:10">
      <c r="A53" s="187">
        <v>46053</v>
      </c>
      <c r="B53" s="175">
        <f>CHICLETS!F18</f>
        <v>0.74305555555555602</v>
      </c>
      <c r="C53" s="186" t="str">
        <f>CHICLETS!$I$4</f>
        <v>COSTA MESA HS 2</v>
      </c>
      <c r="D53" s="91" t="s">
        <v>1501</v>
      </c>
      <c r="E53" s="28" t="str">
        <f>IF(F47="","W#10-",IF(F47&gt;H47,_xlfn.CONCAT("W#10-",RIGHT(E47,LEN(E47) - FIND("-",E47))), _xlfn.CONCAT("W#10-",RIGHT(G47,LEN(G47) - FIND("-",G47)))))</f>
        <v>W#10-</v>
      </c>
      <c r="F53" s="174"/>
      <c r="G53" s="28" t="str">
        <f>IF(H48="","W#12-",IF(F48&gt;H48,_xlfn.CONCAT("W#12-",RIGHT(E48,LEN(E48) - FIND("-",E48))), _xlfn.CONCAT("W#12-",RIGHT(G48,LEN(G48) - FIND("-",G48)))))</f>
        <v>W#12-</v>
      </c>
      <c r="H53" s="174"/>
      <c r="I53" s="28" t="s">
        <v>1502</v>
      </c>
      <c r="J53" s="91" t="s">
        <v>722</v>
      </c>
    </row>
    <row r="54" spans="1:10">
      <c r="A54" s="187">
        <v>46053</v>
      </c>
      <c r="B54" s="175">
        <f>CHICLETS!F19</f>
        <v>0.77777777777777801</v>
      </c>
      <c r="C54" s="186" t="str">
        <f>CHICLETS!$J$4</f>
        <v>TUSTIN HS 2</v>
      </c>
      <c r="D54" s="91" t="s">
        <v>1503</v>
      </c>
      <c r="E54" s="28" t="str">
        <f>IF(F47="","L#10-",IF(F47&lt;H47,_xlfn.CONCAT("L#10-",RIGHT(E47,LEN(E47) - FIND("-",E47))), _xlfn.CONCAT("L#10-",RIGHT(G47,LEN(G47) - FIND("-",G47)))))</f>
        <v>L#10-</v>
      </c>
      <c r="F54" s="174"/>
      <c r="G54" s="28" t="str">
        <f>IF(H48="","L#12-",IF(F48&lt;H48,_xlfn.CONCAT("L#12-",RIGHT(E48,LEN(E48) - FIND("-",E48))), _xlfn.CONCAT("L#12-",RIGHT(G48,LEN(G48) - FIND("-",G48)))))</f>
        <v>L#12-</v>
      </c>
      <c r="H54" s="174"/>
      <c r="I54" s="28" t="s">
        <v>1504</v>
      </c>
      <c r="J54" s="91" t="s">
        <v>722</v>
      </c>
    </row>
    <row r="55" spans="1:10">
      <c r="A55" s="187">
        <v>46053</v>
      </c>
      <c r="B55" s="175">
        <f>CHICLETS!F19</f>
        <v>0.77777777777777801</v>
      </c>
      <c r="C55" s="186" t="str">
        <f>CHICLETS!$I$4</f>
        <v>COSTA MESA HS 2</v>
      </c>
      <c r="D55" s="91" t="s">
        <v>1505</v>
      </c>
      <c r="E55" s="174" t="str">
        <f>B16</f>
        <v>H1(1stD)-</v>
      </c>
      <c r="F55" s="174"/>
      <c r="G55" s="174" t="str">
        <f>B17</f>
        <v>H2(1stE)-</v>
      </c>
      <c r="H55" s="174"/>
      <c r="I55" s="28" t="s">
        <v>1506</v>
      </c>
      <c r="J55" s="91" t="s">
        <v>722</v>
      </c>
    </row>
    <row r="56" spans="1:10">
      <c r="A56" s="166"/>
      <c r="B56" s="167"/>
      <c r="C56" s="31"/>
      <c r="H56" s="31"/>
      <c r="I56" s="31"/>
      <c r="J56" s="31"/>
    </row>
    <row r="57" spans="1:10">
      <c r="A57" s="185"/>
      <c r="B57" s="184"/>
      <c r="C57" s="183"/>
      <c r="D57" s="183"/>
      <c r="E57" s="182"/>
      <c r="F57" s="182"/>
      <c r="G57" s="182"/>
      <c r="H57" s="182"/>
      <c r="I57" s="182"/>
      <c r="J57" s="182"/>
    </row>
    <row r="58" spans="1:10">
      <c r="A58" s="181"/>
      <c r="B58" s="165"/>
      <c r="C58" s="165"/>
      <c r="D58" s="165"/>
      <c r="E58" s="165"/>
      <c r="F58" s="165"/>
      <c r="G58" s="165"/>
      <c r="H58" s="165"/>
      <c r="I58" s="165"/>
      <c r="J58" s="165"/>
    </row>
    <row r="59" spans="1:10">
      <c r="A59" s="180">
        <v>46054</v>
      </c>
      <c r="B59" s="179">
        <f>CHICLETS!F28</f>
        <v>0.3263888888888889</v>
      </c>
      <c r="C59" s="93" t="str">
        <f>CHICLETS!$I$26</f>
        <v>COSTA MESA HS 2</v>
      </c>
      <c r="D59" s="34" t="s">
        <v>1507</v>
      </c>
      <c r="E59" s="178" t="str">
        <f>C16</f>
        <v>I1(2ndA)-</v>
      </c>
      <c r="F59" s="178"/>
      <c r="G59" s="178" t="str">
        <f>C18</f>
        <v>I3(2ndC)-</v>
      </c>
      <c r="H59" s="178"/>
      <c r="I59" s="27" t="s">
        <v>1508</v>
      </c>
      <c r="J59" s="34" t="s">
        <v>722</v>
      </c>
    </row>
    <row r="60" spans="1:10">
      <c r="A60" s="180">
        <v>46054</v>
      </c>
      <c r="B60" s="179">
        <f>CHICLETS!F29</f>
        <v>0.36111111111111099</v>
      </c>
      <c r="C60" s="93" t="str">
        <f>CHICLETS!$I$26</f>
        <v>COSTA MESA HS 2</v>
      </c>
      <c r="D60" s="34" t="s">
        <v>1509</v>
      </c>
      <c r="E60" s="178" t="str">
        <f>A16</f>
        <v>G1(1stA)-</v>
      </c>
      <c r="F60" s="178"/>
      <c r="G60" s="178" t="str">
        <f>A17</f>
        <v>G2(1stB)-</v>
      </c>
      <c r="H60" s="178"/>
      <c r="I60" s="27" t="s">
        <v>1510</v>
      </c>
      <c r="J60" s="34" t="s">
        <v>722</v>
      </c>
    </row>
    <row r="61" spans="1:10">
      <c r="A61" s="180">
        <v>46054</v>
      </c>
      <c r="B61" s="179">
        <f>CHICLETS!F30</f>
        <v>0.39583333333333398</v>
      </c>
      <c r="C61" s="93" t="str">
        <f>CHICLETS!$I$26</f>
        <v>COSTA MESA HS 2</v>
      </c>
      <c r="D61" s="34" t="s">
        <v>1511</v>
      </c>
      <c r="E61" s="178" t="str">
        <f>B16</f>
        <v>H1(1stD)-</v>
      </c>
      <c r="F61" s="178"/>
      <c r="G61" s="178" t="str">
        <f>B18</f>
        <v>H3(1stF)-</v>
      </c>
      <c r="H61" s="178"/>
      <c r="I61" s="27" t="s">
        <v>1512</v>
      </c>
      <c r="J61" s="34" t="s">
        <v>722</v>
      </c>
    </row>
    <row r="62" spans="1:10">
      <c r="A62" s="180">
        <v>46054</v>
      </c>
      <c r="B62" s="179">
        <f>CHICLETS!F31</f>
        <v>0.43055555555555602</v>
      </c>
      <c r="C62" s="93" t="str">
        <f>CHICLETS!$I$26</f>
        <v>COSTA MESA HS 2</v>
      </c>
      <c r="D62" s="34" t="s">
        <v>1513</v>
      </c>
      <c r="E62" s="178" t="str">
        <f>C17</f>
        <v>I2(2ndB)-</v>
      </c>
      <c r="F62" s="178"/>
      <c r="G62" s="178" t="str">
        <f>C18</f>
        <v>I3(2ndC)-</v>
      </c>
      <c r="H62" s="178"/>
      <c r="I62" s="27" t="s">
        <v>1514</v>
      </c>
      <c r="J62" s="34" t="s">
        <v>722</v>
      </c>
    </row>
    <row r="63" spans="1:10">
      <c r="A63" s="180">
        <v>46054</v>
      </c>
      <c r="B63" s="179">
        <f>CHICLETS!F32</f>
        <v>0.46527777777777801</v>
      </c>
      <c r="C63" s="93" t="str">
        <f>CHICLETS!$I$26</f>
        <v>COSTA MESA HS 2</v>
      </c>
      <c r="D63" s="34" t="s">
        <v>1515</v>
      </c>
      <c r="E63" s="178" t="str">
        <f>A17</f>
        <v>G2(1stB)-</v>
      </c>
      <c r="F63" s="178"/>
      <c r="G63" s="178" t="str">
        <f>A18</f>
        <v>G3(1stC)-</v>
      </c>
      <c r="H63" s="178"/>
      <c r="I63" s="27" t="s">
        <v>1516</v>
      </c>
      <c r="J63" s="34" t="s">
        <v>722</v>
      </c>
    </row>
    <row r="64" spans="1:10">
      <c r="A64" s="180">
        <v>46054</v>
      </c>
      <c r="B64" s="179">
        <f>CHICLETS!F33</f>
        <v>0.5</v>
      </c>
      <c r="C64" s="93" t="str">
        <f>CHICLETS!$I$26</f>
        <v>COSTA MESA HS 2</v>
      </c>
      <c r="D64" s="34" t="s">
        <v>1517</v>
      </c>
      <c r="E64" s="178" t="str">
        <f>B17</f>
        <v>H2(1stE)-</v>
      </c>
      <c r="F64" s="178"/>
      <c r="G64" s="178" t="str">
        <f>B18</f>
        <v>H3(1stF)-</v>
      </c>
      <c r="H64" s="178"/>
      <c r="I64" s="27" t="s">
        <v>1518</v>
      </c>
      <c r="J64" s="34" t="s">
        <v>722</v>
      </c>
    </row>
    <row r="65" spans="1:11">
      <c r="A65" s="180">
        <v>46054</v>
      </c>
      <c r="B65" s="179">
        <f>CHICLETS!F34</f>
        <v>0.53472222222222199</v>
      </c>
      <c r="C65" s="93" t="str">
        <f>CHICLETS!$I$26</f>
        <v>COSTA MESA HS 2</v>
      </c>
      <c r="D65" s="34" t="s">
        <v>1519</v>
      </c>
      <c r="E65" s="178" t="str">
        <f>C16</f>
        <v>I1(2ndA)-</v>
      </c>
      <c r="F65" s="178"/>
      <c r="G65" s="178" t="str">
        <f>C17</f>
        <v>I2(2ndB)-</v>
      </c>
      <c r="H65" s="178"/>
      <c r="I65" s="27" t="s">
        <v>1520</v>
      </c>
      <c r="J65" s="34" t="s">
        <v>722</v>
      </c>
    </row>
    <row r="66" spans="1:11">
      <c r="A66" s="181"/>
      <c r="B66" s="165"/>
      <c r="C66" s="165"/>
      <c r="D66" s="165"/>
      <c r="E66" s="165"/>
      <c r="F66" s="165"/>
      <c r="G66" s="165"/>
      <c r="H66" s="165"/>
      <c r="I66" s="165"/>
      <c r="J66" s="165"/>
    </row>
    <row r="67" spans="1:11">
      <c r="A67" s="180">
        <v>46054</v>
      </c>
      <c r="B67" s="179">
        <f>CHICLETS!F38</f>
        <v>0.67361111111111105</v>
      </c>
      <c r="C67" s="93" t="str">
        <f>CHICLETS!$H$26</f>
        <v>BECKMAN HS 1</v>
      </c>
      <c r="D67" s="34" t="s">
        <v>1521</v>
      </c>
      <c r="E67" s="178" t="str">
        <f>C22</f>
        <v>P1(3rdG)-</v>
      </c>
      <c r="F67" s="178"/>
      <c r="G67" s="178" t="str">
        <f>C23</f>
        <v>P2(3rdH)-</v>
      </c>
      <c r="H67" s="178"/>
      <c r="I67" s="27" t="s">
        <v>1522</v>
      </c>
      <c r="J67" s="34" t="s">
        <v>722</v>
      </c>
    </row>
    <row r="68" spans="1:11">
      <c r="A68" s="180">
        <v>46054</v>
      </c>
      <c r="B68" s="179">
        <f>CHICLETS!F39</f>
        <v>0.70833333333333404</v>
      </c>
      <c r="C68" s="93" t="str">
        <f>CHICLETS!$H$26</f>
        <v>BECKMAN HS 1</v>
      </c>
      <c r="D68" s="34" t="s">
        <v>1523</v>
      </c>
      <c r="E68" s="178" t="str">
        <f>A22</f>
        <v>N1(2ndG)-</v>
      </c>
      <c r="F68" s="178"/>
      <c r="G68" s="178" t="str">
        <f>A23</f>
        <v>N2(2ndH)-</v>
      </c>
      <c r="H68" s="178"/>
      <c r="I68" s="27" t="s">
        <v>1524</v>
      </c>
      <c r="J68" s="34" t="s">
        <v>722</v>
      </c>
    </row>
    <row r="69" spans="1:11">
      <c r="A69" s="180">
        <v>46054</v>
      </c>
      <c r="B69" s="179">
        <f>CHICLETS!F40</f>
        <v>0.74305555555555602</v>
      </c>
      <c r="C69" s="93" t="str">
        <f>CHICLETS!$H$26</f>
        <v>BECKMAN HS 1</v>
      </c>
      <c r="D69" s="34" t="s">
        <v>1525</v>
      </c>
      <c r="E69" s="178" t="str">
        <f>B22</f>
        <v>O1(1stG)-</v>
      </c>
      <c r="F69" s="178"/>
      <c r="G69" s="178" t="str">
        <f>B23</f>
        <v>O2(1stH)-</v>
      </c>
      <c r="H69" s="178"/>
      <c r="I69" s="27" t="s">
        <v>1526</v>
      </c>
      <c r="J69" s="34" t="s">
        <v>722</v>
      </c>
    </row>
    <row r="70" spans="1:11">
      <c r="A70" s="166"/>
      <c r="B70" s="167"/>
      <c r="C70" s="31"/>
      <c r="E70" s="54"/>
      <c r="F70" s="54"/>
      <c r="G70" s="54"/>
      <c r="H70" s="54"/>
      <c r="I70" s="54"/>
      <c r="J70" s="31"/>
    </row>
    <row r="71" spans="1:11">
      <c r="A71" s="177">
        <v>46054</v>
      </c>
      <c r="B71" s="176">
        <f>CHICLETS!F29</f>
        <v>0.36111111111111099</v>
      </c>
      <c r="C71" s="175" t="str">
        <f>CHICLETS!$J$26</f>
        <v>TUSTIN HS 2</v>
      </c>
      <c r="D71" s="142" t="s">
        <v>1527</v>
      </c>
      <c r="E71" s="30" t="str">
        <f>F16</f>
        <v>L1(3rdD)-</v>
      </c>
      <c r="F71" s="30"/>
      <c r="G71" s="30" t="str">
        <f>F18</f>
        <v>L3(3rdF)-</v>
      </c>
      <c r="H71" s="30"/>
      <c r="I71" s="174" t="s">
        <v>1528</v>
      </c>
      <c r="J71" s="28" t="s">
        <v>722</v>
      </c>
    </row>
    <row r="72" spans="1:11">
      <c r="A72" s="177">
        <v>46054</v>
      </c>
      <c r="B72" s="176">
        <f>CHICLETS!F30</f>
        <v>0.39583333333333398</v>
      </c>
      <c r="C72" s="175" t="str">
        <f>CHICLETS!$J$26</f>
        <v>TUSTIN HS 2</v>
      </c>
      <c r="D72" s="142" t="s">
        <v>1529</v>
      </c>
      <c r="E72" s="30" t="str">
        <f>D16</f>
        <v>J1(2ndD)-</v>
      </c>
      <c r="F72" s="30"/>
      <c r="G72" s="30" t="str">
        <f>D18</f>
        <v>J3(2ndF)-</v>
      </c>
      <c r="H72" s="30"/>
      <c r="I72" s="174" t="s">
        <v>1530</v>
      </c>
      <c r="J72" s="28" t="s">
        <v>722</v>
      </c>
    </row>
    <row r="73" spans="1:11">
      <c r="A73" s="177">
        <v>46054</v>
      </c>
      <c r="B73" s="176">
        <f>CHICLETS!F31</f>
        <v>0.43055555555555602</v>
      </c>
      <c r="C73" s="175" t="str">
        <f>CHICLETS!$J$26</f>
        <v>TUSTIN HS 2</v>
      </c>
      <c r="D73" s="142" t="s">
        <v>1531</v>
      </c>
      <c r="E73" s="30" t="str">
        <f>E16</f>
        <v>K1(3rdA)-</v>
      </c>
      <c r="F73" s="30"/>
      <c r="G73" s="30" t="str">
        <f>E18</f>
        <v>K3(3rdC)-</v>
      </c>
      <c r="H73" s="30"/>
      <c r="I73" s="174" t="s">
        <v>1532</v>
      </c>
      <c r="J73" s="28" t="s">
        <v>722</v>
      </c>
    </row>
    <row r="74" spans="1:11">
      <c r="A74" s="166"/>
      <c r="B74" s="167"/>
      <c r="C74" s="31"/>
      <c r="E74" s="54"/>
      <c r="F74" s="54"/>
      <c r="G74" s="54"/>
      <c r="H74" s="54"/>
      <c r="I74" s="54"/>
      <c r="J74" s="31"/>
    </row>
    <row r="75" spans="1:11">
      <c r="A75" s="177">
        <v>46054</v>
      </c>
      <c r="B75" s="176">
        <f>CHICLETS!F35</f>
        <v>0.56944444444444497</v>
      </c>
      <c r="C75" s="175" t="str">
        <f>CHICLETS!$J$26</f>
        <v>TUSTIN HS 2</v>
      </c>
      <c r="D75" s="142" t="s">
        <v>1533</v>
      </c>
      <c r="E75" s="30" t="str">
        <f>F17</f>
        <v>L2(3rdE)-</v>
      </c>
      <c r="F75" s="30"/>
      <c r="G75" s="30" t="str">
        <f>F18</f>
        <v>L3(3rdF)-</v>
      </c>
      <c r="H75" s="30"/>
      <c r="I75" s="174" t="s">
        <v>1534</v>
      </c>
      <c r="J75" s="28" t="s">
        <v>722</v>
      </c>
    </row>
    <row r="76" spans="1:11">
      <c r="A76" s="177">
        <v>46054</v>
      </c>
      <c r="B76" s="176">
        <f>CHICLETS!F36</f>
        <v>0.60416666666666696</v>
      </c>
      <c r="C76" s="175" t="str">
        <f>CHICLETS!$J$26</f>
        <v>TUSTIN HS 2</v>
      </c>
      <c r="D76" s="142" t="s">
        <v>1535</v>
      </c>
      <c r="E76" s="30" t="str">
        <f>D17</f>
        <v>J2(2ndE)-</v>
      </c>
      <c r="F76" s="30"/>
      <c r="G76" s="30" t="str">
        <f>D18</f>
        <v>J3(2ndF)-</v>
      </c>
      <c r="H76" s="30"/>
      <c r="I76" s="174" t="s">
        <v>1536</v>
      </c>
      <c r="J76" s="28" t="s">
        <v>722</v>
      </c>
    </row>
    <row r="77" spans="1:11">
      <c r="A77" s="177">
        <v>46054</v>
      </c>
      <c r="B77" s="176">
        <f>CHICLETS!F37</f>
        <v>0.63888888888888895</v>
      </c>
      <c r="C77" s="175" t="str">
        <f>CHICLETS!$J$26</f>
        <v>TUSTIN HS 2</v>
      </c>
      <c r="D77" s="142" t="s">
        <v>1537</v>
      </c>
      <c r="E77" s="30" t="str">
        <f>E17</f>
        <v>K2(3rdB)-</v>
      </c>
      <c r="F77" s="30"/>
      <c r="G77" s="30" t="str">
        <f>E18</f>
        <v>K3(3rdC)-</v>
      </c>
      <c r="H77" s="30"/>
      <c r="I77" s="174" t="s">
        <v>1538</v>
      </c>
      <c r="J77" s="28" t="s">
        <v>722</v>
      </c>
    </row>
    <row r="78" spans="1:11">
      <c r="A78" s="177">
        <v>46054</v>
      </c>
      <c r="B78" s="176">
        <f>CHICLETS!F38</f>
        <v>0.67361111111111105</v>
      </c>
      <c r="C78" s="175" t="str">
        <f>CHICLETS!$J$26</f>
        <v>TUSTIN HS 2</v>
      </c>
      <c r="D78" s="142" t="s">
        <v>1539</v>
      </c>
      <c r="E78" s="30" t="str">
        <f>F16</f>
        <v>L1(3rdD)-</v>
      </c>
      <c r="F78" s="30"/>
      <c r="G78" s="30" t="str">
        <f>F17</f>
        <v>L2(3rdE)-</v>
      </c>
      <c r="H78" s="30"/>
      <c r="I78" s="174" t="s">
        <v>1540</v>
      </c>
      <c r="J78" s="28" t="s">
        <v>722</v>
      </c>
    </row>
    <row r="79" spans="1:11">
      <c r="A79" s="177">
        <v>46054</v>
      </c>
      <c r="B79" s="176">
        <f>CHICLETS!F39</f>
        <v>0.70833333333333404</v>
      </c>
      <c r="C79" s="175" t="str">
        <f>CHICLETS!$J$26</f>
        <v>TUSTIN HS 2</v>
      </c>
      <c r="D79" s="142" t="s">
        <v>1541</v>
      </c>
      <c r="E79" s="30" t="str">
        <f>D16</f>
        <v>J1(2ndD)-</v>
      </c>
      <c r="F79" s="30"/>
      <c r="G79" s="30" t="str">
        <f>D17</f>
        <v>J2(2ndE)-</v>
      </c>
      <c r="H79" s="30"/>
      <c r="I79" s="174" t="s">
        <v>1542</v>
      </c>
      <c r="J79" s="28" t="s">
        <v>722</v>
      </c>
    </row>
    <row r="80" spans="1:11">
      <c r="A80" s="177">
        <v>46054</v>
      </c>
      <c r="B80" s="176">
        <f>CHICLETS!F40</f>
        <v>0.74305555555555602</v>
      </c>
      <c r="C80" s="175" t="str">
        <f>CHICLETS!$J$26</f>
        <v>TUSTIN HS 2</v>
      </c>
      <c r="D80" s="142" t="s">
        <v>1543</v>
      </c>
      <c r="E80" s="30" t="str">
        <f>E16</f>
        <v>K1(3rdA)-</v>
      </c>
      <c r="F80" s="30"/>
      <c r="G80" s="30" t="str">
        <f>E17</f>
        <v>K2(3rdB)-</v>
      </c>
      <c r="H80" s="30"/>
      <c r="I80" s="174" t="s">
        <v>1544</v>
      </c>
      <c r="J80" s="28" t="s">
        <v>722</v>
      </c>
      <c r="K80" s="172"/>
    </row>
    <row r="81" spans="1:11">
      <c r="A81" s="166"/>
      <c r="B81" s="167"/>
      <c r="C81" s="31"/>
      <c r="J81" s="31"/>
    </row>
    <row r="82" spans="1:11">
      <c r="A82" s="171">
        <v>46054</v>
      </c>
      <c r="B82" s="173">
        <f>CHICLETS!F36</f>
        <v>0.60416666666666696</v>
      </c>
      <c r="C82" s="170" t="str">
        <f>CHICLETS!$I$26</f>
        <v>COSTA MESA HS 2</v>
      </c>
      <c r="D82" s="143" t="s">
        <v>1545</v>
      </c>
      <c r="E82" s="169" t="str">
        <f>G16</f>
        <v>M1(4thF)-</v>
      </c>
      <c r="F82" s="169"/>
      <c r="G82" s="169" t="str">
        <f>G20</f>
        <v>M5(4thD)-</v>
      </c>
      <c r="H82" s="169"/>
      <c r="I82" s="169" t="s">
        <v>1546</v>
      </c>
      <c r="J82" s="168" t="s">
        <v>722</v>
      </c>
    </row>
    <row r="83" spans="1:11">
      <c r="A83" s="171">
        <v>46054</v>
      </c>
      <c r="B83" s="173">
        <f>CHICLETS!F37</f>
        <v>0.63888888888888895</v>
      </c>
      <c r="C83" s="170" t="str">
        <f>CHICLETS!$I$26</f>
        <v>COSTA MESA HS 2</v>
      </c>
      <c r="D83" s="143" t="s">
        <v>1547</v>
      </c>
      <c r="E83" s="169" t="str">
        <f>G17</f>
        <v>M2(4thC)-</v>
      </c>
      <c r="F83" s="169"/>
      <c r="G83" s="169" t="str">
        <f>G19</f>
        <v>M4(4thE)-</v>
      </c>
      <c r="H83" s="169"/>
      <c r="I83" s="169" t="s">
        <v>1546</v>
      </c>
      <c r="J83" s="168" t="s">
        <v>722</v>
      </c>
    </row>
    <row r="84" spans="1:11">
      <c r="A84" s="171">
        <v>46054</v>
      </c>
      <c r="B84" s="173">
        <f>CHICLETS!F38</f>
        <v>0.67361111111111105</v>
      </c>
      <c r="C84" s="170" t="str">
        <f>CHICLETS!$I$26</f>
        <v>COSTA MESA HS 2</v>
      </c>
      <c r="D84" s="143" t="s">
        <v>1548</v>
      </c>
      <c r="E84" s="169" t="str">
        <f>G16</f>
        <v>M1(4thF)-</v>
      </c>
      <c r="F84" s="169"/>
      <c r="G84" s="169" t="str">
        <f>G18</f>
        <v>M3(4thB)-</v>
      </c>
      <c r="H84" s="169"/>
      <c r="I84" s="169" t="s">
        <v>1546</v>
      </c>
      <c r="J84" s="168" t="s">
        <v>722</v>
      </c>
    </row>
    <row r="85" spans="1:11">
      <c r="A85" s="171">
        <v>46054</v>
      </c>
      <c r="B85" s="173">
        <f>CHICLETS!F39</f>
        <v>0.70833333333333404</v>
      </c>
      <c r="C85" s="170" t="str">
        <f>CHICLETS!$I$26</f>
        <v>COSTA MESA HS 2</v>
      </c>
      <c r="D85" s="143" t="s">
        <v>1549</v>
      </c>
      <c r="E85" s="169" t="str">
        <f>G17</f>
        <v>M2(4thC)-</v>
      </c>
      <c r="F85" s="169"/>
      <c r="G85" s="169" t="str">
        <f>G20</f>
        <v>M5(4thD)-</v>
      </c>
      <c r="H85" s="169"/>
      <c r="I85" s="169" t="s">
        <v>1546</v>
      </c>
      <c r="J85" s="168" t="s">
        <v>722</v>
      </c>
      <c r="K85" s="172"/>
    </row>
    <row r="86" spans="1:11">
      <c r="A86" s="171">
        <v>46054</v>
      </c>
      <c r="B86" s="173">
        <f>CHICLETS!F40</f>
        <v>0.74305555555555602</v>
      </c>
      <c r="C86" s="170" t="str">
        <f>CHICLETS!$I$26</f>
        <v>COSTA MESA HS 2</v>
      </c>
      <c r="D86" s="143" t="s">
        <v>1550</v>
      </c>
      <c r="E86" s="169" t="str">
        <f>G18</f>
        <v>M3(4thB)-</v>
      </c>
      <c r="F86" s="169"/>
      <c r="G86" s="169" t="str">
        <f>G19</f>
        <v>M4(4thE)-</v>
      </c>
      <c r="H86" s="169"/>
      <c r="I86" s="169" t="s">
        <v>1546</v>
      </c>
      <c r="J86" s="168" t="s">
        <v>722</v>
      </c>
    </row>
    <row r="87" spans="1:11">
      <c r="A87" s="166"/>
      <c r="B87" s="167"/>
      <c r="C87" s="31"/>
      <c r="J87" s="31"/>
    </row>
    <row r="88" spans="1:11">
      <c r="A88" s="166"/>
      <c r="B88" s="167"/>
      <c r="I88" s="27" t="s">
        <v>1312</v>
      </c>
      <c r="J88" s="34"/>
    </row>
    <row r="89" spans="1:11">
      <c r="A89" s="166"/>
      <c r="I89" s="27" t="s">
        <v>1313</v>
      </c>
      <c r="J89" s="34"/>
    </row>
    <row r="90" spans="1:11">
      <c r="A90" s="166"/>
      <c r="C90" s="31"/>
      <c r="I90" s="27" t="s">
        <v>1314</v>
      </c>
      <c r="J90" s="34"/>
    </row>
    <row r="91" spans="1:11">
      <c r="A91" s="166"/>
      <c r="C91" s="31"/>
    </row>
    <row r="92" spans="1:11">
      <c r="A92" s="166"/>
      <c r="C92" s="31"/>
    </row>
    <row r="93" spans="1:11">
      <c r="A93" s="166"/>
      <c r="C93" s="31"/>
    </row>
    <row r="94" spans="1:11">
      <c r="A94" s="166"/>
      <c r="C94" s="31"/>
    </row>
    <row r="95" spans="1:11">
      <c r="A95" s="166"/>
      <c r="C95" s="31"/>
    </row>
    <row r="96" spans="1:11">
      <c r="A96" s="166"/>
      <c r="C96" s="31"/>
    </row>
    <row r="97" spans="1:3">
      <c r="A97" s="166"/>
      <c r="C97" s="31"/>
    </row>
    <row r="98" spans="1:3">
      <c r="A98" s="166"/>
      <c r="C98" s="31"/>
    </row>
    <row r="99" spans="1:3">
      <c r="A99" s="166"/>
      <c r="C99" s="31"/>
    </row>
    <row r="100" spans="1:3">
      <c r="A100" s="166"/>
      <c r="C100" s="31"/>
    </row>
    <row r="101" spans="1:3">
      <c r="A101" s="166"/>
      <c r="C101" s="31"/>
    </row>
    <row r="102" spans="1:3">
      <c r="A102" s="166"/>
      <c r="C102" s="31"/>
    </row>
    <row r="103" spans="1:3">
      <c r="A103" s="166"/>
      <c r="C103" s="31"/>
    </row>
    <row r="104" spans="1:3">
      <c r="A104" s="166"/>
      <c r="C104" s="31"/>
    </row>
    <row r="105" spans="1:3">
      <c r="A105" s="166"/>
      <c r="C105" s="31"/>
    </row>
    <row r="106" spans="1:3">
      <c r="A106" s="166"/>
      <c r="C106" s="31"/>
    </row>
    <row r="107" spans="1:3">
      <c r="A107" s="166"/>
      <c r="C107" s="31"/>
    </row>
    <row r="108" spans="1:3">
      <c r="A108" s="166"/>
      <c r="C108" s="31"/>
    </row>
  </sheetData>
  <hyperlinks>
    <hyperlink ref="B2" r:id="rId1" xr:uid="{758DF81D-E866-481E-87AB-26DFFD1C17F2}"/>
    <hyperlink ref="C2" r:id="rId2" xr:uid="{5DDC8480-AEC3-4F4F-9947-FAB6D3C078F3}"/>
  </hyperlinks>
  <pageMargins left="0.7" right="0.7" top="0.75" bottom="0.75" header="0.3" footer="0.3"/>
  <pageSetup scale="42" orientation="landscape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7CDEC-3296-477A-A89E-F7E5F8A05507}">
  <sheetPr>
    <tabColor rgb="FF8EA9DB"/>
    <pageSetUpPr fitToPage="1"/>
  </sheetPr>
  <dimension ref="A1:J75"/>
  <sheetViews>
    <sheetView workbookViewId="0"/>
  </sheetViews>
  <sheetFormatPr defaultColWidth="9.140625" defaultRowHeight="18"/>
  <cols>
    <col min="1" max="1" width="40.28515625" style="14" bestFit="1" customWidth="1"/>
    <col min="2" max="2" width="39.85546875" style="14" customWidth="1"/>
    <col min="3" max="3" width="36.140625" style="14" customWidth="1"/>
    <col min="4" max="4" width="31.5703125" style="14" customWidth="1"/>
    <col min="5" max="5" width="40.28515625" style="14" bestFit="1" customWidth="1"/>
    <col min="6" max="6" width="32.85546875" style="14" customWidth="1"/>
    <col min="7" max="7" width="37.5703125" style="14" bestFit="1" customWidth="1"/>
    <col min="8" max="8" width="36.140625" style="14" bestFit="1" customWidth="1"/>
    <col min="9" max="9" width="30.140625" style="14" customWidth="1"/>
    <col min="10" max="10" width="38.42578125" style="14" bestFit="1" customWidth="1"/>
    <col min="11" max="16384" width="9.140625" style="14"/>
  </cols>
  <sheetData>
    <row r="1" spans="1:10">
      <c r="A1" s="2" t="s">
        <v>69</v>
      </c>
      <c r="B1" s="69" t="s">
        <v>1551</v>
      </c>
      <c r="C1" s="120" t="s">
        <v>1383</v>
      </c>
      <c r="D1" s="2" t="s">
        <v>1552</v>
      </c>
      <c r="F1" s="2"/>
      <c r="G1" s="2"/>
    </row>
    <row r="2" spans="1:10">
      <c r="A2" s="119" t="s">
        <v>1237</v>
      </c>
      <c r="B2" s="118" t="s">
        <v>1238</v>
      </c>
      <c r="C2" s="117" t="s">
        <v>1239</v>
      </c>
    </row>
    <row r="3" spans="1:10">
      <c r="A3" s="8" t="s">
        <v>644</v>
      </c>
      <c r="B3" s="8" t="s">
        <v>645</v>
      </c>
      <c r="C3" s="8" t="s">
        <v>646</v>
      </c>
      <c r="D3" s="8" t="s">
        <v>647</v>
      </c>
      <c r="E3" s="8" t="s">
        <v>723</v>
      </c>
      <c r="F3" s="8" t="s">
        <v>724</v>
      </c>
      <c r="G3" s="8" t="s">
        <v>729</v>
      </c>
      <c r="H3" s="8" t="s">
        <v>730</v>
      </c>
    </row>
    <row r="4" spans="1:10">
      <c r="A4" s="308" t="s">
        <v>731</v>
      </c>
      <c r="B4" s="308" t="s">
        <v>732</v>
      </c>
      <c r="C4" s="308" t="s">
        <v>733</v>
      </c>
      <c r="D4" s="308" t="s">
        <v>734</v>
      </c>
      <c r="E4" s="309" t="s">
        <v>735</v>
      </c>
      <c r="F4" s="309" t="s">
        <v>736</v>
      </c>
      <c r="G4" s="309" t="s">
        <v>737</v>
      </c>
      <c r="H4" s="309" t="s">
        <v>738</v>
      </c>
    </row>
    <row r="5" spans="1:10">
      <c r="A5" s="308" t="s">
        <v>739</v>
      </c>
      <c r="B5" s="308" t="s">
        <v>740</v>
      </c>
      <c r="C5" s="308" t="s">
        <v>741</v>
      </c>
      <c r="D5" s="308" t="s">
        <v>742</v>
      </c>
      <c r="E5" s="309" t="s">
        <v>743</v>
      </c>
      <c r="F5" s="309" t="s">
        <v>744</v>
      </c>
      <c r="G5" s="309" t="s">
        <v>745</v>
      </c>
      <c r="H5" s="309" t="s">
        <v>746</v>
      </c>
    </row>
    <row r="6" spans="1:10">
      <c r="A6" s="308" t="s">
        <v>747</v>
      </c>
      <c r="B6" s="308" t="s">
        <v>748</v>
      </c>
      <c r="C6" s="308" t="s">
        <v>749</v>
      </c>
      <c r="D6" s="308" t="s">
        <v>750</v>
      </c>
      <c r="E6" s="309" t="s">
        <v>751</v>
      </c>
      <c r="F6" s="309" t="s">
        <v>752</v>
      </c>
      <c r="G6" s="309" t="s">
        <v>753</v>
      </c>
      <c r="H6" s="309" t="s">
        <v>754</v>
      </c>
    </row>
    <row r="7" spans="1:10">
      <c r="A7" s="2"/>
      <c r="B7" s="2"/>
      <c r="C7" s="2"/>
      <c r="D7" s="2"/>
    </row>
    <row r="8" spans="1:10">
      <c r="A8" s="2"/>
      <c r="B8" s="2"/>
      <c r="C8" s="2"/>
      <c r="D8" s="2"/>
    </row>
    <row r="9" spans="1:10">
      <c r="A9" s="2"/>
      <c r="B9" s="2"/>
      <c r="C9" s="2"/>
      <c r="D9" s="2"/>
    </row>
    <row r="10" spans="1:10">
      <c r="A10" s="2"/>
      <c r="B10" s="2"/>
      <c r="C10" s="2"/>
      <c r="D10" s="2"/>
    </row>
    <row r="11" spans="1:10">
      <c r="A11" s="2"/>
      <c r="B11" s="2"/>
      <c r="C11" s="2"/>
      <c r="D11" s="2"/>
    </row>
    <row r="12" spans="1:10">
      <c r="A12" s="2"/>
      <c r="B12" s="2"/>
      <c r="C12" s="2"/>
      <c r="D12" s="2"/>
    </row>
    <row r="13" spans="1:10">
      <c r="A13" s="8" t="s">
        <v>1240</v>
      </c>
      <c r="B13" s="116" t="s">
        <v>1241</v>
      </c>
      <c r="C13" s="8" t="s">
        <v>1242</v>
      </c>
      <c r="D13" s="8" t="s">
        <v>1243</v>
      </c>
      <c r="E13" s="8" t="s">
        <v>1244</v>
      </c>
      <c r="F13" s="8" t="s">
        <v>1245</v>
      </c>
      <c r="G13" s="8" t="s">
        <v>1246</v>
      </c>
      <c r="H13" s="8" t="s">
        <v>1245</v>
      </c>
      <c r="I13" s="8" t="s">
        <v>11</v>
      </c>
      <c r="J13" s="8" t="s">
        <v>1180</v>
      </c>
    </row>
    <row r="14" spans="1:10">
      <c r="A14" s="322">
        <v>46053</v>
      </c>
      <c r="B14" s="321">
        <f>CHICLETS!F7</f>
        <v>0.36111111111111099</v>
      </c>
      <c r="C14" s="321" t="str">
        <f>CHICLETS!$I$4</f>
        <v>COSTA MESA HS 2</v>
      </c>
      <c r="D14" s="320" t="s">
        <v>1461</v>
      </c>
      <c r="E14" s="322" t="str">
        <f>A4</f>
        <v>A1(1)-ORANGE COUNTY WPC BLUE</v>
      </c>
      <c r="F14" s="320">
        <v>11</v>
      </c>
      <c r="G14" s="322" t="str">
        <f>A5</f>
        <v>A2(16)-STANFORD BLACK</v>
      </c>
      <c r="H14" s="320">
        <v>5</v>
      </c>
      <c r="I14" s="320" t="s">
        <v>1269</v>
      </c>
      <c r="J14" s="320" t="s">
        <v>722</v>
      </c>
    </row>
    <row r="15" spans="1:10">
      <c r="A15" s="322">
        <v>46053</v>
      </c>
      <c r="B15" s="321">
        <f>CHICLETS!F8</f>
        <v>0.39583333333333398</v>
      </c>
      <c r="C15" s="321" t="str">
        <f>CHICLETS!$I$4</f>
        <v>COSTA MESA HS 2</v>
      </c>
      <c r="D15" s="320" t="s">
        <v>1481</v>
      </c>
      <c r="E15" s="320" t="str">
        <f>C4</f>
        <v>C1(5)-BACK BAY</v>
      </c>
      <c r="F15" s="320">
        <v>6</v>
      </c>
      <c r="G15" s="320" t="str">
        <f>C6</f>
        <v>C3(21)-MISSION WPC B</v>
      </c>
      <c r="H15" s="320">
        <v>16</v>
      </c>
      <c r="I15" s="320" t="s">
        <v>1254</v>
      </c>
      <c r="J15" s="320" t="s">
        <v>722</v>
      </c>
    </row>
    <row r="16" spans="1:10">
      <c r="A16" s="2"/>
      <c r="B16" s="2"/>
      <c r="C16" s="2"/>
      <c r="D16" s="2"/>
    </row>
    <row r="17" spans="1:10">
      <c r="A17" s="322">
        <v>46053</v>
      </c>
      <c r="B17" s="321">
        <f>CHICLETS!F10</f>
        <v>0.46527777777777801</v>
      </c>
      <c r="C17" s="321" t="str">
        <f>CHICLETS!$J$4</f>
        <v>TUSTIN HS 2</v>
      </c>
      <c r="D17" s="320" t="s">
        <v>1464</v>
      </c>
      <c r="E17" s="320" t="str">
        <f>D4</f>
        <v>D1(8)-GOLD COAST</v>
      </c>
      <c r="F17" s="320">
        <v>12.3</v>
      </c>
      <c r="G17" s="320" t="str">
        <f>D6</f>
        <v>D3(24)-LAMORINDA B</v>
      </c>
      <c r="H17" s="320">
        <v>12.4</v>
      </c>
      <c r="I17" s="320" t="s">
        <v>1248</v>
      </c>
      <c r="J17" s="320" t="s">
        <v>722</v>
      </c>
    </row>
    <row r="18" spans="1:10">
      <c r="A18" s="322">
        <v>46053</v>
      </c>
      <c r="B18" s="321">
        <f>CHICLETS!F11</f>
        <v>0.5</v>
      </c>
      <c r="C18" s="321" t="str">
        <f>CHICLETS!$J$4</f>
        <v>TUSTIN HS 2</v>
      </c>
      <c r="D18" s="320" t="s">
        <v>1483</v>
      </c>
      <c r="E18" s="320" t="str">
        <f>B4</f>
        <v>B1(4)-MARIN</v>
      </c>
      <c r="F18" s="320">
        <v>12</v>
      </c>
      <c r="G18" s="320" t="str">
        <f>B6</f>
        <v>B3(20)-LAMORINDA C</v>
      </c>
      <c r="H18" s="320">
        <v>0</v>
      </c>
      <c r="I18" s="320" t="s">
        <v>1252</v>
      </c>
      <c r="J18" s="320" t="s">
        <v>722</v>
      </c>
    </row>
    <row r="19" spans="1:10">
      <c r="A19" s="322">
        <v>46053</v>
      </c>
      <c r="B19" s="321">
        <f>CHICLETS!F12</f>
        <v>0.53472222222222199</v>
      </c>
      <c r="C19" s="321" t="str">
        <f>CHICLETS!$J$4</f>
        <v>TUSTIN HS 2</v>
      </c>
      <c r="D19" s="320" t="s">
        <v>1463</v>
      </c>
      <c r="E19" s="322" t="str">
        <f>A4</f>
        <v>A1(1)-ORANGE COUNTY WPC BLUE</v>
      </c>
      <c r="F19" s="320">
        <v>18</v>
      </c>
      <c r="G19" s="330" t="str">
        <f>A6</f>
        <v>A3(17)-680 WHITE</v>
      </c>
      <c r="H19" s="320">
        <v>1</v>
      </c>
      <c r="I19" s="320" t="s">
        <v>1250</v>
      </c>
      <c r="J19" s="320" t="s">
        <v>722</v>
      </c>
    </row>
    <row r="20" spans="1:10">
      <c r="A20" s="322">
        <v>46053</v>
      </c>
      <c r="B20" s="321">
        <f>CHICLETS!F13</f>
        <v>0.56944444444444497</v>
      </c>
      <c r="C20" s="321" t="str">
        <f>CHICLETS!$J$4</f>
        <v>TUSTIN HS 2</v>
      </c>
      <c r="D20" s="320" t="s">
        <v>1485</v>
      </c>
      <c r="E20" s="320" t="str">
        <f>C5</f>
        <v>C2(12)-CC UNITED BLUE</v>
      </c>
      <c r="F20" s="320">
        <v>5</v>
      </c>
      <c r="G20" s="320" t="str">
        <f>C6</f>
        <v>C3(21)-MISSION WPC B</v>
      </c>
      <c r="H20" s="320">
        <v>8</v>
      </c>
      <c r="I20" s="320" t="s">
        <v>1265</v>
      </c>
      <c r="J20" s="320" t="s">
        <v>722</v>
      </c>
    </row>
    <row r="21" spans="1:10">
      <c r="A21" s="322">
        <v>46053</v>
      </c>
      <c r="B21" s="321">
        <f>CHICLETS!F14</f>
        <v>0.60416666666666696</v>
      </c>
      <c r="C21" s="321" t="str">
        <f>CHICLETS!$J$4</f>
        <v>TUSTIN HS 2</v>
      </c>
      <c r="D21" s="320" t="s">
        <v>1466</v>
      </c>
      <c r="E21" s="320" t="str">
        <f>D5</f>
        <v>D2(9)-NORTH IRVINE RED</v>
      </c>
      <c r="F21" s="320">
        <v>5</v>
      </c>
      <c r="G21" s="320" t="str">
        <f>D6</f>
        <v>D3(24)-LAMORINDA B</v>
      </c>
      <c r="H21" s="320">
        <v>9</v>
      </c>
      <c r="I21" s="320" t="s">
        <v>1258</v>
      </c>
      <c r="J21" s="320" t="s">
        <v>722</v>
      </c>
    </row>
    <row r="22" spans="1:10">
      <c r="A22" s="322">
        <v>46053</v>
      </c>
      <c r="B22" s="321">
        <f>CHICLETS!F15</f>
        <v>0.63888888888888895</v>
      </c>
      <c r="C22" s="321" t="str">
        <f>CHICLETS!$J$4</f>
        <v>TUSTIN HS 2</v>
      </c>
      <c r="D22" s="320" t="s">
        <v>1487</v>
      </c>
      <c r="E22" s="320" t="str">
        <f>B5</f>
        <v>B2(13)-SAN CLEMENTE BLACK</v>
      </c>
      <c r="F22" s="320">
        <v>18</v>
      </c>
      <c r="G22" s="320" t="str">
        <f>B6</f>
        <v>B3(20)-LAMORINDA C</v>
      </c>
      <c r="H22" s="320">
        <v>1</v>
      </c>
      <c r="I22" s="320" t="s">
        <v>1263</v>
      </c>
      <c r="J22" s="320" t="s">
        <v>722</v>
      </c>
    </row>
    <row r="23" spans="1:10">
      <c r="A23" s="322">
        <v>46053</v>
      </c>
      <c r="B23" s="321">
        <f>CHICLETS!F16</f>
        <v>0.67361111111111105</v>
      </c>
      <c r="C23" s="321" t="str">
        <f>CHICLETS!$J$4</f>
        <v>TUSTIN HS 2</v>
      </c>
      <c r="D23" s="320" t="s">
        <v>1468</v>
      </c>
      <c r="E23" s="322" t="str">
        <f>A5</f>
        <v>A2(16)-STANFORD BLACK</v>
      </c>
      <c r="F23" s="320">
        <v>16</v>
      </c>
      <c r="G23" s="322" t="str">
        <f>A6</f>
        <v>A3(17)-680 WHITE</v>
      </c>
      <c r="H23" s="320">
        <v>2</v>
      </c>
      <c r="I23" s="320" t="s">
        <v>1261</v>
      </c>
      <c r="J23" s="320" t="s">
        <v>722</v>
      </c>
    </row>
    <row r="24" spans="1:10">
      <c r="A24" s="322">
        <v>46053</v>
      </c>
      <c r="B24" s="321">
        <f>CHICLETS!F17</f>
        <v>0.70833333333333404</v>
      </c>
      <c r="C24" s="321" t="str">
        <f>CHICLETS!$J$4</f>
        <v>TUSTIN HS 2</v>
      </c>
      <c r="D24" s="320" t="s">
        <v>1489</v>
      </c>
      <c r="E24" s="323" t="str">
        <f>C4</f>
        <v>C1(5)-BACK BAY</v>
      </c>
      <c r="F24" s="323">
        <v>17</v>
      </c>
      <c r="G24" s="323" t="str">
        <f>C5</f>
        <v>C2(12)-CC UNITED BLUE</v>
      </c>
      <c r="H24" s="320">
        <v>4</v>
      </c>
      <c r="I24" s="320" t="s">
        <v>1275</v>
      </c>
      <c r="J24" s="320" t="s">
        <v>722</v>
      </c>
    </row>
    <row r="25" spans="1:10">
      <c r="A25" s="322">
        <v>46053</v>
      </c>
      <c r="B25" s="321">
        <f>CHICLETS!F18</f>
        <v>0.74305555555555602</v>
      </c>
      <c r="C25" s="321" t="str">
        <f>CHICLETS!$J$4</f>
        <v>TUSTIN HS 2</v>
      </c>
      <c r="D25" s="320" t="s">
        <v>1460</v>
      </c>
      <c r="E25" s="323" t="str">
        <f>D4</f>
        <v>D1(8)-GOLD COAST</v>
      </c>
      <c r="F25" s="323">
        <v>8</v>
      </c>
      <c r="G25" s="323" t="str">
        <f>D5</f>
        <v>D2(9)-NORTH IRVINE RED</v>
      </c>
      <c r="H25" s="320">
        <v>6</v>
      </c>
      <c r="I25" s="320" t="s">
        <v>1267</v>
      </c>
      <c r="J25" s="320" t="s">
        <v>722</v>
      </c>
    </row>
    <row r="26" spans="1:10">
      <c r="A26" s="322">
        <v>46053</v>
      </c>
      <c r="B26" s="321">
        <f>CHICLETS!F19</f>
        <v>0.77777777777777801</v>
      </c>
      <c r="C26" s="321" t="str">
        <f>CHICLETS!$J$4</f>
        <v>TUSTIN HS 2</v>
      </c>
      <c r="D26" s="320" t="s">
        <v>1491</v>
      </c>
      <c r="E26" s="323" t="str">
        <f>B4</f>
        <v>B1(4)-MARIN</v>
      </c>
      <c r="F26" s="323">
        <v>2</v>
      </c>
      <c r="G26" s="323" t="str">
        <f>B5</f>
        <v>B2(13)-SAN CLEMENTE BLACK</v>
      </c>
      <c r="H26" s="320">
        <v>15</v>
      </c>
      <c r="I26" s="320" t="s">
        <v>1272</v>
      </c>
      <c r="J26" s="320" t="s">
        <v>722</v>
      </c>
    </row>
    <row r="27" spans="1:10">
      <c r="A27" s="166"/>
      <c r="B27" s="31"/>
      <c r="C27" s="166"/>
      <c r="D27" s="311"/>
      <c r="J27" s="311"/>
    </row>
    <row r="28" spans="1:10">
      <c r="A28" s="314">
        <v>46053</v>
      </c>
      <c r="B28" s="313">
        <f>CHICLETS!F7</f>
        <v>0.36111111111111099</v>
      </c>
      <c r="C28" s="313" t="str">
        <f>CHICLETS!$G$4</f>
        <v>WOOLLETT FAR RIGHT</v>
      </c>
      <c r="D28" s="310" t="s">
        <v>1553</v>
      </c>
      <c r="E28" s="310" t="str">
        <f>G4</f>
        <v>G1(6)-SAN MATEO</v>
      </c>
      <c r="F28" s="310">
        <v>22</v>
      </c>
      <c r="G28" s="310" t="str">
        <f>G6</f>
        <v>G3(22)-NORTH IRVINE WHITE</v>
      </c>
      <c r="H28" s="310">
        <v>2</v>
      </c>
      <c r="I28" s="310" t="s">
        <v>1510</v>
      </c>
      <c r="J28" s="310" t="s">
        <v>722</v>
      </c>
    </row>
    <row r="29" spans="1:10">
      <c r="A29" s="166"/>
      <c r="B29" s="31"/>
      <c r="C29" s="166"/>
      <c r="D29" s="311"/>
      <c r="J29" s="311"/>
    </row>
    <row r="30" spans="1:10">
      <c r="A30" s="314">
        <v>46053</v>
      </c>
      <c r="B30" s="313">
        <f>CHICLETS!F10</f>
        <v>0.46527777777777801</v>
      </c>
      <c r="C30" s="313" t="str">
        <f>CHICLETS!$I$4</f>
        <v>COSTA MESA HS 2</v>
      </c>
      <c r="D30" s="310" t="s">
        <v>1554</v>
      </c>
      <c r="E30" s="314" t="str">
        <f>E4</f>
        <v>E1(2)-TROJAN</v>
      </c>
      <c r="F30" s="310">
        <v>15</v>
      </c>
      <c r="G30" s="314" t="str">
        <f>E6</f>
        <v>E3(18)-CC UNITED WHITE</v>
      </c>
      <c r="H30" s="310">
        <v>3</v>
      </c>
      <c r="I30" s="310" t="s">
        <v>1555</v>
      </c>
      <c r="J30" s="310" t="s">
        <v>722</v>
      </c>
    </row>
    <row r="31" spans="1:10">
      <c r="A31" s="314">
        <v>46053</v>
      </c>
      <c r="B31" s="313">
        <f>CHICLETS!F10</f>
        <v>0.46527777777777801</v>
      </c>
      <c r="C31" s="313" t="str">
        <f>CHICLETS!$G$4</f>
        <v>WOOLLETT FAR RIGHT</v>
      </c>
      <c r="D31" s="310" t="s">
        <v>1556</v>
      </c>
      <c r="E31" s="312" t="str">
        <f>G4</f>
        <v>G1(6)-SAN MATEO</v>
      </c>
      <c r="F31" s="312">
        <v>8</v>
      </c>
      <c r="G31" s="312" t="str">
        <f>G5</f>
        <v>G2(11)-SOUTH COAST RED</v>
      </c>
      <c r="H31" s="310">
        <v>6</v>
      </c>
      <c r="I31" s="310" t="s">
        <v>1557</v>
      </c>
      <c r="J31" s="310" t="s">
        <v>722</v>
      </c>
    </row>
    <row r="32" spans="1:10">
      <c r="A32" s="314">
        <v>46053</v>
      </c>
      <c r="B32" s="313">
        <f>CHICLETS!F11</f>
        <v>0.5</v>
      </c>
      <c r="C32" s="313" t="str">
        <f>CHICLETS!$I$4</f>
        <v>COSTA MESA HS 2</v>
      </c>
      <c r="D32" s="310" t="s">
        <v>1558</v>
      </c>
      <c r="E32" s="310" t="str">
        <f>H4</f>
        <v>H1(7)-FOOTHILL RED</v>
      </c>
      <c r="F32" s="310">
        <v>12</v>
      </c>
      <c r="G32" s="310" t="str">
        <f>H6</f>
        <v>H3(23)-STANFORD WHITE</v>
      </c>
      <c r="H32" s="310">
        <v>2</v>
      </c>
      <c r="I32" s="310" t="s">
        <v>1512</v>
      </c>
      <c r="J32" s="310" t="s">
        <v>722</v>
      </c>
    </row>
    <row r="33" spans="1:10">
      <c r="A33" s="314">
        <v>46053</v>
      </c>
      <c r="B33" s="313">
        <f>CHICLETS!F12</f>
        <v>0.53472222222222199</v>
      </c>
      <c r="C33" s="313" t="str">
        <f>CHICLETS!$I$4</f>
        <v>COSTA MESA HS 2</v>
      </c>
      <c r="D33" s="310" t="s">
        <v>1559</v>
      </c>
      <c r="E33" s="310" t="str">
        <f>F4</f>
        <v>F1(3)-CMAC</v>
      </c>
      <c r="F33" s="310">
        <v>10</v>
      </c>
      <c r="G33" s="310" t="str">
        <f>F6</f>
        <v>F3(19)-PATRIOT 10 NAVY</v>
      </c>
      <c r="H33" s="310">
        <v>5</v>
      </c>
      <c r="I33" s="310" t="s">
        <v>1560</v>
      </c>
      <c r="J33" s="310" t="s">
        <v>722</v>
      </c>
    </row>
    <row r="34" spans="1:10">
      <c r="A34" s="314">
        <v>46053</v>
      </c>
      <c r="B34" s="313">
        <f>CHICLETS!F13</f>
        <v>0.56944444444444497</v>
      </c>
      <c r="C34" s="313" t="str">
        <f>CHICLETS!$I$4</f>
        <v>COSTA MESA HS 2</v>
      </c>
      <c r="D34" s="310" t="s">
        <v>1561</v>
      </c>
      <c r="E34" s="314" t="str">
        <f>E5</f>
        <v>E2(15)-LA JOLLA UNITED GOLD</v>
      </c>
      <c r="F34" s="310">
        <v>8</v>
      </c>
      <c r="G34" s="314" t="str">
        <f>E6</f>
        <v>E3(18)-CC UNITED WHITE</v>
      </c>
      <c r="H34" s="310">
        <v>5</v>
      </c>
      <c r="I34" s="310" t="s">
        <v>1562</v>
      </c>
      <c r="J34" s="310" t="s">
        <v>722</v>
      </c>
    </row>
    <row r="35" spans="1:10">
      <c r="A35" s="314">
        <v>46053</v>
      </c>
      <c r="B35" s="313">
        <f>CHICLETS!F13</f>
        <v>0.56944444444444497</v>
      </c>
      <c r="C35" s="313" t="str">
        <f>CHICLETS!$G$4</f>
        <v>WOOLLETT FAR RIGHT</v>
      </c>
      <c r="D35" s="310" t="s">
        <v>1563</v>
      </c>
      <c r="E35" s="310" t="str">
        <f>G5</f>
        <v>G2(11)-SOUTH COAST RED</v>
      </c>
      <c r="F35" s="310">
        <v>15</v>
      </c>
      <c r="G35" s="310" t="str">
        <f>G6</f>
        <v>G3(22)-NORTH IRVINE WHITE</v>
      </c>
      <c r="H35" s="310">
        <v>0</v>
      </c>
      <c r="I35" s="310" t="s">
        <v>1516</v>
      </c>
      <c r="J35" s="310" t="s">
        <v>722</v>
      </c>
    </row>
    <row r="36" spans="1:10">
      <c r="A36" s="314">
        <v>46053</v>
      </c>
      <c r="B36" s="313">
        <f>CHICLETS!F14</f>
        <v>0.60416666666666696</v>
      </c>
      <c r="C36" s="313" t="str">
        <f>CHICLETS!$I$4</f>
        <v>COSTA MESA HS 2</v>
      </c>
      <c r="D36" s="310" t="s">
        <v>1564</v>
      </c>
      <c r="E36" s="310" t="str">
        <f>H5</f>
        <v>H2(10)-AMERICAN RIVER BLUE</v>
      </c>
      <c r="F36" s="310">
        <v>9</v>
      </c>
      <c r="G36" s="310" t="str">
        <f>H6</f>
        <v>H3(23)-STANFORD WHITE</v>
      </c>
      <c r="H36" s="310">
        <v>15</v>
      </c>
      <c r="I36" s="310" t="s">
        <v>1518</v>
      </c>
      <c r="J36" s="310" t="s">
        <v>722</v>
      </c>
    </row>
    <row r="37" spans="1:10">
      <c r="A37" s="314">
        <v>46053</v>
      </c>
      <c r="B37" s="313">
        <f>CHICLETS!F15</f>
        <v>0.63888888888888895</v>
      </c>
      <c r="C37" s="313" t="str">
        <f>CHICLETS!$I$4</f>
        <v>COSTA MESA HS 2</v>
      </c>
      <c r="D37" s="310" t="s">
        <v>1565</v>
      </c>
      <c r="E37" s="310" t="str">
        <f>F5</f>
        <v>F2(14)-680 BLUE</v>
      </c>
      <c r="F37" s="310">
        <v>10</v>
      </c>
      <c r="G37" s="310" t="str">
        <f>F6</f>
        <v>F3(19)-PATRIOT 10 NAVY</v>
      </c>
      <c r="H37" s="310">
        <v>1</v>
      </c>
      <c r="I37" s="310" t="s">
        <v>1566</v>
      </c>
      <c r="J37" s="310" t="s">
        <v>722</v>
      </c>
    </row>
    <row r="38" spans="1:10">
      <c r="A38" s="314">
        <v>46053</v>
      </c>
      <c r="B38" s="313">
        <f>CHICLETS!F16</f>
        <v>0.67361111111111105</v>
      </c>
      <c r="C38" s="313" t="str">
        <f>CHICLETS!$I$4</f>
        <v>COSTA MESA HS 2</v>
      </c>
      <c r="D38" s="310" t="s">
        <v>1567</v>
      </c>
      <c r="E38" s="314" t="str">
        <f>E4</f>
        <v>E1(2)-TROJAN</v>
      </c>
      <c r="F38" s="310">
        <v>12</v>
      </c>
      <c r="G38" s="314" t="str">
        <f>E5</f>
        <v>E2(15)-LA JOLLA UNITED GOLD</v>
      </c>
      <c r="H38" s="310">
        <v>1</v>
      </c>
      <c r="I38" s="310" t="s">
        <v>1568</v>
      </c>
      <c r="J38" s="310" t="s">
        <v>722</v>
      </c>
    </row>
    <row r="39" spans="1:10">
      <c r="A39" s="314">
        <v>46053</v>
      </c>
      <c r="B39" s="313">
        <f>CHICLETS!F17</f>
        <v>0.70833333333333404</v>
      </c>
      <c r="C39" s="313" t="str">
        <f>CHICLETS!$I$4</f>
        <v>COSTA MESA HS 2</v>
      </c>
      <c r="D39" s="310" t="s">
        <v>1569</v>
      </c>
      <c r="E39" s="312" t="str">
        <f>H4</f>
        <v>H1(7)-FOOTHILL RED</v>
      </c>
      <c r="F39" s="312">
        <v>17</v>
      </c>
      <c r="G39" s="312" t="str">
        <f>H5</f>
        <v>H2(10)-AMERICAN RIVER BLUE</v>
      </c>
      <c r="H39" s="310">
        <v>4</v>
      </c>
      <c r="I39" s="310" t="s">
        <v>1570</v>
      </c>
      <c r="J39" s="310" t="s">
        <v>722</v>
      </c>
    </row>
    <row r="40" spans="1:10">
      <c r="A40" s="314">
        <v>46053</v>
      </c>
      <c r="B40" s="313">
        <f>CHICLETS!F18</f>
        <v>0.74305555555555602</v>
      </c>
      <c r="C40" s="313" t="str">
        <f>CHICLETS!$I$4</f>
        <v>COSTA MESA HS 2</v>
      </c>
      <c r="D40" s="310" t="s">
        <v>1571</v>
      </c>
      <c r="E40" s="312" t="str">
        <f>F4</f>
        <v>F1(3)-CMAC</v>
      </c>
      <c r="F40" s="312">
        <v>5</v>
      </c>
      <c r="G40" s="312" t="str">
        <f>F5</f>
        <v>F2(14)-680 BLUE</v>
      </c>
      <c r="H40" s="310">
        <v>7</v>
      </c>
      <c r="I40" s="310" t="s">
        <v>1572</v>
      </c>
      <c r="J40" s="310" t="s">
        <v>722</v>
      </c>
    </row>
    <row r="41" spans="1:10">
      <c r="A41" s="166"/>
      <c r="B41" s="31"/>
      <c r="C41" s="166"/>
      <c r="D41" s="311"/>
      <c r="E41" s="311"/>
      <c r="F41" s="311"/>
      <c r="G41" s="311"/>
      <c r="H41" s="31"/>
      <c r="I41" s="31"/>
      <c r="J41" s="311"/>
    </row>
    <row r="42" spans="1:10">
      <c r="A42" s="185"/>
      <c r="B42" s="183"/>
      <c r="C42" s="185"/>
      <c r="D42" s="325"/>
      <c r="E42" s="325"/>
      <c r="F42" s="325"/>
      <c r="G42" s="325"/>
      <c r="H42" s="183"/>
      <c r="I42" s="183"/>
      <c r="J42" s="325"/>
    </row>
    <row r="43" spans="1:10">
      <c r="A43" s="166"/>
      <c r="B43" s="31"/>
      <c r="C43" s="166"/>
      <c r="D43" s="311"/>
      <c r="E43" s="311"/>
      <c r="F43" s="311"/>
      <c r="G43" s="311"/>
      <c r="H43" s="31"/>
      <c r="I43" s="31"/>
      <c r="J43" s="311"/>
    </row>
    <row r="44" spans="1:10">
      <c r="A44" s="322">
        <v>46054</v>
      </c>
      <c r="B44" s="321">
        <f>CHICLETS!F28</f>
        <v>0.3263888888888889</v>
      </c>
      <c r="C44" s="321" t="str">
        <f>CHICLETS!$I$26</f>
        <v>COSTA MESA HS 2</v>
      </c>
      <c r="D44" s="320" t="s">
        <v>1470</v>
      </c>
      <c r="E44" s="320" t="s">
        <v>1573</v>
      </c>
      <c r="F44" s="320">
        <v>13</v>
      </c>
      <c r="G44" s="320" t="s">
        <v>1574</v>
      </c>
      <c r="H44" s="323">
        <v>5</v>
      </c>
      <c r="I44" s="320" t="s">
        <v>1575</v>
      </c>
      <c r="J44" s="320" t="s">
        <v>722</v>
      </c>
    </row>
    <row r="45" spans="1:10">
      <c r="A45" s="322">
        <v>46054</v>
      </c>
      <c r="B45" s="321">
        <f>CHICLETS!F29</f>
        <v>0.36111111111111099</v>
      </c>
      <c r="C45" s="321" t="str">
        <f>CHICLETS!$I$26</f>
        <v>COSTA MESA HS 2</v>
      </c>
      <c r="D45" s="320" t="s">
        <v>1499</v>
      </c>
      <c r="E45" s="320" t="s">
        <v>1576</v>
      </c>
      <c r="F45" s="320">
        <v>7</v>
      </c>
      <c r="G45" s="320" t="s">
        <v>1577</v>
      </c>
      <c r="H45" s="320">
        <v>6</v>
      </c>
      <c r="I45" s="320" t="s">
        <v>1578</v>
      </c>
      <c r="J45" s="320" t="s">
        <v>722</v>
      </c>
    </row>
    <row r="46" spans="1:10">
      <c r="A46" s="322">
        <v>46054</v>
      </c>
      <c r="B46" s="321">
        <f>CHICLETS!F30</f>
        <v>0.39583333333333398</v>
      </c>
      <c r="C46" s="321" t="str">
        <f>CHICLETS!$I$26</f>
        <v>COSTA MESA HS 2</v>
      </c>
      <c r="D46" s="320" t="s">
        <v>1473</v>
      </c>
      <c r="E46" s="323" t="s">
        <v>1579</v>
      </c>
      <c r="F46" s="323">
        <v>2</v>
      </c>
      <c r="G46" s="323" t="s">
        <v>1580</v>
      </c>
      <c r="H46" s="320">
        <v>8</v>
      </c>
      <c r="I46" s="320" t="s">
        <v>1581</v>
      </c>
      <c r="J46" s="320" t="s">
        <v>722</v>
      </c>
    </row>
    <row r="47" spans="1:10">
      <c r="A47" s="322">
        <v>46054</v>
      </c>
      <c r="B47" s="321">
        <f>CHICLETS!F31</f>
        <v>0.43055555555555602</v>
      </c>
      <c r="C47" s="321" t="str">
        <f>CHICLETS!$I$26</f>
        <v>COSTA MESA HS 2</v>
      </c>
      <c r="D47" s="320" t="s">
        <v>1495</v>
      </c>
      <c r="E47" s="323" t="s">
        <v>1582</v>
      </c>
      <c r="F47" s="323">
        <v>5</v>
      </c>
      <c r="G47" s="323" t="s">
        <v>1583</v>
      </c>
      <c r="H47" s="320">
        <v>20</v>
      </c>
      <c r="I47" s="320" t="s">
        <v>1584</v>
      </c>
      <c r="J47" s="320" t="s">
        <v>722</v>
      </c>
    </row>
    <row r="48" spans="1:10">
      <c r="A48" s="314">
        <v>46054</v>
      </c>
      <c r="B48" s="313">
        <f>CHICLETS!F32</f>
        <v>0.46527777777777801</v>
      </c>
      <c r="C48" s="313" t="str">
        <f>CHICLETS!$I$26</f>
        <v>COSTA MESA HS 2</v>
      </c>
      <c r="D48" s="310" t="s">
        <v>1585</v>
      </c>
      <c r="E48" s="312" t="s">
        <v>1586</v>
      </c>
      <c r="F48" s="318">
        <v>13</v>
      </c>
      <c r="G48" s="310" t="s">
        <v>1587</v>
      </c>
      <c r="H48" s="310">
        <v>2</v>
      </c>
      <c r="I48" s="310" t="s">
        <v>1588</v>
      </c>
      <c r="J48" s="310" t="s">
        <v>722</v>
      </c>
    </row>
    <row r="49" spans="1:10">
      <c r="A49" s="322">
        <v>46054</v>
      </c>
      <c r="B49" s="321">
        <f>CHICLETS!F33</f>
        <v>0.5</v>
      </c>
      <c r="C49" s="321" t="str">
        <f>CHICLETS!$I$26</f>
        <v>COSTA MESA HS 2</v>
      </c>
      <c r="D49" s="324" t="s">
        <v>1501</v>
      </c>
      <c r="E49" s="323" t="str">
        <f>IF(F44="","W#17",IF(F44&gt;H44,_xlfn.CONCAT("W#17-",RIGHT(E44,LEN(E44) - FIND("-",E44))), _xlfn.CONCAT("W#17-",RIGHT(G44,LEN(G44) - FIND("-",G44)))))</f>
        <v>W#17-ORANGE COUNTY WPC BLUE</v>
      </c>
      <c r="F49" s="323">
        <v>12</v>
      </c>
      <c r="G49" s="323" t="str">
        <f>IF(F45="","W#18",IF(F45&gt;H45,_xlfn.CONCAT("W#18-",RIGHT(E45,LEN(E45) - FIND("-",E45))), _xlfn.CONCAT("W#18-",RIGHT(G45,LEN(G45) - FIND("-",G45)))))</f>
        <v>W#18-SAN CLEMENTE BLACK</v>
      </c>
      <c r="H49" s="323">
        <v>2</v>
      </c>
      <c r="I49" s="323" t="s">
        <v>1589</v>
      </c>
      <c r="J49" s="320" t="s">
        <v>722</v>
      </c>
    </row>
    <row r="50" spans="1:10">
      <c r="A50" s="314">
        <v>46054</v>
      </c>
      <c r="B50" s="313">
        <f>CHICLETS!F34</f>
        <v>0.53472222222222199</v>
      </c>
      <c r="C50" s="313" t="str">
        <f>CHICLETS!$I$26</f>
        <v>COSTA MESA HS 2</v>
      </c>
      <c r="D50" s="319" t="s">
        <v>1590</v>
      </c>
      <c r="E50" s="312" t="str">
        <f>IF(F60="","W#17A",IF(F60&gt;H60,_xlfn.CONCAT("W#17A-",RIGHT(E60,LEN(E60) - FIND("-",E60))), _xlfn.CONCAT("W#17A-",RIGHT(G60,LEN(G60) - FIND("-",G60)))))</f>
        <v>W#17A-FOOTHILL RED</v>
      </c>
      <c r="F50" s="312">
        <v>9</v>
      </c>
      <c r="G50" s="310" t="str">
        <f>IF(F61="","W#18A",IF(F61&gt;H61,_xlfn.CONCAT("W#18A-",RIGHT(E61,LEN(E61) - FIND("-",E61))), _xlfn.CONCAT("W#18A-",RIGHT(G61,LEN(G61) - FIND("-",G61)))))</f>
        <v>W#18A-680 BLUE</v>
      </c>
      <c r="H50" s="312">
        <v>4</v>
      </c>
      <c r="I50" s="312" t="s">
        <v>1589</v>
      </c>
      <c r="J50" s="310" t="s">
        <v>722</v>
      </c>
    </row>
    <row r="51" spans="1:10">
      <c r="A51" s="322">
        <v>46054</v>
      </c>
      <c r="B51" s="321">
        <f>CHICLETS!F35</f>
        <v>0.56944444444444497</v>
      </c>
      <c r="C51" s="321" t="str">
        <f>CHICLETS!$I$26</f>
        <v>COSTA MESA HS 2</v>
      </c>
      <c r="D51" s="320" t="s">
        <v>1471</v>
      </c>
      <c r="E51" s="323" t="s">
        <v>1591</v>
      </c>
      <c r="F51" s="323">
        <v>9</v>
      </c>
      <c r="G51" s="323" t="s">
        <v>1592</v>
      </c>
      <c r="H51" s="323">
        <v>4</v>
      </c>
      <c r="I51" s="323" t="s">
        <v>1593</v>
      </c>
      <c r="J51" s="320" t="s">
        <v>722</v>
      </c>
    </row>
    <row r="52" spans="1:10">
      <c r="A52" s="322">
        <v>46054</v>
      </c>
      <c r="B52" s="321">
        <f>CHICLETS!F36</f>
        <v>0.60416666666666696</v>
      </c>
      <c r="C52" s="321" t="str">
        <f>CHICLETS!$I$26</f>
        <v>COSTA MESA HS 2</v>
      </c>
      <c r="D52" s="320" t="s">
        <v>1493</v>
      </c>
      <c r="E52" s="320" t="s">
        <v>1594</v>
      </c>
      <c r="F52" s="320">
        <v>4</v>
      </c>
      <c r="G52" s="320" t="s">
        <v>1595</v>
      </c>
      <c r="H52" s="320">
        <v>15</v>
      </c>
      <c r="I52" s="320" t="s">
        <v>1596</v>
      </c>
      <c r="J52" s="320" t="s">
        <v>722</v>
      </c>
    </row>
    <row r="53" spans="1:10">
      <c r="A53" s="314">
        <v>46054</v>
      </c>
      <c r="B53" s="313">
        <f>CHICLETS!F37</f>
        <v>0.63888888888888895</v>
      </c>
      <c r="C53" s="313" t="str">
        <f>CHICLETS!$I$26</f>
        <v>COSTA MESA HS 2</v>
      </c>
      <c r="D53" s="310" t="s">
        <v>1597</v>
      </c>
      <c r="E53" s="312" t="str">
        <f>IF(F62="","W#13A",IF(F62&gt;H62,_xlfn.CONCAT("W#13A-",RIGHT(E62,LEN(E62) - FIND("-",E62))), _xlfn.CONCAT("W#13A-",RIGHT(G62,LEN(G62) - FIND("-",G62)))))</f>
        <v>W#13A-AMERICAN RIVER BLUE</v>
      </c>
      <c r="F53" s="312">
        <v>5</v>
      </c>
      <c r="G53" s="312" t="str">
        <f>IF(F48="","W#14A",IF(F48&gt;H48,_xlfn.CONCAT("W#14A-",RIGHT(E48,LEN(E48) - FIND("-",E48))), _xlfn.CONCAT("W#14A-",RIGHT(G48,LEN(G48) - FIND("-",G48)))))</f>
        <v>W#14A-PATRIOT 10 NAVY</v>
      </c>
      <c r="H53" s="312">
        <v>13</v>
      </c>
      <c r="I53" s="310" t="s">
        <v>1598</v>
      </c>
      <c r="J53" s="310" t="s">
        <v>722</v>
      </c>
    </row>
    <row r="54" spans="1:10">
      <c r="A54" s="322">
        <v>46054</v>
      </c>
      <c r="B54" s="321">
        <f>CHICLETS!A38</f>
        <v>0.64583333333333304</v>
      </c>
      <c r="C54" s="321" t="str">
        <f>CHICLETS!$D$26</f>
        <v>EL TORO HS 2</v>
      </c>
      <c r="D54" s="320" t="s">
        <v>1497</v>
      </c>
      <c r="E54" s="323" t="str">
        <f>IF(F46="","W#13",IF(F46&gt;H46,_xlfn.CONCAT("W#13-",RIGHT(E46,LEN(E46) - FIND("-",E46))), _xlfn.CONCAT("W#13-",RIGHT(G46,LEN(G46) - FIND("-",G46)))))</f>
        <v>W#13-NORTH IRVINE RED</v>
      </c>
      <c r="F54" s="320">
        <v>7</v>
      </c>
      <c r="G54" s="320" t="str">
        <f>IF(F47="","W#14",IF(F47&gt;H47,_xlfn.CONCAT("W#14-",RIGHT(E47,LEN(E47) - FIND("-",E47))), _xlfn.CONCAT("W#14-",RIGHT(G47,LEN(G47) - FIND("-",G47)))))</f>
        <v>W#14-BACK BAY</v>
      </c>
      <c r="H54" s="323">
        <v>10</v>
      </c>
      <c r="I54" s="320" t="s">
        <v>1598</v>
      </c>
      <c r="J54" s="320" t="s">
        <v>722</v>
      </c>
    </row>
    <row r="55" spans="1:10">
      <c r="A55" s="322">
        <v>46054</v>
      </c>
      <c r="B55" s="321">
        <f>CHICLETS!F38</f>
        <v>0.67361111111111105</v>
      </c>
      <c r="C55" s="321" t="str">
        <f>CHICLETS!$I$26</f>
        <v>COSTA MESA HS 2</v>
      </c>
      <c r="D55" s="320" t="s">
        <v>1479</v>
      </c>
      <c r="E55" s="323" t="str">
        <f>IF(F44="","L#17",IF(F44&lt;H44,_xlfn.CONCAT("L#17-",RIGHT(E44,LEN(E44) - FIND("-",E44))), _xlfn.CONCAT("L#17-",RIGHT(G44,LEN(G44) - FIND("-",G44)))))</f>
        <v>L#17-LAMORINDA B</v>
      </c>
      <c r="F55" s="323">
        <v>5</v>
      </c>
      <c r="G55" s="323" t="str">
        <f>IF(F45="","L#18",IF(F45&lt;H45,_xlfn.CONCAT("L#18-",RIGHT(E45,LEN(E45) - FIND("-",E45))), _xlfn.CONCAT("L#18-",RIGHT(G45,LEN(G45) - FIND("-",G45)))))</f>
        <v>L#18-MISSION WPC B</v>
      </c>
      <c r="H55" s="323">
        <v>16</v>
      </c>
      <c r="I55" s="323" t="s">
        <v>1599</v>
      </c>
      <c r="J55" s="320" t="s">
        <v>722</v>
      </c>
    </row>
    <row r="56" spans="1:10">
      <c r="A56" s="322">
        <v>46054</v>
      </c>
      <c r="B56" s="321">
        <f>CHICLETS!F38</f>
        <v>0.67361111111111105</v>
      </c>
      <c r="C56" s="321" t="str">
        <f>CHICLETS!$Q$26</f>
        <v>ESTANCIA HS 2</v>
      </c>
      <c r="D56" s="320" t="s">
        <v>1475</v>
      </c>
      <c r="E56" s="323" t="str">
        <f>IF(F51="","L#15",IF(F51&lt;H51,_xlfn.CONCAT("L#15-",RIGHT(E51,LEN(E51) - FIND("-",E51))), _xlfn.CONCAT("L#15-",RIGHT(G51,LEN(G51) - FIND("-",G51)))))</f>
        <v>L#15-GOLD COAST</v>
      </c>
      <c r="F56" s="323">
        <v>13</v>
      </c>
      <c r="G56" s="323" t="str">
        <f>IF(F52="","L#16",IF(F52&lt;H52,_xlfn.CONCAT("L#16-",RIGHT(E52,LEN(E52) - FIND("-",E52))), _xlfn.CONCAT("L#16-",RIGHT(G52,LEN(G52) - FIND("-",G52)))))</f>
        <v>L#16-MARIN</v>
      </c>
      <c r="H56" s="323">
        <v>10</v>
      </c>
      <c r="I56" s="320" t="s">
        <v>1600</v>
      </c>
      <c r="J56" s="320" t="s">
        <v>722</v>
      </c>
    </row>
    <row r="57" spans="1:10">
      <c r="A57" s="322">
        <v>46054</v>
      </c>
      <c r="B57" s="326">
        <v>0.68055555555555558</v>
      </c>
      <c r="C57" s="321" t="str">
        <f>CHICLETS!$D$26</f>
        <v>EL TORO HS 2</v>
      </c>
      <c r="D57" s="320" t="s">
        <v>1477</v>
      </c>
      <c r="E57" s="320" t="str">
        <f>IF(F46="","L#13",IF(F46&lt;H46,_xlfn.CONCAT("L#13-",RIGHT(E46,LEN(E46) - FIND("-",E46))), _xlfn.CONCAT("L#13-",RIGHT(G46,LEN(G46) - FIND("-",G46)))))</f>
        <v>L#13-680 WHITE</v>
      </c>
      <c r="F57" s="320">
        <v>13</v>
      </c>
      <c r="G57" s="320" t="str">
        <f>IF(F47="","L#14",IF(F47&lt;H47,_xlfn.CONCAT("L#14-",RIGHT(E47,LEN(E47) - FIND("-",E47))), _xlfn.CONCAT("L#14-",RIGHT(G47,LEN(G47) - FIND("-",G47)))))</f>
        <v>L#14-LAMORINDA C</v>
      </c>
      <c r="H57" s="320">
        <v>3</v>
      </c>
      <c r="I57" s="320" t="s">
        <v>1601</v>
      </c>
      <c r="J57" s="320" t="s">
        <v>722</v>
      </c>
    </row>
    <row r="58" spans="1:10">
      <c r="A58" s="322">
        <v>46054</v>
      </c>
      <c r="B58" s="321">
        <f>CHICLETS!F39</f>
        <v>0.70833333333333404</v>
      </c>
      <c r="C58" s="321" t="str">
        <f>CHICLETS!$I$26</f>
        <v>COSTA MESA HS 2</v>
      </c>
      <c r="D58" s="320" t="s">
        <v>1503</v>
      </c>
      <c r="E58" s="323" t="str">
        <f>IF(F51="","W#15",IF(F51&gt;H51,_xlfn.CONCAT("W#15-",RIGHT(E51,LEN(E51) - FIND("-",E51))), _xlfn.CONCAT("W#15-",RIGHT(G51,LEN(G51) - FIND("-",G51)))))</f>
        <v>W#15-STANFORD BLACK</v>
      </c>
      <c r="F58" s="323">
        <v>6</v>
      </c>
      <c r="G58" s="323" t="str">
        <f>IF(F52="","W#16",IF(F52&gt;H52,_xlfn.CONCAT("W#16-",RIGHT(E52,LEN(E52) - FIND("-",E52))), _xlfn.CONCAT("W#16-",RIGHT(G52,LEN(G52) - FIND("-",G52)))))</f>
        <v>W#16-CC UNITED BLUE</v>
      </c>
      <c r="H58" s="323">
        <v>9</v>
      </c>
      <c r="I58" s="323" t="s">
        <v>1602</v>
      </c>
      <c r="J58" s="320" t="s">
        <v>722</v>
      </c>
    </row>
    <row r="59" spans="1:10">
      <c r="A59" s="166"/>
      <c r="B59" s="31"/>
      <c r="C59" s="166"/>
      <c r="D59" s="311"/>
      <c r="E59" s="311"/>
      <c r="F59" s="311"/>
      <c r="G59" s="311"/>
      <c r="H59" s="31"/>
      <c r="I59" s="31"/>
      <c r="J59" s="311"/>
    </row>
    <row r="60" spans="1:10">
      <c r="A60" s="314">
        <v>46054</v>
      </c>
      <c r="B60" s="313">
        <f>CHICLETS!F29</f>
        <v>0.36111111111111099</v>
      </c>
      <c r="C60" s="313" t="str">
        <f>CHICLETS!$J$26</f>
        <v>TUSTIN HS 2</v>
      </c>
      <c r="D60" s="310" t="s">
        <v>1603</v>
      </c>
      <c r="E60" s="310" t="s">
        <v>1604</v>
      </c>
      <c r="F60" s="310">
        <v>7</v>
      </c>
      <c r="G60" s="310" t="s">
        <v>1605</v>
      </c>
      <c r="H60" s="312">
        <v>9</v>
      </c>
      <c r="I60" s="310" t="s">
        <v>1606</v>
      </c>
      <c r="J60" s="310" t="s">
        <v>722</v>
      </c>
    </row>
    <row r="61" spans="1:10">
      <c r="A61" s="314">
        <v>46054</v>
      </c>
      <c r="B61" s="313">
        <f>CHICLETS!F30</f>
        <v>0.39583333333333398</v>
      </c>
      <c r="C61" s="313" t="str">
        <f>CHICLETS!$J$26</f>
        <v>TUSTIN HS 2</v>
      </c>
      <c r="D61" s="310" t="s">
        <v>1607</v>
      </c>
      <c r="E61" s="310" t="s">
        <v>1608</v>
      </c>
      <c r="F61" s="310">
        <v>6</v>
      </c>
      <c r="G61" s="310" t="s">
        <v>1609</v>
      </c>
      <c r="H61" s="310">
        <v>5</v>
      </c>
      <c r="I61" s="310" t="s">
        <v>1610</v>
      </c>
      <c r="J61" s="310" t="s">
        <v>722</v>
      </c>
    </row>
    <row r="62" spans="1:10">
      <c r="A62" s="314">
        <v>46054</v>
      </c>
      <c r="B62" s="313">
        <f>CHICLETS!F31</f>
        <v>0.43055555555555602</v>
      </c>
      <c r="C62" s="313" t="str">
        <f>CHICLETS!$J$26</f>
        <v>TUSTIN HS 2</v>
      </c>
      <c r="D62" s="310" t="s">
        <v>1611</v>
      </c>
      <c r="E62" s="312" t="s">
        <v>1612</v>
      </c>
      <c r="F62" s="312">
        <v>3</v>
      </c>
      <c r="G62" s="310" t="s">
        <v>1613</v>
      </c>
      <c r="H62" s="310">
        <v>5</v>
      </c>
      <c r="I62" s="310" t="s">
        <v>1614</v>
      </c>
      <c r="J62" s="310" t="s">
        <v>722</v>
      </c>
    </row>
    <row r="63" spans="1:10">
      <c r="A63" s="166"/>
      <c r="B63" s="31"/>
      <c r="C63" s="166"/>
      <c r="D63" s="311"/>
      <c r="E63" s="311"/>
      <c r="F63" s="311"/>
      <c r="G63" s="311"/>
      <c r="H63" s="31"/>
      <c r="I63" s="31"/>
      <c r="J63" s="311"/>
    </row>
    <row r="64" spans="1:10">
      <c r="A64" s="314">
        <v>46054</v>
      </c>
      <c r="B64" s="313">
        <f>CHICLETS!F36</f>
        <v>0.60416666666666696</v>
      </c>
      <c r="C64" s="313" t="str">
        <f>CHICLETS!$J$26</f>
        <v>TUSTIN HS 2</v>
      </c>
      <c r="D64" s="310" t="s">
        <v>1615</v>
      </c>
      <c r="E64" s="312" t="s">
        <v>1616</v>
      </c>
      <c r="F64" s="312">
        <v>10</v>
      </c>
      <c r="G64" s="312" t="s">
        <v>1617</v>
      </c>
      <c r="H64" s="312">
        <v>7</v>
      </c>
      <c r="I64" s="312" t="s">
        <v>1618</v>
      </c>
      <c r="J64" s="310" t="s">
        <v>722</v>
      </c>
    </row>
    <row r="65" spans="1:10">
      <c r="A65" s="314">
        <v>46054</v>
      </c>
      <c r="B65" s="313">
        <f>CHICLETS!F37</f>
        <v>0.63888888888888895</v>
      </c>
      <c r="C65" s="313" t="str">
        <f>CHICLETS!$J$26</f>
        <v>TUSTIN HS 2</v>
      </c>
      <c r="D65" s="310" t="s">
        <v>1619</v>
      </c>
      <c r="E65" s="310" t="s">
        <v>1620</v>
      </c>
      <c r="F65" s="310">
        <v>10.4</v>
      </c>
      <c r="G65" s="310" t="s">
        <v>1621</v>
      </c>
      <c r="H65" s="310">
        <v>10.1</v>
      </c>
      <c r="I65" s="310" t="s">
        <v>1622</v>
      </c>
      <c r="J65" s="310" t="s">
        <v>722</v>
      </c>
    </row>
    <row r="66" spans="1:10">
      <c r="A66" s="314">
        <v>46054</v>
      </c>
      <c r="B66" s="313">
        <f>CHICLETS!F38</f>
        <v>0.67361111111111105</v>
      </c>
      <c r="C66" s="313" t="str">
        <f>CHICLETS!$J$26</f>
        <v>TUSTIN HS 2</v>
      </c>
      <c r="D66" s="310" t="s">
        <v>1623</v>
      </c>
      <c r="E66" s="312" t="str">
        <f>IF(F62="","L#13A",IF(F62&lt;H62,_xlfn.CONCAT("L#13A-",RIGHT(E62,LEN(E62) - FIND("-",E62))), _xlfn.CONCAT("L#13A-",RIGHT(G62,LEN(G62) - FIND("-",G62)))))</f>
        <v>L#13A-CC UNITED WHITE</v>
      </c>
      <c r="F66" s="312">
        <v>18</v>
      </c>
      <c r="G66" s="312" t="str">
        <f>IF(F48="","L#14A",IF(F48&lt;H48,_xlfn.CONCAT("L#14A-",RIGHT(E48,LEN(E48) - FIND("-",E48))), _xlfn.CONCAT("L#14A-",RIGHT(G48,LEN(G48) - FIND("-",G48)))))</f>
        <v>L#14A-NORTH IRVINE WHITE</v>
      </c>
      <c r="H66" s="310">
        <v>0</v>
      </c>
      <c r="I66" s="310" t="s">
        <v>1601</v>
      </c>
      <c r="J66" s="310" t="s">
        <v>722</v>
      </c>
    </row>
    <row r="67" spans="1:10">
      <c r="A67" s="317">
        <v>46054</v>
      </c>
      <c r="B67" s="316">
        <f>CHICLETS!F38</f>
        <v>0.67361111111111105</v>
      </c>
      <c r="C67" s="316" t="str">
        <f>CHICLETS!$H$26</f>
        <v>BECKMAN HS 1</v>
      </c>
      <c r="D67" s="315" t="s">
        <v>1505</v>
      </c>
      <c r="E67" s="315" t="str">
        <f>IF(F49="","L#24",IF(F49&lt;H49,_xlfn.CONCAT("L#24-",RIGHT(E49,LEN(E49) - FIND("-",E49))), _xlfn.CONCAT("L#24-",RIGHT(G49,LEN(G49) - FIND("-",G49)))))</f>
        <v>L#24-SAN CLEMENTE BLACK</v>
      </c>
      <c r="F67" s="315">
        <v>8</v>
      </c>
      <c r="G67" s="315" t="str">
        <f>IF(F50="","L#24A",IF(F50&lt;H50,_xlfn.CONCAT("L#24A-",RIGHT(E50,LEN(E50) - FIND("-",E50))), _xlfn.CONCAT("L#24A-",RIGHT(G50,LEN(G50) - FIND("-",G50)))))</f>
        <v>L#24A-680 BLUE</v>
      </c>
      <c r="H67" s="315">
        <v>6</v>
      </c>
      <c r="I67" s="315" t="s">
        <v>1314</v>
      </c>
      <c r="J67" s="315" t="s">
        <v>722</v>
      </c>
    </row>
    <row r="68" spans="1:10">
      <c r="A68" s="317">
        <v>46054</v>
      </c>
      <c r="B68" s="316">
        <f>CHICLETS!F39</f>
        <v>0.70833333333333404</v>
      </c>
      <c r="C68" s="316" t="str">
        <f>CHICLETS!$H$26</f>
        <v>BECKMAN HS 1</v>
      </c>
      <c r="D68" s="315" t="s">
        <v>1507</v>
      </c>
      <c r="E68" s="315" t="str">
        <f>IF(F49="","W#24",IF(F49&gt;H49,_xlfn.CONCAT("W#24-",RIGHT(E49,LEN(E49) - FIND("-",E49))), _xlfn.CONCAT("W#24-",RIGHT(G49,LEN(G49) - FIND("-",G49)))))</f>
        <v>W#24-ORANGE COUNTY WPC BLUE</v>
      </c>
      <c r="F68" s="315">
        <v>19</v>
      </c>
      <c r="G68" s="315" t="str">
        <f>IF(F50="","W#24A",IF(F50&gt;H50,_xlfn.CONCAT("W#24A-",RIGHT(E50,LEN(E50) - FIND("-",E50))), _xlfn.CONCAT("W#24A-",RIGHT(G50,LEN(G50) - FIND("-",G50)))))</f>
        <v>W#24A-FOOTHILL RED</v>
      </c>
      <c r="H68" s="315">
        <v>5</v>
      </c>
      <c r="I68" s="315" t="s">
        <v>1312</v>
      </c>
      <c r="J68" s="315" t="s">
        <v>722</v>
      </c>
    </row>
    <row r="69" spans="1:10">
      <c r="A69" s="314">
        <v>46054</v>
      </c>
      <c r="B69" s="313">
        <f>CHICLETS!F39</f>
        <v>0.70833333333333404</v>
      </c>
      <c r="C69" s="313" t="str">
        <f>CHICLETS!$J$26</f>
        <v>TUSTIN HS 2</v>
      </c>
      <c r="D69" s="310" t="s">
        <v>1624</v>
      </c>
      <c r="E69" s="312" t="str">
        <f>IF(F60="","L#17A",IF(F60&lt;H60,_xlfn.CONCAT("L#17A-",RIGHT(E60,LEN(E60) - FIND("-",E60))), _xlfn.CONCAT("L#17A-",RIGHT(G60,LEN(G60) - FIND("-",G60)))))</f>
        <v>L#17A-TROJAN</v>
      </c>
      <c r="F69" s="312">
        <v>5</v>
      </c>
      <c r="G69" s="312" t="str">
        <f>IF(F61="","L#18A",IF(F61&lt;H61,_xlfn.CONCAT("L#18A-",RIGHT(E61,LEN(E61) - FIND("-",E61))), _xlfn.CONCAT("L#18A-",RIGHT(G61,LEN(G61) - FIND("-",G61)))))</f>
        <v>L#18A-SAN MATEO</v>
      </c>
      <c r="H69" s="312">
        <v>0</v>
      </c>
      <c r="I69" s="312" t="s">
        <v>1599</v>
      </c>
      <c r="J69" s="310" t="s">
        <v>722</v>
      </c>
    </row>
    <row r="70" spans="1:10">
      <c r="A70" s="314">
        <v>46054</v>
      </c>
      <c r="B70" s="319">
        <f>CHICLETS!F39</f>
        <v>0.70833333333333404</v>
      </c>
      <c r="C70" s="313" t="str">
        <f>CHICLETS!$J$26</f>
        <v>TUSTIN HS 2</v>
      </c>
      <c r="D70" s="310" t="s">
        <v>1625</v>
      </c>
      <c r="E70" s="312" t="str">
        <f>IF(F64="","W#15A",IF(F64&gt;H64,_xlfn.CONCAT("W#15A-",RIGHT(E64,LEN(E64) - FIND("-",E64))), _xlfn.CONCAT("W#15A-",RIGHT(G64,LEN(G64) - FIND("-",G64)))))</f>
        <v>W#15A-LA JOLLA UNITED GOLD</v>
      </c>
      <c r="F70" s="312">
        <v>6</v>
      </c>
      <c r="G70" s="312" t="str">
        <f>IF(F65="","W#16A",IF(F65&gt;H65,_xlfn.CONCAT("W#16A-",RIGHT(E65,LEN(E65) - FIND("-",E65))), _xlfn.CONCAT("W#16A-",RIGHT(G65,LEN(G65) - FIND("-",G65)))))</f>
        <v>W#16A-CMAC</v>
      </c>
      <c r="H70" s="312">
        <v>13</v>
      </c>
      <c r="I70" s="312" t="s">
        <v>1602</v>
      </c>
      <c r="J70" s="310" t="s">
        <v>722</v>
      </c>
    </row>
    <row r="71" spans="1:10">
      <c r="A71" s="314">
        <v>46054</v>
      </c>
      <c r="B71" s="313">
        <f>CHICLETS!F40</f>
        <v>0.74305555555555602</v>
      </c>
      <c r="C71" s="313" t="str">
        <f>CHICLETS!$H$26</f>
        <v>BECKMAN HS 1</v>
      </c>
      <c r="D71" s="310" t="s">
        <v>1626</v>
      </c>
      <c r="E71" s="312" t="str">
        <f>IF(F64="","L#15A",IF(F64&lt;H64,_xlfn.CONCAT("L#15A-",RIGHT(E64,LEN(E64) - FIND("-",E64))), _xlfn.CONCAT("L#15A-",RIGHT(G64,LEN(G64) - FIND("-",G64)))))</f>
        <v>L#15A-STANFORD WHITE</v>
      </c>
      <c r="F71" s="312">
        <v>6.3</v>
      </c>
      <c r="G71" s="312" t="str">
        <f>IF(F65="","L#16A",IF(F65&lt;H65,_xlfn.CONCAT("L#16A-",RIGHT(E65,LEN(E65) - FIND("-",E65))), _xlfn.CONCAT("L#16A-",RIGHT(G65,LEN(G65) - FIND("-",G65)))))</f>
        <v>L#16A-SOUTH COAST RED</v>
      </c>
      <c r="H71" s="312">
        <v>6.2</v>
      </c>
      <c r="I71" s="310" t="s">
        <v>1600</v>
      </c>
      <c r="J71" s="310" t="s">
        <v>722</v>
      </c>
    </row>
    <row r="72" spans="1:10">
      <c r="A72" s="166"/>
      <c r="B72" s="31"/>
      <c r="C72" s="166"/>
      <c r="D72" s="311"/>
      <c r="E72" s="311"/>
      <c r="F72" s="311"/>
      <c r="G72" s="311"/>
      <c r="H72" s="31"/>
      <c r="I72" s="31"/>
      <c r="J72" s="311"/>
    </row>
    <row r="73" spans="1:10">
      <c r="I73" s="310" t="s">
        <v>1312</v>
      </c>
      <c r="J73" s="310" t="s">
        <v>684</v>
      </c>
    </row>
    <row r="74" spans="1:10">
      <c r="I74" s="310" t="s">
        <v>1313</v>
      </c>
      <c r="J74" s="310" t="s">
        <v>675</v>
      </c>
    </row>
    <row r="75" spans="1:10">
      <c r="I75" s="310" t="s">
        <v>1314</v>
      </c>
      <c r="J75" s="310" t="s">
        <v>665</v>
      </c>
    </row>
  </sheetData>
  <hyperlinks>
    <hyperlink ref="B2" r:id="rId1" xr:uid="{D44D1144-BD5F-4227-A370-B89628F0C3AC}"/>
    <hyperlink ref="C2" r:id="rId2" xr:uid="{D4F2AC3E-5852-45A2-B3F8-D44711E261BD}"/>
    <hyperlink ref="A2" r:id="rId3" xr:uid="{9EF09EF6-070E-4B50-A365-140361866A77}"/>
  </hyperlinks>
  <pageMargins left="0.7" right="0.7" top="0.75" bottom="0.75" header="0.3" footer="0.3"/>
  <pageSetup scale="65" orientation="landscape" r:id="rId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66321-866C-4039-A9F9-9CBF712F41BF}">
  <sheetPr>
    <tabColor rgb="FFBFBFBF"/>
    <pageSetUpPr fitToPage="1"/>
  </sheetPr>
  <dimension ref="A1:J39"/>
  <sheetViews>
    <sheetView workbookViewId="0"/>
  </sheetViews>
  <sheetFormatPr defaultColWidth="9.140625" defaultRowHeight="18"/>
  <cols>
    <col min="1" max="1" width="29.85546875" style="2" customWidth="1"/>
    <col min="2" max="2" width="31.5703125" style="2" customWidth="1"/>
    <col min="3" max="3" width="34.85546875" style="2" customWidth="1"/>
    <col min="4" max="4" width="20.85546875" style="2" customWidth="1"/>
    <col min="5" max="5" width="41.140625" style="2" customWidth="1"/>
    <col min="6" max="6" width="5" style="2" bestFit="1" customWidth="1"/>
    <col min="7" max="7" width="37.5703125" style="2" bestFit="1" customWidth="1"/>
    <col min="8" max="8" width="25.85546875" style="2" bestFit="1" customWidth="1"/>
    <col min="9" max="9" width="29.5703125" style="2" customWidth="1"/>
    <col min="10" max="10" width="32.5703125" style="2" customWidth="1"/>
    <col min="11" max="11" width="25.85546875" style="2" bestFit="1" customWidth="1"/>
    <col min="12" max="16384" width="9.140625" style="2"/>
  </cols>
  <sheetData>
    <row r="1" spans="1:10">
      <c r="A1" s="203" t="s">
        <v>43</v>
      </c>
      <c r="B1" s="203" t="s">
        <v>1627</v>
      </c>
      <c r="C1" s="202" t="s">
        <v>1383</v>
      </c>
      <c r="D1" s="8" t="s">
        <v>1628</v>
      </c>
      <c r="E1" s="8" t="s">
        <v>1629</v>
      </c>
    </row>
    <row r="2" spans="1:10">
      <c r="A2" s="119" t="s">
        <v>1237</v>
      </c>
      <c r="B2" s="118" t="s">
        <v>1238</v>
      </c>
      <c r="C2" s="117" t="s">
        <v>1239</v>
      </c>
      <c r="D2" s="8"/>
      <c r="E2" s="8"/>
    </row>
    <row r="3" spans="1:10">
      <c r="A3" s="8" t="s">
        <v>644</v>
      </c>
      <c r="B3" s="8" t="s">
        <v>645</v>
      </c>
      <c r="C3" s="8" t="s">
        <v>646</v>
      </c>
      <c r="D3" s="201"/>
      <c r="F3" s="191"/>
      <c r="H3" s="201"/>
      <c r="I3" s="201"/>
      <c r="J3" s="201"/>
    </row>
    <row r="4" spans="1:10">
      <c r="A4" s="2" t="s">
        <v>764</v>
      </c>
      <c r="B4" s="2" t="s">
        <v>693</v>
      </c>
      <c r="C4" s="2" t="s">
        <v>765</v>
      </c>
      <c r="D4" s="191"/>
      <c r="F4" s="191"/>
      <c r="H4" s="191"/>
      <c r="I4" s="191"/>
      <c r="J4" s="191"/>
    </row>
    <row r="5" spans="1:10">
      <c r="A5" s="2" t="s">
        <v>766</v>
      </c>
      <c r="B5" s="2" t="s">
        <v>767</v>
      </c>
      <c r="C5" s="2" t="s">
        <v>768</v>
      </c>
      <c r="D5" s="191"/>
      <c r="F5" s="191"/>
      <c r="H5" s="191"/>
      <c r="I5" s="191"/>
      <c r="J5" s="191"/>
    </row>
    <row r="6" spans="1:10">
      <c r="A6" s="2" t="s">
        <v>769</v>
      </c>
      <c r="B6" s="2" t="s">
        <v>770</v>
      </c>
      <c r="C6" s="2" t="s">
        <v>771</v>
      </c>
      <c r="D6" s="191"/>
      <c r="J6" s="191"/>
    </row>
    <row r="7" spans="1:10">
      <c r="C7" s="2" t="s">
        <v>773</v>
      </c>
      <c r="D7" s="191"/>
      <c r="E7" s="191"/>
      <c r="F7" s="191"/>
      <c r="G7" s="191"/>
      <c r="H7" s="191"/>
      <c r="I7" s="191"/>
      <c r="J7" s="191"/>
    </row>
    <row r="8" spans="1:10">
      <c r="A8" s="191"/>
      <c r="B8" s="191"/>
      <c r="C8" s="191"/>
      <c r="D8" s="191"/>
      <c r="E8" s="191"/>
      <c r="F8" s="191"/>
      <c r="G8" s="191"/>
      <c r="H8" s="191"/>
      <c r="I8" s="191"/>
      <c r="J8" s="191"/>
    </row>
    <row r="9" spans="1:10">
      <c r="A9" s="200" t="s">
        <v>1240</v>
      </c>
      <c r="B9" s="199" t="s">
        <v>1241</v>
      </c>
      <c r="C9" s="199" t="s">
        <v>1242</v>
      </c>
      <c r="D9" s="199" t="s">
        <v>1243</v>
      </c>
      <c r="E9" s="199" t="s">
        <v>1244</v>
      </c>
      <c r="F9" s="199" t="s">
        <v>1245</v>
      </c>
      <c r="G9" s="199" t="s">
        <v>1246</v>
      </c>
      <c r="H9" s="199" t="s">
        <v>1245</v>
      </c>
      <c r="I9" s="199" t="s">
        <v>11</v>
      </c>
      <c r="J9" s="198" t="s">
        <v>1180</v>
      </c>
    </row>
    <row r="10" spans="1:10">
      <c r="A10" s="190">
        <v>46053</v>
      </c>
      <c r="B10" s="189">
        <f>CHICLETS!F5</f>
        <v>0.29166666666666669</v>
      </c>
      <c r="C10" s="197" t="str">
        <f>CHICLETS!$H$4</f>
        <v>BECKMAN HS 1</v>
      </c>
      <c r="D10" s="139" t="s">
        <v>1630</v>
      </c>
      <c r="E10" s="139" t="str">
        <f>A4</f>
        <v>A1-MISSION WPC A</v>
      </c>
      <c r="F10" s="139">
        <v>14</v>
      </c>
      <c r="G10" s="139" t="str">
        <f>A6</f>
        <v>A3-680 RED</v>
      </c>
      <c r="H10" s="139">
        <v>0</v>
      </c>
      <c r="I10" s="139" t="s">
        <v>1250</v>
      </c>
      <c r="J10" s="139" t="s">
        <v>763</v>
      </c>
    </row>
    <row r="11" spans="1:10">
      <c r="A11" s="190">
        <v>46053</v>
      </c>
      <c r="B11" s="189">
        <f>CHICLETS!F6</f>
        <v>0.3263888888888889</v>
      </c>
      <c r="C11" s="197" t="str">
        <f>CHICLETS!$H$4</f>
        <v>BECKMAN HS 1</v>
      </c>
      <c r="D11" s="139" t="s">
        <v>1631</v>
      </c>
      <c r="E11" s="139" t="str">
        <f>B4</f>
        <v>B1-CC UNITED BLACK</v>
      </c>
      <c r="F11" s="139">
        <v>7</v>
      </c>
      <c r="G11" s="139" t="str">
        <f>B5</f>
        <v>B2-NORTH IRVINE BLACK</v>
      </c>
      <c r="H11" s="139">
        <v>6</v>
      </c>
      <c r="I11" s="139" t="s">
        <v>1272</v>
      </c>
      <c r="J11" s="139" t="s">
        <v>763</v>
      </c>
    </row>
    <row r="12" spans="1:10">
      <c r="A12" s="190">
        <v>46053</v>
      </c>
      <c r="B12" s="189">
        <f>CHICLETS!F7</f>
        <v>0.36111111111111099</v>
      </c>
      <c r="C12" s="197" t="str">
        <f>CHICLETS!$H$4</f>
        <v>BECKMAN HS 1</v>
      </c>
      <c r="D12" s="139" t="s">
        <v>1632</v>
      </c>
      <c r="E12" s="139" t="str">
        <f>C4</f>
        <v>C1-STANFORD RED</v>
      </c>
      <c r="F12" s="139">
        <v>16</v>
      </c>
      <c r="G12" s="139" t="str">
        <f>C7</f>
        <v>C4-DAVIS</v>
      </c>
      <c r="H12" s="139">
        <v>3</v>
      </c>
      <c r="I12" s="139" t="s">
        <v>1633</v>
      </c>
      <c r="J12" s="139" t="s">
        <v>763</v>
      </c>
    </row>
    <row r="13" spans="1:10">
      <c r="A13" s="190">
        <v>46053</v>
      </c>
      <c r="B13" s="189">
        <f>CHICLETS!F8</f>
        <v>0.39583333333333398</v>
      </c>
      <c r="C13" s="197" t="str">
        <f>CHICLETS!$H$4</f>
        <v>BECKMAN HS 1</v>
      </c>
      <c r="D13" s="139" t="s">
        <v>1634</v>
      </c>
      <c r="E13" s="139" t="str">
        <f>C5</f>
        <v>C2-ORWP A</v>
      </c>
      <c r="F13" s="139">
        <v>8</v>
      </c>
      <c r="G13" s="139" t="str">
        <f>C6</f>
        <v>C3-SHAQ</v>
      </c>
      <c r="H13" s="139">
        <v>4</v>
      </c>
      <c r="I13" s="139" t="s">
        <v>1265</v>
      </c>
      <c r="J13" s="139" t="s">
        <v>763</v>
      </c>
    </row>
    <row r="14" spans="1:10">
      <c r="A14" s="191"/>
      <c r="B14" s="191"/>
      <c r="C14" s="191"/>
      <c r="D14" s="191"/>
      <c r="E14" s="191"/>
      <c r="F14" s="191"/>
      <c r="G14" s="191"/>
      <c r="H14" s="191"/>
      <c r="I14" s="191"/>
      <c r="J14" s="191"/>
    </row>
    <row r="15" spans="1:10">
      <c r="A15" s="190">
        <v>46053</v>
      </c>
      <c r="B15" s="189">
        <f>CHICLETS!F11</f>
        <v>0.5</v>
      </c>
      <c r="C15" s="197" t="str">
        <f>CHICLETS!$H$4</f>
        <v>BECKMAN HS 1</v>
      </c>
      <c r="D15" s="139" t="s">
        <v>1635</v>
      </c>
      <c r="E15" s="139" t="str">
        <f>A5</f>
        <v>A2-LAMORINDA A</v>
      </c>
      <c r="F15" s="139">
        <v>7.2</v>
      </c>
      <c r="G15" s="139" t="str">
        <f>A6</f>
        <v>A3-680 RED</v>
      </c>
      <c r="H15" s="139">
        <v>7.4</v>
      </c>
      <c r="I15" s="139" t="s">
        <v>1261</v>
      </c>
      <c r="J15" s="139" t="s">
        <v>763</v>
      </c>
    </row>
    <row r="16" spans="1:10">
      <c r="A16" s="190">
        <v>46053</v>
      </c>
      <c r="B16" s="189">
        <f>CHICLETS!F12</f>
        <v>0.53472222222222199</v>
      </c>
      <c r="C16" s="197" t="str">
        <f>CHICLETS!$H$4</f>
        <v>BECKMAN HS 1</v>
      </c>
      <c r="D16" s="139" t="s">
        <v>1636</v>
      </c>
      <c r="E16" s="139" t="str">
        <f>B5</f>
        <v>B2-NORTH IRVINE BLACK</v>
      </c>
      <c r="F16" s="139">
        <v>15</v>
      </c>
      <c r="G16" s="305" t="str">
        <f>B6</f>
        <v>B3-LA JOLLA UNITED NAVY</v>
      </c>
      <c r="H16" s="139">
        <v>4</v>
      </c>
      <c r="I16" s="139" t="s">
        <v>1263</v>
      </c>
      <c r="J16" s="139" t="s">
        <v>763</v>
      </c>
    </row>
    <row r="17" spans="1:10">
      <c r="A17" s="191"/>
      <c r="B17" s="191"/>
      <c r="C17" s="191"/>
      <c r="D17" s="191"/>
      <c r="E17" s="191"/>
      <c r="F17" s="191"/>
      <c r="G17" s="191"/>
      <c r="H17" s="191"/>
      <c r="I17" s="191"/>
      <c r="J17" s="191"/>
    </row>
    <row r="18" spans="1:10">
      <c r="A18" s="190">
        <v>46053</v>
      </c>
      <c r="B18" s="189">
        <f>CHICLETS!F16</f>
        <v>0.67361111111111105</v>
      </c>
      <c r="C18" s="197" t="str">
        <f>CHICLETS!$H$4</f>
        <v>BECKMAN HS 1</v>
      </c>
      <c r="D18" s="139" t="s">
        <v>1637</v>
      </c>
      <c r="E18" s="139" t="str">
        <f>C4</f>
        <v>C1-STANFORD RED</v>
      </c>
      <c r="F18" s="139">
        <v>10</v>
      </c>
      <c r="G18" s="139" t="str">
        <f>C5</f>
        <v>C2-ORWP A</v>
      </c>
      <c r="H18" s="139">
        <v>8</v>
      </c>
      <c r="I18" s="139" t="s">
        <v>1275</v>
      </c>
      <c r="J18" s="139" t="s">
        <v>763</v>
      </c>
    </row>
    <row r="19" spans="1:10">
      <c r="A19" s="190">
        <v>46053</v>
      </c>
      <c r="B19" s="189">
        <f>CHICLETS!F17</f>
        <v>0.70833333333333404</v>
      </c>
      <c r="C19" s="197" t="str">
        <f>CHICLETS!$H$4</f>
        <v>BECKMAN HS 1</v>
      </c>
      <c r="D19" s="139" t="s">
        <v>1638</v>
      </c>
      <c r="E19" s="139" t="str">
        <f>C6</f>
        <v>C3-SHAQ</v>
      </c>
      <c r="F19" s="139">
        <v>9</v>
      </c>
      <c r="G19" s="139" t="str">
        <f>C7</f>
        <v>C4-DAVIS</v>
      </c>
      <c r="H19" s="139">
        <v>5</v>
      </c>
      <c r="I19" s="139" t="s">
        <v>1639</v>
      </c>
      <c r="J19" s="139" t="s">
        <v>763</v>
      </c>
    </row>
    <row r="20" spans="1:10">
      <c r="A20" s="190">
        <v>46053</v>
      </c>
      <c r="B20" s="189">
        <f>CHICLETS!F18</f>
        <v>0.74305555555555602</v>
      </c>
      <c r="C20" s="197" t="str">
        <f>CHICLETS!$H$4</f>
        <v>BECKMAN HS 1</v>
      </c>
      <c r="D20" s="139" t="s">
        <v>1640</v>
      </c>
      <c r="E20" s="139" t="str">
        <f>A4</f>
        <v>A1-MISSION WPC A</v>
      </c>
      <c r="F20" s="139">
        <v>18</v>
      </c>
      <c r="G20" s="139" t="str">
        <f>A5</f>
        <v>A2-LAMORINDA A</v>
      </c>
      <c r="H20" s="139">
        <v>6</v>
      </c>
      <c r="I20" s="139" t="s">
        <v>1269</v>
      </c>
      <c r="J20" s="139" t="s">
        <v>763</v>
      </c>
    </row>
    <row r="21" spans="1:10">
      <c r="A21" s="190">
        <v>46053</v>
      </c>
      <c r="B21" s="189">
        <f>CHICLETS!F19</f>
        <v>0.77777777777777801</v>
      </c>
      <c r="C21" s="197" t="str">
        <f>CHICLETS!$H$4</f>
        <v>BECKMAN HS 1</v>
      </c>
      <c r="D21" s="139" t="s">
        <v>1641</v>
      </c>
      <c r="E21" s="139" t="str">
        <f>B4</f>
        <v>B1-CC UNITED BLACK</v>
      </c>
      <c r="F21" s="139">
        <v>14</v>
      </c>
      <c r="G21" s="305" t="str">
        <f>B6</f>
        <v>B3-LA JOLLA UNITED NAVY</v>
      </c>
      <c r="H21" s="139">
        <v>7</v>
      </c>
      <c r="I21" s="139" t="s">
        <v>1252</v>
      </c>
      <c r="J21" s="139" t="s">
        <v>763</v>
      </c>
    </row>
    <row r="22" spans="1:10">
      <c r="A22" s="193"/>
      <c r="B22" s="192"/>
      <c r="C22" s="191"/>
      <c r="H22" s="191"/>
      <c r="I22" s="191"/>
      <c r="J22" s="191"/>
    </row>
    <row r="23" spans="1:10">
      <c r="A23" s="196"/>
      <c r="B23" s="195"/>
      <c r="C23" s="194"/>
      <c r="D23" s="4"/>
      <c r="E23" s="4"/>
      <c r="F23" s="4"/>
      <c r="G23" s="4"/>
      <c r="H23" s="194"/>
      <c r="I23" s="194"/>
      <c r="J23" s="194"/>
    </row>
    <row r="24" spans="1:10">
      <c r="A24" s="193"/>
      <c r="B24" s="192"/>
      <c r="C24" s="191"/>
      <c r="H24" s="191"/>
      <c r="I24" s="191"/>
      <c r="J24" s="191"/>
    </row>
    <row r="25" spans="1:10">
      <c r="A25" s="190">
        <v>46054</v>
      </c>
      <c r="B25" s="189">
        <f>CHICLETS!F27</f>
        <v>0.29166666666666669</v>
      </c>
      <c r="C25" s="189" t="str">
        <f>CHICLETS!$H$26</f>
        <v>BECKMAN HS 1</v>
      </c>
      <c r="D25" s="139" t="s">
        <v>1642</v>
      </c>
      <c r="E25" s="139" t="str">
        <f>C5</f>
        <v>C2-ORWP A</v>
      </c>
      <c r="F25" s="139">
        <v>6</v>
      </c>
      <c r="G25" s="139" t="str">
        <f>C7</f>
        <v>C4-DAVIS</v>
      </c>
      <c r="H25" s="139">
        <v>5</v>
      </c>
      <c r="I25" s="139" t="s">
        <v>1643</v>
      </c>
      <c r="J25" s="139" t="s">
        <v>763</v>
      </c>
    </row>
    <row r="26" spans="1:10">
      <c r="A26" s="190">
        <v>46054</v>
      </c>
      <c r="B26" s="189">
        <f>CHICLETS!F28</f>
        <v>0.3263888888888889</v>
      </c>
      <c r="C26" s="189" t="str">
        <f>CHICLETS!$H$26</f>
        <v>BECKMAN HS 1</v>
      </c>
      <c r="D26" s="139" t="s">
        <v>1644</v>
      </c>
      <c r="E26" s="139" t="str">
        <f>C4</f>
        <v>C1-STANFORD RED</v>
      </c>
      <c r="F26" s="139">
        <v>12</v>
      </c>
      <c r="G26" s="139" t="str">
        <f>C6</f>
        <v>C3-SHAQ</v>
      </c>
      <c r="H26" s="139">
        <v>8</v>
      </c>
      <c r="I26" s="139" t="s">
        <v>1254</v>
      </c>
      <c r="J26" s="139" t="s">
        <v>763</v>
      </c>
    </row>
    <row r="27" spans="1:10">
      <c r="A27" s="190">
        <v>46054</v>
      </c>
      <c r="B27" s="189">
        <f>CHICLETS!F29</f>
        <v>0.36111111111111099</v>
      </c>
      <c r="C27" s="189" t="str">
        <f>CHICLETS!$H$26</f>
        <v>BECKMAN HS 1</v>
      </c>
      <c r="D27" s="139" t="s">
        <v>1645</v>
      </c>
      <c r="E27" s="139" t="s">
        <v>1646</v>
      </c>
      <c r="F27" s="139">
        <v>6.3</v>
      </c>
      <c r="G27" s="139" t="s">
        <v>1647</v>
      </c>
      <c r="H27" s="450">
        <v>6</v>
      </c>
      <c r="I27" s="139" t="s">
        <v>1648</v>
      </c>
      <c r="J27" s="139" t="s">
        <v>763</v>
      </c>
    </row>
    <row r="28" spans="1:10">
      <c r="A28" s="190">
        <v>46054</v>
      </c>
      <c r="B28" s="189">
        <f>CHICLETS!F30</f>
        <v>0.39583333333333398</v>
      </c>
      <c r="C28" s="189" t="str">
        <f>CHICLETS!$H$26</f>
        <v>BECKMAN HS 1</v>
      </c>
      <c r="D28" s="139" t="s">
        <v>1649</v>
      </c>
      <c r="E28" s="139" t="s">
        <v>1650</v>
      </c>
      <c r="F28" s="139">
        <v>5</v>
      </c>
      <c r="G28" s="139" t="s">
        <v>1651</v>
      </c>
      <c r="H28" s="139">
        <v>20</v>
      </c>
      <c r="I28" s="139" t="s">
        <v>1652</v>
      </c>
      <c r="J28" s="139" t="s">
        <v>763</v>
      </c>
    </row>
    <row r="29" spans="1:10">
      <c r="A29" s="190">
        <v>46054</v>
      </c>
      <c r="B29" s="189">
        <f>CHICLETS!F31</f>
        <v>0.43055555555555602</v>
      </c>
      <c r="C29" s="189" t="str">
        <f>CHICLETS!$H$26</f>
        <v>BECKMAN HS 1</v>
      </c>
      <c r="D29" s="139" t="s">
        <v>1653</v>
      </c>
      <c r="E29" s="139" t="s">
        <v>1654</v>
      </c>
      <c r="F29" s="139">
        <v>12</v>
      </c>
      <c r="G29" s="139" t="s">
        <v>1655</v>
      </c>
      <c r="H29" s="139">
        <v>3</v>
      </c>
      <c r="I29" s="139" t="s">
        <v>1656</v>
      </c>
      <c r="J29" s="139" t="s">
        <v>763</v>
      </c>
    </row>
    <row r="30" spans="1:10">
      <c r="A30" s="190">
        <v>46054</v>
      </c>
      <c r="B30" s="189">
        <f>CHICLETS!F32</f>
        <v>0.46527777777777801</v>
      </c>
      <c r="C30" s="189" t="str">
        <f>CHICLETS!$H$26</f>
        <v>BECKMAN HS 1</v>
      </c>
      <c r="D30" s="139" t="s">
        <v>1657</v>
      </c>
      <c r="E30" s="139" t="s">
        <v>1381</v>
      </c>
      <c r="F30" s="139">
        <v>9</v>
      </c>
      <c r="G30" s="139" t="s">
        <v>1658</v>
      </c>
      <c r="H30" s="139">
        <v>12</v>
      </c>
      <c r="I30" s="139" t="s">
        <v>1420</v>
      </c>
      <c r="J30" s="139" t="s">
        <v>763</v>
      </c>
    </row>
    <row r="31" spans="1:10">
      <c r="A31" s="190">
        <v>46054</v>
      </c>
      <c r="B31" s="189">
        <f>CHICLETS!F33</f>
        <v>0.5</v>
      </c>
      <c r="C31" s="189" t="str">
        <f>CHICLETS!$H$26</f>
        <v>BECKMAN HS 1</v>
      </c>
      <c r="D31" s="139" t="s">
        <v>1659</v>
      </c>
      <c r="E31" s="139" t="str">
        <f>IF(F27="","L#13",IF(F27&lt;H27,_xlfn.CONCAT("L#13-",RIGHT(E27,LEN(E27) - FIND("-",E27))), _xlfn.CONCAT("L#13-",RIGHT(G27,LEN(G27) - FIND("-",G27)))))</f>
        <v>L#13-LA JOLLA UNITED NAVY</v>
      </c>
      <c r="F31" s="139">
        <v>7</v>
      </c>
      <c r="G31" s="139" t="s">
        <v>1660</v>
      </c>
      <c r="H31" s="139">
        <v>11</v>
      </c>
      <c r="I31" s="139" t="s">
        <v>1661</v>
      </c>
      <c r="J31" s="139" t="s">
        <v>763</v>
      </c>
    </row>
    <row r="32" spans="1:10">
      <c r="A32" s="190">
        <v>46054</v>
      </c>
      <c r="B32" s="189">
        <f>CHICLETS!F34</f>
        <v>0.53472222222222199</v>
      </c>
      <c r="C32" s="189" t="str">
        <f>CHICLETS!$H$26</f>
        <v>BECKMAN HS 1</v>
      </c>
      <c r="D32" s="139" t="s">
        <v>1662</v>
      </c>
      <c r="E32" s="139" t="str">
        <f>IF(F29="","L#15",IF(F29&lt;H29,_xlfn.CONCAT("L#15-",RIGHT(E29,LEN(E29) - FIND("-",E29))), _xlfn.CONCAT("L#15-",RIGHT(G29,LEN(G29) - FIND("-",G29)))))</f>
        <v>L#15-ORWP A</v>
      </c>
      <c r="F32" s="139">
        <v>4</v>
      </c>
      <c r="G32" s="139" t="str">
        <f>IF(F30="","L#16",IF(F30&lt;H30,_xlfn.CONCAT("L#16-",RIGHT(E30,LEN(E30) - FIND("-",E30))), _xlfn.CONCAT("L#16-",RIGHT(G30,LEN(G30) - FIND("-",G30)))))</f>
        <v>L#16-CC UNITED BLACK</v>
      </c>
      <c r="H32" s="139">
        <v>16</v>
      </c>
      <c r="I32" s="139" t="s">
        <v>1314</v>
      </c>
      <c r="J32" s="139" t="s">
        <v>763</v>
      </c>
    </row>
    <row r="33" spans="1:10">
      <c r="A33" s="190">
        <v>46054</v>
      </c>
      <c r="B33" s="189">
        <f>CHICLETS!F35</f>
        <v>0.56944444444444497</v>
      </c>
      <c r="C33" s="189" t="str">
        <f>CHICLETS!$H$26</f>
        <v>BECKMAN HS 1</v>
      </c>
      <c r="D33" s="139" t="s">
        <v>1663</v>
      </c>
      <c r="E33" s="139" t="str">
        <f>IF(F29="","W#15",IF(F29&gt;H29,_xlfn.CONCAT("W#15-",RIGHT(E29,LEN(E29) - FIND("-",E29))), _xlfn.CONCAT("W#15-",RIGHT(G29,LEN(G29) - FIND("-",G29)))))</f>
        <v>W#15-MISSION WPC A</v>
      </c>
      <c r="F33" s="139">
        <v>18</v>
      </c>
      <c r="G33" s="139" t="str">
        <f>IF(F30="","W#16",IF(F30&gt;H30,_xlfn.CONCAT("W#16-",RIGHT(E30,LEN(E30) - FIND("-",E30))), _xlfn.CONCAT("W#16-",RIGHT(G30,LEN(G30) - FIND("-",G30)))))</f>
        <v>W#16-STANFORD RED</v>
      </c>
      <c r="H33" s="139">
        <v>4</v>
      </c>
      <c r="I33" s="139" t="s">
        <v>1312</v>
      </c>
      <c r="J33" s="139" t="s">
        <v>763</v>
      </c>
    </row>
    <row r="34" spans="1:10">
      <c r="A34" s="190">
        <v>46054</v>
      </c>
      <c r="B34" s="189">
        <f>CHICLETS!F36</f>
        <v>0.60416666666666696</v>
      </c>
      <c r="C34" s="189" t="str">
        <f>CHICLETS!$H$26</f>
        <v>BECKMAN HS 1</v>
      </c>
      <c r="D34" s="139" t="s">
        <v>1664</v>
      </c>
      <c r="E34" s="139" t="str">
        <f>IF(F27="","W#13",IF(F27&gt;H27,_xlfn.CONCAT("W#13-",RIGHT(E27,LEN(E27) - FIND("-",E27))), _xlfn.CONCAT("W#13-",RIGHT(G27,LEN(G27) - FIND("-",G27)))))</f>
        <v>W#13-680 RED</v>
      </c>
      <c r="F34" s="139">
        <v>5</v>
      </c>
      <c r="G34" s="139" t="str">
        <f>IF(F28="","W#14",IF(F28&gt;H28,_xlfn.CONCAT("W#14-",RIGHT(E28,LEN(E28) - FIND("-",E28))), _xlfn.CONCAT("W#14-",RIGHT(G28,LEN(G28) - FIND("-",G28)))))</f>
        <v>W#14-NORTH IRVINE BLACK</v>
      </c>
      <c r="H34" s="139">
        <v>6</v>
      </c>
      <c r="I34" s="139" t="s">
        <v>1351</v>
      </c>
      <c r="J34" s="139" t="s">
        <v>763</v>
      </c>
    </row>
    <row r="35" spans="1:10">
      <c r="A35" s="190">
        <v>46054</v>
      </c>
      <c r="B35" s="189">
        <f>CHICLETS!F37</f>
        <v>0.63888888888888895</v>
      </c>
      <c r="C35" s="189" t="str">
        <f>CHICLETS!$H$26</f>
        <v>BECKMAN HS 1</v>
      </c>
      <c r="D35" s="139" t="s">
        <v>1665</v>
      </c>
      <c r="E35" s="139" t="str">
        <f>IF(F28="","L#14",IF(F28&lt;H28,_xlfn.CONCAT("L#14-",RIGHT(E28,LEN(E28) - FIND("-",E28))), _xlfn.CONCAT("L#14-",RIGHT(G28,LEN(G28) - FIND("-",G28)))))</f>
        <v>L#14-LAMORINDA A</v>
      </c>
      <c r="F35" s="139">
        <v>17</v>
      </c>
      <c r="G35" s="139" t="s">
        <v>1666</v>
      </c>
      <c r="H35" s="139">
        <v>7</v>
      </c>
      <c r="I35" s="139" t="s">
        <v>1661</v>
      </c>
      <c r="J35" s="139" t="s">
        <v>763</v>
      </c>
    </row>
    <row r="37" spans="1:10">
      <c r="I37" s="139" t="s">
        <v>1312</v>
      </c>
      <c r="J37" s="139" t="s">
        <v>774</v>
      </c>
    </row>
    <row r="38" spans="1:10">
      <c r="I38" s="139" t="s">
        <v>1313</v>
      </c>
      <c r="J38" s="139" t="s">
        <v>704</v>
      </c>
    </row>
    <row r="39" spans="1:10">
      <c r="I39" s="139" t="s">
        <v>1314</v>
      </c>
      <c r="J39" s="139" t="s">
        <v>691</v>
      </c>
    </row>
  </sheetData>
  <hyperlinks>
    <hyperlink ref="B2" r:id="rId1" xr:uid="{0BF85E9E-96C4-4687-AD1C-76EC8843D328}"/>
    <hyperlink ref="C2" r:id="rId2" xr:uid="{ABEA2F4B-DB9B-4498-9C2D-5A0516B34C4D}"/>
    <hyperlink ref="A2" r:id="rId3" xr:uid="{6148DC96-830B-49AA-B539-954A2775D8AA}"/>
  </hyperlinks>
  <pageMargins left="0.7" right="0.7" top="0.75" bottom="0.75" header="0.3" footer="0.3"/>
  <pageSetup scale="92" orientation="landscape"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B4134-FFCE-4392-B927-C44C7C9F52C0}">
  <sheetPr>
    <tabColor rgb="FFFF9F89"/>
    <pageSetUpPr fitToPage="1"/>
  </sheetPr>
  <dimension ref="A1:J44"/>
  <sheetViews>
    <sheetView workbookViewId="0"/>
  </sheetViews>
  <sheetFormatPr defaultColWidth="9.140625" defaultRowHeight="18"/>
  <cols>
    <col min="1" max="1" width="34.5703125" style="5" customWidth="1"/>
    <col min="2" max="2" width="39.140625" style="5" customWidth="1"/>
    <col min="3" max="3" width="27.5703125" style="5" bestFit="1" customWidth="1"/>
    <col min="4" max="4" width="19.85546875" style="5" bestFit="1" customWidth="1"/>
    <col min="5" max="5" width="35.7109375" style="5" customWidth="1"/>
    <col min="6" max="6" width="9.28515625" style="5" bestFit="1" customWidth="1"/>
    <col min="7" max="7" width="36.5703125" style="5" customWidth="1"/>
    <col min="8" max="8" width="10.85546875" style="5" customWidth="1"/>
    <col min="9" max="9" width="37.42578125" style="5" customWidth="1"/>
    <col min="10" max="10" width="44.42578125" style="5" customWidth="1"/>
    <col min="11" max="16384" width="9.140625" style="5"/>
  </cols>
  <sheetData>
    <row r="1" spans="1:10">
      <c r="A1" s="8" t="s">
        <v>128</v>
      </c>
      <c r="B1" s="116" t="s">
        <v>1667</v>
      </c>
      <c r="C1" s="134" t="s">
        <v>1668</v>
      </c>
      <c r="D1" s="8" t="s">
        <v>1669</v>
      </c>
      <c r="E1" s="8" t="s">
        <v>1670</v>
      </c>
      <c r="F1" s="2"/>
      <c r="G1" s="31"/>
      <c r="H1" s="31"/>
      <c r="I1" s="31"/>
      <c r="J1" s="14"/>
    </row>
    <row r="2" spans="1:10">
      <c r="A2" s="119" t="s">
        <v>1237</v>
      </c>
      <c r="B2" s="118" t="s">
        <v>1238</v>
      </c>
      <c r="C2" s="117" t="s">
        <v>1239</v>
      </c>
      <c r="D2" s="31"/>
      <c r="E2" s="31"/>
      <c r="F2" s="2"/>
      <c r="G2" s="31"/>
      <c r="H2" s="31"/>
      <c r="I2" s="31"/>
      <c r="J2" s="14"/>
    </row>
    <row r="3" spans="1:10">
      <c r="A3" s="8" t="s">
        <v>644</v>
      </c>
      <c r="B3" s="8" t="s">
        <v>645</v>
      </c>
      <c r="C3" s="116"/>
      <c r="D3" s="8"/>
      <c r="E3" s="8"/>
      <c r="F3" s="2"/>
      <c r="G3" s="31"/>
      <c r="H3" s="31"/>
      <c r="I3" s="31"/>
      <c r="J3" s="2"/>
    </row>
    <row r="4" spans="1:10">
      <c r="A4" s="2" t="s">
        <v>777</v>
      </c>
      <c r="B4" s="2" t="s">
        <v>778</v>
      </c>
      <c r="C4" s="215"/>
      <c r="D4" s="2"/>
      <c r="E4" s="2"/>
      <c r="F4" s="2"/>
      <c r="G4" s="31"/>
      <c r="H4" s="31"/>
      <c r="I4" s="31"/>
      <c r="J4" s="2"/>
    </row>
    <row r="5" spans="1:10">
      <c r="A5" s="2" t="s">
        <v>779</v>
      </c>
      <c r="B5" s="2" t="s">
        <v>780</v>
      </c>
      <c r="C5" s="215"/>
      <c r="D5" s="2"/>
      <c r="E5" s="2"/>
      <c r="F5" s="2"/>
      <c r="G5" s="31"/>
      <c r="H5" s="31"/>
      <c r="I5" s="31"/>
      <c r="J5" s="2"/>
    </row>
    <row r="6" spans="1:10">
      <c r="A6" s="2" t="s">
        <v>782</v>
      </c>
      <c r="B6" s="2" t="s">
        <v>783</v>
      </c>
      <c r="C6" s="215"/>
      <c r="D6" s="2"/>
      <c r="E6" s="2"/>
      <c r="F6" s="2"/>
      <c r="G6" s="216"/>
      <c r="H6" s="2"/>
      <c r="I6" s="2"/>
      <c r="J6" s="2"/>
    </row>
    <row r="7" spans="1:10">
      <c r="A7" s="2"/>
      <c r="B7" s="2" t="s">
        <v>785</v>
      </c>
      <c r="C7" s="215"/>
      <c r="D7" s="2"/>
      <c r="J7" s="2"/>
    </row>
    <row r="8" spans="1:10">
      <c r="A8" s="2"/>
      <c r="B8" s="2"/>
      <c r="C8" s="215"/>
      <c r="D8" s="2"/>
      <c r="J8" s="2"/>
    </row>
    <row r="9" spans="1:10">
      <c r="A9" s="8" t="s">
        <v>1240</v>
      </c>
      <c r="B9" s="116" t="s">
        <v>1241</v>
      </c>
      <c r="C9" s="8" t="s">
        <v>1242</v>
      </c>
      <c r="D9" s="8" t="s">
        <v>1243</v>
      </c>
      <c r="E9" s="8" t="s">
        <v>1244</v>
      </c>
      <c r="F9" s="8" t="s">
        <v>1245</v>
      </c>
      <c r="G9" s="8" t="s">
        <v>1246</v>
      </c>
      <c r="H9" s="8" t="s">
        <v>1245</v>
      </c>
      <c r="I9" s="8" t="s">
        <v>11</v>
      </c>
      <c r="J9" s="8" t="s">
        <v>1180</v>
      </c>
    </row>
    <row r="10" spans="1:10">
      <c r="A10" s="214">
        <v>46053</v>
      </c>
      <c r="B10" s="213">
        <f>CHICLETS!F6</f>
        <v>0.3263888888888889</v>
      </c>
      <c r="C10" s="141" t="str">
        <f>CHICLETS!$I$4</f>
        <v>COSTA MESA HS 2</v>
      </c>
      <c r="D10" s="141" t="s">
        <v>1671</v>
      </c>
      <c r="E10" s="141" t="str">
        <f>A4</f>
        <v>A1-CMAC</v>
      </c>
      <c r="F10" s="141">
        <v>8</v>
      </c>
      <c r="G10" s="141" t="str">
        <f>A6</f>
        <v>A3-PALOS VERDES</v>
      </c>
      <c r="H10" s="141">
        <v>14</v>
      </c>
      <c r="I10" s="141" t="s">
        <v>1250</v>
      </c>
      <c r="J10" s="141" t="s">
        <v>775</v>
      </c>
    </row>
    <row r="11" spans="1:10">
      <c r="A11" s="2"/>
      <c r="B11" s="2"/>
      <c r="C11" s="215"/>
      <c r="D11" s="2"/>
      <c r="J11" s="2"/>
    </row>
    <row r="12" spans="1:10">
      <c r="A12" s="214">
        <v>46053</v>
      </c>
      <c r="B12" s="213">
        <f>CHICLETS!F9</f>
        <v>0.43055555555555602</v>
      </c>
      <c r="C12" s="141" t="str">
        <f>CHICLETS!$H$4</f>
        <v>BECKMAN HS 1</v>
      </c>
      <c r="D12" s="141" t="s">
        <v>1672</v>
      </c>
      <c r="E12" s="141" t="str">
        <f>B4</f>
        <v>B1-POWAY VALLEY</v>
      </c>
      <c r="F12" s="141">
        <v>2</v>
      </c>
      <c r="G12" s="141" t="str">
        <f>B7</f>
        <v>B4-LA CITY UNITED</v>
      </c>
      <c r="H12" s="141">
        <v>8</v>
      </c>
      <c r="I12" s="141" t="s">
        <v>1673</v>
      </c>
      <c r="J12" s="141" t="s">
        <v>775</v>
      </c>
    </row>
    <row r="13" spans="1:10">
      <c r="A13" s="214">
        <v>46053</v>
      </c>
      <c r="B13" s="213">
        <f>CHICLETS!F9</f>
        <v>0.43055555555555602</v>
      </c>
      <c r="C13" s="141" t="str">
        <f>CHICLETS!$I$4</f>
        <v>COSTA MESA HS 2</v>
      </c>
      <c r="D13" s="141" t="s">
        <v>1674</v>
      </c>
      <c r="E13" s="141" t="str">
        <f>A4</f>
        <v>A1-CMAC</v>
      </c>
      <c r="F13" s="141">
        <v>12</v>
      </c>
      <c r="G13" s="141" t="str">
        <f>A5</f>
        <v>A2-SET</v>
      </c>
      <c r="H13" s="141">
        <v>20</v>
      </c>
      <c r="I13" s="141" t="s">
        <v>1269</v>
      </c>
      <c r="J13" s="141" t="s">
        <v>775</v>
      </c>
    </row>
    <row r="14" spans="1:10">
      <c r="A14" s="214">
        <v>46053</v>
      </c>
      <c r="B14" s="213">
        <f>CHICLETS!F10</f>
        <v>0.46527777777777801</v>
      </c>
      <c r="C14" s="141" t="str">
        <f>CHICLETS!$H$4</f>
        <v>BECKMAN HS 1</v>
      </c>
      <c r="D14" s="141" t="s">
        <v>1675</v>
      </c>
      <c r="E14" s="141" t="str">
        <f>B5</f>
        <v>B2-LOYOLA WPC</v>
      </c>
      <c r="F14" s="141">
        <v>0</v>
      </c>
      <c r="G14" s="141" t="str">
        <f>B6</f>
        <v>B3-YOLO BLACK</v>
      </c>
      <c r="H14" s="141">
        <v>21</v>
      </c>
      <c r="I14" s="141" t="s">
        <v>1263</v>
      </c>
      <c r="J14" s="141" t="s">
        <v>775</v>
      </c>
    </row>
    <row r="15" spans="1:10">
      <c r="A15" s="2"/>
      <c r="B15" s="2"/>
      <c r="C15" s="215"/>
      <c r="D15" s="2"/>
      <c r="J15" s="2"/>
    </row>
    <row r="16" spans="1:10">
      <c r="A16" s="214">
        <v>46053</v>
      </c>
      <c r="B16" s="213">
        <f>CHICLETS!F13</f>
        <v>0.56944444444444497</v>
      </c>
      <c r="C16" s="141" t="str">
        <f>CHICLETS!$H$4</f>
        <v>BECKMAN HS 1</v>
      </c>
      <c r="D16" s="141" t="s">
        <v>1676</v>
      </c>
      <c r="E16" s="141" t="str">
        <f>B4</f>
        <v>B1-POWAY VALLEY</v>
      </c>
      <c r="F16" s="141">
        <v>0</v>
      </c>
      <c r="G16" s="141" t="str">
        <f>B6</f>
        <v>B3-YOLO BLACK</v>
      </c>
      <c r="H16" s="141">
        <v>13</v>
      </c>
      <c r="I16" s="141" t="s">
        <v>1252</v>
      </c>
      <c r="J16" s="141" t="s">
        <v>775</v>
      </c>
    </row>
    <row r="17" spans="1:10">
      <c r="A17" s="214">
        <v>46053</v>
      </c>
      <c r="B17" s="213">
        <f>CHICLETS!F14</f>
        <v>0.60416666666666696</v>
      </c>
      <c r="C17" s="141" t="str">
        <f>CHICLETS!$H$4</f>
        <v>BECKMAN HS 1</v>
      </c>
      <c r="D17" s="141" t="s">
        <v>1677</v>
      </c>
      <c r="E17" s="141" t="str">
        <f>B5</f>
        <v>B2-LOYOLA WPC</v>
      </c>
      <c r="F17" s="141">
        <v>2</v>
      </c>
      <c r="G17" s="141" t="str">
        <f>B7</f>
        <v>B4-LA CITY UNITED</v>
      </c>
      <c r="H17" s="141">
        <v>8</v>
      </c>
      <c r="I17" s="141" t="s">
        <v>1678</v>
      </c>
      <c r="J17" s="141" t="s">
        <v>775</v>
      </c>
    </row>
    <row r="18" spans="1:10">
      <c r="A18" s="214">
        <v>46053</v>
      </c>
      <c r="B18" s="213">
        <f>CHICLETS!F15</f>
        <v>0.63888888888888895</v>
      </c>
      <c r="C18" s="141" t="str">
        <f>CHICLETS!$H$4</f>
        <v>BECKMAN HS 1</v>
      </c>
      <c r="D18" s="141" t="s">
        <v>1679</v>
      </c>
      <c r="E18" s="141" t="str">
        <f>A5</f>
        <v>A2-SET</v>
      </c>
      <c r="F18" s="141">
        <v>13</v>
      </c>
      <c r="G18" s="141" t="str">
        <f>A6</f>
        <v>A3-PALOS VERDES</v>
      </c>
      <c r="H18" s="141">
        <v>2</v>
      </c>
      <c r="I18" s="141" t="s">
        <v>1261</v>
      </c>
      <c r="J18" s="141" t="s">
        <v>775</v>
      </c>
    </row>
    <row r="19" spans="1:10">
      <c r="A19" s="2"/>
      <c r="C19" s="2"/>
      <c r="E19" s="2"/>
      <c r="F19" s="2"/>
      <c r="G19" s="2"/>
      <c r="H19" s="2"/>
      <c r="I19" s="2"/>
      <c r="J19" s="2"/>
    </row>
    <row r="20" spans="1:10">
      <c r="A20" s="4"/>
      <c r="B20" s="126"/>
      <c r="C20" s="4"/>
      <c r="D20" s="4"/>
      <c r="E20" s="4"/>
      <c r="F20" s="4"/>
      <c r="G20" s="4"/>
      <c r="H20" s="4"/>
      <c r="I20" s="4"/>
      <c r="J20" s="4"/>
    </row>
    <row r="21" spans="1:10">
      <c r="A21" s="8"/>
      <c r="B21" s="116"/>
      <c r="C21" s="8"/>
      <c r="D21" s="8"/>
      <c r="E21" s="8"/>
      <c r="F21" s="8"/>
      <c r="G21" s="8"/>
      <c r="H21" s="8"/>
      <c r="I21" s="8"/>
      <c r="J21" s="8"/>
    </row>
    <row r="22" spans="1:10">
      <c r="A22" s="214">
        <v>46054</v>
      </c>
      <c r="B22" s="213">
        <f>CHICLETS!F27</f>
        <v>0.29166666666666669</v>
      </c>
      <c r="C22" s="141" t="str">
        <f>CHICLETS!$J$26</f>
        <v>TUSTIN HS 2</v>
      </c>
      <c r="D22" s="141" t="s">
        <v>1680</v>
      </c>
      <c r="E22" s="141" t="str">
        <f>B6</f>
        <v>B3-YOLO BLACK</v>
      </c>
      <c r="F22" s="141">
        <v>16</v>
      </c>
      <c r="G22" s="141" t="str">
        <f>B7</f>
        <v>B4-LA CITY UNITED</v>
      </c>
      <c r="H22" s="141">
        <v>4</v>
      </c>
      <c r="I22" s="141" t="s">
        <v>1681</v>
      </c>
      <c r="J22" s="141" t="s">
        <v>775</v>
      </c>
    </row>
    <row r="23" spans="1:10">
      <c r="A23" s="214">
        <v>46054</v>
      </c>
      <c r="B23" s="213">
        <f>CHICLETS!F28</f>
        <v>0.3263888888888889</v>
      </c>
      <c r="C23" s="141" t="str">
        <f>CHICLETS!$J$26</f>
        <v>TUSTIN HS 2</v>
      </c>
      <c r="D23" s="141" t="s">
        <v>1682</v>
      </c>
      <c r="E23" s="141" t="str">
        <f>B4</f>
        <v>B1-POWAY VALLEY</v>
      </c>
      <c r="F23" s="141">
        <v>12</v>
      </c>
      <c r="G23" s="141" t="str">
        <f>B5</f>
        <v>B2-LOYOLA WPC</v>
      </c>
      <c r="H23" s="141">
        <v>3</v>
      </c>
      <c r="I23" s="141" t="s">
        <v>1272</v>
      </c>
      <c r="J23" s="141" t="s">
        <v>775</v>
      </c>
    </row>
    <row r="24" spans="1:10">
      <c r="A24" s="8"/>
      <c r="B24" s="116"/>
      <c r="C24" s="8"/>
      <c r="E24" s="8"/>
      <c r="F24" s="8"/>
      <c r="G24" s="8"/>
      <c r="H24" s="8"/>
      <c r="I24" s="8"/>
      <c r="J24" s="8"/>
    </row>
    <row r="25" spans="1:10">
      <c r="A25" s="214">
        <v>46054</v>
      </c>
      <c r="B25" s="213">
        <f>CHICLETS!F32</f>
        <v>0.46527777777777801</v>
      </c>
      <c r="C25" s="141" t="str">
        <f>CHICLETS!$J$26</f>
        <v>TUSTIN HS 2</v>
      </c>
      <c r="D25" s="141" t="s">
        <v>1683</v>
      </c>
      <c r="E25" s="141" t="s">
        <v>1684</v>
      </c>
      <c r="F25" s="141">
        <v>16</v>
      </c>
      <c r="G25" s="141" t="s">
        <v>1685</v>
      </c>
      <c r="H25" s="141">
        <v>1</v>
      </c>
      <c r="I25" s="141" t="s">
        <v>1686</v>
      </c>
      <c r="J25" s="141" t="s">
        <v>775</v>
      </c>
    </row>
    <row r="26" spans="1:10">
      <c r="A26" s="214">
        <v>46054</v>
      </c>
      <c r="B26" s="213">
        <f>CHICLETS!F33</f>
        <v>0.5</v>
      </c>
      <c r="C26" s="141" t="str">
        <f>CHICLETS!$J$26</f>
        <v>TUSTIN HS 2</v>
      </c>
      <c r="D26" s="141" t="s">
        <v>1687</v>
      </c>
      <c r="E26" s="141" t="s">
        <v>1688</v>
      </c>
      <c r="F26" s="141">
        <v>8</v>
      </c>
      <c r="G26" s="141" t="s">
        <v>1689</v>
      </c>
      <c r="H26" s="141">
        <v>6</v>
      </c>
      <c r="I26" s="141" t="s">
        <v>1690</v>
      </c>
      <c r="J26" s="141" t="s">
        <v>775</v>
      </c>
    </row>
    <row r="27" spans="1:10">
      <c r="A27" s="214">
        <v>46054</v>
      </c>
      <c r="B27" s="213">
        <f>CHICLETS!F34</f>
        <v>0.53472222222222199</v>
      </c>
      <c r="C27" s="141" t="str">
        <f>CHICLETS!$J$26</f>
        <v>TUSTIN HS 2</v>
      </c>
      <c r="D27" s="141" t="s">
        <v>1691</v>
      </c>
      <c r="E27" s="141" t="s">
        <v>1692</v>
      </c>
      <c r="F27" s="141">
        <v>20</v>
      </c>
      <c r="G27" s="141" t="s">
        <v>1693</v>
      </c>
      <c r="H27" s="141">
        <v>1</v>
      </c>
      <c r="I27" s="141" t="s">
        <v>1690</v>
      </c>
      <c r="J27" s="141" t="s">
        <v>775</v>
      </c>
    </row>
    <row r="28" spans="1:10">
      <c r="A28" s="214">
        <v>46054</v>
      </c>
      <c r="B28" s="213">
        <f>CHICLETS!F35</f>
        <v>0.56944444444444497</v>
      </c>
      <c r="C28" s="141" t="str">
        <f>CHICLETS!$J$26</f>
        <v>TUSTIN HS 2</v>
      </c>
      <c r="D28" s="141" t="s">
        <v>1694</v>
      </c>
      <c r="E28" s="141" t="s">
        <v>1684</v>
      </c>
      <c r="F28" s="141">
        <v>2</v>
      </c>
      <c r="G28" s="141" t="s">
        <v>1695</v>
      </c>
      <c r="H28" s="141">
        <v>9</v>
      </c>
      <c r="I28" s="141" t="s">
        <v>1686</v>
      </c>
      <c r="J28" s="141" t="s">
        <v>775</v>
      </c>
    </row>
    <row r="29" spans="1:10">
      <c r="A29" s="8"/>
      <c r="B29" s="116"/>
      <c r="C29" s="8"/>
      <c r="E29" s="8"/>
      <c r="F29" s="8"/>
      <c r="G29" s="8"/>
      <c r="H29" s="8"/>
      <c r="I29" s="8"/>
      <c r="J29" s="8"/>
    </row>
    <row r="30" spans="1:10">
      <c r="A30" s="214">
        <v>46054</v>
      </c>
      <c r="B30" s="213">
        <f>CHICLETS!F39</f>
        <v>0.70833333333333404</v>
      </c>
      <c r="C30" s="141" t="str">
        <f>CHICLETS!$G$26</f>
        <v>WOOLLETT FAR RIGHT</v>
      </c>
      <c r="D30" s="141" t="s">
        <v>1696</v>
      </c>
      <c r="E30" s="141" t="str">
        <f>IF(F26="","W#11",IF(F26&gt;H26,_xlfn.CONCAT("W#11-",RIGHT(E26,LEN(E26) - FIND("-",E26))), _xlfn.CONCAT("W#11-",RIGHT(G26,LEN(G26) - FIND("-",G26)))))</f>
        <v>W#11-SET</v>
      </c>
      <c r="F30" s="141">
        <v>7</v>
      </c>
      <c r="G30" s="141" t="str">
        <f>IF(F27="","W#12",IF(F27&gt;H27,_xlfn.CONCAT("W#12-",RIGHT(E27,LEN(E27) - FIND("-",E27))), _xlfn.CONCAT("W#12-",RIGHT(G27,LEN(G27) - FIND("-",G27)))))</f>
        <v>W#12-YOLO BLACK</v>
      </c>
      <c r="H30" s="141">
        <v>21</v>
      </c>
      <c r="I30" s="141" t="s">
        <v>1312</v>
      </c>
      <c r="J30" s="141" t="s">
        <v>775</v>
      </c>
    </row>
    <row r="31" spans="1:10">
      <c r="A31" s="214">
        <v>46054</v>
      </c>
      <c r="B31" s="213">
        <f>CHICLETS!F40</f>
        <v>0.74305555555555602</v>
      </c>
      <c r="C31" s="141" t="str">
        <f>CHICLETS!$G$26</f>
        <v>WOOLLETT FAR RIGHT</v>
      </c>
      <c r="D31" s="141" t="s">
        <v>1697</v>
      </c>
      <c r="E31" s="141" t="str">
        <f>IF(F26="","L#11",IF(F26&lt;H26,_xlfn.CONCAT("L#11-",RIGHT(E26,LEN(E26) - FIND("-",E26))), _xlfn.CONCAT("L#11-",RIGHT(G26,LEN(G26) - FIND("-",G26)))))</f>
        <v>L#11-LA CITY UNITED</v>
      </c>
      <c r="F31" s="141">
        <v>15</v>
      </c>
      <c r="G31" s="141" t="str">
        <f>IF(F27="","L#12",IF(F27&lt;H27,_xlfn.CONCAT("L#12-",RIGHT(E27,LEN(E27) - FIND("-",E27))), _xlfn.CONCAT("L#12-",RIGHT(G27,LEN(G27) - FIND("-",G27)))))</f>
        <v>L#12-PALOS VERDES</v>
      </c>
      <c r="H31" s="141">
        <v>8</v>
      </c>
      <c r="I31" s="141" t="s">
        <v>1314</v>
      </c>
      <c r="J31" s="141" t="s">
        <v>775</v>
      </c>
    </row>
    <row r="33" spans="2:10">
      <c r="D33" s="2"/>
      <c r="E33" s="2"/>
      <c r="I33" s="141" t="s">
        <v>1312</v>
      </c>
      <c r="J33" s="141" t="s">
        <v>686</v>
      </c>
    </row>
    <row r="34" spans="2:10">
      <c r="E34" s="2"/>
      <c r="G34" s="5" t="s">
        <v>1698</v>
      </c>
      <c r="I34" s="141" t="s">
        <v>1313</v>
      </c>
      <c r="J34" s="141" t="s">
        <v>484</v>
      </c>
    </row>
    <row r="35" spans="2:10">
      <c r="E35" s="2"/>
      <c r="G35" s="5" t="s">
        <v>1698</v>
      </c>
      <c r="I35" s="141" t="s">
        <v>1314</v>
      </c>
      <c r="J35" s="141" t="s">
        <v>776</v>
      </c>
    </row>
    <row r="36" spans="2:10">
      <c r="E36" s="2"/>
      <c r="G36" s="5" t="s">
        <v>1698</v>
      </c>
      <c r="H36" s="210"/>
      <c r="I36" s="212"/>
      <c r="J36" s="204"/>
    </row>
    <row r="37" spans="2:10">
      <c r="B37" s="206" t="s">
        <v>1184</v>
      </c>
      <c r="E37" s="2"/>
      <c r="G37" s="211" t="s">
        <v>1699</v>
      </c>
      <c r="H37" s="210"/>
      <c r="I37" s="209"/>
      <c r="J37" s="208"/>
    </row>
    <row r="38" spans="2:10">
      <c r="B38" s="206">
        <f>SUM(C38:F38)</f>
        <v>0</v>
      </c>
      <c r="D38" s="207"/>
      <c r="E38" s="131"/>
      <c r="F38" s="204"/>
      <c r="G38" s="2" t="str">
        <f>B4</f>
        <v>B1-POWAY VALLEY</v>
      </c>
      <c r="H38" s="204"/>
      <c r="I38" s="207"/>
      <c r="J38" s="207"/>
    </row>
    <row r="39" spans="2:10">
      <c r="B39" s="206">
        <f>SUM(C39:F39)</f>
        <v>0</v>
      </c>
      <c r="D39" s="207"/>
      <c r="E39" s="10"/>
      <c r="F39" s="1"/>
      <c r="G39" s="2" t="str">
        <f>B5</f>
        <v>B2-LOYOLA WPC</v>
      </c>
      <c r="H39" s="1"/>
      <c r="I39" s="205"/>
      <c r="J39" s="207"/>
    </row>
    <row r="40" spans="2:10">
      <c r="B40" s="206">
        <f>SUM(C40:F40)</f>
        <v>0</v>
      </c>
      <c r="D40" s="204"/>
      <c r="E40" s="131"/>
      <c r="F40" s="1"/>
      <c r="G40" s="2" t="str">
        <f>B6</f>
        <v>B3-YOLO BLACK</v>
      </c>
      <c r="H40" s="1"/>
      <c r="I40" s="207"/>
      <c r="J40" s="204"/>
    </row>
    <row r="41" spans="2:10">
      <c r="B41" s="206">
        <f>SUM(C41:F41)</f>
        <v>0</v>
      </c>
      <c r="D41" s="204"/>
      <c r="E41" s="10"/>
      <c r="F41" s="204"/>
      <c r="G41" s="2" t="str">
        <f>B7</f>
        <v>B4-LA CITY UNITED</v>
      </c>
      <c r="H41" s="204"/>
      <c r="I41" s="205"/>
      <c r="J41" s="204"/>
    </row>
    <row r="42" spans="2:10">
      <c r="E42" s="2"/>
    </row>
    <row r="43" spans="2:10">
      <c r="E43" s="2"/>
    </row>
    <row r="44" spans="2:10">
      <c r="E44" s="2"/>
    </row>
  </sheetData>
  <hyperlinks>
    <hyperlink ref="B2" r:id="rId1" xr:uid="{F2F66834-B5CD-4E66-8857-FDD634120872}"/>
    <hyperlink ref="C2" r:id="rId2" xr:uid="{E664C6BF-BB36-403F-BEA9-C5371E8D3710}"/>
    <hyperlink ref="A2" r:id="rId3" xr:uid="{7FFA791B-EE3A-43E3-AE43-658673E6901B}"/>
  </hyperlinks>
  <pageMargins left="0.7" right="0.7" top="0.75" bottom="0.75" header="0.3" footer="0.3"/>
  <pageSetup scale="70" orientation="landscape"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D4084-A7E7-4FBC-BF97-0349F11929EF}">
  <sheetPr>
    <tabColor rgb="FF782170"/>
    <pageSetUpPr fitToPage="1"/>
  </sheetPr>
  <dimension ref="A1:J45"/>
  <sheetViews>
    <sheetView workbookViewId="0"/>
  </sheetViews>
  <sheetFormatPr defaultColWidth="10.42578125" defaultRowHeight="18"/>
  <cols>
    <col min="1" max="1" width="38.85546875" style="31" customWidth="1"/>
    <col min="2" max="2" width="32.5703125" style="31" customWidth="1"/>
    <col min="3" max="3" width="40.140625" style="31" bestFit="1" customWidth="1"/>
    <col min="4" max="4" width="41.28515625" style="31" customWidth="1"/>
    <col min="5" max="5" width="43.140625" style="31" customWidth="1"/>
    <col min="6" max="6" width="27.140625" style="31" customWidth="1"/>
    <col min="7" max="7" width="52.5703125" style="31" bestFit="1" customWidth="1"/>
    <col min="8" max="8" width="9.85546875" style="31" customWidth="1"/>
    <col min="9" max="9" width="22.85546875" style="31" customWidth="1"/>
    <col min="10" max="10" width="29.7109375" style="31" customWidth="1"/>
    <col min="11" max="11" width="26.85546875" style="31" bestFit="1" customWidth="1"/>
    <col min="12" max="16384" width="10.42578125" style="31"/>
  </cols>
  <sheetData>
    <row r="1" spans="1:10">
      <c r="A1" s="69" t="s">
        <v>95</v>
      </c>
      <c r="B1" s="165" t="s">
        <v>1700</v>
      </c>
      <c r="C1" s="307" t="s">
        <v>1383</v>
      </c>
      <c r="D1" s="31" t="s">
        <v>1701</v>
      </c>
    </row>
    <row r="2" spans="1:10">
      <c r="A2" s="119" t="s">
        <v>1237</v>
      </c>
      <c r="B2" s="118" t="s">
        <v>1238</v>
      </c>
      <c r="C2" s="117" t="s">
        <v>1239</v>
      </c>
    </row>
    <row r="3" spans="1:10">
      <c r="A3" s="8" t="s">
        <v>644</v>
      </c>
      <c r="B3" s="8" t="s">
        <v>645</v>
      </c>
      <c r="C3" s="8" t="s">
        <v>646</v>
      </c>
      <c r="D3" s="8" t="s">
        <v>647</v>
      </c>
    </row>
    <row r="4" spans="1:10">
      <c r="A4" s="2" t="s">
        <v>649</v>
      </c>
      <c r="B4" s="2" t="s">
        <v>788</v>
      </c>
      <c r="C4" s="2" t="s">
        <v>789</v>
      </c>
      <c r="D4" s="2" t="s">
        <v>790</v>
      </c>
    </row>
    <row r="5" spans="1:10">
      <c r="A5" s="2" t="s">
        <v>791</v>
      </c>
      <c r="B5" s="2" t="s">
        <v>792</v>
      </c>
      <c r="C5" s="2" t="s">
        <v>793</v>
      </c>
      <c r="D5" s="2" t="s">
        <v>794</v>
      </c>
      <c r="E5" s="14"/>
    </row>
    <row r="6" spans="1:10">
      <c r="A6" s="2" t="s">
        <v>796</v>
      </c>
      <c r="B6" s="2" t="s">
        <v>797</v>
      </c>
      <c r="C6" s="2" t="s">
        <v>798</v>
      </c>
      <c r="D6" s="2" t="s">
        <v>799</v>
      </c>
    </row>
    <row r="7" spans="1:10">
      <c r="A7" s="2"/>
      <c r="B7" s="2"/>
      <c r="C7" s="2" t="s">
        <v>800</v>
      </c>
      <c r="D7" s="2" t="s">
        <v>801</v>
      </c>
    </row>
    <row r="8" spans="1:10">
      <c r="A8" s="14"/>
      <c r="B8" s="14"/>
      <c r="C8" s="14"/>
      <c r="D8" s="14"/>
    </row>
    <row r="9" spans="1:10">
      <c r="A9" s="165" t="s">
        <v>1240</v>
      </c>
      <c r="B9" s="266" t="s">
        <v>1241</v>
      </c>
      <c r="C9" s="165" t="s">
        <v>1242</v>
      </c>
      <c r="D9" s="165" t="s">
        <v>1243</v>
      </c>
      <c r="E9" s="165" t="s">
        <v>1244</v>
      </c>
      <c r="F9" s="165" t="s">
        <v>1245</v>
      </c>
      <c r="G9" s="165" t="s">
        <v>1246</v>
      </c>
      <c r="H9" s="165" t="s">
        <v>1245</v>
      </c>
      <c r="I9" s="165" t="s">
        <v>11</v>
      </c>
      <c r="J9" s="165" t="s">
        <v>1180</v>
      </c>
    </row>
    <row r="10" spans="1:10">
      <c r="A10" s="218">
        <v>46053</v>
      </c>
      <c r="B10" s="217">
        <f>CHICLETS!F5</f>
        <v>0.29166666666666669</v>
      </c>
      <c r="C10" s="217" t="str">
        <f>CHICLETS!$O$4</f>
        <v>SAN CLEMENTE HS</v>
      </c>
      <c r="D10" s="145" t="s">
        <v>1702</v>
      </c>
      <c r="E10" s="145" t="str">
        <f>A4</f>
        <v>A1-LA JOLLA UNITED</v>
      </c>
      <c r="F10" s="145">
        <v>18</v>
      </c>
      <c r="G10" s="145" t="str">
        <f>A5</f>
        <v>A2-SANTA CRUZ BLUE</v>
      </c>
      <c r="H10" s="145">
        <v>4</v>
      </c>
      <c r="I10" s="145" t="s">
        <v>1269</v>
      </c>
      <c r="J10" s="145" t="s">
        <v>786</v>
      </c>
    </row>
    <row r="11" spans="1:10">
      <c r="A11" s="218">
        <v>46053</v>
      </c>
      <c r="B11" s="217">
        <f>CHICLETS!F5</f>
        <v>0.29166666666666669</v>
      </c>
      <c r="C11" s="217" t="str">
        <f>CHICLETS!$P$4</f>
        <v>LAGUNA HILLS HS</v>
      </c>
      <c r="D11" s="145" t="s">
        <v>1703</v>
      </c>
      <c r="E11" s="145" t="str">
        <f>D4</f>
        <v>D1-NORTHWEST</v>
      </c>
      <c r="F11" s="145">
        <v>10</v>
      </c>
      <c r="G11" s="145" t="str">
        <f>D7</f>
        <v>D4-NORTH IRVINE</v>
      </c>
      <c r="H11" s="145">
        <v>11</v>
      </c>
      <c r="I11" s="145" t="s">
        <v>1482</v>
      </c>
      <c r="J11" s="145" t="s">
        <v>786</v>
      </c>
    </row>
    <row r="12" spans="1:10">
      <c r="A12" s="218">
        <v>46053</v>
      </c>
      <c r="B12" s="217">
        <f>CHICLETS!F6</f>
        <v>0.3263888888888889</v>
      </c>
      <c r="C12" s="217" t="str">
        <f>CHICLETS!$P$4</f>
        <v>LAGUNA HILLS HS</v>
      </c>
      <c r="D12" s="145" t="s">
        <v>1704</v>
      </c>
      <c r="E12" s="145" t="str">
        <f>D5</f>
        <v>D2-SD ECA</v>
      </c>
      <c r="F12" s="145">
        <v>8</v>
      </c>
      <c r="G12" s="145" t="str">
        <f>D6</f>
        <v>D3-LAMORINDA C</v>
      </c>
      <c r="H12" s="145">
        <v>6</v>
      </c>
      <c r="I12" s="145" t="s">
        <v>1484</v>
      </c>
      <c r="J12" s="145" t="s">
        <v>786</v>
      </c>
    </row>
    <row r="13" spans="1:10">
      <c r="A13" s="218">
        <v>46053</v>
      </c>
      <c r="B13" s="217">
        <f>CHICLETS!F7</f>
        <v>0.36111111111111099</v>
      </c>
      <c r="C13" s="217" t="str">
        <f>CHICLETS!$P$4</f>
        <v>LAGUNA HILLS HS</v>
      </c>
      <c r="D13" s="145" t="s">
        <v>1705</v>
      </c>
      <c r="E13" s="145" t="str">
        <f>B5</f>
        <v>B2-ROGUE 619</v>
      </c>
      <c r="F13" s="145">
        <v>10</v>
      </c>
      <c r="G13" s="145" t="str">
        <f>B6</f>
        <v>B3-BACK BAY</v>
      </c>
      <c r="H13" s="145">
        <v>4</v>
      </c>
      <c r="I13" s="145" t="s">
        <v>1263</v>
      </c>
      <c r="J13" s="145" t="s">
        <v>786</v>
      </c>
    </row>
    <row r="14" spans="1:10" s="306" customFormat="1">
      <c r="A14" s="218">
        <v>46053</v>
      </c>
      <c r="B14" s="217">
        <f>CHICLETS!F8</f>
        <v>0.39583333333333398</v>
      </c>
      <c r="C14" s="217" t="str">
        <f>CHICLETS!$P$4</f>
        <v>LAGUNA HILLS HS</v>
      </c>
      <c r="D14" s="145" t="s">
        <v>1706</v>
      </c>
      <c r="E14" s="145" t="str">
        <f>C5</f>
        <v>C2-GOLD COAST</v>
      </c>
      <c r="F14" s="145">
        <v>8</v>
      </c>
      <c r="G14" s="145" t="str">
        <f>C6</f>
        <v>C3-PALOS VERDES</v>
      </c>
      <c r="H14" s="145">
        <v>4</v>
      </c>
      <c r="I14" s="145" t="s">
        <v>1465</v>
      </c>
      <c r="J14" s="145" t="s">
        <v>786</v>
      </c>
    </row>
    <row r="15" spans="1:10">
      <c r="A15" s="218">
        <v>46053</v>
      </c>
      <c r="B15" s="217">
        <f>CHICLETS!F9</f>
        <v>0.43055555555555602</v>
      </c>
      <c r="C15" s="217" t="str">
        <f>CHICLETS!$P$4</f>
        <v>LAGUNA HILLS HS</v>
      </c>
      <c r="D15" s="145" t="s">
        <v>1707</v>
      </c>
      <c r="E15" s="145" t="str">
        <f>C4</f>
        <v>C1-SHAQ</v>
      </c>
      <c r="F15" s="145">
        <v>9</v>
      </c>
      <c r="G15" s="145" t="str">
        <f>C7</f>
        <v>C4-CDM NAVY</v>
      </c>
      <c r="H15" s="145">
        <v>5</v>
      </c>
      <c r="I15" s="145" t="s">
        <v>1462</v>
      </c>
      <c r="J15" s="145" t="s">
        <v>786</v>
      </c>
    </row>
    <row r="16" spans="1:10">
      <c r="A16" s="218">
        <v>46053</v>
      </c>
      <c r="B16" s="217">
        <f>CHICLETS!F9</f>
        <v>0.43055555555555602</v>
      </c>
      <c r="C16" s="217" t="str">
        <f>CHICLETS!$O$4</f>
        <v>SAN CLEMENTE HS</v>
      </c>
      <c r="D16" s="145" t="s">
        <v>1708</v>
      </c>
      <c r="E16" s="145" t="str">
        <f>A5</f>
        <v>A2-SANTA CRUZ BLUE</v>
      </c>
      <c r="F16" s="145">
        <v>2</v>
      </c>
      <c r="G16" s="145" t="str">
        <f>A6</f>
        <v>A3-PASADENA AC</v>
      </c>
      <c r="H16" s="145">
        <v>16</v>
      </c>
      <c r="I16" s="145" t="s">
        <v>1261</v>
      </c>
      <c r="J16" s="145" t="s">
        <v>786</v>
      </c>
    </row>
    <row r="17" spans="1:10">
      <c r="A17" s="218">
        <v>46053</v>
      </c>
      <c r="B17" s="217">
        <f>CHICLETS!F10</f>
        <v>0.46527777777777801</v>
      </c>
      <c r="C17" s="217" t="str">
        <f>CHICLETS!$P$4</f>
        <v>LAGUNA HILLS HS</v>
      </c>
      <c r="D17" s="145" t="s">
        <v>1709</v>
      </c>
      <c r="E17" s="145" t="str">
        <f>B4</f>
        <v>B1-HONOLULU</v>
      </c>
      <c r="F17" s="145">
        <v>2</v>
      </c>
      <c r="G17" s="145" t="str">
        <f>B5</f>
        <v>B2-ROGUE 619</v>
      </c>
      <c r="H17" s="145">
        <v>12</v>
      </c>
      <c r="I17" s="145" t="s">
        <v>1272</v>
      </c>
      <c r="J17" s="145" t="s">
        <v>786</v>
      </c>
    </row>
    <row r="18" spans="1:10">
      <c r="A18" s="218">
        <v>46053</v>
      </c>
      <c r="B18" s="217">
        <f>CHICLETS!F11</f>
        <v>0.5</v>
      </c>
      <c r="C18" s="217" t="str">
        <f>CHICLETS!$P$4</f>
        <v>LAGUNA HILLS HS</v>
      </c>
      <c r="D18" s="145" t="s">
        <v>1710</v>
      </c>
      <c r="E18" s="145" t="str">
        <f>IF(F11="","L#3",IF(F11&lt;H11,_xlfn.CONCAT("L#3-",RIGHT(E11,LEN(E11) - FIND("-",E11))), _xlfn.CONCAT("L#3-",RIGHT(G11,LEN(G11) - FIND("-",G11)))))</f>
        <v>L#3-NORTHWEST</v>
      </c>
      <c r="F18" s="145">
        <v>9</v>
      </c>
      <c r="G18" s="145" t="str">
        <f>IF(F12="","L#4",IF(F12&lt;H12,_xlfn.CONCAT("L#4-",RIGHT(E12,LEN(E12) - FIND("-",E12))), _xlfn.CONCAT("L#4-",RIGHT(G12,LEN(G12) - FIND("-",G12)))))</f>
        <v>L#4-LAMORINDA C</v>
      </c>
      <c r="H18" s="145">
        <v>8</v>
      </c>
      <c r="I18" s="145" t="s">
        <v>1496</v>
      </c>
      <c r="J18" s="145" t="s">
        <v>786</v>
      </c>
    </row>
    <row r="19" spans="1:10">
      <c r="A19" s="218">
        <v>46053</v>
      </c>
      <c r="B19" s="217">
        <f>CHICLETS!F12</f>
        <v>0.53472222222222199</v>
      </c>
      <c r="C19" s="217" t="str">
        <f>CHICLETS!$P$4</f>
        <v>LAGUNA HILLS HS</v>
      </c>
      <c r="D19" s="145" t="s">
        <v>1711</v>
      </c>
      <c r="E19" s="145" t="str">
        <f>IF(F11="","W#3",IF(F11&gt;H11,_xlfn.CONCAT("W#3-",RIGHT(E11,LEN(E11) - FIND("-",E11))), _xlfn.CONCAT("W#3-",RIGHT(G11,LEN(G11) - FIND("-",G11)))))</f>
        <v>W#3-NORTH IRVINE</v>
      </c>
      <c r="F19" s="145">
        <v>13</v>
      </c>
      <c r="G19" s="145" t="str">
        <f>IF(F12="","W#4",IF(F12&gt;H12,_xlfn.CONCAT("W#4-",RIGHT(E12,LEN(E12) - FIND("-",E12))), _xlfn.CONCAT("W#4-",RIGHT(G12,LEN(G12) - FIND("-",G12)))))</f>
        <v>W#4-SD ECA</v>
      </c>
      <c r="H19" s="145">
        <v>11</v>
      </c>
      <c r="I19" s="145" t="s">
        <v>1494</v>
      </c>
      <c r="J19" s="145" t="s">
        <v>786</v>
      </c>
    </row>
    <row r="20" spans="1:10">
      <c r="A20" s="218">
        <v>46053</v>
      </c>
      <c r="B20" s="217">
        <f>CHICLETS!F13</f>
        <v>0.56944444444444497</v>
      </c>
      <c r="C20" s="217" t="str">
        <f>CHICLETS!$O$4</f>
        <v>SAN CLEMENTE HS</v>
      </c>
      <c r="D20" s="145" t="s">
        <v>1712</v>
      </c>
      <c r="E20" s="145" t="str">
        <f>A4</f>
        <v>A1-LA JOLLA UNITED</v>
      </c>
      <c r="F20" s="145">
        <v>11</v>
      </c>
      <c r="G20" s="145" t="str">
        <f>A6</f>
        <v>A3-PASADENA AC</v>
      </c>
      <c r="H20" s="145">
        <v>14</v>
      </c>
      <c r="I20" s="145" t="s">
        <v>1250</v>
      </c>
      <c r="J20" s="145" t="s">
        <v>786</v>
      </c>
    </row>
    <row r="21" spans="1:10">
      <c r="A21" s="218">
        <v>46053</v>
      </c>
      <c r="B21" s="217">
        <f>CHICLETS!F13</f>
        <v>0.56944444444444497</v>
      </c>
      <c r="C21" s="217" t="str">
        <f>CHICLETS!$P$4</f>
        <v>LAGUNA HILLS HS</v>
      </c>
      <c r="D21" s="145" t="s">
        <v>1713</v>
      </c>
      <c r="E21" s="145" t="str">
        <f>B4</f>
        <v>B1-HONOLULU</v>
      </c>
      <c r="F21" s="145">
        <v>5</v>
      </c>
      <c r="G21" s="145" t="str">
        <f>B6</f>
        <v>B3-BACK BAY</v>
      </c>
      <c r="H21" s="145">
        <v>8</v>
      </c>
      <c r="I21" s="145" t="s">
        <v>1252</v>
      </c>
      <c r="J21" s="145" t="s">
        <v>786</v>
      </c>
    </row>
    <row r="22" spans="1:10">
      <c r="A22" s="218">
        <v>46053</v>
      </c>
      <c r="B22" s="217">
        <f>CHICLETS!F14</f>
        <v>0.60416666666666696</v>
      </c>
      <c r="C22" s="217" t="str">
        <f>CHICLETS!$P$4</f>
        <v>LAGUNA HILLS HS</v>
      </c>
      <c r="D22" s="145" t="s">
        <v>1714</v>
      </c>
      <c r="E22" s="145" t="str">
        <f>IF(F14="","W#1",IF(F14&gt;H14,_xlfn.CONCAT("W#1-",RIGHT(E14,LEN(E14) - FIND("-",E14))), _xlfn.CONCAT("W#1-",RIGHT(G14,LEN(G14) - FIND("-",G14)))))</f>
        <v>W#1-GOLD COAST</v>
      </c>
      <c r="F22" s="145">
        <v>8</v>
      </c>
      <c r="G22" s="145" t="str">
        <f>IF(F15="","W#2",IF(F15&gt;H15,_xlfn.CONCAT("W#2-",RIGHT(E15,LEN(E15) - FIND("-",E15))), _xlfn.CONCAT("W#2-",RIGHT(G15,LEN(G15) - FIND("-",G15)))))</f>
        <v>W#2-SHAQ</v>
      </c>
      <c r="H22" s="145">
        <v>4</v>
      </c>
      <c r="I22" s="145" t="s">
        <v>1472</v>
      </c>
      <c r="J22" s="145" t="s">
        <v>786</v>
      </c>
    </row>
    <row r="23" spans="1:10">
      <c r="A23" s="218">
        <v>46053</v>
      </c>
      <c r="B23" s="217">
        <f>CHICLETS!F15</f>
        <v>0.63888888888888895</v>
      </c>
      <c r="C23" s="217" t="str">
        <f>CHICLETS!$P$4</f>
        <v>LAGUNA HILLS HS</v>
      </c>
      <c r="D23" s="145" t="s">
        <v>1715</v>
      </c>
      <c r="E23" s="145" t="str">
        <f>IF(F14="","L#1",IF(F14&lt;H14,_xlfn.CONCAT("L#1-",RIGHT(E14,LEN(E14) - FIND("-",E14))), _xlfn.CONCAT("L#1-",RIGHT(G14,LEN(G14) - FIND("-",G14)))))</f>
        <v>L#1-PALOS VERDES</v>
      </c>
      <c r="F23" s="145">
        <v>12</v>
      </c>
      <c r="G23" s="145" t="str">
        <f>IF(F15="","L#2",IF(F15&lt;H15,_xlfn.CONCAT("L#2-",RIGHT(E15,LEN(E15) - FIND("-",E15))), _xlfn.CONCAT("L#2-",RIGHT(G15,LEN(G15) - FIND("-",G15)))))</f>
        <v>L#2-CDM NAVY</v>
      </c>
      <c r="H23" s="145">
        <v>2</v>
      </c>
      <c r="I23" s="145" t="s">
        <v>1474</v>
      </c>
      <c r="J23" s="145" t="s">
        <v>786</v>
      </c>
    </row>
    <row r="25" spans="1:10">
      <c r="A25" s="183"/>
      <c r="B25" s="183"/>
      <c r="C25" s="183"/>
      <c r="D25" s="183"/>
      <c r="E25" s="183"/>
      <c r="F25" s="183"/>
      <c r="G25" s="183"/>
      <c r="H25" s="183"/>
      <c r="I25" s="183"/>
      <c r="J25" s="183"/>
    </row>
    <row r="27" spans="1:10">
      <c r="A27" s="218">
        <v>46054</v>
      </c>
      <c r="B27" s="217">
        <f>CHICLETS!F27</f>
        <v>0.29166666666666669</v>
      </c>
      <c r="C27" s="217" t="str">
        <f>CHICLETS!$O$26</f>
        <v>SAN CLEMENTE HS</v>
      </c>
      <c r="D27" s="145" t="s">
        <v>1716</v>
      </c>
      <c r="E27" s="145" t="s">
        <v>1717</v>
      </c>
      <c r="F27" s="145">
        <v>3</v>
      </c>
      <c r="G27" s="145" t="str">
        <f>IF(F22="","2ndC-",IF(F22&lt;H22,_xlfn.CONCAT("2ndC-",RIGHT(E22,LEN(E22) - FIND("-",E22))), _xlfn.CONCAT("2ndC-",RIGHT(G22,LEN(G22) - FIND("-",G22)))))</f>
        <v>2ndC-SHAQ</v>
      </c>
      <c r="H27" s="145">
        <v>11</v>
      </c>
      <c r="I27" s="145" t="s">
        <v>1718</v>
      </c>
      <c r="J27" s="145" t="s">
        <v>786</v>
      </c>
    </row>
    <row r="28" spans="1:10">
      <c r="A28" s="218">
        <v>46054</v>
      </c>
      <c r="B28" s="217">
        <f>CHICLETS!S27</f>
        <v>0.29166666666666669</v>
      </c>
      <c r="C28" s="217" t="str">
        <f>CHICLETS!$T$26</f>
        <v>ESPERANZA HS</v>
      </c>
      <c r="D28" s="145" t="s">
        <v>1719</v>
      </c>
      <c r="E28" s="145" t="s">
        <v>1720</v>
      </c>
      <c r="F28" s="145">
        <v>8</v>
      </c>
      <c r="G28" s="145" t="str">
        <f>IF(F18="","4thD-",IF(F18&lt;H18,_xlfn.CONCAT("4thD-",RIGHT(E18,LEN(E18) - FIND("-",E18))), _xlfn.CONCAT("4thD-",RIGHT(G18,LEN(G18) - FIND("-",G18)))))</f>
        <v>4thD-LAMORINDA C</v>
      </c>
      <c r="H28" s="145">
        <v>5</v>
      </c>
      <c r="I28" s="145" t="s">
        <v>1721</v>
      </c>
      <c r="J28" s="145" t="s">
        <v>786</v>
      </c>
    </row>
    <row r="29" spans="1:10">
      <c r="A29" s="218">
        <v>46054</v>
      </c>
      <c r="B29" s="217">
        <f>CHICLETS!S28</f>
        <v>0.3263888888888889</v>
      </c>
      <c r="C29" s="217" t="str">
        <f>CHICLETS!$O$26</f>
        <v>SAN CLEMENTE HS</v>
      </c>
      <c r="D29" s="145" t="s">
        <v>1722</v>
      </c>
      <c r="E29" s="145" t="s">
        <v>1723</v>
      </c>
      <c r="F29" s="145">
        <v>13</v>
      </c>
      <c r="G29" s="145" t="str">
        <f>IF(F19="","2ndD-",IF(F19&lt;H19,_xlfn.CONCAT("2ndD-",RIGHT(E19,LEN(E19) - FIND("-",E19))), _xlfn.CONCAT("2ndD-",RIGHT(G19,LEN(G19) - FIND("-",G19)))))</f>
        <v>2ndD-SD ECA</v>
      </c>
      <c r="H29" s="145">
        <v>6</v>
      </c>
      <c r="I29" s="145" t="s">
        <v>1718</v>
      </c>
      <c r="J29" s="145" t="s">
        <v>786</v>
      </c>
    </row>
    <row r="30" spans="1:10">
      <c r="A30" s="218">
        <v>46054</v>
      </c>
      <c r="B30" s="217">
        <f>CHICLETS!S28</f>
        <v>0.3263888888888889</v>
      </c>
      <c r="C30" s="217" t="str">
        <f>CHICLETS!$T$26</f>
        <v>ESPERANZA HS</v>
      </c>
      <c r="D30" s="145" t="s">
        <v>1724</v>
      </c>
      <c r="E30" s="145" t="s">
        <v>1725</v>
      </c>
      <c r="F30" s="145">
        <v>7</v>
      </c>
      <c r="G30" s="145" t="str">
        <f>IF(F18="","3rdD-",IF(F18&gt;H18,_xlfn.CONCAT("3rdD-",RIGHT(E18,LEN(E18) - FIND("-",E18))), _xlfn.CONCAT("3rdD-",RIGHT(G18,LEN(G18) - FIND("-",G18)))))</f>
        <v>3rdD-NORTHWEST</v>
      </c>
      <c r="H30" s="145">
        <v>14</v>
      </c>
      <c r="I30" s="145" t="s">
        <v>1726</v>
      </c>
      <c r="J30" s="145" t="s">
        <v>786</v>
      </c>
    </row>
    <row r="31" spans="1:10">
      <c r="A31" s="218">
        <v>46054</v>
      </c>
      <c r="B31" s="217">
        <f>CHICLETS!F29</f>
        <v>0.36111111111111099</v>
      </c>
      <c r="C31" s="217" t="str">
        <f>CHICLETS!$O$26</f>
        <v>SAN CLEMENTE HS</v>
      </c>
      <c r="D31" s="145" t="s">
        <v>1727</v>
      </c>
      <c r="E31" s="145" t="s">
        <v>1728</v>
      </c>
      <c r="F31" s="145">
        <v>12</v>
      </c>
      <c r="G31" s="282" t="str">
        <f>IF(F19="","1stD-",IF(F19&gt;H19,_xlfn.CONCAT("1stD-",RIGHT(E19,LEN(E19) - FIND("-",E19))), _xlfn.CONCAT("1stD-",RIGHT(G19,LEN(G19) - FIND("-",G19)))))</f>
        <v>1stD-NORTH IRVINE</v>
      </c>
      <c r="H31" s="145">
        <v>6</v>
      </c>
      <c r="I31" s="145" t="s">
        <v>1690</v>
      </c>
      <c r="J31" s="145" t="s">
        <v>786</v>
      </c>
    </row>
    <row r="32" spans="1:10">
      <c r="A32" s="218">
        <v>46054</v>
      </c>
      <c r="B32" s="217">
        <f>CHICLETS!F30</f>
        <v>0.39583333333333398</v>
      </c>
      <c r="C32" s="217" t="str">
        <f>CHICLETS!$O$26</f>
        <v>SAN CLEMENTE HS</v>
      </c>
      <c r="D32" s="145" t="s">
        <v>1729</v>
      </c>
      <c r="E32" s="145" t="s">
        <v>1730</v>
      </c>
      <c r="F32" s="145">
        <v>8</v>
      </c>
      <c r="G32" s="145" t="str">
        <f>IF(F22="","1stC-",IF(F22&gt;H22,_xlfn.CONCAT("1stC-",RIGHT(E22,LEN(E22) - FIND("-",E22))), _xlfn.CONCAT("1stC-",RIGHT(G22,LEN(G22) - FIND("-",G22)))))</f>
        <v>1stC-GOLD COAST</v>
      </c>
      <c r="H32" s="145">
        <v>9</v>
      </c>
      <c r="I32" s="145" t="s">
        <v>1690</v>
      </c>
      <c r="J32" s="145" t="s">
        <v>786</v>
      </c>
    </row>
    <row r="33" spans="1:10">
      <c r="A33" s="218">
        <v>46054</v>
      </c>
      <c r="B33" s="217">
        <f>CHICLETS!F31</f>
        <v>0.43055555555555602</v>
      </c>
      <c r="C33" s="217" t="str">
        <f>CHICLETS!$O$26</f>
        <v>SAN CLEMENTE HS</v>
      </c>
      <c r="D33" s="145" t="s">
        <v>1731</v>
      </c>
      <c r="E33" s="145" t="str">
        <f>IF(F23="","4thC-",IF(F23&lt;H23,_xlfn.CONCAT("4thC-",RIGHT(E23,LEN(E23) - FIND("-",E23))), _xlfn.CONCAT("4thC-",RIGHT(G23,LEN(G23) - FIND("-",G23)))))</f>
        <v>4thC-CDM NAVY</v>
      </c>
      <c r="F33" s="145">
        <v>9</v>
      </c>
      <c r="G33" s="145" t="str">
        <f>IF(F18="","4thD-",IF(F18&lt;H18,_xlfn.CONCAT("4thD-",RIGHT(E18,LEN(E18) - FIND("-",E18))), _xlfn.CONCAT("4thD-",RIGHT(G18,LEN(G18) - FIND("-",G18)))))</f>
        <v>4thD-LAMORINDA C</v>
      </c>
      <c r="H33" s="145">
        <v>8</v>
      </c>
      <c r="I33" s="145" t="s">
        <v>1732</v>
      </c>
      <c r="J33" s="145" t="s">
        <v>786</v>
      </c>
    </row>
    <row r="34" spans="1:10">
      <c r="A34" s="218">
        <v>46054</v>
      </c>
      <c r="B34" s="217">
        <f>CHICLETS!F32</f>
        <v>0.46527777777777801</v>
      </c>
      <c r="C34" s="217" t="str">
        <f>CHICLETS!$O$26</f>
        <v>SAN CLEMENTE HS</v>
      </c>
      <c r="D34" s="145" t="s">
        <v>1733</v>
      </c>
      <c r="E34" s="145" t="str">
        <f>IF(F23="","3rdC-",IF(F23&gt;H23,_xlfn.CONCAT("3rdC-",RIGHT(E23,LEN(E23) - FIND("-",E23))), _xlfn.CONCAT("3rdC-",RIGHT(G23,LEN(G23) - FIND("-",G23)))))</f>
        <v>3rdC-PALOS VERDES</v>
      </c>
      <c r="F34" s="145">
        <v>10</v>
      </c>
      <c r="G34" s="145" t="str">
        <f>IF(F18="","3rdD-",IF(F18&gt;H18,_xlfn.CONCAT("3rdD-",RIGHT(E18,LEN(E18) - FIND("-",E18))), _xlfn.CONCAT("3rdD-",RIGHT(G18,LEN(G18) - FIND("-",G18)))))</f>
        <v>3rdD-NORTHWEST</v>
      </c>
      <c r="H34" s="145">
        <v>3</v>
      </c>
      <c r="I34" s="145" t="s">
        <v>1734</v>
      </c>
      <c r="J34" s="145" t="s">
        <v>786</v>
      </c>
    </row>
    <row r="35" spans="1:10">
      <c r="A35" s="218">
        <v>46054</v>
      </c>
      <c r="B35" s="217">
        <f>CHICLETS!F33</f>
        <v>0.5</v>
      </c>
      <c r="C35" s="217" t="str">
        <f>CHICLETS!$O$26</f>
        <v>SAN CLEMENTE HS</v>
      </c>
      <c r="D35" s="145" t="s">
        <v>1735</v>
      </c>
      <c r="E35" s="145" t="str">
        <f>IF(F23="","4thC-",IF(F23&lt;H23,_xlfn.CONCAT("4thC-",RIGHT(E23,LEN(E23) - FIND("-",E23))), _xlfn.CONCAT("4thC-",RIGHT(G23,LEN(G23) - FIND("-",G23)))))</f>
        <v>4thC-CDM NAVY</v>
      </c>
      <c r="F35" s="145">
        <v>6</v>
      </c>
      <c r="G35" s="145" t="s">
        <v>1720</v>
      </c>
      <c r="H35" s="145">
        <v>13</v>
      </c>
      <c r="I35" s="145" t="s">
        <v>1736</v>
      </c>
      <c r="J35" s="145" t="s">
        <v>786</v>
      </c>
    </row>
    <row r="36" spans="1:10">
      <c r="A36" s="218">
        <v>46054</v>
      </c>
      <c r="B36" s="217">
        <f>CHICLETS!F34</f>
        <v>0.53472222222222199</v>
      </c>
      <c r="C36" s="217" t="str">
        <f>CHICLETS!$O$26</f>
        <v>SAN CLEMENTE HS</v>
      </c>
      <c r="D36" s="145" t="s">
        <v>1737</v>
      </c>
      <c r="E36" s="145" t="str">
        <f>IF(F29="","W#23-",IF(F29&gt;H29,_xlfn.CONCAT("W#23-",RIGHT(E29,LEN(E29) - FIND("-",E29))), _xlfn.CONCAT("W#23-",RIGHT(G29,LEN(G29) - FIND("-",G29)))))</f>
        <v>W#23-LA JOLLA UNITED</v>
      </c>
      <c r="F36" s="145">
        <v>10.3</v>
      </c>
      <c r="G36" s="145" t="str">
        <f>IF(F27="","W#24-",IF(F27&gt;H27,_xlfn.CONCAT("W#24-",RIGHT(E27,LEN(E27) - FIND("-",E27))), _xlfn.CONCAT("W#24-",RIGHT(G27,LEN(G27) - FIND("-",G27)))))</f>
        <v>W#24-SHAQ</v>
      </c>
      <c r="H36" s="145">
        <v>10.199999999999999</v>
      </c>
      <c r="I36" s="145" t="s">
        <v>1351</v>
      </c>
      <c r="J36" s="145" t="s">
        <v>786</v>
      </c>
    </row>
    <row r="37" spans="1:10">
      <c r="A37" s="218">
        <v>46054</v>
      </c>
      <c r="B37" s="217">
        <f>CHICLETS!F35</f>
        <v>0.56944444444444497</v>
      </c>
      <c r="C37" s="217" t="str">
        <f>CHICLETS!$O$26</f>
        <v>SAN CLEMENTE HS</v>
      </c>
      <c r="D37" s="145" t="s">
        <v>1738</v>
      </c>
      <c r="E37" s="145" t="str">
        <f>IF(F29="","L#23-",IF(F29&lt;H29,_xlfn.CONCAT("L#23-",RIGHT(E29,LEN(E29) - FIND("-",E29))), _xlfn.CONCAT("L#23-",RIGHT(G29,LEN(G29) - FIND("-",G29)))))</f>
        <v>L#23-SD ECA</v>
      </c>
      <c r="F37" s="145">
        <v>8</v>
      </c>
      <c r="G37" s="145" t="str">
        <f>IF(F27="","L#24-",IF(F27&lt;H27,_xlfn.CONCAT("L#24-",RIGHT(E27,LEN(E27) - FIND("-",E27))), _xlfn.CONCAT("L#24-",RIGHT(G27,LEN(G27) - FIND("-",G27)))))</f>
        <v>L#24-BACK BAY</v>
      </c>
      <c r="H37" s="145">
        <v>10</v>
      </c>
      <c r="I37" s="145" t="s">
        <v>1347</v>
      </c>
      <c r="J37" s="145" t="s">
        <v>786</v>
      </c>
    </row>
    <row r="38" spans="1:10">
      <c r="A38" s="218">
        <v>46054</v>
      </c>
      <c r="B38" s="217">
        <f>CHICLETS!F36</f>
        <v>0.60416666666666696</v>
      </c>
      <c r="C38" s="217" t="str">
        <f>CHICLETS!$O$26</f>
        <v>SAN CLEMENTE HS</v>
      </c>
      <c r="D38" s="145" t="s">
        <v>1739</v>
      </c>
      <c r="E38" s="145" t="s">
        <v>1725</v>
      </c>
      <c r="F38" s="145">
        <v>3</v>
      </c>
      <c r="G38" s="145" t="str">
        <f>IF(F23="","3rdC-",IF(F23&gt;H23,_xlfn.CONCAT("3rdC-",RIGHT(E23,LEN(E23) - FIND("-",E23))), _xlfn.CONCAT("3rdC-",RIGHT(G23,LEN(G23) - FIND("-",G23)))))</f>
        <v>3rdC-PALOS VERDES</v>
      </c>
      <c r="H38" s="145">
        <v>13</v>
      </c>
      <c r="I38" s="145" t="s">
        <v>1740</v>
      </c>
      <c r="J38" s="145" t="s">
        <v>786</v>
      </c>
    </row>
    <row r="39" spans="1:10">
      <c r="A39" s="218">
        <v>46054</v>
      </c>
      <c r="B39" s="217">
        <f>CHICLETS!F37</f>
        <v>0.63888888888888895</v>
      </c>
      <c r="C39" s="217" t="str">
        <f>CHICLETS!$O$26</f>
        <v>SAN CLEMENTE HS</v>
      </c>
      <c r="D39" s="145" t="s">
        <v>1741</v>
      </c>
      <c r="E39" s="145" t="str">
        <f>IF(F31="","L#15-",IF(F31&lt;H31,_xlfn.CONCAT("L#15-",RIGHT(E31,LEN(E31) - FIND("-",E31))), _xlfn.CONCAT("L#15-",RIGHT(G31,LEN(G31) - FIND("-",G31)))))</f>
        <v>L#15-NORTH IRVINE</v>
      </c>
      <c r="F39" s="145">
        <v>9</v>
      </c>
      <c r="G39" s="145" t="str">
        <f>IF(F32="","L#17-",IF(F32&lt;H32,_xlfn.CONCAT("L#17-",RIGHT(E32,LEN(E32) - FIND("-",E32))), _xlfn.CONCAT("L#17-",RIGHT(G32,LEN(G32) - FIND("-",G32)))))</f>
        <v>L#17-ROGUE 619</v>
      </c>
      <c r="H39" s="145">
        <v>18</v>
      </c>
      <c r="I39" s="145" t="s">
        <v>1314</v>
      </c>
      <c r="J39" s="145" t="s">
        <v>786</v>
      </c>
    </row>
    <row r="40" spans="1:10">
      <c r="A40" s="218">
        <v>46054</v>
      </c>
      <c r="B40" s="217">
        <f>CHICLETS!F38</f>
        <v>0.67361111111111105</v>
      </c>
      <c r="C40" s="217" t="str">
        <f>CHICLETS!$O$26</f>
        <v>SAN CLEMENTE HS</v>
      </c>
      <c r="D40" s="145" t="s">
        <v>1742</v>
      </c>
      <c r="E40" s="145" t="str">
        <f>IF(F31="","W#15-",IF(F31&gt;H31,_xlfn.CONCAT("W#15-",RIGHT(E31,LEN(E31) - FIND("-",E31))), _xlfn.CONCAT("W#15-",RIGHT(G31,LEN(G31) - FIND("-",G31)))))</f>
        <v>W#15-PASADENA AC</v>
      </c>
      <c r="F40" s="145">
        <v>9</v>
      </c>
      <c r="G40" s="145" t="str">
        <f>IF(F32="","W#17-",IF(F32&gt;H32,_xlfn.CONCAT("W#17-",RIGHT(E32,LEN(E32) - FIND("-",E32))), _xlfn.CONCAT("W#17-",RIGHT(G32,LEN(G32) - FIND("-",G32)))))</f>
        <v>W#17-GOLD COAST</v>
      </c>
      <c r="H40" s="145">
        <v>16</v>
      </c>
      <c r="I40" s="145" t="s">
        <v>1312</v>
      </c>
      <c r="J40" s="145" t="s">
        <v>786</v>
      </c>
    </row>
    <row r="43" spans="1:10">
      <c r="I43" s="145" t="s">
        <v>1312</v>
      </c>
      <c r="J43" s="145" t="s">
        <v>715</v>
      </c>
    </row>
    <row r="44" spans="1:10">
      <c r="I44" s="145" t="s">
        <v>1313</v>
      </c>
      <c r="J44" s="145" t="s">
        <v>803</v>
      </c>
    </row>
    <row r="45" spans="1:10">
      <c r="I45" s="145" t="s">
        <v>1314</v>
      </c>
      <c r="J45" s="145" t="s">
        <v>804</v>
      </c>
    </row>
  </sheetData>
  <phoneticPr fontId="38" type="noConversion"/>
  <hyperlinks>
    <hyperlink ref="B2" r:id="rId1" xr:uid="{0D505EBB-8DDC-4D26-B3EB-4DF5D1A04871}"/>
    <hyperlink ref="C2" r:id="rId2" xr:uid="{304C793C-F50F-4356-999C-EF5F0778D025}"/>
    <hyperlink ref="A2" r:id="rId3" xr:uid="{47508F0D-FAAC-4E7C-A0C7-1C4C4911C14C}"/>
  </hyperlinks>
  <pageMargins left="0.7" right="0.7" top="0.75" bottom="0.75" header="0.3" footer="0.3"/>
  <pageSetup scale="78" fitToHeight="0" orientation="landscape" r:id="rId4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E4747-2D22-4DFF-8C9D-1E7A0F638635}">
  <sheetPr>
    <tabColor rgb="FFFF0000"/>
    <pageSetUpPr fitToPage="1"/>
  </sheetPr>
  <dimension ref="A1:J38"/>
  <sheetViews>
    <sheetView workbookViewId="0"/>
  </sheetViews>
  <sheetFormatPr defaultColWidth="9.140625" defaultRowHeight="18"/>
  <cols>
    <col min="1" max="1" width="29.85546875" style="2" customWidth="1"/>
    <col min="2" max="2" width="31.5703125" style="2" customWidth="1"/>
    <col min="3" max="3" width="34.85546875" style="2" customWidth="1"/>
    <col min="4" max="4" width="20.85546875" style="2" customWidth="1"/>
    <col min="5" max="5" width="41.140625" style="2" customWidth="1"/>
    <col min="6" max="6" width="5" style="2" bestFit="1" customWidth="1"/>
    <col min="7" max="7" width="37.5703125" style="2" bestFit="1" customWidth="1"/>
    <col min="8" max="8" width="25.85546875" style="2" bestFit="1" customWidth="1"/>
    <col min="9" max="9" width="29.5703125" style="2" customWidth="1"/>
    <col min="10" max="10" width="32.5703125" style="2" customWidth="1"/>
    <col min="11" max="11" width="25.85546875" style="2" bestFit="1" customWidth="1"/>
    <col min="12" max="16384" width="9.140625" style="2"/>
  </cols>
  <sheetData>
    <row r="1" spans="1:10">
      <c r="A1" s="203" t="s">
        <v>46</v>
      </c>
      <c r="B1" s="203" t="s">
        <v>1627</v>
      </c>
      <c r="C1" s="202" t="s">
        <v>1383</v>
      </c>
      <c r="D1" s="8" t="s">
        <v>1628</v>
      </c>
      <c r="E1" s="8" t="s">
        <v>1629</v>
      </c>
    </row>
    <row r="2" spans="1:10">
      <c r="A2" s="119" t="s">
        <v>1237</v>
      </c>
      <c r="B2" s="118" t="s">
        <v>1238</v>
      </c>
      <c r="C2" s="117" t="s">
        <v>1239</v>
      </c>
      <c r="D2" s="8"/>
      <c r="E2" s="8"/>
    </row>
    <row r="3" spans="1:10">
      <c r="A3" s="8" t="s">
        <v>644</v>
      </c>
      <c r="B3" s="8" t="s">
        <v>645</v>
      </c>
      <c r="C3" s="8" t="s">
        <v>646</v>
      </c>
      <c r="D3" s="201"/>
      <c r="F3" s="191"/>
      <c r="H3" s="201"/>
      <c r="I3" s="201"/>
      <c r="J3" s="201"/>
    </row>
    <row r="4" spans="1:10">
      <c r="A4" s="2" t="s">
        <v>808</v>
      </c>
      <c r="B4" s="2" t="s">
        <v>693</v>
      </c>
      <c r="C4" s="2" t="s">
        <v>809</v>
      </c>
      <c r="D4" s="191"/>
      <c r="F4" s="191"/>
      <c r="H4" s="191"/>
      <c r="I4" s="191"/>
      <c r="J4" s="191"/>
    </row>
    <row r="5" spans="1:10">
      <c r="A5" s="2" t="s">
        <v>810</v>
      </c>
      <c r="B5" s="2" t="s">
        <v>811</v>
      </c>
      <c r="C5" s="2" t="s">
        <v>812</v>
      </c>
      <c r="D5" s="191"/>
      <c r="F5" s="191"/>
      <c r="H5" s="191"/>
      <c r="I5" s="191"/>
      <c r="J5" s="191"/>
    </row>
    <row r="6" spans="1:10">
      <c r="A6" s="2" t="s">
        <v>813</v>
      </c>
      <c r="B6" s="2" t="s">
        <v>680</v>
      </c>
      <c r="C6" s="2" t="s">
        <v>814</v>
      </c>
      <c r="D6" s="191"/>
      <c r="F6" s="191"/>
      <c r="H6" s="191"/>
      <c r="I6" s="191"/>
      <c r="J6" s="191"/>
    </row>
    <row r="7" spans="1:10">
      <c r="C7" s="2" t="s">
        <v>815</v>
      </c>
      <c r="D7" s="191"/>
      <c r="J7" s="191"/>
    </row>
    <row r="8" spans="1:10">
      <c r="A8" s="191"/>
      <c r="B8" s="191"/>
      <c r="C8" s="191"/>
      <c r="D8" s="191"/>
      <c r="E8" s="191"/>
      <c r="F8" s="191"/>
      <c r="G8" s="191"/>
      <c r="H8" s="191"/>
      <c r="I8" s="191"/>
      <c r="J8" s="191"/>
    </row>
    <row r="9" spans="1:10">
      <c r="A9" s="200" t="s">
        <v>1240</v>
      </c>
      <c r="B9" s="199" t="s">
        <v>1241</v>
      </c>
      <c r="C9" s="199" t="s">
        <v>1242</v>
      </c>
      <c r="D9" s="199" t="s">
        <v>1243</v>
      </c>
      <c r="E9" s="199" t="s">
        <v>1244</v>
      </c>
      <c r="F9" s="199" t="s">
        <v>1245</v>
      </c>
      <c r="G9" s="199" t="s">
        <v>1246</v>
      </c>
      <c r="H9" s="199" t="s">
        <v>1245</v>
      </c>
      <c r="I9" s="199" t="s">
        <v>11</v>
      </c>
      <c r="J9" s="198" t="s">
        <v>1180</v>
      </c>
    </row>
    <row r="10" spans="1:10">
      <c r="A10" s="220">
        <v>46053</v>
      </c>
      <c r="B10" s="219">
        <f>CHICLETS!F5</f>
        <v>0.29166666666666669</v>
      </c>
      <c r="C10" s="219" t="str">
        <f>CHICLETS!$N$4</f>
        <v>ALISO NIGUEL HS</v>
      </c>
      <c r="D10" s="97" t="s">
        <v>1743</v>
      </c>
      <c r="E10" s="97" t="str">
        <f>A4</f>
        <v>A1-CDM PINK</v>
      </c>
      <c r="F10" s="97">
        <v>10</v>
      </c>
      <c r="G10" s="97" t="str">
        <f>A6</f>
        <v>A3-STANFORD</v>
      </c>
      <c r="H10" s="97">
        <v>1</v>
      </c>
      <c r="I10" s="97" t="s">
        <v>1250</v>
      </c>
      <c r="J10" s="97" t="s">
        <v>806</v>
      </c>
    </row>
    <row r="11" spans="1:10">
      <c r="A11" s="220">
        <v>46053</v>
      </c>
      <c r="B11" s="219">
        <f>CHICLETS!F6</f>
        <v>0.3263888888888889</v>
      </c>
      <c r="C11" s="219" t="str">
        <f>CHICLETS!$N$4</f>
        <v>ALISO NIGUEL HS</v>
      </c>
      <c r="D11" s="97" t="s">
        <v>1744</v>
      </c>
      <c r="E11" s="97" t="str">
        <f>B4</f>
        <v>B1-CC UNITED BLACK</v>
      </c>
      <c r="F11" s="97">
        <v>7</v>
      </c>
      <c r="G11" s="97" t="str">
        <f>B6</f>
        <v>B3-PATRIOT RED</v>
      </c>
      <c r="H11" s="97">
        <v>10</v>
      </c>
      <c r="I11" s="97" t="s">
        <v>1252</v>
      </c>
      <c r="J11" s="97" t="s">
        <v>806</v>
      </c>
    </row>
    <row r="12" spans="1:10">
      <c r="A12" s="220">
        <v>46053</v>
      </c>
      <c r="B12" s="219">
        <f>CHICLETS!F7</f>
        <v>0.36111111111111099</v>
      </c>
      <c r="C12" s="219" t="str">
        <f>CHICLETS!$N$4</f>
        <v>ALISO NIGUEL HS</v>
      </c>
      <c r="D12" s="97" t="s">
        <v>1745</v>
      </c>
      <c r="E12" s="97" t="str">
        <f>C4</f>
        <v>C1-SANTA CRUZ BLACK</v>
      </c>
      <c r="F12" s="97">
        <v>11</v>
      </c>
      <c r="G12" s="97" t="str">
        <f>C7</f>
        <v>C4-LAMORINDA B</v>
      </c>
      <c r="H12" s="97">
        <v>3</v>
      </c>
      <c r="I12" s="97" t="s">
        <v>1633</v>
      </c>
      <c r="J12" s="97" t="s">
        <v>806</v>
      </c>
    </row>
    <row r="13" spans="1:10">
      <c r="A13" s="220">
        <v>46053</v>
      </c>
      <c r="B13" s="219">
        <f>CHICLETS!F8</f>
        <v>0.39583333333333398</v>
      </c>
      <c r="C13" s="219" t="str">
        <f>CHICLETS!$N$4</f>
        <v>ALISO NIGUEL HS</v>
      </c>
      <c r="D13" s="97" t="s">
        <v>1746</v>
      </c>
      <c r="E13" s="97" t="str">
        <f>A5</f>
        <v>A2-DAVIS</v>
      </c>
      <c r="F13" s="97">
        <v>5.2</v>
      </c>
      <c r="G13" s="97" t="str">
        <f>A6</f>
        <v>A3-STANFORD</v>
      </c>
      <c r="H13" s="97">
        <v>5.4</v>
      </c>
      <c r="I13" s="97" t="s">
        <v>1261</v>
      </c>
      <c r="J13" s="97" t="s">
        <v>806</v>
      </c>
    </row>
    <row r="14" spans="1:10">
      <c r="A14" s="220">
        <v>46053</v>
      </c>
      <c r="B14" s="219">
        <f>CHICLETS!F9</f>
        <v>0.43055555555555602</v>
      </c>
      <c r="C14" s="219" t="str">
        <f>CHICLETS!$N$4</f>
        <v>ALISO NIGUEL HS</v>
      </c>
      <c r="D14" s="97" t="s">
        <v>1747</v>
      </c>
      <c r="E14" s="97" t="str">
        <f>B5</f>
        <v>B2-NEWPORT BEACH</v>
      </c>
      <c r="F14" s="97">
        <v>3</v>
      </c>
      <c r="G14" s="97" t="str">
        <f>B6</f>
        <v>B3-PATRIOT RED</v>
      </c>
      <c r="H14" s="97">
        <v>9</v>
      </c>
      <c r="I14" s="97" t="s">
        <v>1263</v>
      </c>
      <c r="J14" s="97" t="s">
        <v>806</v>
      </c>
    </row>
    <row r="15" spans="1:10">
      <c r="A15" s="220">
        <v>46053</v>
      </c>
      <c r="B15" s="219">
        <f>CHICLETS!F10</f>
        <v>0.46527777777777801</v>
      </c>
      <c r="C15" s="219" t="str">
        <f>CHICLETS!$N$4</f>
        <v>ALISO NIGUEL HS</v>
      </c>
      <c r="D15" s="97" t="s">
        <v>1748</v>
      </c>
      <c r="E15" s="97" t="str">
        <f>C6</f>
        <v>C3-FOOTHILL RED</v>
      </c>
      <c r="F15" s="97">
        <v>5.2</v>
      </c>
      <c r="G15" s="97" t="str">
        <f>C7</f>
        <v>C4-LAMORINDA B</v>
      </c>
      <c r="H15" s="97">
        <v>5.3</v>
      </c>
      <c r="I15" s="97" t="s">
        <v>1639</v>
      </c>
      <c r="J15" s="97" t="s">
        <v>806</v>
      </c>
    </row>
    <row r="16" spans="1:10">
      <c r="A16" s="220">
        <v>46053</v>
      </c>
      <c r="B16" s="219">
        <f>CHICLETS!F11</f>
        <v>0.5</v>
      </c>
      <c r="C16" s="219" t="str">
        <f>CHICLETS!$N$4</f>
        <v>ALISO NIGUEL HS</v>
      </c>
      <c r="D16" s="97" t="s">
        <v>1749</v>
      </c>
      <c r="E16" s="97" t="str">
        <f>C4</f>
        <v>C1-SANTA CRUZ BLACK</v>
      </c>
      <c r="F16" s="97">
        <v>7</v>
      </c>
      <c r="G16" s="283" t="str">
        <f>C5</f>
        <v>C2-SOUTH COAST RED (A)</v>
      </c>
      <c r="H16" s="97">
        <v>5</v>
      </c>
      <c r="I16" s="97" t="s">
        <v>1275</v>
      </c>
      <c r="J16" s="97" t="s">
        <v>806</v>
      </c>
    </row>
    <row r="17" spans="1:10">
      <c r="A17" s="220">
        <v>46053</v>
      </c>
      <c r="B17" s="219">
        <f>CHICLETS!F12</f>
        <v>0.53472222222222199</v>
      </c>
      <c r="C17" s="219" t="str">
        <f>CHICLETS!$N$4</f>
        <v>ALISO NIGUEL HS</v>
      </c>
      <c r="D17" s="97" t="s">
        <v>1750</v>
      </c>
      <c r="E17" s="97" t="str">
        <f>A4</f>
        <v>A1-CDM PINK</v>
      </c>
      <c r="F17" s="97">
        <v>3.5</v>
      </c>
      <c r="G17" s="97" t="str">
        <f>A5</f>
        <v>A2-DAVIS</v>
      </c>
      <c r="H17" s="97">
        <v>3.4</v>
      </c>
      <c r="I17" s="97" t="s">
        <v>1269</v>
      </c>
      <c r="J17" s="97" t="s">
        <v>806</v>
      </c>
    </row>
    <row r="18" spans="1:10">
      <c r="A18" s="220">
        <v>46053</v>
      </c>
      <c r="B18" s="219">
        <f>CHICLETS!F13</f>
        <v>0.56944444444444497</v>
      </c>
      <c r="C18" s="219" t="str">
        <f>CHICLETS!$N$4</f>
        <v>ALISO NIGUEL HS</v>
      </c>
      <c r="D18" s="97" t="s">
        <v>1751</v>
      </c>
      <c r="E18" s="97" t="str">
        <f>B4</f>
        <v>B1-CC UNITED BLACK</v>
      </c>
      <c r="F18" s="97">
        <v>4</v>
      </c>
      <c r="G18" s="97" t="str">
        <f>B5</f>
        <v>B2-NEWPORT BEACH</v>
      </c>
      <c r="H18" s="97">
        <v>1</v>
      </c>
      <c r="I18" s="97" t="s">
        <v>1272</v>
      </c>
      <c r="J18" s="97" t="s">
        <v>806</v>
      </c>
    </row>
    <row r="19" spans="1:10">
      <c r="A19" s="220">
        <v>46053</v>
      </c>
      <c r="B19" s="219">
        <f>CHICLETS!F14</f>
        <v>0.60416666666666696</v>
      </c>
      <c r="C19" s="219" t="str">
        <f>CHICLETS!$N$4</f>
        <v>ALISO NIGUEL HS</v>
      </c>
      <c r="D19" s="97" t="s">
        <v>1752</v>
      </c>
      <c r="E19" s="284" t="str">
        <f>C5</f>
        <v>C2-SOUTH COAST RED (A)</v>
      </c>
      <c r="F19" s="97">
        <v>11</v>
      </c>
      <c r="G19" s="97" t="str">
        <f>C6</f>
        <v>C3-FOOTHILL RED</v>
      </c>
      <c r="H19" s="97">
        <v>5</v>
      </c>
      <c r="I19" s="97" t="s">
        <v>1265</v>
      </c>
      <c r="J19" s="97" t="s">
        <v>806</v>
      </c>
    </row>
    <row r="20" spans="1:10">
      <c r="A20" s="193"/>
      <c r="B20" s="192"/>
      <c r="C20" s="191"/>
      <c r="H20" s="191"/>
      <c r="I20" s="191"/>
      <c r="J20" s="191"/>
    </row>
    <row r="21" spans="1:10">
      <c r="A21" s="196"/>
      <c r="B21" s="195"/>
      <c r="C21" s="194"/>
      <c r="D21" s="4"/>
      <c r="E21" s="4"/>
      <c r="F21" s="4"/>
      <c r="G21" s="4"/>
      <c r="H21" s="194"/>
      <c r="I21" s="194"/>
      <c r="J21" s="194"/>
    </row>
    <row r="22" spans="1:10">
      <c r="A22" s="193"/>
      <c r="B22" s="192"/>
      <c r="C22" s="191"/>
      <c r="H22" s="191"/>
      <c r="I22" s="191"/>
      <c r="J22" s="191"/>
    </row>
    <row r="23" spans="1:10">
      <c r="A23" s="220">
        <v>46054</v>
      </c>
      <c r="B23" s="219">
        <f>CHICLETS!F27</f>
        <v>0.29166666666666669</v>
      </c>
      <c r="C23" s="219" t="str">
        <f>CHICLETS!$N$26</f>
        <v>ALISO NIGUEL HS</v>
      </c>
      <c r="D23" s="97" t="s">
        <v>1753</v>
      </c>
      <c r="E23" s="97" t="str">
        <f>C5</f>
        <v>C2-SOUTH COAST RED (A)</v>
      </c>
      <c r="F23" s="97">
        <v>5</v>
      </c>
      <c r="G23" s="97" t="str">
        <f>C7</f>
        <v>C4-LAMORINDA B</v>
      </c>
      <c r="H23" s="97">
        <v>4</v>
      </c>
      <c r="I23" s="97" t="s">
        <v>1643</v>
      </c>
      <c r="J23" s="97" t="s">
        <v>806</v>
      </c>
    </row>
    <row r="24" spans="1:10">
      <c r="A24" s="220">
        <v>46054</v>
      </c>
      <c r="B24" s="219">
        <f>CHICLETS!F28</f>
        <v>0.3263888888888889</v>
      </c>
      <c r="C24" s="219" t="str">
        <f>CHICLETS!$N$26</f>
        <v>ALISO NIGUEL HS</v>
      </c>
      <c r="D24" s="97" t="s">
        <v>1754</v>
      </c>
      <c r="E24" s="97" t="str">
        <f>C4</f>
        <v>C1-SANTA CRUZ BLACK</v>
      </c>
      <c r="F24" s="97">
        <v>13</v>
      </c>
      <c r="G24" s="97" t="str">
        <f>C6</f>
        <v>C3-FOOTHILL RED</v>
      </c>
      <c r="H24" s="97">
        <v>3</v>
      </c>
      <c r="I24" s="97" t="s">
        <v>1254</v>
      </c>
      <c r="J24" s="97" t="s">
        <v>806</v>
      </c>
    </row>
    <row r="25" spans="1:10">
      <c r="A25" s="220">
        <v>46054</v>
      </c>
      <c r="B25" s="219">
        <f>CHICLETS!F29</f>
        <v>0.36111111111111099</v>
      </c>
      <c r="C25" s="219" t="str">
        <f>CHICLETS!$N$26</f>
        <v>ALISO NIGUEL HS</v>
      </c>
      <c r="D25" s="97" t="s">
        <v>1755</v>
      </c>
      <c r="E25" s="97" t="s">
        <v>1756</v>
      </c>
      <c r="F25" s="97">
        <v>10</v>
      </c>
      <c r="G25" s="97" t="s">
        <v>1757</v>
      </c>
      <c r="H25" s="97">
        <v>7</v>
      </c>
      <c r="I25" s="97" t="s">
        <v>1648</v>
      </c>
      <c r="J25" s="97" t="s">
        <v>806</v>
      </c>
    </row>
    <row r="26" spans="1:10">
      <c r="A26" s="220">
        <v>46054</v>
      </c>
      <c r="B26" s="219">
        <f>CHICLETS!F30</f>
        <v>0.39583333333333398</v>
      </c>
      <c r="C26" s="219" t="str">
        <f>CHICLETS!$N$26</f>
        <v>ALISO NIGUEL HS</v>
      </c>
      <c r="D26" s="97" t="s">
        <v>1758</v>
      </c>
      <c r="E26" s="97" t="s">
        <v>1759</v>
      </c>
      <c r="F26" s="97">
        <v>5</v>
      </c>
      <c r="G26" s="97" t="s">
        <v>1760</v>
      </c>
      <c r="H26" s="97">
        <v>2</v>
      </c>
      <c r="I26" s="97" t="s">
        <v>1652</v>
      </c>
      <c r="J26" s="97" t="s">
        <v>806</v>
      </c>
    </row>
    <row r="27" spans="1:10">
      <c r="A27" s="220">
        <v>46054</v>
      </c>
      <c r="B27" s="219">
        <f>CHICLETS!F31</f>
        <v>0.43055555555555602</v>
      </c>
      <c r="C27" s="219" t="str">
        <f>CHICLETS!$N$26</f>
        <v>ALISO NIGUEL HS</v>
      </c>
      <c r="D27" s="97" t="s">
        <v>1761</v>
      </c>
      <c r="E27" s="97" t="s">
        <v>1762</v>
      </c>
      <c r="F27" s="97">
        <v>4.4000000000000004</v>
      </c>
      <c r="G27" s="97" t="s">
        <v>1763</v>
      </c>
      <c r="H27" s="97">
        <v>4.2</v>
      </c>
      <c r="I27" s="97" t="s">
        <v>1656</v>
      </c>
      <c r="J27" s="97" t="s">
        <v>806</v>
      </c>
    </row>
    <row r="28" spans="1:10">
      <c r="A28" s="220">
        <v>46054</v>
      </c>
      <c r="B28" s="219">
        <f>CHICLETS!F32</f>
        <v>0.46527777777777801</v>
      </c>
      <c r="C28" s="219" t="str">
        <f>CHICLETS!$N$26</f>
        <v>ALISO NIGUEL HS</v>
      </c>
      <c r="D28" s="97" t="s">
        <v>1764</v>
      </c>
      <c r="E28" s="97" t="s">
        <v>1765</v>
      </c>
      <c r="F28" s="97">
        <v>9</v>
      </c>
      <c r="G28" s="97" t="s">
        <v>1766</v>
      </c>
      <c r="H28" s="97">
        <v>12</v>
      </c>
      <c r="I28" s="97" t="s">
        <v>1420</v>
      </c>
      <c r="J28" s="97" t="s">
        <v>806</v>
      </c>
    </row>
    <row r="29" spans="1:10">
      <c r="A29" s="193"/>
      <c r="B29" s="192"/>
      <c r="C29" s="191"/>
      <c r="H29" s="191"/>
      <c r="I29" s="191"/>
      <c r="J29" s="191"/>
    </row>
    <row r="30" spans="1:10">
      <c r="A30" s="220">
        <v>46054</v>
      </c>
      <c r="B30" s="219">
        <f>CHICLETS!F34</f>
        <v>0.53472222222222199</v>
      </c>
      <c r="C30" s="219" t="str">
        <f>CHICLETS!$N$26</f>
        <v>ALISO NIGUEL HS</v>
      </c>
      <c r="D30" s="97" t="s">
        <v>1767</v>
      </c>
      <c r="E30" s="97" t="str">
        <f>IF(F25="","L#13",IF(F25&lt;H25,_xlfn.CONCAT("L#13-",RIGHT(E25,LEN(E25) - FIND("-",E25))), _xlfn.CONCAT("L#13-",RIGHT(G25,LEN(G25) - FIND("-",G25)))))</f>
        <v>L#13-NEWPORT BEACH</v>
      </c>
      <c r="F30" s="97">
        <v>4</v>
      </c>
      <c r="G30" s="97" t="s">
        <v>1768</v>
      </c>
      <c r="H30" s="97">
        <v>9</v>
      </c>
      <c r="I30" s="97" t="s">
        <v>1661</v>
      </c>
      <c r="J30" s="97" t="s">
        <v>806</v>
      </c>
    </row>
    <row r="31" spans="1:10">
      <c r="A31" s="220">
        <v>46054</v>
      </c>
      <c r="B31" s="219">
        <f>CHICLETS!F35</f>
        <v>0.56944444444444497</v>
      </c>
      <c r="C31" s="219" t="str">
        <f>CHICLETS!$N$26</f>
        <v>ALISO NIGUEL HS</v>
      </c>
      <c r="D31" s="97" t="s">
        <v>1769</v>
      </c>
      <c r="E31" s="97" t="str">
        <f>IF(F27="","L#15",IF(F27&lt;H27,_xlfn.CONCAT("L#15-",RIGHT(E27,LEN(E27) - FIND("-",E27))), _xlfn.CONCAT("L#15-",RIGHT(G27,LEN(G27) - FIND("-",G27)))))</f>
        <v xml:space="preserve">L#15-SOUTH COAST RED (A)	</v>
      </c>
      <c r="F31" s="97">
        <v>6.2</v>
      </c>
      <c r="G31" s="97" t="str">
        <f>IF(F28="","L#16",IF(F28&lt;H28,_xlfn.CONCAT("L#16-",RIGHT(E28,LEN(E28) - FIND("-",E28))), _xlfn.CONCAT("L#16-",RIGHT(G28,LEN(G28) - FIND("-",G28)))))</f>
        <v>L#16-PATRIOT RED</v>
      </c>
      <c r="H31" s="97">
        <v>6.1</v>
      </c>
      <c r="I31" s="97" t="s">
        <v>1314</v>
      </c>
      <c r="J31" s="97" t="s">
        <v>806</v>
      </c>
    </row>
    <row r="32" spans="1:10">
      <c r="A32" s="220">
        <v>46054</v>
      </c>
      <c r="B32" s="219">
        <f>CHICLETS!F36</f>
        <v>0.60416666666666696</v>
      </c>
      <c r="C32" s="219" t="str">
        <f>CHICLETS!$N$26</f>
        <v>ALISO NIGUEL HS</v>
      </c>
      <c r="D32" s="97" t="s">
        <v>1770</v>
      </c>
      <c r="E32" s="97" t="str">
        <f>IF(F27="","W#15",IF(F27&gt;H27,_xlfn.CONCAT("W#15-",RIGHT(E27,LEN(E27) - FIND("-",E27))), _xlfn.CONCAT("W#15-",RIGHT(G27,LEN(G27) - FIND("-",G27)))))</f>
        <v>W#15-CDM PINK</v>
      </c>
      <c r="F32" s="97">
        <v>5</v>
      </c>
      <c r="G32" s="97" t="str">
        <f>IF(F28="","W#16",IF(F28&gt;H28,_xlfn.CONCAT("W#16-",RIGHT(E28,LEN(E28) - FIND("-",E28))), _xlfn.CONCAT("W#16-",RIGHT(G28,LEN(G28) - FIND("-",G28)))))</f>
        <v>W#16-SANTA CRUZ BLACK</v>
      </c>
      <c r="H32" s="97">
        <v>6</v>
      </c>
      <c r="I32" s="97" t="s">
        <v>1312</v>
      </c>
      <c r="J32" s="97" t="s">
        <v>806</v>
      </c>
    </row>
    <row r="33" spans="1:10">
      <c r="A33" s="220">
        <v>46054</v>
      </c>
      <c r="B33" s="219">
        <f>CHICLETS!F37</f>
        <v>0.63888888888888895</v>
      </c>
      <c r="C33" s="219" t="str">
        <f>CHICLETS!$N$26</f>
        <v>ALISO NIGUEL HS</v>
      </c>
      <c r="D33" s="97" t="s">
        <v>1771</v>
      </c>
      <c r="E33" s="97" t="str">
        <f>IF(F25="","W#13",IF(F25&gt;H25,_xlfn.CONCAT("W#13-",RIGHT(E25,LEN(E25) - FIND("-",E25))), _xlfn.CONCAT("W#13-",RIGHT(G25,LEN(G25) - FIND("-",G25)))))</f>
        <v>W#13-STANFORD</v>
      </c>
      <c r="F33" s="97">
        <v>2</v>
      </c>
      <c r="G33" s="97" t="str">
        <f>IF(F26="","W#14",IF(F26&gt;H26,_xlfn.CONCAT("W#14-",RIGHT(E26,LEN(E26) - FIND("-",E26))), _xlfn.CONCAT("W#14-",RIGHT(G26,LEN(G26) - FIND("-",G26)))))</f>
        <v>W#14-DAVIS</v>
      </c>
      <c r="H33" s="97">
        <v>7</v>
      </c>
      <c r="I33" s="97" t="s">
        <v>1351</v>
      </c>
      <c r="J33" s="97" t="s">
        <v>806</v>
      </c>
    </row>
    <row r="34" spans="1:10">
      <c r="A34" s="220">
        <v>46054</v>
      </c>
      <c r="B34" s="219">
        <f>CHICLETS!F38</f>
        <v>0.67361111111111105</v>
      </c>
      <c r="C34" s="219" t="str">
        <f>CHICLETS!$N$26</f>
        <v>ALISO NIGUEL HS</v>
      </c>
      <c r="D34" s="97" t="s">
        <v>1772</v>
      </c>
      <c r="E34" s="97" t="str">
        <f>IF(F26="","L#14",IF(F26&lt;H26,_xlfn.CONCAT("L#14-",RIGHT(E26,LEN(E26) - FIND("-",E26))), _xlfn.CONCAT("L#14-",RIGHT(G26,LEN(G26) - FIND("-",G26)))))</f>
        <v>L#14-CC UNITED BLACK</v>
      </c>
      <c r="F34" s="97">
        <v>8</v>
      </c>
      <c r="G34" s="97" t="s">
        <v>1773</v>
      </c>
      <c r="H34" s="97">
        <v>6</v>
      </c>
      <c r="I34" s="97" t="s">
        <v>1661</v>
      </c>
      <c r="J34" s="97" t="s">
        <v>806</v>
      </c>
    </row>
    <row r="36" spans="1:10">
      <c r="I36" s="97" t="s">
        <v>1312</v>
      </c>
      <c r="J36" s="97" t="s">
        <v>816</v>
      </c>
    </row>
    <row r="37" spans="1:10">
      <c r="I37" s="97" t="s">
        <v>1313</v>
      </c>
      <c r="J37" s="97" t="s">
        <v>807</v>
      </c>
    </row>
    <row r="38" spans="1:10">
      <c r="I38" s="97" t="s">
        <v>1314</v>
      </c>
      <c r="J38" s="97" t="s">
        <v>817</v>
      </c>
    </row>
  </sheetData>
  <hyperlinks>
    <hyperlink ref="B2" r:id="rId1" xr:uid="{82D7201D-37E2-481C-846F-7F41DD0D65A5}"/>
    <hyperlink ref="C2" r:id="rId2" xr:uid="{D847222A-A826-4A8C-89D5-ABBAB659C4FC}"/>
    <hyperlink ref="A2" r:id="rId3" xr:uid="{C1763D75-135A-428E-8582-E756CB976277}"/>
  </hyperlinks>
  <pageMargins left="0.7" right="0.7" top="0.75" bottom="0.75" header="0.3" footer="0.3"/>
  <pageSetup scale="92" orientation="landscape" r:id="rId4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E4743-4736-46CA-9EED-11BD2E3946DB}">
  <sheetPr>
    <tabColor rgb="FFCAEDFB"/>
    <pageSetUpPr fitToPage="1"/>
  </sheetPr>
  <dimension ref="A1:J66"/>
  <sheetViews>
    <sheetView workbookViewId="0"/>
  </sheetViews>
  <sheetFormatPr defaultColWidth="10.42578125" defaultRowHeight="18"/>
  <cols>
    <col min="1" max="1" width="43" style="31" bestFit="1" customWidth="1"/>
    <col min="2" max="2" width="44.5703125" style="31" bestFit="1" customWidth="1"/>
    <col min="3" max="3" width="41.140625" style="31" bestFit="1" customWidth="1"/>
    <col min="4" max="4" width="43.7109375" style="31" bestFit="1" customWidth="1"/>
    <col min="5" max="5" width="44.5703125" style="31" bestFit="1" customWidth="1"/>
    <col min="6" max="6" width="41.42578125" style="31" customWidth="1"/>
    <col min="7" max="7" width="51" style="31" bestFit="1" customWidth="1"/>
    <col min="8" max="8" width="26.85546875" style="31" bestFit="1" customWidth="1"/>
    <col min="9" max="9" width="23.85546875" style="31" customWidth="1"/>
    <col min="10" max="10" width="30" style="31" customWidth="1"/>
    <col min="11" max="16384" width="10.42578125" style="31"/>
  </cols>
  <sheetData>
    <row r="1" spans="1:10">
      <c r="A1" s="165" t="s">
        <v>17</v>
      </c>
      <c r="B1" s="165" t="s">
        <v>1774</v>
      </c>
      <c r="C1" s="134" t="s">
        <v>1775</v>
      </c>
      <c r="D1" s="31" t="s">
        <v>1776</v>
      </c>
      <c r="G1" s="262"/>
    </row>
    <row r="2" spans="1:10">
      <c r="A2" s="119" t="s">
        <v>1237</v>
      </c>
      <c r="B2" s="118" t="s">
        <v>1238</v>
      </c>
      <c r="C2" s="117" t="s">
        <v>1239</v>
      </c>
      <c r="G2" s="262"/>
    </row>
    <row r="3" spans="1:10">
      <c r="A3" s="69" t="s">
        <v>644</v>
      </c>
      <c r="B3" s="69" t="s">
        <v>645</v>
      </c>
      <c r="C3" s="69" t="s">
        <v>646</v>
      </c>
      <c r="D3" s="201" t="s">
        <v>647</v>
      </c>
      <c r="E3" s="165" t="s">
        <v>723</v>
      </c>
      <c r="F3" s="165" t="s">
        <v>724</v>
      </c>
      <c r="G3" s="165" t="s">
        <v>729</v>
      </c>
      <c r="H3" s="165" t="s">
        <v>730</v>
      </c>
    </row>
    <row r="4" spans="1:10">
      <c r="A4" s="31" t="s">
        <v>821</v>
      </c>
      <c r="B4" s="31" t="s">
        <v>1777</v>
      </c>
      <c r="C4" s="31" t="s">
        <v>1778</v>
      </c>
      <c r="D4" s="31" t="s">
        <v>1779</v>
      </c>
      <c r="E4" s="31" t="s">
        <v>1780</v>
      </c>
      <c r="F4" s="31" t="s">
        <v>1781</v>
      </c>
      <c r="G4" s="31" t="s">
        <v>1782</v>
      </c>
      <c r="H4" s="31" t="s">
        <v>1783</v>
      </c>
    </row>
    <row r="5" spans="1:10">
      <c r="A5" s="31" t="s">
        <v>1784</v>
      </c>
      <c r="B5" s="31" t="s">
        <v>1785</v>
      </c>
      <c r="C5" s="31" t="s">
        <v>1786</v>
      </c>
      <c r="D5" s="31" t="s">
        <v>1787</v>
      </c>
      <c r="E5" s="31" t="s">
        <v>1788</v>
      </c>
      <c r="F5" s="31" t="s">
        <v>1789</v>
      </c>
      <c r="G5" s="31" t="s">
        <v>1790</v>
      </c>
      <c r="H5" s="31" t="s">
        <v>1791</v>
      </c>
    </row>
    <row r="6" spans="1:10">
      <c r="A6" s="31" t="s">
        <v>1792</v>
      </c>
      <c r="G6" s="287"/>
    </row>
    <row r="7" spans="1:10">
      <c r="A7" s="191"/>
      <c r="B7" s="191"/>
      <c r="C7" s="191"/>
      <c r="D7" s="191"/>
    </row>
    <row r="8" spans="1:10">
      <c r="A8" s="201" t="s">
        <v>644</v>
      </c>
      <c r="B8" s="201" t="s">
        <v>645</v>
      </c>
      <c r="C8" s="201" t="s">
        <v>646</v>
      </c>
      <c r="D8" s="201" t="s">
        <v>647</v>
      </c>
      <c r="E8" s="165" t="s">
        <v>723</v>
      </c>
      <c r="F8" s="165" t="s">
        <v>724</v>
      </c>
      <c r="G8" s="165" t="s">
        <v>729</v>
      </c>
      <c r="H8" s="165" t="s">
        <v>730</v>
      </c>
    </row>
    <row r="9" spans="1:10">
      <c r="A9" s="191">
        <v>1</v>
      </c>
      <c r="B9" s="191">
        <v>2</v>
      </c>
      <c r="C9" s="191">
        <v>3</v>
      </c>
      <c r="D9" s="191">
        <v>4</v>
      </c>
      <c r="E9" s="31">
        <v>5</v>
      </c>
      <c r="F9" s="31">
        <v>6</v>
      </c>
      <c r="G9" s="31">
        <v>7</v>
      </c>
      <c r="H9" s="31">
        <v>8</v>
      </c>
    </row>
    <row r="10" spans="1:10">
      <c r="A10" s="191">
        <v>16</v>
      </c>
      <c r="B10" s="191">
        <v>15</v>
      </c>
      <c r="C10" s="191">
        <v>14</v>
      </c>
      <c r="D10" s="191">
        <v>13</v>
      </c>
      <c r="E10" s="31">
        <v>12</v>
      </c>
      <c r="F10" s="31">
        <v>11</v>
      </c>
      <c r="G10" s="31">
        <v>10</v>
      </c>
      <c r="H10" s="31">
        <v>9</v>
      </c>
    </row>
    <row r="11" spans="1:10">
      <c r="A11" s="191">
        <v>17</v>
      </c>
      <c r="B11" s="191"/>
      <c r="C11" s="191"/>
      <c r="D11" s="191"/>
      <c r="G11" s="191"/>
      <c r="H11" s="191"/>
      <c r="I11" s="191"/>
      <c r="J11" s="191"/>
    </row>
    <row r="12" spans="1:10">
      <c r="A12" s="191"/>
      <c r="B12" s="191"/>
      <c r="C12" s="191"/>
      <c r="D12" s="191"/>
      <c r="G12" s="191"/>
      <c r="H12" s="191"/>
      <c r="I12" s="191"/>
      <c r="J12" s="191"/>
    </row>
    <row r="13" spans="1:10">
      <c r="A13" s="191" t="s">
        <v>1793</v>
      </c>
      <c r="B13" s="191" t="s">
        <v>1794</v>
      </c>
      <c r="C13" s="191" t="s">
        <v>1795</v>
      </c>
      <c r="D13" s="191" t="s">
        <v>1796</v>
      </c>
      <c r="E13" s="31" t="s">
        <v>1797</v>
      </c>
      <c r="G13" s="191"/>
      <c r="H13" s="191"/>
      <c r="I13" s="191"/>
      <c r="J13" s="191"/>
    </row>
    <row r="14" spans="1:10">
      <c r="A14" s="165" t="s">
        <v>913</v>
      </c>
      <c r="B14" s="201" t="s">
        <v>914</v>
      </c>
      <c r="C14" s="201" t="s">
        <v>1798</v>
      </c>
      <c r="D14" s="201" t="s">
        <v>1799</v>
      </c>
      <c r="E14" s="165" t="s">
        <v>1800</v>
      </c>
      <c r="G14" s="191"/>
      <c r="H14" s="191"/>
      <c r="I14" s="191"/>
      <c r="J14" s="191"/>
    </row>
    <row r="15" spans="1:10">
      <c r="A15" s="191" t="s">
        <v>920</v>
      </c>
      <c r="B15" s="191" t="str">
        <f>IF(F32="","K1(1stB)",IF(F32&gt;H32,_xlfn.CONCAT("K1(1stB)-",RIGHT(E32,LEN(E32) - FIND("-",E32))), _xlfn.CONCAT("K1(1stB)-",RIGHT(G32,LEN(G32) - FIND("-",G32)))))</f>
        <v>K1(1stB)</v>
      </c>
      <c r="C15" s="191" t="str">
        <f>IF(F25="","L1(2ndH)",IF(F25&lt;H25,_xlfn.CONCAT("L1(2ndH)-",RIGHT(E25,LEN(E25) - FIND("-",E25))), _xlfn.CONCAT("L1(2ndH)-",RIGHT(G25,LEN(G25) - FIND("-",G25)))))</f>
        <v>L1(2ndH)</v>
      </c>
      <c r="D15" s="191" t="str">
        <f>IF(F33="","M1(2ndG)",IF(F33&lt;H33,_xlfn.CONCAT("M1(2ndG)-",RIGHT(E33,LEN(E33) - FIND("-",E33))), _xlfn.CONCAT("M1(2ndG)-",RIGHT(G33,LEN(G33) - FIND("-",G33)))))</f>
        <v>M1(2ndG)</v>
      </c>
      <c r="E15" s="31" t="s">
        <v>1801</v>
      </c>
      <c r="G15" s="191"/>
      <c r="H15" s="191"/>
      <c r="I15" s="191"/>
      <c r="J15" s="191"/>
    </row>
    <row r="16" spans="1:10">
      <c r="A16" s="191" t="str">
        <f>IF(F22="","J2(1stD)",IF(F22&gt;H22,_xlfn.CONCAT("J2(1stD)-",RIGHT(E22,LEN(E22) - FIND("-",E22))), _xlfn.CONCAT("J2(1stD)-",RIGHT(G22,LEN(G22) - FIND("-",G22)))))</f>
        <v>J2(1stD)</v>
      </c>
      <c r="B16" s="191" t="str">
        <f>IF(F34="","K2(1stC)",IF(F34&gt;H34,_xlfn.CONCAT("K2(1stC)-",RIGHT(E34,LEN(E34) - FIND("-",E34))), _xlfn.CONCAT("K2(1stC)-",RIGHT(G34,LEN(G34) - FIND("-",G34)))))</f>
        <v>K2(1stC)</v>
      </c>
      <c r="C16" s="191" t="str">
        <f>IF(F23="","L2(2ndE)",IF(F23&lt;H23,_xlfn.CONCAT("L2(2ndE)-",RIGHT(E23,LEN(E23) - FIND("-",E23))), _xlfn.CONCAT("L2(2ndE)-",RIGHT(G23,LEN(G23) - FIND("-",G23)))))</f>
        <v>L2(2ndE)</v>
      </c>
      <c r="D16" s="191" t="str">
        <f>IF(F35="","M2(2ndF)",IF(F35&lt;H35,_xlfn.CONCAT("M2(2ndF)-",RIGHT(E35,LEN(E35) - FIND("-",E35))), _xlfn.CONCAT("M2(2ndF)-",RIGHT(G35,LEN(G35) - FIND("-",G35)))))</f>
        <v>M2(2ndF)</v>
      </c>
      <c r="E16" s="31" t="str">
        <f>IF(F44="","P2(4thL/L#19)-",IF(F44&lt;H44,_xlfn.CONCAT("P2(4thL/L#19)-",RIGHT(E44,LEN(E44) - FIND("-",E44))), _xlfn.CONCAT("P2(4thL/L#19)-",RIGHT(G44,LEN(G44) - FIND("-",G44)))))</f>
        <v>P2(4thL/L#19)-</v>
      </c>
    </row>
    <row r="17" spans="1:10">
      <c r="A17" s="191" t="str">
        <f>IF(F23="","J3(1stE)",IF(F23&gt;H23,_xlfn.CONCAT("J3(1stE)-",RIGHT(E23,LEN(E23) - FIND("-",E23))), _xlfn.CONCAT("J3(1stE)-",RIGHT(G23,LEN(G23) - FIND("-",G23)))))</f>
        <v>J3(1stE)</v>
      </c>
      <c r="B17" s="191" t="str">
        <f>IF(F35="","K3(1stF)",IF(F35&gt;H35,_xlfn.CONCAT("K3(1stF)-",RIGHT(E35,LEN(E35) - FIND("-",E35))), _xlfn.CONCAT("K3(1stF)-",RIGHT(G35,LEN(G35) - FIND("-",G35)))))</f>
        <v>K3(1stF)</v>
      </c>
      <c r="C17" s="191" t="str">
        <f>IF(F22="","L3(2ndD)",IF(F22&lt;H22,_xlfn.CONCAT("L3(2ndD)-",RIGHT(E22,LEN(E22) - FIND("-",E22))), _xlfn.CONCAT("L3(2ndD)-",RIGHT(G22,LEN(G22) - FIND("-",G22)))))</f>
        <v>L3(2ndD)</v>
      </c>
      <c r="D17" s="191" t="str">
        <f>IF(F34="","M3(2ndC)",IF(F34&lt;H34,_xlfn.CONCAT("M3(2ndC)-",RIGHT(E34,LEN(E34) - FIND("-",E34))), _xlfn.CONCAT("M3(2ndC)-",RIGHT(G34,LEN(G34) - FIND("-",G34)))))</f>
        <v>M3(2ndC)</v>
      </c>
      <c r="E17" s="31" t="str">
        <f>IF(F45="","P3(4thM/L#20)-",IF(F45&lt;H45,_xlfn.CONCAT("P3(4thM/L#20)-",RIGHT(E45,LEN(E45) - FIND("-",E45))), _xlfn.CONCAT("P3(4thM/L#20)-",RIGHT(G45,LEN(G45) - FIND("-",G45)))))</f>
        <v>P3(4thM/L#20)-</v>
      </c>
    </row>
    <row r="18" spans="1:10">
      <c r="A18" s="31" t="str">
        <f>IF(F25="","J4(1stH)",IF(F25&gt;H25,_xlfn.CONCAT("J4(1stH)-",RIGHT(E25,LEN(E25) - FIND("-",E25))), _xlfn.CONCAT("J4(1stH)-",RIGHT(G25,LEN(G25) - FIND("-",G25)))))</f>
        <v>J4(1stH)</v>
      </c>
      <c r="B18" s="191" t="str">
        <f>IF(F33="","K4(1stG)",IF(F33&gt;H33,_xlfn.CONCAT("K4(1stG)-",RIGHT(E33,LEN(E33) - FIND("-",E33))), _xlfn.CONCAT("K4(1stG)-",RIGHT(G33,LEN(G33) - FIND("-",G33)))))</f>
        <v>K4(1stG)</v>
      </c>
      <c r="C18" s="31" t="s">
        <v>1802</v>
      </c>
      <c r="D18" s="31" t="s">
        <v>1803</v>
      </c>
    </row>
    <row r="20" spans="1:10" s="302" customFormat="1">
      <c r="A20" s="165" t="s">
        <v>1240</v>
      </c>
      <c r="B20" s="266" t="s">
        <v>1241</v>
      </c>
      <c r="C20" s="165" t="s">
        <v>1242</v>
      </c>
      <c r="D20" s="165" t="s">
        <v>1243</v>
      </c>
      <c r="E20" s="165" t="s">
        <v>1244</v>
      </c>
      <c r="F20" s="165" t="s">
        <v>1245</v>
      </c>
      <c r="G20" s="165" t="s">
        <v>1246</v>
      </c>
      <c r="H20" s="165" t="s">
        <v>1245</v>
      </c>
      <c r="I20" s="165" t="s">
        <v>11</v>
      </c>
      <c r="J20" s="165" t="s">
        <v>1180</v>
      </c>
    </row>
    <row r="21" spans="1:10">
      <c r="A21" s="292">
        <v>46053</v>
      </c>
      <c r="B21" s="291"/>
      <c r="C21" s="299"/>
      <c r="D21" s="298" t="s">
        <v>1804</v>
      </c>
      <c r="E21" s="289" t="str">
        <f>A4</f>
        <v>A1-POWAY VALLEY BLACK</v>
      </c>
      <c r="F21" s="288"/>
      <c r="G21" s="289" t="str">
        <f>A6</f>
        <v>A3-680 WHITE</v>
      </c>
      <c r="H21" s="288"/>
      <c r="I21" s="298" t="s">
        <v>1250</v>
      </c>
      <c r="J21" s="288" t="s">
        <v>819</v>
      </c>
    </row>
    <row r="22" spans="1:10">
      <c r="A22" s="292">
        <v>46053</v>
      </c>
      <c r="B22" s="291"/>
      <c r="C22" s="299"/>
      <c r="D22" s="300" t="s">
        <v>1805</v>
      </c>
      <c r="E22" s="289" t="str">
        <f>D4</f>
        <v>D1-PASADENA AC</v>
      </c>
      <c r="F22" s="288"/>
      <c r="G22" s="301" t="str">
        <f>D5</f>
        <v>D2-SAN CLEMENTE BLACK</v>
      </c>
      <c r="H22" s="288"/>
      <c r="I22" s="300" t="s">
        <v>1806</v>
      </c>
      <c r="J22" s="288" t="s">
        <v>819</v>
      </c>
    </row>
    <row r="23" spans="1:10">
      <c r="A23" s="292">
        <v>46053</v>
      </c>
      <c r="B23" s="291"/>
      <c r="C23" s="299"/>
      <c r="D23" s="300" t="s">
        <v>1807</v>
      </c>
      <c r="E23" s="289" t="str">
        <f>E4</f>
        <v>E1-SET</v>
      </c>
      <c r="F23" s="288"/>
      <c r="G23" s="289" t="str">
        <f>E5</f>
        <v>E2-PALOS VERDES B</v>
      </c>
      <c r="H23" s="288"/>
      <c r="I23" s="300" t="s">
        <v>1808</v>
      </c>
      <c r="J23" s="288" t="s">
        <v>819</v>
      </c>
    </row>
    <row r="24" spans="1:10">
      <c r="A24" s="292">
        <v>46053</v>
      </c>
      <c r="B24" s="291"/>
      <c r="C24" s="299"/>
      <c r="D24" s="298" t="s">
        <v>1809</v>
      </c>
      <c r="E24" s="289" t="str">
        <f>A5</f>
        <v>A2-SOUTH COAST BLUE (C)</v>
      </c>
      <c r="F24" s="288"/>
      <c r="G24" s="289" t="str">
        <f>A6</f>
        <v>A3-680 WHITE</v>
      </c>
      <c r="H24" s="288"/>
      <c r="I24" s="288" t="s">
        <v>1261</v>
      </c>
      <c r="J24" s="288" t="s">
        <v>819</v>
      </c>
    </row>
    <row r="25" spans="1:10">
      <c r="A25" s="292">
        <v>46053</v>
      </c>
      <c r="B25" s="291"/>
      <c r="C25" s="299"/>
      <c r="D25" s="298" t="s">
        <v>1810</v>
      </c>
      <c r="E25" s="289" t="str">
        <f>H4</f>
        <v>H1-TROJAN GOLD</v>
      </c>
      <c r="F25" s="288"/>
      <c r="G25" s="289" t="str">
        <f>H5</f>
        <v>H2-HONOLULU GREEN</v>
      </c>
      <c r="H25" s="288"/>
      <c r="I25" s="298" t="s">
        <v>1811</v>
      </c>
      <c r="J25" s="288" t="s">
        <v>819</v>
      </c>
    </row>
    <row r="26" spans="1:10">
      <c r="A26" s="292">
        <v>46053</v>
      </c>
      <c r="B26" s="291"/>
      <c r="C26" s="299"/>
      <c r="D26" s="300" t="s">
        <v>1812</v>
      </c>
      <c r="E26" s="289" t="str">
        <f>A16</f>
        <v>J2(1stD)</v>
      </c>
      <c r="F26" s="288"/>
      <c r="G26" s="289" t="str">
        <f>A17</f>
        <v>J3(1stE)</v>
      </c>
      <c r="H26" s="288"/>
      <c r="I26" s="300" t="s">
        <v>1813</v>
      </c>
      <c r="J26" s="288" t="s">
        <v>819</v>
      </c>
    </row>
    <row r="27" spans="1:10">
      <c r="A27" s="292">
        <v>46053</v>
      </c>
      <c r="B27" s="291"/>
      <c r="C27" s="299"/>
      <c r="D27" s="298" t="s">
        <v>1814</v>
      </c>
      <c r="E27" s="289" t="str">
        <f>A4</f>
        <v>A1-POWAY VALLEY BLACK</v>
      </c>
      <c r="F27" s="288"/>
      <c r="G27" s="289" t="str">
        <f>A5</f>
        <v>A2-SOUTH COAST BLUE (C)</v>
      </c>
      <c r="H27" s="288"/>
      <c r="I27" s="288" t="s">
        <v>1269</v>
      </c>
      <c r="J27" s="288" t="s">
        <v>819</v>
      </c>
    </row>
    <row r="28" spans="1:10">
      <c r="A28" s="292">
        <v>46053</v>
      </c>
      <c r="B28" s="291"/>
      <c r="C28" s="299"/>
      <c r="D28" s="300" t="s">
        <v>1815</v>
      </c>
      <c r="E28" s="289" t="str">
        <f>C16</f>
        <v>L2(2ndE)</v>
      </c>
      <c r="F28" s="288"/>
      <c r="G28" s="289" t="str">
        <f>C17</f>
        <v>L3(2ndD)</v>
      </c>
      <c r="H28" s="288"/>
      <c r="I28" s="300" t="s">
        <v>1816</v>
      </c>
      <c r="J28" s="288" t="s">
        <v>819</v>
      </c>
    </row>
    <row r="29" spans="1:10">
      <c r="A29" s="292">
        <v>46053</v>
      </c>
      <c r="B29" s="291"/>
      <c r="C29" s="299"/>
      <c r="D29" s="298" t="s">
        <v>1817</v>
      </c>
      <c r="E29" s="289" t="str">
        <f>A15</f>
        <v>J1(1stA)-</v>
      </c>
      <c r="F29" s="288"/>
      <c r="G29" s="289" t="str">
        <f>A18</f>
        <v>J4(1stH)</v>
      </c>
      <c r="H29" s="288"/>
      <c r="I29" s="298" t="s">
        <v>1818</v>
      </c>
      <c r="J29" s="288" t="s">
        <v>819</v>
      </c>
    </row>
    <row r="30" spans="1:10">
      <c r="A30" s="292">
        <v>46053</v>
      </c>
      <c r="B30" s="291"/>
      <c r="C30" s="299"/>
      <c r="D30" s="298" t="s">
        <v>1819</v>
      </c>
      <c r="E30" s="289" t="str">
        <f>C15</f>
        <v>L1(2ndH)</v>
      </c>
      <c r="F30" s="288"/>
      <c r="G30" s="289" t="str">
        <f>C18</f>
        <v>L4(2ndA)-</v>
      </c>
      <c r="H30" s="288"/>
      <c r="I30" s="298" t="s">
        <v>1820</v>
      </c>
      <c r="J30" s="288" t="s">
        <v>819</v>
      </c>
    </row>
    <row r="32" spans="1:10">
      <c r="A32" s="292">
        <v>46053</v>
      </c>
      <c r="B32" s="291"/>
      <c r="C32" s="291"/>
      <c r="D32" s="297" t="s">
        <v>1821</v>
      </c>
      <c r="E32" s="289" t="str">
        <f>B4</f>
        <v>B1-SAND CANYON</v>
      </c>
      <c r="F32" s="288"/>
      <c r="G32" s="289" t="str">
        <f>B5</f>
        <v>B2-CC UNITED WHITE</v>
      </c>
      <c r="H32" s="288"/>
      <c r="I32" s="288" t="s">
        <v>1822</v>
      </c>
      <c r="J32" s="288" t="s">
        <v>819</v>
      </c>
    </row>
    <row r="33" spans="1:10">
      <c r="A33" s="292">
        <v>46053</v>
      </c>
      <c r="B33" s="291"/>
      <c r="C33" s="291"/>
      <c r="D33" s="297" t="s">
        <v>1823</v>
      </c>
      <c r="E33" s="289" t="str">
        <f>G4</f>
        <v>G1-TRITON GOLD</v>
      </c>
      <c r="F33" s="288"/>
      <c r="G33" s="289" t="str">
        <f>G5</f>
        <v>G2-LOYOLA WPC</v>
      </c>
      <c r="H33" s="288"/>
      <c r="I33" s="288" t="s">
        <v>1824</v>
      </c>
      <c r="J33" s="288" t="s">
        <v>819</v>
      </c>
    </row>
    <row r="34" spans="1:10">
      <c r="A34" s="292">
        <v>46053</v>
      </c>
      <c r="B34" s="291"/>
      <c r="C34" s="291"/>
      <c r="D34" s="288" t="s">
        <v>1825</v>
      </c>
      <c r="E34" s="289" t="str">
        <f>C4</f>
        <v>C1-GOLD COAST</v>
      </c>
      <c r="F34" s="288"/>
      <c r="G34" s="289" t="str">
        <f>C5</f>
        <v>C2-ORANGE COUNTY WPC RED</v>
      </c>
      <c r="H34" s="288"/>
      <c r="I34" s="288" t="s">
        <v>1826</v>
      </c>
      <c r="J34" s="288" t="s">
        <v>819</v>
      </c>
    </row>
    <row r="35" spans="1:10">
      <c r="A35" s="292">
        <v>46053</v>
      </c>
      <c r="B35" s="291"/>
      <c r="C35" s="291"/>
      <c r="D35" s="288" t="s">
        <v>1827</v>
      </c>
      <c r="E35" s="289" t="str">
        <f>F4</f>
        <v>F1-NADO</v>
      </c>
      <c r="F35" s="288"/>
      <c r="G35" s="288" t="str">
        <f>F5</f>
        <v>F2-AMERICAN RIVER GOLD</v>
      </c>
      <c r="H35" s="288"/>
      <c r="I35" s="288" t="s">
        <v>1828</v>
      </c>
      <c r="J35" s="288" t="s">
        <v>819</v>
      </c>
    </row>
    <row r="36" spans="1:10">
      <c r="A36" s="292">
        <v>46053</v>
      </c>
      <c r="B36" s="291"/>
      <c r="C36" s="291"/>
      <c r="D36" s="297" t="s">
        <v>1829</v>
      </c>
      <c r="E36" s="289" t="str">
        <f>D15</f>
        <v>M1(2ndG)</v>
      </c>
      <c r="F36" s="288"/>
      <c r="G36" s="289" t="str">
        <f>D18</f>
        <v>M4(2ndB)-</v>
      </c>
      <c r="H36" s="288"/>
      <c r="I36" s="288" t="s">
        <v>1830</v>
      </c>
      <c r="J36" s="288" t="s">
        <v>819</v>
      </c>
    </row>
    <row r="37" spans="1:10">
      <c r="A37" s="292">
        <v>46053</v>
      </c>
      <c r="B37" s="291"/>
      <c r="C37" s="291"/>
      <c r="D37" s="297" t="s">
        <v>1831</v>
      </c>
      <c r="E37" s="289" t="str">
        <f>B15</f>
        <v>K1(1stB)</v>
      </c>
      <c r="F37" s="288"/>
      <c r="G37" s="289" t="str">
        <f>B18</f>
        <v>K4(1stG)</v>
      </c>
      <c r="H37" s="288"/>
      <c r="I37" s="288" t="s">
        <v>1832</v>
      </c>
      <c r="J37" s="288" t="s">
        <v>819</v>
      </c>
    </row>
    <row r="38" spans="1:10">
      <c r="A38" s="292">
        <v>46053</v>
      </c>
      <c r="B38" s="291"/>
      <c r="C38" s="291"/>
      <c r="D38" s="288" t="s">
        <v>1833</v>
      </c>
      <c r="E38" s="289" t="str">
        <f>B16</f>
        <v>K2(1stC)</v>
      </c>
      <c r="F38" s="288"/>
      <c r="G38" s="289" t="str">
        <f>B17</f>
        <v>K3(1stF)</v>
      </c>
      <c r="H38" s="288"/>
      <c r="I38" s="288" t="s">
        <v>1834</v>
      </c>
      <c r="J38" s="288" t="s">
        <v>819</v>
      </c>
    </row>
    <row r="39" spans="1:10">
      <c r="A39" s="292">
        <v>46053</v>
      </c>
      <c r="B39" s="291"/>
      <c r="C39" s="291"/>
      <c r="D39" s="288" t="s">
        <v>1835</v>
      </c>
      <c r="E39" s="289" t="str">
        <f>D16</f>
        <v>M2(2ndF)</v>
      </c>
      <c r="F39" s="288"/>
      <c r="G39" s="289" t="str">
        <f>D17</f>
        <v>M3(2ndC)</v>
      </c>
      <c r="H39" s="288"/>
      <c r="I39" s="288" t="s">
        <v>1836</v>
      </c>
      <c r="J39" s="288" t="s">
        <v>819</v>
      </c>
    </row>
    <row r="41" spans="1:10">
      <c r="A41" s="183"/>
      <c r="B41" s="183"/>
      <c r="C41" s="183"/>
      <c r="D41" s="183"/>
      <c r="E41" s="183"/>
      <c r="F41" s="183"/>
      <c r="G41" s="183"/>
      <c r="H41" s="183"/>
      <c r="I41" s="183"/>
      <c r="J41" s="183"/>
    </row>
    <row r="44" spans="1:10">
      <c r="A44" s="292">
        <v>46054</v>
      </c>
      <c r="B44" s="291"/>
      <c r="C44" s="291"/>
      <c r="D44" s="295" t="s">
        <v>1837</v>
      </c>
      <c r="E44" s="289" t="str">
        <f>IF(F28="","L#15-",IF(F28&lt;H28,_xlfn.CONCAT("L#15-",RIGHT(E28,LEN(E28) - FIND("-",E28))), _xlfn.CONCAT("L#15-",RIGHT(G28,LEN(G28) - FIND("-",G28)))))</f>
        <v>L#15-</v>
      </c>
      <c r="F44" s="288"/>
      <c r="G44" s="289" t="str">
        <f>IF(F36="","L#16-",IF(F36&lt;H36,_xlfn.CONCAT("L#16-",RIGHT(E36,LEN(E36) - FIND("-",E36))), _xlfn.CONCAT("L#16-",RIGHT(G36,LEN(G36) - FIND("-",G36)))))</f>
        <v>L#16-</v>
      </c>
      <c r="H44" s="288"/>
      <c r="I44" s="288" t="s">
        <v>1838</v>
      </c>
      <c r="J44" s="288" t="s">
        <v>819</v>
      </c>
    </row>
    <row r="45" spans="1:10">
      <c r="A45" s="292">
        <v>46054</v>
      </c>
      <c r="B45" s="291"/>
      <c r="C45" s="291"/>
      <c r="D45" s="295" t="s">
        <v>1839</v>
      </c>
      <c r="E45" s="289" t="str">
        <f>IF(F39="","L#17-",IF(F39&lt;H39,_xlfn.CONCAT("L#17-",RIGHT(E39,LEN(E39) - FIND("-",E39))), _xlfn.CONCAT("L#17-",RIGHT(G39,LEN(G39) - FIND("-",G39)))))</f>
        <v>L#17-</v>
      </c>
      <c r="F45" s="288"/>
      <c r="G45" s="289" t="str">
        <f>IF(F30="","L#18-",IF(F30&lt;H30,_xlfn.CONCAT("L#18-",RIGHT(E30,LEN(E30) - FIND("-",E30))), _xlfn.CONCAT("L#18-",RIGHT(G30,LEN(G30) - FIND("-",G30)))))</f>
        <v>L#18-</v>
      </c>
      <c r="H45" s="288"/>
      <c r="I45" s="288" t="s">
        <v>1840</v>
      </c>
      <c r="J45" s="288" t="s">
        <v>819</v>
      </c>
    </row>
    <row r="46" spans="1:10">
      <c r="A46" s="292">
        <v>46054</v>
      </c>
      <c r="B46" s="291"/>
      <c r="C46" s="291"/>
      <c r="D46" s="295" t="s">
        <v>1841</v>
      </c>
      <c r="E46" s="289" t="str">
        <f>E15</f>
        <v>P1(3rdA)-</v>
      </c>
      <c r="F46" s="288"/>
      <c r="G46" s="289" t="str">
        <f>E16</f>
        <v>P2(4thL/L#19)-</v>
      </c>
      <c r="H46" s="288"/>
      <c r="I46" s="288" t="s">
        <v>1842</v>
      </c>
      <c r="J46" s="288" t="s">
        <v>819</v>
      </c>
    </row>
    <row r="47" spans="1:10">
      <c r="A47" s="292">
        <v>46054</v>
      </c>
      <c r="B47" s="291"/>
      <c r="C47" s="291"/>
      <c r="D47" s="296" t="s">
        <v>1843</v>
      </c>
      <c r="E47" s="289" t="str">
        <f>IF(F28="","W#15-",IF(F28&gt;H28,_xlfn.CONCAT("W#15-",RIGHT(E28,LEN(E28) - FIND("-",E28))), _xlfn.CONCAT("W#15-",RIGHT(G28,LEN(G28) - FIND("-",G28)))))</f>
        <v>W#15-</v>
      </c>
      <c r="F47" s="288"/>
      <c r="G47" s="289" t="str">
        <f>IF(F36="","W#16-",IF(F36&gt;H36,_xlfn.CONCAT("W#16-",RIGHT(E36,LEN(E36) - FIND("-",E36))), _xlfn.CONCAT("W#16-",RIGHT(G36,LEN(G36) - FIND("-",G36)))))</f>
        <v>W#16-</v>
      </c>
      <c r="H47" s="288"/>
      <c r="I47" s="288" t="s">
        <v>1844</v>
      </c>
      <c r="J47" s="288" t="s">
        <v>819</v>
      </c>
    </row>
    <row r="48" spans="1:10">
      <c r="A48" s="292">
        <v>46054</v>
      </c>
      <c r="B48" s="291"/>
      <c r="C48" s="291"/>
      <c r="D48" s="295" t="s">
        <v>1845</v>
      </c>
      <c r="E48" s="289" t="str">
        <f>E15</f>
        <v>P1(3rdA)-</v>
      </c>
      <c r="F48" s="288"/>
      <c r="G48" s="289" t="str">
        <f>E17</f>
        <v>P3(4thM/L#20)-</v>
      </c>
      <c r="H48" s="288"/>
      <c r="I48" s="288" t="s">
        <v>1842</v>
      </c>
      <c r="J48" s="288" t="s">
        <v>819</v>
      </c>
    </row>
    <row r="49" spans="1:10">
      <c r="A49" s="292">
        <v>46054</v>
      </c>
      <c r="B49" s="291"/>
      <c r="C49" s="291"/>
      <c r="D49" s="296" t="s">
        <v>1846</v>
      </c>
      <c r="E49" s="289" t="str">
        <f>IF(F39="","W#17-",IF(F39&gt;H39,_xlfn.CONCAT("W#17-",RIGHT(E39,LEN(E39) - FIND("-",E39))), _xlfn.CONCAT("W#17-",RIGHT(G39,LEN(G39) - FIND("-",G39)))))</f>
        <v>W#17-</v>
      </c>
      <c r="F49" s="288"/>
      <c r="G49" s="289" t="str">
        <f>IF(F30="","W#18-",IF(F30&gt;H30,_xlfn.CONCAT("W#18-",RIGHT(E30,LEN(E30) - FIND("-",E30))), _xlfn.CONCAT("W#18-",RIGHT(G30,LEN(G30) - FIND("-",G30)))))</f>
        <v>W#18-</v>
      </c>
      <c r="H49" s="288"/>
      <c r="I49" s="288" t="s">
        <v>1847</v>
      </c>
      <c r="J49" s="288" t="s">
        <v>819</v>
      </c>
    </row>
    <row r="50" spans="1:10">
      <c r="A50" s="292">
        <v>46054</v>
      </c>
      <c r="B50" s="291"/>
      <c r="C50" s="291"/>
      <c r="D50" s="295" t="s">
        <v>1848</v>
      </c>
      <c r="E50" s="289" t="str">
        <f>E16</f>
        <v>P2(4thL/L#19)-</v>
      </c>
      <c r="F50" s="288"/>
      <c r="G50" s="289" t="str">
        <f>E17</f>
        <v>P3(4thM/L#20)-</v>
      </c>
      <c r="H50" s="288"/>
      <c r="I50" s="288" t="s">
        <v>1842</v>
      </c>
      <c r="J50" s="288" t="s">
        <v>819</v>
      </c>
    </row>
    <row r="51" spans="1:10">
      <c r="A51" s="292">
        <v>46054</v>
      </c>
      <c r="B51" s="291"/>
      <c r="C51" s="291"/>
      <c r="D51" s="296" t="s">
        <v>1849</v>
      </c>
      <c r="E51" s="289" t="str">
        <f>IF(F47="","W#25-",IF(F47&gt;H47,_xlfn.CONCAT("W#25-",RIGHT(E47,LEN(E47) - FIND("-",E47))), _xlfn.CONCAT("W#25-",RIGHT(G47,LEN(G47) - FIND("-",G47)))))</f>
        <v>W#25-</v>
      </c>
      <c r="F51" s="288"/>
      <c r="G51" s="289" t="str">
        <f>IF(F49="","W#26-",IF(F49&gt;H49,_xlfn.CONCAT("W#26-",RIGHT(E49,LEN(E49) - FIND("-",E49))), _xlfn.CONCAT("W#26-",RIGHT(G49,LEN(G49) - FIND("-",G49)))))</f>
        <v>W#26-</v>
      </c>
      <c r="H51" s="288"/>
      <c r="I51" s="288" t="s">
        <v>1422</v>
      </c>
      <c r="J51" s="288" t="s">
        <v>819</v>
      </c>
    </row>
    <row r="52" spans="1:10">
      <c r="A52" s="292">
        <v>46054</v>
      </c>
      <c r="B52" s="291"/>
      <c r="C52" s="291"/>
      <c r="D52" s="296" t="s">
        <v>1850</v>
      </c>
      <c r="E52" s="289" t="str">
        <f>IF(F47="","L#25-",IF(F47&lt;H47,_xlfn.CONCAT("L#25-",RIGHT(E47,LEN(E47) - FIND("-",E47))), _xlfn.CONCAT("L#25-",RIGHT(G47,LEN(G47) - FIND("-",G47)))))</f>
        <v>L#25-</v>
      </c>
      <c r="F52" s="288"/>
      <c r="G52" s="289" t="str">
        <f>IF(F49="","L#26-",IF(F49&lt;H49,_xlfn.CONCAT("L#26-",RIGHT(E49,LEN(E49) - FIND("-",E49))), _xlfn.CONCAT("L#26-",RIGHT(G49,LEN(G49) - FIND("-",G49)))))</f>
        <v>L#26-</v>
      </c>
      <c r="H52" s="288"/>
      <c r="I52" s="288" t="s">
        <v>1425</v>
      </c>
      <c r="J52" s="288" t="s">
        <v>819</v>
      </c>
    </row>
    <row r="53" spans="1:10">
      <c r="A53" s="292">
        <v>46054</v>
      </c>
      <c r="B53" s="291"/>
      <c r="C53" s="291"/>
      <c r="D53" s="295" t="s">
        <v>1851</v>
      </c>
      <c r="E53" s="289" t="str">
        <f>IF(F44="","W#19-",IF(F44&gt;H44,_xlfn.CONCAT("W#19-",RIGHT(E44,LEN(E44) - FIND("-",E44))), _xlfn.CONCAT("W#19-",RIGHT(G44,LEN(G44) - FIND("-",G44)))))</f>
        <v>W#19-</v>
      </c>
      <c r="F53" s="288"/>
      <c r="G53" s="289" t="str">
        <f>IF(F45="","W#20-",IF(F45&gt;H45,_xlfn.CONCAT("W#20-",RIGHT(E45,LEN(E45) - FIND("-",E45))), _xlfn.CONCAT("W#20-",RIGHT(G45,LEN(G45) - FIND("-",G45)))))</f>
        <v>W#20-</v>
      </c>
      <c r="H53" s="288"/>
      <c r="I53" s="288" t="s">
        <v>1852</v>
      </c>
      <c r="J53" s="288" t="s">
        <v>819</v>
      </c>
    </row>
    <row r="55" spans="1:10">
      <c r="A55" s="292">
        <v>46054</v>
      </c>
      <c r="B55" s="291"/>
      <c r="C55" s="291"/>
      <c r="D55" s="293" t="s">
        <v>1853</v>
      </c>
      <c r="E55" s="289" t="str">
        <f>IF(F26="","L#11-",IF(F26&lt;H26,_xlfn.CONCAT("L#11-",RIGHT(E26,LEN(E26) - FIND("-",E26))), _xlfn.CONCAT("L#11-",RIGHT(G26,LEN(G26) - FIND("-",G26)))))</f>
        <v>L#11-</v>
      </c>
      <c r="F55" s="288"/>
      <c r="G55" s="289" t="str">
        <f>IF(F37="","L#12-",IF(F37&lt;H37,_xlfn.CONCAT("L#12-",RIGHT(E37,LEN(E37) - FIND("-",E37))), _xlfn.CONCAT("L#12-",RIGHT(G37,LEN(G37) - FIND("-",G37)))))</f>
        <v>L#12-</v>
      </c>
      <c r="H55" s="288"/>
      <c r="I55" s="288" t="s">
        <v>1854</v>
      </c>
      <c r="J55" s="288" t="s">
        <v>819</v>
      </c>
    </row>
    <row r="56" spans="1:10">
      <c r="A56" s="292">
        <v>46054</v>
      </c>
      <c r="B56" s="291"/>
      <c r="C56" s="291"/>
      <c r="D56" s="293" t="s">
        <v>1855</v>
      </c>
      <c r="E56" s="289" t="str">
        <f>IF(F38="","L#13-",IF(F38&lt;H38,_xlfn.CONCAT("L#13-",RIGHT(E38,LEN(E38) - FIND("-",E38))), _xlfn.CONCAT("L#13-",RIGHT(G38,LEN(G38) - FIND("-",G38)))))</f>
        <v>L#13-</v>
      </c>
      <c r="F56" s="288"/>
      <c r="G56" s="289" t="str">
        <f>IF(F29="","L#14-",IF(F29&lt;H29,_xlfn.CONCAT("L#14-",RIGHT(E29,LEN(E29) - FIND("-",E29))), _xlfn.CONCAT("L#14-",RIGHT(G29,LEN(G29) - FIND("-",G29)))))</f>
        <v>L#14-</v>
      </c>
      <c r="H56" s="288"/>
      <c r="I56" s="288" t="s">
        <v>1856</v>
      </c>
      <c r="J56" s="288" t="s">
        <v>819</v>
      </c>
    </row>
    <row r="57" spans="1:10">
      <c r="A57" s="292">
        <v>46054</v>
      </c>
      <c r="B57" s="291"/>
      <c r="C57" s="291"/>
      <c r="D57" s="290" t="s">
        <v>1857</v>
      </c>
      <c r="E57" s="289" t="str">
        <f>IF(F26="","W#11-",IF(F26&gt;H26,_xlfn.CONCAT("W#11-",RIGHT(E26,LEN(E26) - FIND("-",E26))), _xlfn.CONCAT("W#11-",RIGHT(G26,LEN(G26) - FIND("-",G26)))))</f>
        <v>W#11-</v>
      </c>
      <c r="F57" s="288"/>
      <c r="G57" s="289" t="str">
        <f>IF(F37="","W#12-",IF(F37&gt;H37,_xlfn.CONCAT("W#12-",RIGHT(E37,LEN(E37) - FIND("-",E37))), _xlfn.CONCAT("W#12-",RIGHT(G37,LEN(G37) - FIND("-",G37)))))</f>
        <v>W#12-</v>
      </c>
      <c r="H57" s="288"/>
      <c r="I57" s="288" t="s">
        <v>1858</v>
      </c>
      <c r="J57" s="288" t="s">
        <v>819</v>
      </c>
    </row>
    <row r="58" spans="1:10">
      <c r="A58" s="292">
        <v>46054</v>
      </c>
      <c r="B58" s="291"/>
      <c r="C58" s="291"/>
      <c r="D58" s="290" t="s">
        <v>1859</v>
      </c>
      <c r="E58" s="294" t="str">
        <f>IF(F38="","W#13-",IF(F38&gt;H38,_xlfn.CONCAT("W#13-",RIGHT(E38,LEN(E38) - FIND("-",E38))), _xlfn.CONCAT("W#13-",RIGHT(G38,LEN(G38) - FIND("-",G38)))))</f>
        <v>W#13-</v>
      </c>
      <c r="F58" s="288"/>
      <c r="G58" s="289" t="str">
        <f>IF(F29="","W#14-",IF(F29&gt;H29,_xlfn.CONCAT("W#14-",RIGHT(E29,LEN(E29) - FIND("-",E29))), _xlfn.CONCAT("W#14-",RIGHT(G29,LEN(G29) - FIND("-",G29)))))</f>
        <v>W#14-</v>
      </c>
      <c r="H58" s="288"/>
      <c r="I58" s="288" t="s">
        <v>1860</v>
      </c>
      <c r="J58" s="288" t="s">
        <v>819</v>
      </c>
    </row>
    <row r="59" spans="1:10">
      <c r="A59" s="292">
        <v>46054</v>
      </c>
      <c r="B59" s="291"/>
      <c r="C59" s="291"/>
      <c r="D59" s="293" t="s">
        <v>1861</v>
      </c>
      <c r="E59" s="289" t="str">
        <f>IF(F55="","W#23-",IF(F55&gt;H55,_xlfn.CONCAT("W#23-",RIGHT(E55,LEN(E55) - FIND("-",E55))), _xlfn.CONCAT("W#23-",RIGHT(G55,LEN(G55) - FIND("-",G55)))))</f>
        <v>W#23-</v>
      </c>
      <c r="F59" s="288"/>
      <c r="G59" s="289" t="str">
        <f>IF(F56="","W#24-",IF(F56&gt;H56,_xlfn.CONCAT("W#24-",RIGHT(E56,LEN(E56) - FIND("-",E56))), _xlfn.CONCAT("W#24-",RIGHT(G56,LEN(G56) - FIND("-",G56)))))</f>
        <v>W#24-</v>
      </c>
      <c r="H59" s="288"/>
      <c r="I59" s="288" t="s">
        <v>1351</v>
      </c>
      <c r="J59" s="288" t="s">
        <v>819</v>
      </c>
    </row>
    <row r="60" spans="1:10">
      <c r="A60" s="292">
        <v>46054</v>
      </c>
      <c r="B60" s="291"/>
      <c r="C60" s="291"/>
      <c r="D60" s="293" t="s">
        <v>1862</v>
      </c>
      <c r="E60" s="289" t="str">
        <f>IF(F55="","L#23-",IF(F55&lt;H55,_xlfn.CONCAT("L#23-",RIGHT(E55,LEN(E55) - FIND("-",E55))), _xlfn.CONCAT("L#23-",RIGHT(G55,LEN(G55) - FIND("-",G55)))))</f>
        <v>L#23-</v>
      </c>
      <c r="F60" s="288"/>
      <c r="G60" s="289" t="str">
        <f>IF(F56="","L#24-",IF(F56&lt;H56,_xlfn.CONCAT("L#24-",RIGHT(E56,LEN(E56) - FIND("-",E56))), _xlfn.CONCAT("L#24-",RIGHT(G56,LEN(G56) - FIND("-",G56)))))</f>
        <v>L#24-</v>
      </c>
      <c r="H60" s="288"/>
      <c r="I60" s="288" t="s">
        <v>1347</v>
      </c>
      <c r="J60" s="288" t="s">
        <v>819</v>
      </c>
    </row>
    <row r="61" spans="1:10">
      <c r="A61" s="292">
        <v>46054</v>
      </c>
      <c r="B61" s="291"/>
      <c r="C61" s="291"/>
      <c r="D61" s="290" t="s">
        <v>1863</v>
      </c>
      <c r="E61" s="289" t="str">
        <f>IF(F57="","L#21-",IF(F57&lt;H57,_xlfn.CONCAT("L#21-",RIGHT(E57,LEN(E57) - FIND("-",E57))), _xlfn.CONCAT("L#21-",RIGHT(G57,LEN(G57) - FIND("-",G57)))))</f>
        <v>L#21-</v>
      </c>
      <c r="F61" s="288"/>
      <c r="G61" s="289" t="str">
        <f>IF(F58="","L#22-",IF(F58&lt;H58,_xlfn.CONCAT("L#22-",RIGHT(E58,LEN(E58) - FIND("-",E58))), _xlfn.CONCAT("L#22-",RIGHT(G58,LEN(G58) - FIND("-",G58)))))</f>
        <v>L#22-</v>
      </c>
      <c r="H61" s="288"/>
      <c r="I61" s="288" t="s">
        <v>1314</v>
      </c>
      <c r="J61" s="288" t="s">
        <v>819</v>
      </c>
    </row>
    <row r="62" spans="1:10">
      <c r="A62" s="292">
        <v>46054</v>
      </c>
      <c r="B62" s="291"/>
      <c r="C62" s="291"/>
      <c r="D62" s="290" t="s">
        <v>1864</v>
      </c>
      <c r="E62" s="289" t="str">
        <f>IF(F57="","W#21-",IF(F57&gt;H57,_xlfn.CONCAT("W#21-",RIGHT(E57,LEN(E57) - FIND("-",E57))), _xlfn.CONCAT("W#21-",RIGHT(G57,LEN(G57) - FIND("-",G57)))))</f>
        <v>W#21-</v>
      </c>
      <c r="F62" s="288"/>
      <c r="G62" s="289" t="str">
        <f>IF(F58="","W#22-",IF(F58&gt;H58,_xlfn.CONCAT("W#22-",RIGHT(E58,LEN(E58) - FIND("-",E58))), _xlfn.CONCAT("W#22-",RIGHT(G58,LEN(G58) - FIND("-",G58)))))</f>
        <v>W#22-</v>
      </c>
      <c r="H62" s="288"/>
      <c r="I62" s="288" t="s">
        <v>1312</v>
      </c>
      <c r="J62" s="288" t="s">
        <v>819</v>
      </c>
    </row>
    <row r="64" spans="1:10">
      <c r="I64" s="288" t="s">
        <v>1312</v>
      </c>
      <c r="J64" s="288"/>
    </row>
    <row r="65" spans="9:10">
      <c r="I65" s="288" t="s">
        <v>1313</v>
      </c>
      <c r="J65" s="288"/>
    </row>
    <row r="66" spans="9:10">
      <c r="I66" s="288" t="s">
        <v>1314</v>
      </c>
      <c r="J66" s="288"/>
    </row>
  </sheetData>
  <hyperlinks>
    <hyperlink ref="B2" r:id="rId1" xr:uid="{C08DE545-03D2-4D86-9E2B-3C4CB2D90644}"/>
    <hyperlink ref="C2" r:id="rId2" xr:uid="{A87E69EF-8F9A-4BB2-8943-03CA649FA75B}"/>
  </hyperlinks>
  <pageMargins left="0.7" right="0.7" top="0.75" bottom="0.75" header="0.3" footer="0.3"/>
  <pageSetup scale="58" orientation="landscape"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085B3-2503-46BD-8687-FEB9563B6CA7}">
  <sheetPr>
    <tabColor rgb="FF595959"/>
    <pageSetUpPr fitToPage="1"/>
  </sheetPr>
  <dimension ref="A1:J70"/>
  <sheetViews>
    <sheetView workbookViewId="0"/>
  </sheetViews>
  <sheetFormatPr defaultColWidth="23.140625" defaultRowHeight="18"/>
  <cols>
    <col min="1" max="1" width="44.140625" style="44" bestFit="1" customWidth="1"/>
    <col min="2" max="2" width="33.42578125" style="1" customWidth="1"/>
    <col min="3" max="3" width="43.140625" style="1" bestFit="1" customWidth="1"/>
    <col min="4" max="5" width="50" style="1" bestFit="1" customWidth="1"/>
    <col min="6" max="6" width="45.140625" style="1" bestFit="1" customWidth="1"/>
    <col min="7" max="7" width="39.140625" style="1" customWidth="1"/>
    <col min="8" max="8" width="8.42578125" style="1" customWidth="1"/>
    <col min="9" max="9" width="21.42578125" style="1" customWidth="1"/>
    <col min="10" max="10" width="30.7109375" style="1" bestFit="1" customWidth="1"/>
    <col min="11" max="16384" width="23.140625" style="1"/>
  </cols>
  <sheetData>
    <row r="1" spans="1:6">
      <c r="A1" s="42" t="s">
        <v>17</v>
      </c>
      <c r="B1" s="43" t="s">
        <v>1865</v>
      </c>
      <c r="C1" s="43" t="s">
        <v>1866</v>
      </c>
      <c r="D1" s="120" t="s">
        <v>1383</v>
      </c>
      <c r="E1" s="1" t="s">
        <v>1867</v>
      </c>
    </row>
    <row r="2" spans="1:6">
      <c r="A2" s="119" t="s">
        <v>1237</v>
      </c>
      <c r="B2" s="118" t="s">
        <v>1238</v>
      </c>
      <c r="C2" s="117" t="s">
        <v>1239</v>
      </c>
      <c r="D2" s="43"/>
    </row>
    <row r="3" spans="1:6">
      <c r="A3" s="42" t="s">
        <v>644</v>
      </c>
      <c r="B3" s="43" t="s">
        <v>645</v>
      </c>
      <c r="C3" s="43" t="s">
        <v>646</v>
      </c>
      <c r="D3" s="43" t="s">
        <v>647</v>
      </c>
      <c r="E3" s="43" t="s">
        <v>723</v>
      </c>
      <c r="F3" s="43" t="s">
        <v>724</v>
      </c>
    </row>
    <row r="4" spans="1:6">
      <c r="A4" s="44" t="s">
        <v>821</v>
      </c>
      <c r="B4" s="1" t="s">
        <v>822</v>
      </c>
      <c r="C4" s="1" t="s">
        <v>823</v>
      </c>
      <c r="D4" s="1" t="s">
        <v>824</v>
      </c>
      <c r="E4" s="1" t="s">
        <v>825</v>
      </c>
      <c r="F4" s="1" t="s">
        <v>826</v>
      </c>
    </row>
    <row r="5" spans="1:6">
      <c r="A5" s="44" t="s">
        <v>653</v>
      </c>
      <c r="B5" s="1" t="s">
        <v>827</v>
      </c>
      <c r="C5" s="1" t="s">
        <v>828</v>
      </c>
      <c r="D5" s="1" t="s">
        <v>829</v>
      </c>
      <c r="E5" s="1" t="s">
        <v>830</v>
      </c>
      <c r="F5" s="1" t="s">
        <v>831</v>
      </c>
    </row>
    <row r="6" spans="1:6">
      <c r="A6" s="44" t="s">
        <v>832</v>
      </c>
      <c r="B6" s="1" t="s">
        <v>833</v>
      </c>
      <c r="C6" s="1" t="s">
        <v>834</v>
      </c>
      <c r="D6" s="1" t="s">
        <v>835</v>
      </c>
      <c r="E6" s="1" t="s">
        <v>836</v>
      </c>
      <c r="F6" s="1" t="s">
        <v>837</v>
      </c>
    </row>
    <row r="8" spans="1:6">
      <c r="A8" s="42" t="s">
        <v>644</v>
      </c>
      <c r="B8" s="43" t="s">
        <v>645</v>
      </c>
      <c r="C8" s="43" t="s">
        <v>646</v>
      </c>
      <c r="D8" s="43" t="s">
        <v>647</v>
      </c>
      <c r="E8" s="43" t="s">
        <v>723</v>
      </c>
      <c r="F8" s="43" t="s">
        <v>724</v>
      </c>
    </row>
    <row r="9" spans="1:6">
      <c r="A9" s="1">
        <v>1</v>
      </c>
      <c r="B9" s="1">
        <v>4</v>
      </c>
      <c r="C9" s="1">
        <v>5</v>
      </c>
      <c r="D9" s="1">
        <v>2</v>
      </c>
      <c r="E9" s="1">
        <v>3</v>
      </c>
      <c r="F9" s="1">
        <v>6</v>
      </c>
    </row>
    <row r="10" spans="1:6">
      <c r="A10" s="1">
        <v>12</v>
      </c>
      <c r="B10" s="1">
        <v>9</v>
      </c>
      <c r="C10" s="1">
        <v>8</v>
      </c>
      <c r="D10" s="1">
        <v>11</v>
      </c>
      <c r="E10" s="1">
        <v>10</v>
      </c>
      <c r="F10" s="1">
        <v>7</v>
      </c>
    </row>
    <row r="11" spans="1:6">
      <c r="A11" s="1">
        <v>13</v>
      </c>
      <c r="B11" s="1">
        <v>16</v>
      </c>
      <c r="C11" s="1">
        <v>17</v>
      </c>
      <c r="D11" s="1">
        <v>14</v>
      </c>
      <c r="E11" s="1">
        <v>15</v>
      </c>
      <c r="F11" s="1">
        <v>18</v>
      </c>
    </row>
    <row r="12" spans="1:6">
      <c r="A12" s="1"/>
      <c r="B12" s="43"/>
      <c r="D12" s="43"/>
      <c r="E12" s="43"/>
      <c r="F12" s="43"/>
    </row>
    <row r="13" spans="1:6">
      <c r="A13" s="42" t="s">
        <v>842</v>
      </c>
      <c r="B13" s="43" t="s">
        <v>843</v>
      </c>
      <c r="C13" s="43" t="s">
        <v>844</v>
      </c>
      <c r="D13" s="43" t="s">
        <v>845</v>
      </c>
      <c r="E13" s="43" t="s">
        <v>846</v>
      </c>
      <c r="F13" s="43" t="s">
        <v>847</v>
      </c>
    </row>
    <row r="14" spans="1:6">
      <c r="A14" s="1" t="s">
        <v>1868</v>
      </c>
      <c r="B14" s="1" t="s">
        <v>1869</v>
      </c>
      <c r="C14" s="1" t="s">
        <v>1870</v>
      </c>
      <c r="D14" s="1" t="s">
        <v>1871</v>
      </c>
      <c r="E14" s="1" t="s">
        <v>1872</v>
      </c>
      <c r="F14" s="1" t="s">
        <v>1873</v>
      </c>
    </row>
    <row r="15" spans="1:6">
      <c r="A15" s="1" t="s">
        <v>1874</v>
      </c>
      <c r="B15" s="1" t="s">
        <v>1875</v>
      </c>
      <c r="C15" s="1" t="s">
        <v>1876</v>
      </c>
      <c r="D15" s="1" t="s">
        <v>1877</v>
      </c>
      <c r="E15" s="1" t="s">
        <v>1878</v>
      </c>
      <c r="F15" s="1" t="s">
        <v>1879</v>
      </c>
    </row>
    <row r="16" spans="1:6">
      <c r="A16" s="1" t="s">
        <v>1880</v>
      </c>
      <c r="B16" s="1" t="s">
        <v>1881</v>
      </c>
      <c r="C16" s="1" t="s">
        <v>1882</v>
      </c>
      <c r="D16" s="1" t="s">
        <v>1883</v>
      </c>
      <c r="E16" s="1" t="s">
        <v>1884</v>
      </c>
      <c r="F16" s="1" t="s">
        <v>1885</v>
      </c>
    </row>
    <row r="17" spans="1:10">
      <c r="A17" s="1"/>
    </row>
    <row r="19" spans="1:10">
      <c r="A19" s="42" t="s">
        <v>1240</v>
      </c>
      <c r="B19" s="43" t="s">
        <v>1241</v>
      </c>
      <c r="C19" s="43" t="s">
        <v>1242</v>
      </c>
      <c r="D19" s="43" t="s">
        <v>1886</v>
      </c>
      <c r="E19" s="43" t="s">
        <v>1887</v>
      </c>
      <c r="F19" s="43" t="s">
        <v>1245</v>
      </c>
      <c r="G19" s="43" t="s">
        <v>1888</v>
      </c>
      <c r="H19" s="43" t="s">
        <v>1245</v>
      </c>
      <c r="I19" s="43" t="s">
        <v>11</v>
      </c>
      <c r="J19" s="43" t="s">
        <v>1180</v>
      </c>
    </row>
    <row r="20" spans="1:10">
      <c r="A20" s="225">
        <v>46053</v>
      </c>
      <c r="B20" s="224">
        <f>CHICLETS!F6</f>
        <v>0.3263888888888889</v>
      </c>
      <c r="C20" s="224" t="str">
        <f>CHICLETS!$O$4</f>
        <v>SAN CLEMENTE HS</v>
      </c>
      <c r="D20" s="146" t="s">
        <v>1804</v>
      </c>
      <c r="E20" s="223" t="str">
        <f>A4</f>
        <v>A1-POWAY VALLEY BLACK</v>
      </c>
      <c r="F20" s="222">
        <v>11</v>
      </c>
      <c r="G20" s="223" t="str">
        <f>A6</f>
        <v>A3-SAN CLEMENTE BLACK</v>
      </c>
      <c r="H20" s="222">
        <v>8</v>
      </c>
      <c r="I20" s="221" t="s">
        <v>1250</v>
      </c>
      <c r="J20" s="146" t="s">
        <v>819</v>
      </c>
    </row>
    <row r="21" spans="1:10">
      <c r="A21" s="225">
        <v>46053</v>
      </c>
      <c r="B21" s="224">
        <f>CHICLETS!F7</f>
        <v>0.36111111111111099</v>
      </c>
      <c r="C21" s="224" t="str">
        <f>CHICLETS!$O$4</f>
        <v>SAN CLEMENTE HS</v>
      </c>
      <c r="D21" s="146" t="s">
        <v>1805</v>
      </c>
      <c r="E21" s="223" t="str">
        <f>B4</f>
        <v>B1-SAN FRANCISCO</v>
      </c>
      <c r="F21" s="222">
        <v>14</v>
      </c>
      <c r="G21" s="223" t="str">
        <f>B6</f>
        <v>B3-SOUTH COAST BLUE (C)</v>
      </c>
      <c r="H21" s="222">
        <v>3</v>
      </c>
      <c r="I21" s="221" t="s">
        <v>1252</v>
      </c>
      <c r="J21" s="146" t="s">
        <v>819</v>
      </c>
    </row>
    <row r="22" spans="1:10">
      <c r="A22" s="225">
        <v>46053</v>
      </c>
      <c r="B22" s="224">
        <f>CHICLETS!F8</f>
        <v>0.39583333333333398</v>
      </c>
      <c r="C22" s="224" t="str">
        <f>CHICLETS!$O$4</f>
        <v>SAN CLEMENTE HS</v>
      </c>
      <c r="D22" s="146" t="s">
        <v>1809</v>
      </c>
      <c r="E22" s="224" t="str">
        <f>C4</f>
        <v>C1-PASADENA AC</v>
      </c>
      <c r="F22" s="221">
        <v>8</v>
      </c>
      <c r="G22" s="224" t="str">
        <f>C6</f>
        <v>C3-ORANGE COUNTY WPC RED</v>
      </c>
      <c r="H22" s="222">
        <v>5</v>
      </c>
      <c r="I22" s="221" t="s">
        <v>1254</v>
      </c>
      <c r="J22" s="146" t="s">
        <v>819</v>
      </c>
    </row>
    <row r="24" spans="1:10">
      <c r="A24" s="225">
        <v>46053</v>
      </c>
      <c r="B24" s="227">
        <f>CHICLETS!F10</f>
        <v>0.46527777777777801</v>
      </c>
      <c r="C24" s="224" t="str">
        <f>CHICLETS!$O$4</f>
        <v>SAN CLEMENTE HS</v>
      </c>
      <c r="D24" s="146" t="s">
        <v>1823</v>
      </c>
      <c r="E24" s="223" t="str">
        <f>A5</f>
        <v>A2-LOYOLA WPC</v>
      </c>
      <c r="F24" s="222">
        <v>11</v>
      </c>
      <c r="G24" s="223" t="str">
        <f>A6</f>
        <v>A3-SAN CLEMENTE BLACK</v>
      </c>
      <c r="H24" s="222">
        <v>4</v>
      </c>
      <c r="I24" s="221" t="s">
        <v>1261</v>
      </c>
      <c r="J24" s="146" t="s">
        <v>819</v>
      </c>
    </row>
    <row r="25" spans="1:10">
      <c r="A25" s="225">
        <v>46053</v>
      </c>
      <c r="B25" s="227">
        <f>CHICLETS!F11</f>
        <v>0.5</v>
      </c>
      <c r="C25" s="224" t="str">
        <f>CHICLETS!$O$4</f>
        <v>SAN CLEMENTE HS</v>
      </c>
      <c r="D25" s="146" t="s">
        <v>1827</v>
      </c>
      <c r="E25" s="223" t="str">
        <f>B5</f>
        <v>B2-TROJAN GOLD</v>
      </c>
      <c r="F25" s="222">
        <v>5</v>
      </c>
      <c r="G25" s="223" t="str">
        <f>B6</f>
        <v>B3-SOUTH COAST BLUE (C)</v>
      </c>
      <c r="H25" s="222">
        <v>7</v>
      </c>
      <c r="I25" s="221" t="s">
        <v>1263</v>
      </c>
      <c r="J25" s="146" t="s">
        <v>819</v>
      </c>
    </row>
    <row r="26" spans="1:10">
      <c r="A26" s="225">
        <v>46053</v>
      </c>
      <c r="B26" s="227">
        <f>CHICLETS!F12</f>
        <v>0.53472222222222199</v>
      </c>
      <c r="C26" s="224" t="str">
        <f>CHICLETS!$O$4</f>
        <v>SAN CLEMENTE HS</v>
      </c>
      <c r="D26" s="146" t="s">
        <v>1812</v>
      </c>
      <c r="E26" s="224" t="str">
        <f>C5</f>
        <v>C2-TRITON GOLD</v>
      </c>
      <c r="F26" s="221">
        <v>1</v>
      </c>
      <c r="G26" s="224" t="str">
        <f>C6</f>
        <v>C3-ORANGE COUNTY WPC RED</v>
      </c>
      <c r="H26" s="222">
        <v>9</v>
      </c>
      <c r="I26" s="221" t="s">
        <v>1265</v>
      </c>
      <c r="J26" s="146" t="s">
        <v>819</v>
      </c>
    </row>
    <row r="28" spans="1:10">
      <c r="A28" s="225">
        <v>46053</v>
      </c>
      <c r="B28" s="224">
        <f>CHICLETS!F14</f>
        <v>0.60416666666666696</v>
      </c>
      <c r="C28" s="224" t="str">
        <f>CHICLETS!$O$4</f>
        <v>SAN CLEMENTE HS</v>
      </c>
      <c r="D28" s="146" t="s">
        <v>1833</v>
      </c>
      <c r="E28" s="223" t="str">
        <f>A4</f>
        <v>A1-POWAY VALLEY BLACK</v>
      </c>
      <c r="F28" s="222">
        <v>14</v>
      </c>
      <c r="G28" s="223" t="str">
        <f>A5</f>
        <v>A2-LOYOLA WPC</v>
      </c>
      <c r="H28" s="222">
        <v>4</v>
      </c>
      <c r="I28" s="221" t="s">
        <v>1269</v>
      </c>
      <c r="J28" s="146" t="s">
        <v>819</v>
      </c>
    </row>
    <row r="29" spans="1:10">
      <c r="A29" s="225">
        <v>46053</v>
      </c>
      <c r="B29" s="224">
        <f>CHICLETS!F15</f>
        <v>0.63888888888888895</v>
      </c>
      <c r="C29" s="224" t="str">
        <f>CHICLETS!$O$4</f>
        <v>SAN CLEMENTE HS</v>
      </c>
      <c r="D29" s="146" t="s">
        <v>1815</v>
      </c>
      <c r="E29" s="224" t="str">
        <f>B4</f>
        <v>B1-SAN FRANCISCO</v>
      </c>
      <c r="F29" s="221">
        <v>18</v>
      </c>
      <c r="G29" s="224" t="str">
        <f>B5</f>
        <v>B2-TROJAN GOLD</v>
      </c>
      <c r="H29" s="222">
        <v>5</v>
      </c>
      <c r="I29" s="221" t="s">
        <v>1272</v>
      </c>
      <c r="J29" s="146" t="s">
        <v>819</v>
      </c>
    </row>
    <row r="30" spans="1:10">
      <c r="A30" s="225">
        <v>46053</v>
      </c>
      <c r="B30" s="224">
        <f>CHICLETS!F16</f>
        <v>0.67361111111111105</v>
      </c>
      <c r="C30" s="224" t="str">
        <f>CHICLETS!$O$4</f>
        <v>SAN CLEMENTE HS</v>
      </c>
      <c r="D30" s="146" t="s">
        <v>1835</v>
      </c>
      <c r="E30" s="223" t="str">
        <f>C4</f>
        <v>C1-PASADENA AC</v>
      </c>
      <c r="F30" s="222">
        <v>16</v>
      </c>
      <c r="G30" s="223" t="str">
        <f>C5</f>
        <v>C2-TRITON GOLD</v>
      </c>
      <c r="H30" s="222">
        <v>3</v>
      </c>
      <c r="I30" s="221" t="s">
        <v>1275</v>
      </c>
      <c r="J30" s="146" t="s">
        <v>819</v>
      </c>
    </row>
    <row r="32" spans="1:10">
      <c r="A32" s="225">
        <v>46053</v>
      </c>
      <c r="B32" s="224">
        <f>CHICLETS!F7</f>
        <v>0.36111111111111099</v>
      </c>
      <c r="C32" s="224" t="str">
        <f>CHICLETS!$T$4</f>
        <v>ESPERANZA HS</v>
      </c>
      <c r="D32" s="146" t="s">
        <v>1810</v>
      </c>
      <c r="E32" s="223" t="str">
        <f>D4</f>
        <v>D1-SAND CANYON</v>
      </c>
      <c r="F32" s="222">
        <v>12</v>
      </c>
      <c r="G32" s="223" t="str">
        <f>D6</f>
        <v>D3-PALOS VERDES B</v>
      </c>
      <c r="H32" s="222">
        <v>3</v>
      </c>
      <c r="I32" s="221" t="s">
        <v>1248</v>
      </c>
      <c r="J32" s="146" t="s">
        <v>819</v>
      </c>
    </row>
    <row r="33" spans="1:10">
      <c r="A33" s="225">
        <v>46053</v>
      </c>
      <c r="B33" s="224">
        <f>CHICLETS!F8</f>
        <v>0.39583333333333398</v>
      </c>
      <c r="C33" s="224" t="str">
        <f>CHICLETS!$T$4</f>
        <v>ESPERANZA HS</v>
      </c>
      <c r="D33" s="146" t="s">
        <v>1807</v>
      </c>
      <c r="E33" s="224" t="str">
        <f>E4</f>
        <v>E1-GOLD COAST</v>
      </c>
      <c r="F33" s="221">
        <v>14</v>
      </c>
      <c r="G33" s="224" t="str">
        <f>E6</f>
        <v>E3-CC UNITED WHITE</v>
      </c>
      <c r="H33" s="222">
        <v>1</v>
      </c>
      <c r="I33" s="221" t="s">
        <v>1555</v>
      </c>
      <c r="J33" s="146" t="s">
        <v>819</v>
      </c>
    </row>
    <row r="34" spans="1:10">
      <c r="A34" s="225">
        <v>46053</v>
      </c>
      <c r="B34" s="224">
        <f>CHICLETS!F9</f>
        <v>0.43055555555555602</v>
      </c>
      <c r="C34" s="224" t="str">
        <f>CHICLETS!$T$4</f>
        <v>ESPERANZA HS</v>
      </c>
      <c r="D34" s="146" t="s">
        <v>1821</v>
      </c>
      <c r="E34" s="223" t="str">
        <f>F4</f>
        <v>F1-SET</v>
      </c>
      <c r="F34" s="222">
        <v>6</v>
      </c>
      <c r="G34" s="223" t="str">
        <f>F6</f>
        <v>F3-680 WHITE</v>
      </c>
      <c r="H34" s="222">
        <v>11</v>
      </c>
      <c r="I34" s="221" t="s">
        <v>1560</v>
      </c>
      <c r="J34" s="146" t="s">
        <v>819</v>
      </c>
    </row>
    <row r="35" spans="1:10">
      <c r="A35" s="225">
        <v>46053</v>
      </c>
      <c r="B35" s="224">
        <f>CHICLETS!F10</f>
        <v>0.46527777777777801</v>
      </c>
      <c r="C35" s="224" t="str">
        <f>CHICLETS!$T$4</f>
        <v>ESPERANZA HS</v>
      </c>
      <c r="D35" s="146" t="s">
        <v>1825</v>
      </c>
      <c r="E35" s="223" t="str">
        <f>D5</f>
        <v>D2-AMERICAN RIVER GOLD</v>
      </c>
      <c r="F35" s="222">
        <v>2</v>
      </c>
      <c r="G35" s="223" t="str">
        <f>D6</f>
        <v>D3-PALOS VERDES B</v>
      </c>
      <c r="H35" s="222">
        <v>8</v>
      </c>
      <c r="I35" s="221" t="s">
        <v>1258</v>
      </c>
      <c r="J35" s="146" t="s">
        <v>819</v>
      </c>
    </row>
    <row r="36" spans="1:10">
      <c r="A36" s="225">
        <v>46053</v>
      </c>
      <c r="B36" s="224">
        <f>CHICLETS!F11</f>
        <v>0.5</v>
      </c>
      <c r="C36" s="224" t="str">
        <f>CHICLETS!$T$4</f>
        <v>ESPERANZA HS</v>
      </c>
      <c r="D36" s="146" t="s">
        <v>1814</v>
      </c>
      <c r="E36" s="223" t="str">
        <f>E5</f>
        <v>E2-HONOLULU GREEN</v>
      </c>
      <c r="F36" s="222">
        <v>10</v>
      </c>
      <c r="G36" s="223" t="str">
        <f>E6</f>
        <v>E3-CC UNITED WHITE</v>
      </c>
      <c r="H36" s="222">
        <v>6</v>
      </c>
      <c r="I36" s="221" t="s">
        <v>1562</v>
      </c>
      <c r="J36" s="146" t="s">
        <v>819</v>
      </c>
    </row>
    <row r="37" spans="1:10">
      <c r="A37" s="225">
        <v>46053</v>
      </c>
      <c r="B37" s="224">
        <f>CHICLETS!F12</f>
        <v>0.53472222222222199</v>
      </c>
      <c r="C37" s="224" t="str">
        <f>CHICLETS!$T$4</f>
        <v>ESPERANZA HS</v>
      </c>
      <c r="D37" s="146" t="s">
        <v>1831</v>
      </c>
      <c r="E37" s="223" t="str">
        <f>F5</f>
        <v>F2-NADO</v>
      </c>
      <c r="F37" s="222">
        <v>11.3</v>
      </c>
      <c r="G37" s="223" t="str">
        <f>F6</f>
        <v>F3-680 WHITE</v>
      </c>
      <c r="H37" s="222">
        <v>11.4</v>
      </c>
      <c r="I37" s="221" t="s">
        <v>1566</v>
      </c>
      <c r="J37" s="146" t="s">
        <v>819</v>
      </c>
    </row>
    <row r="38" spans="1:10">
      <c r="A38" s="225">
        <v>46053</v>
      </c>
      <c r="B38" s="224">
        <f>CHICLETS!F13</f>
        <v>0.56944444444444497</v>
      </c>
      <c r="C38" s="224" t="str">
        <f>CHICLETS!$T$4</f>
        <v>ESPERANZA HS</v>
      </c>
      <c r="D38" s="146" t="s">
        <v>1817</v>
      </c>
      <c r="E38" s="223" t="str">
        <f>D4</f>
        <v>D1-SAND CANYON</v>
      </c>
      <c r="F38" s="222">
        <v>17</v>
      </c>
      <c r="G38" s="223" t="str">
        <f>D5</f>
        <v>D2-AMERICAN RIVER GOLD</v>
      </c>
      <c r="H38" s="222">
        <v>6</v>
      </c>
      <c r="I38" s="221" t="s">
        <v>1267</v>
      </c>
      <c r="J38" s="146" t="s">
        <v>819</v>
      </c>
    </row>
    <row r="39" spans="1:10">
      <c r="A39" s="225">
        <v>46053</v>
      </c>
      <c r="B39" s="224">
        <f>CHICLETS!F14</f>
        <v>0.60416666666666696</v>
      </c>
      <c r="C39" s="224" t="str">
        <f>CHICLETS!$T$4</f>
        <v>ESPERANZA HS</v>
      </c>
      <c r="D39" s="146" t="s">
        <v>1829</v>
      </c>
      <c r="E39" s="224" t="str">
        <f>E4</f>
        <v>E1-GOLD COAST</v>
      </c>
      <c r="F39" s="221">
        <v>14</v>
      </c>
      <c r="G39" s="224" t="str">
        <f>E5</f>
        <v>E2-HONOLULU GREEN</v>
      </c>
      <c r="H39" s="222">
        <v>2</v>
      </c>
      <c r="I39" s="221" t="s">
        <v>1568</v>
      </c>
      <c r="J39" s="146" t="s">
        <v>819</v>
      </c>
    </row>
    <row r="40" spans="1:10">
      <c r="A40" s="225">
        <v>46053</v>
      </c>
      <c r="B40" s="224">
        <f>CHICLETS!F15</f>
        <v>0.63888888888888895</v>
      </c>
      <c r="C40" s="224" t="str">
        <f>CHICLETS!$T$4</f>
        <v>ESPERANZA HS</v>
      </c>
      <c r="D40" s="146" t="s">
        <v>1819</v>
      </c>
      <c r="E40" s="223" t="str">
        <f>F4</f>
        <v>F1-SET</v>
      </c>
      <c r="F40" s="222">
        <v>6</v>
      </c>
      <c r="G40" s="223" t="str">
        <f>F5</f>
        <v>F2-NADO</v>
      </c>
      <c r="H40" s="222">
        <v>14</v>
      </c>
      <c r="I40" s="221" t="s">
        <v>1572</v>
      </c>
      <c r="J40" s="146" t="s">
        <v>819</v>
      </c>
    </row>
    <row r="42" spans="1:10">
      <c r="A42" s="226"/>
      <c r="B42" s="159"/>
      <c r="C42" s="159"/>
      <c r="D42" s="159"/>
      <c r="E42" s="159"/>
      <c r="F42" s="159"/>
      <c r="G42" s="159"/>
      <c r="H42" s="159"/>
      <c r="I42" s="159"/>
      <c r="J42" s="159"/>
    </row>
    <row r="44" spans="1:10">
      <c r="A44" s="225">
        <v>46054</v>
      </c>
      <c r="B44" s="224">
        <f>CHICLETS!F28</f>
        <v>0.3263888888888889</v>
      </c>
      <c r="C44" s="224" t="str">
        <f>CHICLETS!$K$26</f>
        <v>COSTA MESA HS 1</v>
      </c>
      <c r="D44" s="146" t="s">
        <v>1837</v>
      </c>
      <c r="E44" s="223" t="str">
        <f>A14</f>
        <v>G1(1stA)-POWAY VALLEY BLACK</v>
      </c>
      <c r="F44" s="222">
        <v>8</v>
      </c>
      <c r="G44" s="223" t="str">
        <f>A15</f>
        <v>G2(1stB)-SAN FRANCISCO</v>
      </c>
      <c r="H44" s="222">
        <v>5</v>
      </c>
      <c r="I44" s="221" t="s">
        <v>1889</v>
      </c>
      <c r="J44" s="146" t="s">
        <v>819</v>
      </c>
    </row>
    <row r="45" spans="1:10">
      <c r="A45" s="225">
        <v>46054</v>
      </c>
      <c r="B45" s="224">
        <f>CHICLETS!F29</f>
        <v>0.36111111111111099</v>
      </c>
      <c r="C45" s="224" t="str">
        <f>CHICLETS!$K$26</f>
        <v>COSTA MESA HS 1</v>
      </c>
      <c r="D45" s="146" t="s">
        <v>1857</v>
      </c>
      <c r="E45" s="224" t="str">
        <f>B14</f>
        <v>H1(1stD)-SAND CANYON</v>
      </c>
      <c r="F45" s="221">
        <v>11</v>
      </c>
      <c r="G45" s="224" t="str">
        <f>B15</f>
        <v>H2(1stE)-GOLD COAST</v>
      </c>
      <c r="H45" s="222">
        <v>14</v>
      </c>
      <c r="I45" s="221" t="s">
        <v>1889</v>
      </c>
      <c r="J45" s="146" t="s">
        <v>819</v>
      </c>
    </row>
    <row r="46" spans="1:10">
      <c r="A46" s="225">
        <v>46054</v>
      </c>
      <c r="B46" s="224">
        <f>CHICLETS!F30</f>
        <v>0.39583333333333398</v>
      </c>
      <c r="C46" s="224" t="str">
        <f>CHICLETS!$K$26</f>
        <v>COSTA MESA HS 1</v>
      </c>
      <c r="D46" s="146" t="s">
        <v>1853</v>
      </c>
      <c r="E46" s="223" t="str">
        <f>C14</f>
        <v>J1(2ndF)-NADO</v>
      </c>
      <c r="F46" s="222">
        <v>16</v>
      </c>
      <c r="G46" s="223" t="str">
        <f>C15</f>
        <v>J2(2ndE)-HONOLULU GREEN</v>
      </c>
      <c r="H46" s="222">
        <v>11</v>
      </c>
      <c r="I46" s="221" t="s">
        <v>1890</v>
      </c>
      <c r="J46" s="146" t="s">
        <v>819</v>
      </c>
    </row>
    <row r="47" spans="1:10">
      <c r="A47" s="225">
        <v>46054</v>
      </c>
      <c r="B47" s="224">
        <f>CHICLETS!F31</f>
        <v>0.43055555555555602</v>
      </c>
      <c r="C47" s="224" t="str">
        <f>CHICLETS!$K$26</f>
        <v>COSTA MESA HS 1</v>
      </c>
      <c r="D47" s="146" t="s">
        <v>1843</v>
      </c>
      <c r="E47" s="223" t="str">
        <f>A14</f>
        <v>G1(1stA)-POWAY VALLEY BLACK</v>
      </c>
      <c r="F47" s="222">
        <v>8</v>
      </c>
      <c r="G47" s="223" t="str">
        <f>A16</f>
        <v>G3(1stC)-PASADENA AC</v>
      </c>
      <c r="H47" s="222">
        <v>5</v>
      </c>
      <c r="I47" s="221" t="s">
        <v>1889</v>
      </c>
      <c r="J47" s="146" t="s">
        <v>819</v>
      </c>
    </row>
    <row r="48" spans="1:10">
      <c r="A48" s="225">
        <v>46054</v>
      </c>
      <c r="B48" s="224">
        <f>CHICLETS!F32</f>
        <v>0.46527777777777801</v>
      </c>
      <c r="C48" s="224" t="str">
        <f>CHICLETS!$K$26</f>
        <v>COSTA MESA HS 1</v>
      </c>
      <c r="D48" s="146" t="s">
        <v>1845</v>
      </c>
      <c r="E48" s="224" t="str">
        <f>B14</f>
        <v>H1(1stD)-SAND CANYON</v>
      </c>
      <c r="F48" s="221">
        <v>12</v>
      </c>
      <c r="G48" s="224" t="str">
        <f>B16</f>
        <v>H3(1stF)-680 WHITE</v>
      </c>
      <c r="H48" s="222">
        <v>7</v>
      </c>
      <c r="I48" s="221" t="s">
        <v>1889</v>
      </c>
      <c r="J48" s="146" t="s">
        <v>819</v>
      </c>
    </row>
    <row r="49" spans="1:10">
      <c r="A49" s="225">
        <v>46054</v>
      </c>
      <c r="B49" s="224">
        <f>CHICLETS!F33</f>
        <v>0.5</v>
      </c>
      <c r="C49" s="224" t="str">
        <f>CHICLETS!$K$26</f>
        <v>COSTA MESA HS 1</v>
      </c>
      <c r="D49" s="146" t="s">
        <v>1850</v>
      </c>
      <c r="E49" s="224" t="str">
        <f>C15</f>
        <v>J2(2ndE)-HONOLULU GREEN</v>
      </c>
      <c r="F49" s="221">
        <v>8</v>
      </c>
      <c r="G49" s="224" t="str">
        <f>C16</f>
        <v>J3(2ndD)-PALOS VERDES B</v>
      </c>
      <c r="H49" s="222">
        <v>11</v>
      </c>
      <c r="I49" s="221" t="s">
        <v>1890</v>
      </c>
      <c r="J49" s="146" t="s">
        <v>819</v>
      </c>
    </row>
    <row r="50" spans="1:10">
      <c r="A50" s="225">
        <v>46054</v>
      </c>
      <c r="B50" s="224">
        <f>CHICLETS!F34</f>
        <v>0.53472222222222199</v>
      </c>
      <c r="C50" s="224" t="str">
        <f>CHICLETS!$K$26</f>
        <v>COSTA MESA HS 1</v>
      </c>
      <c r="D50" s="146" t="s">
        <v>1841</v>
      </c>
      <c r="E50" s="224" t="str">
        <f>A15</f>
        <v>G2(1stB)-SAN FRANCISCO</v>
      </c>
      <c r="F50" s="221">
        <v>6</v>
      </c>
      <c r="G50" s="224" t="str">
        <f>A16</f>
        <v>G3(1stC)-PASADENA AC</v>
      </c>
      <c r="H50" s="222">
        <v>11</v>
      </c>
      <c r="I50" s="221" t="s">
        <v>1889</v>
      </c>
      <c r="J50" s="146" t="s">
        <v>819</v>
      </c>
    </row>
    <row r="51" spans="1:10">
      <c r="A51" s="225">
        <v>46054</v>
      </c>
      <c r="B51" s="224">
        <f>CHICLETS!F35</f>
        <v>0.56944444444444497</v>
      </c>
      <c r="C51" s="224" t="str">
        <f>CHICLETS!$K$26</f>
        <v>COSTA MESA HS 1</v>
      </c>
      <c r="D51" s="146" t="s">
        <v>1862</v>
      </c>
      <c r="E51" s="224" t="str">
        <f>B15</f>
        <v>H2(1stE)-GOLD COAST</v>
      </c>
      <c r="F51" s="221">
        <v>14</v>
      </c>
      <c r="G51" s="224" t="str">
        <f>B16</f>
        <v>H3(1stF)-680 WHITE</v>
      </c>
      <c r="H51" s="222">
        <v>10</v>
      </c>
      <c r="I51" s="221" t="s">
        <v>1889</v>
      </c>
      <c r="J51" s="146" t="s">
        <v>819</v>
      </c>
    </row>
    <row r="52" spans="1:10">
      <c r="A52" s="225">
        <v>46054</v>
      </c>
      <c r="B52" s="224">
        <f>CHICLETS!F36</f>
        <v>0.60416666666666696</v>
      </c>
      <c r="C52" s="224" t="str">
        <f>CHICLETS!$K$26</f>
        <v>COSTA MESA HS 1</v>
      </c>
      <c r="D52" s="146" t="s">
        <v>1864</v>
      </c>
      <c r="E52" s="223" t="str">
        <f>C14</f>
        <v>J1(2ndF)-NADO</v>
      </c>
      <c r="F52" s="222">
        <v>11</v>
      </c>
      <c r="G52" s="223" t="str">
        <f>C16</f>
        <v>J3(2ndD)-PALOS VERDES B</v>
      </c>
      <c r="H52" s="222">
        <v>10</v>
      </c>
      <c r="I52" s="221" t="s">
        <v>1890</v>
      </c>
      <c r="J52" s="146" t="s">
        <v>819</v>
      </c>
    </row>
    <row r="53" spans="1:10">
      <c r="A53" s="225">
        <v>46054</v>
      </c>
      <c r="B53" s="224">
        <f>CHICLETS!F37</f>
        <v>0.63888888888888895</v>
      </c>
      <c r="C53" s="224" t="str">
        <f>CHICLETS!$K$26</f>
        <v>COSTA MESA HS 1</v>
      </c>
      <c r="D53" s="146" t="s">
        <v>1891</v>
      </c>
      <c r="E53" s="224" t="s">
        <v>1892</v>
      </c>
      <c r="F53" s="221">
        <v>15</v>
      </c>
      <c r="G53" s="224" t="s">
        <v>1893</v>
      </c>
      <c r="H53" s="222">
        <v>14</v>
      </c>
      <c r="I53" s="221" t="s">
        <v>1894</v>
      </c>
      <c r="J53" s="146" t="s">
        <v>819</v>
      </c>
    </row>
    <row r="54" spans="1:10">
      <c r="A54" s="225">
        <v>46054</v>
      </c>
      <c r="B54" s="224">
        <f>CHICLETS!F38</f>
        <v>0.67361111111111105</v>
      </c>
      <c r="C54" s="224" t="str">
        <f>CHICLETS!$K$26</f>
        <v>COSTA MESA HS 1</v>
      </c>
      <c r="D54" s="146" t="s">
        <v>1895</v>
      </c>
      <c r="E54" s="224" t="s">
        <v>1896</v>
      </c>
      <c r="F54" s="221">
        <v>11</v>
      </c>
      <c r="G54" s="224" t="s">
        <v>1897</v>
      </c>
      <c r="H54" s="222">
        <v>6</v>
      </c>
      <c r="I54" s="221" t="s">
        <v>1898</v>
      </c>
      <c r="J54" s="146" t="s">
        <v>819</v>
      </c>
    </row>
    <row r="56" spans="1:10">
      <c r="A56" s="225">
        <v>46054</v>
      </c>
      <c r="B56" s="224">
        <f>CHICLETS!F27</f>
        <v>0.29166666666666669</v>
      </c>
      <c r="C56" s="224" t="str">
        <f>CHICLETS!$M$26</f>
        <v>TUSTIN HS 1</v>
      </c>
      <c r="D56" s="146" t="s">
        <v>1846</v>
      </c>
      <c r="E56" s="224" t="str">
        <f>D14</f>
        <v>K1(2ndC)-ORANGE COUNTY WPC RED</v>
      </c>
      <c r="F56" s="221">
        <v>3</v>
      </c>
      <c r="G56" s="224" t="str">
        <f>D16</f>
        <v>K3(2ndA)-LOYOLA WPC</v>
      </c>
      <c r="H56" s="222">
        <v>7</v>
      </c>
      <c r="I56" s="221" t="s">
        <v>1890</v>
      </c>
      <c r="J56" s="146" t="s">
        <v>819</v>
      </c>
    </row>
    <row r="57" spans="1:10">
      <c r="A57" s="225">
        <v>46054</v>
      </c>
      <c r="B57" s="224">
        <f>CHICLETS!F27</f>
        <v>0.29166666666666669</v>
      </c>
      <c r="C57" s="224" t="str">
        <f>CHICLETS!$L$26</f>
        <v>EL TORO HS 1</v>
      </c>
      <c r="D57" s="146" t="s">
        <v>1863</v>
      </c>
      <c r="E57" s="224" t="str">
        <f>E14</f>
        <v>M1(3rdA)-SAN CLEMENTE BLACK</v>
      </c>
      <c r="F57" s="221">
        <v>14</v>
      </c>
      <c r="G57" s="224" t="str">
        <f>E16</f>
        <v xml:space="preserve">M3(3rdC)-TRITON GOLD	</v>
      </c>
      <c r="H57" s="222">
        <v>6</v>
      </c>
      <c r="I57" s="221" t="s">
        <v>1899</v>
      </c>
      <c r="J57" s="146" t="s">
        <v>819</v>
      </c>
    </row>
    <row r="58" spans="1:10">
      <c r="A58" s="225">
        <v>46054</v>
      </c>
      <c r="B58" s="224">
        <f>CHICLETS!F27</f>
        <v>0.29166666666666669</v>
      </c>
      <c r="C58" s="224" t="str">
        <f>CHICLETS!$P$26</f>
        <v>LAGUNA HILLS HS</v>
      </c>
      <c r="D58" s="146" t="s">
        <v>1851</v>
      </c>
      <c r="E58" s="224" t="str">
        <f>F14</f>
        <v>N1(3rdD)-AMERICAN RIVER GOLD</v>
      </c>
      <c r="F58" s="221">
        <v>5.0999999999999996</v>
      </c>
      <c r="G58" s="224" t="str">
        <f>F16</f>
        <v>N3(3rdF)-SET</v>
      </c>
      <c r="H58" s="222">
        <v>5.3</v>
      </c>
      <c r="I58" s="221" t="s">
        <v>1899</v>
      </c>
      <c r="J58" s="146" t="s">
        <v>819</v>
      </c>
    </row>
    <row r="60" spans="1:10">
      <c r="A60" s="225">
        <v>46054</v>
      </c>
      <c r="B60" s="224">
        <f>CHICLETS!F30</f>
        <v>0.39583333333333398</v>
      </c>
      <c r="C60" s="224" t="str">
        <f>CHICLETS!$M$26</f>
        <v>TUSTIN HS 1</v>
      </c>
      <c r="D60" s="146" t="s">
        <v>1861</v>
      </c>
      <c r="E60" s="224" t="str">
        <f>D15</f>
        <v>K2(2ndB)-SOUTH COAST BLUE (C)</v>
      </c>
      <c r="F60" s="221">
        <v>2</v>
      </c>
      <c r="G60" s="224" t="str">
        <f>D16</f>
        <v>K3(2ndA)-LOYOLA WPC</v>
      </c>
      <c r="H60" s="222">
        <v>8</v>
      </c>
      <c r="I60" s="221" t="s">
        <v>1890</v>
      </c>
      <c r="J60" s="146" t="s">
        <v>819</v>
      </c>
    </row>
    <row r="61" spans="1:10">
      <c r="A61" s="225">
        <v>46054</v>
      </c>
      <c r="B61" s="224">
        <f>CHICLETS!F30</f>
        <v>0.39583333333333398</v>
      </c>
      <c r="C61" s="224" t="str">
        <f>CHICLETS!$L$26</f>
        <v>EL TORO HS 1</v>
      </c>
      <c r="D61" s="146" t="s">
        <v>1849</v>
      </c>
      <c r="E61" s="224" t="str">
        <f>E15</f>
        <v>M2(3rdB)-TROJAN GOLD</v>
      </c>
      <c r="F61" s="221">
        <v>11</v>
      </c>
      <c r="G61" s="224" t="str">
        <f>E16</f>
        <v xml:space="preserve">M3(3rdC)-TRITON GOLD	</v>
      </c>
      <c r="H61" s="222">
        <v>10</v>
      </c>
      <c r="I61" s="221" t="s">
        <v>1899</v>
      </c>
      <c r="J61" s="146" t="s">
        <v>819</v>
      </c>
    </row>
    <row r="62" spans="1:10">
      <c r="A62" s="225">
        <v>46054</v>
      </c>
      <c r="B62" s="224">
        <f>CHICLETS!F30</f>
        <v>0.39583333333333398</v>
      </c>
      <c r="C62" s="224" t="str">
        <f>CHICLETS!$P$26</f>
        <v>LAGUNA HILLS HS</v>
      </c>
      <c r="D62" s="146" t="s">
        <v>1848</v>
      </c>
      <c r="E62" s="224" t="str">
        <f>F15</f>
        <v>N2(3rdE)-CC UNITED WHITE</v>
      </c>
      <c r="F62" s="221">
        <v>7</v>
      </c>
      <c r="G62" s="224" t="str">
        <f>F16</f>
        <v>N3(3rdF)-SET</v>
      </c>
      <c r="H62" s="222">
        <v>6</v>
      </c>
      <c r="I62" s="221" t="s">
        <v>1899</v>
      </c>
      <c r="J62" s="146" t="s">
        <v>819</v>
      </c>
    </row>
    <row r="64" spans="1:10">
      <c r="A64" s="225">
        <v>46054</v>
      </c>
      <c r="B64" s="224">
        <f>CHICLETS!F33</f>
        <v>0.5</v>
      </c>
      <c r="C64" s="224" t="str">
        <f>CHICLETS!$M$26</f>
        <v>TUSTIN HS 1</v>
      </c>
      <c r="D64" s="146" t="s">
        <v>1839</v>
      </c>
      <c r="E64" s="224" t="str">
        <f>D14</f>
        <v>K1(2ndC)-ORANGE COUNTY WPC RED</v>
      </c>
      <c r="F64" s="221">
        <v>9</v>
      </c>
      <c r="G64" s="224" t="str">
        <f>D15</f>
        <v>K2(2ndB)-SOUTH COAST BLUE (C)</v>
      </c>
      <c r="H64" s="222">
        <v>3</v>
      </c>
      <c r="I64" s="221" t="s">
        <v>1890</v>
      </c>
      <c r="J64" s="146" t="s">
        <v>819</v>
      </c>
    </row>
    <row r="65" spans="1:10">
      <c r="A65" s="225">
        <v>46054</v>
      </c>
      <c r="B65" s="224">
        <f>CHICLETS!F33</f>
        <v>0.5</v>
      </c>
      <c r="C65" s="224" t="str">
        <f>CHICLETS!$L$26</f>
        <v>EL TORO HS 1</v>
      </c>
      <c r="D65" s="146" t="s">
        <v>1859</v>
      </c>
      <c r="E65" s="224" t="str">
        <f>E14</f>
        <v>M1(3rdA)-SAN CLEMENTE BLACK</v>
      </c>
      <c r="F65" s="221">
        <v>13</v>
      </c>
      <c r="G65" s="224" t="str">
        <f>E15</f>
        <v>M2(3rdB)-TROJAN GOLD</v>
      </c>
      <c r="H65" s="222">
        <v>4</v>
      </c>
      <c r="I65" s="221" t="s">
        <v>1899</v>
      </c>
      <c r="J65" s="146" t="s">
        <v>819</v>
      </c>
    </row>
    <row r="66" spans="1:10">
      <c r="A66" s="225">
        <v>46054</v>
      </c>
      <c r="B66" s="224">
        <f>CHICLETS!F33</f>
        <v>0.5</v>
      </c>
      <c r="C66" s="224" t="str">
        <f>CHICLETS!$N$26</f>
        <v>ALISO NIGUEL HS</v>
      </c>
      <c r="D66" s="146" t="s">
        <v>1855</v>
      </c>
      <c r="E66" s="223" t="str">
        <f>F14</f>
        <v>N1(3rdD)-AMERICAN RIVER GOLD</v>
      </c>
      <c r="F66" s="222">
        <v>4</v>
      </c>
      <c r="G66" s="223" t="str">
        <f>F15</f>
        <v>N2(3rdE)-CC UNITED WHITE</v>
      </c>
      <c r="H66" s="222">
        <v>2</v>
      </c>
      <c r="I66" s="221" t="s">
        <v>1899</v>
      </c>
      <c r="J66" s="146" t="s">
        <v>819</v>
      </c>
    </row>
    <row r="67" spans="1:10">
      <c r="A67" s="1"/>
    </row>
    <row r="68" spans="1:10">
      <c r="A68" s="1"/>
      <c r="I68" s="221" t="s">
        <v>1312</v>
      </c>
      <c r="J68" s="221" t="s">
        <v>841</v>
      </c>
    </row>
    <row r="69" spans="1:10">
      <c r="A69" s="1"/>
      <c r="I69" s="221" t="s">
        <v>1313</v>
      </c>
      <c r="J69" s="221" t="s">
        <v>715</v>
      </c>
    </row>
    <row r="70" spans="1:10">
      <c r="I70" s="221" t="s">
        <v>1314</v>
      </c>
      <c r="J70" s="221" t="s">
        <v>803</v>
      </c>
    </row>
  </sheetData>
  <hyperlinks>
    <hyperlink ref="B2" r:id="rId1" xr:uid="{F902883C-C51A-4281-941E-4C5F4FE789B9}"/>
    <hyperlink ref="C2" r:id="rId2" xr:uid="{983748F2-726C-425A-9F30-07885F7C3CC3}"/>
    <hyperlink ref="A2" r:id="rId3" xr:uid="{BA9BAC51-6800-46F5-A4EA-8984EF59764F}"/>
  </hyperlinks>
  <pageMargins left="0.7" right="0.7" top="0.75" bottom="0.75" header="0.3" footer="0.3"/>
  <pageSetup scale="47" orientation="landscape" r:id="rId4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5DCCC-6159-41DB-858C-FD6B90F675D1}">
  <sheetPr>
    <tabColor rgb="FFC5BA75"/>
    <pageSetUpPr fitToPage="1"/>
  </sheetPr>
  <dimension ref="A1:K91"/>
  <sheetViews>
    <sheetView workbookViewId="0"/>
  </sheetViews>
  <sheetFormatPr defaultColWidth="9.140625" defaultRowHeight="18"/>
  <cols>
    <col min="1" max="1" width="41.140625" style="228" customWidth="1"/>
    <col min="2" max="2" width="48.42578125" style="54" bestFit="1" customWidth="1"/>
    <col min="3" max="3" width="51.140625" style="54" bestFit="1" customWidth="1"/>
    <col min="4" max="4" width="46.140625" style="54" bestFit="1" customWidth="1"/>
    <col min="5" max="5" width="50.140625" style="54" customWidth="1"/>
    <col min="6" max="6" width="41" style="54" bestFit="1" customWidth="1"/>
    <col min="7" max="7" width="48.85546875" style="54" customWidth="1"/>
    <col min="8" max="8" width="35.28515625" style="54" customWidth="1"/>
    <col min="9" max="9" width="18.85546875" style="54" customWidth="1"/>
    <col min="10" max="10" width="30.140625" style="54" customWidth="1"/>
    <col min="11" max="16384" width="9.140625" style="54"/>
  </cols>
  <sheetData>
    <row r="1" spans="1:10">
      <c r="A1" s="234" t="s">
        <v>49</v>
      </c>
      <c r="B1" s="233" t="s">
        <v>1900</v>
      </c>
      <c r="C1" s="120" t="s">
        <v>1383</v>
      </c>
      <c r="D1" s="54" t="s">
        <v>1901</v>
      </c>
    </row>
    <row r="2" spans="1:10">
      <c r="A2" s="446" t="s">
        <v>1237</v>
      </c>
      <c r="B2" s="118" t="s">
        <v>1238</v>
      </c>
      <c r="C2" s="117" t="s">
        <v>1239</v>
      </c>
      <c r="D2" s="447"/>
    </row>
    <row r="3" spans="1:10">
      <c r="A3" s="88" t="s">
        <v>644</v>
      </c>
      <c r="B3" s="88" t="s">
        <v>645</v>
      </c>
      <c r="C3" s="46" t="s">
        <v>646</v>
      </c>
      <c r="D3" s="46" t="s">
        <v>647</v>
      </c>
      <c r="E3" s="46" t="s">
        <v>723</v>
      </c>
      <c r="F3" s="47" t="s">
        <v>724</v>
      </c>
      <c r="G3" s="48" t="s">
        <v>729</v>
      </c>
      <c r="H3" s="48" t="s">
        <v>730</v>
      </c>
      <c r="I3" s="49">
        <v>17</v>
      </c>
      <c r="J3" s="50" t="s">
        <v>872</v>
      </c>
    </row>
    <row r="4" spans="1:10">
      <c r="A4" s="88">
        <v>1</v>
      </c>
      <c r="B4" s="88">
        <v>4</v>
      </c>
      <c r="C4" s="46">
        <v>5</v>
      </c>
      <c r="D4" s="46">
        <v>8</v>
      </c>
      <c r="E4" s="46">
        <v>2</v>
      </c>
      <c r="F4" s="47">
        <v>3</v>
      </c>
      <c r="G4" s="51">
        <v>6</v>
      </c>
      <c r="H4" s="51">
        <v>7</v>
      </c>
      <c r="I4" s="49">
        <v>18</v>
      </c>
      <c r="J4" s="50" t="s">
        <v>873</v>
      </c>
    </row>
    <row r="5" spans="1:10">
      <c r="A5" s="88">
        <v>16</v>
      </c>
      <c r="B5" s="88">
        <v>13</v>
      </c>
      <c r="C5" s="46">
        <v>12</v>
      </c>
      <c r="D5" s="46">
        <v>9</v>
      </c>
      <c r="E5" s="46">
        <v>15</v>
      </c>
      <c r="F5" s="47">
        <v>14</v>
      </c>
      <c r="G5" s="51">
        <v>11</v>
      </c>
      <c r="H5" s="51">
        <v>10</v>
      </c>
      <c r="I5" s="49">
        <v>19</v>
      </c>
      <c r="J5" s="50" t="s">
        <v>874</v>
      </c>
    </row>
    <row r="6" spans="1:10">
      <c r="A6" s="88">
        <v>17</v>
      </c>
      <c r="B6" s="88">
        <v>20</v>
      </c>
      <c r="C6" s="46">
        <v>21</v>
      </c>
      <c r="D6" s="46">
        <v>24</v>
      </c>
      <c r="E6" s="46">
        <v>18</v>
      </c>
      <c r="F6" s="47">
        <v>19</v>
      </c>
      <c r="G6" s="51">
        <v>22</v>
      </c>
      <c r="H6" s="51">
        <v>23</v>
      </c>
      <c r="I6" s="49">
        <v>20</v>
      </c>
      <c r="J6" s="50" t="s">
        <v>876</v>
      </c>
    </row>
    <row r="7" spans="1:10">
      <c r="A7" s="2"/>
      <c r="B7" s="2"/>
      <c r="C7" s="2"/>
      <c r="D7" s="46">
        <v>25</v>
      </c>
      <c r="E7" s="2"/>
      <c r="F7" s="2"/>
      <c r="G7" s="2"/>
      <c r="H7" s="51">
        <v>26</v>
      </c>
      <c r="I7" s="49">
        <v>21</v>
      </c>
      <c r="J7" s="50" t="s">
        <v>877</v>
      </c>
    </row>
    <row r="8" spans="1:10">
      <c r="A8" s="2"/>
      <c r="B8" s="2"/>
      <c r="C8" s="2"/>
      <c r="D8" s="2"/>
      <c r="E8" s="2"/>
      <c r="F8" s="2"/>
      <c r="G8" s="2"/>
      <c r="H8" s="2"/>
      <c r="I8" s="49">
        <v>22</v>
      </c>
      <c r="J8" s="50" t="s">
        <v>879</v>
      </c>
    </row>
    <row r="9" spans="1:10">
      <c r="A9" s="89" t="s">
        <v>644</v>
      </c>
      <c r="B9" s="89" t="s">
        <v>645</v>
      </c>
      <c r="C9" s="52" t="s">
        <v>646</v>
      </c>
      <c r="D9" s="52" t="s">
        <v>647</v>
      </c>
      <c r="E9" s="52" t="s">
        <v>723</v>
      </c>
      <c r="F9" s="48" t="s">
        <v>724</v>
      </c>
      <c r="G9" s="48" t="s">
        <v>729</v>
      </c>
      <c r="H9" s="48" t="s">
        <v>730</v>
      </c>
      <c r="I9" s="49">
        <v>23</v>
      </c>
      <c r="J9" s="50" t="s">
        <v>880</v>
      </c>
    </row>
    <row r="10" spans="1:10">
      <c r="A10" s="88" t="s">
        <v>881</v>
      </c>
      <c r="B10" s="88" t="s">
        <v>882</v>
      </c>
      <c r="C10" s="46" t="s">
        <v>883</v>
      </c>
      <c r="D10" s="46" t="s">
        <v>884</v>
      </c>
      <c r="E10" s="46" t="s">
        <v>885</v>
      </c>
      <c r="F10" s="51" t="s">
        <v>886</v>
      </c>
      <c r="G10" s="51" t="s">
        <v>1902</v>
      </c>
      <c r="H10" s="51" t="s">
        <v>888</v>
      </c>
      <c r="I10" s="49">
        <v>24</v>
      </c>
      <c r="J10" s="50" t="s">
        <v>889</v>
      </c>
    </row>
    <row r="11" spans="1:10">
      <c r="A11" s="88" t="s">
        <v>891</v>
      </c>
      <c r="B11" s="88" t="s">
        <v>892</v>
      </c>
      <c r="C11" s="46" t="s">
        <v>893</v>
      </c>
      <c r="D11" s="46" t="s">
        <v>894</v>
      </c>
      <c r="E11" s="46" t="s">
        <v>895</v>
      </c>
      <c r="F11" s="51" t="s">
        <v>896</v>
      </c>
      <c r="G11" s="51" t="s">
        <v>1903</v>
      </c>
      <c r="H11" s="51" t="s">
        <v>898</v>
      </c>
      <c r="I11" s="49">
        <v>25</v>
      </c>
      <c r="J11" s="50" t="s">
        <v>899</v>
      </c>
    </row>
    <row r="12" spans="1:10">
      <c r="A12" s="88" t="s">
        <v>901</v>
      </c>
      <c r="B12" s="88" t="s">
        <v>902</v>
      </c>
      <c r="C12" s="46" t="s">
        <v>903</v>
      </c>
      <c r="D12" s="46" t="s">
        <v>904</v>
      </c>
      <c r="E12" s="46" t="s">
        <v>905</v>
      </c>
      <c r="F12" s="51" t="s">
        <v>906</v>
      </c>
      <c r="G12" s="51" t="s">
        <v>1904</v>
      </c>
      <c r="H12" s="51" t="s">
        <v>908</v>
      </c>
      <c r="I12" s="49">
        <v>26</v>
      </c>
      <c r="J12" s="50" t="s">
        <v>909</v>
      </c>
    </row>
    <row r="13" spans="1:10">
      <c r="A13" s="2" t="s">
        <v>910</v>
      </c>
      <c r="B13" s="2" t="s">
        <v>910</v>
      </c>
      <c r="C13" s="2" t="s">
        <v>910</v>
      </c>
      <c r="D13" s="46" t="s">
        <v>911</v>
      </c>
      <c r="E13" s="2" t="s">
        <v>910</v>
      </c>
      <c r="F13" s="2" t="s">
        <v>910</v>
      </c>
      <c r="G13" s="2" t="s">
        <v>910</v>
      </c>
      <c r="H13" s="51" t="s">
        <v>912</v>
      </c>
    </row>
    <row r="14" spans="1:10">
      <c r="A14" s="2"/>
      <c r="B14" s="2"/>
      <c r="C14" s="2"/>
      <c r="D14" s="2"/>
      <c r="E14" s="2"/>
      <c r="F14" s="2"/>
      <c r="G14" s="2"/>
      <c r="H14" s="2"/>
    </row>
    <row r="15" spans="1:10">
      <c r="A15" s="90" t="s">
        <v>913</v>
      </c>
      <c r="B15" s="90" t="s">
        <v>914</v>
      </c>
      <c r="C15" s="55" t="s">
        <v>915</v>
      </c>
      <c r="D15" s="55" t="s">
        <v>916</v>
      </c>
      <c r="E15" s="56" t="s">
        <v>917</v>
      </c>
      <c r="F15" s="56" t="s">
        <v>918</v>
      </c>
      <c r="G15" s="56" t="s">
        <v>919</v>
      </c>
      <c r="H15" s="2"/>
    </row>
    <row r="16" spans="1:10">
      <c r="A16" s="90" t="s">
        <v>1905</v>
      </c>
      <c r="B16" s="90" t="s">
        <v>1906</v>
      </c>
      <c r="C16" s="57" t="s">
        <v>1907</v>
      </c>
      <c r="D16" s="57" t="s">
        <v>1908</v>
      </c>
      <c r="E16" s="58" t="s">
        <v>1909</v>
      </c>
      <c r="F16" s="58" t="s">
        <v>1910</v>
      </c>
      <c r="G16" s="58" t="s">
        <v>1911</v>
      </c>
      <c r="H16" s="2"/>
    </row>
    <row r="17" spans="1:11">
      <c r="A17" s="90" t="s">
        <v>1912</v>
      </c>
      <c r="B17" s="90" t="s">
        <v>1913</v>
      </c>
      <c r="C17" s="57" t="s">
        <v>1914</v>
      </c>
      <c r="D17" s="57" t="s">
        <v>1915</v>
      </c>
      <c r="E17" s="58" t="s">
        <v>1916</v>
      </c>
      <c r="F17" s="58" t="s">
        <v>1917</v>
      </c>
      <c r="G17" s="58" t="s">
        <v>1918</v>
      </c>
      <c r="H17" s="2"/>
    </row>
    <row r="18" spans="1:11">
      <c r="A18" s="90" t="s">
        <v>1919</v>
      </c>
      <c r="B18" s="90" t="s">
        <v>1920</v>
      </c>
      <c r="C18" s="57" t="s">
        <v>1921</v>
      </c>
      <c r="D18" s="57" t="s">
        <v>1922</v>
      </c>
      <c r="E18" s="58" t="str">
        <f>IF(F45="","N3(3rdH)",IF(F45&gt;H45,_xlfn.CONCAT("N3(3rdH)-",RIGHT(E45,LEN(E45) - FIND("-",E45))), _xlfn.CONCAT("N3(3rdH)-",RIGHT(G45,LEN(G45) - FIND("-",G45)))))</f>
        <v>N3(3rdH)-PATRIOT RED</v>
      </c>
      <c r="F18" s="58" t="str">
        <f>IF(F34="","O3(3rdD)",IF(F34&gt;H34,_xlfn.CONCAT("O3(3rdD)-",RIGHT(E34,LEN(E34) - FIND("-",E34))), _xlfn.CONCAT("O3(3rdD)-",RIGHT(G34,LEN(G34) - FIND("-",G34)))))</f>
        <v>O3(3rdD)-AMERICAN RIVER BLUE</v>
      </c>
      <c r="G18" s="58" t="str">
        <f>IF(F34="","P3(4thD)",IF(F34&lt;H34,_xlfn.CONCAT("P3(4thD)-",RIGHT(E34,LEN(E34) - FIND("-",E34))), _xlfn.CONCAT("P3(4thD)-",RIGHT(G34,LEN(G34) - FIND("-",G34)))))</f>
        <v>P3(4thD)-STANFORD BLACK</v>
      </c>
      <c r="H18" s="2"/>
    </row>
    <row r="19" spans="1:11">
      <c r="A19" s="90" t="str">
        <f>IF(F35="","J4(1stD)",IF(F35&gt;H35,_xlfn.CONCAT("J4(1stD)-",RIGHT(E35,LEN(E35) - FIND("-",E35))), _xlfn.CONCAT("J4(1stD)-",RIGHT(G35,LEN(G35) - FIND("-",G35)))))</f>
        <v>J4(1stD)-SAN CLEMENTE RED</v>
      </c>
      <c r="B19" s="90" t="str">
        <f>IF(F46="","K4(1stH)",IF(F46&gt;H46,_xlfn.CONCAT("K4(1stH)-",RIGHT(E46,LEN(E46) - FIND("-",E46))), _xlfn.CONCAT("K4(1stH)-",RIGHT(G46,LEN(G46) - FIND("-",G46)))))</f>
        <v>K4(1stH)-HIELAND</v>
      </c>
      <c r="C19" s="57" t="str">
        <f>IF(F35="","L4(2ndD)",IF(F35&lt;H35,_xlfn.CONCAT("L4(2ndD)-",RIGHT(E35,LEN(E35) - FIND("-",E35))), _xlfn.CONCAT("L4(2ndD)-",RIGHT(G35,LEN(G35) - FIND("-",G35)))))</f>
        <v>L4(2ndD)-PRIDE RED</v>
      </c>
      <c r="D19" s="57" t="str">
        <f>IF(F46="","M4(2ndH)",IF(F46&lt;H46,_xlfn.CONCAT("M4(2ndH)-",RIGHT(E46,LEN(E46) - FIND("-",E46))), _xlfn.CONCAT("M4(2ndH)-",RIGHT(G46,LEN(G46) - FIND("-",G46)))))</f>
        <v>M4(2ndH)-SHAQ WHITE</v>
      </c>
      <c r="E19" s="2"/>
      <c r="F19" s="2"/>
      <c r="G19" s="58" t="str">
        <f>IF(F45="","P4(4thH)",IF(F45&lt;H45,_xlfn.CONCAT("P4(4thH)-",RIGHT(E45,LEN(E45) - FIND("-",E45))), _xlfn.CONCAT("P4(4thH)-",RIGHT(G45,LEN(G45) - FIND("-",G45)))))</f>
        <v>P4(4thH)-SOUTH COAST WHITE (B)</v>
      </c>
      <c r="H19" s="2"/>
    </row>
    <row r="20" spans="1:11">
      <c r="A20" s="2"/>
      <c r="B20" s="2"/>
      <c r="C20" s="2"/>
      <c r="D20" s="2"/>
      <c r="E20" s="2">
        <v>17</v>
      </c>
      <c r="F20" s="2">
        <v>18</v>
      </c>
      <c r="G20" s="2">
        <v>19</v>
      </c>
      <c r="H20" s="2"/>
    </row>
    <row r="21" spans="1:11">
      <c r="A21" s="90" t="s">
        <v>946</v>
      </c>
      <c r="B21" s="90" t="s">
        <v>947</v>
      </c>
      <c r="C21" s="2"/>
      <c r="D21" s="2"/>
      <c r="E21" s="2">
        <v>22</v>
      </c>
      <c r="F21" s="2">
        <v>21</v>
      </c>
      <c r="G21" s="2">
        <v>20</v>
      </c>
      <c r="H21" s="2"/>
    </row>
    <row r="22" spans="1:11">
      <c r="A22" s="90" t="str">
        <f>IF(F60="","Q1(2ndJ)",IF(F60&lt;H60,_xlfn.CONCAT("Q1(2ndJ)-",RIGHT(E60,LEN(E60) - FIND("-",E60))), _xlfn.CONCAT("Q1(2ndJ)-",RIGHT(G60,LEN(G60) - FIND("-",G60)))))</f>
        <v>Q1(2ndJ)-NORTHWEST</v>
      </c>
      <c r="B22" s="90" t="str">
        <f>IF(F60="","R1(1stJ)",IF(F60&gt;H60,_xlfn.CONCAT("R1(1stJ)-",RIGHT(E60,LEN(E60) - FIND("-",E60))), _xlfn.CONCAT("R1(1stJ)-",RIGHT(G60,LEN(G60) - FIND("-",G60)))))</f>
        <v>R1(1stJ)-SHORE AQUATICS</v>
      </c>
      <c r="C22" s="2"/>
      <c r="D22" s="2"/>
      <c r="E22" s="2">
        <v>23</v>
      </c>
      <c r="F22" s="2">
        <v>24</v>
      </c>
      <c r="G22" s="2">
        <v>25</v>
      </c>
      <c r="H22" s="2"/>
    </row>
    <row r="23" spans="1:11">
      <c r="A23" s="90" t="str">
        <f>IF(F61="","Q2(2ndK)",IF(F61&lt;H61,_xlfn.CONCAT("Q2(2ndK)-",RIGHT(E61,LEN(E61) - FIND("-",E61))), _xlfn.CONCAT("Q2(2ndK)-",RIGHT(G61,LEN(G61) - FIND("-",G61)))))</f>
        <v>Q2(2ndK)-VANGUARD SILVER</v>
      </c>
      <c r="B23" s="90" t="str">
        <f>IF(F61="","R2(1stK)",IF(F61&gt;H61,_xlfn.CONCAT("R2(1stK)-",RIGHT(E61,LEN(E61) - FIND("-",E61))), _xlfn.CONCAT("R2(1stK)-",RIGHT(G61,LEN(G61) - FIND("-",G61)))))</f>
        <v>R2(1stK)-MISSION WPC B</v>
      </c>
      <c r="C23" s="2"/>
      <c r="D23" s="2"/>
      <c r="E23" s="2"/>
      <c r="F23" s="2"/>
      <c r="G23" s="2">
        <v>26</v>
      </c>
      <c r="H23" s="2"/>
    </row>
    <row r="24" spans="1:11">
      <c r="A24" s="2"/>
      <c r="B24" s="2"/>
      <c r="C24" s="2"/>
      <c r="D24" s="2"/>
    </row>
    <row r="25" spans="1:11" s="121" customFormat="1" ht="18.75">
      <c r="A25" s="129" t="s">
        <v>1240</v>
      </c>
      <c r="B25" s="130" t="s">
        <v>1241</v>
      </c>
      <c r="C25" s="129" t="s">
        <v>1242</v>
      </c>
      <c r="D25" s="129" t="s">
        <v>1243</v>
      </c>
      <c r="E25" s="129" t="s">
        <v>1244</v>
      </c>
      <c r="F25" s="129" t="s">
        <v>1245</v>
      </c>
      <c r="G25" s="129" t="s">
        <v>1246</v>
      </c>
      <c r="H25" s="129" t="s">
        <v>1245</v>
      </c>
      <c r="I25" s="129" t="s">
        <v>11</v>
      </c>
      <c r="J25" s="129" t="s">
        <v>1180</v>
      </c>
      <c r="K25" s="2"/>
    </row>
    <row r="26" spans="1:11">
      <c r="A26" s="232">
        <v>46053</v>
      </c>
      <c r="B26" s="231">
        <f>CHICLETS!F6</f>
        <v>0.3263888888888889</v>
      </c>
      <c r="C26" s="98" t="str">
        <f>CHICLETS!$K$4</f>
        <v>COSTA MESA HS 1</v>
      </c>
      <c r="D26" s="98" t="s">
        <v>1923</v>
      </c>
      <c r="E26" s="229" t="str">
        <f>A10</f>
        <v>A1(1)-HONOLULU BLUE</v>
      </c>
      <c r="F26" s="229">
        <v>2</v>
      </c>
      <c r="G26" s="229" t="str">
        <f>A11</f>
        <v>A2(16)-SHORE AQUATICS</v>
      </c>
      <c r="H26" s="229">
        <v>14</v>
      </c>
      <c r="I26" s="98" t="s">
        <v>1269</v>
      </c>
      <c r="J26" s="229" t="s">
        <v>871</v>
      </c>
    </row>
    <row r="27" spans="1:11">
      <c r="A27" s="232">
        <v>46053</v>
      </c>
      <c r="B27" s="231">
        <f>CHICLETS!F7</f>
        <v>0.36111111111111099</v>
      </c>
      <c r="C27" s="98" t="str">
        <f>CHICLETS!$K$4</f>
        <v>COSTA MESA HS 1</v>
      </c>
      <c r="D27" s="98" t="s">
        <v>1924</v>
      </c>
      <c r="E27" s="229" t="str">
        <f>B10</f>
        <v>B1(4)-DAVIS</v>
      </c>
      <c r="F27" s="229">
        <v>18</v>
      </c>
      <c r="G27" s="229" t="str">
        <f>B12</f>
        <v>B3(20)-LA JOLLA UNITED GOLD</v>
      </c>
      <c r="H27" s="229">
        <v>7</v>
      </c>
      <c r="I27" s="98" t="s">
        <v>1252</v>
      </c>
      <c r="J27" s="229" t="s">
        <v>871</v>
      </c>
    </row>
    <row r="28" spans="1:11">
      <c r="A28" s="232">
        <v>46053</v>
      </c>
      <c r="B28" s="231">
        <f>CHICLETS!F8</f>
        <v>0.39583333333333398</v>
      </c>
      <c r="C28" s="98" t="str">
        <f>CHICLETS!$K$4</f>
        <v>COSTA MESA HS 1</v>
      </c>
      <c r="D28" s="98" t="s">
        <v>1925</v>
      </c>
      <c r="E28" s="98" t="str">
        <f>C10</f>
        <v>C1(5)-LAWPC</v>
      </c>
      <c r="F28" s="98">
        <v>14</v>
      </c>
      <c r="G28" s="98" t="str">
        <f>C12</f>
        <v>C3(21)-STANFORD 13</v>
      </c>
      <c r="H28" s="98">
        <v>6</v>
      </c>
      <c r="I28" s="98" t="s">
        <v>1254</v>
      </c>
      <c r="J28" s="229" t="s">
        <v>871</v>
      </c>
    </row>
    <row r="29" spans="1:11">
      <c r="A29" s="232">
        <v>46053</v>
      </c>
      <c r="B29" s="231">
        <f>CHICLETS!F9</f>
        <v>0.43055555555555602</v>
      </c>
      <c r="C29" s="98" t="str">
        <f>CHICLETS!$K$4</f>
        <v>COSTA MESA HS 1</v>
      </c>
      <c r="D29" s="98" t="s">
        <v>1926</v>
      </c>
      <c r="E29" s="229" t="str">
        <f>D10</f>
        <v>8-SAN CLEMENTE RED</v>
      </c>
      <c r="F29" s="229">
        <v>13</v>
      </c>
      <c r="G29" s="229" t="str">
        <f>D13</f>
        <v>25-AMERICAN RIVER BLUE</v>
      </c>
      <c r="H29" s="229">
        <v>4</v>
      </c>
      <c r="I29" s="98" t="s">
        <v>1482</v>
      </c>
      <c r="J29" s="229" t="s">
        <v>871</v>
      </c>
    </row>
    <row r="30" spans="1:11">
      <c r="A30" s="232">
        <v>46053</v>
      </c>
      <c r="B30" s="231">
        <f>CHICLETS!F10</f>
        <v>0.46527777777777801</v>
      </c>
      <c r="C30" s="98" t="str">
        <f>CHICLETS!$K$4</f>
        <v>COSTA MESA HS 1</v>
      </c>
      <c r="D30" s="98" t="s">
        <v>1927</v>
      </c>
      <c r="E30" s="229" t="str">
        <f>D11</f>
        <v>9-STANFORD BLACK</v>
      </c>
      <c r="F30" s="229">
        <v>6</v>
      </c>
      <c r="G30" s="229" t="str">
        <f>D12</f>
        <v>24-PRIDE RED</v>
      </c>
      <c r="H30" s="229">
        <v>12</v>
      </c>
      <c r="I30" s="98" t="s">
        <v>1484</v>
      </c>
      <c r="J30" s="229" t="s">
        <v>871</v>
      </c>
    </row>
    <row r="31" spans="1:11">
      <c r="A31" s="232">
        <v>46053</v>
      </c>
      <c r="B31" s="231">
        <f>CHICLETS!F11</f>
        <v>0.5</v>
      </c>
      <c r="C31" s="98" t="str">
        <f>CHICLETS!$K$4</f>
        <v>COSTA MESA HS 1</v>
      </c>
      <c r="D31" s="98" t="s">
        <v>1928</v>
      </c>
      <c r="E31" s="229" t="str">
        <f>A11</f>
        <v>A2(16)-SHORE AQUATICS</v>
      </c>
      <c r="F31" s="229">
        <v>17</v>
      </c>
      <c r="G31" s="229" t="str">
        <f>A12</f>
        <v>A3(17)-NORTH IRVINE RED</v>
      </c>
      <c r="H31" s="229">
        <v>1</v>
      </c>
      <c r="I31" s="98" t="s">
        <v>1261</v>
      </c>
      <c r="J31" s="229" t="s">
        <v>871</v>
      </c>
    </row>
    <row r="32" spans="1:11">
      <c r="A32" s="232">
        <v>46053</v>
      </c>
      <c r="B32" s="231">
        <f>CHICLETS!F12</f>
        <v>0.53472222222222199</v>
      </c>
      <c r="C32" s="98" t="str">
        <f>CHICLETS!$K$4</f>
        <v>COSTA MESA HS 1</v>
      </c>
      <c r="D32" s="98" t="s">
        <v>1929</v>
      </c>
      <c r="E32" s="98" t="str">
        <f>B11</f>
        <v>B2(13)-BACK BAY</v>
      </c>
      <c r="F32" s="98">
        <v>18</v>
      </c>
      <c r="G32" s="98" t="str">
        <f>B12</f>
        <v>B3(20)-LA JOLLA UNITED GOLD</v>
      </c>
      <c r="H32" s="98">
        <v>8</v>
      </c>
      <c r="I32" s="98" t="s">
        <v>1263</v>
      </c>
      <c r="J32" s="229" t="s">
        <v>871</v>
      </c>
    </row>
    <row r="33" spans="1:10">
      <c r="A33" s="232">
        <v>46053</v>
      </c>
      <c r="B33" s="231">
        <f>CHICLETS!F13</f>
        <v>0.56944444444444497</v>
      </c>
      <c r="C33" s="98" t="str">
        <f>CHICLETS!$K$4</f>
        <v>COSTA MESA HS 1</v>
      </c>
      <c r="D33" s="98" t="s">
        <v>1930</v>
      </c>
      <c r="E33" s="229" t="str">
        <f>C10</f>
        <v>C1(5)-LAWPC</v>
      </c>
      <c r="F33" s="229">
        <v>10</v>
      </c>
      <c r="G33" s="229" t="str">
        <f>C11</f>
        <v>C2(12)-NORTHWEST</v>
      </c>
      <c r="H33" s="229">
        <v>11</v>
      </c>
      <c r="I33" s="98" t="s">
        <v>1275</v>
      </c>
      <c r="J33" s="229" t="s">
        <v>871</v>
      </c>
    </row>
    <row r="34" spans="1:10">
      <c r="A34" s="232">
        <v>46053</v>
      </c>
      <c r="B34" s="231">
        <f>CHICLETS!F14</f>
        <v>0.60416666666666696</v>
      </c>
      <c r="C34" s="98" t="str">
        <f>CHICLETS!$K$4</f>
        <v>COSTA MESA HS 1</v>
      </c>
      <c r="D34" s="98" t="s">
        <v>1931</v>
      </c>
      <c r="E34" s="98" t="str">
        <f>IF(F29="","L#2-",IF(F29&lt;H29,_xlfn.CONCAT("L#2-",RIGHT(E29,LEN(E29) - FIND("-",E29))), _xlfn.CONCAT("L#2-",RIGHT(G29,LEN(G29) - FIND("-",G29)))))</f>
        <v>L#2-AMERICAN RIVER BLUE</v>
      </c>
      <c r="F34" s="98">
        <v>10</v>
      </c>
      <c r="G34" s="98" t="str">
        <f>IF(F30="","L#3-",IF(F30&lt;H30,_xlfn.CONCAT("L#3-",RIGHT(E30,LEN(E30) - FIND("-",E30))), _xlfn.CONCAT("L#3-",RIGHT(G30,LEN(G30) - FIND("-",G30)))))</f>
        <v>L#3-STANFORD BLACK</v>
      </c>
      <c r="H34" s="229">
        <v>4</v>
      </c>
      <c r="I34" s="98" t="s">
        <v>1932</v>
      </c>
      <c r="J34" s="229" t="s">
        <v>871</v>
      </c>
    </row>
    <row r="35" spans="1:10">
      <c r="A35" s="232">
        <v>46053</v>
      </c>
      <c r="B35" s="231">
        <f>CHICLETS!F15</f>
        <v>0.63888888888888895</v>
      </c>
      <c r="C35" s="98" t="str">
        <f>CHICLETS!$K$4</f>
        <v>COSTA MESA HS 1</v>
      </c>
      <c r="D35" s="98" t="s">
        <v>1933</v>
      </c>
      <c r="E35" s="98" t="str">
        <f>IF(F29="","W#2-",IF(F29&gt;H29,_xlfn.CONCAT("W#2-",RIGHT(E29,LEN(E29) - FIND("-",E29))), _xlfn.CONCAT("W#2-",RIGHT(G29,LEN(G29) - FIND("-",G29)))))</f>
        <v>W#2-SAN CLEMENTE RED</v>
      </c>
      <c r="F35" s="98">
        <v>13</v>
      </c>
      <c r="G35" s="98" t="str">
        <f>IF(F30="","W#3-",IF(F30&gt;H30,_xlfn.CONCAT("W#3-",RIGHT(E30,LEN(E30) - FIND("-",E30))), _xlfn.CONCAT("W#3-",RIGHT(G30,LEN(G30) - FIND("-",G30)))))</f>
        <v>W#3-PRIDE RED</v>
      </c>
      <c r="H35" s="229">
        <v>7</v>
      </c>
      <c r="I35" s="98" t="s">
        <v>1934</v>
      </c>
      <c r="J35" s="229" t="s">
        <v>871</v>
      </c>
    </row>
    <row r="36" spans="1:10">
      <c r="A36" s="232">
        <v>46053</v>
      </c>
      <c r="B36" s="231">
        <f>CHICLETS!F16</f>
        <v>0.67361111111111105</v>
      </c>
      <c r="C36" s="98" t="str">
        <f>CHICLETS!$K$4</f>
        <v>COSTA MESA HS 1</v>
      </c>
      <c r="D36" s="98" t="s">
        <v>1935</v>
      </c>
      <c r="E36" s="229" t="str">
        <f>A10</f>
        <v>A1(1)-HONOLULU BLUE</v>
      </c>
      <c r="F36" s="229">
        <v>10.3</v>
      </c>
      <c r="G36" s="229" t="str">
        <f>A12</f>
        <v>A3(17)-NORTH IRVINE RED</v>
      </c>
      <c r="H36" s="229">
        <v>10.4</v>
      </c>
      <c r="I36" s="98" t="s">
        <v>1250</v>
      </c>
      <c r="J36" s="229" t="s">
        <v>871</v>
      </c>
    </row>
    <row r="37" spans="1:10">
      <c r="A37" s="232">
        <v>46053</v>
      </c>
      <c r="B37" s="231">
        <f>CHICLETS!F17</f>
        <v>0.70833333333333404</v>
      </c>
      <c r="C37" s="98" t="str">
        <f>CHICLETS!$K$4</f>
        <v>COSTA MESA HS 1</v>
      </c>
      <c r="D37" s="98" t="s">
        <v>1936</v>
      </c>
      <c r="E37" s="98" t="str">
        <f>B10</f>
        <v>B1(4)-DAVIS</v>
      </c>
      <c r="F37" s="98">
        <v>4</v>
      </c>
      <c r="G37" s="98" t="str">
        <f>B11</f>
        <v>B2(13)-BACK BAY</v>
      </c>
      <c r="H37" s="98">
        <v>11</v>
      </c>
      <c r="I37" s="98" t="s">
        <v>1272</v>
      </c>
      <c r="J37" s="229" t="s">
        <v>871</v>
      </c>
    </row>
    <row r="38" spans="1:10">
      <c r="A38" s="232">
        <v>46053</v>
      </c>
      <c r="B38" s="231">
        <f>CHICLETS!F18</f>
        <v>0.74305555555555602</v>
      </c>
      <c r="C38" s="98" t="str">
        <f>CHICLETS!$K$4</f>
        <v>COSTA MESA HS 1</v>
      </c>
      <c r="D38" s="98" t="s">
        <v>1937</v>
      </c>
      <c r="E38" s="229" t="str">
        <f>C11</f>
        <v>C2(12)-NORTHWEST</v>
      </c>
      <c r="F38" s="229">
        <v>9</v>
      </c>
      <c r="G38" s="229" t="str">
        <f>C12</f>
        <v>C3(21)-STANFORD 13</v>
      </c>
      <c r="H38" s="229">
        <v>7</v>
      </c>
      <c r="I38" s="98" t="s">
        <v>1265</v>
      </c>
      <c r="J38" s="229" t="s">
        <v>871</v>
      </c>
    </row>
    <row r="39" spans="1:10">
      <c r="A39" s="166"/>
      <c r="B39" s="167"/>
      <c r="C39" s="2"/>
      <c r="J39" s="31"/>
    </row>
    <row r="40" spans="1:10">
      <c r="A40" s="232">
        <v>46053</v>
      </c>
      <c r="B40" s="231">
        <f>CHICLETS!F5</f>
        <v>0.29166666666666669</v>
      </c>
      <c r="C40" s="98" t="str">
        <f>CHICLETS!$T$4</f>
        <v>ESPERANZA HS</v>
      </c>
      <c r="D40" s="98" t="s">
        <v>1938</v>
      </c>
      <c r="E40" s="229" t="str">
        <f>H10</f>
        <v>7-HIELAND</v>
      </c>
      <c r="F40" s="229">
        <v>11.6</v>
      </c>
      <c r="G40" s="229" t="str">
        <f>H13</f>
        <v>26-SOUTH COAST WHITE (B)</v>
      </c>
      <c r="H40" s="229">
        <v>11.5</v>
      </c>
      <c r="I40" s="98" t="s">
        <v>1939</v>
      </c>
      <c r="J40" s="229" t="s">
        <v>871</v>
      </c>
    </row>
    <row r="41" spans="1:10">
      <c r="A41" s="232">
        <v>46053</v>
      </c>
      <c r="B41" s="231">
        <f>CHICLETS!F6</f>
        <v>0.3263888888888889</v>
      </c>
      <c r="C41" s="98" t="str">
        <f>CHICLETS!$T$4</f>
        <v>ESPERANZA HS</v>
      </c>
      <c r="D41" s="98" t="s">
        <v>1940</v>
      </c>
      <c r="E41" s="229" t="str">
        <f>H11</f>
        <v>10-SHAQ WHITE</v>
      </c>
      <c r="F41" s="229">
        <v>8.3000000000000007</v>
      </c>
      <c r="G41" s="229" t="str">
        <f>H12</f>
        <v>23-PATRIOT RED</v>
      </c>
      <c r="H41" s="229">
        <v>8.1999999999999993</v>
      </c>
      <c r="I41" s="98" t="s">
        <v>1941</v>
      </c>
      <c r="J41" s="229" t="s">
        <v>871</v>
      </c>
    </row>
    <row r="42" spans="1:10">
      <c r="A42" s="232">
        <v>46053</v>
      </c>
      <c r="B42" s="231">
        <f>CHICLETS!F6</f>
        <v>0.3263888888888889</v>
      </c>
      <c r="C42" s="98" t="str">
        <f>CHICLETS!$Q$4</f>
        <v>ESTANCIA HS 2</v>
      </c>
      <c r="D42" s="98" t="s">
        <v>1942</v>
      </c>
      <c r="E42" s="229" t="str">
        <f>G10</f>
        <v>G1(6)-SD ECA</v>
      </c>
      <c r="F42" s="229">
        <v>8</v>
      </c>
      <c r="G42" s="229" t="str">
        <f>G12</f>
        <v>G3(22)-VANGUARD SILVER</v>
      </c>
      <c r="H42" s="229">
        <v>13</v>
      </c>
      <c r="I42" s="98" t="s">
        <v>1510</v>
      </c>
      <c r="J42" s="229" t="s">
        <v>871</v>
      </c>
    </row>
    <row r="43" spans="1:10">
      <c r="A43" s="232">
        <v>46053</v>
      </c>
      <c r="B43" s="231">
        <f>CHICLETS!F7</f>
        <v>0.36111111111111099</v>
      </c>
      <c r="C43" s="98" t="str">
        <f>CHICLETS!$Q$4</f>
        <v>ESTANCIA HS 2</v>
      </c>
      <c r="D43" s="98" t="s">
        <v>1943</v>
      </c>
      <c r="E43" s="229" t="str">
        <f>E10</f>
        <v>E1(2)-FOOTHILL RED</v>
      </c>
      <c r="F43" s="229">
        <v>10.6</v>
      </c>
      <c r="G43" s="229" t="str">
        <f>E12</f>
        <v>E3(18)-CC UNITED BLUE</v>
      </c>
      <c r="H43" s="229">
        <v>10.7</v>
      </c>
      <c r="I43" s="98" t="s">
        <v>1555</v>
      </c>
      <c r="J43" s="229" t="s">
        <v>871</v>
      </c>
    </row>
    <row r="44" spans="1:10">
      <c r="A44" s="232">
        <v>46053</v>
      </c>
      <c r="B44" s="231">
        <f>CHICLETS!F8</f>
        <v>0.39583333333333398</v>
      </c>
      <c r="C44" s="98" t="str">
        <f>CHICLETS!$Q$4</f>
        <v>ESTANCIA HS 2</v>
      </c>
      <c r="D44" s="98" t="s">
        <v>1944</v>
      </c>
      <c r="E44" s="98" t="str">
        <f>F11</f>
        <v>F2(14)-BOA</v>
      </c>
      <c r="F44" s="98">
        <v>6</v>
      </c>
      <c r="G44" s="98" t="str">
        <f>F12</f>
        <v>F3(19)-680 BLUE</v>
      </c>
      <c r="H44" s="98">
        <v>17</v>
      </c>
      <c r="I44" s="98" t="s">
        <v>1566</v>
      </c>
      <c r="J44" s="229" t="s">
        <v>871</v>
      </c>
    </row>
    <row r="45" spans="1:10">
      <c r="A45" s="232">
        <v>46053</v>
      </c>
      <c r="B45" s="231">
        <f>CHICLETS!F9</f>
        <v>0.43055555555555602</v>
      </c>
      <c r="C45" s="98" t="str">
        <f>CHICLETS!$Q$4</f>
        <v>ESTANCIA HS 2</v>
      </c>
      <c r="D45" s="98" t="s">
        <v>1945</v>
      </c>
      <c r="E45" s="229" t="str">
        <f>IF(F40="","L#15",IF(F40&lt;H40,_xlfn.CONCAT("L#15-",RIGHT(E40,LEN(E40) - FIND("-",E40))), _xlfn.CONCAT("L#15-",RIGHT(G40,LEN(G40) - FIND("-",G40)))))</f>
        <v>L#15-SOUTH COAST WHITE (B)</v>
      </c>
      <c r="F45" s="229">
        <v>7</v>
      </c>
      <c r="G45" s="229" t="str">
        <f>IF(F41="","L#16",IF(F41&lt;H41,_xlfn.CONCAT("L#16-",RIGHT(E41,LEN(E41) - FIND("-",E41))), _xlfn.CONCAT("L#16-",RIGHT(G41,LEN(G41) - FIND("-",G41)))))</f>
        <v>L#16-PATRIOT RED</v>
      </c>
      <c r="H45" s="229">
        <v>8</v>
      </c>
      <c r="I45" s="98" t="s">
        <v>1946</v>
      </c>
      <c r="J45" s="229" t="s">
        <v>871</v>
      </c>
    </row>
    <row r="46" spans="1:10">
      <c r="A46" s="232">
        <v>46053</v>
      </c>
      <c r="B46" s="231">
        <f>CHICLETS!F10</f>
        <v>0.46527777777777801</v>
      </c>
      <c r="C46" s="98" t="str">
        <f>CHICLETS!$Q$4</f>
        <v>ESTANCIA HS 2</v>
      </c>
      <c r="D46" s="98" t="s">
        <v>1947</v>
      </c>
      <c r="E46" s="229" t="str">
        <f>IF(F40="","W#15",IF(F40&gt;H40,_xlfn.CONCAT("W#15-",RIGHT(E40,LEN(E40) - FIND("-",E40))), _xlfn.CONCAT("W#15-",RIGHT(G40,LEN(G40) - FIND("-",G40)))))</f>
        <v>W#15-HIELAND</v>
      </c>
      <c r="F46" s="229">
        <v>16</v>
      </c>
      <c r="G46" s="229" t="str">
        <f>IF(F41="","W#16",IF(F41&gt;H41,_xlfn.CONCAT("W#16-",RIGHT(E41,LEN(E41) - FIND("-",E41))), _xlfn.CONCAT("W#16-",RIGHT(G41,LEN(G41) - FIND("-",G41)))))</f>
        <v>W#16-SHAQ WHITE</v>
      </c>
      <c r="H46" s="229">
        <v>10</v>
      </c>
      <c r="I46" s="98" t="s">
        <v>1948</v>
      </c>
      <c r="J46" s="229" t="s">
        <v>871</v>
      </c>
    </row>
    <row r="47" spans="1:10">
      <c r="A47" s="232">
        <v>46053</v>
      </c>
      <c r="B47" s="231">
        <f>CHICLETS!F11</f>
        <v>0.5</v>
      </c>
      <c r="C47" s="98" t="str">
        <f>CHICLETS!$Q$4</f>
        <v>ESTANCIA HS 2</v>
      </c>
      <c r="D47" s="98" t="s">
        <v>1949</v>
      </c>
      <c r="E47" s="229" t="str">
        <f>G10</f>
        <v>G1(6)-SD ECA</v>
      </c>
      <c r="F47" s="229">
        <v>10</v>
      </c>
      <c r="G47" s="229" t="str">
        <f>G11</f>
        <v>G2(11)-LAMORINDA B</v>
      </c>
      <c r="H47" s="229">
        <v>12</v>
      </c>
      <c r="I47" s="98" t="s">
        <v>1557</v>
      </c>
      <c r="J47" s="229" t="s">
        <v>871</v>
      </c>
    </row>
    <row r="48" spans="1:10">
      <c r="A48" s="232">
        <v>46053</v>
      </c>
      <c r="B48" s="231">
        <f>CHICLETS!F12</f>
        <v>0.53472222222222199</v>
      </c>
      <c r="C48" s="98" t="str">
        <f>CHICLETS!$Q$4</f>
        <v>ESTANCIA HS 2</v>
      </c>
      <c r="D48" s="98" t="s">
        <v>1950</v>
      </c>
      <c r="E48" s="98" t="str">
        <f>E11</f>
        <v>E2(15)-MISSION WPC B</v>
      </c>
      <c r="F48" s="98">
        <v>12</v>
      </c>
      <c r="G48" s="98" t="str">
        <f>E12</f>
        <v>E3(18)-CC UNITED BLUE</v>
      </c>
      <c r="H48" s="98">
        <v>6</v>
      </c>
      <c r="I48" s="98" t="s">
        <v>1562</v>
      </c>
      <c r="J48" s="229" t="s">
        <v>871</v>
      </c>
    </row>
    <row r="49" spans="1:10">
      <c r="A49" s="232">
        <v>46053</v>
      </c>
      <c r="B49" s="231">
        <f>CHICLETS!F13</f>
        <v>0.56944444444444497</v>
      </c>
      <c r="C49" s="98" t="str">
        <f>CHICLETS!$Q$4</f>
        <v>ESTANCIA HS 2</v>
      </c>
      <c r="D49" s="98" t="s">
        <v>1951</v>
      </c>
      <c r="E49" s="229" t="str">
        <f>F10</f>
        <v>F1(3)-CT PREMIER</v>
      </c>
      <c r="F49" s="229">
        <v>19</v>
      </c>
      <c r="G49" s="229" t="str">
        <f>F11</f>
        <v>F2(14)-BOA</v>
      </c>
      <c r="H49" s="229">
        <v>8</v>
      </c>
      <c r="I49" s="98" t="s">
        <v>1572</v>
      </c>
      <c r="J49" s="229" t="s">
        <v>871</v>
      </c>
    </row>
    <row r="50" spans="1:10">
      <c r="A50" s="232">
        <v>46053</v>
      </c>
      <c r="B50" s="231">
        <f>CHICLETS!F14</f>
        <v>0.60416666666666696</v>
      </c>
      <c r="C50" s="98" t="str">
        <f>CHICLETS!$Q$4</f>
        <v>ESTANCIA HS 2</v>
      </c>
      <c r="D50" s="98" t="s">
        <v>1952</v>
      </c>
      <c r="E50" s="229" t="str">
        <f>G11</f>
        <v>G2(11)-LAMORINDA B</v>
      </c>
      <c r="F50" s="229">
        <v>9</v>
      </c>
      <c r="G50" s="229" t="str">
        <f>G12</f>
        <v>G3(22)-VANGUARD SILVER</v>
      </c>
      <c r="H50" s="229">
        <v>10</v>
      </c>
      <c r="I50" s="98" t="s">
        <v>1516</v>
      </c>
      <c r="J50" s="229" t="s">
        <v>871</v>
      </c>
    </row>
    <row r="51" spans="1:10">
      <c r="A51" s="232">
        <v>46053</v>
      </c>
      <c r="B51" s="231">
        <f>CHICLETS!F15</f>
        <v>0.63888888888888895</v>
      </c>
      <c r="C51" s="98" t="str">
        <f>CHICLETS!$Q$4</f>
        <v>ESTANCIA HS 2</v>
      </c>
      <c r="D51" s="98" t="s">
        <v>1953</v>
      </c>
      <c r="E51" s="98" t="str">
        <f>E10</f>
        <v>E1(2)-FOOTHILL RED</v>
      </c>
      <c r="F51" s="98">
        <v>9</v>
      </c>
      <c r="G51" s="98" t="str">
        <f>E11</f>
        <v>E2(15)-MISSION WPC B</v>
      </c>
      <c r="H51" s="98">
        <v>16</v>
      </c>
      <c r="I51" s="98" t="s">
        <v>1568</v>
      </c>
      <c r="J51" s="229" t="s">
        <v>871</v>
      </c>
    </row>
    <row r="52" spans="1:10">
      <c r="A52" s="232">
        <v>46053</v>
      </c>
      <c r="B52" s="231">
        <f>CHICLETS!F16</f>
        <v>0.67361111111111105</v>
      </c>
      <c r="C52" s="98" t="str">
        <f>CHICLETS!$Q$4</f>
        <v>ESTANCIA HS 2</v>
      </c>
      <c r="D52" s="98" t="s">
        <v>1954</v>
      </c>
      <c r="E52" s="229" t="str">
        <f>F10</f>
        <v>F1(3)-CT PREMIER</v>
      </c>
      <c r="F52" s="229">
        <v>9</v>
      </c>
      <c r="G52" s="229" t="str">
        <f>F12</f>
        <v>F3(19)-680 BLUE</v>
      </c>
      <c r="H52" s="229">
        <v>11</v>
      </c>
      <c r="I52" s="98" t="s">
        <v>1560</v>
      </c>
      <c r="J52" s="229" t="s">
        <v>871</v>
      </c>
    </row>
    <row r="53" spans="1:10">
      <c r="A53" s="166"/>
      <c r="B53" s="167"/>
      <c r="C53" s="2"/>
    </row>
    <row r="54" spans="1:10">
      <c r="A54" s="185"/>
      <c r="B54" s="184"/>
      <c r="C54" s="4"/>
      <c r="D54" s="182"/>
      <c r="E54" s="182"/>
      <c r="F54" s="182"/>
      <c r="G54" s="182"/>
      <c r="H54" s="182"/>
      <c r="I54" s="182"/>
      <c r="J54" s="182"/>
    </row>
    <row r="55" spans="1:10">
      <c r="A55" s="181"/>
      <c r="B55" s="165"/>
      <c r="C55" s="8"/>
      <c r="D55" s="165"/>
      <c r="E55" s="165"/>
      <c r="F55" s="165"/>
      <c r="G55" s="165"/>
      <c r="H55" s="165"/>
      <c r="I55" s="165"/>
      <c r="J55" s="165"/>
    </row>
    <row r="56" spans="1:10">
      <c r="A56" s="232">
        <v>46054</v>
      </c>
      <c r="B56" s="231">
        <f>CHICLETS!F28</f>
        <v>0.3263888888888889</v>
      </c>
      <c r="C56" s="98" t="str">
        <f>CHICLETS!$Q$26</f>
        <v>ESTANCIA HS 2</v>
      </c>
      <c r="D56" s="98" t="s">
        <v>1955</v>
      </c>
      <c r="E56" s="229" t="str">
        <f>A16</f>
        <v>J1(1stA)-SHORE AQUATICS</v>
      </c>
      <c r="F56" s="229">
        <v>10</v>
      </c>
      <c r="G56" s="229" t="str">
        <f>A19</f>
        <v>J4(1stD)-SAN CLEMENTE RED</v>
      </c>
      <c r="H56" s="229">
        <v>9</v>
      </c>
      <c r="I56" s="98" t="s">
        <v>1956</v>
      </c>
      <c r="J56" s="229" t="s">
        <v>871</v>
      </c>
    </row>
    <row r="57" spans="1:10">
      <c r="A57" s="232">
        <v>46054</v>
      </c>
      <c r="B57" s="231">
        <f>CHICLETS!F29</f>
        <v>0.36111111111111099</v>
      </c>
      <c r="C57" s="98" t="str">
        <f>CHICLETS!$Q$26</f>
        <v>ESTANCIA HS 2</v>
      </c>
      <c r="D57" s="98" t="s">
        <v>1957</v>
      </c>
      <c r="E57" s="229" t="str">
        <f>A17</f>
        <v>J2(1stB)-BACK BAY</v>
      </c>
      <c r="F57" s="229">
        <v>8</v>
      </c>
      <c r="G57" s="229" t="str">
        <f>A18</f>
        <v>J3(1stC)-NORTHWEST</v>
      </c>
      <c r="H57" s="229">
        <v>10</v>
      </c>
      <c r="I57" s="98" t="s">
        <v>1956</v>
      </c>
      <c r="J57" s="229" t="s">
        <v>871</v>
      </c>
    </row>
    <row r="58" spans="1:10">
      <c r="A58" s="232">
        <v>46054</v>
      </c>
      <c r="B58" s="231">
        <f>CHICLETS!F30</f>
        <v>0.39583333333333398</v>
      </c>
      <c r="C58" s="98" t="str">
        <f>CHICLETS!$Q$26</f>
        <v>ESTANCIA HS 2</v>
      </c>
      <c r="D58" s="98" t="s">
        <v>1958</v>
      </c>
      <c r="E58" s="98" t="str">
        <f>B16</f>
        <v>K1(1stE)-MISSION WPC B</v>
      </c>
      <c r="F58" s="98">
        <v>16</v>
      </c>
      <c r="G58" s="98" t="str">
        <f>B19</f>
        <v>K4(1stH)-HIELAND</v>
      </c>
      <c r="H58" s="98">
        <v>9</v>
      </c>
      <c r="I58" s="98" t="s">
        <v>1956</v>
      </c>
      <c r="J58" s="229" t="s">
        <v>871</v>
      </c>
    </row>
    <row r="59" spans="1:10">
      <c r="A59" s="232">
        <v>46054</v>
      </c>
      <c r="B59" s="231">
        <f>CHICLETS!F31</f>
        <v>0.43055555555555602</v>
      </c>
      <c r="C59" s="98" t="str">
        <f>CHICLETS!$Q$26</f>
        <v>ESTANCIA HS 2</v>
      </c>
      <c r="D59" s="98" t="s">
        <v>1959</v>
      </c>
      <c r="E59" s="229" t="str">
        <f>B17</f>
        <v>K2(1stF)-680 BLUE</v>
      </c>
      <c r="F59" s="229">
        <v>12</v>
      </c>
      <c r="G59" s="230" t="str">
        <f>B18</f>
        <v>K3(1stG)-VANGUARD SILVER</v>
      </c>
      <c r="H59" s="229">
        <v>15</v>
      </c>
      <c r="I59" s="98" t="s">
        <v>1956</v>
      </c>
      <c r="J59" s="229" t="s">
        <v>871</v>
      </c>
    </row>
    <row r="60" spans="1:10">
      <c r="A60" s="232">
        <v>46054</v>
      </c>
      <c r="B60" s="231">
        <f>CHICLETS!F32</f>
        <v>0.46527777777777801</v>
      </c>
      <c r="C60" s="98" t="str">
        <f>CHICLETS!$Q$26</f>
        <v>ESTANCIA HS 2</v>
      </c>
      <c r="D60" s="98" t="s">
        <v>1960</v>
      </c>
      <c r="E60" s="229" t="str">
        <f>IF(F56="","W#27",IF(F56&gt;H56,_xlfn.CONCAT("W#27-",RIGHT(E56,LEN(E56) - FIND("-",E56))), _xlfn.CONCAT("W#27-",RIGHT(G56,LEN(G56) - FIND("-",G56)))))</f>
        <v>W#27-SHORE AQUATICS</v>
      </c>
      <c r="F60" s="229">
        <v>14</v>
      </c>
      <c r="G60" s="229" t="str">
        <f>IF(F57="","W#28",IF(F57&gt;H57,_xlfn.CONCAT("W#28-",RIGHT(E57,LEN(E57) - FIND("-",E57))), _xlfn.CONCAT("W#28-",RIGHT(G57,LEN(G57) - FIND("-",G57)))))</f>
        <v>W#28-NORTHWEST</v>
      </c>
      <c r="H60" s="229">
        <v>3</v>
      </c>
      <c r="I60" s="98" t="s">
        <v>1961</v>
      </c>
      <c r="J60" s="229" t="s">
        <v>871</v>
      </c>
    </row>
    <row r="61" spans="1:10">
      <c r="A61" s="232">
        <v>46054</v>
      </c>
      <c r="B61" s="231">
        <f>CHICLETS!F33</f>
        <v>0.5</v>
      </c>
      <c r="C61" s="98" t="str">
        <f>CHICLETS!$Q$26</f>
        <v>ESTANCIA HS 2</v>
      </c>
      <c r="D61" s="98" t="s">
        <v>1962</v>
      </c>
      <c r="E61" s="229" t="str">
        <f>IF(F58="","W#29",IF(F58&gt;H58,_xlfn.CONCAT("W#29-",RIGHT(E58,LEN(E58) - FIND("-",E58))), _xlfn.CONCAT("W#29-",RIGHT(G58,LEN(G58) - FIND("-",G58)))))</f>
        <v>W#29-MISSION WPC B</v>
      </c>
      <c r="F61" s="229">
        <v>10</v>
      </c>
      <c r="G61" s="229" t="str">
        <f>IF(F59="","W#30",IF(F59&gt;H59,_xlfn.CONCAT("W#30-",RIGHT(E59,LEN(E59) - FIND("-",E59))), _xlfn.CONCAT("W#30-",RIGHT(G59,LEN(G59) - FIND("-",G59)))))</f>
        <v>W#30-VANGUARD SILVER</v>
      </c>
      <c r="H61" s="229">
        <v>3</v>
      </c>
      <c r="I61" s="98" t="s">
        <v>1963</v>
      </c>
      <c r="J61" s="229" t="s">
        <v>871</v>
      </c>
    </row>
    <row r="62" spans="1:10">
      <c r="A62" s="232">
        <v>46054</v>
      </c>
      <c r="B62" s="231">
        <f>CHICLETS!F34</f>
        <v>0.53472222222222199</v>
      </c>
      <c r="C62" s="98" t="str">
        <f>CHICLETS!$Q$26</f>
        <v>ESTANCIA HS 2</v>
      </c>
      <c r="D62" s="98" t="s">
        <v>1964</v>
      </c>
      <c r="E62" s="230" t="str">
        <f>IF(F56="","L#27",IF(F56&lt;H56,_xlfn.CONCAT("L#27-",RIGHT(E56,LEN(E56) - FIND("-",E56))), _xlfn.CONCAT("L#27-",RIGHT(G56,LEN(G56) - FIND("-",G56)))))</f>
        <v>L#27-SAN CLEMENTE RED</v>
      </c>
      <c r="F62" s="229">
        <v>13</v>
      </c>
      <c r="G62" s="229" t="str">
        <f>IF(F57="","L#28",IF(F57&lt;H57,_xlfn.CONCAT("L#28-",RIGHT(E57,LEN(E57) - FIND("-",E57))), _xlfn.CONCAT("L#28-",RIGHT(G57,LEN(G57) - FIND("-",G57)))))</f>
        <v>L#28-BACK BAY</v>
      </c>
      <c r="H62" s="229">
        <v>11</v>
      </c>
      <c r="I62" s="98" t="s">
        <v>1965</v>
      </c>
      <c r="J62" s="229" t="s">
        <v>871</v>
      </c>
    </row>
    <row r="63" spans="1:10">
      <c r="A63" s="232">
        <v>46054</v>
      </c>
      <c r="B63" s="231">
        <f>CHICLETS!F35</f>
        <v>0.56944444444444497</v>
      </c>
      <c r="C63" s="98" t="str">
        <f>CHICLETS!$Q$26</f>
        <v>ESTANCIA HS 2</v>
      </c>
      <c r="D63" s="98" t="s">
        <v>1966</v>
      </c>
      <c r="E63" s="229" t="str">
        <f>IF(F58="","L#29",IF(F58&lt;H58,_xlfn.CONCAT("L#29-",RIGHT(E58,LEN(E58) - FIND("-",E58))), _xlfn.CONCAT("L#29-",RIGHT(G58,LEN(G58) - FIND("-",G58)))))</f>
        <v>L#29-HIELAND</v>
      </c>
      <c r="F63" s="229">
        <v>4</v>
      </c>
      <c r="G63" s="229" t="str">
        <f>IF(F59="","L#30",IF(F59&lt;H59,_xlfn.CONCAT("L#30-",RIGHT(E59,LEN(E59) - FIND("-",E59))), _xlfn.CONCAT("L#30-",RIGHT(G59,LEN(G59) - FIND("-",G59)))))</f>
        <v>L#30-680 BLUE</v>
      </c>
      <c r="H63" s="229">
        <v>11</v>
      </c>
      <c r="I63" s="98" t="s">
        <v>1967</v>
      </c>
      <c r="J63" s="229" t="s">
        <v>871</v>
      </c>
    </row>
    <row r="64" spans="1:10">
      <c r="A64" s="232">
        <v>46054</v>
      </c>
      <c r="B64" s="231">
        <f>CHICLETS!F36</f>
        <v>0.60416666666666696</v>
      </c>
      <c r="C64" s="98" t="str">
        <f>CHICLETS!$Q$26</f>
        <v>ESTANCIA HS 2</v>
      </c>
      <c r="D64" s="98" t="s">
        <v>1968</v>
      </c>
      <c r="E64" s="98" t="str">
        <f>A22</f>
        <v>Q1(2ndJ)-NORTHWEST</v>
      </c>
      <c r="F64" s="98">
        <v>13</v>
      </c>
      <c r="G64" s="98" t="str">
        <f>A23</f>
        <v>Q2(2ndK)-VANGUARD SILVER</v>
      </c>
      <c r="H64" s="98">
        <v>14</v>
      </c>
      <c r="I64" s="98" t="s">
        <v>1894</v>
      </c>
      <c r="J64" s="229" t="s">
        <v>871</v>
      </c>
    </row>
    <row r="65" spans="1:10">
      <c r="A65" s="232">
        <v>46054</v>
      </c>
      <c r="B65" s="231">
        <f>CHICLETS!F37</f>
        <v>0.63888888888888895</v>
      </c>
      <c r="C65" s="98" t="str">
        <f>CHICLETS!$Q$26</f>
        <v>ESTANCIA HS 2</v>
      </c>
      <c r="D65" s="98" t="s">
        <v>1969</v>
      </c>
      <c r="E65" s="229" t="str">
        <f>B22</f>
        <v>R1(1stJ)-SHORE AQUATICS</v>
      </c>
      <c r="F65" s="229">
        <v>6</v>
      </c>
      <c r="G65" s="230" t="str">
        <f>B23</f>
        <v>R2(1stK)-MISSION WPC B</v>
      </c>
      <c r="H65" s="229">
        <v>7</v>
      </c>
      <c r="I65" s="98" t="s">
        <v>1898</v>
      </c>
      <c r="J65" s="229" t="s">
        <v>871</v>
      </c>
    </row>
    <row r="66" spans="1:10">
      <c r="A66" s="166"/>
      <c r="B66" s="167"/>
      <c r="C66" s="2"/>
      <c r="D66" s="2"/>
      <c r="J66" s="31"/>
    </row>
    <row r="67" spans="1:10">
      <c r="A67" s="232">
        <v>46054</v>
      </c>
      <c r="B67" s="231">
        <f>CHICLETS!F28</f>
        <v>0.3263888888888889</v>
      </c>
      <c r="C67" s="98" t="str">
        <f>CHICLETS!$P$26</f>
        <v>LAGUNA HILLS HS</v>
      </c>
      <c r="D67" s="98" t="s">
        <v>1970</v>
      </c>
      <c r="E67" s="334" t="str">
        <f>E16</f>
        <v>N1(3rdA)-HONOLULU BLUE</v>
      </c>
      <c r="F67" s="98">
        <v>7</v>
      </c>
      <c r="G67" s="98" t="str">
        <f>E18</f>
        <v>N3(3rdH)-PATRIOT RED</v>
      </c>
      <c r="H67" s="98">
        <v>14</v>
      </c>
      <c r="I67" s="98" t="s">
        <v>1971</v>
      </c>
      <c r="J67" s="229" t="s">
        <v>871</v>
      </c>
    </row>
    <row r="68" spans="1:10">
      <c r="A68" s="232">
        <v>46054</v>
      </c>
      <c r="B68" s="231">
        <f>CHICLETS!F29</f>
        <v>0.36111111111111099</v>
      </c>
      <c r="C68" s="98" t="str">
        <f>CHICLETS!$P$26</f>
        <v>LAGUNA HILLS HS</v>
      </c>
      <c r="D68" s="98" t="s">
        <v>1972</v>
      </c>
      <c r="E68" s="229" t="str">
        <f>F16</f>
        <v>O1(3rdE)-FOOTHILL RED</v>
      </c>
      <c r="F68" s="229">
        <v>8</v>
      </c>
      <c r="G68" s="230" t="str">
        <f>F18</f>
        <v>O3(3rdD)-AMERICAN RIVER BLUE</v>
      </c>
      <c r="H68" s="229">
        <v>4</v>
      </c>
      <c r="I68" s="98" t="s">
        <v>1973</v>
      </c>
      <c r="J68" s="229" t="s">
        <v>871</v>
      </c>
    </row>
    <row r="69" spans="1:10">
      <c r="A69" s="166"/>
      <c r="B69" s="167"/>
      <c r="C69" s="2"/>
      <c r="D69" s="2"/>
      <c r="J69" s="31"/>
    </row>
    <row r="70" spans="1:10">
      <c r="A70" s="232">
        <v>46054</v>
      </c>
      <c r="B70" s="231">
        <f>CHICLETS!F31</f>
        <v>0.43055555555555602</v>
      </c>
      <c r="C70" s="98" t="str">
        <f>CHICLETS!$P$26</f>
        <v>LAGUNA HILLS HS</v>
      </c>
      <c r="D70" s="98" t="s">
        <v>1974</v>
      </c>
      <c r="E70" s="98" t="str">
        <f>G16</f>
        <v>P1(3rdF)-BOA</v>
      </c>
      <c r="F70" s="98">
        <v>6</v>
      </c>
      <c r="G70" s="98" t="str">
        <f>G19</f>
        <v>P4(4thH)-SOUTH COAST WHITE (B)</v>
      </c>
      <c r="H70" s="98">
        <v>11</v>
      </c>
      <c r="I70" s="98" t="s">
        <v>1975</v>
      </c>
      <c r="J70" s="229" t="s">
        <v>871</v>
      </c>
    </row>
    <row r="71" spans="1:10">
      <c r="A71" s="232">
        <v>46054</v>
      </c>
      <c r="B71" s="231">
        <f>CHICLETS!F32</f>
        <v>0.46527777777777801</v>
      </c>
      <c r="C71" s="98" t="str">
        <f>CHICLETS!$P$26</f>
        <v>LAGUNA HILLS HS</v>
      </c>
      <c r="D71" s="98" t="s">
        <v>1976</v>
      </c>
      <c r="E71" s="229" t="str">
        <f>G17</f>
        <v>P2(3rdB)-LA JOLLA UNITED GOLD</v>
      </c>
      <c r="F71" s="229">
        <v>14</v>
      </c>
      <c r="G71" s="230" t="str">
        <f>G18</f>
        <v>P3(4thD)-STANFORD BLACK</v>
      </c>
      <c r="H71" s="229">
        <v>3</v>
      </c>
      <c r="I71" s="98" t="s">
        <v>1975</v>
      </c>
      <c r="J71" s="229" t="s">
        <v>871</v>
      </c>
    </row>
    <row r="72" spans="1:10">
      <c r="A72" s="232">
        <v>46054</v>
      </c>
      <c r="B72" s="231">
        <f>CHICLETS!F33</f>
        <v>0.5</v>
      </c>
      <c r="C72" s="98" t="str">
        <f>CHICLETS!$P$26</f>
        <v>LAGUNA HILLS HS</v>
      </c>
      <c r="D72" s="98" t="s">
        <v>1977</v>
      </c>
      <c r="E72" s="334" t="str">
        <f>E16</f>
        <v>N1(3rdA)-HONOLULU BLUE</v>
      </c>
      <c r="F72" s="98">
        <v>6</v>
      </c>
      <c r="G72" s="98" t="str">
        <f>E17</f>
        <v>N2(3rdG)-SD ECA</v>
      </c>
      <c r="H72" s="98">
        <v>9</v>
      </c>
      <c r="I72" s="98" t="s">
        <v>1971</v>
      </c>
      <c r="J72" s="229" t="s">
        <v>871</v>
      </c>
    </row>
    <row r="73" spans="1:10">
      <c r="A73" s="232">
        <v>46054</v>
      </c>
      <c r="B73" s="231">
        <f>CHICLETS!F34</f>
        <v>0.53472222222222199</v>
      </c>
      <c r="C73" s="98" t="str">
        <f>CHICLETS!$P$26</f>
        <v>LAGUNA HILLS HS</v>
      </c>
      <c r="D73" s="98" t="s">
        <v>1978</v>
      </c>
      <c r="E73" s="229" t="str">
        <f>F16</f>
        <v>O1(3rdE)-FOOTHILL RED</v>
      </c>
      <c r="F73" s="229">
        <v>10</v>
      </c>
      <c r="G73" s="230" t="str">
        <f>F17</f>
        <v>O2(3rdC)-STANFORD 13</v>
      </c>
      <c r="H73" s="229">
        <v>3</v>
      </c>
      <c r="I73" s="98" t="s">
        <v>1973</v>
      </c>
      <c r="J73" s="229" t="s">
        <v>871</v>
      </c>
    </row>
    <row r="74" spans="1:10">
      <c r="A74" s="232">
        <v>46054</v>
      </c>
      <c r="B74" s="231">
        <f>CHICLETS!F35</f>
        <v>0.56944444444444497</v>
      </c>
      <c r="C74" s="98" t="str">
        <f>CHICLETS!$P$26</f>
        <v>LAGUNA HILLS HS</v>
      </c>
      <c r="D74" s="98" t="s">
        <v>1979</v>
      </c>
      <c r="E74" s="98" t="str">
        <f>IF(F70="","W#43",IF(F70&gt;H70,_xlfn.CONCAT("W#43-",RIGHT(E70,LEN(E70) - FIND("-",E70))), _xlfn.CONCAT("W#43-",RIGHT(G70,LEN(G70) - FIND("-",G70)))))</f>
        <v>W#43-SOUTH COAST WHITE (B)</v>
      </c>
      <c r="F74" s="98">
        <v>5.2</v>
      </c>
      <c r="G74" s="98" t="str">
        <f>IF(F71="","W#44",IF(F71&gt;H71,_xlfn.CONCAT("W#44-",RIGHT(E71,LEN(E71) - FIND("-",E71))), _xlfn.CONCAT("W#44-",RIGHT(G71,LEN(G71) - FIND("-",G71)))))</f>
        <v>W#44-LA JOLLA UNITED GOLD</v>
      </c>
      <c r="H74" s="452">
        <v>5</v>
      </c>
      <c r="I74" s="98" t="s">
        <v>1980</v>
      </c>
      <c r="J74" s="229" t="s">
        <v>871</v>
      </c>
    </row>
    <row r="75" spans="1:10">
      <c r="A75" s="232">
        <v>46054</v>
      </c>
      <c r="B75" s="231">
        <f>CHICLETS!F36</f>
        <v>0.60416666666666696</v>
      </c>
      <c r="C75" s="98" t="str">
        <f>CHICLETS!$P$26</f>
        <v>LAGUNA HILLS HS</v>
      </c>
      <c r="D75" s="98" t="s">
        <v>1981</v>
      </c>
      <c r="E75" s="229" t="str">
        <f>IF(F70="","L#43",IF(F70&lt;H70,_xlfn.CONCAT("L#43-",RIGHT(E70,LEN(E70) - FIND("-",E70))), _xlfn.CONCAT("L#43-",RIGHT(G70,LEN(G70) - FIND("-",G70)))))</f>
        <v>L#43-BOA</v>
      </c>
      <c r="F75" s="229">
        <v>11</v>
      </c>
      <c r="G75" s="230" t="str">
        <f>IF(F71="","L#44",IF(F71&lt;H71,_xlfn.CONCAT("L#44-",RIGHT(E71,LEN(E71) - FIND("-",E71))), _xlfn.CONCAT("L#44-",RIGHT(G71,LEN(G71) - FIND("-",G71)))))</f>
        <v>L#44-STANFORD BLACK</v>
      </c>
      <c r="H75" s="229">
        <v>12</v>
      </c>
      <c r="I75" s="98" t="s">
        <v>1982</v>
      </c>
      <c r="J75" s="229" t="s">
        <v>871</v>
      </c>
    </row>
    <row r="76" spans="1:10">
      <c r="A76" s="232">
        <v>46054</v>
      </c>
      <c r="B76" s="231">
        <f>CHICLETS!F37</f>
        <v>0.63888888888888895</v>
      </c>
      <c r="C76" s="98" t="str">
        <f>CHICLETS!$P$26</f>
        <v>LAGUNA HILLS HS</v>
      </c>
      <c r="D76" s="98" t="s">
        <v>1983</v>
      </c>
      <c r="E76" s="98" t="str">
        <f>E17</f>
        <v>N2(3rdG)-SD ECA</v>
      </c>
      <c r="F76" s="98">
        <v>8</v>
      </c>
      <c r="G76" s="98" t="str">
        <f>E18</f>
        <v>N3(3rdH)-PATRIOT RED</v>
      </c>
      <c r="H76" s="98">
        <v>9</v>
      </c>
      <c r="I76" s="98" t="s">
        <v>1971</v>
      </c>
      <c r="J76" s="229" t="s">
        <v>871</v>
      </c>
    </row>
    <row r="77" spans="1:10">
      <c r="A77" s="232">
        <v>46054</v>
      </c>
      <c r="B77" s="231">
        <f>CHICLETS!F38</f>
        <v>0.67361111111111105</v>
      </c>
      <c r="C77" s="98" t="str">
        <f>CHICLETS!$P$26</f>
        <v>LAGUNA HILLS HS</v>
      </c>
      <c r="D77" s="98" t="s">
        <v>1984</v>
      </c>
      <c r="E77" s="229" t="str">
        <f>F17</f>
        <v>O2(3rdC)-STANFORD 13</v>
      </c>
      <c r="F77" s="229">
        <v>7</v>
      </c>
      <c r="G77" s="230" t="str">
        <f>F18</f>
        <v>O3(3rdD)-AMERICAN RIVER BLUE</v>
      </c>
      <c r="H77" s="229">
        <v>9</v>
      </c>
      <c r="I77" s="98" t="s">
        <v>1973</v>
      </c>
      <c r="J77" s="229" t="s">
        <v>871</v>
      </c>
    </row>
    <row r="79" spans="1:10">
      <c r="A79" s="232">
        <v>46054</v>
      </c>
      <c r="B79" s="231">
        <f>CHICLETS!S29</f>
        <v>0.36111111111111099</v>
      </c>
      <c r="C79" s="98" t="str">
        <f>CHICLETS!$T$26</f>
        <v>ESPERANZA HS</v>
      </c>
      <c r="D79" s="98" t="s">
        <v>1985</v>
      </c>
      <c r="E79" s="98" t="str">
        <f>C16</f>
        <v>L1(2ndA)-NORTH IRVINE RED</v>
      </c>
      <c r="F79" s="98">
        <v>7</v>
      </c>
      <c r="G79" s="98" t="str">
        <f>C19</f>
        <v>L4(2ndD)-PRIDE RED</v>
      </c>
      <c r="H79" s="98">
        <v>5</v>
      </c>
      <c r="I79" s="98" t="s">
        <v>1986</v>
      </c>
      <c r="J79" s="229" t="s">
        <v>871</v>
      </c>
    </row>
    <row r="80" spans="1:10">
      <c r="A80" s="232">
        <v>46054</v>
      </c>
      <c r="B80" s="231">
        <f>CHICLETS!S30</f>
        <v>0.39583333333333398</v>
      </c>
      <c r="C80" s="98" t="str">
        <f>CHICLETS!$T$26</f>
        <v>ESPERANZA HS</v>
      </c>
      <c r="D80" s="98" t="s">
        <v>1987</v>
      </c>
      <c r="E80" s="229" t="str">
        <f>C17</f>
        <v>L2(2ndB)-DAVIS</v>
      </c>
      <c r="F80" s="229">
        <v>5</v>
      </c>
      <c r="G80" s="230" t="str">
        <f>C18</f>
        <v>L3(2ndC)-LAWPC</v>
      </c>
      <c r="H80" s="229">
        <v>7</v>
      </c>
      <c r="I80" s="98" t="s">
        <v>1986</v>
      </c>
      <c r="J80" s="229" t="s">
        <v>871</v>
      </c>
    </row>
    <row r="81" spans="1:10">
      <c r="A81" s="232">
        <v>46054</v>
      </c>
      <c r="B81" s="231">
        <f>CHICLETS!S31</f>
        <v>0.43055555555555602</v>
      </c>
      <c r="C81" s="98" t="str">
        <f>CHICLETS!$T$26</f>
        <v>ESPERANZA HS</v>
      </c>
      <c r="D81" s="98" t="s">
        <v>1988</v>
      </c>
      <c r="E81" s="98" t="str">
        <f>D16</f>
        <v>M1(2ndE)-CC UNITED BLUE</v>
      </c>
      <c r="F81" s="98">
        <v>9</v>
      </c>
      <c r="G81" s="98" t="str">
        <f>D19</f>
        <v>M4(2ndH)-SHAQ WHITE</v>
      </c>
      <c r="H81" s="98">
        <v>4</v>
      </c>
      <c r="I81" s="98" t="s">
        <v>1986</v>
      </c>
      <c r="J81" s="229" t="s">
        <v>871</v>
      </c>
    </row>
    <row r="82" spans="1:10">
      <c r="A82" s="232">
        <v>46054</v>
      </c>
      <c r="B82" s="231">
        <f>CHICLETS!S32</f>
        <v>0.46527777777777801</v>
      </c>
      <c r="C82" s="98" t="str">
        <f>CHICLETS!$T$26</f>
        <v>ESPERANZA HS</v>
      </c>
      <c r="D82" s="98" t="s">
        <v>1989</v>
      </c>
      <c r="E82" s="229" t="str">
        <f>D17</f>
        <v>M2(2ndF)-CT PREMIER</v>
      </c>
      <c r="F82" s="229">
        <v>12</v>
      </c>
      <c r="G82" s="230" t="str">
        <f>D18</f>
        <v xml:space="preserve">M3(2ndG)-LAMORINDA B	</v>
      </c>
      <c r="H82" s="229">
        <v>14</v>
      </c>
      <c r="I82" s="98" t="s">
        <v>1986</v>
      </c>
      <c r="J82" s="229" t="s">
        <v>871</v>
      </c>
    </row>
    <row r="84" spans="1:10">
      <c r="A84" s="232">
        <v>46054</v>
      </c>
      <c r="B84" s="231">
        <f>CHICLETS!S35</f>
        <v>0.58333333333333337</v>
      </c>
      <c r="C84" s="98" t="str">
        <f>CHICLETS!$T$26</f>
        <v>ESPERANZA HS</v>
      </c>
      <c r="D84" s="98" t="s">
        <v>1990</v>
      </c>
      <c r="E84" s="98" t="str">
        <f>IF(F79="","W#31",IF(F79&gt;H79,_xlfn.CONCAT("W#31-",RIGHT(E79,LEN(E79) - FIND("-",E79))), _xlfn.CONCAT("W#31-",RIGHT(G79,LEN(G79) - FIND("-",G79)))))</f>
        <v>W#31-NORTH IRVINE RED</v>
      </c>
      <c r="F84" s="98">
        <v>5</v>
      </c>
      <c r="G84" s="98" t="str">
        <f>IF(F80="","W#32",IF(F80&gt;H80,_xlfn.CONCAT("W#32-",RIGHT(E80,LEN(E80) - FIND("-",E80))), _xlfn.CONCAT("W#32-",RIGHT(G80,LEN(G80) - FIND("-",G80)))))</f>
        <v>W#32-LAWPC</v>
      </c>
      <c r="H84" s="98">
        <v>11</v>
      </c>
      <c r="I84" s="98" t="s">
        <v>1991</v>
      </c>
      <c r="J84" s="229" t="s">
        <v>871</v>
      </c>
    </row>
    <row r="85" spans="1:10">
      <c r="A85" s="232">
        <v>46054</v>
      </c>
      <c r="B85" s="231">
        <f>CHICLETS!S36</f>
        <v>0.61805555555555558</v>
      </c>
      <c r="C85" s="98" t="str">
        <f>CHICLETS!$T$26</f>
        <v>ESPERANZA HS</v>
      </c>
      <c r="D85" s="98" t="s">
        <v>1992</v>
      </c>
      <c r="E85" s="229" t="str">
        <f>IF(F79="","L#31",IF(F79&lt;H79,_xlfn.CONCAT("L#31-",RIGHT(E79,LEN(E79) - FIND("-",E79))), _xlfn.CONCAT("L#31-",RIGHT(G79,LEN(G79) - FIND("-",G79)))))</f>
        <v>L#31-PRIDE RED</v>
      </c>
      <c r="F85" s="229">
        <v>8</v>
      </c>
      <c r="G85" s="230" t="str">
        <f>IF(F80="","L#32",IF(F80&lt;H80,_xlfn.CONCAT("L#32-",RIGHT(E80,LEN(E80) - FIND("-",E80))), _xlfn.CONCAT("L#32-",RIGHT(G80,LEN(G80) - FIND("-",G80)))))</f>
        <v>L#32-DAVIS</v>
      </c>
      <c r="H85" s="229">
        <v>13</v>
      </c>
      <c r="I85" s="98" t="s">
        <v>1993</v>
      </c>
      <c r="J85" s="229" t="s">
        <v>871</v>
      </c>
    </row>
    <row r="86" spans="1:10">
      <c r="A86" s="232">
        <v>46054</v>
      </c>
      <c r="B86" s="231">
        <f>CHICLETS!S37</f>
        <v>0.65277777777777779</v>
      </c>
      <c r="C86" s="98" t="str">
        <f>CHICLETS!$T$26</f>
        <v>ESPERANZA HS</v>
      </c>
      <c r="D86" s="98" t="s">
        <v>1994</v>
      </c>
      <c r="E86" s="98" t="str">
        <f>IF(F81="","W#33",IF(F81&gt;H81,_xlfn.CONCAT("W#33-",RIGHT(E81,LEN(E81) - FIND("-",E81))), _xlfn.CONCAT("W#33-",RIGHT(G81,LEN(G81) - FIND("-",G81)))))</f>
        <v>W#33-CC UNITED BLUE</v>
      </c>
      <c r="F86" s="98">
        <v>13</v>
      </c>
      <c r="G86" s="98" t="str">
        <f>IF(F82="","W#34",IF(F82&gt;H82,_xlfn.CONCAT("W#34-",RIGHT(E82,LEN(E82) - FIND("-",E82))), _xlfn.CONCAT("W#34-",RIGHT(G82,LEN(G82) - FIND("-",G82)))))</f>
        <v xml:space="preserve">W#34-LAMORINDA B	</v>
      </c>
      <c r="H86" s="98">
        <v>14</v>
      </c>
      <c r="I86" s="98" t="s">
        <v>1995</v>
      </c>
      <c r="J86" s="229" t="s">
        <v>871</v>
      </c>
    </row>
    <row r="87" spans="1:10">
      <c r="A87" s="232">
        <v>46054</v>
      </c>
      <c r="B87" s="231">
        <f>CHICLETS!S38</f>
        <v>0.6875</v>
      </c>
      <c r="C87" s="98" t="str">
        <f>CHICLETS!$T$26</f>
        <v>ESPERANZA HS</v>
      </c>
      <c r="D87" s="98" t="s">
        <v>1996</v>
      </c>
      <c r="E87" s="229" t="str">
        <f>IF(F81="","L#33",IF(F81&lt;H81,_xlfn.CONCAT("L#33-",RIGHT(E81,LEN(E81) - FIND("-",E81))), _xlfn.CONCAT("L#33-",RIGHT(G81,LEN(G81) - FIND("-",G81)))))</f>
        <v>L#33-SHAQ WHITE</v>
      </c>
      <c r="F87" s="229">
        <v>13.4</v>
      </c>
      <c r="G87" s="230" t="str">
        <f>IF(F82="","L#34",IF(F82&lt;H82,_xlfn.CONCAT("L#34-",RIGHT(E82,LEN(E82) - FIND("-",E82))), _xlfn.CONCAT("L#34-",RIGHT(G82,LEN(G82) - FIND("-",G82)))))</f>
        <v>L#34-CT PREMIER</v>
      </c>
      <c r="H87" s="229">
        <v>13.2</v>
      </c>
      <c r="I87" s="98" t="s">
        <v>1997</v>
      </c>
      <c r="J87" s="229" t="s">
        <v>871</v>
      </c>
    </row>
    <row r="88" spans="1:10">
      <c r="A88" s="54"/>
    </row>
    <row r="89" spans="1:10">
      <c r="I89" s="98" t="s">
        <v>1312</v>
      </c>
      <c r="J89" s="98" t="s">
        <v>756</v>
      </c>
    </row>
    <row r="90" spans="1:10">
      <c r="I90" s="98" t="s">
        <v>1313</v>
      </c>
      <c r="J90" s="98" t="s">
        <v>952</v>
      </c>
    </row>
    <row r="91" spans="1:10">
      <c r="I91" s="98" t="s">
        <v>1314</v>
      </c>
      <c r="J91" s="98" t="s">
        <v>955</v>
      </c>
    </row>
  </sheetData>
  <hyperlinks>
    <hyperlink ref="B2" r:id="rId1" xr:uid="{841E17E2-2269-434D-8431-7AC2B09BD2CE}"/>
    <hyperlink ref="C2" r:id="rId2" xr:uid="{8888B666-440C-42DA-AB6C-C910EE66087D}"/>
    <hyperlink ref="A2" r:id="rId3" xr:uid="{F20187CC-48D8-4CF5-8D37-B06CFA4777C1}"/>
  </hyperlinks>
  <pageMargins left="0.7" right="0.7" top="0.75" bottom="0.75" header="0.3" footer="0.3"/>
  <pageSetup scale="45" orientation="landscape" r:id="rId4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1F322-81B4-443E-B26E-85B9F4890AA1}">
  <sheetPr>
    <tabColor rgb="FF0070C0"/>
    <pageSetUpPr fitToPage="1"/>
  </sheetPr>
  <dimension ref="A1:J75"/>
  <sheetViews>
    <sheetView workbookViewId="0"/>
  </sheetViews>
  <sheetFormatPr defaultColWidth="23.140625" defaultRowHeight="18"/>
  <cols>
    <col min="1" max="1" width="33.42578125" style="44" customWidth="1"/>
    <col min="2" max="2" width="44.85546875" style="1" bestFit="1" customWidth="1"/>
    <col min="3" max="3" width="37.42578125" style="1" bestFit="1" customWidth="1"/>
    <col min="4" max="5" width="48.85546875" style="1" bestFit="1" customWidth="1"/>
    <col min="6" max="6" width="39.140625" style="1" bestFit="1" customWidth="1"/>
    <col min="7" max="7" width="56" style="1" bestFit="1" customWidth="1"/>
    <col min="8" max="8" width="6.42578125" style="1" customWidth="1"/>
    <col min="9" max="9" width="18.140625" style="1" bestFit="1" customWidth="1"/>
    <col min="10" max="10" width="46" style="1" bestFit="1" customWidth="1"/>
    <col min="11" max="16384" width="23.140625" style="1"/>
  </cols>
  <sheetData>
    <row r="1" spans="1:7">
      <c r="A1" s="42" t="s">
        <v>72</v>
      </c>
      <c r="B1" s="43" t="s">
        <v>1998</v>
      </c>
      <c r="C1" s="43" t="s">
        <v>1999</v>
      </c>
      <c r="D1" s="120" t="s">
        <v>1775</v>
      </c>
      <c r="E1" s="1" t="s">
        <v>2000</v>
      </c>
    </row>
    <row r="2" spans="1:7">
      <c r="A2" s="119" t="s">
        <v>1237</v>
      </c>
      <c r="B2" s="118" t="s">
        <v>1238</v>
      </c>
      <c r="C2" s="117" t="s">
        <v>1239</v>
      </c>
      <c r="D2" s="43"/>
    </row>
    <row r="3" spans="1:7">
      <c r="A3" s="42" t="s">
        <v>644</v>
      </c>
      <c r="B3" s="43" t="s">
        <v>645</v>
      </c>
      <c r="C3" s="43" t="s">
        <v>646</v>
      </c>
      <c r="D3" s="43" t="s">
        <v>647</v>
      </c>
      <c r="E3" s="43" t="s">
        <v>723</v>
      </c>
      <c r="F3" s="43" t="s">
        <v>724</v>
      </c>
    </row>
    <row r="4" spans="1:7">
      <c r="A4" s="85" t="s">
        <v>764</v>
      </c>
      <c r="B4" s="85" t="s">
        <v>957</v>
      </c>
      <c r="C4" s="85" t="s">
        <v>958</v>
      </c>
      <c r="D4" s="86" t="s">
        <v>959</v>
      </c>
      <c r="E4" s="86" t="s">
        <v>960</v>
      </c>
      <c r="F4" s="86" t="s">
        <v>961</v>
      </c>
    </row>
    <row r="5" spans="1:7">
      <c r="A5" s="85" t="s">
        <v>695</v>
      </c>
      <c r="B5" s="85" t="s">
        <v>963</v>
      </c>
      <c r="C5" s="85" t="s">
        <v>964</v>
      </c>
      <c r="D5" s="86" t="s">
        <v>965</v>
      </c>
      <c r="E5" s="86" t="s">
        <v>966</v>
      </c>
      <c r="F5" s="86" t="s">
        <v>967</v>
      </c>
    </row>
    <row r="6" spans="1:7">
      <c r="A6" s="85" t="s">
        <v>969</v>
      </c>
      <c r="B6" s="85" t="s">
        <v>970</v>
      </c>
      <c r="C6" s="85" t="s">
        <v>971</v>
      </c>
      <c r="D6" s="86" t="s">
        <v>972</v>
      </c>
      <c r="E6" s="86" t="s">
        <v>973</v>
      </c>
      <c r="F6" s="86" t="s">
        <v>974</v>
      </c>
      <c r="G6" s="216"/>
    </row>
    <row r="7" spans="1:7">
      <c r="A7" s="14" t="s">
        <v>910</v>
      </c>
      <c r="B7" s="14" t="s">
        <v>910</v>
      </c>
      <c r="C7" s="14" t="s">
        <v>910</v>
      </c>
      <c r="D7" s="14"/>
      <c r="E7" s="86" t="s">
        <v>975</v>
      </c>
      <c r="F7" s="86" t="s">
        <v>976</v>
      </c>
      <c r="G7" s="216"/>
    </row>
    <row r="8" spans="1:7">
      <c r="A8" s="43" t="s">
        <v>644</v>
      </c>
      <c r="B8" s="43" t="s">
        <v>645</v>
      </c>
      <c r="C8" s="43" t="s">
        <v>646</v>
      </c>
      <c r="D8" s="43" t="s">
        <v>647</v>
      </c>
      <c r="E8" s="43" t="s">
        <v>723</v>
      </c>
      <c r="F8" s="43" t="s">
        <v>724</v>
      </c>
    </row>
    <row r="9" spans="1:7">
      <c r="A9" s="79">
        <v>1</v>
      </c>
      <c r="B9" s="79">
        <v>4</v>
      </c>
      <c r="C9" s="79">
        <v>5</v>
      </c>
      <c r="D9" s="87">
        <v>2</v>
      </c>
      <c r="E9" s="87">
        <v>3</v>
      </c>
      <c r="F9" s="87">
        <v>6</v>
      </c>
    </row>
    <row r="10" spans="1:7">
      <c r="A10" s="81">
        <v>12</v>
      </c>
      <c r="B10" s="81">
        <v>9</v>
      </c>
      <c r="C10" s="81">
        <v>8</v>
      </c>
      <c r="D10" s="82">
        <v>11</v>
      </c>
      <c r="E10" s="82">
        <v>10</v>
      </c>
      <c r="F10" s="82">
        <v>7</v>
      </c>
    </row>
    <row r="11" spans="1:7">
      <c r="A11" s="83">
        <v>13</v>
      </c>
      <c r="B11" s="83">
        <v>16</v>
      </c>
      <c r="C11" s="328">
        <v>18</v>
      </c>
      <c r="D11" s="84">
        <v>14</v>
      </c>
      <c r="E11" s="84">
        <v>15</v>
      </c>
      <c r="F11" s="327">
        <v>17</v>
      </c>
    </row>
    <row r="12" spans="1:7">
      <c r="E12" s="84">
        <v>20</v>
      </c>
      <c r="F12" s="84">
        <v>19</v>
      </c>
    </row>
    <row r="13" spans="1:7">
      <c r="A13" s="43" t="s">
        <v>729</v>
      </c>
      <c r="B13" s="43" t="s">
        <v>730</v>
      </c>
      <c r="C13" s="43" t="s">
        <v>977</v>
      </c>
      <c r="D13" s="43" t="s">
        <v>978</v>
      </c>
      <c r="E13" s="43" t="s">
        <v>979</v>
      </c>
      <c r="F13" s="43" t="s">
        <v>980</v>
      </c>
    </row>
    <row r="14" spans="1:7">
      <c r="A14" s="1" t="s">
        <v>2001</v>
      </c>
      <c r="B14" s="1" t="s">
        <v>2002</v>
      </c>
      <c r="C14" s="1" t="s">
        <v>2003</v>
      </c>
      <c r="D14" s="1" t="s">
        <v>2004</v>
      </c>
      <c r="E14" s="1" t="s">
        <v>2005</v>
      </c>
      <c r="F14" s="1" t="s">
        <v>2006</v>
      </c>
    </row>
    <row r="15" spans="1:7">
      <c r="A15" s="1" t="s">
        <v>2007</v>
      </c>
      <c r="B15" s="1" t="s">
        <v>2008</v>
      </c>
      <c r="C15" s="1" t="s">
        <v>2009</v>
      </c>
      <c r="D15" s="1" t="str">
        <f>IF(F42="","J2(1stE)",IF(F42&gt;H42,_xlfn.CONCAT("J2(1stE)-",RIGHT(E42,LEN(E42) - FIND("-",E42))), _xlfn.CONCAT("J2(1stE)-",RIGHT(G42,LEN(G42) - FIND("-",G42)))))</f>
        <v>J2(1stE)-CHANNEL ISLANDS UNITED GOLD</v>
      </c>
      <c r="E15" s="1" t="str">
        <f>IF(F42="","K2(2ndE)",IF(F42&lt;H42,_xlfn.CONCAT("K2(2ndE)-",RIGHT(E42,LEN(E42) - FIND("-",E42))), _xlfn.CONCAT("K2(2ndE)-",RIGHT(G42,LEN(G42) - FIND("-",G42)))))</f>
        <v>K2(2ndE)-ORANGE COUNTY WPC BLUE</v>
      </c>
      <c r="F15" s="1" t="str">
        <f>IF(F30="","L2(3rdE)",IF(F30&gt;H30,_xlfn.CONCAT("L2(3rdE)-",RIGHT(E30,LEN(E30) - FIND("-",E30))), _xlfn.CONCAT("L2(3rdE)-",RIGHT(G30,LEN(G30) - FIND("-",G30)))))</f>
        <v>L2(3rdE)-DEVIL'S GATE</v>
      </c>
    </row>
    <row r="16" spans="1:7">
      <c r="A16" s="1" t="s">
        <v>2010</v>
      </c>
      <c r="B16" s="1" t="s">
        <v>2011</v>
      </c>
      <c r="C16" s="1" t="str">
        <f>IF(F29="","I3(3rdF)",IF(F29&gt;H29,_xlfn.CONCAT("I3(3rdF)-",RIGHT(E29,LEN(E29) - FIND("-",E29))), _xlfn.CONCAT("I3(3rdF)-",RIGHT(G29,LEN(G29) - FIND("-",G29)))))</f>
        <v>I3(3rdF)-SHAQ BLUE</v>
      </c>
      <c r="D16" s="1" t="str">
        <f>IF(F28="","J3(1stF)",IF(F28&gt;H28,_xlfn.CONCAT("J3(1stF)-",RIGHT(E28,LEN(E28) - FIND("-",E28))), _xlfn.CONCAT("J3(1stF)-",RIGHT(G28,LEN(G28) - FIND("-",G28)))))</f>
        <v>J3(1stF)-PATRIOT NAVY</v>
      </c>
      <c r="E16" s="1" t="str">
        <f>IF(F28="","K3(2ndF)",IF(F28&lt;H28,_xlfn.CONCAT("K3(2ndF)-",RIGHT(E28,LEN(E28) - FIND("-",E28))), _xlfn.CONCAT("K3(2ndF)-",RIGHT(G28,LEN(G28) - FIND("-",G28)))))</f>
        <v>K3(2ndF)-LA PREMIER</v>
      </c>
      <c r="F16" s="1" t="s">
        <v>2012</v>
      </c>
    </row>
    <row r="17" spans="1:10">
      <c r="C17" s="1" t="str">
        <f>IF(F30="","I4(4thE)",IF(F30&lt;H30,_xlfn.CONCAT("I4(4thE)-",RIGHT(E30,LEN(E30) - FIND("-",E30))), _xlfn.CONCAT("I4(4thE)-",RIGHT(G30,LEN(G30) - FIND("-",G30)))))</f>
        <v>I4(4thE)-CC UNITED BLACK</v>
      </c>
      <c r="F17" s="1" t="str">
        <f>IF(F29="","L4(4thF)",IF(F29&lt;H29,_xlfn.CONCAT("L4(4thF)-",RIGHT(E29,LEN(E29) - FIND("-",E29))), _xlfn.CONCAT("L4(4thF)-",RIGHT(G29,LEN(G29) - FIND("-",G29)))))</f>
        <v>L4(4thF)-ROUTE 66 AQUATICS</v>
      </c>
    </row>
    <row r="19" spans="1:10" s="121" customFormat="1" ht="18.75">
      <c r="A19" s="129" t="s">
        <v>1240</v>
      </c>
      <c r="B19" s="130" t="s">
        <v>1241</v>
      </c>
      <c r="C19" s="129" t="s">
        <v>1242</v>
      </c>
      <c r="D19" s="129" t="s">
        <v>1243</v>
      </c>
      <c r="E19" s="129" t="s">
        <v>1244</v>
      </c>
      <c r="F19" s="129" t="s">
        <v>1245</v>
      </c>
      <c r="G19" s="129" t="s">
        <v>1246</v>
      </c>
      <c r="H19" s="129" t="s">
        <v>1245</v>
      </c>
      <c r="I19" s="129" t="s">
        <v>11</v>
      </c>
      <c r="J19" s="129" t="s">
        <v>1180</v>
      </c>
    </row>
    <row r="20" spans="1:10">
      <c r="A20" s="99">
        <v>46053</v>
      </c>
      <c r="B20" s="235">
        <f>CHICLETS!F5</f>
        <v>0.29166666666666669</v>
      </c>
      <c r="C20" s="235" t="str">
        <f>CHICLETS!$L$4</f>
        <v>EL TORO HS 1</v>
      </c>
      <c r="D20" s="144" t="s">
        <v>2013</v>
      </c>
      <c r="E20" s="144" t="str">
        <f>D4</f>
        <v>D1-LA JOLLA UNITED NAVY</v>
      </c>
      <c r="F20" s="144">
        <v>16</v>
      </c>
      <c r="G20" s="144" t="str">
        <f>D6</f>
        <v>D3-STANFORD RED</v>
      </c>
      <c r="H20" s="144">
        <v>7</v>
      </c>
      <c r="I20" s="144" t="s">
        <v>2014</v>
      </c>
      <c r="J20" s="144" t="s">
        <v>956</v>
      </c>
    </row>
    <row r="21" spans="1:10">
      <c r="A21" s="99">
        <v>46053</v>
      </c>
      <c r="B21" s="235">
        <f>CHICLETS!F6</f>
        <v>0.3263888888888889</v>
      </c>
      <c r="C21" s="235" t="str">
        <f>CHICLETS!$L$4</f>
        <v>EL TORO HS 1</v>
      </c>
      <c r="D21" s="144" t="s">
        <v>2015</v>
      </c>
      <c r="E21" s="144" t="str">
        <f>B4</f>
        <v>B1-NORCAL</v>
      </c>
      <c r="F21" s="144">
        <v>11</v>
      </c>
      <c r="G21" s="144" t="str">
        <f>B6</f>
        <v>B3-NORTH IRVINE BLACK</v>
      </c>
      <c r="H21" s="144">
        <v>3</v>
      </c>
      <c r="I21" s="144" t="s">
        <v>2016</v>
      </c>
      <c r="J21" s="144" t="s">
        <v>956</v>
      </c>
    </row>
    <row r="22" spans="1:10">
      <c r="A22" s="99">
        <v>46053</v>
      </c>
      <c r="B22" s="235">
        <f>CHICLETS!F7</f>
        <v>0.36111111111111099</v>
      </c>
      <c r="C22" s="235" t="str">
        <f>CHICLETS!$L$4</f>
        <v>EL TORO HS 1</v>
      </c>
      <c r="D22" s="144" t="s">
        <v>2017</v>
      </c>
      <c r="E22" s="99" t="str">
        <f>A5</f>
        <v>A2-680 RED</v>
      </c>
      <c r="F22" s="144">
        <v>10.199999999999999</v>
      </c>
      <c r="G22" s="99" t="str">
        <f>A6</f>
        <v>A3-TROJAN CARDINAL</v>
      </c>
      <c r="H22" s="144">
        <v>10.3</v>
      </c>
      <c r="I22" s="144" t="s">
        <v>2018</v>
      </c>
      <c r="J22" s="144" t="s">
        <v>956</v>
      </c>
    </row>
    <row r="23" spans="1:10">
      <c r="A23" s="99">
        <v>46053</v>
      </c>
      <c r="B23" s="235">
        <f>CHICLETS!F8</f>
        <v>0.39583333333333398</v>
      </c>
      <c r="C23" s="235" t="str">
        <f>CHICLETS!$L$4</f>
        <v>EL TORO HS 1</v>
      </c>
      <c r="D23" s="144" t="s">
        <v>2019</v>
      </c>
      <c r="E23" s="144" t="str">
        <f>F4</f>
        <v>6-PATRIOT NAVY</v>
      </c>
      <c r="F23" s="144">
        <v>17</v>
      </c>
      <c r="G23" s="144" t="str">
        <f>F7</f>
        <v>19-ROUTE 66 AQUATICS</v>
      </c>
      <c r="H23" s="144">
        <v>8</v>
      </c>
      <c r="I23" s="144" t="s">
        <v>2020</v>
      </c>
      <c r="J23" s="144" t="s">
        <v>956</v>
      </c>
    </row>
    <row r="24" spans="1:10">
      <c r="A24" s="99">
        <v>46053</v>
      </c>
      <c r="B24" s="235">
        <f>CHICLETS!F9</f>
        <v>0.43055555555555602</v>
      </c>
      <c r="C24" s="235" t="str">
        <f>CHICLETS!$L$4</f>
        <v>EL TORO HS 1</v>
      </c>
      <c r="D24" s="144" t="s">
        <v>2021</v>
      </c>
      <c r="E24" s="144" t="str">
        <f>F5</f>
        <v>7-LA PREMIER</v>
      </c>
      <c r="F24" s="144">
        <v>14</v>
      </c>
      <c r="G24" s="144" t="str">
        <f>F6</f>
        <v>18-SHAQ BLUE</v>
      </c>
      <c r="H24" s="144">
        <v>7</v>
      </c>
      <c r="I24" s="144" t="s">
        <v>2020</v>
      </c>
      <c r="J24" s="144" t="s">
        <v>956</v>
      </c>
    </row>
    <row r="25" spans="1:10">
      <c r="A25" s="99">
        <v>46053</v>
      </c>
      <c r="B25" s="235">
        <f>CHICLETS!F10</f>
        <v>0.46527777777777801</v>
      </c>
      <c r="C25" s="235" t="str">
        <f>CHICLETS!$L$4</f>
        <v>EL TORO HS 1</v>
      </c>
      <c r="D25" s="144" t="s">
        <v>2022</v>
      </c>
      <c r="E25" s="236" t="str">
        <f>A4</f>
        <v>A1-MISSION WPC A</v>
      </c>
      <c r="F25" s="144">
        <v>12</v>
      </c>
      <c r="G25" s="99" t="str">
        <f>A5</f>
        <v>A2-680 RED</v>
      </c>
      <c r="H25" s="144">
        <v>4</v>
      </c>
      <c r="I25" s="144" t="s">
        <v>2018</v>
      </c>
      <c r="J25" s="144" t="s">
        <v>956</v>
      </c>
    </row>
    <row r="26" spans="1:10">
      <c r="A26" s="99">
        <v>46053</v>
      </c>
      <c r="B26" s="235">
        <f>CHICLETS!F11</f>
        <v>0.5</v>
      </c>
      <c r="C26" s="235" t="str">
        <f>CHICLETS!$L$4</f>
        <v>EL TORO HS 1</v>
      </c>
      <c r="D26" s="144" t="s">
        <v>2023</v>
      </c>
      <c r="E26" s="99" t="str">
        <f>E4</f>
        <v>3-CHANNEL ISLANDS UNITED GOLD</v>
      </c>
      <c r="F26" s="144">
        <v>16</v>
      </c>
      <c r="G26" s="99" t="str">
        <f>E7</f>
        <v>20-DEVIL'S GATE</v>
      </c>
      <c r="H26" s="144">
        <v>7</v>
      </c>
      <c r="I26" s="144" t="s">
        <v>2024</v>
      </c>
      <c r="J26" s="144" t="s">
        <v>956</v>
      </c>
    </row>
    <row r="27" spans="1:10">
      <c r="A27" s="99">
        <v>46053</v>
      </c>
      <c r="B27" s="235">
        <f>CHICLETS!F12</f>
        <v>0.53472222222222199</v>
      </c>
      <c r="C27" s="235" t="str">
        <f>CHICLETS!$L$4</f>
        <v>EL TORO HS 1</v>
      </c>
      <c r="D27" s="144" t="s">
        <v>2025</v>
      </c>
      <c r="E27" s="144" t="str">
        <f>E5</f>
        <v>10-CC UNITED BLACK</v>
      </c>
      <c r="F27" s="144">
        <v>7</v>
      </c>
      <c r="G27" s="144" t="str">
        <f>E6</f>
        <v>15-ORANGE COUNTY WPC BLUE</v>
      </c>
      <c r="H27" s="144">
        <v>9</v>
      </c>
      <c r="I27" s="144" t="s">
        <v>2024</v>
      </c>
      <c r="J27" s="144" t="s">
        <v>956</v>
      </c>
    </row>
    <row r="28" spans="1:10">
      <c r="A28" s="99">
        <v>46053</v>
      </c>
      <c r="B28" s="235">
        <f>CHICLETS!F13</f>
        <v>0.56944444444444497</v>
      </c>
      <c r="C28" s="235" t="str">
        <f>CHICLETS!$L$4</f>
        <v>EL TORO HS 1</v>
      </c>
      <c r="D28" s="144" t="s">
        <v>2026</v>
      </c>
      <c r="E28" s="144" t="str">
        <f>IF(F23="","W#7",IF(F23&gt;H23,_xlfn.CONCAT("W#7-",RIGHT(E23,LEN(E23) - FIND("-",E23))), _xlfn.CONCAT("W#7-",RIGHT(G23,LEN(G23) - FIND("-",G23)))))</f>
        <v>W#7-PATRIOT NAVY</v>
      </c>
      <c r="F28" s="144">
        <v>8</v>
      </c>
      <c r="G28" s="144" t="str">
        <f>IF(F24="","W#8",IF(F24&gt;H24,_xlfn.CONCAT("W#8-",RIGHT(E24,LEN(E24) - FIND("-",E24))), _xlfn.CONCAT("W#8-",RIGHT(G24,LEN(G24) - FIND("-",G24)))))</f>
        <v>W#8-LA PREMIER</v>
      </c>
      <c r="H28" s="144">
        <v>7</v>
      </c>
      <c r="I28" s="144" t="s">
        <v>2027</v>
      </c>
      <c r="J28" s="144" t="s">
        <v>956</v>
      </c>
    </row>
    <row r="29" spans="1:10">
      <c r="A29" s="99">
        <v>46053</v>
      </c>
      <c r="B29" s="235">
        <f>CHICLETS!F14</f>
        <v>0.60416666666666696</v>
      </c>
      <c r="C29" s="235" t="str">
        <f>CHICLETS!$L$4</f>
        <v>EL TORO HS 1</v>
      </c>
      <c r="D29" s="144" t="s">
        <v>2028</v>
      </c>
      <c r="E29" s="144" t="str">
        <f>IF(F23="","L#7",IF(F23&lt;H23,_xlfn.CONCAT("L#7-",RIGHT(E23,LEN(E23) - FIND("-",E23))), _xlfn.CONCAT("L#7-",RIGHT(G23,LEN(G23) - FIND("-",G23)))))</f>
        <v>L#7-ROUTE 66 AQUATICS</v>
      </c>
      <c r="F29" s="144">
        <v>8</v>
      </c>
      <c r="G29" s="144" t="str">
        <f>IF(F24="","L#8",IF(F24&lt;H24,_xlfn.CONCAT("L#8-",RIGHT(E24,LEN(E24) - FIND("-",E24))), _xlfn.CONCAT("L#8-",RIGHT(G24,LEN(G24) - FIND("-",G24)))))</f>
        <v>L#8-SHAQ BLUE</v>
      </c>
      <c r="H29" s="144">
        <v>11</v>
      </c>
      <c r="I29" s="144" t="s">
        <v>2029</v>
      </c>
      <c r="J29" s="144" t="s">
        <v>956</v>
      </c>
    </row>
    <row r="30" spans="1:10">
      <c r="A30" s="99">
        <v>46053</v>
      </c>
      <c r="B30" s="235">
        <f>CHICLETS!F15</f>
        <v>0.63888888888888895</v>
      </c>
      <c r="C30" s="235" t="str">
        <f>CHICLETS!$L$4</f>
        <v>EL TORO HS 1</v>
      </c>
      <c r="D30" s="144" t="s">
        <v>2030</v>
      </c>
      <c r="E30" s="144" t="str">
        <f>IF(F26="","L#1",IF(F26&lt;H26,_xlfn.CONCAT("L#1-",RIGHT(E26,LEN(E26) - FIND("-",E26))), _xlfn.CONCAT("L#1-",RIGHT(G26,LEN(G26) - FIND("-",G26)))))</f>
        <v>L#1-DEVIL'S GATE</v>
      </c>
      <c r="F30" s="144">
        <v>8</v>
      </c>
      <c r="G30" s="144" t="str">
        <f>IF(F27="","L#2",IF(F27&lt;H27,_xlfn.CONCAT("L#2-",RIGHT(E27,LEN(E27) - FIND("-",E27))), _xlfn.CONCAT("L#2-",RIGHT(G27,LEN(G27) - FIND("-",G27)))))</f>
        <v>L#2-CC UNITED BLACK</v>
      </c>
      <c r="H30" s="144">
        <v>7</v>
      </c>
      <c r="I30" s="144" t="s">
        <v>2031</v>
      </c>
      <c r="J30" s="144" t="s">
        <v>956</v>
      </c>
    </row>
    <row r="31" spans="1:10">
      <c r="A31" s="99">
        <v>46053</v>
      </c>
      <c r="B31" s="235">
        <f>CHICLETS!F16</f>
        <v>0.67361111111111105</v>
      </c>
      <c r="C31" s="235" t="str">
        <f>CHICLETS!$L$4</f>
        <v>EL TORO HS 1</v>
      </c>
      <c r="D31" s="144" t="s">
        <v>2032</v>
      </c>
      <c r="E31" s="236" t="str">
        <f>A4</f>
        <v>A1-MISSION WPC A</v>
      </c>
      <c r="F31" s="144">
        <v>19</v>
      </c>
      <c r="G31" s="99" t="str">
        <f>A6</f>
        <v>A3-TROJAN CARDINAL</v>
      </c>
      <c r="H31" s="144">
        <v>2</v>
      </c>
      <c r="I31" s="144" t="s">
        <v>2018</v>
      </c>
      <c r="J31" s="144" t="s">
        <v>956</v>
      </c>
    </row>
    <row r="32" spans="1:10">
      <c r="A32" s="99">
        <v>46053</v>
      </c>
      <c r="B32" s="235">
        <f>CHICLETS!F17</f>
        <v>0.70833333333333404</v>
      </c>
      <c r="C32" s="235" t="str">
        <f>CHICLETS!$L$4</f>
        <v>EL TORO HS 1</v>
      </c>
      <c r="D32" s="144" t="s">
        <v>2033</v>
      </c>
      <c r="E32" s="286" t="str">
        <f>D14</f>
        <v>J1(1stD)-LA JOLLA UNITED NAVY</v>
      </c>
      <c r="F32" s="144">
        <v>14</v>
      </c>
      <c r="G32" s="144" t="str">
        <f>D16</f>
        <v>J3(1stF)-PATRIOT NAVY</v>
      </c>
      <c r="H32" s="144">
        <v>9</v>
      </c>
      <c r="I32" s="144" t="s">
        <v>2034</v>
      </c>
      <c r="J32" s="144" t="s">
        <v>956</v>
      </c>
    </row>
    <row r="33" spans="1:10">
      <c r="A33" s="99">
        <v>46053</v>
      </c>
      <c r="B33" s="235">
        <f>CHICLETS!F18</f>
        <v>0.74305555555555602</v>
      </c>
      <c r="C33" s="235" t="str">
        <f>CHICLETS!$L$4</f>
        <v>EL TORO HS 1</v>
      </c>
      <c r="D33" s="144" t="s">
        <v>2035</v>
      </c>
      <c r="E33" s="144" t="str">
        <f>E14</f>
        <v>K1(2ndD)-PRIDE BLACK</v>
      </c>
      <c r="F33" s="144">
        <v>10</v>
      </c>
      <c r="G33" s="144" t="str">
        <f>E16</f>
        <v>K3(2ndF)-LA PREMIER</v>
      </c>
      <c r="H33" s="144">
        <v>9</v>
      </c>
      <c r="I33" s="144" t="s">
        <v>2036</v>
      </c>
      <c r="J33" s="144" t="s">
        <v>956</v>
      </c>
    </row>
    <row r="34" spans="1:10">
      <c r="B34" s="43"/>
      <c r="C34" s="43"/>
    </row>
    <row r="35" spans="1:10">
      <c r="A35" s="99">
        <v>46053</v>
      </c>
      <c r="B35" s="235">
        <f>CHICLETS!F10</f>
        <v>0.46527777777777801</v>
      </c>
      <c r="C35" s="235" t="str">
        <f>CHICLETS!$M$4</f>
        <v>TUSTIN HS 1</v>
      </c>
      <c r="D35" s="144" t="s">
        <v>2037</v>
      </c>
      <c r="E35" s="144" t="str">
        <f>C4</f>
        <v>C1-VANGUARD BLUE</v>
      </c>
      <c r="F35" s="144">
        <v>9</v>
      </c>
      <c r="G35" s="144" t="str">
        <f>C6</f>
        <v>C3-SOUTH COAST RED (A)</v>
      </c>
      <c r="H35" s="144">
        <v>7</v>
      </c>
      <c r="I35" s="144" t="s">
        <v>2038</v>
      </c>
      <c r="J35" s="144" t="s">
        <v>956</v>
      </c>
    </row>
    <row r="36" spans="1:10">
      <c r="A36" s="99">
        <v>46053</v>
      </c>
      <c r="B36" s="235">
        <f>CHICLETS!F11</f>
        <v>0.5</v>
      </c>
      <c r="C36" s="235" t="str">
        <f>CHICLETS!$M$4</f>
        <v>TUSTIN HS 1</v>
      </c>
      <c r="D36" s="144" t="s">
        <v>2039</v>
      </c>
      <c r="E36" s="144" t="str">
        <f>D5</f>
        <v>D2-PRIDE BLACK</v>
      </c>
      <c r="F36" s="144">
        <v>9</v>
      </c>
      <c r="G36" s="144" t="str">
        <f>D6</f>
        <v>D3-STANFORD RED</v>
      </c>
      <c r="H36" s="144">
        <v>8</v>
      </c>
      <c r="I36" s="144" t="s">
        <v>2014</v>
      </c>
      <c r="J36" s="144" t="s">
        <v>956</v>
      </c>
    </row>
    <row r="37" spans="1:10">
      <c r="A37" s="99">
        <v>46053</v>
      </c>
      <c r="B37" s="235">
        <f>CHICLETS!F12</f>
        <v>0.53472222222222199</v>
      </c>
      <c r="C37" s="235" t="str">
        <f>CHICLETS!$M$4</f>
        <v>TUSTIN HS 1</v>
      </c>
      <c r="D37" s="144" t="s">
        <v>2040</v>
      </c>
      <c r="E37" s="144" t="str">
        <f>B5</f>
        <v>B2-PALOS VERDES A</v>
      </c>
      <c r="F37" s="144">
        <v>9</v>
      </c>
      <c r="G37" s="144" t="str">
        <f>B6</f>
        <v>B3-NORTH IRVINE BLACK</v>
      </c>
      <c r="H37" s="144">
        <v>4</v>
      </c>
      <c r="I37" s="144" t="s">
        <v>2016</v>
      </c>
      <c r="J37" s="144" t="s">
        <v>956</v>
      </c>
    </row>
    <row r="38" spans="1:10">
      <c r="A38" s="99">
        <v>46053</v>
      </c>
      <c r="B38" s="235">
        <f>CHICLETS!F13</f>
        <v>0.56944444444444497</v>
      </c>
      <c r="C38" s="235" t="str">
        <f>CHICLETS!$M$4</f>
        <v>TUSTIN HS 1</v>
      </c>
      <c r="D38" s="144" t="s">
        <v>2041</v>
      </c>
      <c r="E38" s="144" t="str">
        <f>C5</f>
        <v>C2-LAMORINDA A</v>
      </c>
      <c r="F38" s="144">
        <v>8.1999999999999993</v>
      </c>
      <c r="G38" s="144" t="str">
        <f>C6</f>
        <v>C3-SOUTH COAST RED (A)</v>
      </c>
      <c r="H38" s="144">
        <v>8.4</v>
      </c>
      <c r="I38" s="144" t="s">
        <v>2038</v>
      </c>
      <c r="J38" s="144" t="s">
        <v>956</v>
      </c>
    </row>
    <row r="39" spans="1:10">
      <c r="A39" s="99">
        <v>46053</v>
      </c>
      <c r="B39" s="235">
        <f>CHICLETS!F14</f>
        <v>0.60416666666666696</v>
      </c>
      <c r="C39" s="235" t="str">
        <f>CHICLETS!$M$4</f>
        <v>TUSTIN HS 1</v>
      </c>
      <c r="D39" s="144" t="s">
        <v>2042</v>
      </c>
      <c r="E39" s="144" t="str">
        <f>D4</f>
        <v>D1-LA JOLLA UNITED NAVY</v>
      </c>
      <c r="F39" s="144">
        <v>10</v>
      </c>
      <c r="G39" s="144" t="str">
        <f>D5</f>
        <v>D2-PRIDE BLACK</v>
      </c>
      <c r="H39" s="144">
        <v>3</v>
      </c>
      <c r="I39" s="144" t="s">
        <v>2014</v>
      </c>
      <c r="J39" s="144" t="s">
        <v>956</v>
      </c>
    </row>
    <row r="40" spans="1:10">
      <c r="A40" s="99">
        <v>46053</v>
      </c>
      <c r="B40" s="235">
        <f>CHICLETS!F15</f>
        <v>0.63888888888888895</v>
      </c>
      <c r="C40" s="235" t="str">
        <f>CHICLETS!$M$4</f>
        <v>TUSTIN HS 1</v>
      </c>
      <c r="D40" s="144" t="s">
        <v>2043</v>
      </c>
      <c r="E40" s="144" t="str">
        <f>B4</f>
        <v>B1-NORCAL</v>
      </c>
      <c r="F40" s="144">
        <v>8.1</v>
      </c>
      <c r="G40" s="144" t="str">
        <f>B5</f>
        <v>B2-PALOS VERDES A</v>
      </c>
      <c r="H40" s="144">
        <v>8.4</v>
      </c>
      <c r="I40" s="144" t="s">
        <v>2016</v>
      </c>
      <c r="J40" s="144" t="s">
        <v>956</v>
      </c>
    </row>
    <row r="41" spans="1:10">
      <c r="A41" s="99">
        <v>46053</v>
      </c>
      <c r="B41" s="235">
        <f>CHICLETS!F16</f>
        <v>0.67361111111111105</v>
      </c>
      <c r="C41" s="235" t="str">
        <f>CHICLETS!$M$4</f>
        <v>TUSTIN HS 1</v>
      </c>
      <c r="D41" s="144" t="s">
        <v>2044</v>
      </c>
      <c r="E41" s="144" t="str">
        <f>C4</f>
        <v>C1-VANGUARD BLUE</v>
      </c>
      <c r="F41" s="144">
        <v>11.4</v>
      </c>
      <c r="G41" s="144" t="str">
        <f>C5</f>
        <v>C2-LAMORINDA A</v>
      </c>
      <c r="H41" s="144">
        <v>11.3</v>
      </c>
      <c r="I41" s="144" t="s">
        <v>2038</v>
      </c>
      <c r="J41" s="144" t="s">
        <v>956</v>
      </c>
    </row>
    <row r="42" spans="1:10">
      <c r="A42" s="99">
        <v>46053</v>
      </c>
      <c r="B42" s="235">
        <f>CHICLETS!F17</f>
        <v>0.70833333333333404</v>
      </c>
      <c r="C42" s="235" t="str">
        <f>CHICLETS!$M$4</f>
        <v>TUSTIN HS 1</v>
      </c>
      <c r="D42" s="237" t="s">
        <v>2045</v>
      </c>
      <c r="E42" s="144" t="str">
        <f>IF(F26="","W#1",IF(F26&gt;H26,_xlfn.CONCAT("W#1-",RIGHT(E26,LEN(E26) - FIND("-",E26))), _xlfn.CONCAT("W#1-",RIGHT(G26,LEN(G26) - FIND("-",G26)))))</f>
        <v>W#1-CHANNEL ISLANDS UNITED GOLD</v>
      </c>
      <c r="F42" s="144">
        <v>14</v>
      </c>
      <c r="G42" s="144" t="str">
        <f>IF(F27="","W#2",IF(F27&gt;H27,_xlfn.CONCAT("W#2-",RIGHT(E27,LEN(E27) - FIND("-",E27))), _xlfn.CONCAT("W#2-",RIGHT(G27,LEN(G27) - FIND("-",G27)))))</f>
        <v>W#2-ORANGE COUNTY WPC BLUE</v>
      </c>
      <c r="H42" s="144">
        <v>6</v>
      </c>
      <c r="I42" s="144" t="s">
        <v>2046</v>
      </c>
      <c r="J42" s="144" t="s">
        <v>956</v>
      </c>
    </row>
    <row r="43" spans="1:10">
      <c r="A43" s="99">
        <v>46053</v>
      </c>
      <c r="B43" s="235">
        <f>CHICLETS!F18</f>
        <v>0.74305555555555602</v>
      </c>
      <c r="C43" s="235" t="str">
        <f>CHICLETS!$M$4</f>
        <v>TUSTIN HS 1</v>
      </c>
      <c r="D43" s="144" t="s">
        <v>2047</v>
      </c>
      <c r="E43" s="144" t="str">
        <f>B15</f>
        <v>H2(2ndB)-NORCAL</v>
      </c>
      <c r="F43" s="144">
        <v>13</v>
      </c>
      <c r="G43" s="144" t="str">
        <f>B16</f>
        <v>H3(2ndC)-SOUTH COAST RED (A)</v>
      </c>
      <c r="H43" s="144">
        <v>7</v>
      </c>
      <c r="I43" s="144" t="s">
        <v>2048</v>
      </c>
      <c r="J43" s="144" t="s">
        <v>956</v>
      </c>
    </row>
    <row r="44" spans="1:10">
      <c r="A44" s="99">
        <v>46053</v>
      </c>
      <c r="B44" s="235">
        <f>CHICLETS!F19</f>
        <v>0.77777777777777801</v>
      </c>
      <c r="C44" s="235" t="str">
        <f>CHICLETS!$M$4</f>
        <v>TUSTIN HS 1</v>
      </c>
      <c r="D44" s="144" t="s">
        <v>2049</v>
      </c>
      <c r="E44" s="144" t="str">
        <f>A15</f>
        <v>G2(1stB)-PALOS VERDES A</v>
      </c>
      <c r="F44" s="144">
        <v>9.3000000000000007</v>
      </c>
      <c r="G44" s="144" t="str">
        <f>A16</f>
        <v>G3(1stC)-VANGUARD BLUE</v>
      </c>
      <c r="H44" s="144">
        <v>9.4</v>
      </c>
      <c r="I44" s="144" t="s">
        <v>2050</v>
      </c>
      <c r="J44" s="144" t="s">
        <v>956</v>
      </c>
    </row>
    <row r="46" spans="1:10">
      <c r="A46" s="226"/>
      <c r="B46" s="159"/>
      <c r="C46" s="159"/>
      <c r="D46" s="159"/>
      <c r="E46" s="159"/>
      <c r="F46" s="159"/>
      <c r="G46" s="159"/>
      <c r="H46" s="159"/>
      <c r="I46" s="159"/>
      <c r="J46" s="159"/>
    </row>
    <row r="48" spans="1:10">
      <c r="A48" s="99">
        <v>46054</v>
      </c>
      <c r="B48" s="235">
        <f>CHICLETS!F28</f>
        <v>0.3263888888888889</v>
      </c>
      <c r="C48" s="235" t="str">
        <f>CHICLETS!$L$26</f>
        <v>EL TORO HS 1</v>
      </c>
      <c r="D48" s="144" t="s">
        <v>2051</v>
      </c>
      <c r="E48" s="144" t="str">
        <f>B14</f>
        <v>H1(2ndA)-TROJAN CARDINAL</v>
      </c>
      <c r="F48" s="144">
        <v>7</v>
      </c>
      <c r="G48" s="144" t="str">
        <f>B16</f>
        <v>H3(2ndC)-SOUTH COAST RED (A)</v>
      </c>
      <c r="H48" s="144">
        <v>8</v>
      </c>
      <c r="I48" s="144" t="s">
        <v>2048</v>
      </c>
      <c r="J48" s="144" t="s">
        <v>956</v>
      </c>
    </row>
    <row r="49" spans="1:10">
      <c r="A49" s="99">
        <v>46054</v>
      </c>
      <c r="B49" s="235">
        <f>CHICLETS!F29</f>
        <v>0.36111111111111099</v>
      </c>
      <c r="C49" s="235" t="str">
        <f>CHICLETS!$L$26</f>
        <v>EL TORO HS 1</v>
      </c>
      <c r="D49" s="144" t="s">
        <v>2052</v>
      </c>
      <c r="E49" s="144" t="str">
        <f>A14</f>
        <v>G1(1stA)-MISSION WPC A</v>
      </c>
      <c r="F49" s="144">
        <v>14</v>
      </c>
      <c r="G49" s="144" t="str">
        <f>A16</f>
        <v>G3(1stC)-VANGUARD BLUE</v>
      </c>
      <c r="H49" s="144">
        <v>11</v>
      </c>
      <c r="I49" s="144" t="s">
        <v>2050</v>
      </c>
      <c r="J49" s="144" t="s">
        <v>956</v>
      </c>
    </row>
    <row r="51" spans="1:10">
      <c r="A51" s="99">
        <v>46054</v>
      </c>
      <c r="B51" s="235">
        <f>CHICLETS!F31</f>
        <v>0.43055555555555602</v>
      </c>
      <c r="C51" s="235" t="str">
        <f>CHICLETS!$L$26</f>
        <v>EL TORO HS 1</v>
      </c>
      <c r="D51" s="144" t="s">
        <v>2053</v>
      </c>
      <c r="E51" s="144" t="str">
        <f>D15</f>
        <v>J2(1stE)-CHANNEL ISLANDS UNITED GOLD</v>
      </c>
      <c r="F51" s="144">
        <v>10.199999999999999</v>
      </c>
      <c r="G51" s="144" t="str">
        <f>D16</f>
        <v>J3(1stF)-PATRIOT NAVY</v>
      </c>
      <c r="H51" s="144">
        <v>10.4</v>
      </c>
      <c r="I51" s="144" t="s">
        <v>2034</v>
      </c>
      <c r="J51" s="144" t="s">
        <v>956</v>
      </c>
    </row>
    <row r="52" spans="1:10">
      <c r="A52" s="99">
        <v>46054</v>
      </c>
      <c r="B52" s="235">
        <f>CHICLETS!F32</f>
        <v>0.46527777777777801</v>
      </c>
      <c r="C52" s="235" t="str">
        <f>CHICLETS!$L$26</f>
        <v>EL TORO HS 1</v>
      </c>
      <c r="D52" s="144" t="s">
        <v>2054</v>
      </c>
      <c r="E52" s="144" t="str">
        <f>E15</f>
        <v>K2(2ndE)-ORANGE COUNTY WPC BLUE</v>
      </c>
      <c r="F52" s="144">
        <v>10</v>
      </c>
      <c r="G52" s="144" t="str">
        <f>E16</f>
        <v>K3(2ndF)-LA PREMIER</v>
      </c>
      <c r="H52" s="144">
        <v>12</v>
      </c>
      <c r="I52" s="144" t="s">
        <v>2036</v>
      </c>
      <c r="J52" s="144" t="s">
        <v>956</v>
      </c>
    </row>
    <row r="54" spans="1:10">
      <c r="A54" s="99">
        <v>46054</v>
      </c>
      <c r="B54" s="235">
        <f>CHICLETS!F34</f>
        <v>0.53472222222222199</v>
      </c>
      <c r="C54" s="235" t="str">
        <f>CHICLETS!$L$26</f>
        <v>EL TORO HS 1</v>
      </c>
      <c r="D54" s="144" t="s">
        <v>2055</v>
      </c>
      <c r="E54" s="144" t="str">
        <f>A14</f>
        <v>G1(1stA)-MISSION WPC A</v>
      </c>
      <c r="F54" s="144">
        <v>8</v>
      </c>
      <c r="G54" s="144" t="str">
        <f>A15</f>
        <v>G2(1stB)-PALOS VERDES A</v>
      </c>
      <c r="H54" s="144">
        <v>7</v>
      </c>
      <c r="I54" s="144" t="s">
        <v>2050</v>
      </c>
      <c r="J54" s="144" t="s">
        <v>956</v>
      </c>
    </row>
    <row r="55" spans="1:10">
      <c r="A55" s="99">
        <v>46054</v>
      </c>
      <c r="B55" s="235">
        <f>CHICLETS!F35</f>
        <v>0.56944444444444497</v>
      </c>
      <c r="C55" s="235" t="str">
        <f>CHICLETS!$L$26</f>
        <v>EL TORO HS 1</v>
      </c>
      <c r="D55" s="144" t="s">
        <v>2056</v>
      </c>
      <c r="E55" s="144" t="str">
        <f>E14</f>
        <v>K1(2ndD)-PRIDE BLACK</v>
      </c>
      <c r="F55" s="144">
        <v>6</v>
      </c>
      <c r="G55" s="144" t="str">
        <f>E15</f>
        <v>K2(2ndE)-ORANGE COUNTY WPC BLUE</v>
      </c>
      <c r="H55" s="144">
        <v>9</v>
      </c>
      <c r="I55" s="144" t="s">
        <v>2036</v>
      </c>
      <c r="J55" s="144" t="s">
        <v>956</v>
      </c>
    </row>
    <row r="56" spans="1:10">
      <c r="A56" s="99">
        <v>46054</v>
      </c>
      <c r="B56" s="235">
        <f>CHICLETS!F36</f>
        <v>0.60416666666666696</v>
      </c>
      <c r="C56" s="235" t="str">
        <f>CHICLETS!$L$26</f>
        <v>EL TORO HS 1</v>
      </c>
      <c r="D56" s="144" t="s">
        <v>2057</v>
      </c>
      <c r="E56" s="286" t="str">
        <f>D14</f>
        <v>J1(1stD)-LA JOLLA UNITED NAVY</v>
      </c>
      <c r="F56" s="144">
        <v>9</v>
      </c>
      <c r="G56" s="144" t="str">
        <f>D15</f>
        <v>J2(1stE)-CHANNEL ISLANDS UNITED GOLD</v>
      </c>
      <c r="H56" s="144">
        <v>6</v>
      </c>
      <c r="I56" s="285" t="s">
        <v>2034</v>
      </c>
      <c r="J56" s="144" t="s">
        <v>956</v>
      </c>
    </row>
    <row r="57" spans="1:10">
      <c r="A57" s="99">
        <v>46054</v>
      </c>
      <c r="B57" s="235">
        <f>CHICLETS!F37</f>
        <v>0.63888888888888895</v>
      </c>
      <c r="C57" s="235" t="str">
        <f>CHICLETS!$L$26</f>
        <v>EL TORO HS 1</v>
      </c>
      <c r="D57" s="144" t="s">
        <v>2058</v>
      </c>
      <c r="E57" s="144" t="s">
        <v>2059</v>
      </c>
      <c r="F57" s="144">
        <v>8</v>
      </c>
      <c r="G57" s="285" t="s">
        <v>2060</v>
      </c>
      <c r="H57" s="144">
        <v>7</v>
      </c>
      <c r="I57" s="144" t="s">
        <v>1351</v>
      </c>
      <c r="J57" s="144" t="s">
        <v>956</v>
      </c>
    </row>
    <row r="58" spans="1:10">
      <c r="A58" s="99">
        <v>46054</v>
      </c>
      <c r="B58" s="235">
        <f>CHICLETS!F38</f>
        <v>0.67361111111111105</v>
      </c>
      <c r="C58" s="235" t="str">
        <f>CHICLETS!$L$26</f>
        <v>EL TORO HS 1</v>
      </c>
      <c r="D58" s="144" t="s">
        <v>2061</v>
      </c>
      <c r="E58" s="144" t="s">
        <v>2062</v>
      </c>
      <c r="F58" s="144">
        <v>8</v>
      </c>
      <c r="G58" s="144" t="s">
        <v>2063</v>
      </c>
      <c r="H58" s="144">
        <v>13</v>
      </c>
      <c r="I58" s="144" t="s">
        <v>1314</v>
      </c>
      <c r="J58" s="144" t="s">
        <v>956</v>
      </c>
    </row>
    <row r="59" spans="1:10">
      <c r="A59" s="99">
        <v>46054</v>
      </c>
      <c r="B59" s="235">
        <f>CHICLETS!F39</f>
        <v>0.70833333333333404</v>
      </c>
      <c r="C59" s="235" t="str">
        <f>CHICLETS!$L$26</f>
        <v>EL TORO HS 1</v>
      </c>
      <c r="D59" s="144" t="s">
        <v>2064</v>
      </c>
      <c r="E59" s="144" t="s">
        <v>2065</v>
      </c>
      <c r="F59" s="144">
        <v>8</v>
      </c>
      <c r="G59" s="144" t="s">
        <v>2066</v>
      </c>
      <c r="H59" s="144">
        <v>12</v>
      </c>
      <c r="I59" s="144" t="s">
        <v>1312</v>
      </c>
      <c r="J59" s="144" t="s">
        <v>956</v>
      </c>
    </row>
    <row r="61" spans="1:10">
      <c r="A61" s="99">
        <v>46054</v>
      </c>
      <c r="B61" s="235">
        <f>CHICLETS!F28</f>
        <v>0.3263888888888889</v>
      </c>
      <c r="C61" s="235" t="str">
        <f>CHICLETS!$M$26</f>
        <v>TUSTIN HS 1</v>
      </c>
      <c r="D61" s="144" t="s">
        <v>2067</v>
      </c>
      <c r="E61" s="144" t="str">
        <f>F14</f>
        <v>L1(3rdD)-STANFORD RED</v>
      </c>
      <c r="F61" s="144">
        <v>10</v>
      </c>
      <c r="G61" s="144" t="str">
        <f>F17</f>
        <v>L4(4thF)-ROUTE 66 AQUATICS</v>
      </c>
      <c r="H61" s="144">
        <v>6</v>
      </c>
      <c r="I61" s="144" t="s">
        <v>2068</v>
      </c>
      <c r="J61" s="144" t="s">
        <v>956</v>
      </c>
    </row>
    <row r="62" spans="1:10">
      <c r="A62" s="99">
        <v>46054</v>
      </c>
      <c r="B62" s="235">
        <f>CHICLETS!F29</f>
        <v>0.36111111111111099</v>
      </c>
      <c r="C62" s="235" t="str">
        <f>CHICLETS!$M$26</f>
        <v>TUSTIN HS 1</v>
      </c>
      <c r="D62" s="144" t="s">
        <v>2069</v>
      </c>
      <c r="E62" s="144" t="str">
        <f>F15</f>
        <v>L2(3rdE)-DEVIL'S GATE</v>
      </c>
      <c r="F62" s="144">
        <v>13</v>
      </c>
      <c r="G62" s="144" t="str">
        <f>F16</f>
        <v>L3(3rdC)-LAMORINDA A</v>
      </c>
      <c r="H62" s="144">
        <v>8</v>
      </c>
      <c r="I62" s="144" t="s">
        <v>2068</v>
      </c>
      <c r="J62" s="144" t="s">
        <v>956</v>
      </c>
    </row>
    <row r="64" spans="1:10">
      <c r="A64" s="99">
        <v>46054</v>
      </c>
      <c r="B64" s="235">
        <f>CHICLETS!F31</f>
        <v>0.43055555555555602</v>
      </c>
      <c r="C64" s="235" t="str">
        <f>CHICLETS!$M$26</f>
        <v>TUSTIN HS 1</v>
      </c>
      <c r="D64" s="144" t="s">
        <v>2070</v>
      </c>
      <c r="E64" s="144" t="str">
        <f>C14</f>
        <v>I1(3rdA)-680 RED</v>
      </c>
      <c r="F64" s="144">
        <v>10</v>
      </c>
      <c r="G64" s="144" t="str">
        <f>C17</f>
        <v>I4(4thE)-CC UNITED BLACK</v>
      </c>
      <c r="H64" s="144">
        <v>7</v>
      </c>
      <c r="I64" s="144" t="s">
        <v>2071</v>
      </c>
      <c r="J64" s="144" t="s">
        <v>956</v>
      </c>
    </row>
    <row r="65" spans="1:10">
      <c r="A65" s="99">
        <v>46054</v>
      </c>
      <c r="B65" s="235">
        <f>CHICLETS!F32</f>
        <v>0.46527777777777801</v>
      </c>
      <c r="C65" s="235" t="str">
        <f>CHICLETS!$M$26</f>
        <v>TUSTIN HS 1</v>
      </c>
      <c r="D65" s="144" t="s">
        <v>2072</v>
      </c>
      <c r="E65" s="144" t="str">
        <f>C15</f>
        <v>I2(3rdB)-NORTH IRVINE BLACK</v>
      </c>
      <c r="F65" s="144">
        <v>9</v>
      </c>
      <c r="G65" s="144" t="str">
        <f>C16</f>
        <v>I3(3rdF)-SHAQ BLUE</v>
      </c>
      <c r="H65" s="144">
        <v>6</v>
      </c>
      <c r="I65" s="144" t="s">
        <v>2071</v>
      </c>
      <c r="J65" s="144" t="s">
        <v>956</v>
      </c>
    </row>
    <row r="67" spans="1:10">
      <c r="A67" s="99">
        <v>46054</v>
      </c>
      <c r="B67" s="235">
        <f>CHICLETS!F34</f>
        <v>0.53472222222222199</v>
      </c>
      <c r="C67" s="235" t="str">
        <f>CHICLETS!$M$26</f>
        <v>TUSTIN HS 1</v>
      </c>
      <c r="D67" s="144" t="s">
        <v>2073</v>
      </c>
      <c r="E67" s="144" t="str">
        <f>B14</f>
        <v>H1(2ndA)-TROJAN CARDINAL</v>
      </c>
      <c r="F67" s="144">
        <v>7</v>
      </c>
      <c r="G67" s="144" t="str">
        <f>B15</f>
        <v>H2(2ndB)-NORCAL</v>
      </c>
      <c r="H67" s="144">
        <v>12</v>
      </c>
      <c r="I67" s="144" t="s">
        <v>2048</v>
      </c>
      <c r="J67" s="144" t="s">
        <v>956</v>
      </c>
    </row>
    <row r="68" spans="1:10">
      <c r="A68" s="99">
        <v>46054</v>
      </c>
      <c r="B68" s="235">
        <f>CHICLETS!F35</f>
        <v>0.56944444444444497</v>
      </c>
      <c r="C68" s="235" t="str">
        <f>CHICLETS!$M$26</f>
        <v>TUSTIN HS 1</v>
      </c>
      <c r="D68" s="144" t="s">
        <v>2074</v>
      </c>
      <c r="E68" s="144" t="str">
        <f>IF(F61="","W#33",IF(F61&gt;H61,_xlfn.CONCAT("W#33-",RIGHT(E61,LEN(E61) - FIND("-",E61))), _xlfn.CONCAT("W#33-",RIGHT(G61,LEN(G61) - FIND("-",G61)))))</f>
        <v>W#33-STANFORD RED</v>
      </c>
      <c r="F68" s="144">
        <v>12</v>
      </c>
      <c r="G68" s="144" t="str">
        <f>IF(F62="","W#35",IF(F62&gt;H62,_xlfn.CONCAT("W#35-",RIGHT(E62,LEN(E62) - FIND("-",E62))), _xlfn.CONCAT("W#35-",RIGHT(G62,LEN(G62) - FIND("-",G62)))))</f>
        <v>W#35-DEVIL'S GATE</v>
      </c>
      <c r="H68" s="144">
        <v>7</v>
      </c>
      <c r="I68" s="144" t="s">
        <v>1991</v>
      </c>
      <c r="J68" s="144" t="s">
        <v>956</v>
      </c>
    </row>
    <row r="69" spans="1:10">
      <c r="A69" s="99">
        <v>46054</v>
      </c>
      <c r="B69" s="235">
        <f>CHICLETS!F36</f>
        <v>0.60416666666666696</v>
      </c>
      <c r="C69" s="235" t="str">
        <f>CHICLETS!$M$26</f>
        <v>TUSTIN HS 1</v>
      </c>
      <c r="D69" s="144" t="s">
        <v>2075</v>
      </c>
      <c r="E69" s="144" t="str">
        <f>IF(F64="","W#36",IF(F64&gt;H64,_xlfn.CONCAT("W#36-",RIGHT(E64,LEN(E64) - FIND("-",E64))), _xlfn.CONCAT("W#36-",RIGHT(G64,LEN(G64) - FIND("-",G64)))))</f>
        <v>W#36-680 RED</v>
      </c>
      <c r="F69" s="144">
        <v>7</v>
      </c>
      <c r="G69" s="144" t="str">
        <f>IF(F65="","W#37",IF(F65&gt;H65,_xlfn.CONCAT("W#37-",RIGHT(E65,LEN(E65) - FIND("-",E65))), _xlfn.CONCAT("W#37-",RIGHT(G65,LEN(G65) - FIND("-",G65)))))</f>
        <v>W#37-NORTH IRVINE BLACK</v>
      </c>
      <c r="H69" s="144">
        <v>10</v>
      </c>
      <c r="I69" s="144" t="s">
        <v>2076</v>
      </c>
      <c r="J69" s="144" t="s">
        <v>956</v>
      </c>
    </row>
    <row r="70" spans="1:10">
      <c r="A70" s="99">
        <v>46054</v>
      </c>
      <c r="B70" s="235">
        <f>CHICLETS!F37</f>
        <v>0.63888888888888895</v>
      </c>
      <c r="C70" s="235" t="str">
        <f>CHICLETS!$M$26</f>
        <v>TUSTIN HS 1</v>
      </c>
      <c r="D70" s="144" t="s">
        <v>2077</v>
      </c>
      <c r="E70" s="144" t="str">
        <f>IF(F61="","L#33",IF(F61&lt;H61,_xlfn.CONCAT("L#33-",RIGHT(E61,LEN(E61) - FIND("-",E61))), _xlfn.CONCAT("L#33-",RIGHT(G61,LEN(G61) - FIND("-",G61)))))</f>
        <v>L#33-ROUTE 66 AQUATICS</v>
      </c>
      <c r="F70" s="144">
        <v>10</v>
      </c>
      <c r="G70" s="144" t="str">
        <f>IF(F62="","L#35",IF(F62&lt;H62,_xlfn.CONCAT("L#35-",RIGHT(E62,LEN(E62) - FIND("-",E62))), _xlfn.CONCAT("L#35-",RIGHT(G62,LEN(G62) - FIND("-",G62)))))</f>
        <v>L#35-LAMORINDA A</v>
      </c>
      <c r="H70" s="144">
        <v>14</v>
      </c>
      <c r="I70" s="144" t="s">
        <v>1993</v>
      </c>
      <c r="J70" s="144" t="s">
        <v>956</v>
      </c>
    </row>
    <row r="71" spans="1:10">
      <c r="A71" s="99">
        <v>46054</v>
      </c>
      <c r="B71" s="235">
        <f>CHICLETS!F38</f>
        <v>0.67361111111111105</v>
      </c>
      <c r="C71" s="235" t="str">
        <f>CHICLETS!$M$26</f>
        <v>TUSTIN HS 1</v>
      </c>
      <c r="D71" s="144" t="s">
        <v>2078</v>
      </c>
      <c r="E71" s="144" t="str">
        <f>IF(F64="","L#36",IF(F64&lt;H64,_xlfn.CONCAT("L#36-",RIGHT(E64,LEN(E64) - FIND("-",E64))), _xlfn.CONCAT("L#36-",RIGHT(G64,LEN(G64) - FIND("-",G64)))))</f>
        <v>L#36-CC UNITED BLACK</v>
      </c>
      <c r="F71" s="144">
        <v>14</v>
      </c>
      <c r="G71" s="144" t="str">
        <f>IF(F65="","L#37",IF(F65&lt;H65,_xlfn.CONCAT("L#37-",RIGHT(E65,LEN(E65) - FIND("-",E65))), _xlfn.CONCAT("L#37-",RIGHT(G65,LEN(G65) - FIND("-",G65)))))</f>
        <v>L#37-SHAQ BLUE</v>
      </c>
      <c r="H71" s="144">
        <v>9</v>
      </c>
      <c r="I71" s="144" t="s">
        <v>2079</v>
      </c>
      <c r="J71" s="144" t="s">
        <v>956</v>
      </c>
    </row>
    <row r="73" spans="1:10">
      <c r="I73" s="144" t="s">
        <v>1312</v>
      </c>
      <c r="J73" s="144" t="s">
        <v>452</v>
      </c>
    </row>
    <row r="74" spans="1:10">
      <c r="I74" s="144" t="s">
        <v>1313</v>
      </c>
      <c r="J74" s="144" t="s">
        <v>774</v>
      </c>
    </row>
    <row r="75" spans="1:10">
      <c r="I75" s="144" t="s">
        <v>1314</v>
      </c>
      <c r="J75" s="144" t="s">
        <v>987</v>
      </c>
    </row>
  </sheetData>
  <hyperlinks>
    <hyperlink ref="B2" r:id="rId1" xr:uid="{F246E783-9F17-4E8B-9CD4-A9791A32D31F}"/>
    <hyperlink ref="C2" r:id="rId2" xr:uid="{A5B689AC-7045-4E92-9477-5169E4962710}"/>
    <hyperlink ref="A2" r:id="rId3" xr:uid="{998A88F7-B570-435D-8281-AF56A5356ADE}"/>
  </hyperlinks>
  <pageMargins left="0.7" right="0.7" top="0.75" bottom="0.75" header="0.3" footer="0.3"/>
  <pageSetup scale="71" orientation="landscape" horizontalDpi="300" verticalDpi="300" r:id="rId4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9A9C5-A6C4-45BA-8956-BB80563DA709}">
  <sheetPr>
    <tabColor rgb="FFFFFF00"/>
    <pageSetUpPr fitToPage="1"/>
  </sheetPr>
  <dimension ref="A1:J75"/>
  <sheetViews>
    <sheetView workbookViewId="0"/>
  </sheetViews>
  <sheetFormatPr defaultColWidth="23.140625" defaultRowHeight="18"/>
  <cols>
    <col min="1" max="1" width="33.42578125" style="44" customWidth="1"/>
    <col min="2" max="2" width="44.85546875" style="1" bestFit="1" customWidth="1"/>
    <col min="3" max="3" width="45" style="1" bestFit="1" customWidth="1"/>
    <col min="4" max="5" width="48.85546875" style="1" bestFit="1" customWidth="1"/>
    <col min="6" max="6" width="39.140625" style="1" bestFit="1" customWidth="1"/>
    <col min="7" max="7" width="44.85546875" style="1" bestFit="1" customWidth="1"/>
    <col min="8" max="8" width="6.42578125" style="1" customWidth="1"/>
    <col min="9" max="9" width="18.140625" style="1" bestFit="1" customWidth="1"/>
    <col min="10" max="10" width="46" style="1" bestFit="1" customWidth="1"/>
    <col min="11" max="16384" width="23.140625" style="1"/>
  </cols>
  <sheetData>
    <row r="1" spans="1:7">
      <c r="A1" s="42" t="s">
        <v>53</v>
      </c>
      <c r="B1" s="43" t="s">
        <v>1998</v>
      </c>
      <c r="C1" s="43" t="s">
        <v>1999</v>
      </c>
      <c r="D1" s="120" t="s">
        <v>1775</v>
      </c>
      <c r="E1" s="1" t="s">
        <v>2000</v>
      </c>
    </row>
    <row r="2" spans="1:7">
      <c r="A2" s="119" t="s">
        <v>1237</v>
      </c>
      <c r="B2" s="118" t="s">
        <v>1238</v>
      </c>
      <c r="C2" s="117" t="s">
        <v>1239</v>
      </c>
      <c r="D2" s="43"/>
    </row>
    <row r="3" spans="1:7">
      <c r="A3" s="42" t="s">
        <v>644</v>
      </c>
      <c r="B3" s="43" t="s">
        <v>645</v>
      </c>
      <c r="C3" s="43" t="s">
        <v>646</v>
      </c>
      <c r="D3" s="43" t="s">
        <v>647</v>
      </c>
      <c r="E3" s="43" t="s">
        <v>723</v>
      </c>
      <c r="F3" s="43" t="s">
        <v>724</v>
      </c>
    </row>
    <row r="4" spans="1:7">
      <c r="A4" s="74" t="s">
        <v>1005</v>
      </c>
      <c r="B4" s="74" t="s">
        <v>1006</v>
      </c>
      <c r="C4" s="74" t="s">
        <v>1007</v>
      </c>
      <c r="D4" s="75" t="s">
        <v>1008</v>
      </c>
      <c r="E4" s="75" t="s">
        <v>1009</v>
      </c>
      <c r="F4" s="75" t="s">
        <v>1010</v>
      </c>
    </row>
    <row r="5" spans="1:7">
      <c r="A5" s="76" t="s">
        <v>1012</v>
      </c>
      <c r="B5" s="76" t="s">
        <v>1013</v>
      </c>
      <c r="C5" s="76" t="s">
        <v>1014</v>
      </c>
      <c r="D5" s="77" t="s">
        <v>1015</v>
      </c>
      <c r="E5" s="77" t="s">
        <v>1016</v>
      </c>
      <c r="F5" s="77" t="s">
        <v>1017</v>
      </c>
    </row>
    <row r="6" spans="1:7">
      <c r="A6" s="78" t="s">
        <v>1018</v>
      </c>
      <c r="B6" s="78" t="s">
        <v>1019</v>
      </c>
      <c r="C6" s="78" t="s">
        <v>717</v>
      </c>
      <c r="D6" s="77" t="s">
        <v>1020</v>
      </c>
      <c r="E6" s="77" t="s">
        <v>1021</v>
      </c>
      <c r="F6" s="77" t="s">
        <v>1022</v>
      </c>
      <c r="G6" s="216"/>
    </row>
    <row r="7" spans="1:7">
      <c r="A7" s="14" t="s">
        <v>910</v>
      </c>
      <c r="B7" s="14" t="s">
        <v>910</v>
      </c>
      <c r="C7" s="14" t="s">
        <v>910</v>
      </c>
      <c r="D7" s="14" t="s">
        <v>910</v>
      </c>
      <c r="E7" s="77" t="s">
        <v>1024</v>
      </c>
      <c r="F7" s="77" t="s">
        <v>1025</v>
      </c>
      <c r="G7" s="216"/>
    </row>
    <row r="8" spans="1:7">
      <c r="A8" s="43" t="s">
        <v>644</v>
      </c>
      <c r="B8" s="43" t="s">
        <v>645</v>
      </c>
      <c r="C8" s="43" t="s">
        <v>646</v>
      </c>
      <c r="D8" s="43" t="s">
        <v>647</v>
      </c>
      <c r="E8" s="43" t="s">
        <v>723</v>
      </c>
      <c r="F8" s="43" t="s">
        <v>724</v>
      </c>
    </row>
    <row r="9" spans="1:7">
      <c r="A9" s="79">
        <v>1</v>
      </c>
      <c r="B9" s="79">
        <v>4</v>
      </c>
      <c r="C9" s="79">
        <v>5</v>
      </c>
      <c r="D9" s="80">
        <v>2</v>
      </c>
      <c r="E9" s="80">
        <v>3</v>
      </c>
      <c r="F9" s="87">
        <v>6</v>
      </c>
    </row>
    <row r="10" spans="1:7">
      <c r="A10" s="81">
        <v>12</v>
      </c>
      <c r="B10" s="81">
        <v>9</v>
      </c>
      <c r="C10" s="81">
        <v>8</v>
      </c>
      <c r="D10" s="82">
        <v>11</v>
      </c>
      <c r="E10" s="82">
        <v>10</v>
      </c>
      <c r="F10" s="82">
        <v>7</v>
      </c>
    </row>
    <row r="11" spans="1:7">
      <c r="A11" s="83">
        <v>13</v>
      </c>
      <c r="B11" s="83">
        <v>16</v>
      </c>
      <c r="C11" s="328">
        <v>18</v>
      </c>
      <c r="D11" s="84">
        <v>14</v>
      </c>
      <c r="E11" s="84">
        <v>15</v>
      </c>
      <c r="F11" s="327">
        <v>17</v>
      </c>
    </row>
    <row r="12" spans="1:7">
      <c r="E12" s="84">
        <v>20</v>
      </c>
      <c r="F12" s="84">
        <v>19</v>
      </c>
    </row>
    <row r="13" spans="1:7">
      <c r="A13" s="43" t="s">
        <v>729</v>
      </c>
      <c r="B13" s="43" t="s">
        <v>730</v>
      </c>
      <c r="C13" s="43" t="s">
        <v>977</v>
      </c>
      <c r="D13" s="43" t="s">
        <v>978</v>
      </c>
      <c r="E13" s="43" t="s">
        <v>979</v>
      </c>
      <c r="F13" s="43" t="s">
        <v>980</v>
      </c>
    </row>
    <row r="14" spans="1:7">
      <c r="A14" s="1" t="s">
        <v>2080</v>
      </c>
      <c r="B14" s="1" t="s">
        <v>2081</v>
      </c>
      <c r="C14" s="1" t="s">
        <v>2082</v>
      </c>
      <c r="D14" s="1" t="s">
        <v>2083</v>
      </c>
      <c r="E14" s="1" t="s">
        <v>2084</v>
      </c>
      <c r="F14" s="1" t="s">
        <v>2085</v>
      </c>
    </row>
    <row r="15" spans="1:7">
      <c r="A15" s="1" t="s">
        <v>2086</v>
      </c>
      <c r="B15" s="1" t="s">
        <v>2087</v>
      </c>
      <c r="C15" s="1" t="s">
        <v>2088</v>
      </c>
      <c r="D15" s="1" t="str">
        <f>IF(F31="","J2(1stE)",IF(F31&gt;H31,_xlfn.CONCAT("J2(1stE)-",RIGHT(E31,LEN(E31) - FIND("-",E31))), _xlfn.CONCAT("J2(1stE)-",RIGHT(G31,LEN(G31) - FIND("-",G31)))))</f>
        <v>J2(1stE)-LA JOLLA UNITED WHITE</v>
      </c>
      <c r="E15" s="1" t="str">
        <f>IF(F31="","K2(2ndE)",IF(F31&lt;H31,_xlfn.CONCAT("K2(2ndE)-",RIGHT(E31,LEN(E31) - FIND("-",E31))), _xlfn.CONCAT("K2(2ndE)-",RIGHT(G31,LEN(G31) - FIND("-",G31)))))</f>
        <v>K2(2ndE)-STANFORD WHITE</v>
      </c>
      <c r="F15" s="1" t="str">
        <f>IF(F30="","L2(3rdE)",IF(F30&gt;H30,_xlfn.CONCAT("L2(3rdE)-",RIGHT(E30,LEN(E30) - FIND("-",E30))), _xlfn.CONCAT("L2(3rdE)-",RIGHT(G30,LEN(G30) - FIND("-",G30)))))</f>
        <v>L2(3rdE)-LV LEGENDS</v>
      </c>
    </row>
    <row r="16" spans="1:7">
      <c r="A16" s="1" t="s">
        <v>2089</v>
      </c>
      <c r="B16" s="1" t="s">
        <v>2090</v>
      </c>
      <c r="C16" s="1" t="str">
        <f>IF(F29="","I3(3rdF)",IF(F29&gt;H29,_xlfn.CONCAT("I3(3rdF)-",RIGHT(E29,LEN(E29) - FIND("-",E29))), _xlfn.CONCAT("I3(3rdF)-",RIGHT(G29,LEN(G29) - FIND("-",G29)))))</f>
        <v>I3(3rdF)-SAN JOSE EXPRESS GOLD</v>
      </c>
      <c r="D16" s="1" t="str">
        <f>IF(F28="","J3(1stF)",IF(F28&gt;H28,_xlfn.CONCAT("J3(1stF)-",RIGHT(E28,LEN(E28) - FIND("-",E28))), _xlfn.CONCAT("J3(1stF)-",RIGHT(G28,LEN(G28) - FIND("-",G28)))))</f>
        <v>J3(1stF)-HIELAND</v>
      </c>
      <c r="E16" s="1" t="str">
        <f>IF(F28="","K3(2ndF)",IF(F28&lt;H28,_xlfn.CONCAT("K3(2ndF)-",RIGHT(E28,LEN(E28) - FIND("-",E28))), _xlfn.CONCAT("K3(2ndF)-",RIGHT(G28,LEN(G28) - FIND("-",G28)))))</f>
        <v>K3(2ndF)-WCAC UNITED</v>
      </c>
      <c r="F16" s="1" t="s">
        <v>2091</v>
      </c>
    </row>
    <row r="17" spans="1:10">
      <c r="C17" s="1" t="str">
        <f>IF(F30="","I4(4thE)",IF(F30&lt;H30,_xlfn.CONCAT("I4(4thE)-",RIGHT(E30,LEN(E30) - FIND("-",E30))), _xlfn.CONCAT("I4(4thE)-",RIGHT(G30,LEN(G30) - FIND("-",G30)))))</f>
        <v>I4(4thE)-SHORE AQUATICS</v>
      </c>
      <c r="F17" s="1" t="str">
        <f>IF(F29="","L4(4thF)",IF(F29&lt;H29,_xlfn.CONCAT("L4(4thF)-",RIGHT(E29,LEN(E29) - FIND("-",E29))), _xlfn.CONCAT("L4(4thF)-",RIGHT(G29,LEN(G29) - FIND("-",G29)))))</f>
        <v>L4(4thF)-SAN CLEMENTE BLACK</v>
      </c>
    </row>
    <row r="19" spans="1:10" s="121" customFormat="1" ht="18.75">
      <c r="A19" s="129" t="s">
        <v>1240</v>
      </c>
      <c r="B19" s="130" t="s">
        <v>1241</v>
      </c>
      <c r="C19" s="129" t="s">
        <v>1242</v>
      </c>
      <c r="D19" s="129" t="s">
        <v>1243</v>
      </c>
      <c r="E19" s="129" t="s">
        <v>1244</v>
      </c>
      <c r="F19" s="129" t="s">
        <v>1245</v>
      </c>
      <c r="G19" s="129" t="s">
        <v>1246</v>
      </c>
      <c r="H19" s="129" t="s">
        <v>1245</v>
      </c>
      <c r="I19" s="129" t="s">
        <v>11</v>
      </c>
      <c r="J19" s="129" t="s">
        <v>1180</v>
      </c>
    </row>
    <row r="20" spans="1:10">
      <c r="A20" s="239">
        <v>46053</v>
      </c>
      <c r="B20" s="238">
        <f>CHICLETS!V5</f>
        <v>0.29166666666666669</v>
      </c>
      <c r="C20" s="238" t="str">
        <f>CHICLETS!$AD$4</f>
        <v>SONORA HS</v>
      </c>
      <c r="D20" s="154" t="s">
        <v>2092</v>
      </c>
      <c r="E20" s="239" t="str">
        <f>A4</f>
        <v>A1-MID PEN</v>
      </c>
      <c r="F20" s="154">
        <v>22</v>
      </c>
      <c r="G20" s="239" t="str">
        <f>A5</f>
        <v>A2-BOA WHITE</v>
      </c>
      <c r="H20" s="154">
        <v>7</v>
      </c>
      <c r="I20" s="154" t="s">
        <v>2018</v>
      </c>
      <c r="J20" s="154" t="s">
        <v>1004</v>
      </c>
    </row>
    <row r="21" spans="1:10">
      <c r="A21" s="239">
        <v>46053</v>
      </c>
      <c r="B21" s="238">
        <f>CHICLETS!V6</f>
        <v>0.33333333333333298</v>
      </c>
      <c r="C21" s="238" t="str">
        <f>CHICLETS!$AE$4</f>
        <v>ESTANCIA HS 1</v>
      </c>
      <c r="D21" s="154" t="s">
        <v>2093</v>
      </c>
      <c r="E21" s="239" t="str">
        <f>F4</f>
        <v>6-HIELAND</v>
      </c>
      <c r="F21" s="154">
        <v>9</v>
      </c>
      <c r="G21" s="154" t="str">
        <f>F7</f>
        <v>19-SAN JOSE EXPRESS GOLD</v>
      </c>
      <c r="H21" s="154">
        <v>8</v>
      </c>
      <c r="I21" s="154" t="s">
        <v>2020</v>
      </c>
      <c r="J21" s="154" t="s">
        <v>1004</v>
      </c>
    </row>
    <row r="22" spans="1:10">
      <c r="A22" s="239">
        <v>46053</v>
      </c>
      <c r="B22" s="238">
        <f>CHICLETS!V7</f>
        <v>0.375</v>
      </c>
      <c r="C22" s="238" t="str">
        <f>CHICLETS!$AE$4</f>
        <v>ESTANCIA HS 1</v>
      </c>
      <c r="D22" s="154" t="s">
        <v>2094</v>
      </c>
      <c r="E22" s="239" t="str">
        <f>F5</f>
        <v>7-WCAC UNITED</v>
      </c>
      <c r="F22" s="154">
        <v>10</v>
      </c>
      <c r="G22" s="154" t="str">
        <f>F6</f>
        <v>18-SAN CLEMENTE BLACK</v>
      </c>
      <c r="H22" s="154">
        <v>7</v>
      </c>
      <c r="I22" s="154" t="s">
        <v>2020</v>
      </c>
      <c r="J22" s="154" t="s">
        <v>1004</v>
      </c>
    </row>
    <row r="23" spans="1:10">
      <c r="A23" s="239">
        <v>46053</v>
      </c>
      <c r="B23" s="238">
        <f>CHICLETS!V8</f>
        <v>0.41666666666666702</v>
      </c>
      <c r="C23" s="238" t="str">
        <f>CHICLETS!$AD$4</f>
        <v>SONORA HS</v>
      </c>
      <c r="D23" s="154" t="s">
        <v>2095</v>
      </c>
      <c r="E23" s="239" t="str">
        <f>A4</f>
        <v>A1-MID PEN</v>
      </c>
      <c r="F23" s="154">
        <v>12</v>
      </c>
      <c r="G23" s="239" t="str">
        <f>A6</f>
        <v>A3-TRITON GOLD</v>
      </c>
      <c r="H23" s="154">
        <v>3</v>
      </c>
      <c r="I23" s="154" t="s">
        <v>2018</v>
      </c>
      <c r="J23" s="154" t="s">
        <v>1004</v>
      </c>
    </row>
    <row r="24" spans="1:10">
      <c r="A24" s="239">
        <v>46053</v>
      </c>
      <c r="B24" s="238">
        <f>CHICLETS!V8</f>
        <v>0.41666666666666702</v>
      </c>
      <c r="C24" s="238" t="str">
        <f>CHICLETS!$AE$4</f>
        <v>ESTANCIA HS 1</v>
      </c>
      <c r="D24" s="154" t="s">
        <v>2096</v>
      </c>
      <c r="E24" s="239" t="str">
        <f>E4</f>
        <v>3-SHORE AQUATICS</v>
      </c>
      <c r="F24" s="154">
        <v>3</v>
      </c>
      <c r="G24" s="239" t="str">
        <f>E7</f>
        <v>20-LA JOLLA UNITED WHITE</v>
      </c>
      <c r="H24" s="154">
        <v>22</v>
      </c>
      <c r="I24" s="154" t="s">
        <v>2024</v>
      </c>
      <c r="J24" s="154" t="s">
        <v>1004</v>
      </c>
    </row>
    <row r="25" spans="1:10">
      <c r="A25" s="239">
        <v>46053</v>
      </c>
      <c r="B25" s="238">
        <f>CHICLETS!V9</f>
        <v>0.45833333333333298</v>
      </c>
      <c r="C25" s="238" t="str">
        <f>CHICLETS!$AE$4</f>
        <v>ESTANCIA HS 1</v>
      </c>
      <c r="D25" s="154" t="s">
        <v>2097</v>
      </c>
      <c r="E25" s="154" t="str">
        <f>E5</f>
        <v>10-STANFORD WHITE</v>
      </c>
      <c r="F25" s="154">
        <v>13</v>
      </c>
      <c r="G25" s="154" t="str">
        <f>E6</f>
        <v>15-LV LEGENDS</v>
      </c>
      <c r="H25" s="154">
        <v>4</v>
      </c>
      <c r="I25" s="154" t="s">
        <v>2024</v>
      </c>
      <c r="J25" s="154" t="s">
        <v>1004</v>
      </c>
    </row>
    <row r="27" spans="1:10">
      <c r="A27" s="239">
        <v>46053</v>
      </c>
      <c r="B27" s="238">
        <f>CHICLETS!V11</f>
        <v>0.54166666666666696</v>
      </c>
      <c r="C27" s="238" t="str">
        <f>CHICLETS!$AD$4</f>
        <v>SONORA HS</v>
      </c>
      <c r="D27" s="154" t="s">
        <v>2098</v>
      </c>
      <c r="E27" s="239" t="str">
        <f>A5</f>
        <v>A2-BOA WHITE</v>
      </c>
      <c r="F27" s="154">
        <v>3</v>
      </c>
      <c r="G27" s="239" t="str">
        <f>A6</f>
        <v>A3-TRITON GOLD</v>
      </c>
      <c r="H27" s="154">
        <v>11</v>
      </c>
      <c r="I27" s="154" t="s">
        <v>2018</v>
      </c>
      <c r="J27" s="154" t="s">
        <v>1004</v>
      </c>
    </row>
    <row r="28" spans="1:10">
      <c r="A28" s="239">
        <v>46053</v>
      </c>
      <c r="B28" s="238">
        <f>CHICLETS!V11</f>
        <v>0.54166666666666696</v>
      </c>
      <c r="C28" s="238" t="str">
        <f>CHICLETS!$AE$4</f>
        <v>ESTANCIA HS 1</v>
      </c>
      <c r="D28" s="154" t="s">
        <v>2099</v>
      </c>
      <c r="E28" s="154" t="str">
        <f>IF(F21="","W#7",IF(F21&gt;H21,_xlfn.CONCAT("W#7-",RIGHT(E21,LEN(E21) - FIND("-",E21))), _xlfn.CONCAT("W#7-",RIGHT(G21,LEN(G21) - FIND("-",G21)))))</f>
        <v>W#7-HIELAND</v>
      </c>
      <c r="F28" s="154">
        <v>13</v>
      </c>
      <c r="G28" s="154" t="str">
        <f>IF(F22="","W#8",IF(F22&gt;H22,_xlfn.CONCAT("W#8-",RIGHT(E22,LEN(E22) - FIND("-",E22))), _xlfn.CONCAT("W#8-",RIGHT(G22,LEN(G22) - FIND("-",G22)))))</f>
        <v>W#8-WCAC UNITED</v>
      </c>
      <c r="H28" s="154">
        <v>4</v>
      </c>
      <c r="I28" s="154" t="s">
        <v>2027</v>
      </c>
      <c r="J28" s="154" t="s">
        <v>1004</v>
      </c>
    </row>
    <row r="29" spans="1:10">
      <c r="A29" s="239">
        <v>46053</v>
      </c>
      <c r="B29" s="238">
        <f>CHICLETS!V12</f>
        <v>0.58333333333333304</v>
      </c>
      <c r="C29" s="238" t="str">
        <f>CHICLETS!$AE$4</f>
        <v>ESTANCIA HS 1</v>
      </c>
      <c r="D29" s="154" t="s">
        <v>2100</v>
      </c>
      <c r="E29" s="154" t="str">
        <f>IF(F21="","L#7",IF(F21&lt;H21,_xlfn.CONCAT("L#7-",RIGHT(E21,LEN(E21) - FIND("-",E21))), _xlfn.CONCAT("L#7-",RIGHT(G21,LEN(G21) - FIND("-",G21)))))</f>
        <v>L#7-SAN JOSE EXPRESS GOLD</v>
      </c>
      <c r="F29" s="154">
        <v>12</v>
      </c>
      <c r="G29" s="154" t="str">
        <f>IF(F22="","L#8",IF(F22&lt;H22,_xlfn.CONCAT("L#8-",RIGHT(E22,LEN(E22) - FIND("-",E22))), _xlfn.CONCAT("L#8-",RIGHT(G22,LEN(G22) - FIND("-",G22)))))</f>
        <v>L#8-SAN CLEMENTE BLACK</v>
      </c>
      <c r="H29" s="154">
        <v>7</v>
      </c>
      <c r="I29" s="154" t="s">
        <v>2029</v>
      </c>
      <c r="J29" s="154" t="s">
        <v>1004</v>
      </c>
    </row>
    <row r="30" spans="1:10">
      <c r="A30" s="239">
        <v>46053</v>
      </c>
      <c r="B30" s="238">
        <f>CHICLETS!V13</f>
        <v>0.625</v>
      </c>
      <c r="C30" s="238" t="str">
        <f>CHICLETS!$AE$4</f>
        <v>ESTANCIA HS 1</v>
      </c>
      <c r="D30" s="154" t="s">
        <v>2101</v>
      </c>
      <c r="E30" s="154" t="str">
        <f>IF(F24="","L#1",IF(F24&lt;H24,_xlfn.CONCAT("L#1-",RIGHT(E24,LEN(E24) - FIND("-",E24))), _xlfn.CONCAT("L#1-",RIGHT(G24,LEN(G24) - FIND("-",G24)))))</f>
        <v>L#1-SHORE AQUATICS</v>
      </c>
      <c r="F30" s="154">
        <v>10</v>
      </c>
      <c r="G30" s="154" t="str">
        <f>IF(F25="","L#2",IF(F25&lt;H25,_xlfn.CONCAT("L#2-",RIGHT(E25,LEN(E25) - FIND("-",E25))), _xlfn.CONCAT("L#2-",RIGHT(G25,LEN(G25) - FIND("-",G25)))))</f>
        <v>L#2-LV LEGENDS</v>
      </c>
      <c r="H30" s="154">
        <v>12</v>
      </c>
      <c r="I30" s="154" t="s">
        <v>2031</v>
      </c>
      <c r="J30" s="154" t="s">
        <v>1004</v>
      </c>
    </row>
    <row r="31" spans="1:10">
      <c r="A31" s="239">
        <v>46053</v>
      </c>
      <c r="B31" s="238">
        <f>CHICLETS!V14</f>
        <v>0.66666666666666696</v>
      </c>
      <c r="C31" s="238" t="str">
        <f>CHICLETS!$AE$4</f>
        <v>ESTANCIA HS 1</v>
      </c>
      <c r="D31" s="154" t="s">
        <v>2102</v>
      </c>
      <c r="E31" s="154" t="str">
        <f>IF(F24="","W#1",IF(F24&gt;H24,_xlfn.CONCAT("W#1-",RIGHT(E24,LEN(E24) - FIND("-",E24))), _xlfn.CONCAT("W#1-",RIGHT(G24,LEN(G24) - FIND("-",G24)))))</f>
        <v>W#1-LA JOLLA UNITED WHITE</v>
      </c>
      <c r="F31" s="154">
        <v>12</v>
      </c>
      <c r="G31" s="154" t="str">
        <f>IF(F25="","W#2",IF(F25&gt;H25,_xlfn.CONCAT("W#2-",RIGHT(E25,LEN(E25) - FIND("-",E25))), _xlfn.CONCAT("W#2-",RIGHT(G25,LEN(G25) - FIND("-",G25)))))</f>
        <v>W#2-STANFORD WHITE</v>
      </c>
      <c r="H31" s="154">
        <v>11</v>
      </c>
      <c r="I31" s="154" t="s">
        <v>2046</v>
      </c>
      <c r="J31" s="154" t="s">
        <v>1004</v>
      </c>
    </row>
    <row r="32" spans="1:10">
      <c r="A32" s="239">
        <v>46053</v>
      </c>
      <c r="B32" s="238">
        <f>CHICLETS!V15</f>
        <v>0.70833333333333304</v>
      </c>
      <c r="C32" s="238" t="str">
        <f>CHICLETS!$AE$4</f>
        <v>ESTANCIA HS 1</v>
      </c>
      <c r="D32" s="154" t="s">
        <v>2103</v>
      </c>
      <c r="E32" s="154" t="str">
        <f>D14</f>
        <v>J1(1stD)-CC UNITED WHITE</v>
      </c>
      <c r="F32" s="154">
        <v>8</v>
      </c>
      <c r="G32" s="154" t="str">
        <f>D16</f>
        <v>J3(1stF)-HIELAND</v>
      </c>
      <c r="H32" s="154">
        <v>7</v>
      </c>
      <c r="I32" s="154" t="s">
        <v>2034</v>
      </c>
      <c r="J32" s="154" t="s">
        <v>1004</v>
      </c>
    </row>
    <row r="34" spans="1:10">
      <c r="B34" s="43"/>
      <c r="C34" s="43"/>
    </row>
    <row r="35" spans="1:10">
      <c r="A35" s="239">
        <v>46053</v>
      </c>
      <c r="B35" s="238">
        <f>CHICLETS!V5</f>
        <v>0.29166666666666669</v>
      </c>
      <c r="C35" s="238" t="str">
        <f>CHICLETS!$AA$4</f>
        <v>YORBA LINDA HS</v>
      </c>
      <c r="D35" s="154" t="s">
        <v>2104</v>
      </c>
      <c r="E35" s="154" t="str">
        <f>D5</f>
        <v>D2-LOYOLA WPC</v>
      </c>
      <c r="F35" s="154">
        <v>8.4</v>
      </c>
      <c r="G35" s="154" t="str">
        <f>D6</f>
        <v>D3-CC UNITED WHITE</v>
      </c>
      <c r="H35" s="154">
        <v>8.5</v>
      </c>
      <c r="I35" s="154" t="s">
        <v>2014</v>
      </c>
      <c r="J35" s="154" t="s">
        <v>1004</v>
      </c>
    </row>
    <row r="36" spans="1:10">
      <c r="A36" s="239">
        <v>46053</v>
      </c>
      <c r="B36" s="238">
        <f>CHICLETS!V6</f>
        <v>0.33333333333333298</v>
      </c>
      <c r="C36" s="238" t="str">
        <f>CHICLETS!$AA$4</f>
        <v>YORBA LINDA HS</v>
      </c>
      <c r="D36" s="154" t="s">
        <v>2105</v>
      </c>
      <c r="E36" s="154" t="str">
        <f>B4</f>
        <v>B1-SANTA CRUZ</v>
      </c>
      <c r="F36" s="154">
        <v>7</v>
      </c>
      <c r="G36" s="154" t="str">
        <f>B6</f>
        <v>B3-LA JOLLA UNITED SILVER</v>
      </c>
      <c r="H36" s="154">
        <v>1</v>
      </c>
      <c r="I36" s="154" t="s">
        <v>2016</v>
      </c>
      <c r="J36" s="154" t="s">
        <v>1004</v>
      </c>
    </row>
    <row r="37" spans="1:10">
      <c r="A37" s="239">
        <v>46053</v>
      </c>
      <c r="B37" s="238">
        <f>CHICLETS!V7</f>
        <v>0.375</v>
      </c>
      <c r="C37" s="238" t="str">
        <f>CHICLETS!$AA$4</f>
        <v>YORBA LINDA HS</v>
      </c>
      <c r="D37" s="154" t="s">
        <v>2106</v>
      </c>
      <c r="E37" s="154" t="str">
        <f>C4</f>
        <v>C1-SET</v>
      </c>
      <c r="F37" s="154">
        <v>11</v>
      </c>
      <c r="G37" s="154" t="str">
        <f>C6</f>
        <v>C3-LAMORINDA B</v>
      </c>
      <c r="H37" s="154">
        <v>12</v>
      </c>
      <c r="I37" s="154" t="s">
        <v>2038</v>
      </c>
      <c r="J37" s="154" t="s">
        <v>1004</v>
      </c>
    </row>
    <row r="38" spans="1:10">
      <c r="A38" s="239">
        <v>46053</v>
      </c>
      <c r="B38" s="238">
        <f>CHICLETS!V8</f>
        <v>0.41666666666666702</v>
      </c>
      <c r="C38" s="238" t="str">
        <f>CHICLETS!$AA$4</f>
        <v>YORBA LINDA HS</v>
      </c>
      <c r="D38" s="154" t="s">
        <v>2107</v>
      </c>
      <c r="E38" s="154" t="str">
        <f>D4</f>
        <v>D1-SD ECA</v>
      </c>
      <c r="F38" s="154">
        <v>8</v>
      </c>
      <c r="G38" s="154" t="str">
        <f>D6</f>
        <v>D3-CC UNITED WHITE</v>
      </c>
      <c r="H38" s="154">
        <v>9</v>
      </c>
      <c r="I38" s="154" t="s">
        <v>2014</v>
      </c>
      <c r="J38" s="154" t="s">
        <v>1004</v>
      </c>
    </row>
    <row r="39" spans="1:10">
      <c r="B39" s="43"/>
      <c r="C39" s="43"/>
    </row>
    <row r="40" spans="1:10">
      <c r="A40" s="239">
        <v>46053</v>
      </c>
      <c r="B40" s="238">
        <f>CHICLETS!V10</f>
        <v>0.5</v>
      </c>
      <c r="C40" s="238" t="str">
        <f>CHICLETS!$AE$4</f>
        <v>ESTANCIA HS 1</v>
      </c>
      <c r="D40" s="154" t="s">
        <v>2108</v>
      </c>
      <c r="E40" s="154" t="str">
        <f>B5</f>
        <v>B2-NORTH IRVINE</v>
      </c>
      <c r="F40" s="154">
        <v>3</v>
      </c>
      <c r="G40" s="154" t="str">
        <f>B6</f>
        <v>B3-LA JOLLA UNITED SILVER</v>
      </c>
      <c r="H40" s="154">
        <v>10</v>
      </c>
      <c r="I40" s="154" t="s">
        <v>2016</v>
      </c>
      <c r="J40" s="154" t="s">
        <v>1004</v>
      </c>
    </row>
    <row r="41" spans="1:10">
      <c r="A41" s="239">
        <v>46053</v>
      </c>
      <c r="B41" s="238">
        <f>CHICLETS!V11</f>
        <v>0.54166666666666696</v>
      </c>
      <c r="C41" s="238" t="str">
        <f>CHICLETS!$Z$4</f>
        <v>FULLERTON COLLEGE</v>
      </c>
      <c r="D41" s="154" t="s">
        <v>2109</v>
      </c>
      <c r="E41" s="154" t="str">
        <f>C5</f>
        <v>C2-DAVIS WHITE</v>
      </c>
      <c r="F41" s="154">
        <v>7</v>
      </c>
      <c r="G41" s="154" t="str">
        <f>C6</f>
        <v>C3-LAMORINDA B</v>
      </c>
      <c r="H41" s="154">
        <v>11</v>
      </c>
      <c r="I41" s="154" t="s">
        <v>2038</v>
      </c>
      <c r="J41" s="154" t="s">
        <v>1004</v>
      </c>
    </row>
    <row r="42" spans="1:10">
      <c r="A42" s="239">
        <v>46053</v>
      </c>
      <c r="B42" s="238">
        <f>CHICLETS!V12</f>
        <v>0.58333333333333304</v>
      </c>
      <c r="C42" s="238" t="str">
        <f>CHICLETS!$Z$4</f>
        <v>FULLERTON COLLEGE</v>
      </c>
      <c r="D42" s="154" t="s">
        <v>2110</v>
      </c>
      <c r="E42" s="154" t="str">
        <f>D4</f>
        <v>D1-SD ECA</v>
      </c>
      <c r="F42" s="154">
        <v>10</v>
      </c>
      <c r="G42" s="154" t="str">
        <f>D5</f>
        <v>D2-LOYOLA WPC</v>
      </c>
      <c r="H42" s="154">
        <v>6</v>
      </c>
      <c r="I42" s="154" t="s">
        <v>2014</v>
      </c>
      <c r="J42" s="154" t="s">
        <v>1004</v>
      </c>
    </row>
    <row r="43" spans="1:10">
      <c r="A43" s="239">
        <v>46053</v>
      </c>
      <c r="B43" s="238">
        <f>CHICLETS!V13</f>
        <v>0.625</v>
      </c>
      <c r="C43" s="238" t="str">
        <f>CHICLETS!$Z$4</f>
        <v>FULLERTON COLLEGE</v>
      </c>
      <c r="D43" s="154" t="s">
        <v>2111</v>
      </c>
      <c r="E43" s="154" t="str">
        <f>B4</f>
        <v>B1-SANTA CRUZ</v>
      </c>
      <c r="F43" s="154">
        <v>10</v>
      </c>
      <c r="G43" s="154" t="str">
        <f>B5</f>
        <v>B2-NORTH IRVINE</v>
      </c>
      <c r="H43" s="154">
        <v>4</v>
      </c>
      <c r="I43" s="154" t="s">
        <v>2016</v>
      </c>
      <c r="J43" s="154" t="s">
        <v>1004</v>
      </c>
    </row>
    <row r="44" spans="1:10">
      <c r="A44" s="239">
        <v>46053</v>
      </c>
      <c r="B44" s="238">
        <f>CHICLETS!V14</f>
        <v>0.66666666666666696</v>
      </c>
      <c r="C44" s="238" t="str">
        <f>CHICLETS!$Z$4</f>
        <v>FULLERTON COLLEGE</v>
      </c>
      <c r="D44" s="154" t="s">
        <v>2112</v>
      </c>
      <c r="E44" s="154" t="str">
        <f>C4</f>
        <v>C1-SET</v>
      </c>
      <c r="F44" s="154">
        <v>7</v>
      </c>
      <c r="G44" s="154" t="str">
        <f>C5</f>
        <v>C2-DAVIS WHITE</v>
      </c>
      <c r="H44" s="154">
        <v>9</v>
      </c>
      <c r="I44" s="154" t="s">
        <v>2038</v>
      </c>
      <c r="J44" s="154" t="s">
        <v>1004</v>
      </c>
    </row>
    <row r="45" spans="1:10">
      <c r="A45" s="239">
        <v>46053</v>
      </c>
      <c r="B45" s="238">
        <f>CHICLETS!V15</f>
        <v>0.70833333333333304</v>
      </c>
      <c r="C45" s="238" t="str">
        <f>CHICLETS!$Z$4</f>
        <v>FULLERTON COLLEGE</v>
      </c>
      <c r="D45" s="240" t="s">
        <v>2113</v>
      </c>
      <c r="E45" s="154" t="str">
        <f>E14</f>
        <v>K1(2ndD)-SD ECA</v>
      </c>
      <c r="F45" s="154">
        <v>11</v>
      </c>
      <c r="G45" s="154" t="str">
        <f>E16</f>
        <v>K3(2ndF)-WCAC UNITED</v>
      </c>
      <c r="H45" s="154">
        <v>4</v>
      </c>
      <c r="I45" s="154" t="s">
        <v>2036</v>
      </c>
      <c r="J45" s="154" t="s">
        <v>1004</v>
      </c>
    </row>
    <row r="46" spans="1:10">
      <c r="A46" s="239">
        <v>46053</v>
      </c>
      <c r="B46" s="238">
        <f>CHICLETS!V16</f>
        <v>0.75</v>
      </c>
      <c r="C46" s="238" t="str">
        <f>CHICLETS!$Z$4</f>
        <v>FULLERTON COLLEGE</v>
      </c>
      <c r="D46" s="154" t="s">
        <v>2114</v>
      </c>
      <c r="E46" s="240" t="str">
        <f>B15</f>
        <v>H2(2ndB)-LA JOLLA UNITED SILVER</v>
      </c>
      <c r="F46" s="154">
        <v>5</v>
      </c>
      <c r="G46" s="154" t="str">
        <f>B16</f>
        <v>H3(2ndC)-DAVIS WHITE</v>
      </c>
      <c r="H46" s="154">
        <v>9</v>
      </c>
      <c r="I46" s="154" t="s">
        <v>2048</v>
      </c>
      <c r="J46" s="154" t="s">
        <v>1004</v>
      </c>
    </row>
    <row r="47" spans="1:10">
      <c r="A47" s="239">
        <v>46053</v>
      </c>
      <c r="B47" s="238">
        <f>CHICLETS!V17</f>
        <v>0.79166666666666696</v>
      </c>
      <c r="C47" s="238" t="str">
        <f>CHICLETS!$Z$4</f>
        <v>FULLERTON COLLEGE</v>
      </c>
      <c r="D47" s="154" t="s">
        <v>2115</v>
      </c>
      <c r="E47" s="154" t="str">
        <f>A15</f>
        <v>G2(1stB)-SANTA CRUZ</v>
      </c>
      <c r="F47" s="154">
        <v>7</v>
      </c>
      <c r="G47" s="154" t="str">
        <f>A16</f>
        <v>G3(1stC)-LAMORINDA B</v>
      </c>
      <c r="H47" s="154">
        <v>16</v>
      </c>
      <c r="I47" s="154" t="s">
        <v>2050</v>
      </c>
      <c r="J47" s="154" t="s">
        <v>1004</v>
      </c>
    </row>
    <row r="49" spans="1:10">
      <c r="A49" s="226"/>
      <c r="B49" s="159"/>
      <c r="C49" s="159"/>
      <c r="D49" s="159"/>
      <c r="E49" s="159"/>
      <c r="F49" s="159"/>
      <c r="G49" s="159"/>
      <c r="H49" s="159"/>
      <c r="I49" s="159"/>
      <c r="J49" s="159"/>
    </row>
    <row r="51" spans="1:10">
      <c r="A51" s="239">
        <v>46054</v>
      </c>
      <c r="B51" s="238">
        <f>CHICLETS!V27</f>
        <v>0.29166666666666669</v>
      </c>
      <c r="C51" s="238" t="str">
        <f>CHICLETS!$AD$26</f>
        <v>SONORA HS</v>
      </c>
      <c r="D51" s="154" t="s">
        <v>2116</v>
      </c>
      <c r="E51" s="154" t="str">
        <f>B14</f>
        <v>H1(2ndA)-TRITON GOLD</v>
      </c>
      <c r="F51" s="154">
        <v>10</v>
      </c>
      <c r="G51" s="154" t="str">
        <f>B16</f>
        <v>H3(2ndC)-DAVIS WHITE</v>
      </c>
      <c r="H51" s="154">
        <v>15</v>
      </c>
      <c r="I51" s="154" t="s">
        <v>2048</v>
      </c>
      <c r="J51" s="154" t="s">
        <v>1004</v>
      </c>
    </row>
    <row r="52" spans="1:10">
      <c r="A52" s="239">
        <v>46054</v>
      </c>
      <c r="B52" s="238">
        <f>CHICLETS!V28</f>
        <v>0.33333333333333298</v>
      </c>
      <c r="C52" s="238" t="str">
        <f>CHICLETS!$AD$26</f>
        <v>SONORA HS</v>
      </c>
      <c r="D52" s="154" t="s">
        <v>2117</v>
      </c>
      <c r="E52" s="154" t="str">
        <f>A14</f>
        <v>G1(1stA)-MID PEN</v>
      </c>
      <c r="F52" s="154">
        <v>8</v>
      </c>
      <c r="G52" s="240" t="str">
        <f>A16</f>
        <v>G3(1stC)-LAMORINDA B</v>
      </c>
      <c r="H52" s="154">
        <v>13</v>
      </c>
      <c r="I52" s="154" t="s">
        <v>2050</v>
      </c>
      <c r="J52" s="154" t="s">
        <v>1004</v>
      </c>
    </row>
    <row r="53" spans="1:10">
      <c r="A53" s="239">
        <v>46054</v>
      </c>
      <c r="B53" s="238">
        <f>CHICLETS!V29</f>
        <v>0.375</v>
      </c>
      <c r="C53" s="238" t="str">
        <f>CHICLETS!$AD$26</f>
        <v>SONORA HS</v>
      </c>
      <c r="D53" s="154" t="s">
        <v>2118</v>
      </c>
      <c r="E53" s="154" t="str">
        <f>D15</f>
        <v>J2(1stE)-LA JOLLA UNITED WHITE</v>
      </c>
      <c r="F53" s="154">
        <v>12</v>
      </c>
      <c r="G53" s="154" t="str">
        <f>D16</f>
        <v>J3(1stF)-HIELAND</v>
      </c>
      <c r="H53" s="154">
        <v>7</v>
      </c>
      <c r="I53" s="154" t="s">
        <v>2034</v>
      </c>
      <c r="J53" s="154" t="s">
        <v>1004</v>
      </c>
    </row>
    <row r="54" spans="1:10">
      <c r="A54" s="239">
        <v>46054</v>
      </c>
      <c r="B54" s="238">
        <f>CHICLETS!V30</f>
        <v>0.41666666666666702</v>
      </c>
      <c r="C54" s="238" t="str">
        <f>CHICLETS!$AD$26</f>
        <v>SONORA HS</v>
      </c>
      <c r="D54" s="154" t="s">
        <v>2119</v>
      </c>
      <c r="E54" s="154" t="str">
        <f>E15</f>
        <v>K2(2ndE)-STANFORD WHITE</v>
      </c>
      <c r="F54" s="154">
        <v>16</v>
      </c>
      <c r="G54" s="154" t="str">
        <f>E16</f>
        <v>K3(2ndF)-WCAC UNITED</v>
      </c>
      <c r="H54" s="154">
        <v>4</v>
      </c>
      <c r="I54" s="154" t="s">
        <v>2036</v>
      </c>
      <c r="J54" s="154" t="s">
        <v>1004</v>
      </c>
    </row>
    <row r="55" spans="1:10">
      <c r="A55" s="239">
        <v>46054</v>
      </c>
      <c r="B55" s="238">
        <f>CHICLETS!V31</f>
        <v>0.45833333333333298</v>
      </c>
      <c r="C55" s="238" t="str">
        <f>CHICLETS!$AD$26</f>
        <v>SONORA HS</v>
      </c>
      <c r="D55" s="154" t="s">
        <v>2120</v>
      </c>
      <c r="E55" s="154" t="str">
        <f>A14</f>
        <v>G1(1stA)-MID PEN</v>
      </c>
      <c r="F55" s="154">
        <v>6</v>
      </c>
      <c r="G55" s="154" t="str">
        <f>A15</f>
        <v>G2(1stB)-SANTA CRUZ</v>
      </c>
      <c r="H55" s="154">
        <v>11</v>
      </c>
      <c r="I55" s="154" t="s">
        <v>2050</v>
      </c>
      <c r="J55" s="154" t="s">
        <v>1004</v>
      </c>
    </row>
    <row r="56" spans="1:10">
      <c r="A56" s="239">
        <v>46054</v>
      </c>
      <c r="B56" s="238">
        <f>CHICLETS!V32</f>
        <v>0.5</v>
      </c>
      <c r="C56" s="238" t="str">
        <f>CHICLETS!$AD$26</f>
        <v>SONORA HS</v>
      </c>
      <c r="D56" s="154" t="s">
        <v>2121</v>
      </c>
      <c r="E56" s="154" t="str">
        <f>D14</f>
        <v>J1(1stD)-CC UNITED WHITE</v>
      </c>
      <c r="F56" s="154">
        <v>6</v>
      </c>
      <c r="G56" s="154" t="str">
        <f>D15</f>
        <v>J2(1stE)-LA JOLLA UNITED WHITE</v>
      </c>
      <c r="H56" s="154">
        <v>14</v>
      </c>
      <c r="I56" s="154" t="s">
        <v>2034</v>
      </c>
      <c r="J56" s="154" t="s">
        <v>1004</v>
      </c>
    </row>
    <row r="57" spans="1:10">
      <c r="A57" s="239">
        <v>46054</v>
      </c>
      <c r="B57" s="238">
        <f>CHICLETS!V33</f>
        <v>0.54166666666666696</v>
      </c>
      <c r="C57" s="238" t="str">
        <f>CHICLETS!$AD$26</f>
        <v>SONORA HS</v>
      </c>
      <c r="D57" s="154" t="s">
        <v>2122</v>
      </c>
      <c r="E57" s="154" t="str">
        <f>E14</f>
        <v>K1(2ndD)-SD ECA</v>
      </c>
      <c r="F57" s="154">
        <v>3</v>
      </c>
      <c r="G57" s="154" t="str">
        <f>E15</f>
        <v>K2(2ndE)-STANFORD WHITE</v>
      </c>
      <c r="H57" s="154">
        <v>15</v>
      </c>
      <c r="I57" s="154" t="s">
        <v>2036</v>
      </c>
      <c r="J57" s="154" t="s">
        <v>1004</v>
      </c>
    </row>
    <row r="58" spans="1:10">
      <c r="A58" s="239">
        <v>46054</v>
      </c>
      <c r="B58" s="238">
        <f>CHICLETS!V34</f>
        <v>0.58333333333333304</v>
      </c>
      <c r="C58" s="238" t="str">
        <f>CHICLETS!$AD$26</f>
        <v>SONORA HS</v>
      </c>
      <c r="D58" s="154" t="s">
        <v>2123</v>
      </c>
      <c r="E58" s="154" t="str">
        <f>B14</f>
        <v>H1(2ndA)-TRITON GOLD</v>
      </c>
      <c r="F58" s="154">
        <v>8.3000000000000007</v>
      </c>
      <c r="G58" s="240" t="str">
        <f>B15</f>
        <v>H2(2ndB)-LA JOLLA UNITED SILVER</v>
      </c>
      <c r="H58" s="154">
        <v>8.4</v>
      </c>
      <c r="I58" s="154" t="s">
        <v>2048</v>
      </c>
      <c r="J58" s="154" t="s">
        <v>1004</v>
      </c>
    </row>
    <row r="59" spans="1:10">
      <c r="A59" s="239">
        <v>46054</v>
      </c>
      <c r="B59" s="238">
        <f>CHICLETS!V35</f>
        <v>0.625</v>
      </c>
      <c r="C59" s="238" t="str">
        <f>CHICLETS!$AD$26</f>
        <v>SONORA HS</v>
      </c>
      <c r="D59" s="154" t="s">
        <v>2124</v>
      </c>
      <c r="E59" s="154" t="s">
        <v>2125</v>
      </c>
      <c r="F59" s="154">
        <v>8</v>
      </c>
      <c r="G59" s="154" t="s">
        <v>2126</v>
      </c>
      <c r="H59" s="154">
        <v>9</v>
      </c>
      <c r="I59" s="154" t="s">
        <v>1351</v>
      </c>
      <c r="J59" s="154" t="s">
        <v>1004</v>
      </c>
    </row>
    <row r="60" spans="1:10">
      <c r="A60" s="239">
        <v>46054</v>
      </c>
      <c r="B60" s="238">
        <f>CHICLETS!V36</f>
        <v>0.66666666666666696</v>
      </c>
      <c r="C60" s="238" t="str">
        <f>CHICLETS!$AD$26</f>
        <v>SONORA HS</v>
      </c>
      <c r="D60" s="154" t="s">
        <v>2127</v>
      </c>
      <c r="E60" s="154" t="s">
        <v>2128</v>
      </c>
      <c r="F60" s="154">
        <v>5</v>
      </c>
      <c r="G60" s="154" t="s">
        <v>2129</v>
      </c>
      <c r="H60" s="154">
        <v>4</v>
      </c>
      <c r="I60" s="154" t="s">
        <v>1314</v>
      </c>
      <c r="J60" s="154" t="s">
        <v>1004</v>
      </c>
    </row>
    <row r="61" spans="1:10">
      <c r="A61" s="239">
        <v>46054</v>
      </c>
      <c r="B61" s="238">
        <f>CHICLETS!V37</f>
        <v>0.70833333333333304</v>
      </c>
      <c r="C61" s="238" t="str">
        <f>CHICLETS!$AD$26</f>
        <v>SONORA HS</v>
      </c>
      <c r="D61" s="154" t="s">
        <v>2130</v>
      </c>
      <c r="E61" s="154" t="s">
        <v>2131</v>
      </c>
      <c r="F61" s="154">
        <v>12</v>
      </c>
      <c r="G61" s="154" t="s">
        <v>2132</v>
      </c>
      <c r="H61" s="154">
        <v>15</v>
      </c>
      <c r="I61" s="154" t="s">
        <v>1312</v>
      </c>
      <c r="J61" s="154" t="s">
        <v>1004</v>
      </c>
    </row>
    <row r="63" spans="1:10">
      <c r="A63" s="239">
        <v>46054</v>
      </c>
      <c r="B63" s="238">
        <f>CHICLETS!V27</f>
        <v>0.29166666666666669</v>
      </c>
      <c r="C63" s="238" t="str">
        <f>CHICLETS!$AA$26</f>
        <v>YORBA LINDA HS</v>
      </c>
      <c r="D63" s="154" t="s">
        <v>2133</v>
      </c>
      <c r="E63" s="154" t="str">
        <f>C14</f>
        <v>I1(3rdA)-BOA WHITE</v>
      </c>
      <c r="F63" s="154">
        <v>5</v>
      </c>
      <c r="G63" s="154" t="str">
        <f>C17</f>
        <v>I4(4thE)-SHORE AQUATICS</v>
      </c>
      <c r="H63" s="154">
        <v>8</v>
      </c>
      <c r="I63" s="154" t="s">
        <v>2071</v>
      </c>
      <c r="J63" s="154" t="s">
        <v>1004</v>
      </c>
    </row>
    <row r="64" spans="1:10">
      <c r="A64" s="239">
        <v>46054</v>
      </c>
      <c r="B64" s="238">
        <f>CHICLETS!V27</f>
        <v>0.29166666666666669</v>
      </c>
      <c r="C64" s="238" t="str">
        <f>CHICLETS!$AB$26</f>
        <v>WESTMINSTER HS</v>
      </c>
      <c r="D64" s="154" t="s">
        <v>2134</v>
      </c>
      <c r="E64" s="154" t="str">
        <f>C15</f>
        <v>I2(3rdB)-NORTH IRVINE</v>
      </c>
      <c r="F64" s="154">
        <v>6</v>
      </c>
      <c r="G64" s="154" t="str">
        <f>C16</f>
        <v>I3(3rdF)-SAN JOSE EXPRESS GOLD</v>
      </c>
      <c r="H64" s="154">
        <v>11</v>
      </c>
      <c r="I64" s="154" t="s">
        <v>2071</v>
      </c>
      <c r="J64" s="154" t="s">
        <v>1004</v>
      </c>
    </row>
    <row r="65" spans="1:10">
      <c r="A65" s="239">
        <v>46054</v>
      </c>
      <c r="B65" s="238">
        <f>CHICLETS!V27</f>
        <v>0.29166666666666669</v>
      </c>
      <c r="C65" s="238" t="str">
        <f>CHICLETS!$AC$26</f>
        <v>EDISON HS</v>
      </c>
      <c r="D65" s="154" t="s">
        <v>2135</v>
      </c>
      <c r="E65" s="154" t="str">
        <f>F14</f>
        <v>L1(3rdD)-LOYOLA WPC</v>
      </c>
      <c r="F65" s="154">
        <v>11</v>
      </c>
      <c r="G65" s="154" t="str">
        <f>F17</f>
        <v>L4(4thF)-SAN CLEMENTE BLACK</v>
      </c>
      <c r="H65" s="154">
        <v>8</v>
      </c>
      <c r="I65" s="154" t="s">
        <v>2068</v>
      </c>
      <c r="J65" s="154" t="s">
        <v>1004</v>
      </c>
    </row>
    <row r="66" spans="1:10">
      <c r="A66" s="239">
        <v>46054</v>
      </c>
      <c r="B66" s="238">
        <f>CHICLETS!V28</f>
        <v>0.33333333333333298</v>
      </c>
      <c r="C66" s="238" t="str">
        <f>CHICLETS!$AC$26</f>
        <v>EDISON HS</v>
      </c>
      <c r="D66" s="154" t="s">
        <v>2136</v>
      </c>
      <c r="E66" s="154" t="str">
        <f>F15</f>
        <v>L2(3rdE)-LV LEGENDS</v>
      </c>
      <c r="F66" s="154">
        <v>5</v>
      </c>
      <c r="G66" s="154" t="str">
        <f>F16</f>
        <v>L3(3rdC)-SET</v>
      </c>
      <c r="H66" s="154">
        <v>11</v>
      </c>
      <c r="I66" s="154" t="s">
        <v>2068</v>
      </c>
      <c r="J66" s="154" t="s">
        <v>1004</v>
      </c>
    </row>
    <row r="68" spans="1:10">
      <c r="A68" s="239">
        <v>46054</v>
      </c>
      <c r="B68" s="238">
        <f>CHICLETS!V31</f>
        <v>0.45833333333333298</v>
      </c>
      <c r="C68" s="238" t="str">
        <f>CHICLETS!$AB$26</f>
        <v>WESTMINSTER HS</v>
      </c>
      <c r="D68" s="154" t="s">
        <v>2137</v>
      </c>
      <c r="E68" s="154" t="str">
        <f>IF(F63="","W#36",IF(F63&gt;H63,_xlfn.CONCAT("W#36-",RIGHT(E63,LEN(E63) - FIND("-",E63))), _xlfn.CONCAT("W#36-",RIGHT(G63,LEN(G63) - FIND("-",G63)))))</f>
        <v>W#36-SHORE AQUATICS</v>
      </c>
      <c r="F68" s="154">
        <v>8</v>
      </c>
      <c r="G68" s="154" t="str">
        <f>IF(F64="","W#37",IF(F64&gt;H64,_xlfn.CONCAT("W#37-",RIGHT(E64,LEN(E64) - FIND("-",E64))), _xlfn.CONCAT("W#37-",RIGHT(G64,LEN(G64) - FIND("-",G64)))))</f>
        <v>W#37-SAN JOSE EXPRESS GOLD</v>
      </c>
      <c r="H68" s="154">
        <v>11</v>
      </c>
      <c r="I68" s="154" t="s">
        <v>2076</v>
      </c>
      <c r="J68" s="154" t="s">
        <v>1004</v>
      </c>
    </row>
    <row r="69" spans="1:10">
      <c r="A69" s="239">
        <v>46054</v>
      </c>
      <c r="B69" s="238">
        <f>CHICLETS!V31</f>
        <v>0.45833333333333298</v>
      </c>
      <c r="C69" s="238" t="str">
        <f>CHICLETS!$AC$26</f>
        <v>EDISON HS</v>
      </c>
      <c r="D69" s="154" t="s">
        <v>2138</v>
      </c>
      <c r="E69" s="154" t="str">
        <f>IF(F65="","W#33",IF(F65&gt;H65,_xlfn.CONCAT("W#33-",RIGHT(E65,LEN(E65) - FIND("-",E65))), _xlfn.CONCAT("W#33-",RIGHT(G65,LEN(G65) - FIND("-",G65)))))</f>
        <v>W#33-LOYOLA WPC</v>
      </c>
      <c r="F69" s="154">
        <v>8</v>
      </c>
      <c r="G69" s="154" t="str">
        <f>IF(F66="","W#35",IF(F66&gt;H66,_xlfn.CONCAT("W#35-",RIGHT(E66,LEN(E66) - FIND("-",E66))), _xlfn.CONCAT("W#35-",RIGHT(G66,LEN(G66) - FIND("-",G66)))))</f>
        <v>W#35-SET</v>
      </c>
      <c r="H69" s="154">
        <v>7</v>
      </c>
      <c r="I69" s="154" t="s">
        <v>1991</v>
      </c>
      <c r="J69" s="154" t="s">
        <v>1004</v>
      </c>
    </row>
    <row r="70" spans="1:10">
      <c r="A70" s="239">
        <v>46054</v>
      </c>
      <c r="B70" s="238">
        <f>CHICLETS!V32</f>
        <v>0.5</v>
      </c>
      <c r="C70" s="238" t="str">
        <f>CHICLETS!$AC$26</f>
        <v>EDISON HS</v>
      </c>
      <c r="D70" s="154" t="s">
        <v>2139</v>
      </c>
      <c r="E70" s="154" t="str">
        <f>IF(F65="","L#33",IF(F65&lt;H65,_xlfn.CONCAT("L#33-",RIGHT(E65,LEN(E65) - FIND("-",E65))), _xlfn.CONCAT("L#33-",RIGHT(G65,LEN(G65) - FIND("-",G65)))))</f>
        <v>L#33-SAN CLEMENTE BLACK</v>
      </c>
      <c r="F70" s="154">
        <v>4</v>
      </c>
      <c r="G70" s="154" t="str">
        <f>IF(F66="","L#35",IF(F66&lt;H66,_xlfn.CONCAT("L#35-",RIGHT(E66,LEN(E66) - FIND("-",E66))), _xlfn.CONCAT("L#35-",RIGHT(G66,LEN(G66) - FIND("-",G66)))))</f>
        <v>L#35-LV LEGENDS</v>
      </c>
      <c r="H70" s="154">
        <v>7</v>
      </c>
      <c r="I70" s="154" t="s">
        <v>1993</v>
      </c>
      <c r="J70" s="154" t="s">
        <v>1004</v>
      </c>
    </row>
    <row r="71" spans="1:10">
      <c r="A71" s="239">
        <v>46054</v>
      </c>
      <c r="B71" s="238">
        <f>CHICLETS!V32</f>
        <v>0.5</v>
      </c>
      <c r="C71" s="238" t="str">
        <f>CHICLETS!$AB$26</f>
        <v>WESTMINSTER HS</v>
      </c>
      <c r="D71" s="154" t="s">
        <v>2140</v>
      </c>
      <c r="E71" s="154" t="str">
        <f>IF(F63="","L#36",IF(F63&lt;H63,_xlfn.CONCAT("L#36-",RIGHT(E63,LEN(E63) - FIND("-",E63))), _xlfn.CONCAT("L#36-",RIGHT(G63,LEN(G63) - FIND("-",G63)))))</f>
        <v>L#36-BOA WHITE</v>
      </c>
      <c r="F71" s="154">
        <v>3</v>
      </c>
      <c r="G71" s="154" t="str">
        <f>IF(F64="","L#37",IF(F64&lt;H64,_xlfn.CONCAT("L#37-",RIGHT(E64,LEN(E64) - FIND("-",E64))), _xlfn.CONCAT("L#37-",RIGHT(G64,LEN(G64) - FIND("-",G64)))))</f>
        <v>L#37-NORTH IRVINE</v>
      </c>
      <c r="H71" s="154">
        <v>21</v>
      </c>
      <c r="I71" s="154" t="s">
        <v>2079</v>
      </c>
      <c r="J71" s="154" t="s">
        <v>1004</v>
      </c>
    </row>
    <row r="73" spans="1:10">
      <c r="I73" s="154" t="s">
        <v>1312</v>
      </c>
      <c r="J73" s="154" t="s">
        <v>2141</v>
      </c>
    </row>
    <row r="74" spans="1:10">
      <c r="I74" s="154" t="s">
        <v>1313</v>
      </c>
      <c r="J74" s="154" t="s">
        <v>719</v>
      </c>
    </row>
    <row r="75" spans="1:10">
      <c r="I75" s="154" t="s">
        <v>1314</v>
      </c>
      <c r="J75" s="154" t="s">
        <v>1030</v>
      </c>
    </row>
  </sheetData>
  <hyperlinks>
    <hyperlink ref="B2" r:id="rId1" xr:uid="{8BB05AAA-0113-4D0B-A8B8-74BBD1BE72BC}"/>
    <hyperlink ref="C2" r:id="rId2" xr:uid="{1F640B6A-FE47-4378-BD8F-4705BC125C8F}"/>
    <hyperlink ref="A2" r:id="rId3" xr:uid="{7462C025-0C00-4C1A-83FA-7F73888A05DB}"/>
  </hyperlinks>
  <pageMargins left="0.7" right="0.7" top="0.75" bottom="0.75" header="0.3" footer="0.3"/>
  <pageSetup scale="71" orientation="landscape" horizontalDpi="300" verticalDpi="300" r:id="rId4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F2104-6047-4FF7-A33E-6A2564384256}">
  <sheetPr>
    <tabColor rgb="FFBCE4CC"/>
    <pageSetUpPr fitToPage="1"/>
  </sheetPr>
  <dimension ref="A1:J74"/>
  <sheetViews>
    <sheetView workbookViewId="0"/>
  </sheetViews>
  <sheetFormatPr defaultColWidth="9.140625" defaultRowHeight="18"/>
  <cols>
    <col min="1" max="1" width="42" style="14" bestFit="1" customWidth="1"/>
    <col min="2" max="2" width="44" style="14" bestFit="1" customWidth="1"/>
    <col min="3" max="3" width="56.42578125" style="14" bestFit="1" customWidth="1"/>
    <col min="4" max="4" width="42.5703125" style="14" bestFit="1" customWidth="1"/>
    <col min="5" max="5" width="56.42578125" style="14" bestFit="1" customWidth="1"/>
    <col min="6" max="6" width="50.140625" style="14" bestFit="1" customWidth="1"/>
    <col min="7" max="7" width="42.5703125" style="14" bestFit="1" customWidth="1"/>
    <col min="8" max="8" width="7.140625" style="14" customWidth="1"/>
    <col min="9" max="9" width="23.28515625" style="14" customWidth="1"/>
    <col min="10" max="10" width="33.85546875" style="14" bestFit="1" customWidth="1"/>
    <col min="11" max="16384" width="9.140625" style="14"/>
  </cols>
  <sheetData>
    <row r="1" spans="1:10">
      <c r="A1" s="2" t="s">
        <v>30</v>
      </c>
      <c r="B1" s="69" t="s">
        <v>2142</v>
      </c>
      <c r="C1" s="120" t="s">
        <v>1775</v>
      </c>
      <c r="D1" s="2" t="s">
        <v>2143</v>
      </c>
      <c r="E1" s="2"/>
      <c r="F1" s="2"/>
      <c r="G1" s="2"/>
    </row>
    <row r="2" spans="1:10">
      <c r="A2" s="119" t="s">
        <v>1237</v>
      </c>
      <c r="B2" s="118" t="s">
        <v>1238</v>
      </c>
      <c r="C2" s="117" t="s">
        <v>1239</v>
      </c>
      <c r="D2" s="2"/>
      <c r="E2" s="2"/>
      <c r="F2" s="2"/>
      <c r="G2" s="2"/>
    </row>
    <row r="3" spans="1:10">
      <c r="A3" s="8" t="s">
        <v>644</v>
      </c>
      <c r="B3" s="8" t="s">
        <v>645</v>
      </c>
      <c r="C3" s="8" t="s">
        <v>646</v>
      </c>
      <c r="D3" s="8" t="s">
        <v>647</v>
      </c>
      <c r="E3" s="8" t="s">
        <v>723</v>
      </c>
      <c r="F3" s="69" t="s">
        <v>724</v>
      </c>
      <c r="H3" s="8"/>
    </row>
    <row r="4" spans="1:10">
      <c r="A4" s="14">
        <v>1</v>
      </c>
      <c r="B4" s="14">
        <v>4</v>
      </c>
      <c r="C4" s="14">
        <v>5</v>
      </c>
      <c r="D4" s="14">
        <v>2</v>
      </c>
      <c r="E4" s="14">
        <v>3</v>
      </c>
      <c r="F4" s="14">
        <v>6</v>
      </c>
      <c r="H4" s="2"/>
    </row>
    <row r="5" spans="1:10">
      <c r="A5" s="14">
        <v>12</v>
      </c>
      <c r="B5" s="14">
        <v>9</v>
      </c>
      <c r="C5" s="14">
        <v>8</v>
      </c>
      <c r="D5" s="14">
        <v>11</v>
      </c>
      <c r="E5" s="14">
        <v>10</v>
      </c>
      <c r="F5" s="14">
        <v>7</v>
      </c>
      <c r="H5" s="2"/>
    </row>
    <row r="6" spans="1:10">
      <c r="A6" s="14">
        <v>13</v>
      </c>
      <c r="B6" s="14">
        <v>16</v>
      </c>
      <c r="C6" s="14">
        <v>17</v>
      </c>
      <c r="D6" s="14">
        <v>14</v>
      </c>
      <c r="E6" s="14">
        <v>15</v>
      </c>
      <c r="F6" s="14">
        <v>18</v>
      </c>
      <c r="H6" s="2"/>
    </row>
    <row r="7" spans="1:10">
      <c r="F7" s="14">
        <v>19</v>
      </c>
    </row>
    <row r="8" spans="1:10">
      <c r="A8" s="101" t="s">
        <v>644</v>
      </c>
      <c r="B8" s="101" t="s">
        <v>645</v>
      </c>
      <c r="C8" s="102" t="s">
        <v>646</v>
      </c>
      <c r="D8" s="103" t="s">
        <v>647</v>
      </c>
      <c r="E8" s="103" t="s">
        <v>723</v>
      </c>
      <c r="F8" s="103" t="s">
        <v>724</v>
      </c>
      <c r="H8" s="2"/>
    </row>
    <row r="9" spans="1:10">
      <c r="A9" s="72" t="s">
        <v>1037</v>
      </c>
      <c r="B9" s="72" t="s">
        <v>1038</v>
      </c>
      <c r="C9" s="72" t="s">
        <v>1039</v>
      </c>
      <c r="D9" s="71" t="s">
        <v>1040</v>
      </c>
      <c r="E9" s="71" t="s">
        <v>1041</v>
      </c>
      <c r="F9" s="71" t="s">
        <v>1042</v>
      </c>
      <c r="H9" s="2"/>
    </row>
    <row r="10" spans="1:10">
      <c r="A10" s="72" t="s">
        <v>1043</v>
      </c>
      <c r="B10" s="72" t="s">
        <v>1044</v>
      </c>
      <c r="C10" s="72" t="s">
        <v>1045</v>
      </c>
      <c r="D10" s="71" t="s">
        <v>1046</v>
      </c>
      <c r="E10" s="71" t="s">
        <v>1047</v>
      </c>
      <c r="F10" s="71" t="s">
        <v>1048</v>
      </c>
      <c r="H10" s="2"/>
    </row>
    <row r="11" spans="1:10">
      <c r="A11" s="72" t="s">
        <v>1049</v>
      </c>
      <c r="B11" s="72" t="s">
        <v>1050</v>
      </c>
      <c r="C11" s="72" t="s">
        <v>1051</v>
      </c>
      <c r="D11" s="71" t="s">
        <v>1052</v>
      </c>
      <c r="E11" s="71" t="s">
        <v>1053</v>
      </c>
      <c r="F11" s="71" t="s">
        <v>1054</v>
      </c>
      <c r="H11" s="2"/>
    </row>
    <row r="12" spans="1:10">
      <c r="A12" s="14" t="s">
        <v>910</v>
      </c>
      <c r="B12" s="14" t="s">
        <v>910</v>
      </c>
      <c r="C12" s="14" t="s">
        <v>910</v>
      </c>
      <c r="D12" s="14" t="s">
        <v>910</v>
      </c>
      <c r="E12" s="14" t="s">
        <v>910</v>
      </c>
      <c r="F12" s="71" t="s">
        <v>1056</v>
      </c>
    </row>
    <row r="14" spans="1:10">
      <c r="A14" s="101" t="s">
        <v>1057</v>
      </c>
      <c r="B14" s="101" t="s">
        <v>1058</v>
      </c>
      <c r="C14" s="101" t="s">
        <v>1059</v>
      </c>
      <c r="D14" s="104" t="s">
        <v>1060</v>
      </c>
      <c r="E14" s="104" t="s">
        <v>1061</v>
      </c>
      <c r="F14" s="104" t="s">
        <v>1062</v>
      </c>
      <c r="H14" s="31"/>
      <c r="I14" s="31"/>
      <c r="J14" s="31"/>
    </row>
    <row r="15" spans="1:10">
      <c r="A15" s="70" t="s">
        <v>2144</v>
      </c>
      <c r="B15" s="70" t="s">
        <v>2145</v>
      </c>
      <c r="C15" s="70" t="s">
        <v>2146</v>
      </c>
      <c r="D15" s="73" t="s">
        <v>2147</v>
      </c>
      <c r="E15" s="73" t="s">
        <v>2148</v>
      </c>
      <c r="F15" s="73" t="s">
        <v>2149</v>
      </c>
      <c r="H15" s="31"/>
      <c r="I15" s="31"/>
      <c r="J15" s="31"/>
    </row>
    <row r="16" spans="1:10">
      <c r="A16" s="70" t="s">
        <v>2150</v>
      </c>
      <c r="B16" s="70" t="s">
        <v>2151</v>
      </c>
      <c r="C16" s="70" t="s">
        <v>2152</v>
      </c>
      <c r="D16" s="73" t="s">
        <v>2153</v>
      </c>
      <c r="E16" s="73" t="s">
        <v>2154</v>
      </c>
      <c r="F16" s="73" t="s">
        <v>2155</v>
      </c>
      <c r="H16" s="31"/>
      <c r="I16" s="31"/>
      <c r="J16" s="31"/>
    </row>
    <row r="17" spans="1:10">
      <c r="A17" s="70" t="s">
        <v>2156</v>
      </c>
      <c r="B17" s="70" t="str">
        <f>IF(F42="","H3(1stF)-",IF(F42&gt;H42,_xlfn.CONCAT("H3(1stF)-",RIGHT(E42,LEN(E42) - FIND("-",E42))), _xlfn.CONCAT("H3(1stF)-",RIGHT(G42,LEN(G42) - FIND("-",G42)))))</f>
        <v>H3(1stF)-LA JOLLA UNITED GOLD</v>
      </c>
      <c r="C17" s="70" t="s">
        <v>2157</v>
      </c>
      <c r="D17" s="73" t="str">
        <f>IF(F42="","J3(2ndF)-",IF(F42&lt;H42,_xlfn.CONCAT("J3(2ndF)-",RIGHT(E42,LEN(E42) - FIND("-",E42))), _xlfn.CONCAT("J3(2ndF)-",RIGHT(G42,LEN(G42) - FIND("-",G42)))))</f>
        <v>J3(2ndF)-680 BLUE</v>
      </c>
      <c r="E17" s="73" t="s">
        <v>2158</v>
      </c>
      <c r="F17" s="73" t="str">
        <f>IF(F41="","L3(3rdF)-",IF(F41&gt;H41,_xlfn.CONCAT("L3(3rdF)-",RIGHT(E41,LEN(E41) - FIND("-",E41))), _xlfn.CONCAT("L3(3rdF)-",RIGHT(G41,LEN(G41) - FIND("-",G41)))))</f>
        <v>L3(3rdF)-VANGUARD SILVER</v>
      </c>
      <c r="H17" s="31"/>
      <c r="I17" s="31"/>
      <c r="J17" s="31"/>
    </row>
    <row r="18" spans="1:10">
      <c r="F18" s="73" t="str">
        <f>IF(F41="","L4(4thF)-",IF(F41&lt;H41,_xlfn.CONCAT("L4(4thF)-",RIGHT(E41,LEN(E41) - FIND("-",E41))), _xlfn.CONCAT("L4(4thF)-",RIGHT(G41,LEN(G41) - FIND("-",G41)))))</f>
        <v>L4(4thF)-BIG VALLEY</v>
      </c>
      <c r="H18" s="31"/>
      <c r="I18" s="31"/>
      <c r="J18" s="31"/>
    </row>
    <row r="19" spans="1:10">
      <c r="A19" s="101" t="s">
        <v>1076</v>
      </c>
      <c r="B19" s="101" t="s">
        <v>1077</v>
      </c>
      <c r="H19" s="31"/>
      <c r="I19" s="31"/>
      <c r="J19" s="31"/>
    </row>
    <row r="20" spans="1:10">
      <c r="A20" s="70" t="s">
        <v>2159</v>
      </c>
      <c r="B20" s="70" t="s">
        <v>2160</v>
      </c>
      <c r="H20" s="31"/>
      <c r="I20" s="31"/>
      <c r="J20" s="31"/>
    </row>
    <row r="21" spans="1:10">
      <c r="A21" s="70" t="s">
        <v>2161</v>
      </c>
      <c r="B21" s="70" t="s">
        <v>2162</v>
      </c>
      <c r="H21" s="31"/>
      <c r="I21" s="31"/>
      <c r="J21" s="31"/>
    </row>
    <row r="22" spans="1:10">
      <c r="A22" s="167"/>
      <c r="B22" s="167"/>
      <c r="H22" s="31"/>
      <c r="I22" s="31"/>
      <c r="J22" s="31"/>
    </row>
    <row r="23" spans="1:10">
      <c r="A23" s="8" t="s">
        <v>1240</v>
      </c>
      <c r="B23" s="116" t="s">
        <v>1241</v>
      </c>
      <c r="C23" s="8" t="s">
        <v>1242</v>
      </c>
      <c r="D23" s="8" t="s">
        <v>1243</v>
      </c>
      <c r="E23" s="8" t="s">
        <v>1244</v>
      </c>
      <c r="F23" s="8" t="s">
        <v>1245</v>
      </c>
      <c r="G23" s="8" t="s">
        <v>1246</v>
      </c>
      <c r="H23" s="8" t="s">
        <v>1245</v>
      </c>
      <c r="I23" s="8" t="s">
        <v>11</v>
      </c>
      <c r="J23" s="8" t="s">
        <v>1180</v>
      </c>
    </row>
    <row r="24" spans="1:10">
      <c r="A24" s="247">
        <v>46053</v>
      </c>
      <c r="B24" s="246">
        <f>CHICLETS!V5</f>
        <v>0.29166666666666669</v>
      </c>
      <c r="C24" s="246" t="str">
        <f>CHICLETS!$AB$4</f>
        <v>WESTMINSTER HS</v>
      </c>
      <c r="D24" s="151" t="s">
        <v>2163</v>
      </c>
      <c r="E24" s="151" t="str">
        <f>A9</f>
        <v>A1-SAN JOSE EXPRESS BLUE</v>
      </c>
      <c r="F24" s="151">
        <v>11</v>
      </c>
      <c r="G24" s="151" t="str">
        <f>A11</f>
        <v>A3-AMERICAN RIVER GOLD</v>
      </c>
      <c r="H24" s="151">
        <v>7</v>
      </c>
      <c r="I24" s="151" t="s">
        <v>2018</v>
      </c>
      <c r="J24" s="151" t="s">
        <v>1032</v>
      </c>
    </row>
    <row r="25" spans="1:10">
      <c r="A25" s="247">
        <v>46053</v>
      </c>
      <c r="B25" s="246">
        <f>CHICLETS!V6</f>
        <v>0.33333333333333298</v>
      </c>
      <c r="C25" s="246" t="str">
        <f>CHICLETS!$AB$4</f>
        <v>WESTMINSTER HS</v>
      </c>
      <c r="D25" s="151" t="s">
        <v>2164</v>
      </c>
      <c r="E25" s="151" t="str">
        <f>B9</f>
        <v>B1-CMAC</v>
      </c>
      <c r="F25" s="151">
        <v>6</v>
      </c>
      <c r="G25" s="151" t="str">
        <f>B11</f>
        <v>B3-SOUTH COAST WHITE (B)</v>
      </c>
      <c r="H25" s="151">
        <v>14</v>
      </c>
      <c r="I25" s="151" t="s">
        <v>2016</v>
      </c>
      <c r="J25" s="151" t="s">
        <v>1032</v>
      </c>
    </row>
    <row r="26" spans="1:10">
      <c r="A26" s="247">
        <v>46053</v>
      </c>
      <c r="B26" s="246">
        <f>CHICLETS!V7</f>
        <v>0.375</v>
      </c>
      <c r="C26" s="246" t="str">
        <f>CHICLETS!$AB$4</f>
        <v>WESTMINSTER HS</v>
      </c>
      <c r="D26" s="151" t="s">
        <v>2165</v>
      </c>
      <c r="E26" s="151" t="str">
        <f>C9</f>
        <v>C1-ST LOUIS AREA POLO</v>
      </c>
      <c r="F26" s="151">
        <v>5</v>
      </c>
      <c r="G26" s="151" t="str">
        <f>C11</f>
        <v>C3-TROJAN GOLD</v>
      </c>
      <c r="H26" s="151">
        <v>6</v>
      </c>
      <c r="I26" s="151" t="s">
        <v>2038</v>
      </c>
      <c r="J26" s="151" t="s">
        <v>1032</v>
      </c>
    </row>
    <row r="27" spans="1:10">
      <c r="A27" s="247">
        <v>46053</v>
      </c>
      <c r="B27" s="246">
        <f>CHICLETS!V8</f>
        <v>0.41666666666666702</v>
      </c>
      <c r="C27" s="246" t="str">
        <f>CHICLETS!$AB$4</f>
        <v>WESTMINSTER HS</v>
      </c>
      <c r="D27" s="151" t="s">
        <v>2166</v>
      </c>
      <c r="E27" s="151" t="str">
        <f>A10</f>
        <v>A2-CHANNEL ISLANDS UNITED BLUE</v>
      </c>
      <c r="F27" s="151">
        <v>8.4</v>
      </c>
      <c r="G27" s="151" t="str">
        <f>A11</f>
        <v>A3-AMERICAN RIVER GOLD</v>
      </c>
      <c r="H27" s="151">
        <v>8.1</v>
      </c>
      <c r="I27" s="151" t="s">
        <v>2018</v>
      </c>
      <c r="J27" s="151" t="s">
        <v>1032</v>
      </c>
    </row>
    <row r="28" spans="1:10">
      <c r="A28" s="247">
        <v>46053</v>
      </c>
      <c r="B28" s="246">
        <f>CHICLETS!V9</f>
        <v>0.45833333333333298</v>
      </c>
      <c r="C28" s="246" t="str">
        <f>CHICLETS!$AB$4</f>
        <v>WESTMINSTER HS</v>
      </c>
      <c r="D28" s="151" t="s">
        <v>2167</v>
      </c>
      <c r="E28" s="151" t="str">
        <f>B10</f>
        <v>B2-DAVIS BLUE</v>
      </c>
      <c r="F28" s="151">
        <v>12</v>
      </c>
      <c r="G28" s="151" t="str">
        <f>B11</f>
        <v>B3-SOUTH COAST WHITE (B)</v>
      </c>
      <c r="H28" s="151">
        <v>18</v>
      </c>
      <c r="I28" s="151" t="s">
        <v>2016</v>
      </c>
      <c r="J28" s="151" t="s">
        <v>1032</v>
      </c>
    </row>
    <row r="29" spans="1:10">
      <c r="A29" s="247">
        <v>46053</v>
      </c>
      <c r="B29" s="246">
        <f>CHICLETS!V10</f>
        <v>0.5</v>
      </c>
      <c r="C29" s="246" t="str">
        <f>CHICLETS!$AB$4</f>
        <v>WESTMINSTER HS</v>
      </c>
      <c r="D29" s="151" t="s">
        <v>2168</v>
      </c>
      <c r="E29" s="151" t="str">
        <f>C10</f>
        <v>C2-CAL REPUBLIC</v>
      </c>
      <c r="F29" s="151">
        <v>12</v>
      </c>
      <c r="G29" s="151" t="str">
        <f>C11</f>
        <v>C3-TROJAN GOLD</v>
      </c>
      <c r="H29" s="151">
        <v>8</v>
      </c>
      <c r="I29" s="151" t="s">
        <v>2038</v>
      </c>
      <c r="J29" s="151" t="s">
        <v>1032</v>
      </c>
    </row>
    <row r="30" spans="1:10">
      <c r="A30" s="167"/>
      <c r="B30" s="167"/>
      <c r="H30" s="31"/>
      <c r="I30" s="31"/>
      <c r="J30" s="31"/>
    </row>
    <row r="31" spans="1:10">
      <c r="A31" s="247">
        <v>46053</v>
      </c>
      <c r="B31" s="246">
        <f>CHICLETS!V13</f>
        <v>0.625</v>
      </c>
      <c r="C31" s="246" t="str">
        <f>CHICLETS!$AB$4</f>
        <v>WESTMINSTER HS</v>
      </c>
      <c r="D31" s="151" t="s">
        <v>2169</v>
      </c>
      <c r="E31" s="151" t="str">
        <f>A9</f>
        <v>A1-SAN JOSE EXPRESS BLUE</v>
      </c>
      <c r="F31" s="151">
        <v>20</v>
      </c>
      <c r="G31" s="151" t="str">
        <f>A10</f>
        <v>A2-CHANNEL ISLANDS UNITED BLUE</v>
      </c>
      <c r="H31" s="151">
        <v>3</v>
      </c>
      <c r="I31" s="151" t="s">
        <v>2018</v>
      </c>
      <c r="J31" s="151" t="s">
        <v>1032</v>
      </c>
    </row>
    <row r="32" spans="1:10">
      <c r="A32" s="247">
        <v>46053</v>
      </c>
      <c r="B32" s="246">
        <f>CHICLETS!V14</f>
        <v>0.66666666666666696</v>
      </c>
      <c r="C32" s="246" t="str">
        <f>CHICLETS!$AB$4</f>
        <v>WESTMINSTER HS</v>
      </c>
      <c r="D32" s="151" t="s">
        <v>2170</v>
      </c>
      <c r="E32" s="151" t="str">
        <f>B9</f>
        <v>B1-CMAC</v>
      </c>
      <c r="F32" s="151">
        <v>11</v>
      </c>
      <c r="G32" s="151" t="str">
        <f>B10</f>
        <v>B2-DAVIS BLUE</v>
      </c>
      <c r="H32" s="151">
        <v>13</v>
      </c>
      <c r="I32" s="151" t="s">
        <v>2016</v>
      </c>
      <c r="J32" s="151" t="s">
        <v>1032</v>
      </c>
    </row>
    <row r="33" spans="1:10">
      <c r="A33" s="247">
        <v>46053</v>
      </c>
      <c r="B33" s="246">
        <f>CHICLETS!V15</f>
        <v>0.70833333333333304</v>
      </c>
      <c r="C33" s="246" t="str">
        <f>CHICLETS!$AB$4</f>
        <v>WESTMINSTER HS</v>
      </c>
      <c r="D33" s="151" t="s">
        <v>2171</v>
      </c>
      <c r="E33" s="151" t="str">
        <f>C9</f>
        <v>C1-ST LOUIS AREA POLO</v>
      </c>
      <c r="F33" s="151">
        <v>10</v>
      </c>
      <c r="G33" s="151" t="str">
        <f>C10</f>
        <v>C2-CAL REPUBLIC</v>
      </c>
      <c r="H33" s="151">
        <v>11</v>
      </c>
      <c r="I33" s="151" t="s">
        <v>2038</v>
      </c>
      <c r="J33" s="151" t="s">
        <v>1032</v>
      </c>
    </row>
    <row r="34" spans="1:10">
      <c r="A34" s="166"/>
      <c r="B34" s="248"/>
      <c r="C34" s="31"/>
      <c r="D34" s="2"/>
      <c r="J34" s="2"/>
    </row>
    <row r="35" spans="1:10">
      <c r="A35" s="244">
        <v>46053</v>
      </c>
      <c r="B35" s="243">
        <f>CHICLETS!V5</f>
        <v>0.29166666666666669</v>
      </c>
      <c r="C35" s="243" t="str">
        <f>CHICLETS!$AC$4</f>
        <v>EDISON HS</v>
      </c>
      <c r="D35" s="152" t="s">
        <v>2172</v>
      </c>
      <c r="E35" s="245" t="str">
        <f>D10</f>
        <v>D2-CC UNITED BLUE</v>
      </c>
      <c r="F35" s="242">
        <v>15</v>
      </c>
      <c r="G35" s="245" t="str">
        <f>D11</f>
        <v>D3-BOA BLUE</v>
      </c>
      <c r="H35" s="242">
        <v>2</v>
      </c>
      <c r="I35" s="241" t="s">
        <v>2014</v>
      </c>
      <c r="J35" s="152" t="s">
        <v>1032</v>
      </c>
    </row>
    <row r="36" spans="1:10">
      <c r="A36" s="244">
        <v>46053</v>
      </c>
      <c r="B36" s="243">
        <f>CHICLETS!V6</f>
        <v>0.33333333333333298</v>
      </c>
      <c r="C36" s="243" t="str">
        <f>CHICLETS!$AC$4</f>
        <v>EDISON HS</v>
      </c>
      <c r="D36" s="152" t="s">
        <v>2173</v>
      </c>
      <c r="E36" s="243" t="str">
        <f>E9</f>
        <v>E1-CT PREMIER</v>
      </c>
      <c r="F36" s="241">
        <v>8</v>
      </c>
      <c r="G36" s="243" t="str">
        <f>E11</f>
        <v>E3-STANFORD BLACK</v>
      </c>
      <c r="H36" s="242">
        <v>6</v>
      </c>
      <c r="I36" s="241" t="s">
        <v>2174</v>
      </c>
      <c r="J36" s="152" t="s">
        <v>1032</v>
      </c>
    </row>
    <row r="37" spans="1:10">
      <c r="A37" s="244">
        <v>46053</v>
      </c>
      <c r="B37" s="243">
        <f>CHICLETS!V7</f>
        <v>0.375</v>
      </c>
      <c r="C37" s="243" t="str">
        <f>CHICLETS!$AC$4</f>
        <v>EDISON HS</v>
      </c>
      <c r="D37" s="152" t="s">
        <v>2175</v>
      </c>
      <c r="E37" s="245" t="str">
        <f>F9</f>
        <v>F1-BIG VALLEY</v>
      </c>
      <c r="F37" s="242">
        <v>4</v>
      </c>
      <c r="G37" s="245" t="str">
        <f>F12</f>
        <v>F4-680 BLUE</v>
      </c>
      <c r="H37" s="242">
        <v>14</v>
      </c>
      <c r="I37" s="241" t="s">
        <v>2176</v>
      </c>
      <c r="J37" s="152" t="s">
        <v>1032</v>
      </c>
    </row>
    <row r="38" spans="1:10">
      <c r="A38" s="244">
        <v>46053</v>
      </c>
      <c r="B38" s="243">
        <f>CHICLETS!V8</f>
        <v>0.41666666666666702</v>
      </c>
      <c r="C38" s="243" t="str">
        <f>CHICLETS!$AC$4</f>
        <v>EDISON HS</v>
      </c>
      <c r="D38" s="152" t="s">
        <v>2177</v>
      </c>
      <c r="E38" s="243" t="str">
        <f>F10</f>
        <v>F2-LA JOLLA UNITED GOLD</v>
      </c>
      <c r="F38" s="241">
        <v>8.6</v>
      </c>
      <c r="G38" s="243" t="str">
        <f>F11</f>
        <v>F3-VANGUARD SILVER</v>
      </c>
      <c r="H38" s="242">
        <v>8.5</v>
      </c>
      <c r="I38" s="241" t="s">
        <v>2176</v>
      </c>
      <c r="J38" s="152" t="s">
        <v>1032</v>
      </c>
    </row>
    <row r="39" spans="1:10">
      <c r="A39" s="244">
        <v>46053</v>
      </c>
      <c r="B39" s="243">
        <f>CHICLETS!V9</f>
        <v>0.45833333333333298</v>
      </c>
      <c r="C39" s="243" t="str">
        <f>CHICLETS!$AC$4</f>
        <v>EDISON HS</v>
      </c>
      <c r="D39" s="152" t="s">
        <v>2178</v>
      </c>
      <c r="E39" s="279" t="str">
        <f>D9</f>
        <v>D1-POWAY VALLEY BLACK</v>
      </c>
      <c r="F39" s="242">
        <v>17</v>
      </c>
      <c r="G39" s="245" t="str">
        <f>D11</f>
        <v>D3-BOA BLUE</v>
      </c>
      <c r="H39" s="242">
        <v>4</v>
      </c>
      <c r="I39" s="241" t="s">
        <v>2014</v>
      </c>
      <c r="J39" s="152" t="s">
        <v>1032</v>
      </c>
    </row>
    <row r="40" spans="1:10">
      <c r="A40" s="244">
        <v>46053</v>
      </c>
      <c r="B40" s="243">
        <f>CHICLETS!V10</f>
        <v>0.5</v>
      </c>
      <c r="C40" s="243" t="str">
        <f>CHICLETS!$AC$4</f>
        <v>EDISON HS</v>
      </c>
      <c r="D40" s="152" t="s">
        <v>2179</v>
      </c>
      <c r="E40" s="243" t="str">
        <f>E10</f>
        <v>E2-ORANGE COUNTY WPC BLUE</v>
      </c>
      <c r="F40" s="241">
        <v>2</v>
      </c>
      <c r="G40" s="243" t="str">
        <f>E11</f>
        <v>E3-STANFORD BLACK</v>
      </c>
      <c r="H40" s="242">
        <v>14</v>
      </c>
      <c r="I40" s="241" t="s">
        <v>2174</v>
      </c>
      <c r="J40" s="152" t="s">
        <v>1032</v>
      </c>
    </row>
    <row r="41" spans="1:10">
      <c r="A41" s="244">
        <v>46053</v>
      </c>
      <c r="B41" s="243">
        <f>CHICLETS!V11</f>
        <v>0.54166666666666696</v>
      </c>
      <c r="C41" s="243" t="str">
        <f>CHICLETS!$AC$4</f>
        <v>EDISON HS</v>
      </c>
      <c r="D41" s="152" t="s">
        <v>2180</v>
      </c>
      <c r="E41" s="245" t="str">
        <f>IF(F37="","L#12",IF(F37&lt;H37,_xlfn.CONCAT("L#12-",RIGHT(E37,LEN(E37) - FIND("-",E37))), _xlfn.CONCAT("L#12-",RIGHT(G37,LEN(G37) - FIND("-",G37)))))</f>
        <v>L#12-BIG VALLEY</v>
      </c>
      <c r="F41" s="242">
        <v>5</v>
      </c>
      <c r="G41" s="245" t="str">
        <f>IF(F38="","L#13",IF(F38&lt;H38,_xlfn.CONCAT("L#13-",RIGHT(E38,LEN(E38) - FIND("-",E38))), _xlfn.CONCAT("L#13-",RIGHT(G38,LEN(G38) - FIND("-",G38)))))</f>
        <v>L#13-VANGUARD SILVER</v>
      </c>
      <c r="H41" s="242">
        <v>23</v>
      </c>
      <c r="I41" s="241" t="s">
        <v>2029</v>
      </c>
      <c r="J41" s="152" t="s">
        <v>1032</v>
      </c>
    </row>
    <row r="42" spans="1:10">
      <c r="A42" s="244">
        <v>46053</v>
      </c>
      <c r="B42" s="243">
        <f>CHICLETS!V12</f>
        <v>0.58333333333333304</v>
      </c>
      <c r="C42" s="243" t="str">
        <f>CHICLETS!$AC$4</f>
        <v>EDISON HS</v>
      </c>
      <c r="D42" s="152" t="s">
        <v>2181</v>
      </c>
      <c r="E42" s="243" t="str">
        <f>IF(F37="","W#12",IF(F37&gt;H37,_xlfn.CONCAT("W#12-",RIGHT(E37,LEN(E37) - FIND("-",E37))), _xlfn.CONCAT("W#12-",RIGHT(G37,LEN(G37) - FIND("-",G37)))))</f>
        <v>W#12-680 BLUE</v>
      </c>
      <c r="F42" s="241">
        <v>10</v>
      </c>
      <c r="G42" s="243" t="str">
        <f>IF(F38="","W#13",IF(F38&gt;H38,_xlfn.CONCAT("W#13-",RIGHT(E38,LEN(E38) - FIND("-",E38))), _xlfn.CONCAT("W#13-",RIGHT(G38,LEN(G38) - FIND("-",G38)))))</f>
        <v>W#13-LA JOLLA UNITED GOLD</v>
      </c>
      <c r="H42" s="242">
        <v>11</v>
      </c>
      <c r="I42" s="241" t="s">
        <v>2027</v>
      </c>
      <c r="J42" s="152" t="s">
        <v>1032</v>
      </c>
    </row>
    <row r="43" spans="1:10">
      <c r="A43" s="244">
        <v>46053</v>
      </c>
      <c r="B43" s="243">
        <f>CHICLETS!V13</f>
        <v>0.625</v>
      </c>
      <c r="C43" s="243" t="str">
        <f>CHICLETS!$AC$4</f>
        <v>EDISON HS</v>
      </c>
      <c r="D43" s="152" t="s">
        <v>2182</v>
      </c>
      <c r="E43" s="279" t="str">
        <f>D9</f>
        <v>D1-POWAY VALLEY BLACK</v>
      </c>
      <c r="F43" s="242">
        <v>8</v>
      </c>
      <c r="G43" s="245" t="str">
        <f>D10</f>
        <v>D2-CC UNITED BLUE</v>
      </c>
      <c r="H43" s="242">
        <v>15</v>
      </c>
      <c r="I43" s="241" t="s">
        <v>2014</v>
      </c>
      <c r="J43" s="152" t="s">
        <v>1032</v>
      </c>
    </row>
    <row r="44" spans="1:10">
      <c r="A44" s="244">
        <v>46053</v>
      </c>
      <c r="B44" s="243">
        <f>CHICLETS!V14</f>
        <v>0.66666666666666696</v>
      </c>
      <c r="C44" s="243" t="str">
        <f>CHICLETS!$AC$4</f>
        <v>EDISON HS</v>
      </c>
      <c r="D44" s="152" t="s">
        <v>2183</v>
      </c>
      <c r="E44" s="243" t="str">
        <f>E9</f>
        <v>E1-CT PREMIER</v>
      </c>
      <c r="F44" s="241">
        <v>16</v>
      </c>
      <c r="G44" s="243" t="str">
        <f>E10</f>
        <v>E2-ORANGE COUNTY WPC BLUE</v>
      </c>
      <c r="H44" s="242">
        <v>3</v>
      </c>
      <c r="I44" s="241" t="s">
        <v>2174</v>
      </c>
      <c r="J44" s="152" t="s">
        <v>1032</v>
      </c>
    </row>
    <row r="45" spans="1:10">
      <c r="A45" s="166"/>
      <c r="B45" s="167"/>
      <c r="C45" s="31"/>
      <c r="E45" s="54"/>
      <c r="F45" s="54"/>
      <c r="G45" s="54"/>
      <c r="H45" s="54"/>
      <c r="I45" s="54"/>
      <c r="J45" s="31"/>
    </row>
    <row r="46" spans="1:10">
      <c r="A46" s="185"/>
      <c r="B46" s="184"/>
      <c r="C46" s="183"/>
      <c r="D46" s="15"/>
      <c r="E46" s="182"/>
      <c r="F46" s="182"/>
      <c r="G46" s="182"/>
      <c r="H46" s="182"/>
      <c r="I46" s="182"/>
      <c r="J46" s="183"/>
    </row>
    <row r="47" spans="1:10">
      <c r="A47" s="181"/>
      <c r="B47" s="165"/>
      <c r="C47" s="165"/>
      <c r="D47" s="165"/>
      <c r="E47" s="165"/>
      <c r="F47" s="165"/>
      <c r="G47" s="165"/>
      <c r="H47" s="165"/>
      <c r="I47" s="165"/>
      <c r="J47" s="165"/>
    </row>
    <row r="48" spans="1:10">
      <c r="A48" s="247">
        <v>46054</v>
      </c>
      <c r="B48" s="246">
        <f>CHICLETS!V27</f>
        <v>0.29166666666666669</v>
      </c>
      <c r="C48" s="246" t="str">
        <f>CHICLETS!$Y$26</f>
        <v>SAN JUAN HILLS HS</v>
      </c>
      <c r="D48" s="151" t="s">
        <v>2184</v>
      </c>
      <c r="E48" s="151" t="str">
        <f>A15</f>
        <v>G1(1stA)-SAN JOSE EXPRESS BLUE</v>
      </c>
      <c r="F48" s="151">
        <v>10</v>
      </c>
      <c r="G48" s="151" t="str">
        <f>A17</f>
        <v>G3(1stC)-CAL REPUBLIC</v>
      </c>
      <c r="H48" s="151">
        <v>4</v>
      </c>
      <c r="I48" s="151" t="s">
        <v>1510</v>
      </c>
      <c r="J48" s="151" t="s">
        <v>1032</v>
      </c>
    </row>
    <row r="49" spans="1:10">
      <c r="A49" s="247">
        <v>46054</v>
      </c>
      <c r="B49" s="246">
        <f>CHICLETS!V28</f>
        <v>0.33333333333333298</v>
      </c>
      <c r="C49" s="246" t="str">
        <f>CHICLETS!$Y$26</f>
        <v>SAN JUAN HILLS HS</v>
      </c>
      <c r="D49" s="151" t="s">
        <v>2185</v>
      </c>
      <c r="E49" s="151" t="str">
        <f>B15</f>
        <v>H1(1stD)-CC UNITED BLUE</v>
      </c>
      <c r="F49" s="151">
        <v>8</v>
      </c>
      <c r="G49" s="151" t="str">
        <f>B17</f>
        <v>H3(1stF)-LA JOLLA UNITED GOLD</v>
      </c>
      <c r="H49" s="151">
        <v>7</v>
      </c>
      <c r="I49" s="151" t="s">
        <v>1512</v>
      </c>
      <c r="J49" s="151" t="s">
        <v>1032</v>
      </c>
    </row>
    <row r="50" spans="1:10">
      <c r="A50" s="247">
        <v>46054</v>
      </c>
      <c r="B50" s="246">
        <f>CHICLETS!V29</f>
        <v>0.375</v>
      </c>
      <c r="C50" s="246" t="str">
        <f>CHICLETS!$Y$26</f>
        <v>SAN JUAN HILLS HS</v>
      </c>
      <c r="D50" s="151" t="s">
        <v>2186</v>
      </c>
      <c r="E50" s="151" t="str">
        <f>C15</f>
        <v>I1(2ndA)-CHANNEL ISLANDS UNITED BLUE</v>
      </c>
      <c r="F50" s="151">
        <v>2</v>
      </c>
      <c r="G50" s="151" t="str">
        <f>C17</f>
        <v>I3(2ndC)-TROJAN GOLD</v>
      </c>
      <c r="H50" s="151">
        <v>10</v>
      </c>
      <c r="I50" s="151" t="s">
        <v>1508</v>
      </c>
      <c r="J50" s="151" t="s">
        <v>1032</v>
      </c>
    </row>
    <row r="51" spans="1:10">
      <c r="A51" s="247">
        <v>46054</v>
      </c>
      <c r="B51" s="246">
        <f>CHICLETS!V30</f>
        <v>0.41666666666666702</v>
      </c>
      <c r="C51" s="246" t="str">
        <f>CHICLETS!$Y$26</f>
        <v>SAN JUAN HILLS HS</v>
      </c>
      <c r="D51" s="151" t="s">
        <v>2187</v>
      </c>
      <c r="E51" s="151" t="str">
        <f>A16</f>
        <v>G2(1stB)-SOUTH COAST WHITE (B)</v>
      </c>
      <c r="F51" s="151">
        <v>7</v>
      </c>
      <c r="G51" s="151" t="str">
        <f>A17</f>
        <v>G3(1stC)-CAL REPUBLIC</v>
      </c>
      <c r="H51" s="151">
        <v>3</v>
      </c>
      <c r="I51" s="151" t="s">
        <v>1516</v>
      </c>
      <c r="J51" s="151" t="s">
        <v>1032</v>
      </c>
    </row>
    <row r="52" spans="1:10">
      <c r="A52" s="247">
        <v>46054</v>
      </c>
      <c r="B52" s="246">
        <f>CHICLETS!V31</f>
        <v>0.45833333333333298</v>
      </c>
      <c r="C52" s="246" t="str">
        <f>CHICLETS!$Y$26</f>
        <v>SAN JUAN HILLS HS</v>
      </c>
      <c r="D52" s="151" t="s">
        <v>2188</v>
      </c>
      <c r="E52" s="151" t="str">
        <f>B15</f>
        <v>H1(1stD)-CC UNITED BLUE</v>
      </c>
      <c r="F52" s="151">
        <v>11</v>
      </c>
      <c r="G52" s="449" t="str">
        <f>B16</f>
        <v>H2(1stE)-CT PREMIER</v>
      </c>
      <c r="H52" s="151">
        <v>13</v>
      </c>
      <c r="I52" s="151" t="s">
        <v>1570</v>
      </c>
      <c r="J52" s="151" t="s">
        <v>1032</v>
      </c>
    </row>
    <row r="53" spans="1:10">
      <c r="A53" s="247">
        <v>46054</v>
      </c>
      <c r="B53" s="246">
        <f>CHICLETS!V32</f>
        <v>0.5</v>
      </c>
      <c r="C53" s="246" t="str">
        <f>CHICLETS!$Y$26</f>
        <v>SAN JUAN HILLS HS</v>
      </c>
      <c r="D53" s="151" t="s">
        <v>2189</v>
      </c>
      <c r="E53" s="151" t="str">
        <f>C16</f>
        <v>I2(2ndB)-DAVIS BLUE</v>
      </c>
      <c r="F53" s="151">
        <v>13</v>
      </c>
      <c r="G53" s="151" t="str">
        <f>C17</f>
        <v>I3(2ndC)-TROJAN GOLD</v>
      </c>
      <c r="H53" s="151">
        <v>10</v>
      </c>
      <c r="I53" s="151" t="s">
        <v>1514</v>
      </c>
      <c r="J53" s="151" t="s">
        <v>1032</v>
      </c>
    </row>
    <row r="54" spans="1:10">
      <c r="A54" s="247">
        <v>46054</v>
      </c>
      <c r="B54" s="246">
        <f>CHICLETS!V33</f>
        <v>0.54166666666666696</v>
      </c>
      <c r="C54" s="246" t="str">
        <f>CHICLETS!$Y$26</f>
        <v>SAN JUAN HILLS HS</v>
      </c>
      <c r="D54" s="151" t="s">
        <v>2190</v>
      </c>
      <c r="E54" s="151" t="str">
        <f>A15</f>
        <v>G1(1stA)-SAN JOSE EXPRESS BLUE</v>
      </c>
      <c r="F54" s="151">
        <v>5</v>
      </c>
      <c r="G54" s="151" t="str">
        <f>A16</f>
        <v>G2(1stB)-SOUTH COAST WHITE (B)</v>
      </c>
      <c r="H54" s="151">
        <v>6</v>
      </c>
      <c r="I54" s="151" t="s">
        <v>1557</v>
      </c>
      <c r="J54" s="151" t="s">
        <v>1032</v>
      </c>
    </row>
    <row r="55" spans="1:10">
      <c r="A55" s="247">
        <v>46054</v>
      </c>
      <c r="B55" s="246">
        <f>CHICLETS!V34</f>
        <v>0.58333333333333304</v>
      </c>
      <c r="C55" s="246" t="str">
        <f>CHICLETS!$Y$26</f>
        <v>SAN JUAN HILLS HS</v>
      </c>
      <c r="D55" s="151" t="s">
        <v>2191</v>
      </c>
      <c r="E55" s="449" t="str">
        <f>B16</f>
        <v>H2(1stE)-CT PREMIER</v>
      </c>
      <c r="F55" s="151">
        <v>11</v>
      </c>
      <c r="G55" s="151" t="str">
        <f>B17</f>
        <v>H3(1stF)-LA JOLLA UNITED GOLD</v>
      </c>
      <c r="H55" s="151">
        <v>14</v>
      </c>
      <c r="I55" s="151" t="s">
        <v>1518</v>
      </c>
      <c r="J55" s="151" t="s">
        <v>1032</v>
      </c>
    </row>
    <row r="56" spans="1:10">
      <c r="A56" s="247">
        <v>46054</v>
      </c>
      <c r="B56" s="246">
        <f>CHICLETS!V35</f>
        <v>0.625</v>
      </c>
      <c r="C56" s="246" t="str">
        <f>CHICLETS!$Y$26</f>
        <v>SAN JUAN HILLS HS</v>
      </c>
      <c r="D56" s="151" t="s">
        <v>2192</v>
      </c>
      <c r="E56" s="151" t="str">
        <f>C15</f>
        <v>I1(2ndA)-CHANNEL ISLANDS UNITED BLUE</v>
      </c>
      <c r="F56" s="151">
        <v>8</v>
      </c>
      <c r="G56" s="151" t="str">
        <f>C16</f>
        <v>I2(2ndB)-DAVIS BLUE</v>
      </c>
      <c r="H56" s="151">
        <v>15</v>
      </c>
      <c r="I56" s="151" t="s">
        <v>2193</v>
      </c>
      <c r="J56" s="151" t="s">
        <v>1032</v>
      </c>
    </row>
    <row r="57" spans="1:10">
      <c r="A57" s="247">
        <v>46054</v>
      </c>
      <c r="B57" s="246">
        <f>CHICLETS!V36</f>
        <v>0.66666666666666696</v>
      </c>
      <c r="C57" s="246" t="str">
        <f>CHICLETS!$Y$26</f>
        <v>SAN JUAN HILLS HS</v>
      </c>
      <c r="D57" s="151" t="s">
        <v>2194</v>
      </c>
      <c r="E57" s="151" t="str">
        <f>A20</f>
        <v>N1(2ndG)-SAN JOSE EXPRESS BLUE</v>
      </c>
      <c r="F57" s="151">
        <v>8</v>
      </c>
      <c r="G57" s="151" t="str">
        <f>A21</f>
        <v>N2(2ndH)-CT PREMIER</v>
      </c>
      <c r="H57" s="151">
        <v>10</v>
      </c>
      <c r="I57" s="151" t="s">
        <v>2195</v>
      </c>
      <c r="J57" s="151" t="s">
        <v>1032</v>
      </c>
    </row>
    <row r="58" spans="1:10">
      <c r="A58" s="247">
        <v>46054</v>
      </c>
      <c r="B58" s="246">
        <f>CHICLETS!V37</f>
        <v>0.70833333333333304</v>
      </c>
      <c r="C58" s="246" t="str">
        <f>CHICLETS!$Y$26</f>
        <v>SAN JUAN HILLS HS</v>
      </c>
      <c r="D58" s="151" t="s">
        <v>2196</v>
      </c>
      <c r="E58" s="151" t="str">
        <f>B20</f>
        <v>O1(1stG)-SOUTH COAST WHITE (B)</v>
      </c>
      <c r="F58" s="151">
        <v>4</v>
      </c>
      <c r="G58" s="151" t="str">
        <f>B21</f>
        <v>O2(1stH)-LA JOLLA UNITED GOLD</v>
      </c>
      <c r="H58" s="151">
        <v>10</v>
      </c>
      <c r="I58" s="151" t="s">
        <v>2197</v>
      </c>
      <c r="J58" s="151" t="s">
        <v>1032</v>
      </c>
    </row>
    <row r="59" spans="1:10">
      <c r="A59" s="166"/>
      <c r="C59" s="31"/>
    </row>
    <row r="60" spans="1:10">
      <c r="A60" s="244">
        <v>46054</v>
      </c>
      <c r="B60" s="243">
        <f>CHICLETS!AG27</f>
        <v>0.29166666666666669</v>
      </c>
      <c r="C60" s="243" t="str">
        <f>CHICLETS!$AH$26</f>
        <v>SADDLEBACK COLLEGE</v>
      </c>
      <c r="D60" s="152" t="s">
        <v>2198</v>
      </c>
      <c r="E60" s="245" t="str">
        <f>D15</f>
        <v>J1(2ndD)-POWAY VALLEY BLACK</v>
      </c>
      <c r="F60" s="242">
        <v>6</v>
      </c>
      <c r="G60" s="245" t="str">
        <f>D17</f>
        <v>J3(2ndF)-680 BLUE</v>
      </c>
      <c r="H60" s="242">
        <v>12</v>
      </c>
      <c r="I60" s="241" t="s">
        <v>1530</v>
      </c>
      <c r="J60" s="152" t="s">
        <v>1032</v>
      </c>
    </row>
    <row r="61" spans="1:10">
      <c r="A61" s="244">
        <v>46054</v>
      </c>
      <c r="B61" s="243">
        <f>CHICLETS!AG28</f>
        <v>0.33333333333333298</v>
      </c>
      <c r="C61" s="243" t="str">
        <f>CHICLETS!$AH$26</f>
        <v>SADDLEBACK COLLEGE</v>
      </c>
      <c r="D61" s="152" t="s">
        <v>2199</v>
      </c>
      <c r="E61" s="243" t="str">
        <f>E15</f>
        <v>K1(3rdA)-AMERICAN RIVER GOLD</v>
      </c>
      <c r="F61" s="241">
        <v>4</v>
      </c>
      <c r="G61" s="243" t="str">
        <f>E17</f>
        <v>K3(3rdC)-ST LOUIS AREA POLO</v>
      </c>
      <c r="H61" s="242">
        <v>10</v>
      </c>
      <c r="I61" s="241" t="s">
        <v>1532</v>
      </c>
      <c r="J61" s="152" t="s">
        <v>1032</v>
      </c>
    </row>
    <row r="62" spans="1:10">
      <c r="A62" s="244">
        <v>46054</v>
      </c>
      <c r="B62" s="243">
        <f>CHICLETS!AG29</f>
        <v>0.375</v>
      </c>
      <c r="C62" s="243" t="str">
        <f>CHICLETS!$AH$26</f>
        <v>SADDLEBACK COLLEGE</v>
      </c>
      <c r="D62" s="152" t="s">
        <v>2200</v>
      </c>
      <c r="E62" s="245" t="str">
        <f>F15</f>
        <v>L1(3rdD)-BOA BLUE</v>
      </c>
      <c r="F62" s="242">
        <v>11</v>
      </c>
      <c r="G62" s="245" t="str">
        <f>F18</f>
        <v>L4(4thF)-BIG VALLEY</v>
      </c>
      <c r="H62" s="242">
        <v>18</v>
      </c>
      <c r="I62" s="241" t="s">
        <v>2201</v>
      </c>
      <c r="J62" s="152" t="s">
        <v>1032</v>
      </c>
    </row>
    <row r="63" spans="1:10">
      <c r="A63" s="244">
        <v>46054</v>
      </c>
      <c r="B63" s="243">
        <f>CHICLETS!AG30</f>
        <v>0.41666666666666702</v>
      </c>
      <c r="C63" s="243" t="str">
        <f>CHICLETS!$AH$26</f>
        <v>SADDLEBACK COLLEGE</v>
      </c>
      <c r="D63" s="152" t="s">
        <v>2202</v>
      </c>
      <c r="E63" s="243" t="str">
        <f>F16</f>
        <v>L2(3rdE)-ORANGE COUNTY WPC BLUE</v>
      </c>
      <c r="F63" s="241">
        <v>3</v>
      </c>
      <c r="G63" s="243" t="str">
        <f>F17</f>
        <v>L3(3rdF)-VANGUARD SILVER</v>
      </c>
      <c r="H63" s="242">
        <v>18</v>
      </c>
      <c r="I63" s="241" t="s">
        <v>2203</v>
      </c>
      <c r="J63" s="152" t="s">
        <v>1032</v>
      </c>
    </row>
    <row r="64" spans="1:10">
      <c r="A64" s="244">
        <v>46054</v>
      </c>
      <c r="B64" s="243">
        <f>CHICLETS!AG31</f>
        <v>0.45833333333333298</v>
      </c>
      <c r="C64" s="243" t="str">
        <f>CHICLETS!$AH$26</f>
        <v>SADDLEBACK COLLEGE</v>
      </c>
      <c r="D64" s="152" t="s">
        <v>2204</v>
      </c>
      <c r="E64" s="245" t="str">
        <f>D16</f>
        <v>J2(2ndE)-STANFORD BLACK</v>
      </c>
      <c r="F64" s="242">
        <v>10</v>
      </c>
      <c r="G64" s="245" t="str">
        <f>D17</f>
        <v>J3(2ndF)-680 BLUE</v>
      </c>
      <c r="H64" s="242">
        <v>3</v>
      </c>
      <c r="I64" s="241" t="s">
        <v>1536</v>
      </c>
      <c r="J64" s="152" t="s">
        <v>1032</v>
      </c>
    </row>
    <row r="65" spans="1:10">
      <c r="A65" s="244">
        <v>46054</v>
      </c>
      <c r="B65" s="243">
        <f>CHICLETS!AG32</f>
        <v>0.5</v>
      </c>
      <c r="C65" s="243" t="str">
        <f>CHICLETS!$AH$26</f>
        <v>SADDLEBACK COLLEGE</v>
      </c>
      <c r="D65" s="152" t="s">
        <v>2205</v>
      </c>
      <c r="E65" s="243" t="str">
        <f>E16</f>
        <v>K2(3rdB)-CMAC</v>
      </c>
      <c r="F65" s="241">
        <v>6</v>
      </c>
      <c r="G65" s="243" t="str">
        <f>E17</f>
        <v>K3(3rdC)-ST LOUIS AREA POLO</v>
      </c>
      <c r="H65" s="242">
        <v>9</v>
      </c>
      <c r="I65" s="241" t="s">
        <v>1538</v>
      </c>
      <c r="J65" s="152" t="s">
        <v>1032</v>
      </c>
    </row>
    <row r="66" spans="1:10">
      <c r="A66" s="244">
        <v>46054</v>
      </c>
      <c r="B66" s="243">
        <f>CHICLETS!AG33</f>
        <v>0.54166666666666696</v>
      </c>
      <c r="C66" s="243" t="str">
        <f>CHICLETS!$AH$26</f>
        <v>SADDLEBACK COLLEGE</v>
      </c>
      <c r="D66" s="152" t="s">
        <v>2206</v>
      </c>
      <c r="E66" s="245" t="str">
        <f>IF(F62="","L#33",IF(F62&lt;H62,_xlfn.CONCAT("L#33-",RIGHT(E62,LEN(E62) - FIND("-",E62))), _xlfn.CONCAT("L#33-",RIGHT(G62,LEN(G62) - FIND("-",G62)))))</f>
        <v>L#33-BOA BLUE</v>
      </c>
      <c r="F66" s="242">
        <v>7</v>
      </c>
      <c r="G66" s="245" t="str">
        <f>IF(F63="","L#34",IF(F63&lt;H63,_xlfn.CONCAT("L#34-",RIGHT(E63,LEN(E63) - FIND("-",E63))), _xlfn.CONCAT("L#34-",RIGHT(G63,LEN(G63) - FIND("-",G63)))))</f>
        <v>L#34-ORANGE COUNTY WPC BLUE</v>
      </c>
      <c r="H66" s="242">
        <v>5</v>
      </c>
      <c r="I66" s="241" t="s">
        <v>1993</v>
      </c>
      <c r="J66" s="152" t="s">
        <v>1032</v>
      </c>
    </row>
    <row r="67" spans="1:10">
      <c r="A67" s="244">
        <v>46054</v>
      </c>
      <c r="B67" s="243">
        <f>CHICLETS!AG34</f>
        <v>0.58333333333333304</v>
      </c>
      <c r="C67" s="243" t="str">
        <f>CHICLETS!$AH$26</f>
        <v>SADDLEBACK COLLEGE</v>
      </c>
      <c r="D67" s="152" t="s">
        <v>2207</v>
      </c>
      <c r="E67" s="243" t="str">
        <f>IF(F62="","W#33",IF(F62&gt;H62,_xlfn.CONCAT("W#33-",RIGHT(E62,LEN(E62) - FIND("-",E62))), _xlfn.CONCAT("W#33-",RIGHT(G62,LEN(G62) - FIND("-",G62)))))</f>
        <v>W#33-BIG VALLEY</v>
      </c>
      <c r="F67" s="241">
        <v>6</v>
      </c>
      <c r="G67" s="243" t="str">
        <f>IF(F63="","W#34",IF(F63&gt;H63,_xlfn.CONCAT("W#34-",RIGHT(E63,LEN(E63) - FIND("-",E63))), _xlfn.CONCAT("W#34-",RIGHT(G63,LEN(G63) - FIND("-",G63)))))</f>
        <v>W#34-VANGUARD SILVER</v>
      </c>
      <c r="H67" s="242">
        <v>14</v>
      </c>
      <c r="I67" s="241" t="s">
        <v>1991</v>
      </c>
      <c r="J67" s="152" t="s">
        <v>1032</v>
      </c>
    </row>
    <row r="68" spans="1:10">
      <c r="A68" s="244">
        <v>46054</v>
      </c>
      <c r="B68" s="243">
        <f>CHICLETS!AG35</f>
        <v>0.625</v>
      </c>
      <c r="C68" s="243" t="str">
        <f>CHICLETS!$AH$26</f>
        <v>SADDLEBACK COLLEGE</v>
      </c>
      <c r="D68" s="152" t="s">
        <v>2208</v>
      </c>
      <c r="E68" s="245" t="str">
        <f>D15</f>
        <v>J1(2ndD)-POWAY VALLEY BLACK</v>
      </c>
      <c r="F68" s="242">
        <v>6</v>
      </c>
      <c r="G68" s="245" t="str">
        <f>D16</f>
        <v>J2(2ndE)-STANFORD BLACK</v>
      </c>
      <c r="H68" s="242">
        <v>12</v>
      </c>
      <c r="I68" s="241" t="s">
        <v>1542</v>
      </c>
      <c r="J68" s="152" t="s">
        <v>1032</v>
      </c>
    </row>
    <row r="69" spans="1:10">
      <c r="A69" s="244">
        <v>46054</v>
      </c>
      <c r="B69" s="243">
        <f>CHICLETS!AG36</f>
        <v>0.66666666666666696</v>
      </c>
      <c r="C69" s="243" t="str">
        <f>CHICLETS!$AH$26</f>
        <v>SADDLEBACK COLLEGE</v>
      </c>
      <c r="D69" s="153" t="s">
        <v>2209</v>
      </c>
      <c r="E69" s="243" t="str">
        <f>E15</f>
        <v>K1(3rdA)-AMERICAN RIVER GOLD</v>
      </c>
      <c r="F69" s="241">
        <v>10</v>
      </c>
      <c r="G69" s="243" t="str">
        <f>E16</f>
        <v>K2(3rdB)-CMAC</v>
      </c>
      <c r="H69" s="242">
        <v>8</v>
      </c>
      <c r="I69" s="241" t="s">
        <v>1544</v>
      </c>
      <c r="J69" s="152" t="s">
        <v>1032</v>
      </c>
    </row>
    <row r="70" spans="1:10">
      <c r="A70" s="166"/>
    </row>
    <row r="71" spans="1:10">
      <c r="A71" s="166"/>
      <c r="I71" s="151" t="s">
        <v>1312</v>
      </c>
      <c r="J71" s="151" t="s">
        <v>453</v>
      </c>
    </row>
    <row r="72" spans="1:10">
      <c r="A72" s="166"/>
      <c r="I72" s="151" t="s">
        <v>1313</v>
      </c>
      <c r="J72" s="151" t="s">
        <v>953</v>
      </c>
    </row>
    <row r="73" spans="1:10">
      <c r="A73" s="166"/>
      <c r="I73" s="151" t="s">
        <v>1314</v>
      </c>
      <c r="J73" s="151" t="s">
        <v>878</v>
      </c>
    </row>
    <row r="74" spans="1:10">
      <c r="A74" s="166"/>
    </row>
  </sheetData>
  <hyperlinks>
    <hyperlink ref="B2" r:id="rId1" xr:uid="{D9B0FFBD-A497-457D-BFB5-A56932820CFE}"/>
    <hyperlink ref="C2" r:id="rId2" xr:uid="{D6531C23-294B-4FB2-A53E-3D17ECF9F883}"/>
    <hyperlink ref="A2" r:id="rId3" xr:uid="{0C349EA6-B2DA-42D4-A57F-E80DBD954F19}"/>
  </hyperlinks>
  <pageMargins left="0.7" right="0.7" top="0.75" bottom="0.75" header="0.3" footer="0.3"/>
  <pageSetup scale="49" orientation="landscape" horizontalDpi="300" verticalDpi="300" r:id="rId4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47C5B-3D65-4E3D-A820-D41DEF22CC4B}">
  <sheetPr>
    <tabColor rgb="FF7030A0"/>
    <pageSetUpPr fitToPage="1"/>
  </sheetPr>
  <dimension ref="A1:J69"/>
  <sheetViews>
    <sheetView workbookViewId="0"/>
  </sheetViews>
  <sheetFormatPr defaultColWidth="23.140625" defaultRowHeight="18"/>
  <cols>
    <col min="1" max="1" width="45.7109375" style="44" customWidth="1"/>
    <col min="2" max="2" width="56.85546875" style="1" bestFit="1" customWidth="1"/>
    <col min="3" max="3" width="43.140625" style="1" bestFit="1" customWidth="1"/>
    <col min="4" max="4" width="43.140625" style="1" customWidth="1"/>
    <col min="5" max="5" width="49.5703125" style="1" customWidth="1"/>
    <col min="6" max="6" width="46.42578125" style="1" bestFit="1" customWidth="1"/>
    <col min="7" max="7" width="46.5703125" style="1" bestFit="1" customWidth="1"/>
    <col min="8" max="8" width="8.42578125" style="1" customWidth="1"/>
    <col min="9" max="9" width="21.42578125" style="1" customWidth="1"/>
    <col min="10" max="10" width="33.140625" style="1" customWidth="1"/>
    <col min="11" max="16384" width="23.140625" style="1"/>
  </cols>
  <sheetData>
    <row r="1" spans="1:6">
      <c r="A1" s="42" t="s">
        <v>16</v>
      </c>
      <c r="B1" s="43" t="s">
        <v>1865</v>
      </c>
      <c r="C1" s="43" t="s">
        <v>1866</v>
      </c>
      <c r="D1" s="120" t="s">
        <v>1775</v>
      </c>
      <c r="E1" s="1" t="s">
        <v>1867</v>
      </c>
    </row>
    <row r="2" spans="1:6">
      <c r="A2" s="119" t="s">
        <v>1237</v>
      </c>
      <c r="B2" s="118" t="s">
        <v>1238</v>
      </c>
      <c r="C2" s="117" t="s">
        <v>1239</v>
      </c>
      <c r="D2" s="43"/>
    </row>
    <row r="3" spans="1:6">
      <c r="A3" s="42" t="s">
        <v>644</v>
      </c>
      <c r="B3" s="43" t="s">
        <v>645</v>
      </c>
      <c r="C3" s="43" t="s">
        <v>646</v>
      </c>
      <c r="D3" s="43" t="s">
        <v>647</v>
      </c>
      <c r="E3" s="43" t="s">
        <v>723</v>
      </c>
      <c r="F3" s="43" t="s">
        <v>724</v>
      </c>
    </row>
    <row r="4" spans="1:6">
      <c r="A4" s="44" t="s">
        <v>1083</v>
      </c>
      <c r="B4" s="1" t="s">
        <v>1084</v>
      </c>
      <c r="C4" s="1" t="s">
        <v>1085</v>
      </c>
      <c r="D4" s="1" t="s">
        <v>1086</v>
      </c>
      <c r="E4" s="1" t="s">
        <v>1087</v>
      </c>
      <c r="F4" s="1" t="s">
        <v>1088</v>
      </c>
    </row>
    <row r="5" spans="1:6">
      <c r="A5" s="44" t="s">
        <v>1090</v>
      </c>
      <c r="B5" s="1" t="s">
        <v>1091</v>
      </c>
      <c r="C5" s="1" t="s">
        <v>1092</v>
      </c>
      <c r="D5" s="1" t="s">
        <v>1093</v>
      </c>
      <c r="E5" s="1" t="s">
        <v>1094</v>
      </c>
      <c r="F5" s="1" t="s">
        <v>1095</v>
      </c>
    </row>
    <row r="6" spans="1:6">
      <c r="A6" s="44" t="s">
        <v>1097</v>
      </c>
      <c r="B6" s="1" t="s">
        <v>1098</v>
      </c>
      <c r="C6" s="1" t="s">
        <v>814</v>
      </c>
      <c r="D6" s="1" t="s">
        <v>1099</v>
      </c>
      <c r="E6" s="1" t="s">
        <v>1100</v>
      </c>
      <c r="F6" s="1" t="s">
        <v>1101</v>
      </c>
    </row>
    <row r="8" spans="1:6">
      <c r="A8" s="42" t="s">
        <v>644</v>
      </c>
      <c r="B8" s="43" t="s">
        <v>645</v>
      </c>
      <c r="C8" s="43" t="s">
        <v>646</v>
      </c>
      <c r="D8" s="43" t="s">
        <v>647</v>
      </c>
      <c r="E8" s="43" t="s">
        <v>723</v>
      </c>
      <c r="F8" s="43" t="s">
        <v>724</v>
      </c>
    </row>
    <row r="9" spans="1:6">
      <c r="A9" s="1">
        <v>1</v>
      </c>
      <c r="B9" s="1">
        <v>4</v>
      </c>
      <c r="C9" s="1">
        <v>5</v>
      </c>
      <c r="D9" s="1">
        <v>2</v>
      </c>
      <c r="E9" s="1">
        <v>3</v>
      </c>
      <c r="F9" s="1">
        <v>6</v>
      </c>
    </row>
    <row r="10" spans="1:6">
      <c r="A10" s="1">
        <v>12</v>
      </c>
      <c r="B10" s="1">
        <v>9</v>
      </c>
      <c r="C10" s="1">
        <v>8</v>
      </c>
      <c r="D10" s="1">
        <v>11</v>
      </c>
      <c r="E10" s="1">
        <v>10</v>
      </c>
      <c r="F10" s="1">
        <v>7</v>
      </c>
    </row>
    <row r="11" spans="1:6">
      <c r="A11" s="1">
        <v>13</v>
      </c>
      <c r="B11" s="1">
        <v>16</v>
      </c>
      <c r="C11" s="1">
        <v>17</v>
      </c>
      <c r="D11" s="1">
        <v>14</v>
      </c>
      <c r="E11" s="1">
        <v>15</v>
      </c>
      <c r="F11" s="1">
        <v>18</v>
      </c>
    </row>
    <row r="12" spans="1:6">
      <c r="A12" s="1"/>
      <c r="B12" s="43"/>
      <c r="D12" s="43"/>
      <c r="E12" s="43"/>
      <c r="F12" s="43"/>
    </row>
    <row r="13" spans="1:6">
      <c r="A13" s="42" t="s">
        <v>842</v>
      </c>
      <c r="B13" s="43" t="s">
        <v>843</v>
      </c>
      <c r="C13" s="43" t="s">
        <v>844</v>
      </c>
      <c r="D13" s="43" t="s">
        <v>845</v>
      </c>
      <c r="E13" s="43" t="s">
        <v>846</v>
      </c>
      <c r="F13" s="43" t="s">
        <v>847</v>
      </c>
    </row>
    <row r="14" spans="1:6">
      <c r="A14" s="1" t="s">
        <v>2210</v>
      </c>
      <c r="B14" s="1" t="s">
        <v>2211</v>
      </c>
      <c r="C14" s="1" t="s">
        <v>2212</v>
      </c>
      <c r="D14" s="1" t="s">
        <v>2213</v>
      </c>
      <c r="E14" s="1" t="s">
        <v>2214</v>
      </c>
      <c r="F14" s="1" t="s">
        <v>2215</v>
      </c>
    </row>
    <row r="15" spans="1:6">
      <c r="A15" s="1" t="s">
        <v>2216</v>
      </c>
      <c r="B15" s="1" t="s">
        <v>2217</v>
      </c>
      <c r="C15" s="1" t="s">
        <v>2218</v>
      </c>
      <c r="D15" s="1" t="s">
        <v>2219</v>
      </c>
      <c r="E15" s="1" t="s">
        <v>2220</v>
      </c>
      <c r="F15" s="1" t="s">
        <v>2221</v>
      </c>
    </row>
    <row r="16" spans="1:6">
      <c r="A16" s="1" t="s">
        <v>2222</v>
      </c>
      <c r="B16" s="1" t="s">
        <v>2223</v>
      </c>
      <c r="C16" s="1" t="s">
        <v>2224</v>
      </c>
      <c r="D16" s="1" t="s">
        <v>2225</v>
      </c>
      <c r="E16" s="1" t="s">
        <v>2226</v>
      </c>
      <c r="F16" s="1" t="s">
        <v>2227</v>
      </c>
    </row>
    <row r="17" spans="1:10">
      <c r="A17" s="1"/>
    </row>
    <row r="19" spans="1:10">
      <c r="A19" s="42" t="s">
        <v>1240</v>
      </c>
      <c r="B19" s="43" t="s">
        <v>1241</v>
      </c>
      <c r="C19" s="43" t="s">
        <v>1242</v>
      </c>
      <c r="D19" s="43" t="s">
        <v>1886</v>
      </c>
      <c r="E19" s="43" t="s">
        <v>1887</v>
      </c>
      <c r="F19" s="43" t="s">
        <v>1245</v>
      </c>
      <c r="G19" s="43" t="s">
        <v>1888</v>
      </c>
      <c r="H19" s="43" t="s">
        <v>1245</v>
      </c>
      <c r="I19" s="43" t="s">
        <v>11</v>
      </c>
      <c r="J19" s="43" t="s">
        <v>1180</v>
      </c>
    </row>
    <row r="20" spans="1:10">
      <c r="A20" s="251">
        <v>46053</v>
      </c>
      <c r="B20" s="150">
        <f>CHICLETS!V6</f>
        <v>0.33333333333333298</v>
      </c>
      <c r="C20" s="150" t="str">
        <f>CHICLETS!$AD$4</f>
        <v>SONORA HS</v>
      </c>
      <c r="D20" s="149" t="s">
        <v>2228</v>
      </c>
      <c r="E20" s="250" t="str">
        <f>A4</f>
        <v>A1-CC UNITED BLACK</v>
      </c>
      <c r="F20" s="249">
        <v>18</v>
      </c>
      <c r="G20" s="250" t="str">
        <f>A6</f>
        <v>A3-CAPITAL</v>
      </c>
      <c r="H20" s="249">
        <v>6</v>
      </c>
      <c r="I20" s="106" t="s">
        <v>1250</v>
      </c>
      <c r="J20" s="149" t="s">
        <v>1082</v>
      </c>
    </row>
    <row r="21" spans="1:10">
      <c r="A21" s="251">
        <v>46053</v>
      </c>
      <c r="B21" s="150">
        <f>CHICLETS!V7</f>
        <v>0.375</v>
      </c>
      <c r="C21" s="150" t="str">
        <f>CHICLETS!$AD$4</f>
        <v>SONORA HS</v>
      </c>
      <c r="D21" s="149" t="s">
        <v>2229</v>
      </c>
      <c r="E21" s="250" t="str">
        <f>B5</f>
        <v>B2-AMERICAN RIVER BLUE</v>
      </c>
      <c r="F21" s="249">
        <v>12</v>
      </c>
      <c r="G21" s="250" t="str">
        <f>B6</f>
        <v>B3-IMPERIAL WPC</v>
      </c>
      <c r="H21" s="249">
        <v>15</v>
      </c>
      <c r="I21" s="106" t="s">
        <v>1263</v>
      </c>
      <c r="J21" s="149" t="s">
        <v>1082</v>
      </c>
    </row>
    <row r="23" spans="1:10">
      <c r="A23" s="251">
        <v>46053</v>
      </c>
      <c r="B23" s="150">
        <f>CHICLETS!V9</f>
        <v>0.45833333333333298</v>
      </c>
      <c r="C23" s="150" t="str">
        <f>CHICLETS!$AD$4</f>
        <v>SONORA HS</v>
      </c>
      <c r="D23" s="149" t="s">
        <v>2230</v>
      </c>
      <c r="E23" s="150" t="str">
        <f>C4</f>
        <v>C1-680 RED</v>
      </c>
      <c r="F23" s="106">
        <v>19</v>
      </c>
      <c r="G23" s="150" t="str">
        <f>C6</f>
        <v>C3-FOOTHILL RED</v>
      </c>
      <c r="H23" s="249">
        <v>3</v>
      </c>
      <c r="I23" s="106" t="s">
        <v>1254</v>
      </c>
      <c r="J23" s="149" t="s">
        <v>1082</v>
      </c>
    </row>
    <row r="24" spans="1:10">
      <c r="A24" s="251">
        <v>46053</v>
      </c>
      <c r="B24" s="150">
        <f>CHICLETS!V10</f>
        <v>0.5</v>
      </c>
      <c r="C24" s="150" t="str">
        <f>CHICLETS!$AD$4</f>
        <v>SONORA HS</v>
      </c>
      <c r="D24" s="149" t="s">
        <v>2231</v>
      </c>
      <c r="E24" s="250" t="str">
        <f>A4</f>
        <v>A1-CC UNITED BLACK</v>
      </c>
      <c r="F24" s="249">
        <v>12.5</v>
      </c>
      <c r="G24" s="250" t="str">
        <f>A5</f>
        <v>A2-SAND CANYON</v>
      </c>
      <c r="H24" s="249">
        <v>12.3</v>
      </c>
      <c r="I24" s="106" t="s">
        <v>1269</v>
      </c>
      <c r="J24" s="149" t="s">
        <v>1082</v>
      </c>
    </row>
    <row r="26" spans="1:10">
      <c r="A26" s="251">
        <v>46053</v>
      </c>
      <c r="B26" s="150">
        <f>CHICLETS!V12</f>
        <v>0.58333333333333304</v>
      </c>
      <c r="C26" s="150" t="str">
        <f>CHICLETS!$AD$4</f>
        <v>SONORA HS</v>
      </c>
      <c r="D26" s="149" t="s">
        <v>2232</v>
      </c>
      <c r="E26" s="250" t="str">
        <f>B4</f>
        <v>B1-LA JOLLA UNITED NAVY</v>
      </c>
      <c r="F26" s="249">
        <v>7</v>
      </c>
      <c r="G26" s="250" t="str">
        <f>B6</f>
        <v>B3-IMPERIAL WPC</v>
      </c>
      <c r="H26" s="249">
        <v>11</v>
      </c>
      <c r="I26" s="106" t="s">
        <v>1252</v>
      </c>
      <c r="J26" s="149" t="s">
        <v>1082</v>
      </c>
    </row>
    <row r="27" spans="1:10">
      <c r="A27" s="251">
        <v>46053</v>
      </c>
      <c r="B27" s="150">
        <f>CHICLETS!V13</f>
        <v>0.625</v>
      </c>
      <c r="C27" s="150" t="str">
        <f>CHICLETS!$AD$4</f>
        <v>SONORA HS</v>
      </c>
      <c r="D27" s="149" t="s">
        <v>2233</v>
      </c>
      <c r="E27" s="150" t="str">
        <f>C5</f>
        <v>C2-VANGUARD BLUE</v>
      </c>
      <c r="F27" s="106">
        <v>7</v>
      </c>
      <c r="G27" s="150" t="str">
        <f>C6</f>
        <v>C3-FOOTHILL RED</v>
      </c>
      <c r="H27" s="249">
        <v>3</v>
      </c>
      <c r="I27" s="106" t="s">
        <v>1265</v>
      </c>
      <c r="J27" s="149" t="s">
        <v>1082</v>
      </c>
    </row>
    <row r="28" spans="1:10">
      <c r="A28" s="251">
        <v>46053</v>
      </c>
      <c r="B28" s="150">
        <f>CHICLETS!V14</f>
        <v>0.66666666666666696</v>
      </c>
      <c r="C28" s="150" t="str">
        <f>CHICLETS!$AD$4</f>
        <v>SONORA HS</v>
      </c>
      <c r="D28" s="149" t="s">
        <v>2234</v>
      </c>
      <c r="E28" s="250" t="str">
        <f>A5</f>
        <v>A2-SAND CANYON</v>
      </c>
      <c r="F28" s="249">
        <v>14</v>
      </c>
      <c r="G28" s="250" t="str">
        <f>A6</f>
        <v>A3-CAPITAL</v>
      </c>
      <c r="H28" s="249">
        <v>11</v>
      </c>
      <c r="I28" s="106" t="s">
        <v>1261</v>
      </c>
      <c r="J28" s="149" t="s">
        <v>1082</v>
      </c>
    </row>
    <row r="29" spans="1:10">
      <c r="A29" s="251">
        <v>46053</v>
      </c>
      <c r="B29" s="150">
        <f>CHICLETS!V15</f>
        <v>0.70833333333333304</v>
      </c>
      <c r="C29" s="150" t="str">
        <f>CHICLETS!$AD$4</f>
        <v>SONORA HS</v>
      </c>
      <c r="D29" s="149" t="s">
        <v>2235</v>
      </c>
      <c r="E29" s="150" t="str">
        <f>B4</f>
        <v>B1-LA JOLLA UNITED NAVY</v>
      </c>
      <c r="F29" s="106">
        <v>8</v>
      </c>
      <c r="G29" s="150" t="str">
        <f>B5</f>
        <v>B2-AMERICAN RIVER BLUE</v>
      </c>
      <c r="H29" s="249">
        <v>10</v>
      </c>
      <c r="I29" s="106" t="s">
        <v>1272</v>
      </c>
      <c r="J29" s="149" t="s">
        <v>1082</v>
      </c>
    </row>
    <row r="30" spans="1:10">
      <c r="A30" s="251">
        <v>46053</v>
      </c>
      <c r="B30" s="150">
        <f>CHICLETS!V16</f>
        <v>0.75</v>
      </c>
      <c r="C30" s="150" t="str">
        <f>CHICLETS!$AD$4</f>
        <v>SONORA HS</v>
      </c>
      <c r="D30" s="149" t="s">
        <v>2236</v>
      </c>
      <c r="E30" s="250" t="str">
        <f>C4</f>
        <v>C1-680 RED</v>
      </c>
      <c r="F30" s="249">
        <v>9</v>
      </c>
      <c r="G30" s="250" t="str">
        <f>C5</f>
        <v>C2-VANGUARD BLUE</v>
      </c>
      <c r="H30" s="249">
        <v>8</v>
      </c>
      <c r="I30" s="106" t="s">
        <v>1275</v>
      </c>
      <c r="J30" s="149" t="s">
        <v>1082</v>
      </c>
    </row>
    <row r="31" spans="1:10">
      <c r="B31" s="253"/>
    </row>
    <row r="32" spans="1:10">
      <c r="A32" s="251">
        <v>46053</v>
      </c>
      <c r="B32" s="150">
        <f>CHICLETS!V9</f>
        <v>0.45833333333333298</v>
      </c>
      <c r="C32" s="150" t="str">
        <f>CHICLETS!$AA$4</f>
        <v>YORBA LINDA HS</v>
      </c>
      <c r="D32" s="150" t="s">
        <v>2237</v>
      </c>
      <c r="E32" s="149" t="str">
        <f>D4</f>
        <v>D1-LAMORINDA A</v>
      </c>
      <c r="F32" s="249">
        <v>15</v>
      </c>
      <c r="G32" s="249" t="str">
        <f>D6</f>
        <v>D3-SANTA CRUZ</v>
      </c>
      <c r="H32" s="249">
        <v>5</v>
      </c>
      <c r="I32" s="249" t="s">
        <v>1248</v>
      </c>
      <c r="J32" s="106" t="s">
        <v>1082</v>
      </c>
    </row>
    <row r="33" spans="1:10">
      <c r="A33" s="251">
        <v>46053</v>
      </c>
      <c r="B33" s="150">
        <f>CHICLETS!V10</f>
        <v>0.5</v>
      </c>
      <c r="C33" s="150" t="str">
        <f>CHICLETS!$AA$4</f>
        <v>YORBA LINDA HS</v>
      </c>
      <c r="D33" s="150" t="s">
        <v>2238</v>
      </c>
      <c r="E33" s="149" t="str">
        <f>E4</f>
        <v>E1-CHANNEL ISLANDS UNITED GOLD</v>
      </c>
      <c r="F33" s="249">
        <v>13</v>
      </c>
      <c r="G33" s="249" t="str">
        <f>E6</f>
        <v>E3-SAN CLEMENTE RED</v>
      </c>
      <c r="H33" s="249">
        <v>9</v>
      </c>
      <c r="I33" s="249" t="s">
        <v>1555</v>
      </c>
      <c r="J33" s="106" t="s">
        <v>1082</v>
      </c>
    </row>
    <row r="34" spans="1:10">
      <c r="A34" s="251">
        <v>46053</v>
      </c>
      <c r="B34" s="150">
        <f>CHICLETS!V11</f>
        <v>0.54166666666666696</v>
      </c>
      <c r="C34" s="150" t="str">
        <f>CHICLETS!$AA$4</f>
        <v>YORBA LINDA HS</v>
      </c>
      <c r="D34" s="150" t="s">
        <v>2239</v>
      </c>
      <c r="E34" s="149" t="str">
        <f>F4</f>
        <v>F1-SD SHORES BLACK</v>
      </c>
      <c r="F34" s="249">
        <v>13</v>
      </c>
      <c r="G34" s="106" t="str">
        <f>F6</f>
        <v>F3-ASPHALT GREEN</v>
      </c>
      <c r="H34" s="249">
        <v>10</v>
      </c>
      <c r="I34" s="249" t="s">
        <v>1560</v>
      </c>
      <c r="J34" s="106" t="s">
        <v>1082</v>
      </c>
    </row>
    <row r="35" spans="1:10">
      <c r="A35" s="251">
        <v>46053</v>
      </c>
      <c r="B35" s="150">
        <f>CHICLETS!V12</f>
        <v>0.58333333333333304</v>
      </c>
      <c r="C35" s="150" t="str">
        <f>CHICLETS!$AA$4</f>
        <v>YORBA LINDA HS</v>
      </c>
      <c r="D35" s="150" t="s">
        <v>2240</v>
      </c>
      <c r="E35" s="149" t="str">
        <f>D5</f>
        <v>D2-SOUTH COAST RED (A)</v>
      </c>
      <c r="F35" s="249">
        <v>9</v>
      </c>
      <c r="G35" s="249" t="str">
        <f>D6</f>
        <v>D3-SANTA CRUZ</v>
      </c>
      <c r="H35" s="249">
        <v>8</v>
      </c>
      <c r="I35" s="249" t="s">
        <v>1258</v>
      </c>
      <c r="J35" s="106" t="s">
        <v>1082</v>
      </c>
    </row>
    <row r="36" spans="1:10">
      <c r="A36" s="251">
        <v>46053</v>
      </c>
      <c r="B36" s="150">
        <f>CHICLETS!V13</f>
        <v>0.625</v>
      </c>
      <c r="C36" s="150" t="str">
        <f>CHICLETS!$AA$4</f>
        <v>YORBA LINDA HS</v>
      </c>
      <c r="D36" s="150" t="s">
        <v>2241</v>
      </c>
      <c r="E36" s="149" t="str">
        <f>E4</f>
        <v>E1-CHANNEL ISLANDS UNITED GOLD</v>
      </c>
      <c r="F36" s="249">
        <v>10.4</v>
      </c>
      <c r="G36" s="106" t="str">
        <f>E5</f>
        <v>E2-TROJAN CARDINAL</v>
      </c>
      <c r="H36" s="249">
        <v>10.1</v>
      </c>
      <c r="I36" s="249" t="s">
        <v>1568</v>
      </c>
      <c r="J36" s="106" t="s">
        <v>1082</v>
      </c>
    </row>
    <row r="37" spans="1:10">
      <c r="A37" s="251">
        <v>46053</v>
      </c>
      <c r="B37" s="150">
        <f>CHICLETS!V14</f>
        <v>0.66666666666666696</v>
      </c>
      <c r="C37" s="150" t="str">
        <f>CHICLETS!$AA$4</f>
        <v>YORBA LINDA HS</v>
      </c>
      <c r="D37" s="150" t="s">
        <v>2242</v>
      </c>
      <c r="E37" s="149" t="str">
        <f>F5</f>
        <v>F2-SHAQ</v>
      </c>
      <c r="F37" s="249">
        <v>11</v>
      </c>
      <c r="G37" s="249" t="str">
        <f>F6</f>
        <v>F3-ASPHALT GREEN</v>
      </c>
      <c r="H37" s="249">
        <v>9</v>
      </c>
      <c r="I37" s="249" t="s">
        <v>1566</v>
      </c>
      <c r="J37" s="106" t="s">
        <v>1082</v>
      </c>
    </row>
    <row r="38" spans="1:10">
      <c r="A38" s="251">
        <v>46053</v>
      </c>
      <c r="B38" s="150">
        <f>CHICLETS!V15</f>
        <v>0.70833333333333304</v>
      </c>
      <c r="C38" s="150" t="str">
        <f>CHICLETS!$AA$4</f>
        <v>YORBA LINDA HS</v>
      </c>
      <c r="D38" s="150" t="s">
        <v>2243</v>
      </c>
      <c r="E38" s="149" t="str">
        <f>D4</f>
        <v>D1-LAMORINDA A</v>
      </c>
      <c r="F38" s="249">
        <v>15</v>
      </c>
      <c r="G38" s="249" t="str">
        <f>D5</f>
        <v>D2-SOUTH COAST RED (A)</v>
      </c>
      <c r="H38" s="249">
        <v>8</v>
      </c>
      <c r="I38" s="249" t="s">
        <v>1267</v>
      </c>
      <c r="J38" s="106" t="s">
        <v>1082</v>
      </c>
    </row>
    <row r="39" spans="1:10">
      <c r="A39" s="251">
        <v>46053</v>
      </c>
      <c r="B39" s="150">
        <f>CHICLETS!V16</f>
        <v>0.75</v>
      </c>
      <c r="C39" s="150" t="str">
        <f>CHICLETS!$AA$4</f>
        <v>YORBA LINDA HS</v>
      </c>
      <c r="D39" s="150" t="s">
        <v>2244</v>
      </c>
      <c r="E39" s="149" t="str">
        <f>E5</f>
        <v>E2-TROJAN CARDINAL</v>
      </c>
      <c r="F39" s="249">
        <v>9.4</v>
      </c>
      <c r="G39" s="249" t="str">
        <f>E6</f>
        <v>E3-SAN CLEMENTE RED</v>
      </c>
      <c r="H39" s="249">
        <v>9.5</v>
      </c>
      <c r="I39" s="249" t="s">
        <v>1562</v>
      </c>
      <c r="J39" s="106" t="s">
        <v>1082</v>
      </c>
    </row>
    <row r="40" spans="1:10">
      <c r="A40" s="251">
        <v>46053</v>
      </c>
      <c r="B40" s="150">
        <f>CHICLETS!V17</f>
        <v>0.79166666666666696</v>
      </c>
      <c r="C40" s="150" t="str">
        <f>CHICLETS!$AA$4</f>
        <v>YORBA LINDA HS</v>
      </c>
      <c r="D40" s="150" t="s">
        <v>2245</v>
      </c>
      <c r="E40" s="149" t="str">
        <f>F4</f>
        <v>F1-SD SHORES BLACK</v>
      </c>
      <c r="F40" s="249">
        <v>14</v>
      </c>
      <c r="G40" s="249" t="str">
        <f>F5</f>
        <v>F2-SHAQ</v>
      </c>
      <c r="H40" s="249">
        <v>10</v>
      </c>
      <c r="I40" s="249" t="s">
        <v>1572</v>
      </c>
      <c r="J40" s="106" t="s">
        <v>1082</v>
      </c>
    </row>
    <row r="41" spans="1:10">
      <c r="B41" s="253"/>
    </row>
    <row r="42" spans="1:10">
      <c r="A42" s="226"/>
      <c r="B42" s="254"/>
      <c r="C42" s="159"/>
      <c r="D42" s="159"/>
      <c r="E42" s="159"/>
      <c r="F42" s="159"/>
      <c r="G42" s="159"/>
      <c r="H42" s="159"/>
      <c r="I42" s="159"/>
      <c r="J42" s="159"/>
    </row>
    <row r="43" spans="1:10">
      <c r="B43" s="253"/>
    </row>
    <row r="44" spans="1:10">
      <c r="A44" s="251">
        <v>46054</v>
      </c>
      <c r="B44" s="150">
        <f>CHICLETS!V27</f>
        <v>0.29166666666666669</v>
      </c>
      <c r="C44" s="150" t="str">
        <f>CHICLETS!$X$26</f>
        <v>WOOLLETT NEAR RIGHT</v>
      </c>
      <c r="D44" s="150" t="s">
        <v>2246</v>
      </c>
      <c r="E44" s="149" t="str">
        <f>A14</f>
        <v>G1(1stA)-CC UNITED BLACK</v>
      </c>
      <c r="F44" s="249">
        <v>7</v>
      </c>
      <c r="G44" s="249" t="str">
        <f>A15</f>
        <v>G2(1stB)-IMPERIAL WPC</v>
      </c>
      <c r="H44" s="249">
        <v>4</v>
      </c>
      <c r="I44" s="249" t="s">
        <v>1889</v>
      </c>
      <c r="J44" s="106" t="s">
        <v>1082</v>
      </c>
    </row>
    <row r="45" spans="1:10">
      <c r="A45" s="251">
        <v>46054</v>
      </c>
      <c r="B45" s="150">
        <f>CHICLETS!V28</f>
        <v>0.33333333333333298</v>
      </c>
      <c r="C45" s="150" t="str">
        <f>CHICLETS!$X$26</f>
        <v>WOOLLETT NEAR RIGHT</v>
      </c>
      <c r="D45" s="150" t="s">
        <v>2247</v>
      </c>
      <c r="E45" s="149" t="str">
        <f>B14</f>
        <v>H1(1stD)-LAMORINDA A</v>
      </c>
      <c r="F45" s="249">
        <v>8</v>
      </c>
      <c r="G45" s="249" t="str">
        <f>B15</f>
        <v>H2(1stE)-CHANNEL ISLANDS UNITED GOLD</v>
      </c>
      <c r="H45" s="249">
        <v>9</v>
      </c>
      <c r="I45" s="249" t="s">
        <v>1889</v>
      </c>
      <c r="J45" s="106" t="s">
        <v>1082</v>
      </c>
    </row>
    <row r="46" spans="1:10">
      <c r="A46" s="251">
        <v>46054</v>
      </c>
      <c r="B46" s="150">
        <f>CHICLETS!V29</f>
        <v>0.375</v>
      </c>
      <c r="C46" s="150" t="str">
        <f>CHICLETS!$X$26</f>
        <v>WOOLLETT NEAR RIGHT</v>
      </c>
      <c r="D46" s="150" t="s">
        <v>2248</v>
      </c>
      <c r="E46" s="149" t="str">
        <f>C14</f>
        <v>J1(2ndF)-SHAQ</v>
      </c>
      <c r="F46" s="249">
        <v>7</v>
      </c>
      <c r="G46" s="106" t="str">
        <f>C15</f>
        <v>J2(2ndE)-SAN CLEMENTE RED</v>
      </c>
      <c r="H46" s="249">
        <v>5</v>
      </c>
      <c r="I46" s="249" t="s">
        <v>1890</v>
      </c>
      <c r="J46" s="106" t="s">
        <v>1082</v>
      </c>
    </row>
    <row r="47" spans="1:10">
      <c r="A47" s="251">
        <v>46054</v>
      </c>
      <c r="B47" s="150">
        <f>CHICLETS!V30</f>
        <v>0.41666666666666702</v>
      </c>
      <c r="C47" s="150" t="str">
        <f>CHICLETS!$X$26</f>
        <v>WOOLLETT NEAR RIGHT</v>
      </c>
      <c r="D47" s="150" t="s">
        <v>2249</v>
      </c>
      <c r="E47" s="149" t="str">
        <f>A14</f>
        <v>G1(1stA)-CC UNITED BLACK</v>
      </c>
      <c r="F47" s="249">
        <v>12</v>
      </c>
      <c r="G47" s="249" t="str">
        <f>A16</f>
        <v>G3(1stC)-680 RED</v>
      </c>
      <c r="H47" s="249">
        <v>10</v>
      </c>
      <c r="I47" s="249" t="s">
        <v>1889</v>
      </c>
      <c r="J47" s="106" t="s">
        <v>1082</v>
      </c>
    </row>
    <row r="48" spans="1:10">
      <c r="A48" s="251">
        <v>46054</v>
      </c>
      <c r="B48" s="150">
        <f>CHICLETS!V31</f>
        <v>0.45833333333333298</v>
      </c>
      <c r="C48" s="150" t="str">
        <f>CHICLETS!$X$26</f>
        <v>WOOLLETT NEAR RIGHT</v>
      </c>
      <c r="D48" s="150" t="s">
        <v>2250</v>
      </c>
      <c r="E48" s="149" t="str">
        <f>B14</f>
        <v>H1(1stD)-LAMORINDA A</v>
      </c>
      <c r="F48" s="249">
        <v>18</v>
      </c>
      <c r="G48" s="249" t="str">
        <f>B16</f>
        <v>H3(1stF)-SD SHORES BLACK</v>
      </c>
      <c r="H48" s="249">
        <v>11</v>
      </c>
      <c r="I48" s="249" t="s">
        <v>1889</v>
      </c>
      <c r="J48" s="106" t="s">
        <v>1082</v>
      </c>
    </row>
    <row r="49" spans="1:10">
      <c r="A49" s="251">
        <v>46054</v>
      </c>
      <c r="B49" s="150">
        <f>CHICLETS!V32</f>
        <v>0.5</v>
      </c>
      <c r="C49" s="150" t="str">
        <f>CHICLETS!$X$26</f>
        <v>WOOLLETT NEAR RIGHT</v>
      </c>
      <c r="D49" s="150" t="s">
        <v>2251</v>
      </c>
      <c r="E49" s="149" t="str">
        <f>C14</f>
        <v>J1(2ndF)-SHAQ</v>
      </c>
      <c r="F49" s="249">
        <v>5</v>
      </c>
      <c r="G49" s="249" t="str">
        <f>C16</f>
        <v>J3(2ndD)-SOUTH COAST RED (A)</v>
      </c>
      <c r="H49" s="249">
        <v>12</v>
      </c>
      <c r="I49" s="249" t="s">
        <v>1890</v>
      </c>
      <c r="J49" s="106" t="s">
        <v>1082</v>
      </c>
    </row>
    <row r="50" spans="1:10">
      <c r="A50" s="251">
        <v>46054</v>
      </c>
      <c r="B50" s="150">
        <f>CHICLETS!V33</f>
        <v>0.54166666666666696</v>
      </c>
      <c r="C50" s="150" t="str">
        <f>CHICLETS!$X$26</f>
        <v>WOOLLETT NEAR RIGHT</v>
      </c>
      <c r="D50" s="150" t="s">
        <v>2252</v>
      </c>
      <c r="E50" s="149" t="str">
        <f>A15</f>
        <v>G2(1stB)-IMPERIAL WPC</v>
      </c>
      <c r="F50" s="249">
        <v>10</v>
      </c>
      <c r="G50" s="106" t="str">
        <f>A16</f>
        <v>G3(1stC)-680 RED</v>
      </c>
      <c r="H50" s="249">
        <v>9</v>
      </c>
      <c r="I50" s="249" t="s">
        <v>1889</v>
      </c>
      <c r="J50" s="106" t="s">
        <v>1082</v>
      </c>
    </row>
    <row r="51" spans="1:10">
      <c r="A51" s="251">
        <v>46054</v>
      </c>
      <c r="B51" s="150">
        <f>CHICLETS!V34</f>
        <v>0.58333333333333304</v>
      </c>
      <c r="C51" s="150" t="str">
        <f>CHICLETS!$X$26</f>
        <v>WOOLLETT NEAR RIGHT</v>
      </c>
      <c r="D51" s="150" t="s">
        <v>2253</v>
      </c>
      <c r="E51" s="149" t="str">
        <f>B15</f>
        <v>H2(1stE)-CHANNEL ISLANDS UNITED GOLD</v>
      </c>
      <c r="F51" s="249">
        <v>11</v>
      </c>
      <c r="G51" s="249" t="str">
        <f>B16</f>
        <v>H3(1stF)-SD SHORES BLACK</v>
      </c>
      <c r="H51" s="249">
        <v>9</v>
      </c>
      <c r="I51" s="249" t="s">
        <v>1889</v>
      </c>
      <c r="J51" s="106" t="s">
        <v>1082</v>
      </c>
    </row>
    <row r="52" spans="1:10">
      <c r="A52" s="251">
        <v>46054</v>
      </c>
      <c r="B52" s="150">
        <f>CHICLETS!V35</f>
        <v>0.625</v>
      </c>
      <c r="C52" s="150" t="str">
        <f>CHICLETS!$X$26</f>
        <v>WOOLLETT NEAR RIGHT</v>
      </c>
      <c r="D52" s="150" t="s">
        <v>2254</v>
      </c>
      <c r="E52" s="149" t="str">
        <f>C15</f>
        <v>J2(2ndE)-SAN CLEMENTE RED</v>
      </c>
      <c r="F52" s="249">
        <v>10.5</v>
      </c>
      <c r="G52" s="249" t="str">
        <f>C16</f>
        <v>J3(2ndD)-SOUTH COAST RED (A)</v>
      </c>
      <c r="H52" s="249">
        <v>10.6</v>
      </c>
      <c r="I52" s="249" t="s">
        <v>1890</v>
      </c>
      <c r="J52" s="106" t="s">
        <v>1082</v>
      </c>
    </row>
    <row r="53" spans="1:10">
      <c r="A53" s="251">
        <v>46054</v>
      </c>
      <c r="B53" s="150">
        <f>CHICLETS!V36</f>
        <v>0.66666666666666696</v>
      </c>
      <c r="C53" s="150" t="str">
        <f>CHICLETS!$X$26</f>
        <v>WOOLLETT NEAR RIGHT</v>
      </c>
      <c r="D53" s="150" t="s">
        <v>2255</v>
      </c>
      <c r="E53" s="149" t="s">
        <v>2256</v>
      </c>
      <c r="F53" s="249">
        <v>13</v>
      </c>
      <c r="G53" s="106" t="s">
        <v>2257</v>
      </c>
      <c r="H53" s="249">
        <v>10</v>
      </c>
      <c r="I53" s="249" t="s">
        <v>1894</v>
      </c>
      <c r="J53" s="106" t="s">
        <v>1082</v>
      </c>
    </row>
    <row r="54" spans="1:10">
      <c r="A54" s="251">
        <v>46054</v>
      </c>
      <c r="B54" s="150">
        <f>CHICLETS!V37</f>
        <v>0.70833333333333304</v>
      </c>
      <c r="C54" s="150" t="str">
        <f>CHICLETS!$X$26</f>
        <v>WOOLLETT NEAR RIGHT</v>
      </c>
      <c r="D54" s="150" t="s">
        <v>2258</v>
      </c>
      <c r="E54" s="149" t="s">
        <v>2259</v>
      </c>
      <c r="F54" s="249">
        <v>11</v>
      </c>
      <c r="G54" s="249" t="s">
        <v>2260</v>
      </c>
      <c r="H54" s="249">
        <v>8</v>
      </c>
      <c r="I54" s="249" t="s">
        <v>1898</v>
      </c>
      <c r="J54" s="106" t="s">
        <v>1082</v>
      </c>
    </row>
    <row r="55" spans="1:10">
      <c r="B55" s="253"/>
    </row>
    <row r="56" spans="1:10">
      <c r="A56" s="251">
        <v>46054</v>
      </c>
      <c r="B56" s="150">
        <f>CHICLETS!V28</f>
        <v>0.33333333333333298</v>
      </c>
      <c r="C56" s="150" t="str">
        <f>CHICLETS!$AB$26</f>
        <v>WESTMINSTER HS</v>
      </c>
      <c r="D56" s="150" t="s">
        <v>2261</v>
      </c>
      <c r="E56" s="149" t="str">
        <f>D14</f>
        <v>K1(2ndC)-VANGUARD BLUE</v>
      </c>
      <c r="F56" s="249">
        <v>14</v>
      </c>
      <c r="G56" s="249" t="str">
        <f>D16</f>
        <v xml:space="preserve">K3(2ndA)-SAND CANYON	</v>
      </c>
      <c r="H56" s="249">
        <v>8</v>
      </c>
      <c r="I56" s="249" t="s">
        <v>1890</v>
      </c>
      <c r="J56" s="106" t="s">
        <v>1082</v>
      </c>
    </row>
    <row r="57" spans="1:10">
      <c r="A57" s="251">
        <v>46054</v>
      </c>
      <c r="B57" s="150">
        <f>CHICLETS!V29</f>
        <v>0.375</v>
      </c>
      <c r="C57" s="150" t="str">
        <f>CHICLETS!$AB$26</f>
        <v>WESTMINSTER HS</v>
      </c>
      <c r="D57" s="150" t="s">
        <v>2262</v>
      </c>
      <c r="E57" s="149" t="str">
        <f>E14</f>
        <v>M1(3rdA)-CAPITAL</v>
      </c>
      <c r="F57" s="249">
        <v>17</v>
      </c>
      <c r="G57" s="249" t="str">
        <f>E16</f>
        <v>M3(3rdC)-FOOTHILL RED</v>
      </c>
      <c r="H57" s="249">
        <v>6</v>
      </c>
      <c r="I57" s="249" t="s">
        <v>1899</v>
      </c>
      <c r="J57" s="106" t="s">
        <v>1082</v>
      </c>
    </row>
    <row r="58" spans="1:10">
      <c r="A58" s="251">
        <v>46054</v>
      </c>
      <c r="B58" s="150">
        <f>CHICLETS!V30</f>
        <v>0.41666666666666702</v>
      </c>
      <c r="C58" s="150" t="str">
        <f>CHICLETS!$AB$26</f>
        <v>WESTMINSTER HS</v>
      </c>
      <c r="D58" s="150" t="s">
        <v>2263</v>
      </c>
      <c r="E58" s="149" t="str">
        <f>F14</f>
        <v>N1(3rdD)-SANTA CRUZ</v>
      </c>
      <c r="F58" s="249">
        <v>12</v>
      </c>
      <c r="G58" s="106" t="str">
        <f>F16</f>
        <v>N3(3rdF)-ASPHALT GREEN</v>
      </c>
      <c r="H58" s="249">
        <v>14</v>
      </c>
      <c r="I58" s="249" t="s">
        <v>1899</v>
      </c>
      <c r="J58" s="106" t="s">
        <v>1082</v>
      </c>
    </row>
    <row r="59" spans="1:10">
      <c r="B59" s="253"/>
    </row>
    <row r="60" spans="1:10">
      <c r="A60" s="251">
        <v>46054</v>
      </c>
      <c r="B60" s="150">
        <f>CHICLETS!V33</f>
        <v>0.54166666666666696</v>
      </c>
      <c r="C60" s="150" t="str">
        <f>CHICLETS!$AB$26</f>
        <v>WESTMINSTER HS</v>
      </c>
      <c r="D60" s="150" t="s">
        <v>2264</v>
      </c>
      <c r="E60" s="149" t="str">
        <f>D15</f>
        <v>K2(2ndB)-AMERICAN RIVER BLUE</v>
      </c>
      <c r="F60" s="249">
        <v>10</v>
      </c>
      <c r="G60" s="249" t="str">
        <f>D16</f>
        <v xml:space="preserve">K3(2ndA)-SAND CANYON	</v>
      </c>
      <c r="H60" s="249">
        <v>6</v>
      </c>
      <c r="I60" s="249" t="s">
        <v>1890</v>
      </c>
      <c r="J60" s="106" t="s">
        <v>1082</v>
      </c>
    </row>
    <row r="61" spans="1:10">
      <c r="A61" s="251">
        <v>46054</v>
      </c>
      <c r="B61" s="150">
        <f>CHICLETS!V34</f>
        <v>0.58333333333333304</v>
      </c>
      <c r="C61" s="150" t="str">
        <f>CHICLETS!$AB$26</f>
        <v>WESTMINSTER HS</v>
      </c>
      <c r="D61" s="150" t="s">
        <v>2265</v>
      </c>
      <c r="E61" s="149" t="str">
        <f>E15</f>
        <v>M2(3rdB)-LA JOLLA UNITED NAVY</v>
      </c>
      <c r="F61" s="249">
        <v>18</v>
      </c>
      <c r="G61" s="249" t="str">
        <f>E16</f>
        <v>M3(3rdC)-FOOTHILL RED</v>
      </c>
      <c r="H61" s="249">
        <v>4</v>
      </c>
      <c r="I61" s="249" t="s">
        <v>1899</v>
      </c>
      <c r="J61" s="106" t="s">
        <v>1082</v>
      </c>
    </row>
    <row r="62" spans="1:10">
      <c r="A62" s="251">
        <v>46054</v>
      </c>
      <c r="B62" s="150">
        <f>CHICLETS!V35</f>
        <v>0.625</v>
      </c>
      <c r="C62" s="150" t="str">
        <f>CHICLETS!$AB$26</f>
        <v>WESTMINSTER HS</v>
      </c>
      <c r="D62" s="150" t="s">
        <v>2266</v>
      </c>
      <c r="E62" s="149" t="str">
        <f>F15</f>
        <v>N2(3rdE)-TROJAN CARDINAL</v>
      </c>
      <c r="F62" s="249">
        <v>8</v>
      </c>
      <c r="G62" s="249" t="str">
        <f>F16</f>
        <v>N3(3rdF)-ASPHALT GREEN</v>
      </c>
      <c r="H62" s="249">
        <v>7</v>
      </c>
      <c r="I62" s="249" t="s">
        <v>1899</v>
      </c>
      <c r="J62" s="106" t="s">
        <v>1082</v>
      </c>
    </row>
    <row r="63" spans="1:10">
      <c r="A63" s="251">
        <v>46054</v>
      </c>
      <c r="B63" s="150">
        <f>CHICLETS!V36</f>
        <v>0.66666666666666696</v>
      </c>
      <c r="C63" s="150" t="str">
        <f>CHICLETS!$AB$26</f>
        <v>WESTMINSTER HS</v>
      </c>
      <c r="D63" s="150" t="s">
        <v>2267</v>
      </c>
      <c r="E63" s="149" t="str">
        <f>D14</f>
        <v>K1(2ndC)-VANGUARD BLUE</v>
      </c>
      <c r="F63" s="249">
        <v>14</v>
      </c>
      <c r="G63" s="249" t="str">
        <f>D15</f>
        <v>K2(2ndB)-AMERICAN RIVER BLUE</v>
      </c>
      <c r="H63" s="249">
        <v>6</v>
      </c>
      <c r="I63" s="249" t="s">
        <v>1890</v>
      </c>
      <c r="J63" s="106" t="s">
        <v>1082</v>
      </c>
    </row>
    <row r="64" spans="1:10">
      <c r="A64" s="251">
        <v>46054</v>
      </c>
      <c r="B64" s="150">
        <f>CHICLETS!V37</f>
        <v>0.70833333333333304</v>
      </c>
      <c r="C64" s="150" t="str">
        <f>CHICLETS!$AB$26</f>
        <v>WESTMINSTER HS</v>
      </c>
      <c r="D64" s="150" t="s">
        <v>2268</v>
      </c>
      <c r="E64" s="149" t="str">
        <f>E14</f>
        <v>M1(3rdA)-CAPITAL</v>
      </c>
      <c r="F64" s="249">
        <v>6</v>
      </c>
      <c r="G64" s="106" t="str">
        <f>E15</f>
        <v>M2(3rdB)-LA JOLLA UNITED NAVY</v>
      </c>
      <c r="H64" s="249">
        <v>16</v>
      </c>
      <c r="I64" s="249" t="s">
        <v>1899</v>
      </c>
      <c r="J64" s="106" t="s">
        <v>1082</v>
      </c>
    </row>
    <row r="65" spans="1:10">
      <c r="A65" s="251">
        <v>46054</v>
      </c>
      <c r="B65" s="150">
        <f>CHICLETS!V38</f>
        <v>0.75</v>
      </c>
      <c r="C65" s="150" t="str">
        <f>CHICLETS!$AB$26</f>
        <v>WESTMINSTER HS</v>
      </c>
      <c r="D65" s="150" t="s">
        <v>2269</v>
      </c>
      <c r="E65" s="149" t="str">
        <f>F14</f>
        <v>N1(3rdD)-SANTA CRUZ</v>
      </c>
      <c r="F65" s="249">
        <v>8</v>
      </c>
      <c r="G65" s="249" t="str">
        <f>F15</f>
        <v>N2(3rdE)-TROJAN CARDINAL</v>
      </c>
      <c r="H65" s="249">
        <v>12</v>
      </c>
      <c r="I65" s="249" t="s">
        <v>1899</v>
      </c>
      <c r="J65" s="106" t="s">
        <v>1082</v>
      </c>
    </row>
    <row r="66" spans="1:10">
      <c r="A66" s="1"/>
    </row>
    <row r="67" spans="1:10">
      <c r="A67" s="1"/>
      <c r="I67" s="106" t="s">
        <v>1312</v>
      </c>
      <c r="J67" s="106" t="s">
        <v>691</v>
      </c>
    </row>
    <row r="68" spans="1:10">
      <c r="A68" s="1"/>
      <c r="I68" s="106" t="s">
        <v>1313</v>
      </c>
      <c r="J68" s="106" t="s">
        <v>962</v>
      </c>
    </row>
    <row r="69" spans="1:10">
      <c r="I69" s="106" t="s">
        <v>1314</v>
      </c>
      <c r="J69" s="106" t="s">
        <v>1102</v>
      </c>
    </row>
  </sheetData>
  <hyperlinks>
    <hyperlink ref="B2" r:id="rId1" xr:uid="{350EC73A-DF4D-4ED6-B313-98BED075F56B}"/>
    <hyperlink ref="C2" r:id="rId2" xr:uid="{C546AAEF-B8B3-46E7-9CE0-A228A3AAC499}"/>
    <hyperlink ref="A2" r:id="rId3" xr:uid="{6A6F6932-C5B7-4C1C-AED5-FBE45AC0FE67}"/>
  </hyperlinks>
  <pageMargins left="0.7" right="0.7" top="0.75" bottom="0.75" header="0.3" footer="0.3"/>
  <pageSetup scale="47" orientation="landscape" r:id="rId4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66F61-604D-431C-B850-96176B59AA84}">
  <sheetPr>
    <tabColor rgb="FFB2FB51"/>
    <pageSetUpPr fitToPage="1"/>
  </sheetPr>
  <dimension ref="A1:P59"/>
  <sheetViews>
    <sheetView workbookViewId="0"/>
  </sheetViews>
  <sheetFormatPr defaultColWidth="10.85546875" defaultRowHeight="18"/>
  <cols>
    <col min="1" max="1" width="34.28515625" style="148" bestFit="1" customWidth="1"/>
    <col min="2" max="2" width="34.42578125" style="148" bestFit="1" customWidth="1"/>
    <col min="3" max="3" width="29.42578125" style="148" customWidth="1"/>
    <col min="4" max="4" width="16" style="148" customWidth="1"/>
    <col min="5" max="5" width="39.140625" style="148" customWidth="1"/>
    <col min="6" max="6" width="34.42578125" style="148" customWidth="1"/>
    <col min="7" max="7" width="38.85546875" style="148" customWidth="1"/>
    <col min="8" max="8" width="8.5703125" style="148" bestFit="1" customWidth="1"/>
    <col min="9" max="9" width="30.5703125" style="148" bestFit="1" customWidth="1"/>
    <col min="10" max="10" width="41.140625" style="148" customWidth="1"/>
    <col min="11" max="11" width="20.5703125" style="148" bestFit="1" customWidth="1"/>
    <col min="12" max="12" width="31.28515625" style="148" bestFit="1" customWidth="1"/>
    <col min="13" max="13" width="10.85546875" style="148"/>
    <col min="14" max="14" width="31.28515625" style="148" bestFit="1" customWidth="1"/>
    <col min="15" max="15" width="10.85546875" style="148"/>
    <col min="16" max="16" width="30.5703125" style="148" bestFit="1" customWidth="1"/>
    <col min="17" max="16384" width="10.85546875" style="148"/>
  </cols>
  <sheetData>
    <row r="1" spans="1:16">
      <c r="A1" s="271" t="s">
        <v>219</v>
      </c>
      <c r="B1" s="273" t="s">
        <v>2270</v>
      </c>
      <c r="C1" s="272" t="s">
        <v>2271</v>
      </c>
      <c r="D1" s="148" t="s">
        <v>2272</v>
      </c>
      <c r="E1" s="271" t="s">
        <v>2273</v>
      </c>
      <c r="F1" s="40"/>
      <c r="G1" s="40"/>
      <c r="H1" s="40"/>
      <c r="I1" s="40"/>
      <c r="J1" s="40"/>
    </row>
    <row r="2" spans="1:16">
      <c r="A2" s="119" t="s">
        <v>1237</v>
      </c>
      <c r="B2" s="118" t="s">
        <v>1238</v>
      </c>
      <c r="C2" s="117" t="s">
        <v>1239</v>
      </c>
      <c r="D2" s="40"/>
      <c r="E2" s="40"/>
      <c r="F2" s="40"/>
      <c r="G2" s="40"/>
      <c r="H2" s="40"/>
      <c r="I2" s="40"/>
      <c r="J2" s="40"/>
    </row>
    <row r="3" spans="1:16">
      <c r="A3" s="271" t="s">
        <v>644</v>
      </c>
      <c r="B3" s="8" t="s">
        <v>645</v>
      </c>
      <c r="C3" s="270"/>
      <c r="D3" s="40"/>
      <c r="E3" s="40"/>
      <c r="F3" s="270"/>
      <c r="G3" s="40"/>
      <c r="H3" s="40"/>
      <c r="I3" s="40"/>
      <c r="J3" s="40"/>
    </row>
    <row r="4" spans="1:16">
      <c r="A4" s="37" t="s">
        <v>1107</v>
      </c>
      <c r="B4" s="2" t="s">
        <v>1108</v>
      </c>
      <c r="C4" s="38" t="s">
        <v>1109</v>
      </c>
      <c r="D4" s="40"/>
      <c r="E4" s="40"/>
      <c r="F4" s="40"/>
      <c r="G4" s="40"/>
      <c r="H4" s="40"/>
      <c r="I4" s="40"/>
      <c r="J4" s="40"/>
    </row>
    <row r="5" spans="1:16">
      <c r="A5" s="269" t="s">
        <v>1111</v>
      </c>
      <c r="B5" s="268" t="s">
        <v>1112</v>
      </c>
      <c r="C5" s="40"/>
      <c r="D5" s="40"/>
      <c r="E5" s="40"/>
      <c r="F5" s="40"/>
      <c r="G5" s="40"/>
      <c r="H5" s="40"/>
      <c r="I5" s="40"/>
      <c r="J5" s="40"/>
    </row>
    <row r="6" spans="1:16">
      <c r="A6" s="39" t="s">
        <v>1113</v>
      </c>
      <c r="B6" s="41" t="s">
        <v>1114</v>
      </c>
      <c r="C6" s="267" t="s">
        <v>1109</v>
      </c>
      <c r="D6" s="40"/>
      <c r="J6" s="40"/>
    </row>
    <row r="7" spans="1:16">
      <c r="A7" s="39"/>
      <c r="B7" s="2"/>
      <c r="C7" s="40"/>
      <c r="D7" s="40"/>
      <c r="J7" s="40"/>
    </row>
    <row r="8" spans="1:16">
      <c r="A8" s="40"/>
      <c r="B8" s="40"/>
      <c r="C8" s="40"/>
      <c r="D8" s="40"/>
      <c r="J8" s="40"/>
    </row>
    <row r="9" spans="1:16">
      <c r="A9" s="165" t="s">
        <v>1240</v>
      </c>
      <c r="B9" s="266" t="s">
        <v>1241</v>
      </c>
      <c r="C9" s="165" t="s">
        <v>1242</v>
      </c>
      <c r="D9" s="165" t="s">
        <v>1243</v>
      </c>
      <c r="E9" s="165" t="s">
        <v>1244</v>
      </c>
      <c r="F9" s="165" t="s">
        <v>1245</v>
      </c>
      <c r="G9" s="165" t="s">
        <v>1246</v>
      </c>
      <c r="H9" s="165" t="s">
        <v>1245</v>
      </c>
      <c r="I9" s="165" t="s">
        <v>11</v>
      </c>
      <c r="J9" s="165" t="s">
        <v>1180</v>
      </c>
    </row>
    <row r="10" spans="1:16">
      <c r="A10" s="265">
        <v>46053</v>
      </c>
      <c r="B10" s="264">
        <f>CHICLETS!AG12</f>
        <v>0.52083333333333337</v>
      </c>
      <c r="C10" s="264" t="str">
        <f>CHICLETS!$AH$4</f>
        <v>SADDLEBACK COLLEGE</v>
      </c>
      <c r="D10" s="108" t="s">
        <v>2274</v>
      </c>
      <c r="E10" s="108" t="str">
        <f>A4</f>
        <v>A1-SHORE AQUATICS</v>
      </c>
      <c r="F10" s="108">
        <v>9</v>
      </c>
      <c r="G10" s="108" t="str">
        <f>A6</f>
        <v>A3-SD ECA</v>
      </c>
      <c r="H10" s="108">
        <v>11</v>
      </c>
      <c r="I10" s="108" t="s">
        <v>1250</v>
      </c>
      <c r="J10" s="108" t="s">
        <v>1105</v>
      </c>
    </row>
    <row r="11" spans="1:16">
      <c r="A11" s="265">
        <v>46053</v>
      </c>
      <c r="B11" s="264">
        <f>CHICLETS!AG13</f>
        <v>0.5625</v>
      </c>
      <c r="C11" s="264" t="str">
        <f>CHICLETS!$AH$4</f>
        <v>SADDLEBACK COLLEGE</v>
      </c>
      <c r="D11" s="108" t="s">
        <v>2275</v>
      </c>
      <c r="E11" s="329" t="str">
        <f>B4</f>
        <v>B1-CHARGERS WHITE</v>
      </c>
      <c r="F11" s="108">
        <v>9</v>
      </c>
      <c r="G11" s="108" t="str">
        <f>B6</f>
        <v>B3-OHANA</v>
      </c>
      <c r="H11" s="108">
        <v>6</v>
      </c>
      <c r="I11" s="108" t="s">
        <v>1252</v>
      </c>
      <c r="J11" s="108" t="s">
        <v>1105</v>
      </c>
    </row>
    <row r="12" spans="1:16">
      <c r="A12" s="265">
        <v>46053</v>
      </c>
      <c r="B12" s="264">
        <f>CHICLETS!AG14</f>
        <v>0.60416666666666696</v>
      </c>
      <c r="C12" s="264" t="str">
        <f>CHICLETS!$AH$4</f>
        <v>SADDLEBACK COLLEGE</v>
      </c>
      <c r="D12" s="108" t="s">
        <v>2276</v>
      </c>
      <c r="E12" s="108" t="str">
        <f>A5</f>
        <v>A2-OPA</v>
      </c>
      <c r="F12" s="108">
        <v>6</v>
      </c>
      <c r="G12" s="108" t="str">
        <f>A6</f>
        <v>A3-SD ECA</v>
      </c>
      <c r="H12" s="108">
        <v>14</v>
      </c>
      <c r="I12" s="108" t="s">
        <v>1261</v>
      </c>
      <c r="J12" s="108" t="s">
        <v>1105</v>
      </c>
    </row>
    <row r="13" spans="1:16">
      <c r="A13" s="265">
        <v>46053</v>
      </c>
      <c r="B13" s="264">
        <f>CHICLETS!AG15</f>
        <v>0.64583333333333304</v>
      </c>
      <c r="C13" s="264" t="str">
        <f>CHICLETS!$AH$4</f>
        <v>SADDLEBACK COLLEGE</v>
      </c>
      <c r="D13" s="108" t="s">
        <v>2277</v>
      </c>
      <c r="E13" s="329" t="str">
        <f>B4</f>
        <v>B1-CHARGERS WHITE</v>
      </c>
      <c r="F13" s="108">
        <v>10</v>
      </c>
      <c r="G13" s="108" t="str">
        <f>B5</f>
        <v>B2-SAN JOSE EXPRESS GOLD</v>
      </c>
      <c r="H13" s="108">
        <v>8</v>
      </c>
      <c r="I13" s="108" t="s">
        <v>1272</v>
      </c>
      <c r="J13" s="108" t="s">
        <v>1105</v>
      </c>
    </row>
    <row r="14" spans="1:16">
      <c r="A14" s="265">
        <v>46053</v>
      </c>
      <c r="B14" s="264">
        <f>CHICLETS!AG16</f>
        <v>0.6875</v>
      </c>
      <c r="C14" s="264" t="str">
        <f>CHICLETS!$AH$4</f>
        <v>SADDLEBACK COLLEGE</v>
      </c>
      <c r="D14" s="108" t="s">
        <v>2278</v>
      </c>
      <c r="E14" s="108" t="str">
        <f>A4</f>
        <v>A1-SHORE AQUATICS</v>
      </c>
      <c r="F14" s="108">
        <v>10</v>
      </c>
      <c r="G14" s="108" t="str">
        <f>A5</f>
        <v>A2-OPA</v>
      </c>
      <c r="H14" s="108">
        <v>8</v>
      </c>
      <c r="I14" s="108" t="s">
        <v>1269</v>
      </c>
      <c r="J14" s="108" t="s">
        <v>1105</v>
      </c>
    </row>
    <row r="15" spans="1:16">
      <c r="A15" s="265">
        <v>46053</v>
      </c>
      <c r="B15" s="264">
        <f>CHICLETS!AG17</f>
        <v>0.72916666666666696</v>
      </c>
      <c r="C15" s="264" t="str">
        <f>CHICLETS!$AH$4</f>
        <v>SADDLEBACK COLLEGE</v>
      </c>
      <c r="D15" s="108" t="s">
        <v>2279</v>
      </c>
      <c r="E15" s="108" t="str">
        <f>B5</f>
        <v>B2-SAN JOSE EXPRESS GOLD</v>
      </c>
      <c r="F15" s="108">
        <v>5</v>
      </c>
      <c r="G15" s="108" t="str">
        <f>B6</f>
        <v>B3-OHANA</v>
      </c>
      <c r="H15" s="108">
        <v>15</v>
      </c>
      <c r="I15" s="108" t="s">
        <v>1263</v>
      </c>
      <c r="J15" s="108" t="s">
        <v>1105</v>
      </c>
    </row>
    <row r="16" spans="1:16" s="1" customFormat="1">
      <c r="A16" s="166"/>
      <c r="B16" s="31"/>
      <c r="C16" s="166"/>
      <c r="L16" s="148"/>
      <c r="M16" s="148"/>
      <c r="N16" s="148"/>
      <c r="O16" s="148"/>
      <c r="P16" s="148"/>
    </row>
    <row r="17" spans="1:16" s="1" customFormat="1">
      <c r="A17" s="185"/>
      <c r="B17" s="183"/>
      <c r="C17" s="185"/>
      <c r="D17" s="159"/>
      <c r="E17" s="159"/>
      <c r="F17" s="159"/>
      <c r="G17" s="159"/>
      <c r="H17" s="159"/>
      <c r="I17" s="159"/>
      <c r="J17" s="159"/>
      <c r="L17" s="148"/>
      <c r="M17" s="148"/>
      <c r="N17" s="148"/>
      <c r="O17" s="148"/>
      <c r="P17" s="148"/>
    </row>
    <row r="18" spans="1:16" s="1" customFormat="1">
      <c r="A18" s="116"/>
      <c r="B18" s="266"/>
      <c r="C18" s="8"/>
      <c r="D18" s="8"/>
      <c r="J18" s="8"/>
      <c r="L18" s="148"/>
      <c r="M18" s="148"/>
      <c r="N18" s="148"/>
      <c r="O18" s="148"/>
      <c r="P18" s="148"/>
    </row>
    <row r="19" spans="1:16">
      <c r="A19" s="265">
        <v>46054</v>
      </c>
      <c r="B19" s="264">
        <f>CHICLETS!V28</f>
        <v>0.33333333333333298</v>
      </c>
      <c r="C19" s="264" t="str">
        <f>CHICLETS!$AE$26</f>
        <v>ESTANCIA HS 1</v>
      </c>
      <c r="D19" s="108" t="s">
        <v>2280</v>
      </c>
      <c r="E19" s="108" t="str">
        <f>A4</f>
        <v>A1-SHORE AQUATICS</v>
      </c>
      <c r="F19" s="108">
        <v>7</v>
      </c>
      <c r="G19" s="108" t="str">
        <f>B5</f>
        <v>B2-SAN JOSE EXPRESS GOLD</v>
      </c>
      <c r="H19" s="108">
        <v>8</v>
      </c>
      <c r="I19" s="108" t="s">
        <v>2281</v>
      </c>
      <c r="J19" s="108" t="s">
        <v>1105</v>
      </c>
    </row>
    <row r="20" spans="1:16">
      <c r="A20" s="265">
        <v>46054</v>
      </c>
      <c r="B20" s="264">
        <f>CHICLETS!V29</f>
        <v>0.375</v>
      </c>
      <c r="C20" s="264" t="str">
        <f>CHICLETS!$AE$26</f>
        <v>ESTANCIA HS 1</v>
      </c>
      <c r="D20" s="108" t="s">
        <v>2282</v>
      </c>
      <c r="E20" s="108" t="str">
        <f>A5</f>
        <v>A2-OPA</v>
      </c>
      <c r="F20" s="108">
        <v>7</v>
      </c>
      <c r="G20" s="108" t="str">
        <f>B6</f>
        <v>B3-OHANA</v>
      </c>
      <c r="H20" s="108">
        <v>10</v>
      </c>
      <c r="I20" s="108" t="s">
        <v>2283</v>
      </c>
      <c r="J20" s="108" t="s">
        <v>1105</v>
      </c>
    </row>
    <row r="21" spans="1:16">
      <c r="A21" s="40"/>
      <c r="B21" s="40"/>
      <c r="C21" s="40"/>
      <c r="E21" s="40"/>
      <c r="F21" s="40"/>
      <c r="G21" s="40"/>
      <c r="H21" s="40"/>
      <c r="I21" s="40"/>
      <c r="J21" s="40"/>
    </row>
    <row r="22" spans="1:16">
      <c r="A22" s="265">
        <v>46054</v>
      </c>
      <c r="B22" s="264">
        <f>CHICLETS!V32</f>
        <v>0.5</v>
      </c>
      <c r="C22" s="264" t="str">
        <f>CHICLETS!$AE$26</f>
        <v>ESTANCIA HS 1</v>
      </c>
      <c r="D22" s="108" t="s">
        <v>2284</v>
      </c>
      <c r="E22" s="108" t="str">
        <f>A6</f>
        <v>A3-SD ECA</v>
      </c>
      <c r="F22" s="108">
        <v>15</v>
      </c>
      <c r="G22" s="108" t="str">
        <f>B5</f>
        <v>B2-SAN JOSE EXPRESS GOLD</v>
      </c>
      <c r="H22" s="108">
        <v>5</v>
      </c>
      <c r="I22" s="108" t="s">
        <v>2285</v>
      </c>
      <c r="J22" s="108" t="s">
        <v>1105</v>
      </c>
    </row>
    <row r="23" spans="1:16">
      <c r="A23" s="265">
        <v>46054</v>
      </c>
      <c r="B23" s="264">
        <f>CHICLETS!V33</f>
        <v>0.54166666666666696</v>
      </c>
      <c r="C23" s="264" t="str">
        <f>CHICLETS!$AE$26</f>
        <v>ESTANCIA HS 1</v>
      </c>
      <c r="D23" s="108" t="s">
        <v>2286</v>
      </c>
      <c r="E23" s="108" t="str">
        <f>A4</f>
        <v>A1-SHORE AQUATICS</v>
      </c>
      <c r="F23" s="108">
        <v>5</v>
      </c>
      <c r="G23" s="108" t="str">
        <f>B4</f>
        <v>B1-CHARGERS WHITE</v>
      </c>
      <c r="H23" s="108">
        <v>9</v>
      </c>
      <c r="I23" s="108" t="s">
        <v>2287</v>
      </c>
      <c r="J23" s="108" t="s">
        <v>1105</v>
      </c>
    </row>
    <row r="24" spans="1:16">
      <c r="A24" s="40"/>
      <c r="B24" s="40"/>
      <c r="C24" s="40"/>
      <c r="E24" s="40"/>
      <c r="F24" s="40"/>
      <c r="G24" s="40"/>
      <c r="H24" s="40"/>
      <c r="I24" s="40"/>
      <c r="J24" s="40"/>
    </row>
    <row r="25" spans="1:16">
      <c r="A25" s="265">
        <v>46054</v>
      </c>
      <c r="B25" s="264">
        <f>CHICLETS!V36</f>
        <v>0.66666666666666696</v>
      </c>
      <c r="C25" s="264" t="str">
        <f>CHICLETS!$AE$26</f>
        <v>ESTANCIA HS 1</v>
      </c>
      <c r="D25" s="108" t="s">
        <v>2288</v>
      </c>
      <c r="E25" s="108" t="str">
        <f>A5</f>
        <v>A2-OPA</v>
      </c>
      <c r="F25" s="108">
        <v>5</v>
      </c>
      <c r="G25" s="108" t="str">
        <f>B4</f>
        <v>B1-CHARGERS WHITE</v>
      </c>
      <c r="H25" s="108">
        <v>16</v>
      </c>
      <c r="I25" s="108" t="s">
        <v>2289</v>
      </c>
      <c r="J25" s="108" t="s">
        <v>1105</v>
      </c>
    </row>
    <row r="26" spans="1:16">
      <c r="A26" s="265">
        <v>46054</v>
      </c>
      <c r="B26" s="264">
        <f>CHICLETS!V37</f>
        <v>0.70833333333333304</v>
      </c>
      <c r="C26" s="264" t="str">
        <f>CHICLETS!$AE$26</f>
        <v>ESTANCIA HS 1</v>
      </c>
      <c r="D26" s="108" t="s">
        <v>2290</v>
      </c>
      <c r="E26" s="108" t="str">
        <f>A6</f>
        <v>A3-SD ECA</v>
      </c>
      <c r="F26" s="108">
        <v>17</v>
      </c>
      <c r="G26" s="108" t="str">
        <f>B6</f>
        <v>B3-OHANA</v>
      </c>
      <c r="H26" s="108">
        <v>12</v>
      </c>
      <c r="I26" s="108" t="s">
        <v>2291</v>
      </c>
      <c r="J26" s="108" t="s">
        <v>1105</v>
      </c>
    </row>
    <row r="27" spans="1:16">
      <c r="G27" s="191"/>
    </row>
    <row r="28" spans="1:16">
      <c r="A28" s="191"/>
      <c r="B28" s="191"/>
      <c r="C28" s="191"/>
      <c r="D28" s="191"/>
      <c r="G28" s="191"/>
      <c r="I28" s="108" t="s">
        <v>1312</v>
      </c>
      <c r="J28" s="108" t="s">
        <v>224</v>
      </c>
    </row>
    <row r="29" spans="1:16">
      <c r="A29" s="191"/>
      <c r="B29" s="191"/>
      <c r="C29" s="191"/>
      <c r="D29" s="191"/>
      <c r="G29" s="191"/>
      <c r="I29" s="108" t="s">
        <v>1313</v>
      </c>
      <c r="J29" s="108" t="s">
        <v>1104</v>
      </c>
    </row>
    <row r="30" spans="1:16">
      <c r="A30" s="191"/>
      <c r="B30" s="191"/>
      <c r="C30" s="191"/>
      <c r="D30" s="191"/>
      <c r="G30" s="191"/>
      <c r="I30" s="108" t="s">
        <v>1314</v>
      </c>
      <c r="J30" s="108" t="s">
        <v>1106</v>
      </c>
    </row>
    <row r="31" spans="1:16">
      <c r="A31" s="191"/>
      <c r="B31" s="191"/>
      <c r="C31" s="191"/>
      <c r="D31" s="191"/>
      <c r="G31" s="191"/>
    </row>
    <row r="32" spans="1:16">
      <c r="A32" s="191"/>
      <c r="B32" s="191"/>
      <c r="C32" s="191"/>
      <c r="D32" s="191"/>
      <c r="G32" s="191"/>
    </row>
    <row r="33" spans="1:10">
      <c r="A33" s="191"/>
      <c r="B33" s="191"/>
      <c r="C33" s="191"/>
      <c r="D33" s="191"/>
      <c r="G33" s="191"/>
    </row>
    <row r="34" spans="1:10">
      <c r="A34" s="191"/>
      <c r="B34" s="191"/>
      <c r="C34" s="191"/>
      <c r="D34" s="191"/>
      <c r="G34" s="191"/>
    </row>
    <row r="35" spans="1:10">
      <c r="A35" s="191" t="s">
        <v>2292</v>
      </c>
      <c r="B35" s="191" t="s">
        <v>2293</v>
      </c>
      <c r="C35" s="191" t="s">
        <v>2293</v>
      </c>
      <c r="D35" s="191" t="s">
        <v>2294</v>
      </c>
      <c r="E35" s="191" t="s">
        <v>2294</v>
      </c>
      <c r="G35" s="191"/>
    </row>
    <row r="36" spans="1:10">
      <c r="A36" s="191">
        <f>SUM(B36:E36)</f>
        <v>7</v>
      </c>
      <c r="B36" s="260">
        <v>1</v>
      </c>
      <c r="C36" s="259">
        <v>1</v>
      </c>
      <c r="D36" s="263">
        <v>4</v>
      </c>
      <c r="E36" s="262">
        <v>1</v>
      </c>
      <c r="F36" s="37" t="str">
        <f>A4</f>
        <v>A1-SHORE AQUATICS</v>
      </c>
      <c r="G36" s="262" t="s">
        <v>2295</v>
      </c>
      <c r="H36" s="263" t="s">
        <v>2296</v>
      </c>
      <c r="I36" s="259" t="s">
        <v>2297</v>
      </c>
      <c r="J36" s="260" t="s">
        <v>2298</v>
      </c>
    </row>
    <row r="37" spans="1:10">
      <c r="A37" s="191">
        <f>SUM(B37:E37)</f>
        <v>4</v>
      </c>
      <c r="B37" s="455">
        <v>1</v>
      </c>
      <c r="C37" s="256">
        <v>1</v>
      </c>
      <c r="D37" s="261">
        <v>1</v>
      </c>
      <c r="E37" s="263">
        <v>1</v>
      </c>
      <c r="F37" s="39" t="str">
        <f>A5</f>
        <v>A2-OPA</v>
      </c>
      <c r="G37" s="263" t="s">
        <v>2299</v>
      </c>
      <c r="H37" s="261" t="s">
        <v>2300</v>
      </c>
      <c r="I37" s="256" t="s">
        <v>2301</v>
      </c>
      <c r="J37" s="453" t="s">
        <v>2302</v>
      </c>
    </row>
    <row r="38" spans="1:10">
      <c r="A38" s="191">
        <f>SUM(B38:E38)</f>
        <v>16</v>
      </c>
      <c r="B38" s="191">
        <v>4</v>
      </c>
      <c r="C38" s="255">
        <v>4</v>
      </c>
      <c r="D38" s="261">
        <v>4</v>
      </c>
      <c r="E38" s="262">
        <v>4</v>
      </c>
      <c r="F38" s="39" t="str">
        <f>A6</f>
        <v>A3-SD ECA</v>
      </c>
      <c r="G38" s="262" t="s">
        <v>2303</v>
      </c>
      <c r="H38" s="261" t="s">
        <v>2304</v>
      </c>
      <c r="I38" s="255" t="s">
        <v>2305</v>
      </c>
      <c r="J38" s="148" t="s">
        <v>2306</v>
      </c>
    </row>
    <row r="39" spans="1:10">
      <c r="A39" s="191" t="s">
        <v>2292</v>
      </c>
      <c r="B39" s="191"/>
      <c r="C39" s="191"/>
      <c r="D39" s="191"/>
      <c r="E39" s="191"/>
      <c r="G39" s="191"/>
      <c r="I39" s="191"/>
    </row>
    <row r="40" spans="1:10">
      <c r="A40" s="191">
        <f>SUM(B40:E40)</f>
        <v>16</v>
      </c>
      <c r="B40" s="455">
        <v>4</v>
      </c>
      <c r="C40" s="260">
        <v>4</v>
      </c>
      <c r="D40" s="258">
        <v>4</v>
      </c>
      <c r="E40" s="191">
        <v>4</v>
      </c>
      <c r="F40" s="2" t="str">
        <f>B4</f>
        <v>B1-CHARGERS WHITE</v>
      </c>
      <c r="G40" s="191" t="s">
        <v>2307</v>
      </c>
      <c r="H40" s="258" t="s">
        <v>2296</v>
      </c>
      <c r="I40" s="260" t="s">
        <v>2308</v>
      </c>
      <c r="J40" s="454" t="s">
        <v>2309</v>
      </c>
    </row>
    <row r="41" spans="1:10">
      <c r="A41" s="191">
        <f>SUM(B41:E41)</f>
        <v>7</v>
      </c>
      <c r="B41" s="191">
        <v>1</v>
      </c>
      <c r="C41" s="259">
        <v>4</v>
      </c>
      <c r="D41" s="257">
        <v>1</v>
      </c>
      <c r="E41" s="191">
        <v>1</v>
      </c>
      <c r="F41" s="2" t="str">
        <f>B5</f>
        <v>B2-SAN JOSE EXPRESS GOLD</v>
      </c>
      <c r="G41" s="191" t="s">
        <v>2299</v>
      </c>
      <c r="H41" s="257" t="s">
        <v>2310</v>
      </c>
      <c r="I41" s="259" t="s">
        <v>2311</v>
      </c>
      <c r="J41" s="148" t="s">
        <v>2310</v>
      </c>
    </row>
    <row r="42" spans="1:10">
      <c r="A42" s="191">
        <f>SUM(B42:E42)</f>
        <v>10</v>
      </c>
      <c r="B42" s="255">
        <v>1</v>
      </c>
      <c r="C42" s="256">
        <v>4</v>
      </c>
      <c r="D42" s="257">
        <v>4</v>
      </c>
      <c r="E42" s="258">
        <v>1</v>
      </c>
      <c r="F42" s="41" t="str">
        <f>B6</f>
        <v>B3-OHANA</v>
      </c>
      <c r="G42" s="258" t="s">
        <v>2312</v>
      </c>
      <c r="H42" s="257" t="s">
        <v>2306</v>
      </c>
      <c r="I42" s="256" t="s">
        <v>2313</v>
      </c>
      <c r="J42" s="255" t="s">
        <v>2314</v>
      </c>
    </row>
    <row r="43" spans="1:10">
      <c r="A43" s="191"/>
      <c r="B43" s="191"/>
      <c r="C43" s="191"/>
      <c r="G43" s="191"/>
    </row>
    <row r="44" spans="1:10">
      <c r="G44" s="191"/>
    </row>
    <row r="45" spans="1:10">
      <c r="G45" s="191"/>
    </row>
    <row r="46" spans="1:10">
      <c r="G46" s="191"/>
    </row>
    <row r="47" spans="1:10">
      <c r="G47" s="191"/>
    </row>
    <row r="48" spans="1:10">
      <c r="G48" s="191"/>
    </row>
    <row r="49" spans="7:7">
      <c r="G49" s="191"/>
    </row>
    <row r="50" spans="7:7">
      <c r="G50" s="191"/>
    </row>
    <row r="51" spans="7:7">
      <c r="G51" s="191"/>
    </row>
    <row r="52" spans="7:7">
      <c r="G52" s="191"/>
    </row>
    <row r="53" spans="7:7">
      <c r="G53" s="191"/>
    </row>
    <row r="54" spans="7:7">
      <c r="G54" s="191"/>
    </row>
    <row r="55" spans="7:7">
      <c r="G55" s="191"/>
    </row>
    <row r="56" spans="7:7">
      <c r="G56" s="191"/>
    </row>
    <row r="57" spans="7:7">
      <c r="G57" s="191"/>
    </row>
    <row r="58" spans="7:7">
      <c r="G58" s="191"/>
    </row>
    <row r="59" spans="7:7">
      <c r="G59" s="191"/>
    </row>
  </sheetData>
  <hyperlinks>
    <hyperlink ref="B2" r:id="rId1" xr:uid="{474C5F80-32D5-4C56-928B-89DF31179EA9}"/>
    <hyperlink ref="C2" r:id="rId2" xr:uid="{BC1132AA-514E-4C35-81C1-DB272F232F45}"/>
    <hyperlink ref="A2" r:id="rId3" xr:uid="{87BFEEA0-D402-475F-8B29-C7C35615B07A}"/>
  </hyperlinks>
  <pageMargins left="0.7" right="0.7" top="0.75" bottom="0.75" header="0.3" footer="0.3"/>
  <pageSetup scale="55" orientation="landscape" r:id="rId4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EA45B-08BF-4EBC-9612-50A99FD046DA}">
  <sheetPr>
    <tabColor rgb="FF6699FF"/>
    <pageSetUpPr fitToPage="1"/>
  </sheetPr>
  <dimension ref="A1:J48"/>
  <sheetViews>
    <sheetView workbookViewId="0"/>
  </sheetViews>
  <sheetFormatPr defaultColWidth="9.140625" defaultRowHeight="18"/>
  <cols>
    <col min="1" max="1" width="39.140625" style="228" customWidth="1"/>
    <col min="2" max="2" width="40.140625" style="54" bestFit="1" customWidth="1"/>
    <col min="3" max="3" width="31.85546875" style="54" customWidth="1"/>
    <col min="4" max="4" width="31.140625" style="54" bestFit="1" customWidth="1"/>
    <col min="5" max="5" width="46.85546875" style="54" bestFit="1" customWidth="1"/>
    <col min="6" max="6" width="5" style="54" bestFit="1" customWidth="1"/>
    <col min="7" max="7" width="45.5703125" style="54" bestFit="1" customWidth="1"/>
    <col min="8" max="8" width="5" style="54" bestFit="1" customWidth="1"/>
    <col min="9" max="9" width="22.140625" style="54" customWidth="1"/>
    <col min="10" max="10" width="38.42578125" style="54" bestFit="1" customWidth="1"/>
    <col min="11" max="16384" width="9.140625" style="54"/>
  </cols>
  <sheetData>
    <row r="1" spans="1:10">
      <c r="A1" s="234" t="s">
        <v>84</v>
      </c>
      <c r="B1" s="233" t="s">
        <v>1234</v>
      </c>
      <c r="C1" s="120" t="s">
        <v>1775</v>
      </c>
      <c r="D1" s="54" t="s">
        <v>1236</v>
      </c>
      <c r="E1" s="234"/>
      <c r="F1" s="234"/>
      <c r="G1" s="234"/>
    </row>
    <row r="2" spans="1:10">
      <c r="A2" s="119" t="s">
        <v>1237</v>
      </c>
      <c r="B2" s="118" t="s">
        <v>1238</v>
      </c>
      <c r="C2" s="117" t="s">
        <v>1239</v>
      </c>
      <c r="D2" s="234"/>
      <c r="E2" s="234"/>
      <c r="F2" s="234"/>
      <c r="G2" s="234"/>
      <c r="H2" s="234"/>
    </row>
    <row r="3" spans="1:10">
      <c r="A3" s="8" t="s">
        <v>644</v>
      </c>
      <c r="B3" s="8" t="s">
        <v>645</v>
      </c>
      <c r="C3" s="8" t="s">
        <v>646</v>
      </c>
      <c r="D3" s="8" t="s">
        <v>647</v>
      </c>
      <c r="F3" s="191"/>
      <c r="H3" s="201"/>
      <c r="I3" s="201"/>
      <c r="J3" s="201"/>
    </row>
    <row r="4" spans="1:10">
      <c r="A4" s="2" t="s">
        <v>1116</v>
      </c>
      <c r="B4" s="2" t="s">
        <v>1117</v>
      </c>
      <c r="C4" s="2" t="s">
        <v>1118</v>
      </c>
      <c r="D4" s="2" t="s">
        <v>1119</v>
      </c>
      <c r="F4" s="191"/>
      <c r="H4" s="191"/>
      <c r="I4" s="191"/>
      <c r="J4" s="191"/>
    </row>
    <row r="5" spans="1:10">
      <c r="A5" s="2" t="s">
        <v>1121</v>
      </c>
      <c r="B5" s="2" t="s">
        <v>1122</v>
      </c>
      <c r="C5" s="2" t="s">
        <v>1123</v>
      </c>
      <c r="D5" s="2" t="s">
        <v>1124</v>
      </c>
      <c r="J5" s="191"/>
    </row>
    <row r="6" spans="1:10">
      <c r="A6" s="2" t="s">
        <v>1126</v>
      </c>
      <c r="B6" s="2" t="s">
        <v>1127</v>
      </c>
      <c r="C6" s="2" t="s">
        <v>1128</v>
      </c>
      <c r="D6" s="2" t="s">
        <v>1129</v>
      </c>
      <c r="J6" s="191"/>
    </row>
    <row r="7" spans="1:10">
      <c r="A7" s="2" t="s">
        <v>1130</v>
      </c>
      <c r="B7" s="2" t="s">
        <v>1131</v>
      </c>
      <c r="C7" s="2" t="s">
        <v>1132</v>
      </c>
      <c r="D7" s="2" t="s">
        <v>1133</v>
      </c>
      <c r="E7" s="191"/>
      <c r="F7" s="191"/>
      <c r="G7" s="191"/>
      <c r="H7" s="191"/>
      <c r="I7" s="191"/>
      <c r="J7" s="191"/>
    </row>
    <row r="9" spans="1:10">
      <c r="A9" s="8" t="s">
        <v>1240</v>
      </c>
      <c r="B9" s="116" t="s">
        <v>1241</v>
      </c>
      <c r="C9" s="8" t="s">
        <v>1242</v>
      </c>
      <c r="D9" s="8" t="s">
        <v>1243</v>
      </c>
      <c r="E9" s="8" t="s">
        <v>1244</v>
      </c>
      <c r="F9" s="8" t="s">
        <v>1245</v>
      </c>
      <c r="G9" s="8" t="s">
        <v>1246</v>
      </c>
      <c r="H9" s="8" t="s">
        <v>1245</v>
      </c>
      <c r="I9" s="8" t="s">
        <v>11</v>
      </c>
      <c r="J9" s="8" t="s">
        <v>1180</v>
      </c>
    </row>
    <row r="10" spans="1:10">
      <c r="A10" s="275">
        <v>46053</v>
      </c>
      <c r="B10" s="274">
        <f>CHICLETS!V6</f>
        <v>0.33333333333333298</v>
      </c>
      <c r="C10" s="274" t="str">
        <f>CHICLETS!$Y$4</f>
        <v>SAN JUAN HILLS HS</v>
      </c>
      <c r="D10" s="107" t="s">
        <v>2315</v>
      </c>
      <c r="E10" s="107" t="str">
        <f>A5</f>
        <v>A2-CLOVIS BLACK</v>
      </c>
      <c r="F10" s="107">
        <v>14</v>
      </c>
      <c r="G10" s="107" t="str">
        <f>A6</f>
        <v>A3-LA JOLLA UNITED GOLD</v>
      </c>
      <c r="H10" s="107">
        <v>12</v>
      </c>
      <c r="I10" s="107" t="s">
        <v>2316</v>
      </c>
      <c r="J10" s="107" t="s">
        <v>1115</v>
      </c>
    </row>
    <row r="11" spans="1:10">
      <c r="A11" s="275">
        <v>46053</v>
      </c>
      <c r="B11" s="274">
        <f>CHICLETS!V7</f>
        <v>0.375</v>
      </c>
      <c r="C11" s="274" t="str">
        <f>CHICLETS!$Y$4</f>
        <v>SAN JUAN HILLS HS</v>
      </c>
      <c r="D11" s="107" t="s">
        <v>2317</v>
      </c>
      <c r="E11" s="107" t="str">
        <f>A4</f>
        <v>A1-HIELAND</v>
      </c>
      <c r="F11" s="107">
        <v>7</v>
      </c>
      <c r="G11" s="107" t="str">
        <f>A7</f>
        <v>A4-VANGUARD SILVER</v>
      </c>
      <c r="H11" s="107">
        <v>6</v>
      </c>
      <c r="I11" s="107" t="s">
        <v>2318</v>
      </c>
      <c r="J11" s="107" t="s">
        <v>1115</v>
      </c>
    </row>
    <row r="12" spans="1:10">
      <c r="A12" s="275">
        <v>46053</v>
      </c>
      <c r="B12" s="274">
        <f>CHICLETS!V8</f>
        <v>0.41666666666666702</v>
      </c>
      <c r="C12" s="274" t="str">
        <f>CHICLETS!$Y$4</f>
        <v>SAN JUAN HILLS HS</v>
      </c>
      <c r="D12" s="107" t="s">
        <v>2319</v>
      </c>
      <c r="E12" s="107" t="str">
        <f>C5</f>
        <v>C2-MISSON WPC</v>
      </c>
      <c r="F12" s="107">
        <v>16</v>
      </c>
      <c r="G12" s="107" t="str">
        <f>C6</f>
        <v>C3-MARIN</v>
      </c>
      <c r="H12" s="107">
        <v>5</v>
      </c>
      <c r="I12" s="107" t="s">
        <v>1465</v>
      </c>
      <c r="J12" s="107" t="s">
        <v>1115</v>
      </c>
    </row>
    <row r="13" spans="1:10">
      <c r="A13" s="275">
        <v>46053</v>
      </c>
      <c r="B13" s="274">
        <f>CHICLETS!V9</f>
        <v>0.45833333333333298</v>
      </c>
      <c r="C13" s="274" t="str">
        <f>CHICLETS!$Y$4</f>
        <v>SAN JUAN HILLS HS</v>
      </c>
      <c r="D13" s="107" t="s">
        <v>2320</v>
      </c>
      <c r="E13" s="107" t="str">
        <f>C4</f>
        <v>C1-NORTHWEST</v>
      </c>
      <c r="F13" s="441">
        <v>6.2</v>
      </c>
      <c r="G13" s="107" t="str">
        <f>C7</f>
        <v>C4-AMERICAN RIVER GOLD</v>
      </c>
      <c r="H13" s="441">
        <v>6.3</v>
      </c>
      <c r="I13" s="107" t="s">
        <v>1462</v>
      </c>
      <c r="J13" s="107" t="s">
        <v>1115</v>
      </c>
    </row>
    <row r="14" spans="1:10">
      <c r="A14" s="275">
        <v>46053</v>
      </c>
      <c r="B14" s="274">
        <f>CHICLETS!V10</f>
        <v>0.5</v>
      </c>
      <c r="C14" s="274" t="str">
        <f>CHICLETS!$Y$4</f>
        <v>SAN JUAN HILLS HS</v>
      </c>
      <c r="D14" s="107" t="s">
        <v>2321</v>
      </c>
      <c r="E14" s="107" t="str">
        <f>IF(F10="","L#1-",IF(F10&lt;H10,_xlfn.CONCAT("L#1-",RIGHT(E10,LEN(E10) - FIND("-",E10))), _xlfn.CONCAT("L#1-",RIGHT(G10,LEN(G10) - FIND("-",G10)))))</f>
        <v>L#1-LA JOLLA UNITED GOLD</v>
      </c>
      <c r="F14" s="107">
        <v>10</v>
      </c>
      <c r="G14" s="107" t="str">
        <f>IF(F11="","L#2-",IF(F11&lt;H11,_xlfn.CONCAT("L#2-",RIGHT(E11,LEN(E11) - FIND("-",E11))), _xlfn.CONCAT("L#2-",RIGHT(G11,LEN(G11) - FIND("-",G11)))))</f>
        <v>L#2-VANGUARD SILVER</v>
      </c>
      <c r="H14" s="107">
        <v>12</v>
      </c>
      <c r="I14" s="107" t="s">
        <v>2322</v>
      </c>
      <c r="J14" s="107" t="s">
        <v>1115</v>
      </c>
    </row>
    <row r="15" spans="1:10">
      <c r="A15" s="275">
        <v>46053</v>
      </c>
      <c r="B15" s="274">
        <f>CHICLETS!V11</f>
        <v>0.54166666666666696</v>
      </c>
      <c r="C15" s="274" t="str">
        <f>CHICLETS!$Y$4</f>
        <v>SAN JUAN HILLS HS</v>
      </c>
      <c r="D15" s="107" t="s">
        <v>2323</v>
      </c>
      <c r="E15" s="107" t="str">
        <f>IF(F10="","W#1-",IF(F10&gt;H10,_xlfn.CONCAT("W#1-",RIGHT(E10,LEN(E10) - FIND("-",E10))), _xlfn.CONCAT("W#1-",RIGHT(G10,LEN(G10) - FIND("-",G10)))))</f>
        <v>W#1-CLOVIS BLACK</v>
      </c>
      <c r="F15" s="107">
        <v>9</v>
      </c>
      <c r="G15" s="107" t="str">
        <f>IF(F11="","W#2-",IF(F11&gt;H11,_xlfn.CONCAT("W#2-",RIGHT(E11,LEN(E11) - FIND("-",E11))), _xlfn.CONCAT("W#2-",RIGHT(G11,LEN(G11) - FIND("-",G11)))))</f>
        <v>W#2-HIELAND</v>
      </c>
      <c r="H15" s="107">
        <v>13</v>
      </c>
      <c r="I15" s="107" t="s">
        <v>2324</v>
      </c>
      <c r="J15" s="107" t="s">
        <v>1115</v>
      </c>
    </row>
    <row r="16" spans="1:10">
      <c r="A16" s="275">
        <v>46053</v>
      </c>
      <c r="B16" s="274">
        <f>CHICLETS!V11</f>
        <v>0.54166666666666696</v>
      </c>
      <c r="C16" s="274" t="str">
        <f>CHICLETS!$AB$4</f>
        <v>WESTMINSTER HS</v>
      </c>
      <c r="D16" s="107" t="s">
        <v>2325</v>
      </c>
      <c r="E16" s="107" t="str">
        <f>D4</f>
        <v>D1-BIG VALLEY</v>
      </c>
      <c r="F16" s="107">
        <v>17</v>
      </c>
      <c r="G16" s="107" t="str">
        <f>D7</f>
        <v>D4-WCAC UNITED</v>
      </c>
      <c r="H16" s="107">
        <v>16</v>
      </c>
      <c r="I16" s="107" t="s">
        <v>1482</v>
      </c>
      <c r="J16" s="107" t="s">
        <v>1115</v>
      </c>
    </row>
    <row r="17" spans="1:10">
      <c r="A17" s="275">
        <v>46053</v>
      </c>
      <c r="B17" s="274">
        <f>CHICLETS!V12</f>
        <v>0.58333333333333304</v>
      </c>
      <c r="C17" s="274" t="str">
        <f>CHICLETS!$AB$4</f>
        <v>WESTMINSTER HS</v>
      </c>
      <c r="D17" s="107" t="s">
        <v>2326</v>
      </c>
      <c r="E17" s="107" t="str">
        <f>D5</f>
        <v>D2-SET</v>
      </c>
      <c r="F17" s="107">
        <v>7</v>
      </c>
      <c r="G17" s="107" t="str">
        <f>D6</f>
        <v>D3-LONGHORN</v>
      </c>
      <c r="H17" s="107">
        <v>13</v>
      </c>
      <c r="I17" s="107" t="s">
        <v>1484</v>
      </c>
      <c r="J17" s="107" t="s">
        <v>1115</v>
      </c>
    </row>
    <row r="18" spans="1:10">
      <c r="A18" s="275">
        <v>46053</v>
      </c>
      <c r="B18" s="274">
        <f>CHICLETS!V12</f>
        <v>0.58333333333333304</v>
      </c>
      <c r="C18" s="274" t="str">
        <f>CHICLETS!$Y$4</f>
        <v>SAN JUAN HILLS HS</v>
      </c>
      <c r="D18" s="107" t="s">
        <v>2327</v>
      </c>
      <c r="E18" s="107" t="str">
        <f>B5</f>
        <v>B2-ORANGE COUNTY WPC BLUE</v>
      </c>
      <c r="F18" s="107">
        <v>11</v>
      </c>
      <c r="G18" s="107" t="str">
        <f>B6</f>
        <v>B3-FARALLON</v>
      </c>
      <c r="H18" s="107">
        <v>4</v>
      </c>
      <c r="I18" s="107" t="s">
        <v>1469</v>
      </c>
      <c r="J18" s="107" t="s">
        <v>1115</v>
      </c>
    </row>
    <row r="19" spans="1:10">
      <c r="A19" s="275">
        <v>46053</v>
      </c>
      <c r="B19" s="274">
        <f>CHICLETS!V13</f>
        <v>0.625</v>
      </c>
      <c r="C19" s="274" t="str">
        <f>CHICLETS!$Y$4</f>
        <v>SAN JUAN HILLS HS</v>
      </c>
      <c r="D19" s="107" t="s">
        <v>2328</v>
      </c>
      <c r="E19" s="107" t="str">
        <f>B4</f>
        <v>B1-MID PEN</v>
      </c>
      <c r="F19" s="107">
        <v>12</v>
      </c>
      <c r="G19" s="107" t="str">
        <f>B7</f>
        <v>B4-PASADENA AC</v>
      </c>
      <c r="H19" s="107">
        <v>5</v>
      </c>
      <c r="I19" s="107" t="s">
        <v>1467</v>
      </c>
      <c r="J19" s="107" t="s">
        <v>1115</v>
      </c>
    </row>
    <row r="20" spans="1:10">
      <c r="A20" s="275">
        <v>46053</v>
      </c>
      <c r="B20" s="274">
        <f>CHICLETS!V14</f>
        <v>0.66666666666666696</v>
      </c>
      <c r="C20" s="274" t="str">
        <f>CHICLETS!$Y$4</f>
        <v>SAN JUAN HILLS HS</v>
      </c>
      <c r="D20" s="107" t="s">
        <v>2329</v>
      </c>
      <c r="E20" s="107" t="str">
        <f>IF(F12="","L#3-",IF(F12&lt;H12,_xlfn.CONCAT("L#3-",RIGHT(E12,LEN(E12) - FIND("-",E12))), _xlfn.CONCAT("L#3-",RIGHT(G12,LEN(G12) - FIND("-",G12)))))</f>
        <v>L#3-MARIN</v>
      </c>
      <c r="F20" s="107">
        <v>6</v>
      </c>
      <c r="G20" s="107" t="str">
        <f>IF(F13="","L#4-",IF(F13&lt;H13,_xlfn.CONCAT("L#4-",RIGHT(E13,LEN(E13) - FIND("-",E13))), _xlfn.CONCAT("L#4-",RIGHT(G13,LEN(G13) - FIND("-",G13)))))</f>
        <v>L#4-NORTHWEST</v>
      </c>
      <c r="H20" s="107">
        <v>10</v>
      </c>
      <c r="I20" s="107" t="s">
        <v>1474</v>
      </c>
      <c r="J20" s="107" t="s">
        <v>1115</v>
      </c>
    </row>
    <row r="21" spans="1:10">
      <c r="A21" s="275">
        <v>46053</v>
      </c>
      <c r="B21" s="274">
        <f>CHICLETS!V15</f>
        <v>0.70833333333333304</v>
      </c>
      <c r="C21" s="274" t="str">
        <f>CHICLETS!$Y$4</f>
        <v>SAN JUAN HILLS HS</v>
      </c>
      <c r="D21" s="107" t="s">
        <v>2330</v>
      </c>
      <c r="E21" s="107" t="str">
        <f>IF(F12="","W#3-",IF(F12&gt;H12,_xlfn.CONCAT("W#3-",RIGHT(E12,LEN(E12) - FIND("-",E12))), _xlfn.CONCAT("W#3-",RIGHT(G12,LEN(G12) - FIND("-",G12)))))</f>
        <v>W#3-MISSON WPC</v>
      </c>
      <c r="F21" s="107">
        <v>8</v>
      </c>
      <c r="G21" s="107" t="str">
        <f>IF(F13="","W#4-",IF(F13&gt;H13,_xlfn.CONCAT("W#4-",RIGHT(E13,LEN(E13) - FIND("-",E13))), _xlfn.CONCAT("W#4-",RIGHT(G13,LEN(G13) - FIND("-",G13)))))</f>
        <v>W#4-AMERICAN RIVER GOLD</v>
      </c>
      <c r="H21" s="107">
        <v>6</v>
      </c>
      <c r="I21" s="107" t="s">
        <v>1472</v>
      </c>
      <c r="J21" s="107" t="s">
        <v>1115</v>
      </c>
    </row>
    <row r="22" spans="1:10">
      <c r="A22" s="275">
        <v>46053</v>
      </c>
      <c r="B22" s="274">
        <f>CHICLETS!V15</f>
        <v>0.70833333333333304</v>
      </c>
      <c r="C22" s="443" t="str">
        <f>CHICLETS!$AC$4</f>
        <v>EDISON HS</v>
      </c>
      <c r="D22" s="107" t="s">
        <v>2331</v>
      </c>
      <c r="E22" s="107" t="str">
        <f>IF(F16="","L#9-",IF(F16&lt;H16,_xlfn.CONCAT("L#9-",RIGHT(E16,LEN(E16) - FIND("-",E16))), _xlfn.CONCAT("L#9-",RIGHT(G16,LEN(G16) - FIND("-",G16)))))</f>
        <v>L#9-WCAC UNITED</v>
      </c>
      <c r="F22" s="107">
        <v>8</v>
      </c>
      <c r="G22" s="107" t="str">
        <f>IF(F17="","L#10-",IF(F17&lt;H17,_xlfn.CONCAT("L#10-",RIGHT(E17,LEN(E17) - FIND("-",E17))), _xlfn.CONCAT("L#10-",RIGHT(G17,LEN(G17) - FIND("-",G17)))))</f>
        <v>L#10-SET</v>
      </c>
      <c r="H22" s="107">
        <v>16</v>
      </c>
      <c r="I22" s="107" t="s">
        <v>1496</v>
      </c>
      <c r="J22" s="107" t="s">
        <v>1115</v>
      </c>
    </row>
    <row r="23" spans="1:10">
      <c r="A23" s="275">
        <v>46053</v>
      </c>
      <c r="B23" s="274">
        <f>CHICLETS!V16</f>
        <v>0.75</v>
      </c>
      <c r="C23" s="444" t="str">
        <f>CHICLETS!$AC$4</f>
        <v>EDISON HS</v>
      </c>
      <c r="D23" s="107" t="s">
        <v>2332</v>
      </c>
      <c r="E23" s="107" t="str">
        <f>IF(F16="","W#9-",IF(F16&gt;H16,_xlfn.CONCAT("W#9-",RIGHT(E16,LEN(E16) - FIND("-",E16))), _xlfn.CONCAT("W#9-",RIGHT(G16,LEN(G16) - FIND("-",G16)))))</f>
        <v>W#9-BIG VALLEY</v>
      </c>
      <c r="F23" s="107">
        <v>7</v>
      </c>
      <c r="G23" s="107" t="str">
        <f>IF(F17="","W#10-",IF(F17&gt;H17,_xlfn.CONCAT("W#10-",RIGHT(E17,LEN(E17) - FIND("-",E17))), _xlfn.CONCAT("W#10-",RIGHT(G17,LEN(G17) - FIND("-",G17)))))</f>
        <v>W#10-LONGHORN</v>
      </c>
      <c r="H23" s="107">
        <v>13</v>
      </c>
      <c r="I23" s="107" t="s">
        <v>1494</v>
      </c>
      <c r="J23" s="107" t="s">
        <v>1115</v>
      </c>
    </row>
    <row r="24" spans="1:10">
      <c r="A24" s="275">
        <v>46053</v>
      </c>
      <c r="B24" s="274">
        <f>CHICLETS!V16</f>
        <v>0.75</v>
      </c>
      <c r="C24" s="274" t="str">
        <f>CHICLETS!$Y$4</f>
        <v>SAN JUAN HILLS HS</v>
      </c>
      <c r="D24" s="107" t="s">
        <v>2333</v>
      </c>
      <c r="E24" s="107" t="str">
        <f>IF(F18="","L#11-",IF(F18&lt;H18,_xlfn.CONCAT("L#11-",RIGHT(E18,LEN(E18) - FIND("-",E18))), _xlfn.CONCAT("L#11-",RIGHT(G18,LEN(G18) - FIND("-",G18)))))</f>
        <v>L#11-FARALLON</v>
      </c>
      <c r="F24" s="107">
        <v>12</v>
      </c>
      <c r="G24" s="107" t="str">
        <f>IF(F19="","L#12-",IF(F19&lt;H19,_xlfn.CONCAT("L#12-",RIGHT(E19,LEN(E19) - FIND("-",E19))), _xlfn.CONCAT("L#12-",RIGHT(G19,LEN(G19) - FIND("-",G19)))))</f>
        <v>L#12-PASADENA AC</v>
      </c>
      <c r="H24" s="107">
        <v>7</v>
      </c>
      <c r="I24" s="107" t="s">
        <v>1478</v>
      </c>
      <c r="J24" s="107" t="s">
        <v>1115</v>
      </c>
    </row>
    <row r="25" spans="1:10">
      <c r="A25" s="275">
        <v>46053</v>
      </c>
      <c r="B25" s="274">
        <f>CHICLETS!V17</f>
        <v>0.79166666666666696</v>
      </c>
      <c r="C25" s="274" t="str">
        <f>CHICLETS!$Y$4</f>
        <v>SAN JUAN HILLS HS</v>
      </c>
      <c r="D25" s="107" t="s">
        <v>2334</v>
      </c>
      <c r="E25" s="107" t="str">
        <f>IF(F18="","W#11-",IF(F18&gt;H18,_xlfn.CONCAT("W#11-",RIGHT(E18,LEN(E18) - FIND("-",E18))), _xlfn.CONCAT("W#11-",RIGHT(G18,LEN(G18) - FIND("-",G18)))))</f>
        <v>W#11-ORANGE COUNTY WPC BLUE</v>
      </c>
      <c r="F25" s="107">
        <v>10</v>
      </c>
      <c r="G25" s="107" t="str">
        <f>IF(F19="","W#12-",IF(F19&gt;H19,_xlfn.CONCAT("W#12-",RIGHT(E19,LEN(E19) - FIND("-",E19))), _xlfn.CONCAT("W#12-",RIGHT(G19,LEN(G19) - FIND("-",G19)))))</f>
        <v>W#12-MID PEN</v>
      </c>
      <c r="H25" s="107">
        <v>7</v>
      </c>
      <c r="I25" s="107" t="s">
        <v>1476</v>
      </c>
      <c r="J25" s="107" t="s">
        <v>1115</v>
      </c>
    </row>
    <row r="26" spans="1:10">
      <c r="A26" s="54"/>
    </row>
    <row r="27" spans="1:10">
      <c r="A27" s="54"/>
    </row>
    <row r="28" spans="1:10">
      <c r="A28" s="275">
        <v>46054</v>
      </c>
      <c r="B28" s="274">
        <f>CHICLETS!V30</f>
        <v>0.41666666666666702</v>
      </c>
      <c r="C28" s="274" t="str">
        <f>CHICLETS!$AE$26</f>
        <v>ESTANCIA HS 1</v>
      </c>
      <c r="D28" s="107" t="s">
        <v>2335</v>
      </c>
      <c r="E28" s="107" t="str">
        <f>IF(F22="","4thD-",IF(F22&lt;H22,_xlfn.CONCAT("4thD-",RIGHT(E22,LEN(E22) - FIND("-",E22))), _xlfn.CONCAT("4thD-",RIGHT(G22,LEN(G22) - FIND("-",G22)))))</f>
        <v>4thD-WCAC UNITED</v>
      </c>
      <c r="F28" s="107">
        <v>13</v>
      </c>
      <c r="G28" s="107" t="str">
        <f>IF(F14="","4thA-",IF(F14&lt;H14,_xlfn.CONCAT("4thA-",RIGHT(E14,LEN(E14) - FIND("-",E14))), _xlfn.CONCAT("4thA-",RIGHT(G14,LEN(G14) - FIND("-",G14)))))</f>
        <v>4thA-LA JOLLA UNITED GOLD</v>
      </c>
      <c r="H28" s="107">
        <v>10</v>
      </c>
      <c r="I28" s="107" t="s">
        <v>2336</v>
      </c>
      <c r="J28" s="107" t="s">
        <v>1115</v>
      </c>
    </row>
    <row r="29" spans="1:10">
      <c r="A29" s="275">
        <v>46054</v>
      </c>
      <c r="B29" s="274">
        <f>CHICLETS!V31</f>
        <v>0.45833333333333298</v>
      </c>
      <c r="C29" s="274" t="str">
        <f>CHICLETS!$AE$26</f>
        <v>ESTANCIA HS 1</v>
      </c>
      <c r="D29" s="107" t="s">
        <v>2337</v>
      </c>
      <c r="E29" s="107" t="str">
        <f>IF(F20="","4thC-",IF(F20&lt;H20,_xlfn.CONCAT("4thC-",RIGHT(E20,LEN(E20) - FIND("-",E20))), _xlfn.CONCAT("4thC-",RIGHT(G20,LEN(G20) - FIND("-",G20)))))</f>
        <v>4thC-MARIN</v>
      </c>
      <c r="F29" s="107">
        <v>11</v>
      </c>
      <c r="G29" s="107" t="str">
        <f>IF(F24="","4thB-",IF(F24&lt;H24,_xlfn.CONCAT("4thB-",RIGHT(E24,LEN(E24) - FIND("-",E24))), _xlfn.CONCAT("4thB-",RIGHT(G24,LEN(G24) - FIND("-",G24)))))</f>
        <v>4thB-PASADENA AC</v>
      </c>
      <c r="H29" s="107">
        <v>13</v>
      </c>
      <c r="I29" s="107" t="s">
        <v>2336</v>
      </c>
      <c r="J29" s="107" t="s">
        <v>1115</v>
      </c>
    </row>
    <row r="30" spans="1:10">
      <c r="A30" s="54"/>
    </row>
    <row r="31" spans="1:10">
      <c r="A31" s="275">
        <v>46054</v>
      </c>
      <c r="B31" s="274">
        <f>CHICLETS!S33</f>
        <v>0.5</v>
      </c>
      <c r="C31" s="274" t="str">
        <f>CHICLETS!$T$26</f>
        <v>ESPERANZA HS</v>
      </c>
      <c r="D31" s="107" t="s">
        <v>2338</v>
      </c>
      <c r="E31" s="107" t="str">
        <f>IF(F14="","3rdA-",IF(F14&gt;H14,_xlfn.CONCAT("3rdA-",RIGHT(E14,LEN(E14) - FIND("-",E14))), _xlfn.CONCAT("3rdA-",RIGHT(G14,LEN(G14) - FIND("-",G14)))))</f>
        <v>3rdA-VANGUARD SILVER</v>
      </c>
      <c r="F31" s="107">
        <v>10</v>
      </c>
      <c r="G31" s="107" t="str">
        <f>IF(F22="","3rdD-",IF(F22&gt;H22,_xlfn.CONCAT("3rdD-",RIGHT(E22,LEN(E22) - FIND("-",E22))), _xlfn.CONCAT("3rdD-",RIGHT(G22,LEN(G22) - FIND("-",G22)))))</f>
        <v>3rdD-SET</v>
      </c>
      <c r="H31" s="107">
        <v>17</v>
      </c>
      <c r="I31" s="107" t="s">
        <v>1404</v>
      </c>
      <c r="J31" s="107" t="s">
        <v>1115</v>
      </c>
    </row>
    <row r="32" spans="1:10">
      <c r="A32" s="275">
        <v>46054</v>
      </c>
      <c r="B32" s="274">
        <f>CHICLETS!V33</f>
        <v>0.54166666666666696</v>
      </c>
      <c r="C32" s="274" t="str">
        <f>CHICLETS!$Z$26</f>
        <v>FULLERTON COLLEGE</v>
      </c>
      <c r="D32" s="107" t="s">
        <v>2339</v>
      </c>
      <c r="E32" s="107" t="str">
        <f>IF(F23="","2ndD-",IF(F23&lt;H23,_xlfn.CONCAT("2ndD-",RIGHT(E23,LEN(E23) - FIND("-",E23))), _xlfn.CONCAT("2ndD-",RIGHT(G23,LEN(G23) - FIND("-",G23)))))</f>
        <v>2ndD-BIG VALLEY</v>
      </c>
      <c r="F32" s="107">
        <v>12</v>
      </c>
      <c r="G32" s="107" t="str">
        <f>IF(F15="","2ndA-",IF(F15&lt;H15,_xlfn.CONCAT("2ndA-",RIGHT(E15,LEN(E15) - FIND("-",E15))), _xlfn.CONCAT("2ndA-",RIGHT(G15,LEN(G15) - FIND("-",G15)))))</f>
        <v>2ndA-CLOVIS BLACK</v>
      </c>
      <c r="H32" s="107">
        <v>6</v>
      </c>
      <c r="I32" s="107" t="s">
        <v>2340</v>
      </c>
      <c r="J32" s="107" t="s">
        <v>1115</v>
      </c>
    </row>
    <row r="33" spans="1:10">
      <c r="A33" s="275">
        <v>46054</v>
      </c>
      <c r="B33" s="274">
        <f>CHICLETS!V33</f>
        <v>0.54166666666666696</v>
      </c>
      <c r="C33" s="274" t="str">
        <f>CHICLETS!$AA$26</f>
        <v>YORBA LINDA HS</v>
      </c>
      <c r="D33" s="107" t="s">
        <v>2341</v>
      </c>
      <c r="E33" s="107" t="str">
        <f>IF(F21="","2ndC-",IF(F21&lt;H21,_xlfn.CONCAT("2ndC-",RIGHT(E21,LEN(E21) - FIND("-",E21))), _xlfn.CONCAT("2ndC-",RIGHT(G21,LEN(G21) - FIND("-",G21)))))</f>
        <v>2ndC-AMERICAN RIVER GOLD</v>
      </c>
      <c r="F33" s="107">
        <v>8</v>
      </c>
      <c r="G33" s="107" t="str">
        <f>IF(F25="","2ndB-",IF(F25&lt;H25,_xlfn.CONCAT("2ndB-",RIGHT(E25,LEN(E25) - FIND("-",E25))), _xlfn.CONCAT("2ndB-",RIGHT(G25,LEN(G25) - FIND("-",G25)))))</f>
        <v>2ndB-MID PEN</v>
      </c>
      <c r="H33" s="107">
        <v>6</v>
      </c>
      <c r="I33" s="107" t="s">
        <v>2342</v>
      </c>
      <c r="J33" s="107" t="s">
        <v>1115</v>
      </c>
    </row>
    <row r="34" spans="1:10">
      <c r="A34" s="275">
        <v>46054</v>
      </c>
      <c r="B34" s="274">
        <f>CHICLETS!S34</f>
        <v>0.54166666666666663</v>
      </c>
      <c r="C34" s="274" t="str">
        <f>CHICLETS!$T$26</f>
        <v>ESPERANZA HS</v>
      </c>
      <c r="D34" s="107" t="s">
        <v>2343</v>
      </c>
      <c r="E34" s="107" t="str">
        <f>IF(F24="","3rdB-",IF(F24&gt;H24,_xlfn.CONCAT("3rdB-",RIGHT(E24,LEN(E24) - FIND("-",E24))), _xlfn.CONCAT("3rdB-",RIGHT(G24,LEN(G24) - FIND("-",G24)))))</f>
        <v>3rdB-FARALLON</v>
      </c>
      <c r="F34" s="107">
        <v>9</v>
      </c>
      <c r="G34" s="107" t="str">
        <f>IF(F20="","3rdC-",IF(F20&gt;H20,_xlfn.CONCAT("3rdC-",RIGHT(E20,LEN(E20) - FIND("-",E20))), _xlfn.CONCAT("3rdC-",RIGHT(G20,LEN(G20) - FIND("-",G20)))))</f>
        <v>3rdC-NORTHWEST</v>
      </c>
      <c r="H34" s="107">
        <v>10</v>
      </c>
      <c r="I34" s="107" t="s">
        <v>1408</v>
      </c>
      <c r="J34" s="107" t="s">
        <v>1115</v>
      </c>
    </row>
    <row r="35" spans="1:10">
      <c r="A35" s="275">
        <v>46054</v>
      </c>
      <c r="B35" s="274">
        <f>CHICLETS!V34</f>
        <v>0.58333333333333304</v>
      </c>
      <c r="C35" s="274" t="str">
        <f>CHICLETS!$Z$26</f>
        <v>FULLERTON COLLEGE</v>
      </c>
      <c r="D35" s="107" t="s">
        <v>2344</v>
      </c>
      <c r="E35" s="107" t="str">
        <f>IF(F15="","1stA-",IF(F15&gt;H15,_xlfn.CONCAT("1stA-",RIGHT(E15,LEN(E15) - FIND("-",E15))), _xlfn.CONCAT("1stA-",RIGHT(G15,LEN(G15) - FIND("-",G15)))))</f>
        <v>1stA-HIELAND</v>
      </c>
      <c r="F35" s="107">
        <v>2</v>
      </c>
      <c r="G35" s="107" t="str">
        <f>IF(F23="","1stD-",IF(F23&gt;H23,_xlfn.CONCAT("1stD-",RIGHT(E23,LEN(E23) - FIND("-",E23))), _xlfn.CONCAT("1stD-",RIGHT(G23,LEN(G23) - FIND("-",G23)))))</f>
        <v>1stD-LONGHORN</v>
      </c>
      <c r="H35" s="107">
        <v>14</v>
      </c>
      <c r="I35" s="107" t="s">
        <v>1416</v>
      </c>
      <c r="J35" s="107" t="s">
        <v>1115</v>
      </c>
    </row>
    <row r="36" spans="1:10">
      <c r="A36" s="275">
        <v>46054</v>
      </c>
      <c r="B36" s="274">
        <f>CHICLETS!V34</f>
        <v>0.58333333333333304</v>
      </c>
      <c r="C36" s="274" t="str">
        <f>CHICLETS!$AE$26</f>
        <v>ESTANCIA HS 1</v>
      </c>
      <c r="D36" s="107" t="s">
        <v>2345</v>
      </c>
      <c r="E36" s="107" t="str">
        <f>IF(F28="","W#29-",IF(F28&gt;H28,_xlfn.CONCAT("W#29-",RIGHT(E28,LEN(E28) - FIND("-",E28))), _xlfn.CONCAT("W#29-",RIGHT(G28,LEN(G28) - FIND("-",G28)))))</f>
        <v>W#29-WCAC UNITED</v>
      </c>
      <c r="F36" s="107">
        <v>20</v>
      </c>
      <c r="G36" s="107" t="str">
        <f>IF(F29="","W#30-",IF(F29&gt;H29,_xlfn.CONCAT("W#30-",RIGHT(E29,LEN(E29) - FIND("-",E29))), _xlfn.CONCAT("W#30-",RIGHT(G29,LEN(G29) - FIND("-",G29)))))</f>
        <v>W#30-PASADENA AC</v>
      </c>
      <c r="H36" s="107">
        <v>9</v>
      </c>
      <c r="I36" s="107" t="s">
        <v>1852</v>
      </c>
      <c r="J36" s="107" t="s">
        <v>1115</v>
      </c>
    </row>
    <row r="37" spans="1:10">
      <c r="A37" s="275">
        <v>46054</v>
      </c>
      <c r="B37" s="274">
        <f>CHICLETS!V35</f>
        <v>0.625</v>
      </c>
      <c r="C37" s="274" t="str">
        <f>CHICLETS!$AE$26</f>
        <v>ESTANCIA HS 1</v>
      </c>
      <c r="D37" s="107" t="s">
        <v>2346</v>
      </c>
      <c r="E37" s="107" t="str">
        <f>IF(F28="","L#29-",IF(F28&lt;H28,_xlfn.CONCAT("L#29-",RIGHT(E28,LEN(E28) - FIND("-",E28))), _xlfn.CONCAT("L#29-",RIGHT(G28,LEN(G28) - FIND("-",G28)))))</f>
        <v>L#29-LA JOLLA UNITED GOLD</v>
      </c>
      <c r="F37" s="107">
        <v>25</v>
      </c>
      <c r="G37" s="107" t="str">
        <f>IF(F29="","L#30-",IF(F29&lt;H29,_xlfn.CONCAT("L#30-",RIGHT(E29,LEN(E29) - FIND("-",E29))), _xlfn.CONCAT("L#30-",RIGHT(G29,LEN(G29) - FIND("-",G29)))))</f>
        <v>L#30-MARIN</v>
      </c>
      <c r="H37" s="107">
        <v>11</v>
      </c>
      <c r="I37" s="107" t="s">
        <v>2347</v>
      </c>
      <c r="J37" s="107" t="s">
        <v>1115</v>
      </c>
    </row>
    <row r="38" spans="1:10">
      <c r="A38" s="275">
        <v>46054</v>
      </c>
      <c r="B38" s="274">
        <f>CHICLETS!V35</f>
        <v>0.625</v>
      </c>
      <c r="C38" s="274" t="str">
        <f>CHICLETS!$Z$26</f>
        <v>FULLERTON COLLEGE</v>
      </c>
      <c r="D38" s="107" t="s">
        <v>2348</v>
      </c>
      <c r="E38" s="107" t="str">
        <f>IF(F25="","1stB-",IF(F25&gt;H25,_xlfn.CONCAT("1stB-",RIGHT(E25,LEN(E25) - FIND("-",E25))), _xlfn.CONCAT("1stB-",RIGHT(G25,LEN(G25) - FIND("-",G25)))))</f>
        <v>1stB-ORANGE COUNTY WPC BLUE</v>
      </c>
      <c r="F38" s="107">
        <v>6.5</v>
      </c>
      <c r="G38" s="107" t="str">
        <f>IF(F21="","1stC-",IF(F21&gt;H21,_xlfn.CONCAT("1stC-",RIGHT(E21,LEN(E21) - FIND("-",E21))), _xlfn.CONCAT("1stC-",RIGHT(G21,LEN(G21) - FIND("-",G21)))))</f>
        <v>1stC-MISSON WPC</v>
      </c>
      <c r="H38" s="107">
        <v>6.6</v>
      </c>
      <c r="I38" s="107" t="s">
        <v>1420</v>
      </c>
      <c r="J38" s="107" t="s">
        <v>1115</v>
      </c>
    </row>
    <row r="39" spans="1:10">
      <c r="A39" s="275">
        <v>46054</v>
      </c>
      <c r="B39" s="274">
        <f>CHICLETS!V36</f>
        <v>0.66666666666666696</v>
      </c>
      <c r="C39" s="274" t="str">
        <f>CHICLETS!$Z$26</f>
        <v>FULLERTON COLLEGE</v>
      </c>
      <c r="D39" s="107" t="s">
        <v>2349</v>
      </c>
      <c r="E39" s="107" t="str">
        <f>IF(F32="","W#21-",IF(F32&gt;H32,_xlfn.CONCAT("W#21-",RIGHT(E32,LEN(E32) - FIND("-",E32))), _xlfn.CONCAT("W#21-",RIGHT(G32,LEN(G32) - FIND("-",G32)))))</f>
        <v>W#21-BIG VALLEY</v>
      </c>
      <c r="F39" s="107">
        <v>18</v>
      </c>
      <c r="G39" s="107" t="str">
        <f>IF(F33="","W#22-",IF(F33&gt;H33,_xlfn.CONCAT("W#22-",RIGHT(E33,LEN(E33) - FIND("-",E33))), _xlfn.CONCAT("W#22-",RIGHT(G33,LEN(G33) - FIND("-",G33)))))</f>
        <v>W#22-AMERICAN RIVER GOLD</v>
      </c>
      <c r="H39" s="107">
        <v>6</v>
      </c>
      <c r="I39" s="107" t="s">
        <v>1351</v>
      </c>
      <c r="J39" s="107" t="s">
        <v>1115</v>
      </c>
    </row>
    <row r="40" spans="1:10">
      <c r="A40" s="275">
        <v>46054</v>
      </c>
      <c r="B40" s="274">
        <f>CHICLETS!V37</f>
        <v>0.70833333333333304</v>
      </c>
      <c r="C40" s="274" t="str">
        <f>CHICLETS!$Z$26</f>
        <v>FULLERTON COLLEGE</v>
      </c>
      <c r="D40" s="107" t="s">
        <v>2350</v>
      </c>
      <c r="E40" s="107" t="str">
        <f>IF(F32="","L#21-",IF(F32&lt;H32,_xlfn.CONCAT("L#21-",RIGHT(E32,LEN(E32) - FIND("-",E32))), _xlfn.CONCAT("L#21-",RIGHT(G32,LEN(G32) - FIND("-",G32)))))</f>
        <v>L#21-CLOVIS BLACK</v>
      </c>
      <c r="F40" s="107">
        <v>8</v>
      </c>
      <c r="G40" s="107" t="str">
        <f>IF(F33="","L#22-",IF(F33&lt;H33,_xlfn.CONCAT("L#22-",RIGHT(E33,LEN(E33) - FIND("-",E33))), _xlfn.CONCAT("L#22-",RIGHT(G33,LEN(G33) - FIND("-",G33)))))</f>
        <v>L#22-MID PEN</v>
      </c>
      <c r="H40" s="107">
        <v>6</v>
      </c>
      <c r="I40" s="107" t="s">
        <v>1347</v>
      </c>
      <c r="J40" s="107" t="s">
        <v>1115</v>
      </c>
    </row>
    <row r="41" spans="1:10">
      <c r="A41" s="275">
        <v>46054</v>
      </c>
      <c r="B41" s="274">
        <f>CHICLETS!F39</f>
        <v>0.70833333333333404</v>
      </c>
      <c r="C41" s="274" t="str">
        <f>CHICLETS!$K$26</f>
        <v>COSTA MESA HS 1</v>
      </c>
      <c r="D41" s="107" t="s">
        <v>2351</v>
      </c>
      <c r="E41" s="107" t="str">
        <f>IF(F31="","W#27-",IF(F31&gt;H31,_xlfn.CONCAT("W#27-",RIGHT(E31,LEN(E31) - FIND("-",E31))), _xlfn.CONCAT("W#27-",RIGHT(G31,LEN(G31) - FIND("-",G31)))))</f>
        <v>W#27-SET</v>
      </c>
      <c r="F41" s="107">
        <v>8.4</v>
      </c>
      <c r="G41" s="107" t="str">
        <f>IF(F34="","W#28-",IF(F34&gt;H34,_xlfn.CONCAT("W#28-",RIGHT(E34,LEN(E34) - FIND("-",E34))), _xlfn.CONCAT("W#28-",RIGHT(G34,LEN(G34) - FIND("-",G34)))))</f>
        <v>W#28-NORTHWEST</v>
      </c>
      <c r="H41" s="107">
        <v>8.3000000000000007</v>
      </c>
      <c r="I41" s="107" t="s">
        <v>1422</v>
      </c>
      <c r="J41" s="107" t="s">
        <v>1115</v>
      </c>
    </row>
    <row r="42" spans="1:10">
      <c r="A42" s="275">
        <v>46054</v>
      </c>
      <c r="B42" s="274">
        <f>CHICLETS!F39</f>
        <v>0.70833333333333404</v>
      </c>
      <c r="C42" s="274" t="str">
        <f>CHICLETS!$M$26</f>
        <v>TUSTIN HS 1</v>
      </c>
      <c r="D42" s="107" t="s">
        <v>2352</v>
      </c>
      <c r="E42" s="107" t="str">
        <f>IF(F31="","L#27-",IF(F31&lt;H31,_xlfn.CONCAT("L#27-",RIGHT(E31,LEN(E31) - FIND("-",E31))), _xlfn.CONCAT("L#27-",RIGHT(G31,LEN(G31) - FIND("-",G31)))))</f>
        <v>L#27-VANGUARD SILVER</v>
      </c>
      <c r="F42" s="107">
        <v>7</v>
      </c>
      <c r="G42" s="107" t="str">
        <f>IF(F34="","L#28-",IF(F34&lt;H34,_xlfn.CONCAT("L#28-",RIGHT(E34,LEN(E34) - FIND("-",E34))), _xlfn.CONCAT("L#28-",RIGHT(G34,LEN(G34) - FIND("-",G34)))))</f>
        <v>L#28-FARALLON</v>
      </c>
      <c r="H42" s="107">
        <v>6</v>
      </c>
      <c r="I42" s="107" t="s">
        <v>1425</v>
      </c>
      <c r="J42" s="107" t="s">
        <v>1115</v>
      </c>
    </row>
    <row r="43" spans="1:10">
      <c r="A43" s="275">
        <v>46054</v>
      </c>
      <c r="B43" s="274">
        <f>CHICLETS!V38</f>
        <v>0.75</v>
      </c>
      <c r="C43" s="274" t="str">
        <f>CHICLETS!$X$26</f>
        <v>WOOLLETT NEAR RIGHT</v>
      </c>
      <c r="D43" s="107" t="s">
        <v>2353</v>
      </c>
      <c r="E43" s="107" t="str">
        <f>IF(F35="","L#19-",IF(F35&lt;H35,_xlfn.CONCAT("L#19-",RIGHT(E35,LEN(E35) - FIND("-",E35))), _xlfn.CONCAT("L#19-",RIGHT(G35,LEN(G35) - FIND("-",G35)))))</f>
        <v>L#19-HIELAND</v>
      </c>
      <c r="F43" s="107">
        <v>9</v>
      </c>
      <c r="G43" s="107" t="str">
        <f>IF(F38="","L#20-",IF(F38&lt;H38,_xlfn.CONCAT("L#20-",RIGHT(E38,LEN(E38) - FIND("-",E38))), _xlfn.CONCAT("L#20-",RIGHT(G38,LEN(G38) - FIND("-",G38)))))</f>
        <v>L#20-ORANGE COUNTY WPC BLUE</v>
      </c>
      <c r="H43" s="107">
        <v>10</v>
      </c>
      <c r="I43" s="107" t="s">
        <v>1314</v>
      </c>
      <c r="J43" s="107" t="s">
        <v>1115</v>
      </c>
    </row>
    <row r="44" spans="1:10">
      <c r="A44" s="275">
        <v>46054</v>
      </c>
      <c r="B44" s="274">
        <f>CHICLETS!V38</f>
        <v>0.75</v>
      </c>
      <c r="C44" s="274" t="str">
        <f>CHICLETS!$W$26</f>
        <v>WOOLLETT NEAR LEFT</v>
      </c>
      <c r="D44" s="107" t="s">
        <v>2354</v>
      </c>
      <c r="E44" s="107" t="str">
        <f>IF(F35="","W#19-",IF(F35&gt;H35,_xlfn.CONCAT("W#19-",RIGHT(E35,LEN(E35) - FIND("-",E35))), _xlfn.CONCAT("W#19-",RIGHT(G35,LEN(G35) - FIND("-",G35)))))</f>
        <v>W#19-LONGHORN</v>
      </c>
      <c r="F44" s="107">
        <v>12</v>
      </c>
      <c r="G44" s="107" t="str">
        <f>IF(F38="","W#20-",IF(F38&gt;H38,_xlfn.CONCAT("W#20-",RIGHT(E38,LEN(E38) - FIND("-",E38))), _xlfn.CONCAT("W#20-",RIGHT(G38,LEN(G38) - FIND("-",G38)))))</f>
        <v>W#20-MISSON WPC</v>
      </c>
      <c r="H44" s="107">
        <v>9</v>
      </c>
      <c r="I44" s="107" t="s">
        <v>1312</v>
      </c>
      <c r="J44" s="107" t="s">
        <v>1115</v>
      </c>
    </row>
    <row r="46" spans="1:10">
      <c r="I46" s="107" t="s">
        <v>1312</v>
      </c>
      <c r="J46" s="107" t="s">
        <v>1134</v>
      </c>
    </row>
    <row r="47" spans="1:10">
      <c r="I47" s="107" t="s">
        <v>1313</v>
      </c>
      <c r="J47" s="107" t="s">
        <v>2355</v>
      </c>
    </row>
    <row r="48" spans="1:10">
      <c r="I48" s="107" t="s">
        <v>1314</v>
      </c>
      <c r="J48" s="107" t="s">
        <v>684</v>
      </c>
    </row>
  </sheetData>
  <phoneticPr fontId="38" type="noConversion"/>
  <hyperlinks>
    <hyperlink ref="B2" r:id="rId1" xr:uid="{39B342E1-6BDF-49DE-B3D2-F6865478CAE5}"/>
    <hyperlink ref="C2" r:id="rId2" xr:uid="{AC9A9E3C-BBCD-4697-8502-BF3BA765116B}"/>
    <hyperlink ref="A2" r:id="rId3" xr:uid="{FBF06CB6-1B32-45D1-96FF-4441FBB5E8C5}"/>
  </hyperlinks>
  <pageMargins left="0.7" right="0.7" top="0.75" bottom="0.75" header="0.3" footer="0.3"/>
  <pageSetup scale="84" orientation="landscape" r:id="rId4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1573C-4030-4C7D-AA90-3D8B44E4D351}">
  <sheetPr>
    <tabColor rgb="FFC00000"/>
    <pageSetUpPr fitToPage="1"/>
  </sheetPr>
  <dimension ref="A1:J95"/>
  <sheetViews>
    <sheetView workbookViewId="0"/>
  </sheetViews>
  <sheetFormatPr defaultColWidth="9.140625" defaultRowHeight="18"/>
  <cols>
    <col min="1" max="1" width="39.85546875" style="228" bestFit="1" customWidth="1"/>
    <col min="2" max="2" width="56" style="54" bestFit="1" customWidth="1"/>
    <col min="3" max="3" width="39.140625" style="54" bestFit="1" customWidth="1"/>
    <col min="4" max="4" width="50" style="54" bestFit="1" customWidth="1"/>
    <col min="5" max="5" width="61.85546875" style="54" bestFit="1" customWidth="1"/>
    <col min="6" max="6" width="46.140625" style="54" bestFit="1" customWidth="1"/>
    <col min="7" max="7" width="52.140625" style="54" customWidth="1"/>
    <col min="8" max="8" width="28.5703125" style="54" customWidth="1"/>
    <col min="9" max="9" width="22.7109375" style="54" customWidth="1"/>
    <col min="10" max="10" width="36.7109375" style="54" customWidth="1"/>
    <col min="11" max="16384" width="9.140625" style="54"/>
  </cols>
  <sheetData>
    <row r="1" spans="1:10">
      <c r="A1" s="448" t="s">
        <v>24</v>
      </c>
      <c r="B1" s="233" t="s">
        <v>2356</v>
      </c>
      <c r="C1" s="120" t="s">
        <v>1775</v>
      </c>
      <c r="D1" s="54" t="s">
        <v>2357</v>
      </c>
      <c r="E1" s="234"/>
    </row>
    <row r="2" spans="1:10">
      <c r="A2" s="119" t="s">
        <v>1237</v>
      </c>
      <c r="B2" s="118" t="s">
        <v>1238</v>
      </c>
      <c r="C2" s="117" t="s">
        <v>1239</v>
      </c>
      <c r="D2" s="234"/>
      <c r="E2" s="234"/>
    </row>
    <row r="3" spans="1:10">
      <c r="A3" s="2"/>
      <c r="B3" s="2"/>
      <c r="C3" s="2"/>
      <c r="D3" s="2"/>
    </row>
    <row r="4" spans="1:10">
      <c r="A4" s="60" t="s">
        <v>644</v>
      </c>
      <c r="B4" s="60" t="s">
        <v>645</v>
      </c>
      <c r="C4" s="61" t="s">
        <v>646</v>
      </c>
      <c r="D4" s="61" t="s">
        <v>647</v>
      </c>
      <c r="E4" s="61" t="s">
        <v>723</v>
      </c>
      <c r="F4" s="62" t="s">
        <v>724</v>
      </c>
      <c r="G4" s="63" t="s">
        <v>729</v>
      </c>
      <c r="H4" s="63" t="s">
        <v>730</v>
      </c>
      <c r="I4" s="49">
        <v>17</v>
      </c>
      <c r="J4" s="50" t="s">
        <v>872</v>
      </c>
    </row>
    <row r="5" spans="1:10">
      <c r="A5" s="60">
        <v>1</v>
      </c>
      <c r="B5" s="60">
        <v>4</v>
      </c>
      <c r="C5" s="61">
        <v>5</v>
      </c>
      <c r="D5" s="61">
        <v>8</v>
      </c>
      <c r="E5" s="61">
        <v>2</v>
      </c>
      <c r="F5" s="62">
        <v>3</v>
      </c>
      <c r="G5" s="64">
        <v>6</v>
      </c>
      <c r="H5" s="64">
        <v>7</v>
      </c>
      <c r="I5" s="49">
        <v>18</v>
      </c>
      <c r="J5" s="50" t="s">
        <v>873</v>
      </c>
    </row>
    <row r="6" spans="1:10">
      <c r="A6" s="60">
        <v>16</v>
      </c>
      <c r="B6" s="60">
        <v>13</v>
      </c>
      <c r="C6" s="61">
        <v>12</v>
      </c>
      <c r="D6" s="61">
        <v>9</v>
      </c>
      <c r="E6" s="61">
        <v>15</v>
      </c>
      <c r="F6" s="62">
        <v>14</v>
      </c>
      <c r="G6" s="64">
        <v>11</v>
      </c>
      <c r="H6" s="64">
        <v>10</v>
      </c>
      <c r="I6" s="49">
        <v>19</v>
      </c>
      <c r="J6" s="50" t="s">
        <v>874</v>
      </c>
    </row>
    <row r="7" spans="1:10">
      <c r="A7" s="60">
        <v>17</v>
      </c>
      <c r="B7" s="60">
        <v>20</v>
      </c>
      <c r="C7" s="61">
        <v>21</v>
      </c>
      <c r="D7" s="61">
        <v>24</v>
      </c>
      <c r="E7" s="61">
        <v>18</v>
      </c>
      <c r="F7" s="62">
        <v>19</v>
      </c>
      <c r="G7" s="64">
        <v>22</v>
      </c>
      <c r="H7" s="64">
        <v>23</v>
      </c>
      <c r="I7" s="49">
        <v>20</v>
      </c>
      <c r="J7" s="50" t="s">
        <v>876</v>
      </c>
    </row>
    <row r="8" spans="1:10">
      <c r="A8" s="2"/>
      <c r="B8" s="2"/>
      <c r="C8" s="2"/>
      <c r="D8" s="61">
        <v>25</v>
      </c>
      <c r="E8" s="2"/>
      <c r="F8" s="2"/>
      <c r="G8" s="64">
        <v>27</v>
      </c>
      <c r="H8" s="64">
        <v>26</v>
      </c>
      <c r="I8" s="49">
        <v>21</v>
      </c>
      <c r="J8" s="50" t="s">
        <v>877</v>
      </c>
    </row>
    <row r="9" spans="1:10">
      <c r="A9" s="2"/>
      <c r="B9" s="2"/>
      <c r="C9" s="2"/>
      <c r="D9" s="2"/>
      <c r="E9" s="2"/>
      <c r="F9" s="2"/>
      <c r="G9" s="2"/>
      <c r="H9" s="2"/>
      <c r="I9" s="49">
        <v>22</v>
      </c>
      <c r="J9" s="50" t="s">
        <v>879</v>
      </c>
    </row>
    <row r="10" spans="1:10">
      <c r="A10" s="60" t="s">
        <v>644</v>
      </c>
      <c r="B10" s="60" t="s">
        <v>645</v>
      </c>
      <c r="C10" s="61" t="s">
        <v>646</v>
      </c>
      <c r="D10" s="61" t="s">
        <v>647</v>
      </c>
      <c r="E10" s="61" t="s">
        <v>723</v>
      </c>
      <c r="F10" s="62" t="s">
        <v>724</v>
      </c>
      <c r="G10" s="63" t="s">
        <v>729</v>
      </c>
      <c r="H10" s="63" t="s">
        <v>730</v>
      </c>
      <c r="I10" s="49">
        <v>23</v>
      </c>
      <c r="J10" s="50" t="s">
        <v>880</v>
      </c>
    </row>
    <row r="11" spans="1:10">
      <c r="A11" s="60" t="s">
        <v>1141</v>
      </c>
      <c r="B11" s="60" t="s">
        <v>1142</v>
      </c>
      <c r="C11" s="61" t="s">
        <v>1143</v>
      </c>
      <c r="D11" s="61" t="s">
        <v>1144</v>
      </c>
      <c r="E11" s="61" t="s">
        <v>1145</v>
      </c>
      <c r="F11" s="62" t="s">
        <v>1146</v>
      </c>
      <c r="G11" s="64" t="s">
        <v>1147</v>
      </c>
      <c r="H11" s="64" t="s">
        <v>1148</v>
      </c>
      <c r="I11" s="49">
        <v>24</v>
      </c>
      <c r="J11" s="50" t="s">
        <v>889</v>
      </c>
    </row>
    <row r="12" spans="1:10">
      <c r="A12" s="60" t="s">
        <v>1149</v>
      </c>
      <c r="B12" s="60" t="s">
        <v>1150</v>
      </c>
      <c r="C12" s="61" t="s">
        <v>1151</v>
      </c>
      <c r="D12" s="61" t="s">
        <v>1152</v>
      </c>
      <c r="E12" s="61" t="s">
        <v>1153</v>
      </c>
      <c r="F12" s="62" t="s">
        <v>1154</v>
      </c>
      <c r="G12" s="64" t="s">
        <v>1155</v>
      </c>
      <c r="H12" s="64" t="s">
        <v>1156</v>
      </c>
      <c r="I12" s="49">
        <v>25</v>
      </c>
      <c r="J12" s="50" t="s">
        <v>899</v>
      </c>
    </row>
    <row r="13" spans="1:10">
      <c r="A13" s="60" t="s">
        <v>1158</v>
      </c>
      <c r="B13" s="60" t="s">
        <v>1159</v>
      </c>
      <c r="C13" s="61" t="s">
        <v>1160</v>
      </c>
      <c r="D13" s="61" t="s">
        <v>1161</v>
      </c>
      <c r="E13" s="61" t="s">
        <v>1162</v>
      </c>
      <c r="F13" s="62" t="s">
        <v>1163</v>
      </c>
      <c r="G13" s="64" t="s">
        <v>1164</v>
      </c>
      <c r="H13" s="64" t="s">
        <v>1165</v>
      </c>
      <c r="I13" s="49">
        <v>26</v>
      </c>
      <c r="J13" s="50" t="s">
        <v>909</v>
      </c>
    </row>
    <row r="14" spans="1:10">
      <c r="A14" s="2" t="s">
        <v>910</v>
      </c>
      <c r="B14" s="2" t="s">
        <v>910</v>
      </c>
      <c r="C14" s="2" t="s">
        <v>910</v>
      </c>
      <c r="D14" s="61" t="s">
        <v>1166</v>
      </c>
      <c r="E14" s="2" t="s">
        <v>910</v>
      </c>
      <c r="F14" s="2" t="s">
        <v>910</v>
      </c>
      <c r="G14" s="64" t="s">
        <v>1167</v>
      </c>
      <c r="H14" s="64" t="s">
        <v>1168</v>
      </c>
      <c r="I14" s="49">
        <v>27</v>
      </c>
      <c r="J14" s="53" t="s">
        <v>1169</v>
      </c>
    </row>
    <row r="15" spans="1:10">
      <c r="A15" s="2"/>
      <c r="B15" s="2"/>
      <c r="C15" s="2"/>
      <c r="D15" s="2"/>
      <c r="E15" s="2"/>
      <c r="F15" s="2"/>
      <c r="G15" s="2"/>
      <c r="H15" s="2"/>
    </row>
    <row r="16" spans="1:10">
      <c r="A16" s="65" t="s">
        <v>1170</v>
      </c>
      <c r="B16" s="65" t="s">
        <v>1171</v>
      </c>
      <c r="C16" s="66" t="s">
        <v>1172</v>
      </c>
      <c r="D16" s="66" t="s">
        <v>1173</v>
      </c>
      <c r="E16" s="67" t="s">
        <v>1174</v>
      </c>
      <c r="F16" s="67" t="s">
        <v>1175</v>
      </c>
      <c r="G16" s="67" t="s">
        <v>1176</v>
      </c>
      <c r="H16" s="2"/>
    </row>
    <row r="17" spans="1:10">
      <c r="A17" s="65" t="s">
        <v>2358</v>
      </c>
      <c r="B17" s="65" t="s">
        <v>2359</v>
      </c>
      <c r="C17" s="68" t="s">
        <v>2360</v>
      </c>
      <c r="D17" s="68" t="s">
        <v>2361</v>
      </c>
      <c r="E17" s="41" t="s">
        <v>2362</v>
      </c>
      <c r="F17" s="41" t="s">
        <v>2363</v>
      </c>
      <c r="G17" s="41" t="s">
        <v>2364</v>
      </c>
      <c r="H17" s="2"/>
    </row>
    <row r="18" spans="1:10">
      <c r="A18" s="65" t="s">
        <v>2365</v>
      </c>
      <c r="B18" s="65" t="s">
        <v>2366</v>
      </c>
      <c r="C18" s="68" t="s">
        <v>2367</v>
      </c>
      <c r="D18" s="68" t="s">
        <v>2368</v>
      </c>
      <c r="E18" s="41" t="str">
        <f>IF(F49="","N2(3rdG)",IF(F49&gt;H49,_xlfn.CONCAT("N2(3rdG)-",RIGHT(E49,LEN(E49) - FIND("-",E49))), _xlfn.CONCAT("N2(3rdG)-",RIGHT(G49,LEN(G49) - FIND("-",G49)))))</f>
        <v>N2(3rdG)-SAN JOSE EXPRESS BLUE</v>
      </c>
      <c r="F18" s="41" t="s">
        <v>2369</v>
      </c>
      <c r="G18" s="41" t="s">
        <v>2370</v>
      </c>
      <c r="H18" s="2"/>
    </row>
    <row r="19" spans="1:10">
      <c r="A19" s="65" t="s">
        <v>2371</v>
      </c>
      <c r="B19" s="65" t="str">
        <f>IF(F48="","K3(1stG)",IF(F48&gt;H48,_xlfn.CONCAT("K3(1stG)-",RIGHT(E48,LEN(E48) - FIND("-",E48))), _xlfn.CONCAT("K3(1stG)-",RIGHT(G48,LEN(G48) - FIND("-",G48)))))</f>
        <v>K3(1stG)-CHANNEL ISLANDS UNITED TEAL</v>
      </c>
      <c r="C19" s="68" t="s">
        <v>2372</v>
      </c>
      <c r="D19" s="68" t="str">
        <f>IF(F48="","M3(2ndG)",IF(F48&lt;H48,_xlfn.CONCAT("M3(2ndG)-",RIGHT(E48,LEN(E48) - FIND("-",E48))), _xlfn.CONCAT("M3(2ndG)-",RIGHT(G48,LEN(G48) - FIND("-",G48)))))</f>
        <v>M3(2ndG)-CT PREMIER</v>
      </c>
      <c r="E19" s="41" t="str">
        <f>IF(F53="","N3(3rdH)",IF(F53&gt;H53,_xlfn.CONCAT("N3(3rdH)-",RIGHT(E53,LEN(E53) - FIND("-",E53))), _xlfn.CONCAT("N3(3rdH)-",RIGHT(G53,LEN(G53) - FIND("-",G53)))))</f>
        <v>N3(3rdH)-SHAQ</v>
      </c>
      <c r="F19" s="41" t="str">
        <f>IF(F34="","O2(3rdD)",IF(F34&gt;H34,_xlfn.CONCAT("O2(3rdD)-",RIGHT(E34,LEN(E34) - FIND("-",E34))), _xlfn.CONCAT("O2(3rdD)-",RIGHT(G34,LEN(G34) - FIND("-",G34)))))</f>
        <v>O2(3rdD)-SOUTH COAST RED (A)</v>
      </c>
      <c r="G19" s="41" t="str">
        <f>IF(F34="","P3(4thD)",IF(F34&lt;H34,_xlfn.CONCAT("P3(4thD)-",RIGHT(E34,LEN(E34) - FIND("-",E34))), _xlfn.CONCAT("P3(4thD)-",RIGHT(G34,LEN(G34) - FIND("-",G34)))))</f>
        <v>P3(4thD)-SUPREME</v>
      </c>
      <c r="H19" s="2"/>
    </row>
    <row r="20" spans="1:10">
      <c r="A20" s="65" t="str">
        <f>IF(F35="","J4(1stD)",IF(F35&gt;H35,_xlfn.CONCAT("J4(1stD)-",RIGHT(E35,LEN(E35) - FIND("-",E35))), _xlfn.CONCAT("J4(1stD)-",RIGHT(G35,LEN(G35) - FIND("-",G35)))))</f>
        <v>J4(1stD)-AMERICAN RIVER BLUE</v>
      </c>
      <c r="B20" s="65" t="str">
        <f>IF(F52="","K4(1stH)",IF(F52&gt;H52,_xlfn.CONCAT("K4(1stH)-",RIGHT(E52,LEN(E52) - FIND("-",E52))), _xlfn.CONCAT("K4(1stH)-",RIGHT(G52,LEN(G52) - FIND("-",G52)))))</f>
        <v>K4(1stH)-RIVERSIDE</v>
      </c>
      <c r="C20" s="68" t="str">
        <f>IF(F35="","L4(2ndD)",IF(F35&lt;H35,_xlfn.CONCAT("L4(2ndD)-",RIGHT(E35,LEN(E35) - FIND("-",E35))), _xlfn.CONCAT("L4(2ndD)-",RIGHT(G35,LEN(G35) - FIND("-",G35)))))</f>
        <v>L4(2ndD)-SAND CANYON</v>
      </c>
      <c r="D20" s="68" t="str">
        <f>IF(F52="","M4(2ndH)",IF(F52&lt;H52,_xlfn.CONCAT("M4(2ndH)-",RIGHT(E52,LEN(E52) - FIND("-",E52))), _xlfn.CONCAT("M4(2ndH)-",RIGHT(G52,LEN(G52) - FIND("-",G52)))))</f>
        <v>M4(2ndH)-TROJAN</v>
      </c>
      <c r="E20" s="2"/>
      <c r="F20" s="41" t="str">
        <f>IF(F49="","O3(4thG)",IF(F49&lt;H49,_xlfn.CONCAT("O3(4thG)-",RIGHT(E49,LEN(E49) - FIND("-",E49))), _xlfn.CONCAT("O3(4thG)-",RIGHT(G49,LEN(G49) - FIND("-",G49)))))</f>
        <v>O3(4thG)-CC UNITED BLUE</v>
      </c>
      <c r="G20" s="41" t="str">
        <f>IF(F53="","P3(4thH)",IF(F53&lt;H53,_xlfn.CONCAT("P3(4thH)-",RIGHT(E53,LEN(E53) - FIND("-",E53))), _xlfn.CONCAT("P3(4thH)-",RIGHT(G53,LEN(G53) - FIND("-",G53)))))</f>
        <v>P3(4thH)-FOOTHILL BLACK</v>
      </c>
      <c r="H20" s="2"/>
    </row>
    <row r="21" spans="1:10" ht="18.75">
      <c r="A21" s="2"/>
      <c r="B21" s="2"/>
      <c r="C21" s="59"/>
      <c r="D21" s="2"/>
      <c r="E21" s="2">
        <v>17</v>
      </c>
      <c r="F21" s="2">
        <v>18</v>
      </c>
      <c r="G21" s="2">
        <v>19</v>
      </c>
      <c r="H21" s="2"/>
    </row>
    <row r="22" spans="1:10">
      <c r="A22" s="65" t="s">
        <v>946</v>
      </c>
      <c r="B22" s="65" t="s">
        <v>947</v>
      </c>
      <c r="C22" s="2"/>
      <c r="D22" s="2"/>
      <c r="E22" s="2">
        <v>22</v>
      </c>
      <c r="F22" s="2">
        <v>21</v>
      </c>
      <c r="G22" s="2">
        <v>20</v>
      </c>
      <c r="H22" s="2"/>
    </row>
    <row r="23" spans="1:10">
      <c r="A23" s="65" t="str">
        <f>IF(F64="","Q1(2ndJ)",IF(F64&lt;H64,_xlfn.CONCAT("Q1(2ndJ)-",RIGHT(E64,LEN(E64) - FIND("-",E64))), _xlfn.CONCAT("Q1(2ndJ)-",RIGHT(G64,LEN(G64) - FIND("-",G64)))))</f>
        <v>Q1(2ndJ)-LA JOLLA UNITED NAVY</v>
      </c>
      <c r="B23" s="65" t="str">
        <f>IF(F64="","R1(1stJ)",IF(F64&gt;H64,_xlfn.CONCAT("R1(1stJ)-",RIGHT(E64,LEN(E64) - FIND("-",E64))), _xlfn.CONCAT("R1(1stJ)-",RIGHT(G64,LEN(G64) - FIND("-",G64)))))</f>
        <v>R1(1stJ)-CC UNITED BLACK</v>
      </c>
      <c r="C23" s="2"/>
      <c r="D23" s="2"/>
      <c r="E23" s="2">
        <v>23</v>
      </c>
      <c r="F23" s="2">
        <v>24</v>
      </c>
      <c r="G23" s="2">
        <v>25</v>
      </c>
      <c r="H23" s="2"/>
    </row>
    <row r="24" spans="1:10">
      <c r="A24" s="65" t="str">
        <f>IF(F65="","Q2(2ndK)",IF(F65&lt;H65,_xlfn.CONCAT("Q2(2ndK)-",RIGHT(E65,LEN(E65) - FIND("-",E65))), _xlfn.CONCAT("Q2(2ndK)-",RIGHT(G65,LEN(G65) - FIND("-",G65)))))</f>
        <v>Q2(2ndK)-CHANNEL ISLANDS UNITED TEAL</v>
      </c>
      <c r="B24" s="65" t="str">
        <f>IF(F65="","R2(1stK)",IF(F65&gt;H65,_xlfn.CONCAT("R2(1stK)-",RIGHT(E65,LEN(E65) - FIND("-",E65))), _xlfn.CONCAT("R2(1stK)-",RIGHT(G65,LEN(G65) - FIND("-",G65)))))</f>
        <v>R2(1stK)-LAMORINDA A</v>
      </c>
      <c r="C24" s="2"/>
      <c r="D24" s="2"/>
      <c r="E24" s="2"/>
      <c r="F24" s="2">
        <v>27</v>
      </c>
      <c r="G24" s="2">
        <v>26</v>
      </c>
      <c r="H24" s="2"/>
    </row>
    <row r="25" spans="1:10">
      <c r="A25" s="2"/>
      <c r="B25" s="2"/>
      <c r="C25" s="2"/>
      <c r="D25" s="2"/>
    </row>
    <row r="26" spans="1:10">
      <c r="A26" s="181" t="s">
        <v>1240</v>
      </c>
      <c r="B26" s="165" t="s">
        <v>1241</v>
      </c>
      <c r="C26" s="8" t="s">
        <v>1242</v>
      </c>
      <c r="D26" s="165" t="s">
        <v>1886</v>
      </c>
      <c r="E26" s="165" t="s">
        <v>1887</v>
      </c>
      <c r="F26" s="165" t="s">
        <v>1245</v>
      </c>
      <c r="G26" s="165" t="s">
        <v>1888</v>
      </c>
      <c r="H26" s="165" t="s">
        <v>1245</v>
      </c>
      <c r="I26" s="165" t="s">
        <v>11</v>
      </c>
      <c r="J26" s="165" t="s">
        <v>1180</v>
      </c>
    </row>
    <row r="27" spans="1:10">
      <c r="A27" s="278">
        <v>46053</v>
      </c>
      <c r="B27" s="277">
        <f>CHICLETS!V5</f>
        <v>0.29166666666666669</v>
      </c>
      <c r="C27" s="109" t="str">
        <f>CHICLETS!$Y$4</f>
        <v>SAN JUAN HILLS HS</v>
      </c>
      <c r="D27" s="109" t="s">
        <v>2373</v>
      </c>
      <c r="E27" s="276" t="str">
        <f>A11</f>
        <v>A1(1)-CC UNITED BLACK</v>
      </c>
      <c r="F27" s="276">
        <v>19</v>
      </c>
      <c r="G27" s="276" t="str">
        <f>A13</f>
        <v>A3(17)-LV LEGENDS</v>
      </c>
      <c r="H27" s="276">
        <v>4</v>
      </c>
      <c r="I27" s="109" t="s">
        <v>1250</v>
      </c>
      <c r="J27" s="276" t="s">
        <v>1136</v>
      </c>
    </row>
    <row r="28" spans="1:10">
      <c r="A28" s="278">
        <v>46053</v>
      </c>
      <c r="B28" s="277">
        <f>CHICLETS!V5</f>
        <v>0.29166666666666669</v>
      </c>
      <c r="C28" s="109" t="str">
        <f>CHICLETS!$W$4</f>
        <v>WOOLLETT NEAR LEFT</v>
      </c>
      <c r="D28" s="109" t="s">
        <v>2374</v>
      </c>
      <c r="E28" s="276" t="str">
        <f>D11</f>
        <v>8-AMERICAN RIVER BLUE</v>
      </c>
      <c r="F28" s="276">
        <v>15</v>
      </c>
      <c r="G28" s="276" t="str">
        <f>D14</f>
        <v>25-SUPREME</v>
      </c>
      <c r="H28" s="276">
        <v>8</v>
      </c>
      <c r="I28" s="109" t="s">
        <v>1482</v>
      </c>
      <c r="J28" s="276" t="s">
        <v>1136</v>
      </c>
    </row>
    <row r="29" spans="1:10">
      <c r="A29" s="278">
        <v>46053</v>
      </c>
      <c r="B29" s="277">
        <f>CHICLETS!V6</f>
        <v>0.33333333333333298</v>
      </c>
      <c r="C29" s="109" t="str">
        <f>CHICLETS!$W$4</f>
        <v>WOOLLETT NEAR LEFT</v>
      </c>
      <c r="D29" s="109" t="s">
        <v>2375</v>
      </c>
      <c r="E29" s="281" t="str">
        <f>G11</f>
        <v>6-CHANNEL ISLANDS UNITED TEAL</v>
      </c>
      <c r="F29" s="276">
        <v>21</v>
      </c>
      <c r="G29" s="276" t="str">
        <f>G14</f>
        <v>27-CC UNITED BLUE</v>
      </c>
      <c r="H29" s="276">
        <v>5</v>
      </c>
      <c r="I29" s="109" t="s">
        <v>2376</v>
      </c>
      <c r="J29" s="276" t="s">
        <v>1136</v>
      </c>
    </row>
    <row r="30" spans="1:10">
      <c r="A30" s="278">
        <v>46053</v>
      </c>
      <c r="B30" s="277">
        <f>CHICLETS!V7</f>
        <v>0.375</v>
      </c>
      <c r="C30" s="109" t="str">
        <f>CHICLETS!$W$4</f>
        <v>WOOLLETT NEAR LEFT</v>
      </c>
      <c r="D30" s="109" t="s">
        <v>2377</v>
      </c>
      <c r="E30" s="276" t="str">
        <f>D12</f>
        <v>9-SOUTH COAST RED (A)</v>
      </c>
      <c r="F30" s="276">
        <v>9.3000000000000007</v>
      </c>
      <c r="G30" s="276" t="str">
        <f>D13</f>
        <v>24-SAND CANYON</v>
      </c>
      <c r="H30" s="276">
        <v>9.4</v>
      </c>
      <c r="I30" s="109" t="s">
        <v>1484</v>
      </c>
      <c r="J30" s="276" t="s">
        <v>1136</v>
      </c>
    </row>
    <row r="31" spans="1:10">
      <c r="A31" s="278">
        <v>46053</v>
      </c>
      <c r="B31" s="277">
        <f>CHICLETS!V8</f>
        <v>0.41666666666666702</v>
      </c>
      <c r="C31" s="109" t="str">
        <f>CHICLETS!$W$4</f>
        <v>WOOLLETT NEAR LEFT</v>
      </c>
      <c r="D31" s="109" t="s">
        <v>2378</v>
      </c>
      <c r="E31" s="276" t="str">
        <f>A12</f>
        <v>A2(16)-POWAY VALLEY BLACK</v>
      </c>
      <c r="F31" s="276">
        <v>14</v>
      </c>
      <c r="G31" s="276" t="str">
        <f>A13</f>
        <v>A3(17)-LV LEGENDS</v>
      </c>
      <c r="H31" s="276">
        <v>7</v>
      </c>
      <c r="I31" s="109" t="s">
        <v>1261</v>
      </c>
      <c r="J31" s="276" t="s">
        <v>1136</v>
      </c>
    </row>
    <row r="32" spans="1:10">
      <c r="A32" s="278">
        <v>46053</v>
      </c>
      <c r="B32" s="277">
        <f>CHICLETS!V9</f>
        <v>0.45833333333333298</v>
      </c>
      <c r="C32" s="109" t="str">
        <f>CHICLETS!$W$4</f>
        <v>WOOLLETT NEAR LEFT</v>
      </c>
      <c r="D32" s="109" t="s">
        <v>2379</v>
      </c>
      <c r="E32" s="276" t="str">
        <f>B11</f>
        <v>B1(4)-SD SHORES BLACK</v>
      </c>
      <c r="F32" s="276">
        <v>9</v>
      </c>
      <c r="G32" s="276" t="str">
        <f>B13</f>
        <v>B3(20)-BERKELEY WPC</v>
      </c>
      <c r="H32" s="276">
        <v>10</v>
      </c>
      <c r="I32" s="109" t="s">
        <v>1252</v>
      </c>
      <c r="J32" s="276" t="s">
        <v>1136</v>
      </c>
    </row>
    <row r="33" spans="1:10">
      <c r="A33" s="278">
        <v>46053</v>
      </c>
      <c r="B33" s="277">
        <f>CHICLETS!V10</f>
        <v>0.5</v>
      </c>
      <c r="C33" s="109" t="str">
        <f>CHICLETS!$W$4</f>
        <v>WOOLLETT NEAR LEFT</v>
      </c>
      <c r="D33" s="109" t="s">
        <v>2380</v>
      </c>
      <c r="E33" s="276" t="str">
        <f>C11</f>
        <v>C1(5)-LA JOLLA UNITED NAVY</v>
      </c>
      <c r="F33" s="276">
        <v>13</v>
      </c>
      <c r="G33" s="276" t="str">
        <f>C13</f>
        <v>C3(21)-NORTH IRVINE BLACK</v>
      </c>
      <c r="H33" s="276">
        <v>7</v>
      </c>
      <c r="I33" s="109" t="s">
        <v>1254</v>
      </c>
      <c r="J33" s="276" t="s">
        <v>1136</v>
      </c>
    </row>
    <row r="34" spans="1:10">
      <c r="A34" s="278">
        <v>46053</v>
      </c>
      <c r="B34" s="277">
        <f>CHICLETS!V11</f>
        <v>0.54166666666666696</v>
      </c>
      <c r="C34" s="109" t="str">
        <f>CHICLETS!$W$4</f>
        <v>WOOLLETT NEAR LEFT</v>
      </c>
      <c r="D34" s="109" t="s">
        <v>2381</v>
      </c>
      <c r="E34" s="276" t="str">
        <f>IF(F28="","L#2-",IF(F28&lt;H28,_xlfn.CONCAT("L#2-",RIGHT(E28,LEN(E28) - FIND("-",E28))), _xlfn.CONCAT("L#2-",RIGHT(G28,LEN(G28) - FIND("-",G28)))))</f>
        <v>L#2-SUPREME</v>
      </c>
      <c r="F34" s="276">
        <v>8</v>
      </c>
      <c r="G34" s="276" t="str">
        <f>IF(F30="","L#3-",IF(F30&lt;H30,_xlfn.CONCAT("L#3-",RIGHT(E30,LEN(E30) - FIND("-",E30))), _xlfn.CONCAT("L#3-",RIGHT(G30,LEN(G30) - FIND("-",G30)))))</f>
        <v>L#3-SOUTH COAST RED (A)</v>
      </c>
      <c r="H34" s="276">
        <v>12</v>
      </c>
      <c r="I34" s="109" t="s">
        <v>1932</v>
      </c>
      <c r="J34" s="276" t="s">
        <v>1136</v>
      </c>
    </row>
    <row r="35" spans="1:10">
      <c r="A35" s="278">
        <v>46053</v>
      </c>
      <c r="B35" s="277">
        <f>CHICLETS!V12</f>
        <v>0.58333333333333304</v>
      </c>
      <c r="C35" s="109" t="str">
        <f>CHICLETS!$W$4</f>
        <v>WOOLLETT NEAR LEFT</v>
      </c>
      <c r="D35" s="109" t="s">
        <v>2382</v>
      </c>
      <c r="E35" s="276" t="str">
        <f>IF(F28="","W#2-",IF(F28&gt;H28,_xlfn.CONCAT("W#2-",RIGHT(E28,LEN(E28) - FIND("-",E28))), _xlfn.CONCAT("W#2-",RIGHT(G28,LEN(G28) - FIND("-",G28)))))</f>
        <v>W#2-AMERICAN RIVER BLUE</v>
      </c>
      <c r="F35" s="276">
        <v>11.4</v>
      </c>
      <c r="G35" s="276" t="str">
        <f>IF(F30="","W#3-",IF(F30&gt;H30,_xlfn.CONCAT("W#3-",RIGHT(E30,LEN(E30) - FIND("-",E30))), _xlfn.CONCAT("W#3-",RIGHT(G30,LEN(G30) - FIND("-",G30)))))</f>
        <v>W#3-SAND CANYON</v>
      </c>
      <c r="H35" s="276">
        <v>11.3</v>
      </c>
      <c r="I35" s="109" t="s">
        <v>1934</v>
      </c>
      <c r="J35" s="276" t="s">
        <v>1136</v>
      </c>
    </row>
    <row r="36" spans="1:10">
      <c r="A36" s="278">
        <v>46053</v>
      </c>
      <c r="B36" s="277">
        <f>CHICLETS!V13</f>
        <v>0.625</v>
      </c>
      <c r="C36" s="109" t="str">
        <f>CHICLETS!$W$4</f>
        <v>WOOLLETT NEAR LEFT</v>
      </c>
      <c r="D36" s="109" t="s">
        <v>2383</v>
      </c>
      <c r="E36" s="276" t="str">
        <f>B12</f>
        <v>B2(13)-IMPERIAL BLUE</v>
      </c>
      <c r="F36" s="276">
        <v>11.8</v>
      </c>
      <c r="G36" s="276" t="str">
        <f>B13</f>
        <v>B3(20)-BERKELEY WPC</v>
      </c>
      <c r="H36" s="276">
        <v>11.7</v>
      </c>
      <c r="I36" s="109" t="s">
        <v>1263</v>
      </c>
      <c r="J36" s="276" t="s">
        <v>1136</v>
      </c>
    </row>
    <row r="37" spans="1:10">
      <c r="A37" s="278">
        <v>46053</v>
      </c>
      <c r="B37" s="277">
        <f>CHICLETS!V14</f>
        <v>0.66666666666666696</v>
      </c>
      <c r="C37" s="109" t="str">
        <f>CHICLETS!$W$4</f>
        <v>WOOLLETT NEAR LEFT</v>
      </c>
      <c r="D37" s="109" t="s">
        <v>2384</v>
      </c>
      <c r="E37" s="276" t="str">
        <f>C11</f>
        <v>C1(5)-LA JOLLA UNITED NAVY</v>
      </c>
      <c r="F37" s="276">
        <v>12</v>
      </c>
      <c r="G37" s="276" t="str">
        <f>C12</f>
        <v>C2(12)-SANTA CRUZ</v>
      </c>
      <c r="H37" s="276">
        <v>3</v>
      </c>
      <c r="I37" s="109" t="s">
        <v>1275</v>
      </c>
      <c r="J37" s="276" t="s">
        <v>1136</v>
      </c>
    </row>
    <row r="38" spans="1:10">
      <c r="A38" s="278">
        <v>46053</v>
      </c>
      <c r="B38" s="277">
        <f>CHICLETS!V15</f>
        <v>0.70833333333333304</v>
      </c>
      <c r="C38" s="109" t="str">
        <f>CHICLETS!$W$4</f>
        <v>WOOLLETT NEAR LEFT</v>
      </c>
      <c r="D38" s="109" t="s">
        <v>2385</v>
      </c>
      <c r="E38" s="276" t="str">
        <f>A11</f>
        <v>A1(1)-CC UNITED BLACK</v>
      </c>
      <c r="F38" s="276">
        <v>21</v>
      </c>
      <c r="G38" s="276" t="str">
        <f>A12</f>
        <v>A2(16)-POWAY VALLEY BLACK</v>
      </c>
      <c r="H38" s="276">
        <v>14</v>
      </c>
      <c r="I38" s="109" t="s">
        <v>1269</v>
      </c>
      <c r="J38" s="276" t="s">
        <v>1136</v>
      </c>
    </row>
    <row r="39" spans="1:10">
      <c r="A39" s="278">
        <v>46053</v>
      </c>
      <c r="B39" s="277">
        <f>CHICLETS!V16</f>
        <v>0.75</v>
      </c>
      <c r="C39" s="109" t="str">
        <f>CHICLETS!$W$4</f>
        <v>WOOLLETT NEAR LEFT</v>
      </c>
      <c r="D39" s="109" t="s">
        <v>2386</v>
      </c>
      <c r="E39" s="276" t="str">
        <f>B11</f>
        <v>B1(4)-SD SHORES BLACK</v>
      </c>
      <c r="F39" s="276">
        <v>12</v>
      </c>
      <c r="G39" s="276" t="str">
        <f>B12</f>
        <v>B2(13)-IMPERIAL BLUE</v>
      </c>
      <c r="H39" s="276">
        <v>11</v>
      </c>
      <c r="I39" s="109" t="s">
        <v>1272</v>
      </c>
      <c r="J39" s="276" t="s">
        <v>1136</v>
      </c>
    </row>
    <row r="40" spans="1:10">
      <c r="A40" s="278">
        <v>46053</v>
      </c>
      <c r="B40" s="277">
        <f>CHICLETS!V17</f>
        <v>0.79166666666666696</v>
      </c>
      <c r="C40" s="109" t="str">
        <f>CHICLETS!$W$4</f>
        <v>WOOLLETT NEAR LEFT</v>
      </c>
      <c r="D40" s="109" t="s">
        <v>2387</v>
      </c>
      <c r="E40" s="276" t="str">
        <f>C12</f>
        <v>C2(12)-SANTA CRUZ</v>
      </c>
      <c r="F40" s="276">
        <v>11</v>
      </c>
      <c r="G40" s="276" t="str">
        <f>C13</f>
        <v>C3(21)-NORTH IRVINE BLACK</v>
      </c>
      <c r="H40" s="276">
        <v>9</v>
      </c>
      <c r="I40" s="109" t="s">
        <v>1265</v>
      </c>
      <c r="J40" s="276" t="s">
        <v>1136</v>
      </c>
    </row>
    <row r="41" spans="1:10">
      <c r="A41" s="2"/>
      <c r="B41" s="2"/>
      <c r="C41" s="2"/>
      <c r="D41" s="2"/>
    </row>
    <row r="42" spans="1:10">
      <c r="A42" s="2"/>
      <c r="B42" s="2"/>
      <c r="C42" s="2"/>
      <c r="D42" s="2"/>
    </row>
    <row r="43" spans="1:10">
      <c r="A43" s="278">
        <v>46053</v>
      </c>
      <c r="B43" s="277">
        <f>CHICLETS!V5</f>
        <v>0.29166666666666669</v>
      </c>
      <c r="C43" s="109" t="str">
        <f>CHICLETS!$X$4</f>
        <v>WOOLLETT NEAR RIGHT</v>
      </c>
      <c r="D43" s="109" t="s">
        <v>2388</v>
      </c>
      <c r="E43" s="276" t="str">
        <f>G12</f>
        <v>11-SAN JOSE EXPRESS BLUE</v>
      </c>
      <c r="F43" s="276">
        <v>11</v>
      </c>
      <c r="G43" s="276" t="str">
        <f>G13</f>
        <v>22-CT PREMIER</v>
      </c>
      <c r="H43" s="276">
        <v>13</v>
      </c>
      <c r="I43" s="109" t="s">
        <v>2389</v>
      </c>
      <c r="J43" s="276" t="s">
        <v>1136</v>
      </c>
    </row>
    <row r="44" spans="1:10">
      <c r="A44" s="278">
        <v>46053</v>
      </c>
      <c r="B44" s="277">
        <f>CHICLETS!V6</f>
        <v>0.33333333333333298</v>
      </c>
      <c r="C44" s="109" t="str">
        <f>CHICLETS!$X$4</f>
        <v>WOOLLETT NEAR RIGHT</v>
      </c>
      <c r="D44" s="109" t="s">
        <v>2390</v>
      </c>
      <c r="E44" s="276" t="str">
        <f>H11</f>
        <v>7-TROJAN</v>
      </c>
      <c r="F44" s="276">
        <v>13</v>
      </c>
      <c r="G44" s="276" t="str">
        <f>H14</f>
        <v>26-FOOTHILL BLACK</v>
      </c>
      <c r="H44" s="276">
        <v>7</v>
      </c>
      <c r="I44" s="109" t="s">
        <v>2391</v>
      </c>
      <c r="J44" s="276" t="s">
        <v>1136</v>
      </c>
    </row>
    <row r="45" spans="1:10">
      <c r="A45" s="278">
        <v>46053</v>
      </c>
      <c r="B45" s="277">
        <f>CHICLETS!V7</f>
        <v>0.375</v>
      </c>
      <c r="C45" s="109" t="str">
        <f>CHICLETS!$X$4</f>
        <v>WOOLLETT NEAR RIGHT</v>
      </c>
      <c r="D45" s="109" t="s">
        <v>2392</v>
      </c>
      <c r="E45" s="276" t="str">
        <f>H12</f>
        <v>10-SHAQ</v>
      </c>
      <c r="F45" s="276">
        <v>5</v>
      </c>
      <c r="G45" s="276" t="str">
        <f>H13</f>
        <v>23-RIVERSIDE</v>
      </c>
      <c r="H45" s="276">
        <v>12</v>
      </c>
      <c r="I45" s="109" t="s">
        <v>2391</v>
      </c>
      <c r="J45" s="276" t="s">
        <v>1136</v>
      </c>
    </row>
    <row r="46" spans="1:10">
      <c r="A46" s="278">
        <v>46053</v>
      </c>
      <c r="B46" s="277">
        <f>CHICLETS!V8</f>
        <v>0.41666666666666702</v>
      </c>
      <c r="C46" s="109" t="str">
        <f>CHICLETS!$X$4</f>
        <v>WOOLLETT NEAR RIGHT</v>
      </c>
      <c r="D46" s="109" t="s">
        <v>2393</v>
      </c>
      <c r="E46" s="276" t="str">
        <f>E11</f>
        <v>E1(2)-LAMORINDA A</v>
      </c>
      <c r="F46" s="276">
        <v>16</v>
      </c>
      <c r="G46" s="276" t="str">
        <f>E13</f>
        <v>E3(18)-CHULA VISTA PREMIER</v>
      </c>
      <c r="H46" s="276">
        <v>7</v>
      </c>
      <c r="I46" s="109" t="s">
        <v>1555</v>
      </c>
      <c r="J46" s="276" t="s">
        <v>1136</v>
      </c>
    </row>
    <row r="47" spans="1:10">
      <c r="A47" s="278">
        <v>46053</v>
      </c>
      <c r="B47" s="277">
        <f>CHICLETS!V9</f>
        <v>0.45833333333333298</v>
      </c>
      <c r="C47" s="109" t="str">
        <f>CHICLETS!$X$4</f>
        <v>WOOLLETT NEAR RIGHT</v>
      </c>
      <c r="D47" s="109" t="s">
        <v>2394</v>
      </c>
      <c r="E47" s="276" t="str">
        <f>F11</f>
        <v>F1(3)-NORCAL</v>
      </c>
      <c r="F47" s="276">
        <v>8</v>
      </c>
      <c r="G47" s="276" t="str">
        <f>F13</f>
        <v>F3(19)-FOOTHILL RED</v>
      </c>
      <c r="H47" s="276">
        <v>9</v>
      </c>
      <c r="I47" s="109" t="s">
        <v>1560</v>
      </c>
      <c r="J47" s="276" t="s">
        <v>1136</v>
      </c>
    </row>
    <row r="48" spans="1:10">
      <c r="A48" s="278">
        <v>46053</v>
      </c>
      <c r="B48" s="277">
        <f>CHICLETS!V10</f>
        <v>0.5</v>
      </c>
      <c r="C48" s="109" t="str">
        <f>CHICLETS!$X$4</f>
        <v>WOOLLETT NEAR RIGHT</v>
      </c>
      <c r="D48" s="109" t="s">
        <v>2395</v>
      </c>
      <c r="E48" s="276" t="str">
        <f>IF(F29="","W#14-",IF(F29&gt;H29,_xlfn.CONCAT("W#14-",RIGHT(E29,LEN(E29) - FIND("-",E29))), _xlfn.CONCAT("W#14-",RIGHT(G29,LEN(G29) - FIND("-",G29)))))</f>
        <v>W#14-CHANNEL ISLANDS UNITED TEAL</v>
      </c>
      <c r="F48" s="276">
        <v>12</v>
      </c>
      <c r="G48" s="276" t="str">
        <f>IF(F43="","W#15-",IF(F43&gt;H43,_xlfn.CONCAT("W#15-",RIGHT(E43,LEN(E43) - FIND("-",E43))), _xlfn.CONCAT("W#15-",RIGHT(G43,LEN(G43) - FIND("-",G43)))))</f>
        <v>W#15-CT PREMIER</v>
      </c>
      <c r="H48" s="276">
        <v>10</v>
      </c>
      <c r="I48" s="109" t="s">
        <v>2396</v>
      </c>
      <c r="J48" s="276" t="s">
        <v>1136</v>
      </c>
    </row>
    <row r="49" spans="1:10">
      <c r="A49" s="278">
        <v>46053</v>
      </c>
      <c r="B49" s="277">
        <f>CHICLETS!V11</f>
        <v>0.54166666666666696</v>
      </c>
      <c r="C49" s="109" t="str">
        <f>CHICLETS!$X$4</f>
        <v>WOOLLETT NEAR RIGHT</v>
      </c>
      <c r="D49" s="109" t="s">
        <v>2397</v>
      </c>
      <c r="E49" s="276" t="str">
        <f>IF(F29="","L#14-",IF(F29&lt;H29,_xlfn.CONCAT("L#14-",RIGHT(E29,LEN(E29) - FIND("-",E29))), _xlfn.CONCAT("L#14-",RIGHT(G29,LEN(G29) - FIND("-",G29)))))</f>
        <v>L#14-CC UNITED BLUE</v>
      </c>
      <c r="F49" s="276">
        <v>6</v>
      </c>
      <c r="G49" s="276" t="str">
        <f>IF(F43="","L#15-",IF(F43&lt;H43,_xlfn.CONCAT("L#15-",RIGHT(E43,LEN(E43) - FIND("-",E43))), _xlfn.CONCAT("L#15-",RIGHT(G43,LEN(G43) - FIND("-",G43)))))</f>
        <v>L#15-SAN JOSE EXPRESS BLUE</v>
      </c>
      <c r="H49" s="276">
        <v>7</v>
      </c>
      <c r="I49" s="109" t="s">
        <v>2398</v>
      </c>
      <c r="J49" s="276" t="s">
        <v>1136</v>
      </c>
    </row>
    <row r="50" spans="1:10">
      <c r="A50" s="278">
        <v>46053</v>
      </c>
      <c r="B50" s="277">
        <f>CHICLETS!V12</f>
        <v>0.58333333333333304</v>
      </c>
      <c r="C50" s="109" t="str">
        <f>CHICLETS!$X$4</f>
        <v>WOOLLETT NEAR RIGHT</v>
      </c>
      <c r="D50" s="109" t="s">
        <v>2399</v>
      </c>
      <c r="E50" s="276" t="str">
        <f>E12</f>
        <v>E2(15)-VANGUARD BLUE</v>
      </c>
      <c r="F50" s="276">
        <v>14</v>
      </c>
      <c r="G50" s="276" t="str">
        <f>E13</f>
        <v>E3(18)-CHULA VISTA PREMIER</v>
      </c>
      <c r="H50" s="276">
        <v>7</v>
      </c>
      <c r="I50" s="109" t="s">
        <v>1562</v>
      </c>
      <c r="J50" s="276" t="s">
        <v>1136</v>
      </c>
    </row>
    <row r="51" spans="1:10">
      <c r="A51" s="278">
        <v>46053</v>
      </c>
      <c r="B51" s="277">
        <f>CHICLETS!V13</f>
        <v>0.625</v>
      </c>
      <c r="C51" s="109" t="str">
        <f>CHICLETS!$X$4</f>
        <v>WOOLLETT NEAR RIGHT</v>
      </c>
      <c r="D51" s="109" t="s">
        <v>2400</v>
      </c>
      <c r="E51" s="276" t="str">
        <f>F12</f>
        <v>F2(14)-SHADOW MEN</v>
      </c>
      <c r="F51" s="276">
        <v>8</v>
      </c>
      <c r="G51" s="276" t="str">
        <f>F13</f>
        <v>F3(19)-FOOTHILL RED</v>
      </c>
      <c r="H51" s="276">
        <v>16</v>
      </c>
      <c r="I51" s="109" t="s">
        <v>1566</v>
      </c>
      <c r="J51" s="276" t="s">
        <v>1136</v>
      </c>
    </row>
    <row r="52" spans="1:10">
      <c r="A52" s="278">
        <v>46053</v>
      </c>
      <c r="B52" s="277">
        <f>CHICLETS!V14</f>
        <v>0.66666666666666696</v>
      </c>
      <c r="C52" s="109" t="str">
        <f>CHICLETS!$X$4</f>
        <v>WOOLLETT NEAR RIGHT</v>
      </c>
      <c r="D52" s="109" t="s">
        <v>2401</v>
      </c>
      <c r="E52" s="276" t="str">
        <f>IF(F44="","W#16-",IF(F44&gt;H44,_xlfn.CONCAT("W#16-",RIGHT(E44,LEN(E44) - FIND("-",E44))), _xlfn.CONCAT("W#16-",RIGHT(G44,LEN(G44) - FIND("-",G44)))))</f>
        <v>W#16-TROJAN</v>
      </c>
      <c r="F52" s="276">
        <v>4</v>
      </c>
      <c r="G52" s="276" t="str">
        <f>IF(F45="","W#17-",IF(F45&gt;H45,_xlfn.CONCAT("W#17-",RIGHT(E45,LEN(E45) - FIND("-",E45))), _xlfn.CONCAT("W#17-",RIGHT(G45,LEN(G45) - FIND("-",G45)))))</f>
        <v>W#17-RIVERSIDE</v>
      </c>
      <c r="H52" s="276">
        <v>15</v>
      </c>
      <c r="I52" s="109" t="s">
        <v>1948</v>
      </c>
      <c r="J52" s="276" t="s">
        <v>1136</v>
      </c>
    </row>
    <row r="53" spans="1:10">
      <c r="A53" s="278">
        <v>46053</v>
      </c>
      <c r="B53" s="277">
        <f>CHICLETS!V15</f>
        <v>0.70833333333333304</v>
      </c>
      <c r="C53" s="109" t="str">
        <f>CHICLETS!$X$4</f>
        <v>WOOLLETT NEAR RIGHT</v>
      </c>
      <c r="D53" s="109" t="s">
        <v>2402</v>
      </c>
      <c r="E53" s="276" t="str">
        <f>IF(F44="","L#16-",IF(F44&lt;H44,_xlfn.CONCAT("L#16-",RIGHT(E44,LEN(E44) - FIND("-",E44))), _xlfn.CONCAT("L#16-",RIGHT(G44,LEN(G44) - FIND("-",G44)))))</f>
        <v>L#16-FOOTHILL BLACK</v>
      </c>
      <c r="F53" s="276">
        <v>6</v>
      </c>
      <c r="G53" s="276" t="str">
        <f>IF(F45="","L#17-",IF(F45&lt;H45,_xlfn.CONCAT("L#17-",RIGHT(E45,LEN(E45) - FIND("-",E45))), _xlfn.CONCAT("L#17-",RIGHT(G45,LEN(G45) - FIND("-",G45)))))</f>
        <v>L#17-SHAQ</v>
      </c>
      <c r="H53" s="276">
        <v>15</v>
      </c>
      <c r="I53" s="109" t="s">
        <v>1946</v>
      </c>
      <c r="J53" s="276" t="s">
        <v>1136</v>
      </c>
    </row>
    <row r="54" spans="1:10">
      <c r="A54" s="278">
        <v>46053</v>
      </c>
      <c r="B54" s="277">
        <f>CHICLETS!V16</f>
        <v>0.75</v>
      </c>
      <c r="C54" s="109" t="str">
        <f>CHICLETS!$X$4</f>
        <v>WOOLLETT NEAR RIGHT</v>
      </c>
      <c r="D54" s="109" t="s">
        <v>2403</v>
      </c>
      <c r="E54" s="276" t="str">
        <f>E11</f>
        <v>E1(2)-LAMORINDA A</v>
      </c>
      <c r="F54" s="276">
        <v>16</v>
      </c>
      <c r="G54" s="276" t="str">
        <f>E12</f>
        <v>E2(15)-VANGUARD BLUE</v>
      </c>
      <c r="H54" s="276">
        <v>8</v>
      </c>
      <c r="I54" s="109" t="s">
        <v>1568</v>
      </c>
      <c r="J54" s="276" t="s">
        <v>1136</v>
      </c>
    </row>
    <row r="55" spans="1:10">
      <c r="A55" s="278">
        <v>46053</v>
      </c>
      <c r="B55" s="277">
        <f>CHICLETS!V17</f>
        <v>0.79166666666666696</v>
      </c>
      <c r="C55" s="109" t="str">
        <f>CHICLETS!$X$4</f>
        <v>WOOLLETT NEAR RIGHT</v>
      </c>
      <c r="D55" s="109" t="s">
        <v>2404</v>
      </c>
      <c r="E55" s="276" t="str">
        <f>F11</f>
        <v>F1(3)-NORCAL</v>
      </c>
      <c r="F55" s="276">
        <v>15</v>
      </c>
      <c r="G55" s="276" t="str">
        <f>F12</f>
        <v>F2(14)-SHADOW MEN</v>
      </c>
      <c r="H55" s="276">
        <v>9</v>
      </c>
      <c r="I55" s="109" t="s">
        <v>1572</v>
      </c>
      <c r="J55" s="276" t="s">
        <v>1136</v>
      </c>
    </row>
    <row r="56" spans="1:10">
      <c r="A56" s="2"/>
      <c r="B56" s="2"/>
      <c r="C56" s="2"/>
      <c r="D56" s="2"/>
    </row>
    <row r="57" spans="1:10">
      <c r="A57" s="185"/>
      <c r="B57" s="184"/>
      <c r="C57" s="4"/>
      <c r="D57" s="182"/>
      <c r="E57" s="182"/>
      <c r="F57" s="182"/>
      <c r="G57" s="182"/>
      <c r="H57" s="182"/>
      <c r="I57" s="182"/>
      <c r="J57" s="182"/>
    </row>
    <row r="58" spans="1:10">
      <c r="A58" s="181"/>
      <c r="B58" s="165"/>
      <c r="C58" s="8"/>
      <c r="D58" s="165"/>
      <c r="E58" s="165"/>
      <c r="F58" s="165"/>
      <c r="G58" s="165"/>
      <c r="H58" s="165"/>
      <c r="I58" s="165"/>
      <c r="J58" s="165"/>
    </row>
    <row r="59" spans="1:10">
      <c r="A59" s="278">
        <v>46054</v>
      </c>
      <c r="B59" s="277">
        <f>CHICLETS!V27</f>
        <v>0.29166666666666669</v>
      </c>
      <c r="C59" s="109" t="str">
        <f>CHICLETS!$W$26</f>
        <v>WOOLLETT NEAR LEFT</v>
      </c>
      <c r="D59" s="109" t="s">
        <v>2405</v>
      </c>
      <c r="E59" s="276" t="str">
        <f>F18</f>
        <v>O2(3rdC)-NORTH IRVINE BLACK</v>
      </c>
      <c r="F59" s="276">
        <v>16</v>
      </c>
      <c r="G59" s="276" t="str">
        <f>F19</f>
        <v>O2(3rdD)-SOUTH COAST RED (A)</v>
      </c>
      <c r="H59" s="276">
        <v>9</v>
      </c>
      <c r="I59" s="109" t="s">
        <v>2406</v>
      </c>
      <c r="J59" s="276" t="s">
        <v>1136</v>
      </c>
    </row>
    <row r="60" spans="1:10">
      <c r="A60" s="278">
        <v>46054</v>
      </c>
      <c r="B60" s="277">
        <f>CHICLETS!V28</f>
        <v>0.33333333333333298</v>
      </c>
      <c r="C60" s="109" t="str">
        <f>CHICLETS!$W$26</f>
        <v>WOOLLETT NEAR LEFT</v>
      </c>
      <c r="D60" s="109" t="s">
        <v>2407</v>
      </c>
      <c r="E60" s="276" t="str">
        <f>A17</f>
        <v>J1(1stA)-CC UNITED BLACK</v>
      </c>
      <c r="F60" s="276">
        <v>12</v>
      </c>
      <c r="G60" s="276" t="str">
        <f>A20</f>
        <v>J4(1stD)-AMERICAN RIVER BLUE</v>
      </c>
      <c r="H60" s="276">
        <v>6</v>
      </c>
      <c r="I60" s="109" t="s">
        <v>1956</v>
      </c>
      <c r="J60" s="276" t="s">
        <v>1136</v>
      </c>
    </row>
    <row r="61" spans="1:10">
      <c r="A61" s="278">
        <v>46054</v>
      </c>
      <c r="B61" s="277">
        <f>CHICLETS!V29</f>
        <v>0.375</v>
      </c>
      <c r="C61" s="109" t="str">
        <f>CHICLETS!$W$26</f>
        <v>WOOLLETT NEAR LEFT</v>
      </c>
      <c r="D61" s="109" t="s">
        <v>2408</v>
      </c>
      <c r="E61" s="276" t="str">
        <f>A18</f>
        <v>J2(1stB)-BERKELEY WPC</v>
      </c>
      <c r="F61" s="276">
        <v>8</v>
      </c>
      <c r="G61" s="276" t="str">
        <f>A19</f>
        <v>J3(1stC)-LA JOLLA UNITED NAVY</v>
      </c>
      <c r="H61" s="276">
        <v>15</v>
      </c>
      <c r="I61" s="109" t="s">
        <v>1956</v>
      </c>
      <c r="J61" s="276" t="s">
        <v>1136</v>
      </c>
    </row>
    <row r="62" spans="1:10">
      <c r="A62" s="278">
        <v>46054</v>
      </c>
      <c r="B62" s="277">
        <f>CHICLETS!V30</f>
        <v>0.41666666666666702</v>
      </c>
      <c r="C62" s="109" t="str">
        <f>CHICLETS!$W$26</f>
        <v>WOOLLETT NEAR LEFT</v>
      </c>
      <c r="D62" s="109" t="s">
        <v>2409</v>
      </c>
      <c r="E62" s="276" t="str">
        <f>B17</f>
        <v>K1(1stE)-LAMORINDA A</v>
      </c>
      <c r="F62" s="276">
        <v>15</v>
      </c>
      <c r="G62" s="276" t="str">
        <f>B20</f>
        <v>K4(1stH)-RIVERSIDE</v>
      </c>
      <c r="H62" s="276">
        <v>11</v>
      </c>
      <c r="I62" s="109" t="s">
        <v>1956</v>
      </c>
      <c r="J62" s="276" t="s">
        <v>1136</v>
      </c>
    </row>
    <row r="63" spans="1:10">
      <c r="A63" s="278">
        <v>46054</v>
      </c>
      <c r="B63" s="277">
        <f>CHICLETS!V31</f>
        <v>0.45833333333333298</v>
      </c>
      <c r="C63" s="109" t="str">
        <f>CHICLETS!$W$26</f>
        <v>WOOLLETT NEAR LEFT</v>
      </c>
      <c r="D63" s="109" t="s">
        <v>2410</v>
      </c>
      <c r="E63" s="276" t="str">
        <f>B18</f>
        <v>K2(1stF)-FOOTHILL RED</v>
      </c>
      <c r="F63" s="276">
        <v>7</v>
      </c>
      <c r="G63" s="276" t="str">
        <f>B19</f>
        <v>K3(1stG)-CHANNEL ISLANDS UNITED TEAL</v>
      </c>
      <c r="H63" s="276">
        <v>15</v>
      </c>
      <c r="I63" s="109" t="s">
        <v>1956</v>
      </c>
      <c r="J63" s="276" t="s">
        <v>1136</v>
      </c>
    </row>
    <row r="64" spans="1:10">
      <c r="A64" s="278">
        <v>46054</v>
      </c>
      <c r="B64" s="277">
        <f>CHICLETS!V32</f>
        <v>0.5</v>
      </c>
      <c r="C64" s="109" t="str">
        <f>CHICLETS!$W$26</f>
        <v>WOOLLETT NEAR LEFT</v>
      </c>
      <c r="D64" s="109" t="s">
        <v>2411</v>
      </c>
      <c r="E64" s="276" t="str">
        <f>IF(F60="","W#28",IF(F60&gt;H60,_xlfn.CONCAT("W#28-",RIGHT(E60,LEN(E60) - FIND("-",E60))), _xlfn.CONCAT("W#28-",RIGHT(G60,LEN(G60) - FIND("-",G60)))))</f>
        <v>W#28-CC UNITED BLACK</v>
      </c>
      <c r="F64" s="276">
        <v>14</v>
      </c>
      <c r="G64" s="276" t="str">
        <f>IF(F61="","W#29",IF(F61&gt;H61,_xlfn.CONCAT("W#29-",RIGHT(E61,LEN(E61) - FIND("-",E61))), _xlfn.CONCAT("W#29-",RIGHT(G61,LEN(G61) - FIND("-",G61)))))</f>
        <v>W#29-LA JOLLA UNITED NAVY</v>
      </c>
      <c r="H64" s="276">
        <v>10</v>
      </c>
      <c r="I64" s="109" t="s">
        <v>1961</v>
      </c>
      <c r="J64" s="276" t="s">
        <v>1136</v>
      </c>
    </row>
    <row r="65" spans="1:10">
      <c r="A65" s="278">
        <v>46054</v>
      </c>
      <c r="B65" s="277">
        <f>CHICLETS!V33</f>
        <v>0.54166666666666696</v>
      </c>
      <c r="C65" s="109" t="str">
        <f>CHICLETS!$W$26</f>
        <v>WOOLLETT NEAR LEFT</v>
      </c>
      <c r="D65" s="109" t="s">
        <v>2412</v>
      </c>
      <c r="E65" s="276" t="str">
        <f>IF(F62="","W#30",IF(F62&gt;H62,_xlfn.CONCAT("W#30-",RIGHT(E62,LEN(E62) - FIND("-",E62))), _xlfn.CONCAT("W#30-",RIGHT(G62,LEN(G62) - FIND("-",G62)))))</f>
        <v>W#30-LAMORINDA A</v>
      </c>
      <c r="F65" s="276">
        <v>9</v>
      </c>
      <c r="G65" s="276" t="str">
        <f>IF(F63="","W#31",IF(F63&gt;H63,_xlfn.CONCAT("W#31-",RIGHT(E63,LEN(E63) - FIND("-",E63))), _xlfn.CONCAT("W#31-",RIGHT(G63,LEN(G63) - FIND("-",G63)))))</f>
        <v>W#31-CHANNEL ISLANDS UNITED TEAL</v>
      </c>
      <c r="H65" s="276">
        <v>8</v>
      </c>
      <c r="I65" s="109" t="s">
        <v>1963</v>
      </c>
      <c r="J65" s="276" t="s">
        <v>1136</v>
      </c>
    </row>
    <row r="66" spans="1:10">
      <c r="A66" s="278">
        <v>46054</v>
      </c>
      <c r="B66" s="277">
        <f>CHICLETS!V34</f>
        <v>0.58333333333333304</v>
      </c>
      <c r="C66" s="109" t="str">
        <f>CHICLETS!$W$26</f>
        <v>WOOLLETT NEAR LEFT</v>
      </c>
      <c r="D66" s="109" t="s">
        <v>2413</v>
      </c>
      <c r="E66" s="276" t="str">
        <f>IF(F60="","L#28",IF(F60&lt;H60,_xlfn.CONCAT("L#28-",RIGHT(E60,LEN(E60) - FIND("-",E60))), _xlfn.CONCAT("L#28-",RIGHT(G60,LEN(G60) - FIND("-",G60)))))</f>
        <v>L#28-AMERICAN RIVER BLUE</v>
      </c>
      <c r="F66" s="276">
        <v>11</v>
      </c>
      <c r="G66" s="276" t="str">
        <f>IF(F61="","L#29",IF(F61&lt;H61,_xlfn.CONCAT("L#29-",RIGHT(E61,LEN(E61) - FIND("-",E61))), _xlfn.CONCAT("L#29-",RIGHT(G61,LEN(G61) - FIND("-",G61)))))</f>
        <v>L#29-BERKELEY WPC</v>
      </c>
      <c r="H66" s="276">
        <v>15</v>
      </c>
      <c r="I66" s="109" t="s">
        <v>1965</v>
      </c>
      <c r="J66" s="276" t="s">
        <v>1136</v>
      </c>
    </row>
    <row r="67" spans="1:10">
      <c r="A67" s="278">
        <v>46054</v>
      </c>
      <c r="B67" s="277">
        <f>CHICLETS!V35</f>
        <v>0.625</v>
      </c>
      <c r="C67" s="109" t="str">
        <f>CHICLETS!$W$26</f>
        <v>WOOLLETT NEAR LEFT</v>
      </c>
      <c r="D67" s="109" t="s">
        <v>2414</v>
      </c>
      <c r="E67" s="276" t="str">
        <f>IF(F62="","L#30",IF(F62&lt;H62,_xlfn.CONCAT("L#30-",RIGHT(E62,LEN(E62) - FIND("-",E62))), _xlfn.CONCAT("L#30-",RIGHT(G62,LEN(G62) - FIND("-",G62)))))</f>
        <v>L#30-RIVERSIDE</v>
      </c>
      <c r="F67" s="276">
        <v>15</v>
      </c>
      <c r="G67" s="276" t="str">
        <f>IF(F63="","L#31",IF(F63&lt;H63,_xlfn.CONCAT("L#31-",RIGHT(E63,LEN(E63) - FIND("-",E63))), _xlfn.CONCAT("L#31-",RIGHT(G63,LEN(G63) - FIND("-",G63)))))</f>
        <v>L#31-FOOTHILL RED</v>
      </c>
      <c r="H67" s="276">
        <v>8</v>
      </c>
      <c r="I67" s="109" t="s">
        <v>1967</v>
      </c>
      <c r="J67" s="276" t="s">
        <v>1136</v>
      </c>
    </row>
    <row r="68" spans="1:10">
      <c r="A68" s="278">
        <v>46054</v>
      </c>
      <c r="B68" s="277">
        <f>CHICLETS!V36</f>
        <v>0.66666666666666696</v>
      </c>
      <c r="C68" s="109" t="str">
        <f>CHICLETS!$W$26</f>
        <v>WOOLLETT NEAR LEFT</v>
      </c>
      <c r="D68" s="109" t="s">
        <v>2415</v>
      </c>
      <c r="E68" s="276" t="str">
        <f>B23</f>
        <v>R1(1stJ)-CC UNITED BLACK</v>
      </c>
      <c r="F68" s="276">
        <v>12.4</v>
      </c>
      <c r="G68" s="276" t="str">
        <f>B24</f>
        <v>R2(1stK)-LAMORINDA A</v>
      </c>
      <c r="H68" s="276">
        <v>12.3</v>
      </c>
      <c r="I68" s="109" t="s">
        <v>1898</v>
      </c>
      <c r="J68" s="276" t="s">
        <v>1136</v>
      </c>
    </row>
    <row r="69" spans="1:10">
      <c r="A69" s="278">
        <v>46054</v>
      </c>
      <c r="B69" s="277">
        <f>CHICLETS!V37</f>
        <v>0.70833333333333304</v>
      </c>
      <c r="C69" s="109" t="str">
        <f>CHICLETS!$W$26</f>
        <v>WOOLLETT NEAR LEFT</v>
      </c>
      <c r="D69" s="109" t="s">
        <v>2416</v>
      </c>
      <c r="E69" s="276" t="str">
        <f>A23</f>
        <v>Q1(2ndJ)-LA JOLLA UNITED NAVY</v>
      </c>
      <c r="F69" s="276">
        <v>12</v>
      </c>
      <c r="G69" s="276" t="str">
        <f>A24</f>
        <v>Q2(2ndK)-CHANNEL ISLANDS UNITED TEAL</v>
      </c>
      <c r="H69" s="276">
        <v>11</v>
      </c>
      <c r="I69" s="109" t="s">
        <v>1894</v>
      </c>
      <c r="J69" s="276" t="s">
        <v>1136</v>
      </c>
    </row>
    <row r="70" spans="1:10">
      <c r="A70" s="166"/>
      <c r="B70" s="167"/>
      <c r="C70" s="2"/>
      <c r="D70" s="2"/>
      <c r="J70" s="31"/>
    </row>
    <row r="71" spans="1:10">
      <c r="A71" s="278">
        <v>46054</v>
      </c>
      <c r="B71" s="277">
        <f>CHICLETS!V28</f>
        <v>0.33333333333333298</v>
      </c>
      <c r="C71" s="109" t="str">
        <f>CHICLETS!$AA$26</f>
        <v>YORBA LINDA HS</v>
      </c>
      <c r="D71" s="109" t="s">
        <v>2417</v>
      </c>
      <c r="E71" s="276" t="str">
        <f>E17</f>
        <v>N1(3rdA)-LV LEGENDS</v>
      </c>
      <c r="F71" s="276">
        <v>11</v>
      </c>
      <c r="G71" s="276" t="str">
        <f>E18</f>
        <v>N2(3rdG)-SAN JOSE EXPRESS BLUE</v>
      </c>
      <c r="H71" s="276">
        <v>10</v>
      </c>
      <c r="I71" s="109" t="s">
        <v>1971</v>
      </c>
      <c r="J71" s="276" t="s">
        <v>1136</v>
      </c>
    </row>
    <row r="72" spans="1:10">
      <c r="A72" s="278">
        <v>46054</v>
      </c>
      <c r="B72" s="277">
        <f>CHICLETS!V29</f>
        <v>0.375</v>
      </c>
      <c r="C72" s="109" t="str">
        <f>CHICLETS!$AA$26</f>
        <v>YORBA LINDA HS</v>
      </c>
      <c r="D72" s="109" t="s">
        <v>2418</v>
      </c>
      <c r="E72" s="276" t="str">
        <f>F17</f>
        <v>O1(3rdE)-CHULA VISTA PREMIER</v>
      </c>
      <c r="F72" s="276">
        <v>8</v>
      </c>
      <c r="G72" s="276" t="str">
        <f>F20</f>
        <v>O3(4thG)-CC UNITED BLUE</v>
      </c>
      <c r="H72" s="276">
        <v>14</v>
      </c>
      <c r="I72" s="109" t="s">
        <v>2406</v>
      </c>
      <c r="J72" s="276" t="s">
        <v>1136</v>
      </c>
    </row>
    <row r="73" spans="1:10">
      <c r="A73" s="278">
        <v>46054</v>
      </c>
      <c r="B73" s="277">
        <f>CHICLETS!V30</f>
        <v>0.41666666666666702</v>
      </c>
      <c r="C73" s="109" t="str">
        <f>CHICLETS!$AA$26</f>
        <v>YORBA LINDA HS</v>
      </c>
      <c r="D73" s="109" t="s">
        <v>2419</v>
      </c>
      <c r="E73" s="276" t="str">
        <f>G17</f>
        <v>P1(3rdF)-SHADOW MEN</v>
      </c>
      <c r="F73" s="276">
        <v>20</v>
      </c>
      <c r="G73" s="276" t="str">
        <f>G20</f>
        <v>P3(4thH)-FOOTHILL BLACK</v>
      </c>
      <c r="H73" s="276">
        <v>14</v>
      </c>
      <c r="I73" s="109" t="s">
        <v>1975</v>
      </c>
      <c r="J73" s="276" t="s">
        <v>1136</v>
      </c>
    </row>
    <row r="74" spans="1:10">
      <c r="A74" s="278">
        <v>46054</v>
      </c>
      <c r="B74" s="277">
        <f>CHICLETS!V31</f>
        <v>0.45833333333333298</v>
      </c>
      <c r="C74" s="109" t="str">
        <f>CHICLETS!$AA$26</f>
        <v>YORBA LINDA HS</v>
      </c>
      <c r="D74" s="109" t="s">
        <v>2420</v>
      </c>
      <c r="E74" s="276" t="str">
        <f>G18</f>
        <v>P2(3rdB)-IMPERIAL BLUE</v>
      </c>
      <c r="F74" s="276">
        <v>13</v>
      </c>
      <c r="G74" s="276" t="str">
        <f>G19</f>
        <v>P3(4thD)-SUPREME</v>
      </c>
      <c r="H74" s="276">
        <v>9</v>
      </c>
      <c r="I74" s="109" t="s">
        <v>1975</v>
      </c>
      <c r="J74" s="276" t="s">
        <v>1136</v>
      </c>
    </row>
    <row r="75" spans="1:10">
      <c r="A75" s="278">
        <v>46054</v>
      </c>
      <c r="B75" s="277">
        <f>CHICLETS!V32</f>
        <v>0.5</v>
      </c>
      <c r="C75" s="109" t="str">
        <f>CHICLETS!$AA$26</f>
        <v>YORBA LINDA HS</v>
      </c>
      <c r="D75" s="109" t="s">
        <v>2421</v>
      </c>
      <c r="E75" s="276" t="str">
        <f>E17</f>
        <v>N1(3rdA)-LV LEGENDS</v>
      </c>
      <c r="F75" s="276">
        <v>3</v>
      </c>
      <c r="G75" s="276" t="str">
        <f>E19</f>
        <v>N3(3rdH)-SHAQ</v>
      </c>
      <c r="H75" s="276">
        <v>14</v>
      </c>
      <c r="I75" s="109" t="s">
        <v>1971</v>
      </c>
      <c r="J75" s="276" t="s">
        <v>1136</v>
      </c>
    </row>
    <row r="76" spans="1:10">
      <c r="A76" s="2"/>
      <c r="B76" s="2"/>
      <c r="C76" s="2"/>
      <c r="D76" s="2"/>
    </row>
    <row r="77" spans="1:10">
      <c r="A77" s="278">
        <v>46054</v>
      </c>
      <c r="B77" s="277">
        <f>CHICLETS!V34</f>
        <v>0.58333333333333304</v>
      </c>
      <c r="C77" s="109" t="str">
        <f>CHICLETS!$AA$26</f>
        <v>YORBA LINDA HS</v>
      </c>
      <c r="D77" s="109" t="s">
        <v>2422</v>
      </c>
      <c r="E77" s="276" t="str">
        <f>IF(F72="","W#38",IF(F72&gt;H72,_xlfn.CONCAT("W#38-",RIGHT(E72,LEN(E72) - FIND("-",E72))), _xlfn.CONCAT("W#38-",RIGHT(G72,LEN(G72) - FIND("-",G72)))))</f>
        <v>W#38-CC UNITED BLUE</v>
      </c>
      <c r="F77" s="276">
        <v>10</v>
      </c>
      <c r="G77" s="276" t="str">
        <f>IF(F59="","W#39",IF(F59&gt;H59,_xlfn.CONCAT("W#39-",RIGHT(E59,LEN(E59) - FIND("-",E59))), _xlfn.CONCAT("W#39-",RIGHT(G59,LEN(G59) - FIND("-",G59)))))</f>
        <v>W#39-NORTH IRVINE BLACK</v>
      </c>
      <c r="H77" s="276">
        <v>18</v>
      </c>
      <c r="I77" s="109" t="s">
        <v>2423</v>
      </c>
      <c r="J77" s="276" t="s">
        <v>1136</v>
      </c>
    </row>
    <row r="78" spans="1:10">
      <c r="A78" s="278">
        <v>46054</v>
      </c>
      <c r="B78" s="277">
        <f>CHICLETS!V35</f>
        <v>0.625</v>
      </c>
      <c r="C78" s="109" t="str">
        <f>CHICLETS!$AA$26</f>
        <v>YORBA LINDA HS</v>
      </c>
      <c r="D78" s="109" t="s">
        <v>2424</v>
      </c>
      <c r="E78" s="276" t="str">
        <f>IF(F72="","L#38",IF(F72&lt;H72,_xlfn.CONCAT("L#38-",RIGHT(E72,LEN(E72) - FIND("-",E72))), _xlfn.CONCAT("L#38-",RIGHT(G72,LEN(G72) - FIND("-",G72)))))</f>
        <v>L#38-CHULA VISTA PREMIER</v>
      </c>
      <c r="F78" s="276">
        <v>5</v>
      </c>
      <c r="G78" s="276" t="str">
        <f>IF(F59="","L#39",IF(F59&lt;H59,_xlfn.CONCAT("L#39-",RIGHT(E59,LEN(E59) - FIND("-",E59))), _xlfn.CONCAT("L#39-",RIGHT(G59,LEN(G59) - FIND("-",G59)))))</f>
        <v>L#39-SOUTH COAST RED (A)</v>
      </c>
      <c r="H78" s="276">
        <v>16</v>
      </c>
      <c r="I78" s="109" t="s">
        <v>2425</v>
      </c>
      <c r="J78" s="276" t="s">
        <v>1136</v>
      </c>
    </row>
    <row r="79" spans="1:10">
      <c r="A79" s="278">
        <v>46054</v>
      </c>
      <c r="B79" s="277">
        <f>CHICLETS!V36</f>
        <v>0.66666666666666696</v>
      </c>
      <c r="C79" s="109" t="str">
        <f>CHICLETS!$AA$26</f>
        <v>YORBA LINDA HS</v>
      </c>
      <c r="D79" s="109" t="s">
        <v>2426</v>
      </c>
      <c r="E79" s="276" t="str">
        <f>E18</f>
        <v>N2(3rdG)-SAN JOSE EXPRESS BLUE</v>
      </c>
      <c r="F79" s="276">
        <v>11</v>
      </c>
      <c r="G79" s="276" t="str">
        <f>E19</f>
        <v>N3(3rdH)-SHAQ</v>
      </c>
      <c r="H79" s="276">
        <v>21</v>
      </c>
      <c r="I79" s="109" t="s">
        <v>1971</v>
      </c>
      <c r="J79" s="276" t="s">
        <v>1136</v>
      </c>
    </row>
    <row r="80" spans="1:10">
      <c r="A80" s="278">
        <v>46054</v>
      </c>
      <c r="B80" s="277">
        <f>CHICLETS!V37</f>
        <v>0.70833333333333304</v>
      </c>
      <c r="C80" s="109" t="str">
        <f>CHICLETS!$AA$26</f>
        <v>YORBA LINDA HS</v>
      </c>
      <c r="D80" s="109" t="s">
        <v>2427</v>
      </c>
      <c r="E80" s="276" t="str">
        <f>IF(F73="","W#40",IF(F73&gt;H73,_xlfn.CONCAT("W#40-",RIGHT(E73,LEN(E73) - FIND("-",E73))), _xlfn.CONCAT("W#40-",RIGHT(G73,LEN(G73) - FIND("-",G73)))))</f>
        <v>W#40-SHADOW MEN</v>
      </c>
      <c r="F80" s="276">
        <v>13</v>
      </c>
      <c r="G80" s="276" t="str">
        <f>IF(F74="","W#41",IF(F74&gt;H74,_xlfn.CONCAT("W#41-",RIGHT(E74,LEN(E74) - FIND("-",E74))), _xlfn.CONCAT("W#41-",RIGHT(G74,LEN(G74) - FIND("-",G74)))))</f>
        <v>W#41-IMPERIAL BLUE</v>
      </c>
      <c r="H80" s="276">
        <v>18</v>
      </c>
      <c r="I80" s="109" t="s">
        <v>1980</v>
      </c>
      <c r="J80" s="276" t="s">
        <v>1136</v>
      </c>
    </row>
    <row r="81" spans="1:10">
      <c r="A81" s="278">
        <v>46054</v>
      </c>
      <c r="B81" s="277">
        <f>CHICLETS!V38</f>
        <v>0.75</v>
      </c>
      <c r="C81" s="109" t="str">
        <f>CHICLETS!$AA$26</f>
        <v>YORBA LINDA HS</v>
      </c>
      <c r="D81" s="109" t="s">
        <v>2428</v>
      </c>
      <c r="E81" s="276" t="str">
        <f>IF(F73="","L#40",IF(F73&lt;H73,_xlfn.CONCAT("L#40-",RIGHT(E73,LEN(E73) - FIND("-",E73))), _xlfn.CONCAT("L#40-",RIGHT(G73,LEN(G73) - FIND("-",G73)))))</f>
        <v>L#40-FOOTHILL BLACK</v>
      </c>
      <c r="F81" s="276">
        <v>9</v>
      </c>
      <c r="G81" s="276" t="str">
        <f>IF(F74="","L#41",IF(F74&lt;H74,_xlfn.CONCAT("L#41-",RIGHT(E74,LEN(E74) - FIND("-",E74))), _xlfn.CONCAT("L#41-",RIGHT(G74,LEN(G74) - FIND("-",G74)))))</f>
        <v>L#41-SUPREME</v>
      </c>
      <c r="H81" s="276">
        <v>14</v>
      </c>
      <c r="I81" s="109" t="s">
        <v>1982</v>
      </c>
      <c r="J81" s="276" t="s">
        <v>1136</v>
      </c>
    </row>
    <row r="82" spans="1:10">
      <c r="A82" s="166"/>
      <c r="B82" s="167"/>
    </row>
    <row r="83" spans="1:10">
      <c r="A83" s="278">
        <v>46054</v>
      </c>
      <c r="B83" s="277">
        <f>CHICLETS!V29</f>
        <v>0.375</v>
      </c>
      <c r="C83" s="109" t="str">
        <f>CHICLETS!$AC$26</f>
        <v>EDISON HS</v>
      </c>
      <c r="D83" s="109" t="s">
        <v>2429</v>
      </c>
      <c r="E83" s="276" t="str">
        <f>C17</f>
        <v>L1(2ndA)-POWAY VALLEY BLACK</v>
      </c>
      <c r="F83" s="276">
        <v>12</v>
      </c>
      <c r="G83" s="276" t="str">
        <f>C20</f>
        <v>L4(2ndD)-SAND CANYON</v>
      </c>
      <c r="H83" s="276">
        <v>13</v>
      </c>
      <c r="I83" s="109" t="s">
        <v>2430</v>
      </c>
      <c r="J83" s="276" t="s">
        <v>1136</v>
      </c>
    </row>
    <row r="84" spans="1:10">
      <c r="A84" s="278">
        <v>46054</v>
      </c>
      <c r="B84" s="277">
        <f>CHICLETS!V30</f>
        <v>0.41666666666666702</v>
      </c>
      <c r="C84" s="109" t="str">
        <f>CHICLETS!$AC$26</f>
        <v>EDISON HS</v>
      </c>
      <c r="D84" s="109" t="s">
        <v>2431</v>
      </c>
      <c r="E84" s="276" t="str">
        <f>C18</f>
        <v>L2(2ndB)-SD SHORES BLACK</v>
      </c>
      <c r="F84" s="276">
        <v>8</v>
      </c>
      <c r="G84" s="276" t="str">
        <f>C19</f>
        <v>L3(2ndC)-SANTA CRUZ</v>
      </c>
      <c r="H84" s="276">
        <v>7</v>
      </c>
      <c r="I84" s="109" t="s">
        <v>2432</v>
      </c>
      <c r="J84" s="276" t="s">
        <v>1136</v>
      </c>
    </row>
    <row r="85" spans="1:10">
      <c r="A85" s="166"/>
      <c r="B85" s="167"/>
    </row>
    <row r="86" spans="1:10">
      <c r="A86" s="278">
        <v>46054</v>
      </c>
      <c r="B86" s="277">
        <f>CHICLETS!V33</f>
        <v>0.54166666666666696</v>
      </c>
      <c r="C86" s="109" t="str">
        <f>CHICLETS!$AC$26</f>
        <v>EDISON HS</v>
      </c>
      <c r="D86" s="109" t="s">
        <v>2433</v>
      </c>
      <c r="E86" s="276" t="str">
        <f>D17</f>
        <v>M1(2ndE)-VANGUARD BLUE</v>
      </c>
      <c r="F86" s="276">
        <v>15</v>
      </c>
      <c r="G86" s="276" t="s">
        <v>878</v>
      </c>
      <c r="H86" s="276">
        <v>17</v>
      </c>
      <c r="I86" s="109" t="s">
        <v>2434</v>
      </c>
      <c r="J86" s="276" t="s">
        <v>1136</v>
      </c>
    </row>
    <row r="87" spans="1:10">
      <c r="A87" s="278">
        <v>46054</v>
      </c>
      <c r="B87" s="277">
        <f>CHICLETS!V34</f>
        <v>0.58333333333333304</v>
      </c>
      <c r="C87" s="109" t="str">
        <f>CHICLETS!$AC$26</f>
        <v>EDISON HS</v>
      </c>
      <c r="D87" s="109" t="s">
        <v>2435</v>
      </c>
      <c r="E87" s="276" t="str">
        <f>D18</f>
        <v>M2(2ndF)-NORCAL</v>
      </c>
      <c r="F87" s="276">
        <v>14</v>
      </c>
      <c r="G87" s="276" t="s">
        <v>668</v>
      </c>
      <c r="H87" s="276">
        <v>6</v>
      </c>
      <c r="I87" s="109" t="s">
        <v>2436</v>
      </c>
      <c r="J87" s="276" t="s">
        <v>1136</v>
      </c>
    </row>
    <row r="88" spans="1:10">
      <c r="A88" s="278">
        <v>46054</v>
      </c>
      <c r="B88" s="277">
        <f>CHICLETS!V35</f>
        <v>0.625</v>
      </c>
      <c r="C88" s="109" t="str">
        <f>CHICLETS!$AC$26</f>
        <v>EDISON HS</v>
      </c>
      <c r="D88" s="109" t="s">
        <v>2437</v>
      </c>
      <c r="E88" s="276" t="str">
        <f>IF(F83="","W#49",IF(F83&gt;H83,_xlfn.CONCAT("W#49-",RIGHT(E83,LEN(E83) - FIND("-",E83))), _xlfn.CONCAT("W#49-",RIGHT(G83,LEN(G83) - FIND("-",G83)))))</f>
        <v>W#49-SAND CANYON</v>
      </c>
      <c r="F88" s="276">
        <v>17</v>
      </c>
      <c r="G88" s="276" t="str">
        <f>IF(F84="","W#50",IF(F84&gt;H84,_xlfn.CONCAT("W#50-",RIGHT(E84,LEN(E84) - FIND("-",E84))), _xlfn.CONCAT("W#50-",RIGHT(G84,LEN(G84) - FIND("-",G84)))))</f>
        <v>W#50-SD SHORES BLACK</v>
      </c>
      <c r="H88" s="276">
        <v>14</v>
      </c>
      <c r="I88" s="109" t="s">
        <v>1991</v>
      </c>
      <c r="J88" s="276" t="s">
        <v>1136</v>
      </c>
    </row>
    <row r="89" spans="1:10">
      <c r="A89" s="278">
        <v>46054</v>
      </c>
      <c r="B89" s="277">
        <f>CHICLETS!V36</f>
        <v>0.66666666666666696</v>
      </c>
      <c r="C89" s="109" t="str">
        <f>CHICLETS!$AC$26</f>
        <v>EDISON HS</v>
      </c>
      <c r="D89" s="109" t="s">
        <v>2438</v>
      </c>
      <c r="E89" s="276" t="str">
        <f>IF(F83="","L#49",IF(F83&lt;H83,_xlfn.CONCAT("L#49-",RIGHT(E83,LEN(E83) - FIND("-",E83))), _xlfn.CONCAT("L#49-",RIGHT(G83,LEN(G83) - FIND("-",G83)))))</f>
        <v>L#49-POWAY VALLEY BLACK</v>
      </c>
      <c r="F89" s="276">
        <v>7</v>
      </c>
      <c r="G89" s="276" t="str">
        <f>IF(F84="","L#50",IF(F84&lt;H84,_xlfn.CONCAT("L#50-",RIGHT(E84,LEN(E84) - FIND("-",E84))), _xlfn.CONCAT("L#50-",RIGHT(G84,LEN(G84) - FIND("-",G84)))))</f>
        <v>L#50-SANTA CRUZ</v>
      </c>
      <c r="H89" s="276">
        <v>15</v>
      </c>
      <c r="I89" s="109" t="s">
        <v>1993</v>
      </c>
      <c r="J89" s="276" t="s">
        <v>1136</v>
      </c>
    </row>
    <row r="90" spans="1:10">
      <c r="A90" s="278">
        <v>46054</v>
      </c>
      <c r="B90" s="277">
        <f>CHICLETS!V37</f>
        <v>0.70833333333333304</v>
      </c>
      <c r="C90" s="109" t="str">
        <f>CHICLETS!$AC$26</f>
        <v>EDISON HS</v>
      </c>
      <c r="D90" s="109" t="s">
        <v>2439</v>
      </c>
      <c r="E90" s="276" t="s">
        <v>257</v>
      </c>
      <c r="F90" s="276">
        <v>11</v>
      </c>
      <c r="G90" s="276" t="s">
        <v>878</v>
      </c>
      <c r="H90" s="276">
        <v>14</v>
      </c>
      <c r="I90" s="109" t="s">
        <v>1995</v>
      </c>
      <c r="J90" s="276" t="s">
        <v>1136</v>
      </c>
    </row>
    <row r="91" spans="1:10">
      <c r="A91" s="278">
        <v>46054</v>
      </c>
      <c r="B91" s="277">
        <f>CHICLETS!V38</f>
        <v>0.75</v>
      </c>
      <c r="C91" s="109" t="str">
        <f>CHICLETS!$AC$26</f>
        <v>EDISON HS</v>
      </c>
      <c r="D91" s="109" t="s">
        <v>2440</v>
      </c>
      <c r="E91" s="276" t="s">
        <v>2441</v>
      </c>
      <c r="F91" s="276">
        <v>19</v>
      </c>
      <c r="G91" s="276" t="s">
        <v>668</v>
      </c>
      <c r="H91" s="276">
        <v>17</v>
      </c>
      <c r="I91" s="109" t="s">
        <v>1997</v>
      </c>
      <c r="J91" s="276" t="s">
        <v>1136</v>
      </c>
    </row>
    <row r="92" spans="1:10">
      <c r="A92" s="166"/>
      <c r="B92" s="167"/>
    </row>
    <row r="93" spans="1:10">
      <c r="I93" s="109" t="s">
        <v>1312</v>
      </c>
      <c r="J93" s="109" t="s">
        <v>691</v>
      </c>
    </row>
    <row r="94" spans="1:10">
      <c r="I94" s="109" t="s">
        <v>1313</v>
      </c>
      <c r="J94" s="109" t="s">
        <v>772</v>
      </c>
    </row>
    <row r="95" spans="1:10">
      <c r="I95" s="109" t="s">
        <v>1314</v>
      </c>
      <c r="J95" s="109" t="s">
        <v>452</v>
      </c>
    </row>
  </sheetData>
  <hyperlinks>
    <hyperlink ref="B2" r:id="rId1" xr:uid="{02DB7D97-349A-4ED1-A55E-99B4228E30BA}"/>
    <hyperlink ref="C2" r:id="rId2" xr:uid="{F3745AB5-5DE3-45D6-B87F-7E6D78756570}"/>
    <hyperlink ref="A2" r:id="rId3" xr:uid="{53D735D7-D1CE-4346-BA82-017D51004530}"/>
  </hyperlinks>
  <pageMargins left="0.7" right="0.7" top="0.75" bottom="0.75" header="0.3" footer="0.3"/>
  <pageSetup scale="45" orientation="landscape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J Baba</dc:creator>
  <cp:keywords/>
  <dc:description/>
  <cp:lastModifiedBy>Nicholas J Baba</cp:lastModifiedBy>
  <cp:revision/>
  <dcterms:created xsi:type="dcterms:W3CDTF">2026-01-16T04:41:16Z</dcterms:created>
  <dcterms:modified xsi:type="dcterms:W3CDTF">2026-03-23T22:50:16Z</dcterms:modified>
  <cp:category/>
  <cp:contentStatus/>
</cp:coreProperties>
</file>