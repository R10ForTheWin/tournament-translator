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6f253ef3afcfe1c8/2026 EVENTS/2026 TURBO OC CUP/"/>
    </mc:Choice>
  </mc:AlternateContent>
  <xr:revisionPtr revIDLastSave="0" documentId="8_{05401627-7C9E-4975-8B34-BEE3CCE92633}" xr6:coauthVersionLast="47" xr6:coauthVersionMax="47" xr10:uidLastSave="{00000000-0000-0000-0000-000000000000}"/>
  <bookViews>
    <workbookView xWindow="1950" yWindow="1950" windowWidth="29355" windowHeight="15150" firstSheet="5" activeTab="5" xr2:uid="{42FDD34B-23A9-47BA-9F78-ECEDBD62BFD5}"/>
  </bookViews>
  <sheets>
    <sheet name="TEAM LISTING AND BRACKETS" sheetId="1" r:id="rId1"/>
    <sheet name="CHICLETS MASTER" sheetId="2" r:id="rId2"/>
    <sheet name="MASTER BY DIVISION" sheetId="21" r:id="rId3"/>
    <sheet name="MASTER BY LOCATION" sheetId="22" r:id="rId4"/>
    <sheet name="MASTER BY TIME" sheetId="23" r:id="rId5"/>
    <sheet name="10U GIRLS COED AU AG-12 TEAMS" sheetId="20" r:id="rId6"/>
    <sheet name="10U BOYS &amp; COED PT-7 CUSTOM" sheetId="3" r:id="rId7"/>
    <sheet name="10U COED GOLD SILVER-8 TEAMS" sheetId="4" state="hidden" r:id="rId8"/>
    <sheet name="10U 12U GIRLS-6 TEAMS CUSTOM" sheetId="5" state="hidden" r:id="rId9"/>
    <sheet name="12U BOYS-16 TEAMS" sheetId="6" r:id="rId10"/>
    <sheet name="12U COED-7 TEAMS" sheetId="7" state="hidden" r:id="rId11"/>
    <sheet name="12U COED GIRLS-9 TEAMS CUSTOM" sheetId="19" r:id="rId12"/>
    <sheet name="14U BOYS SILVER-16 TEAMS" sheetId="8" r:id="rId13"/>
    <sheet name="14U BOYS GOLD-16 TEAMS" sheetId="9" r:id="rId14"/>
    <sheet name="14U BOYS PLATINUM-10 TEAMS" sheetId="10" r:id="rId15"/>
    <sheet name="14U GIRLS-9 TEAMS" sheetId="11" r:id="rId16"/>
    <sheet name="16U BOYS SILVER-7 TEAMS" sheetId="12" state="hidden" r:id="rId17"/>
    <sheet name="16U BOYS SILVER-8 TEAMS" sheetId="16" r:id="rId18"/>
    <sheet name="16U BOYS PLATINUM GOLD-11 TEAMS" sheetId="13" state="hidden" r:id="rId19"/>
    <sheet name="16U BOYS PLATINUM GOLD-10 TEAMS" sheetId="18" r:id="rId20"/>
    <sheet name="19U BOYS SILVER-5 TEAMS" sheetId="14" r:id="rId21"/>
    <sheet name="19U BOYS PLATINUM GOLD-11 TEAMS" sheetId="17" r:id="rId22"/>
    <sheet name="19U BOYS PLATINUM GOLD-12 TEAMS" sheetId="15" state="hidden" r:id="rId23"/>
  </sheets>
  <definedNames>
    <definedName name="_xlnm.Print_Titles" localSheetId="2">'MASTER BY DIVISION'!$1:$1</definedName>
    <definedName name="_xlnm.Print_Titles" localSheetId="3">'MASTER BY LOCATION'!$1:$1</definedName>
    <definedName name="_xlnm.Print_Titles" localSheetId="4">'MASTER BY TIME'!$1:$1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8" l="1"/>
  <c r="J49" i="8"/>
  <c r="J48" i="8"/>
  <c r="J47" i="8"/>
  <c r="C28" i="3"/>
  <c r="C29" i="3"/>
  <c r="C30" i="3"/>
  <c r="C25" i="3"/>
  <c r="J48" i="9"/>
  <c r="J47" i="9"/>
  <c r="J46" i="9"/>
  <c r="J33" i="16"/>
  <c r="J32" i="16"/>
  <c r="J31" i="16"/>
  <c r="J45" i="17"/>
  <c r="J44" i="17"/>
  <c r="J42" i="18"/>
  <c r="J41" i="18"/>
  <c r="J40" i="18"/>
  <c r="J37" i="10"/>
  <c r="J36" i="10"/>
  <c r="J38" i="10"/>
  <c r="E31" i="10"/>
  <c r="E5" i="17"/>
  <c r="D5" i="17"/>
  <c r="G6" i="17"/>
  <c r="B58" i="6"/>
  <c r="C36" i="19"/>
  <c r="C23" i="19"/>
  <c r="C22" i="19"/>
  <c r="B26" i="3"/>
  <c r="B27" i="3"/>
  <c r="B28" i="3"/>
  <c r="B29" i="3"/>
  <c r="B30" i="3"/>
  <c r="B25" i="3"/>
  <c r="F7" i="17"/>
  <c r="F6" i="17"/>
  <c r="F8" i="17"/>
  <c r="F5" i="17"/>
  <c r="E6" i="17"/>
  <c r="D6" i="17"/>
  <c r="E22" i="17"/>
  <c r="D13" i="6"/>
  <c r="D12" i="6"/>
  <c r="C13" i="6"/>
  <c r="B13" i="6"/>
  <c r="E25" i="8"/>
  <c r="G23" i="9"/>
  <c r="E23" i="9"/>
  <c r="G22" i="9"/>
  <c r="E22" i="9"/>
  <c r="G25" i="9"/>
  <c r="G24" i="9"/>
  <c r="E25" i="9"/>
  <c r="E24" i="9"/>
  <c r="E35" i="9"/>
  <c r="G58" i="6"/>
  <c r="G57" i="6"/>
  <c r="G56" i="6"/>
  <c r="G55" i="6"/>
  <c r="G54" i="6"/>
  <c r="G53" i="6"/>
  <c r="G52" i="6"/>
  <c r="G50" i="6"/>
  <c r="G49" i="6"/>
  <c r="E58" i="6"/>
  <c r="E56" i="6"/>
  <c r="E55" i="6"/>
  <c r="E54" i="6"/>
  <c r="E53" i="6"/>
  <c r="E52" i="6"/>
  <c r="E51" i="6"/>
  <c r="E50" i="6"/>
  <c r="E49" i="6"/>
  <c r="G51" i="6"/>
  <c r="E57" i="6"/>
  <c r="E40" i="6"/>
  <c r="G35" i="6"/>
  <c r="G36" i="6"/>
  <c r="E35" i="6"/>
  <c r="E36" i="6"/>
  <c r="E19" i="17"/>
  <c r="G20" i="17"/>
  <c r="E20" i="17"/>
  <c r="G18" i="17"/>
  <c r="E18" i="17"/>
  <c r="G22" i="17"/>
  <c r="G19" i="17"/>
  <c r="J14" i="21"/>
  <c r="J15" i="21"/>
  <c r="J16" i="21"/>
  <c r="J17" i="21"/>
  <c r="J18" i="21"/>
  <c r="J19" i="21"/>
  <c r="J20" i="21"/>
  <c r="J21" i="21"/>
  <c r="J22" i="21"/>
  <c r="J23" i="21"/>
  <c r="J24" i="21"/>
  <c r="J25" i="21"/>
  <c r="J247" i="23"/>
  <c r="I247" i="23"/>
  <c r="H247" i="23"/>
  <c r="F247" i="23"/>
  <c r="D247" i="23"/>
  <c r="A247" i="23"/>
  <c r="J233" i="23"/>
  <c r="I233" i="23"/>
  <c r="H233" i="23"/>
  <c r="F233" i="23"/>
  <c r="D233" i="23"/>
  <c r="A233" i="23"/>
  <c r="J234" i="23"/>
  <c r="I234" i="23"/>
  <c r="H234" i="23"/>
  <c r="F234" i="23"/>
  <c r="D234" i="23"/>
  <c r="A234" i="23"/>
  <c r="J220" i="23"/>
  <c r="I220" i="23"/>
  <c r="H220" i="23"/>
  <c r="F220" i="23"/>
  <c r="D220" i="23"/>
  <c r="A220" i="23"/>
  <c r="J205" i="23"/>
  <c r="I205" i="23"/>
  <c r="H205" i="23"/>
  <c r="F205" i="23"/>
  <c r="D205" i="23"/>
  <c r="A205" i="23"/>
  <c r="J182" i="23"/>
  <c r="I182" i="23"/>
  <c r="H182" i="23"/>
  <c r="F182" i="23"/>
  <c r="D182" i="23"/>
  <c r="A182" i="23"/>
  <c r="J183" i="23"/>
  <c r="I183" i="23"/>
  <c r="H183" i="23"/>
  <c r="F183" i="23"/>
  <c r="D183" i="23"/>
  <c r="A183" i="23"/>
  <c r="J170" i="23"/>
  <c r="I170" i="23"/>
  <c r="H170" i="23"/>
  <c r="F170" i="23"/>
  <c r="D170" i="23"/>
  <c r="A170" i="23"/>
  <c r="J156" i="23"/>
  <c r="I156" i="23"/>
  <c r="H156" i="23"/>
  <c r="F156" i="23"/>
  <c r="D156" i="23"/>
  <c r="A156" i="23"/>
  <c r="J139" i="23"/>
  <c r="I139" i="23"/>
  <c r="H139" i="23"/>
  <c r="F139" i="23"/>
  <c r="D139" i="23"/>
  <c r="A139" i="23"/>
  <c r="J140" i="23"/>
  <c r="I140" i="23"/>
  <c r="H140" i="23"/>
  <c r="F140" i="23"/>
  <c r="D140" i="23"/>
  <c r="A140" i="23"/>
  <c r="J117" i="23"/>
  <c r="I117" i="23"/>
  <c r="H117" i="23"/>
  <c r="G117" i="23"/>
  <c r="F117" i="23"/>
  <c r="E117" i="23"/>
  <c r="D117" i="23"/>
  <c r="A117" i="23"/>
  <c r="J105" i="23"/>
  <c r="I105" i="23"/>
  <c r="H105" i="23"/>
  <c r="F105" i="23"/>
  <c r="D105" i="23"/>
  <c r="A105" i="23"/>
  <c r="J89" i="23"/>
  <c r="I89" i="23"/>
  <c r="H89" i="23"/>
  <c r="G89" i="23"/>
  <c r="F89" i="23"/>
  <c r="E89" i="23"/>
  <c r="D89" i="23"/>
  <c r="A89" i="23"/>
  <c r="J91" i="23"/>
  <c r="I91" i="23"/>
  <c r="H91" i="23"/>
  <c r="G91" i="23"/>
  <c r="F91" i="23"/>
  <c r="E91" i="23"/>
  <c r="D91" i="23"/>
  <c r="A91" i="23"/>
  <c r="J75" i="23"/>
  <c r="I75" i="23"/>
  <c r="H75" i="23"/>
  <c r="G75" i="23"/>
  <c r="F75" i="23"/>
  <c r="E75" i="23"/>
  <c r="D75" i="23"/>
  <c r="A75" i="23"/>
  <c r="J53" i="23"/>
  <c r="I53" i="23"/>
  <c r="H53" i="23"/>
  <c r="G53" i="23"/>
  <c r="F53" i="23"/>
  <c r="D53" i="23"/>
  <c r="A53" i="23"/>
  <c r="J39" i="23"/>
  <c r="I39" i="23"/>
  <c r="H39" i="23"/>
  <c r="G39" i="23"/>
  <c r="F39" i="23"/>
  <c r="E39" i="23"/>
  <c r="D39" i="23"/>
  <c r="A39" i="23"/>
  <c r="J40" i="23"/>
  <c r="I40" i="23"/>
  <c r="H40" i="23"/>
  <c r="G40" i="23"/>
  <c r="F40" i="23"/>
  <c r="E40" i="23"/>
  <c r="D40" i="23"/>
  <c r="A40" i="23"/>
  <c r="J27" i="23"/>
  <c r="I27" i="23"/>
  <c r="H27" i="23"/>
  <c r="G27" i="23"/>
  <c r="F27" i="23"/>
  <c r="D27" i="23"/>
  <c r="A27" i="23"/>
  <c r="J12" i="23"/>
  <c r="I12" i="23"/>
  <c r="H12" i="23"/>
  <c r="G12" i="23"/>
  <c r="F12" i="23"/>
  <c r="E12" i="23"/>
  <c r="D12" i="23"/>
  <c r="A12" i="23"/>
  <c r="J3" i="23"/>
  <c r="I3" i="23"/>
  <c r="H3" i="23"/>
  <c r="G3" i="23"/>
  <c r="F3" i="23"/>
  <c r="E3" i="23"/>
  <c r="D3" i="23"/>
  <c r="A3" i="23"/>
  <c r="J246" i="23"/>
  <c r="I246" i="23"/>
  <c r="H246" i="23"/>
  <c r="F246" i="23"/>
  <c r="D246" i="23"/>
  <c r="A246" i="23"/>
  <c r="J218" i="23"/>
  <c r="I218" i="23"/>
  <c r="H218" i="23"/>
  <c r="F218" i="23"/>
  <c r="D218" i="23"/>
  <c r="A218" i="23"/>
  <c r="J199" i="23"/>
  <c r="I199" i="23"/>
  <c r="H199" i="23"/>
  <c r="F199" i="23"/>
  <c r="D199" i="23"/>
  <c r="A199" i="23"/>
  <c r="J169" i="23"/>
  <c r="I169" i="23"/>
  <c r="H169" i="23"/>
  <c r="F169" i="23"/>
  <c r="D169" i="23"/>
  <c r="A169" i="23"/>
  <c r="J155" i="23"/>
  <c r="I155" i="23"/>
  <c r="H155" i="23"/>
  <c r="F155" i="23"/>
  <c r="D155" i="23"/>
  <c r="A155" i="23"/>
  <c r="J104" i="23"/>
  <c r="I104" i="23"/>
  <c r="H104" i="23"/>
  <c r="F104" i="23"/>
  <c r="D104" i="23"/>
  <c r="A104" i="23"/>
  <c r="J69" i="23"/>
  <c r="I69" i="23"/>
  <c r="H69" i="23"/>
  <c r="F69" i="23"/>
  <c r="D69" i="23"/>
  <c r="A69" i="23"/>
  <c r="J52" i="23"/>
  <c r="I52" i="23"/>
  <c r="H52" i="23"/>
  <c r="F52" i="23"/>
  <c r="D52" i="23"/>
  <c r="A52" i="23"/>
  <c r="J26" i="23"/>
  <c r="I26" i="23"/>
  <c r="H26" i="23"/>
  <c r="F26" i="23"/>
  <c r="D26" i="23"/>
  <c r="A26" i="23"/>
  <c r="J11" i="23"/>
  <c r="I11" i="23"/>
  <c r="H11" i="23"/>
  <c r="F11" i="23"/>
  <c r="D11" i="23"/>
  <c r="A11" i="23"/>
  <c r="J257" i="23"/>
  <c r="I257" i="23"/>
  <c r="H257" i="23"/>
  <c r="F257" i="23"/>
  <c r="D257" i="23"/>
  <c r="A257" i="23"/>
  <c r="J258" i="23"/>
  <c r="I258" i="23"/>
  <c r="H258" i="23"/>
  <c r="F258" i="23"/>
  <c r="D258" i="23"/>
  <c r="A258" i="23"/>
  <c r="J248" i="23"/>
  <c r="I248" i="23"/>
  <c r="H248" i="23"/>
  <c r="F248" i="23"/>
  <c r="D248" i="23"/>
  <c r="A248" i="23"/>
  <c r="J235" i="23"/>
  <c r="I235" i="23"/>
  <c r="H235" i="23"/>
  <c r="F235" i="23"/>
  <c r="D235" i="23"/>
  <c r="A235" i="23"/>
  <c r="J221" i="23"/>
  <c r="I221" i="23"/>
  <c r="H221" i="23"/>
  <c r="G221" i="23"/>
  <c r="F221" i="23"/>
  <c r="D221" i="23"/>
  <c r="A221" i="23"/>
  <c r="J206" i="23"/>
  <c r="I206" i="23"/>
  <c r="H206" i="23"/>
  <c r="F206" i="23"/>
  <c r="D206" i="23"/>
  <c r="A206" i="23"/>
  <c r="J184" i="23"/>
  <c r="I184" i="23"/>
  <c r="H184" i="23"/>
  <c r="F184" i="23"/>
  <c r="D184" i="23"/>
  <c r="A184" i="23"/>
  <c r="J171" i="23"/>
  <c r="I171" i="23"/>
  <c r="H171" i="23"/>
  <c r="F171" i="23"/>
  <c r="D171" i="23"/>
  <c r="A171" i="23"/>
  <c r="J157" i="23"/>
  <c r="I157" i="23"/>
  <c r="H157" i="23"/>
  <c r="F157" i="23"/>
  <c r="D157" i="23"/>
  <c r="A157" i="23"/>
  <c r="J141" i="23"/>
  <c r="I141" i="23"/>
  <c r="H141" i="23"/>
  <c r="F141" i="23"/>
  <c r="D141" i="23"/>
  <c r="A141" i="23"/>
  <c r="J127" i="23"/>
  <c r="I127" i="23"/>
  <c r="H127" i="23"/>
  <c r="G127" i="23"/>
  <c r="F127" i="23"/>
  <c r="E127" i="23"/>
  <c r="D127" i="23"/>
  <c r="A127" i="23"/>
  <c r="J118" i="23"/>
  <c r="I118" i="23"/>
  <c r="H118" i="23"/>
  <c r="G118" i="23"/>
  <c r="F118" i="23"/>
  <c r="E118" i="23"/>
  <c r="D118" i="23"/>
  <c r="A118" i="23"/>
  <c r="J106" i="23"/>
  <c r="I106" i="23"/>
  <c r="H106" i="23"/>
  <c r="F106" i="23"/>
  <c r="D106" i="23"/>
  <c r="A106" i="23"/>
  <c r="J92" i="23"/>
  <c r="I92" i="23"/>
  <c r="H92" i="23"/>
  <c r="F92" i="23"/>
  <c r="D92" i="23"/>
  <c r="A92" i="23"/>
  <c r="J76" i="23"/>
  <c r="I76" i="23"/>
  <c r="H76" i="23"/>
  <c r="G76" i="23"/>
  <c r="F76" i="23"/>
  <c r="E76" i="23"/>
  <c r="D76" i="23"/>
  <c r="A76" i="23"/>
  <c r="J54" i="23"/>
  <c r="I54" i="23"/>
  <c r="H54" i="23"/>
  <c r="G54" i="23"/>
  <c r="F54" i="23"/>
  <c r="D54" i="23"/>
  <c r="A54" i="23"/>
  <c r="J41" i="23"/>
  <c r="I41" i="23"/>
  <c r="H41" i="23"/>
  <c r="F41" i="23"/>
  <c r="D41" i="23"/>
  <c r="A41" i="23"/>
  <c r="J28" i="23"/>
  <c r="I28" i="23"/>
  <c r="H28" i="23"/>
  <c r="F28" i="23"/>
  <c r="D28" i="23"/>
  <c r="A28" i="23"/>
  <c r="J13" i="23"/>
  <c r="I13" i="23"/>
  <c r="H13" i="23"/>
  <c r="G13" i="23"/>
  <c r="F13" i="23"/>
  <c r="E13" i="23"/>
  <c r="D13" i="23"/>
  <c r="A13" i="23"/>
  <c r="J4" i="23"/>
  <c r="I4" i="23"/>
  <c r="H4" i="23"/>
  <c r="F4" i="23"/>
  <c r="E4" i="23"/>
  <c r="D4" i="23"/>
  <c r="A4" i="23"/>
  <c r="J245" i="23"/>
  <c r="I245" i="23"/>
  <c r="H245" i="23"/>
  <c r="G245" i="23"/>
  <c r="F245" i="23"/>
  <c r="E245" i="23"/>
  <c r="D245" i="23"/>
  <c r="A245" i="23"/>
  <c r="J232" i="23"/>
  <c r="I232" i="23"/>
  <c r="H232" i="23"/>
  <c r="G232" i="23"/>
  <c r="F232" i="23"/>
  <c r="E232" i="23"/>
  <c r="D232" i="23"/>
  <c r="A232" i="23"/>
  <c r="J216" i="23"/>
  <c r="I216" i="23"/>
  <c r="H216" i="23"/>
  <c r="G216" i="23"/>
  <c r="F216" i="23"/>
  <c r="E216" i="23"/>
  <c r="D216" i="23"/>
  <c r="A216" i="23"/>
  <c r="J196" i="23"/>
  <c r="I196" i="23"/>
  <c r="H196" i="23"/>
  <c r="G196" i="23"/>
  <c r="F196" i="23"/>
  <c r="E196" i="23"/>
  <c r="D196" i="23"/>
  <c r="A196" i="23"/>
  <c r="J181" i="23"/>
  <c r="I181" i="23"/>
  <c r="H181" i="23"/>
  <c r="G181" i="23"/>
  <c r="F181" i="23"/>
  <c r="E181" i="23"/>
  <c r="D181" i="23"/>
  <c r="A181" i="23"/>
  <c r="J168" i="23"/>
  <c r="I168" i="23"/>
  <c r="H168" i="23"/>
  <c r="G168" i="23"/>
  <c r="F168" i="23"/>
  <c r="E168" i="23"/>
  <c r="D168" i="23"/>
  <c r="A168" i="23"/>
  <c r="J154" i="23"/>
  <c r="I154" i="23"/>
  <c r="H154" i="23"/>
  <c r="G154" i="23"/>
  <c r="F154" i="23"/>
  <c r="E154" i="23"/>
  <c r="D154" i="23"/>
  <c r="A154" i="23"/>
  <c r="J138" i="23"/>
  <c r="I138" i="23"/>
  <c r="H138" i="23"/>
  <c r="G138" i="23"/>
  <c r="F138" i="23"/>
  <c r="E138" i="23"/>
  <c r="D138" i="23"/>
  <c r="A138" i="23"/>
  <c r="J116" i="23"/>
  <c r="I116" i="23"/>
  <c r="H116" i="23"/>
  <c r="G116" i="23"/>
  <c r="F116" i="23"/>
  <c r="E116" i="23"/>
  <c r="D116" i="23"/>
  <c r="A116" i="23"/>
  <c r="J103" i="23"/>
  <c r="I103" i="23"/>
  <c r="H103" i="23"/>
  <c r="G103" i="23"/>
  <c r="F103" i="23"/>
  <c r="E103" i="23"/>
  <c r="D103" i="23"/>
  <c r="A103" i="23"/>
  <c r="J87" i="23"/>
  <c r="I87" i="23"/>
  <c r="H87" i="23"/>
  <c r="G87" i="23"/>
  <c r="F87" i="23"/>
  <c r="E87" i="23"/>
  <c r="D87" i="23"/>
  <c r="A87" i="23"/>
  <c r="J66" i="23"/>
  <c r="I66" i="23"/>
  <c r="H66" i="23"/>
  <c r="G66" i="23"/>
  <c r="F66" i="23"/>
  <c r="E66" i="23"/>
  <c r="D66" i="23"/>
  <c r="A66" i="23"/>
  <c r="J51" i="23"/>
  <c r="I51" i="23"/>
  <c r="H51" i="23"/>
  <c r="G51" i="23"/>
  <c r="F51" i="23"/>
  <c r="E51" i="23"/>
  <c r="D51" i="23"/>
  <c r="A51" i="23"/>
  <c r="J38" i="23"/>
  <c r="I38" i="23"/>
  <c r="H38" i="23"/>
  <c r="G38" i="23"/>
  <c r="F38" i="23"/>
  <c r="E38" i="23"/>
  <c r="D38" i="23"/>
  <c r="A38" i="23"/>
  <c r="J25" i="23"/>
  <c r="I25" i="23"/>
  <c r="H25" i="23"/>
  <c r="G25" i="23"/>
  <c r="F25" i="23"/>
  <c r="E25" i="23"/>
  <c r="D25" i="23"/>
  <c r="A25" i="23"/>
  <c r="J10" i="23"/>
  <c r="I10" i="23"/>
  <c r="H10" i="23"/>
  <c r="G10" i="23"/>
  <c r="F10" i="23"/>
  <c r="E10" i="23"/>
  <c r="D10" i="23"/>
  <c r="A10" i="23"/>
  <c r="J259" i="23"/>
  <c r="I259" i="23"/>
  <c r="H259" i="23"/>
  <c r="F259" i="23"/>
  <c r="D259" i="23"/>
  <c r="A259" i="23"/>
  <c r="J251" i="23"/>
  <c r="I251" i="23"/>
  <c r="H251" i="23"/>
  <c r="F251" i="23"/>
  <c r="D251" i="23"/>
  <c r="A251" i="23"/>
  <c r="J238" i="23"/>
  <c r="I238" i="23"/>
  <c r="H238" i="23"/>
  <c r="F238" i="23"/>
  <c r="D238" i="23"/>
  <c r="A238" i="23"/>
  <c r="J198" i="23"/>
  <c r="I198" i="23"/>
  <c r="H198" i="23"/>
  <c r="F198" i="23"/>
  <c r="D198" i="23"/>
  <c r="A198" i="23"/>
  <c r="J187" i="23"/>
  <c r="I187" i="23"/>
  <c r="H187" i="23"/>
  <c r="F187" i="23"/>
  <c r="D187" i="23"/>
  <c r="A187" i="23"/>
  <c r="J174" i="23"/>
  <c r="I174" i="23"/>
  <c r="H174" i="23"/>
  <c r="F174" i="23"/>
  <c r="D174" i="23"/>
  <c r="A174" i="23"/>
  <c r="J160" i="23"/>
  <c r="I160" i="23"/>
  <c r="H160" i="23"/>
  <c r="F160" i="23"/>
  <c r="D160" i="23"/>
  <c r="A160" i="23"/>
  <c r="J146" i="23"/>
  <c r="I146" i="23"/>
  <c r="H146" i="23"/>
  <c r="F146" i="23"/>
  <c r="D146" i="23"/>
  <c r="A146" i="23"/>
  <c r="J133" i="23"/>
  <c r="I133" i="23"/>
  <c r="H133" i="23"/>
  <c r="F133" i="23"/>
  <c r="D133" i="23"/>
  <c r="A133" i="23"/>
  <c r="J128" i="23"/>
  <c r="I128" i="23"/>
  <c r="H128" i="23"/>
  <c r="G128" i="23"/>
  <c r="F128" i="23"/>
  <c r="E128" i="23"/>
  <c r="D128" i="23"/>
  <c r="A128" i="23"/>
  <c r="J129" i="23"/>
  <c r="I129" i="23"/>
  <c r="H129" i="23"/>
  <c r="G129" i="23"/>
  <c r="F129" i="23"/>
  <c r="E129" i="23"/>
  <c r="D129" i="23"/>
  <c r="A129" i="23"/>
  <c r="J120" i="23"/>
  <c r="I120" i="23"/>
  <c r="H120" i="23"/>
  <c r="G120" i="23"/>
  <c r="F120" i="23"/>
  <c r="D120" i="23"/>
  <c r="A120" i="23"/>
  <c r="J81" i="23"/>
  <c r="I81" i="23"/>
  <c r="H81" i="23"/>
  <c r="G81" i="23"/>
  <c r="F81" i="23"/>
  <c r="E81" i="23"/>
  <c r="D81" i="23"/>
  <c r="A81" i="23"/>
  <c r="J68" i="23"/>
  <c r="I68" i="23"/>
  <c r="H68" i="23"/>
  <c r="G68" i="23"/>
  <c r="F68" i="23"/>
  <c r="E68" i="23"/>
  <c r="D68" i="23"/>
  <c r="A68" i="23"/>
  <c r="J57" i="23"/>
  <c r="I57" i="23"/>
  <c r="H57" i="23"/>
  <c r="G57" i="23"/>
  <c r="F57" i="23"/>
  <c r="D57" i="23"/>
  <c r="A57" i="23"/>
  <c r="J17" i="23"/>
  <c r="I17" i="23"/>
  <c r="H17" i="23"/>
  <c r="G17" i="23"/>
  <c r="F17" i="23"/>
  <c r="E17" i="23"/>
  <c r="D17" i="23"/>
  <c r="A17" i="23"/>
  <c r="J6" i="23"/>
  <c r="I6" i="23"/>
  <c r="H6" i="23"/>
  <c r="G6" i="23"/>
  <c r="F6" i="23"/>
  <c r="E6" i="23"/>
  <c r="D6" i="23"/>
  <c r="A6" i="23"/>
  <c r="J2" i="23"/>
  <c r="I2" i="23"/>
  <c r="H2" i="23"/>
  <c r="F2" i="23"/>
  <c r="D2" i="23"/>
  <c r="A2" i="23"/>
  <c r="J260" i="23"/>
  <c r="I260" i="23"/>
  <c r="H260" i="23"/>
  <c r="G260" i="23"/>
  <c r="F260" i="23"/>
  <c r="D260" i="23"/>
  <c r="A260" i="23"/>
  <c r="J254" i="23"/>
  <c r="I254" i="23"/>
  <c r="H254" i="23"/>
  <c r="F254" i="23"/>
  <c r="D254" i="23"/>
  <c r="A254" i="23"/>
  <c r="J241" i="23"/>
  <c r="I241" i="23"/>
  <c r="H241" i="23"/>
  <c r="F241" i="23"/>
  <c r="E241" i="23"/>
  <c r="D241" i="23"/>
  <c r="A241" i="23"/>
  <c r="J228" i="23"/>
  <c r="I228" i="23"/>
  <c r="H228" i="23"/>
  <c r="F228" i="23"/>
  <c r="D228" i="23"/>
  <c r="A228" i="23"/>
  <c r="J215" i="23"/>
  <c r="I215" i="23"/>
  <c r="H215" i="23"/>
  <c r="G215" i="23"/>
  <c r="F215" i="23"/>
  <c r="D215" i="23"/>
  <c r="A215" i="23"/>
  <c r="J203" i="23"/>
  <c r="I203" i="23"/>
  <c r="H203" i="23"/>
  <c r="G203" i="23"/>
  <c r="F203" i="23"/>
  <c r="E203" i="23"/>
  <c r="D203" i="23"/>
  <c r="A203" i="23"/>
  <c r="J191" i="23"/>
  <c r="I191" i="23"/>
  <c r="H191" i="23"/>
  <c r="G191" i="23"/>
  <c r="F191" i="23"/>
  <c r="E191" i="23"/>
  <c r="D191" i="23"/>
  <c r="A191" i="23"/>
  <c r="J178" i="23"/>
  <c r="I178" i="23"/>
  <c r="H178" i="23"/>
  <c r="G178" i="23"/>
  <c r="F178" i="23"/>
  <c r="E178" i="23"/>
  <c r="D178" i="23"/>
  <c r="A178" i="23"/>
  <c r="J164" i="23"/>
  <c r="I164" i="23"/>
  <c r="H164" i="23"/>
  <c r="G164" i="23"/>
  <c r="F164" i="23"/>
  <c r="E164" i="23"/>
  <c r="D164" i="23"/>
  <c r="A164" i="23"/>
  <c r="J150" i="23"/>
  <c r="I150" i="23"/>
  <c r="H150" i="23"/>
  <c r="G150" i="23"/>
  <c r="F150" i="23"/>
  <c r="E150" i="23"/>
  <c r="D150" i="23"/>
  <c r="A150" i="23"/>
  <c r="J137" i="23"/>
  <c r="I137" i="23"/>
  <c r="H137" i="23"/>
  <c r="G137" i="23"/>
  <c r="F137" i="23"/>
  <c r="E137" i="23"/>
  <c r="D137" i="23"/>
  <c r="A137" i="23"/>
  <c r="J123" i="23"/>
  <c r="I123" i="23"/>
  <c r="H123" i="23"/>
  <c r="G123" i="23"/>
  <c r="F123" i="23"/>
  <c r="E123" i="23"/>
  <c r="D123" i="23"/>
  <c r="A123" i="23"/>
  <c r="J112" i="23"/>
  <c r="I112" i="23"/>
  <c r="H112" i="23"/>
  <c r="G112" i="23"/>
  <c r="F112" i="23"/>
  <c r="E112" i="23"/>
  <c r="D112" i="23"/>
  <c r="A112" i="23"/>
  <c r="J99" i="23"/>
  <c r="I99" i="23"/>
  <c r="H99" i="23"/>
  <c r="G99" i="23"/>
  <c r="F99" i="23"/>
  <c r="E99" i="23"/>
  <c r="D99" i="23"/>
  <c r="A99" i="23"/>
  <c r="J85" i="23"/>
  <c r="I85" i="23"/>
  <c r="H85" i="23"/>
  <c r="G85" i="23"/>
  <c r="F85" i="23"/>
  <c r="E85" i="23"/>
  <c r="D85" i="23"/>
  <c r="A85" i="23"/>
  <c r="J73" i="23"/>
  <c r="I73" i="23"/>
  <c r="H73" i="23"/>
  <c r="G73" i="23"/>
  <c r="F73" i="23"/>
  <c r="E73" i="23"/>
  <c r="D73" i="23"/>
  <c r="A73" i="23"/>
  <c r="J61" i="23"/>
  <c r="I61" i="23"/>
  <c r="H61" i="23"/>
  <c r="G61" i="23"/>
  <c r="F61" i="23"/>
  <c r="E61" i="23"/>
  <c r="D61" i="23"/>
  <c r="A61" i="23"/>
  <c r="J47" i="23"/>
  <c r="I47" i="23"/>
  <c r="H47" i="23"/>
  <c r="G47" i="23"/>
  <c r="F47" i="23"/>
  <c r="E47" i="23"/>
  <c r="D47" i="23"/>
  <c r="A47" i="23"/>
  <c r="J34" i="23"/>
  <c r="I34" i="23"/>
  <c r="H34" i="23"/>
  <c r="G34" i="23"/>
  <c r="F34" i="23"/>
  <c r="E34" i="23"/>
  <c r="D34" i="23"/>
  <c r="A34" i="23"/>
  <c r="J21" i="23"/>
  <c r="I21" i="23"/>
  <c r="H21" i="23"/>
  <c r="G21" i="23"/>
  <c r="F21" i="23"/>
  <c r="E21" i="23"/>
  <c r="D21" i="23"/>
  <c r="A21" i="23"/>
  <c r="J9" i="23"/>
  <c r="I9" i="23"/>
  <c r="H9" i="23"/>
  <c r="G9" i="23"/>
  <c r="F9" i="23"/>
  <c r="E9" i="23"/>
  <c r="D9" i="23"/>
  <c r="A9" i="23"/>
  <c r="J253" i="23"/>
  <c r="I253" i="23"/>
  <c r="H253" i="23"/>
  <c r="F253" i="23"/>
  <c r="D253" i="23"/>
  <c r="A253" i="23"/>
  <c r="J240" i="23"/>
  <c r="I240" i="23"/>
  <c r="H240" i="23"/>
  <c r="F240" i="23"/>
  <c r="D240" i="23"/>
  <c r="A240" i="23"/>
  <c r="J224" i="23"/>
  <c r="I224" i="23"/>
  <c r="H224" i="23"/>
  <c r="F224" i="23"/>
  <c r="D224" i="23"/>
  <c r="A224" i="23"/>
  <c r="J227" i="23"/>
  <c r="I227" i="23"/>
  <c r="H227" i="23"/>
  <c r="F227" i="23"/>
  <c r="D227" i="23"/>
  <c r="A227" i="23"/>
  <c r="J211" i="23"/>
  <c r="I211" i="23"/>
  <c r="H211" i="23"/>
  <c r="F211" i="23"/>
  <c r="D211" i="23"/>
  <c r="A211" i="23"/>
  <c r="J214" i="23"/>
  <c r="I214" i="23"/>
  <c r="H214" i="23"/>
  <c r="F214" i="23"/>
  <c r="D214" i="23"/>
  <c r="A214" i="23"/>
  <c r="J202" i="23"/>
  <c r="I202" i="23"/>
  <c r="H202" i="23"/>
  <c r="F202" i="23"/>
  <c r="D202" i="23"/>
  <c r="A202" i="23"/>
  <c r="J195" i="23"/>
  <c r="I195" i="23"/>
  <c r="H195" i="23"/>
  <c r="F195" i="23"/>
  <c r="D195" i="23"/>
  <c r="A195" i="23"/>
  <c r="J185" i="23"/>
  <c r="I185" i="23"/>
  <c r="H185" i="23"/>
  <c r="F185" i="23"/>
  <c r="D185" i="23"/>
  <c r="A185" i="23"/>
  <c r="J190" i="23"/>
  <c r="I190" i="23"/>
  <c r="H190" i="23"/>
  <c r="F190" i="23"/>
  <c r="D190" i="23"/>
  <c r="A190" i="23"/>
  <c r="J177" i="23"/>
  <c r="I177" i="23"/>
  <c r="H177" i="23"/>
  <c r="F177" i="23"/>
  <c r="D177" i="23"/>
  <c r="A177" i="23"/>
  <c r="J163" i="23"/>
  <c r="I163" i="23"/>
  <c r="H163" i="23"/>
  <c r="F163" i="23"/>
  <c r="D163" i="23"/>
  <c r="A163" i="23"/>
  <c r="J149" i="23"/>
  <c r="I149" i="23"/>
  <c r="H149" i="23"/>
  <c r="F149" i="23"/>
  <c r="D149" i="23"/>
  <c r="A149" i="23"/>
  <c r="J144" i="23"/>
  <c r="I144" i="23"/>
  <c r="H144" i="23"/>
  <c r="F144" i="23"/>
  <c r="D144" i="23"/>
  <c r="A144" i="23"/>
  <c r="J136" i="23"/>
  <c r="I136" i="23"/>
  <c r="H136" i="23"/>
  <c r="F136" i="23"/>
  <c r="D136" i="23"/>
  <c r="A136" i="23"/>
  <c r="J131" i="23"/>
  <c r="I131" i="23"/>
  <c r="H131" i="23"/>
  <c r="F131" i="23"/>
  <c r="D131" i="23"/>
  <c r="A131" i="23"/>
  <c r="J119" i="23"/>
  <c r="I119" i="23"/>
  <c r="H119" i="23"/>
  <c r="G119" i="23"/>
  <c r="F119" i="23"/>
  <c r="E119" i="23"/>
  <c r="D119" i="23"/>
  <c r="A119" i="23"/>
  <c r="J122" i="23"/>
  <c r="I122" i="23"/>
  <c r="H122" i="23"/>
  <c r="G122" i="23"/>
  <c r="F122" i="23"/>
  <c r="E122" i="23"/>
  <c r="D122" i="23"/>
  <c r="A122" i="23"/>
  <c r="J107" i="23"/>
  <c r="I107" i="23"/>
  <c r="H107" i="23"/>
  <c r="G107" i="23"/>
  <c r="F107" i="23"/>
  <c r="E107" i="23"/>
  <c r="D107" i="23"/>
  <c r="A107" i="23"/>
  <c r="J111" i="23"/>
  <c r="I111" i="23"/>
  <c r="H111" i="23"/>
  <c r="G111" i="23"/>
  <c r="F111" i="23"/>
  <c r="E111" i="23"/>
  <c r="D111" i="23"/>
  <c r="A111" i="23"/>
  <c r="J98" i="23"/>
  <c r="I98" i="23"/>
  <c r="H98" i="23"/>
  <c r="F98" i="23"/>
  <c r="D98" i="23"/>
  <c r="A98" i="23"/>
  <c r="J93" i="23"/>
  <c r="I93" i="23"/>
  <c r="H93" i="23"/>
  <c r="F93" i="23"/>
  <c r="D93" i="23"/>
  <c r="A93" i="23"/>
  <c r="J84" i="23"/>
  <c r="I84" i="23"/>
  <c r="H84" i="23"/>
  <c r="F84" i="23"/>
  <c r="D84" i="23"/>
  <c r="A84" i="23"/>
  <c r="J79" i="23"/>
  <c r="I79" i="23"/>
  <c r="H79" i="23"/>
  <c r="F79" i="23"/>
  <c r="D79" i="23"/>
  <c r="A79" i="23"/>
  <c r="J65" i="23"/>
  <c r="I65" i="23"/>
  <c r="H65" i="23"/>
  <c r="G65" i="23"/>
  <c r="F65" i="23"/>
  <c r="E65" i="23"/>
  <c r="D65" i="23"/>
  <c r="A65" i="23"/>
  <c r="J72" i="23"/>
  <c r="I72" i="23"/>
  <c r="H72" i="23"/>
  <c r="G72" i="23"/>
  <c r="F72" i="23"/>
  <c r="E72" i="23"/>
  <c r="D72" i="23"/>
  <c r="A72" i="23"/>
  <c r="J55" i="23"/>
  <c r="I55" i="23"/>
  <c r="H55" i="23"/>
  <c r="G55" i="23"/>
  <c r="F55" i="23"/>
  <c r="E55" i="23"/>
  <c r="D55" i="23"/>
  <c r="A55" i="23"/>
  <c r="J60" i="23"/>
  <c r="I60" i="23"/>
  <c r="H60" i="23"/>
  <c r="G60" i="23"/>
  <c r="F60" i="23"/>
  <c r="E60" i="23"/>
  <c r="D60" i="23"/>
  <c r="A60" i="23"/>
  <c r="J46" i="23"/>
  <c r="I46" i="23"/>
  <c r="H46" i="23"/>
  <c r="G46" i="23"/>
  <c r="F46" i="23"/>
  <c r="E46" i="23"/>
  <c r="D46" i="23"/>
  <c r="A46" i="23"/>
  <c r="J33" i="23"/>
  <c r="I33" i="23"/>
  <c r="H33" i="23"/>
  <c r="G33" i="23"/>
  <c r="F33" i="23"/>
  <c r="E33" i="23"/>
  <c r="D33" i="23"/>
  <c r="A33" i="23"/>
  <c r="J20" i="23"/>
  <c r="I20" i="23"/>
  <c r="H20" i="23"/>
  <c r="G20" i="23"/>
  <c r="F20" i="23"/>
  <c r="E20" i="23"/>
  <c r="D20" i="23"/>
  <c r="A20" i="23"/>
  <c r="J8" i="23"/>
  <c r="I8" i="23"/>
  <c r="H8" i="23"/>
  <c r="G8" i="23"/>
  <c r="F8" i="23"/>
  <c r="E8" i="23"/>
  <c r="D8" i="23"/>
  <c r="A8" i="23"/>
  <c r="J252" i="23"/>
  <c r="I252" i="23"/>
  <c r="H252" i="23"/>
  <c r="F252" i="23"/>
  <c r="D252" i="23"/>
  <c r="A252" i="23"/>
  <c r="J249" i="23"/>
  <c r="I249" i="23"/>
  <c r="H249" i="23"/>
  <c r="F249" i="23"/>
  <c r="D249" i="23"/>
  <c r="A249" i="23"/>
  <c r="J239" i="23"/>
  <c r="I239" i="23"/>
  <c r="H239" i="23"/>
  <c r="F239" i="23"/>
  <c r="D239" i="23"/>
  <c r="A239" i="23"/>
  <c r="J236" i="23"/>
  <c r="I236" i="23"/>
  <c r="H236" i="23"/>
  <c r="F236" i="23"/>
  <c r="D236" i="23"/>
  <c r="A236" i="23"/>
  <c r="J222" i="23"/>
  <c r="I222" i="23"/>
  <c r="H222" i="23"/>
  <c r="F222" i="23"/>
  <c r="D222" i="23"/>
  <c r="A222" i="23"/>
  <c r="J225" i="23"/>
  <c r="I225" i="23"/>
  <c r="H225" i="23"/>
  <c r="F225" i="23"/>
  <c r="D225" i="23"/>
  <c r="A225" i="23"/>
  <c r="J209" i="23"/>
  <c r="I209" i="23"/>
  <c r="H209" i="23"/>
  <c r="F209" i="23"/>
  <c r="D209" i="23"/>
  <c r="A209" i="23"/>
  <c r="J212" i="23"/>
  <c r="I212" i="23"/>
  <c r="H212" i="23"/>
  <c r="F212" i="23"/>
  <c r="D212" i="23"/>
  <c r="A212" i="23"/>
  <c r="J200" i="23"/>
  <c r="I200" i="23"/>
  <c r="H200" i="23"/>
  <c r="F200" i="23"/>
  <c r="D200" i="23"/>
  <c r="A200" i="23"/>
  <c r="J188" i="23"/>
  <c r="I188" i="23"/>
  <c r="H188" i="23"/>
  <c r="F188" i="23"/>
  <c r="D188" i="23"/>
  <c r="A188" i="23"/>
  <c r="J175" i="23"/>
  <c r="I175" i="23"/>
  <c r="H175" i="23"/>
  <c r="F175" i="23"/>
  <c r="D175" i="23"/>
  <c r="A175" i="23"/>
  <c r="J172" i="23"/>
  <c r="I172" i="23"/>
  <c r="H172" i="23"/>
  <c r="F172" i="23"/>
  <c r="D172" i="23"/>
  <c r="A172" i="23"/>
  <c r="J158" i="23"/>
  <c r="I158" i="23"/>
  <c r="H158" i="23"/>
  <c r="F158" i="23"/>
  <c r="D158" i="23"/>
  <c r="A158" i="23"/>
  <c r="J161" i="23"/>
  <c r="I161" i="23"/>
  <c r="H161" i="23"/>
  <c r="F161" i="23"/>
  <c r="D161" i="23"/>
  <c r="A161" i="23"/>
  <c r="J147" i="23"/>
  <c r="I147" i="23"/>
  <c r="H147" i="23"/>
  <c r="F147" i="23"/>
  <c r="D147" i="23"/>
  <c r="A147" i="23"/>
  <c r="J134" i="23"/>
  <c r="I134" i="23"/>
  <c r="H134" i="23"/>
  <c r="F134" i="23"/>
  <c r="D134" i="23"/>
  <c r="A134" i="23"/>
  <c r="J126" i="23"/>
  <c r="I126" i="23"/>
  <c r="H126" i="23"/>
  <c r="F126" i="23"/>
  <c r="E126" i="23"/>
  <c r="D126" i="23"/>
  <c r="B126" i="23"/>
  <c r="A126" i="23"/>
  <c r="J121" i="23"/>
  <c r="I121" i="23"/>
  <c r="H121" i="23"/>
  <c r="F121" i="23"/>
  <c r="D121" i="23"/>
  <c r="A121" i="23"/>
  <c r="J115" i="23"/>
  <c r="I115" i="23"/>
  <c r="H115" i="23"/>
  <c r="F115" i="23"/>
  <c r="D115" i="23"/>
  <c r="A115" i="23"/>
  <c r="J109" i="23"/>
  <c r="I109" i="23"/>
  <c r="H109" i="23"/>
  <c r="F109" i="23"/>
  <c r="D109" i="23"/>
  <c r="A109" i="23"/>
  <c r="J110" i="23"/>
  <c r="I110" i="23"/>
  <c r="H110" i="23"/>
  <c r="F110" i="23"/>
  <c r="D110" i="23"/>
  <c r="A110" i="23"/>
  <c r="J95" i="23"/>
  <c r="I95" i="23"/>
  <c r="H95" i="23"/>
  <c r="F95" i="23"/>
  <c r="D95" i="23"/>
  <c r="A95" i="23"/>
  <c r="J96" i="23"/>
  <c r="I96" i="23"/>
  <c r="H96" i="23"/>
  <c r="G96" i="23"/>
  <c r="F96" i="23"/>
  <c r="E96" i="23"/>
  <c r="D96" i="23"/>
  <c r="A96" i="23"/>
  <c r="J82" i="23"/>
  <c r="I82" i="23"/>
  <c r="H82" i="23"/>
  <c r="G82" i="23"/>
  <c r="F82" i="23"/>
  <c r="E82" i="23"/>
  <c r="D82" i="23"/>
  <c r="A82" i="23"/>
  <c r="J70" i="23"/>
  <c r="I70" i="23"/>
  <c r="H70" i="23"/>
  <c r="F70" i="23"/>
  <c r="D70" i="23"/>
  <c r="A70" i="23"/>
  <c r="J58" i="23"/>
  <c r="I58" i="23"/>
  <c r="H58" i="23"/>
  <c r="F58" i="23"/>
  <c r="D58" i="23"/>
  <c r="A58" i="23"/>
  <c r="J44" i="23"/>
  <c r="I44" i="23"/>
  <c r="H44" i="23"/>
  <c r="G44" i="23"/>
  <c r="F44" i="23"/>
  <c r="E44" i="23"/>
  <c r="D44" i="23"/>
  <c r="A44" i="23"/>
  <c r="J43" i="23"/>
  <c r="I43" i="23"/>
  <c r="H43" i="23"/>
  <c r="G43" i="23"/>
  <c r="F43" i="23"/>
  <c r="E43" i="23"/>
  <c r="D43" i="23"/>
  <c r="A43" i="23"/>
  <c r="J30" i="23"/>
  <c r="I30" i="23"/>
  <c r="H30" i="23"/>
  <c r="G30" i="23"/>
  <c r="F30" i="23"/>
  <c r="E30" i="23"/>
  <c r="D30" i="23"/>
  <c r="A30" i="23"/>
  <c r="J31" i="23"/>
  <c r="I31" i="23"/>
  <c r="H31" i="23"/>
  <c r="G31" i="23"/>
  <c r="F31" i="23"/>
  <c r="E31" i="23"/>
  <c r="D31" i="23"/>
  <c r="A31" i="23"/>
  <c r="J18" i="23"/>
  <c r="I18" i="23"/>
  <c r="H18" i="23"/>
  <c r="G18" i="23"/>
  <c r="F18" i="23"/>
  <c r="E18" i="23"/>
  <c r="D18" i="23"/>
  <c r="A18" i="23"/>
  <c r="J7" i="23"/>
  <c r="I7" i="23"/>
  <c r="H7" i="23"/>
  <c r="G7" i="23"/>
  <c r="F7" i="23"/>
  <c r="E7" i="23"/>
  <c r="D7" i="23"/>
  <c r="A7" i="23"/>
  <c r="J256" i="23"/>
  <c r="I256" i="23"/>
  <c r="H256" i="23"/>
  <c r="F256" i="23"/>
  <c r="D256" i="23"/>
  <c r="A256" i="23"/>
  <c r="J226" i="23"/>
  <c r="I226" i="23"/>
  <c r="H226" i="23"/>
  <c r="F226" i="23"/>
  <c r="D226" i="23"/>
  <c r="A226" i="23"/>
  <c r="J213" i="23"/>
  <c r="I213" i="23"/>
  <c r="H213" i="23"/>
  <c r="F213" i="23"/>
  <c r="D213" i="23"/>
  <c r="A213" i="23"/>
  <c r="J201" i="23"/>
  <c r="I201" i="23"/>
  <c r="H201" i="23"/>
  <c r="F201" i="23"/>
  <c r="D201" i="23"/>
  <c r="A201" i="23"/>
  <c r="J189" i="23"/>
  <c r="I189" i="23"/>
  <c r="H189" i="23"/>
  <c r="F189" i="23"/>
  <c r="D189" i="23"/>
  <c r="A189" i="23"/>
  <c r="J176" i="23"/>
  <c r="I176" i="23"/>
  <c r="H176" i="23"/>
  <c r="F176" i="23"/>
  <c r="D176" i="23"/>
  <c r="A176" i="23"/>
  <c r="J162" i="23"/>
  <c r="I162" i="23"/>
  <c r="H162" i="23"/>
  <c r="F162" i="23"/>
  <c r="D162" i="23"/>
  <c r="A162" i="23"/>
  <c r="J148" i="23"/>
  <c r="I148" i="23"/>
  <c r="H148" i="23"/>
  <c r="F148" i="23"/>
  <c r="D148" i="23"/>
  <c r="A148" i="23"/>
  <c r="J135" i="23"/>
  <c r="I135" i="23"/>
  <c r="H135" i="23"/>
  <c r="F135" i="23"/>
  <c r="D135" i="23"/>
  <c r="A135" i="23"/>
  <c r="J130" i="23"/>
  <c r="I130" i="23"/>
  <c r="H130" i="23"/>
  <c r="G130" i="23"/>
  <c r="F130" i="23"/>
  <c r="E130" i="23"/>
  <c r="D130" i="23"/>
  <c r="A130" i="23"/>
  <c r="J125" i="23"/>
  <c r="I125" i="23"/>
  <c r="H125" i="23"/>
  <c r="G125" i="23"/>
  <c r="F125" i="23"/>
  <c r="E125" i="23"/>
  <c r="D125" i="23"/>
  <c r="A125" i="23"/>
  <c r="J97" i="23"/>
  <c r="I97" i="23"/>
  <c r="H97" i="23"/>
  <c r="F97" i="23"/>
  <c r="D97" i="23"/>
  <c r="A97" i="23"/>
  <c r="J83" i="23"/>
  <c r="I83" i="23"/>
  <c r="H83" i="23"/>
  <c r="F83" i="23"/>
  <c r="E83" i="23"/>
  <c r="D83" i="23"/>
  <c r="A83" i="23"/>
  <c r="J71" i="23"/>
  <c r="I71" i="23"/>
  <c r="H71" i="23"/>
  <c r="G71" i="23"/>
  <c r="F71" i="23"/>
  <c r="E71" i="23"/>
  <c r="D71" i="23"/>
  <c r="A71" i="23"/>
  <c r="J59" i="23"/>
  <c r="I59" i="23"/>
  <c r="H59" i="23"/>
  <c r="F59" i="23"/>
  <c r="D59" i="23"/>
  <c r="A59" i="23"/>
  <c r="J45" i="23"/>
  <c r="I45" i="23"/>
  <c r="H45" i="23"/>
  <c r="F45" i="23"/>
  <c r="E45" i="23"/>
  <c r="D45" i="23"/>
  <c r="A45" i="23"/>
  <c r="J32" i="23"/>
  <c r="I32" i="23"/>
  <c r="H32" i="23"/>
  <c r="G32" i="23"/>
  <c r="F32" i="23"/>
  <c r="E32" i="23"/>
  <c r="D32" i="23"/>
  <c r="A32" i="23"/>
  <c r="J19" i="23"/>
  <c r="I19" i="23"/>
  <c r="H19" i="23"/>
  <c r="F19" i="23"/>
  <c r="D19" i="23"/>
  <c r="A19" i="23"/>
  <c r="J250" i="23"/>
  <c r="I250" i="23"/>
  <c r="H250" i="23"/>
  <c r="G250" i="23"/>
  <c r="F250" i="23"/>
  <c r="E250" i="23"/>
  <c r="D250" i="23"/>
  <c r="A250" i="23"/>
  <c r="J237" i="23"/>
  <c r="I237" i="23"/>
  <c r="H237" i="23"/>
  <c r="G237" i="23"/>
  <c r="F237" i="23"/>
  <c r="E237" i="23"/>
  <c r="D237" i="23"/>
  <c r="A237" i="23"/>
  <c r="J223" i="23"/>
  <c r="I223" i="23"/>
  <c r="H223" i="23"/>
  <c r="G223" i="23"/>
  <c r="F223" i="23"/>
  <c r="E223" i="23"/>
  <c r="D223" i="23"/>
  <c r="A223" i="23"/>
  <c r="J210" i="23"/>
  <c r="I210" i="23"/>
  <c r="H210" i="23"/>
  <c r="G210" i="23"/>
  <c r="F210" i="23"/>
  <c r="E210" i="23"/>
  <c r="D210" i="23"/>
  <c r="A210" i="23"/>
  <c r="J197" i="23"/>
  <c r="I197" i="23"/>
  <c r="H197" i="23"/>
  <c r="G197" i="23"/>
  <c r="F197" i="23"/>
  <c r="E197" i="23"/>
  <c r="D197" i="23"/>
  <c r="A197" i="23"/>
  <c r="J186" i="23"/>
  <c r="I186" i="23"/>
  <c r="H186" i="23"/>
  <c r="G186" i="23"/>
  <c r="F186" i="23"/>
  <c r="E186" i="23"/>
  <c r="D186" i="23"/>
  <c r="A186" i="23"/>
  <c r="J173" i="23"/>
  <c r="I173" i="23"/>
  <c r="H173" i="23"/>
  <c r="G173" i="23"/>
  <c r="F173" i="23"/>
  <c r="E173" i="23"/>
  <c r="D173" i="23"/>
  <c r="A173" i="23"/>
  <c r="J159" i="23"/>
  <c r="I159" i="23"/>
  <c r="H159" i="23"/>
  <c r="G159" i="23"/>
  <c r="F159" i="23"/>
  <c r="E159" i="23"/>
  <c r="D159" i="23"/>
  <c r="A159" i="23"/>
  <c r="J145" i="23"/>
  <c r="I145" i="23"/>
  <c r="H145" i="23"/>
  <c r="G145" i="23"/>
  <c r="F145" i="23"/>
  <c r="E145" i="23"/>
  <c r="D145" i="23"/>
  <c r="A145" i="23"/>
  <c r="J132" i="23"/>
  <c r="I132" i="23"/>
  <c r="H132" i="23"/>
  <c r="G132" i="23"/>
  <c r="F132" i="23"/>
  <c r="E132" i="23"/>
  <c r="D132" i="23"/>
  <c r="A132" i="23"/>
  <c r="J242" i="23"/>
  <c r="I242" i="23"/>
  <c r="H242" i="23"/>
  <c r="F242" i="23"/>
  <c r="D242" i="23"/>
  <c r="A242" i="23"/>
  <c r="J229" i="23"/>
  <c r="I229" i="23"/>
  <c r="H229" i="23"/>
  <c r="F229" i="23"/>
  <c r="D229" i="23"/>
  <c r="A229" i="23"/>
  <c r="J204" i="23"/>
  <c r="I204" i="23"/>
  <c r="H204" i="23"/>
  <c r="F204" i="23"/>
  <c r="D204" i="23"/>
  <c r="A204" i="23"/>
  <c r="J192" i="23"/>
  <c r="I192" i="23"/>
  <c r="H192" i="23"/>
  <c r="F192" i="23"/>
  <c r="D192" i="23"/>
  <c r="A192" i="23"/>
  <c r="J165" i="23"/>
  <c r="I165" i="23"/>
  <c r="H165" i="23"/>
  <c r="F165" i="23"/>
  <c r="D165" i="23"/>
  <c r="A165" i="23"/>
  <c r="J151" i="23"/>
  <c r="I151" i="23"/>
  <c r="H151" i="23"/>
  <c r="F151" i="23"/>
  <c r="E151" i="23"/>
  <c r="D151" i="23"/>
  <c r="A151" i="23"/>
  <c r="J100" i="23"/>
  <c r="I100" i="23"/>
  <c r="H100" i="23"/>
  <c r="F100" i="23"/>
  <c r="D100" i="23"/>
  <c r="A100" i="23"/>
  <c r="J86" i="23"/>
  <c r="I86" i="23"/>
  <c r="H86" i="23"/>
  <c r="G86" i="23"/>
  <c r="F86" i="23"/>
  <c r="E86" i="23"/>
  <c r="D86" i="23"/>
  <c r="A86" i="23"/>
  <c r="J74" i="23"/>
  <c r="I74" i="23"/>
  <c r="H74" i="23"/>
  <c r="G74" i="23"/>
  <c r="F74" i="23"/>
  <c r="E74" i="23"/>
  <c r="D74" i="23"/>
  <c r="A74" i="23"/>
  <c r="J62" i="23"/>
  <c r="I62" i="23"/>
  <c r="H62" i="23"/>
  <c r="G62" i="23"/>
  <c r="F62" i="23"/>
  <c r="D62" i="23"/>
  <c r="A62" i="23"/>
  <c r="J48" i="23"/>
  <c r="I48" i="23"/>
  <c r="H48" i="23"/>
  <c r="G48" i="23"/>
  <c r="F48" i="23"/>
  <c r="E48" i="23"/>
  <c r="D48" i="23"/>
  <c r="A48" i="23"/>
  <c r="J35" i="23"/>
  <c r="I35" i="23"/>
  <c r="H35" i="23"/>
  <c r="G35" i="23"/>
  <c r="F35" i="23"/>
  <c r="E35" i="23"/>
  <c r="D35" i="23"/>
  <c r="A35" i="23"/>
  <c r="J22" i="23"/>
  <c r="I22" i="23"/>
  <c r="H22" i="23"/>
  <c r="G22" i="23"/>
  <c r="F22" i="23"/>
  <c r="D22" i="23"/>
  <c r="A22" i="23"/>
  <c r="J108" i="23"/>
  <c r="I108" i="23"/>
  <c r="H108" i="23"/>
  <c r="G108" i="23"/>
  <c r="F108" i="23"/>
  <c r="E108" i="23"/>
  <c r="D108" i="23"/>
  <c r="A108" i="23"/>
  <c r="J94" i="23"/>
  <c r="I94" i="23"/>
  <c r="H94" i="23"/>
  <c r="G94" i="23"/>
  <c r="F94" i="23"/>
  <c r="E94" i="23"/>
  <c r="D94" i="23"/>
  <c r="A94" i="23"/>
  <c r="J80" i="23"/>
  <c r="I80" i="23"/>
  <c r="H80" i="23"/>
  <c r="F80" i="23"/>
  <c r="D80" i="23"/>
  <c r="A80" i="23"/>
  <c r="J67" i="23"/>
  <c r="I67" i="23"/>
  <c r="H67" i="23"/>
  <c r="F67" i="23"/>
  <c r="E67" i="23"/>
  <c r="D67" i="23"/>
  <c r="A67" i="23"/>
  <c r="J56" i="23"/>
  <c r="I56" i="23"/>
  <c r="H56" i="23"/>
  <c r="G56" i="23"/>
  <c r="F56" i="23"/>
  <c r="E56" i="23"/>
  <c r="D56" i="23"/>
  <c r="A56" i="23"/>
  <c r="J42" i="23"/>
  <c r="I42" i="23"/>
  <c r="H42" i="23"/>
  <c r="F42" i="23"/>
  <c r="D42" i="23"/>
  <c r="A42" i="23"/>
  <c r="J29" i="23"/>
  <c r="I29" i="23"/>
  <c r="H29" i="23"/>
  <c r="F29" i="23"/>
  <c r="E29" i="23"/>
  <c r="D29" i="23"/>
  <c r="A29" i="23"/>
  <c r="J16" i="23"/>
  <c r="I16" i="23"/>
  <c r="H16" i="23"/>
  <c r="G16" i="23"/>
  <c r="F16" i="23"/>
  <c r="E16" i="23"/>
  <c r="D16" i="23"/>
  <c r="A16" i="23"/>
  <c r="J5" i="23"/>
  <c r="I5" i="23"/>
  <c r="H5" i="23"/>
  <c r="F5" i="23"/>
  <c r="D5" i="23"/>
  <c r="A5" i="23"/>
  <c r="J244" i="23"/>
  <c r="I244" i="23"/>
  <c r="H244" i="23"/>
  <c r="G244" i="23"/>
  <c r="F244" i="23"/>
  <c r="E244" i="23"/>
  <c r="D244" i="23"/>
  <c r="A244" i="23"/>
  <c r="J231" i="23"/>
  <c r="I231" i="23"/>
  <c r="H231" i="23"/>
  <c r="G231" i="23"/>
  <c r="F231" i="23"/>
  <c r="E231" i="23"/>
  <c r="D231" i="23"/>
  <c r="A231" i="23"/>
  <c r="J219" i="23"/>
  <c r="I219" i="23"/>
  <c r="H219" i="23"/>
  <c r="G219" i="23"/>
  <c r="F219" i="23"/>
  <c r="E219" i="23"/>
  <c r="D219" i="23"/>
  <c r="A219" i="23"/>
  <c r="J208" i="23"/>
  <c r="I208" i="23"/>
  <c r="H208" i="23"/>
  <c r="G208" i="23"/>
  <c r="F208" i="23"/>
  <c r="E208" i="23"/>
  <c r="D208" i="23"/>
  <c r="A208" i="23"/>
  <c r="J194" i="23"/>
  <c r="I194" i="23"/>
  <c r="H194" i="23"/>
  <c r="G194" i="23"/>
  <c r="F194" i="23"/>
  <c r="E194" i="23"/>
  <c r="D194" i="23"/>
  <c r="A194" i="23"/>
  <c r="J180" i="23"/>
  <c r="I180" i="23"/>
  <c r="H180" i="23"/>
  <c r="G180" i="23"/>
  <c r="F180" i="23"/>
  <c r="E180" i="23"/>
  <c r="D180" i="23"/>
  <c r="A180" i="23"/>
  <c r="J153" i="23"/>
  <c r="I153" i="23"/>
  <c r="H153" i="23"/>
  <c r="F153" i="23"/>
  <c r="D153" i="23"/>
  <c r="A153" i="23"/>
  <c r="J143" i="23"/>
  <c r="I143" i="23"/>
  <c r="H143" i="23"/>
  <c r="F143" i="23"/>
  <c r="D143" i="23"/>
  <c r="A143" i="23"/>
  <c r="J124" i="23"/>
  <c r="I124" i="23"/>
  <c r="H124" i="23"/>
  <c r="F124" i="23"/>
  <c r="D124" i="23"/>
  <c r="A124" i="23"/>
  <c r="J113" i="23"/>
  <c r="I113" i="23"/>
  <c r="H113" i="23"/>
  <c r="F113" i="23"/>
  <c r="D113" i="23"/>
  <c r="A113" i="23"/>
  <c r="J114" i="23"/>
  <c r="I114" i="23"/>
  <c r="H114" i="23"/>
  <c r="F114" i="23"/>
  <c r="D114" i="23"/>
  <c r="A114" i="23"/>
  <c r="J78" i="23"/>
  <c r="I78" i="23"/>
  <c r="H78" i="23"/>
  <c r="F78" i="23"/>
  <c r="D78" i="23"/>
  <c r="A78" i="23"/>
  <c r="J64" i="23"/>
  <c r="I64" i="23"/>
  <c r="H64" i="23"/>
  <c r="F64" i="23"/>
  <c r="D64" i="23"/>
  <c r="A64" i="23"/>
  <c r="J24" i="23"/>
  <c r="I24" i="23"/>
  <c r="H24" i="23"/>
  <c r="F24" i="23"/>
  <c r="D24" i="23"/>
  <c r="A24" i="23"/>
  <c r="J15" i="23"/>
  <c r="I15" i="23"/>
  <c r="H15" i="23"/>
  <c r="F15" i="23"/>
  <c r="D15" i="23"/>
  <c r="A15" i="23"/>
  <c r="J261" i="23"/>
  <c r="I261" i="23"/>
  <c r="H261" i="23"/>
  <c r="G261" i="23"/>
  <c r="F261" i="23"/>
  <c r="E261" i="23"/>
  <c r="D261" i="23"/>
  <c r="A261" i="23"/>
  <c r="J255" i="23"/>
  <c r="I255" i="23"/>
  <c r="H255" i="23"/>
  <c r="F255" i="23"/>
  <c r="E255" i="23"/>
  <c r="D255" i="23"/>
  <c r="A255" i="23"/>
  <c r="J243" i="23"/>
  <c r="I243" i="23"/>
  <c r="H243" i="23"/>
  <c r="G243" i="23"/>
  <c r="F243" i="23"/>
  <c r="E243" i="23"/>
  <c r="D243" i="23"/>
  <c r="A243" i="23"/>
  <c r="J230" i="23"/>
  <c r="I230" i="23"/>
  <c r="H230" i="23"/>
  <c r="G230" i="23"/>
  <c r="F230" i="23"/>
  <c r="E230" i="23"/>
  <c r="D230" i="23"/>
  <c r="A230" i="23"/>
  <c r="J217" i="23"/>
  <c r="I217" i="23"/>
  <c r="H217" i="23"/>
  <c r="G217" i="23"/>
  <c r="F217" i="23"/>
  <c r="E217" i="23"/>
  <c r="D217" i="23"/>
  <c r="A217" i="23"/>
  <c r="J207" i="23"/>
  <c r="I207" i="23"/>
  <c r="H207" i="23"/>
  <c r="F207" i="23"/>
  <c r="E207" i="23"/>
  <c r="D207" i="23"/>
  <c r="A207" i="23"/>
  <c r="J193" i="23"/>
  <c r="I193" i="23"/>
  <c r="H193" i="23"/>
  <c r="G193" i="23"/>
  <c r="F193" i="23"/>
  <c r="E193" i="23"/>
  <c r="D193" i="23"/>
  <c r="A193" i="23"/>
  <c r="J179" i="23"/>
  <c r="I179" i="23"/>
  <c r="H179" i="23"/>
  <c r="G179" i="23"/>
  <c r="F179" i="23"/>
  <c r="E179" i="23"/>
  <c r="D179" i="23"/>
  <c r="A179" i="23"/>
  <c r="J166" i="23"/>
  <c r="I166" i="23"/>
  <c r="H166" i="23"/>
  <c r="G166" i="23"/>
  <c r="F166" i="23"/>
  <c r="E166" i="23"/>
  <c r="D166" i="23"/>
  <c r="A166" i="23"/>
  <c r="J167" i="23"/>
  <c r="I167" i="23"/>
  <c r="H167" i="23"/>
  <c r="G167" i="23"/>
  <c r="F167" i="23"/>
  <c r="E167" i="23"/>
  <c r="D167" i="23"/>
  <c r="A167" i="23"/>
  <c r="J152" i="23"/>
  <c r="I152" i="23"/>
  <c r="H152" i="23"/>
  <c r="G152" i="23"/>
  <c r="F152" i="23"/>
  <c r="E152" i="23"/>
  <c r="D152" i="23"/>
  <c r="A152" i="23"/>
  <c r="J142" i="23"/>
  <c r="I142" i="23"/>
  <c r="H142" i="23"/>
  <c r="G142" i="23"/>
  <c r="F142" i="23"/>
  <c r="D142" i="23"/>
  <c r="A142" i="23"/>
  <c r="J102" i="23"/>
  <c r="I102" i="23"/>
  <c r="H102" i="23"/>
  <c r="G102" i="23"/>
  <c r="F102" i="23"/>
  <c r="E102" i="23"/>
  <c r="D102" i="23"/>
  <c r="A102" i="23"/>
  <c r="J101" i="23"/>
  <c r="I101" i="23"/>
  <c r="H101" i="23"/>
  <c r="G101" i="23"/>
  <c r="F101" i="23"/>
  <c r="E101" i="23"/>
  <c r="D101" i="23"/>
  <c r="A101" i="23"/>
  <c r="J90" i="23"/>
  <c r="I90" i="23"/>
  <c r="H90" i="23"/>
  <c r="F90" i="23"/>
  <c r="E90" i="23"/>
  <c r="D90" i="23"/>
  <c r="A90" i="23"/>
  <c r="J88" i="23"/>
  <c r="I88" i="23"/>
  <c r="H88" i="23"/>
  <c r="G88" i="23"/>
  <c r="F88" i="23"/>
  <c r="D88" i="23"/>
  <c r="A88" i="23"/>
  <c r="J77" i="23"/>
  <c r="I77" i="23"/>
  <c r="H77" i="23"/>
  <c r="G77" i="23"/>
  <c r="F77" i="23"/>
  <c r="E77" i="23"/>
  <c r="D77" i="23"/>
  <c r="A77" i="23"/>
  <c r="J63" i="23"/>
  <c r="I63" i="23"/>
  <c r="H63" i="23"/>
  <c r="G63" i="23"/>
  <c r="F63" i="23"/>
  <c r="E63" i="23"/>
  <c r="D63" i="23"/>
  <c r="A63" i="23"/>
  <c r="J50" i="23"/>
  <c r="I50" i="23"/>
  <c r="H50" i="23"/>
  <c r="G50" i="23"/>
  <c r="F50" i="23"/>
  <c r="D50" i="23"/>
  <c r="A50" i="23"/>
  <c r="J49" i="23"/>
  <c r="I49" i="23"/>
  <c r="H49" i="23"/>
  <c r="G49" i="23"/>
  <c r="F49" i="23"/>
  <c r="E49" i="23"/>
  <c r="D49" i="23"/>
  <c r="A49" i="23"/>
  <c r="J37" i="23"/>
  <c r="I37" i="23"/>
  <c r="H37" i="23"/>
  <c r="G37" i="23"/>
  <c r="F37" i="23"/>
  <c r="E37" i="23"/>
  <c r="D37" i="23"/>
  <c r="A37" i="23"/>
  <c r="J36" i="23"/>
  <c r="I36" i="23"/>
  <c r="H36" i="23"/>
  <c r="G36" i="23"/>
  <c r="F36" i="23"/>
  <c r="D36" i="23"/>
  <c r="A36" i="23"/>
  <c r="J23" i="23"/>
  <c r="I23" i="23"/>
  <c r="H23" i="23"/>
  <c r="G23" i="23"/>
  <c r="F23" i="23"/>
  <c r="E23" i="23"/>
  <c r="D23" i="23"/>
  <c r="A23" i="23"/>
  <c r="J14" i="23"/>
  <c r="I14" i="23"/>
  <c r="H14" i="23"/>
  <c r="G14" i="23"/>
  <c r="F14" i="23"/>
  <c r="E14" i="23"/>
  <c r="D14" i="23"/>
  <c r="A14" i="23"/>
  <c r="J241" i="22"/>
  <c r="I241" i="22"/>
  <c r="H241" i="22"/>
  <c r="F241" i="22"/>
  <c r="D241" i="22"/>
  <c r="A241" i="22"/>
  <c r="J112" i="22"/>
  <c r="I112" i="22"/>
  <c r="H112" i="22"/>
  <c r="F112" i="22"/>
  <c r="D112" i="22"/>
  <c r="A112" i="22"/>
  <c r="J240" i="22"/>
  <c r="I240" i="22"/>
  <c r="H240" i="22"/>
  <c r="F240" i="22"/>
  <c r="D240" i="22"/>
  <c r="A240" i="22"/>
  <c r="J239" i="22"/>
  <c r="I239" i="22"/>
  <c r="H239" i="22"/>
  <c r="F239" i="22"/>
  <c r="D239" i="22"/>
  <c r="A239" i="22"/>
  <c r="J238" i="22"/>
  <c r="I238" i="22"/>
  <c r="H238" i="22"/>
  <c r="F238" i="22"/>
  <c r="D238" i="22"/>
  <c r="A238" i="22"/>
  <c r="J109" i="22"/>
  <c r="I109" i="22"/>
  <c r="H109" i="22"/>
  <c r="F109" i="22"/>
  <c r="D109" i="22"/>
  <c r="A109" i="22"/>
  <c r="J237" i="22"/>
  <c r="I237" i="22"/>
  <c r="H237" i="22"/>
  <c r="F237" i="22"/>
  <c r="D237" i="22"/>
  <c r="A237" i="22"/>
  <c r="J236" i="22"/>
  <c r="I236" i="22"/>
  <c r="H236" i="22"/>
  <c r="F236" i="22"/>
  <c r="D236" i="22"/>
  <c r="A236" i="22"/>
  <c r="J235" i="22"/>
  <c r="I235" i="22"/>
  <c r="H235" i="22"/>
  <c r="F235" i="22"/>
  <c r="D235" i="22"/>
  <c r="A235" i="22"/>
  <c r="J106" i="22"/>
  <c r="I106" i="22"/>
  <c r="H106" i="22"/>
  <c r="F106" i="22"/>
  <c r="D106" i="22"/>
  <c r="A106" i="22"/>
  <c r="J234" i="22"/>
  <c r="I234" i="22"/>
  <c r="H234" i="22"/>
  <c r="F234" i="22"/>
  <c r="D234" i="22"/>
  <c r="A234" i="22"/>
  <c r="J233" i="22"/>
  <c r="I233" i="22"/>
  <c r="H233" i="22"/>
  <c r="G233" i="22"/>
  <c r="F233" i="22"/>
  <c r="E233" i="22"/>
  <c r="D233" i="22"/>
  <c r="A233" i="22"/>
  <c r="J232" i="22"/>
  <c r="I232" i="22"/>
  <c r="H232" i="22"/>
  <c r="F232" i="22"/>
  <c r="D232" i="22"/>
  <c r="A232" i="22"/>
  <c r="J103" i="22"/>
  <c r="I103" i="22"/>
  <c r="H103" i="22"/>
  <c r="G103" i="22"/>
  <c r="F103" i="22"/>
  <c r="E103" i="22"/>
  <c r="D103" i="22"/>
  <c r="A103" i="22"/>
  <c r="J231" i="22"/>
  <c r="I231" i="22"/>
  <c r="H231" i="22"/>
  <c r="G231" i="22"/>
  <c r="F231" i="22"/>
  <c r="E231" i="22"/>
  <c r="D231" i="22"/>
  <c r="A231" i="22"/>
  <c r="J230" i="22"/>
  <c r="I230" i="22"/>
  <c r="H230" i="22"/>
  <c r="G230" i="22"/>
  <c r="F230" i="22"/>
  <c r="E230" i="22"/>
  <c r="D230" i="22"/>
  <c r="A230" i="22"/>
  <c r="J229" i="22"/>
  <c r="I229" i="22"/>
  <c r="H229" i="22"/>
  <c r="G229" i="22"/>
  <c r="F229" i="22"/>
  <c r="D229" i="22"/>
  <c r="A229" i="22"/>
  <c r="J100" i="22"/>
  <c r="I100" i="22"/>
  <c r="H100" i="22"/>
  <c r="G100" i="22"/>
  <c r="F100" i="22"/>
  <c r="E100" i="22"/>
  <c r="D100" i="22"/>
  <c r="A100" i="22"/>
  <c r="J228" i="22"/>
  <c r="I228" i="22"/>
  <c r="H228" i="22"/>
  <c r="G228" i="22"/>
  <c r="F228" i="22"/>
  <c r="E228" i="22"/>
  <c r="D228" i="22"/>
  <c r="A228" i="22"/>
  <c r="J227" i="22"/>
  <c r="I227" i="22"/>
  <c r="H227" i="22"/>
  <c r="G227" i="22"/>
  <c r="F227" i="22"/>
  <c r="D227" i="22"/>
  <c r="A227" i="22"/>
  <c r="J226" i="22"/>
  <c r="I226" i="22"/>
  <c r="H226" i="22"/>
  <c r="G226" i="22"/>
  <c r="F226" i="22"/>
  <c r="E226" i="22"/>
  <c r="D226" i="22"/>
  <c r="A226" i="22"/>
  <c r="J225" i="22"/>
  <c r="I225" i="22"/>
  <c r="H225" i="22"/>
  <c r="G225" i="22"/>
  <c r="F225" i="22"/>
  <c r="E225" i="22"/>
  <c r="D225" i="22"/>
  <c r="A225" i="22"/>
  <c r="J113" i="22"/>
  <c r="I113" i="22"/>
  <c r="H113" i="22"/>
  <c r="F113" i="22"/>
  <c r="D113" i="22"/>
  <c r="A113" i="22"/>
  <c r="J111" i="22"/>
  <c r="I111" i="22"/>
  <c r="H111" i="22"/>
  <c r="F111" i="22"/>
  <c r="D111" i="22"/>
  <c r="A111" i="22"/>
  <c r="J110" i="22"/>
  <c r="I110" i="22"/>
  <c r="H110" i="22"/>
  <c r="F110" i="22"/>
  <c r="D110" i="22"/>
  <c r="A110" i="22"/>
  <c r="J108" i="22"/>
  <c r="I108" i="22"/>
  <c r="H108" i="22"/>
  <c r="F108" i="22"/>
  <c r="D108" i="22"/>
  <c r="A108" i="22"/>
  <c r="J107" i="22"/>
  <c r="I107" i="22"/>
  <c r="H107" i="22"/>
  <c r="F107" i="22"/>
  <c r="D107" i="22"/>
  <c r="A107" i="22"/>
  <c r="J104" i="22"/>
  <c r="I104" i="22"/>
  <c r="H104" i="22"/>
  <c r="F104" i="22"/>
  <c r="D104" i="22"/>
  <c r="A104" i="22"/>
  <c r="J102" i="22"/>
  <c r="I102" i="22"/>
  <c r="H102" i="22"/>
  <c r="F102" i="22"/>
  <c r="D102" i="22"/>
  <c r="A102" i="22"/>
  <c r="J101" i="22"/>
  <c r="I101" i="22"/>
  <c r="H101" i="22"/>
  <c r="F101" i="22"/>
  <c r="D101" i="22"/>
  <c r="A101" i="22"/>
  <c r="J99" i="22"/>
  <c r="I99" i="22"/>
  <c r="H99" i="22"/>
  <c r="F99" i="22"/>
  <c r="D99" i="22"/>
  <c r="A99" i="22"/>
  <c r="J98" i="22"/>
  <c r="I98" i="22"/>
  <c r="H98" i="22"/>
  <c r="F98" i="22"/>
  <c r="D98" i="22"/>
  <c r="A98" i="22"/>
  <c r="J242" i="22"/>
  <c r="I242" i="22"/>
  <c r="H242" i="22"/>
  <c r="F242" i="22"/>
  <c r="D242" i="22"/>
  <c r="A242" i="22"/>
  <c r="J261" i="22"/>
  <c r="I261" i="22"/>
  <c r="H261" i="22"/>
  <c r="F261" i="22"/>
  <c r="D261" i="22"/>
  <c r="A261" i="22"/>
  <c r="J260" i="22"/>
  <c r="I260" i="22"/>
  <c r="H260" i="22"/>
  <c r="F260" i="22"/>
  <c r="D260" i="22"/>
  <c r="A260" i="22"/>
  <c r="J259" i="22"/>
  <c r="I259" i="22"/>
  <c r="H259" i="22"/>
  <c r="F259" i="22"/>
  <c r="D259" i="22"/>
  <c r="A259" i="22"/>
  <c r="J258" i="22"/>
  <c r="I258" i="22"/>
  <c r="H258" i="22"/>
  <c r="G258" i="22"/>
  <c r="F258" i="22"/>
  <c r="D258" i="22"/>
  <c r="A258" i="22"/>
  <c r="J257" i="22"/>
  <c r="I257" i="22"/>
  <c r="H257" i="22"/>
  <c r="F257" i="22"/>
  <c r="D257" i="22"/>
  <c r="A257" i="22"/>
  <c r="J256" i="22"/>
  <c r="I256" i="22"/>
  <c r="H256" i="22"/>
  <c r="F256" i="22"/>
  <c r="D256" i="22"/>
  <c r="A256" i="22"/>
  <c r="J255" i="22"/>
  <c r="I255" i="22"/>
  <c r="H255" i="22"/>
  <c r="F255" i="22"/>
  <c r="D255" i="22"/>
  <c r="A255" i="22"/>
  <c r="J254" i="22"/>
  <c r="I254" i="22"/>
  <c r="H254" i="22"/>
  <c r="F254" i="22"/>
  <c r="D254" i="22"/>
  <c r="A254" i="22"/>
  <c r="J253" i="22"/>
  <c r="I253" i="22"/>
  <c r="H253" i="22"/>
  <c r="F253" i="22"/>
  <c r="D253" i="22"/>
  <c r="A253" i="22"/>
  <c r="J252" i="22"/>
  <c r="I252" i="22"/>
  <c r="H252" i="22"/>
  <c r="G252" i="22"/>
  <c r="F252" i="22"/>
  <c r="E252" i="22"/>
  <c r="D252" i="22"/>
  <c r="A252" i="22"/>
  <c r="J251" i="22"/>
  <c r="I251" i="22"/>
  <c r="H251" i="22"/>
  <c r="G251" i="22"/>
  <c r="F251" i="22"/>
  <c r="E251" i="22"/>
  <c r="D251" i="22"/>
  <c r="A251" i="22"/>
  <c r="J250" i="22"/>
  <c r="I250" i="22"/>
  <c r="H250" i="22"/>
  <c r="F250" i="22"/>
  <c r="D250" i="22"/>
  <c r="A250" i="22"/>
  <c r="J249" i="22"/>
  <c r="I249" i="22"/>
  <c r="H249" i="22"/>
  <c r="F249" i="22"/>
  <c r="D249" i="22"/>
  <c r="A249" i="22"/>
  <c r="J248" i="22"/>
  <c r="I248" i="22"/>
  <c r="H248" i="22"/>
  <c r="G248" i="22"/>
  <c r="F248" i="22"/>
  <c r="E248" i="22"/>
  <c r="D248" i="22"/>
  <c r="A248" i="22"/>
  <c r="J247" i="22"/>
  <c r="I247" i="22"/>
  <c r="H247" i="22"/>
  <c r="G247" i="22"/>
  <c r="F247" i="22"/>
  <c r="D247" i="22"/>
  <c r="A247" i="22"/>
  <c r="J246" i="22"/>
  <c r="I246" i="22"/>
  <c r="H246" i="22"/>
  <c r="F246" i="22"/>
  <c r="D246" i="22"/>
  <c r="A246" i="22"/>
  <c r="J245" i="22"/>
  <c r="I245" i="22"/>
  <c r="H245" i="22"/>
  <c r="F245" i="22"/>
  <c r="D245" i="22"/>
  <c r="A245" i="22"/>
  <c r="J244" i="22"/>
  <c r="I244" i="22"/>
  <c r="H244" i="22"/>
  <c r="G244" i="22"/>
  <c r="F244" i="22"/>
  <c r="E244" i="22"/>
  <c r="D244" i="22"/>
  <c r="A244" i="22"/>
  <c r="J243" i="22"/>
  <c r="I243" i="22"/>
  <c r="H243" i="22"/>
  <c r="F243" i="22"/>
  <c r="E243" i="22"/>
  <c r="D243" i="22"/>
  <c r="A243" i="22"/>
  <c r="J34" i="22"/>
  <c r="I34" i="22"/>
  <c r="H34" i="22"/>
  <c r="G34" i="22"/>
  <c r="F34" i="22"/>
  <c r="E34" i="22"/>
  <c r="D34" i="22"/>
  <c r="A34" i="22"/>
  <c r="J33" i="22"/>
  <c r="I33" i="22"/>
  <c r="H33" i="22"/>
  <c r="G33" i="22"/>
  <c r="F33" i="22"/>
  <c r="E33" i="22"/>
  <c r="D33" i="22"/>
  <c r="A33" i="22"/>
  <c r="J32" i="22"/>
  <c r="I32" i="22"/>
  <c r="H32" i="22"/>
  <c r="G32" i="22"/>
  <c r="F32" i="22"/>
  <c r="E32" i="22"/>
  <c r="D32" i="22"/>
  <c r="A32" i="22"/>
  <c r="J31" i="22"/>
  <c r="I31" i="22"/>
  <c r="H31" i="22"/>
  <c r="G31" i="22"/>
  <c r="F31" i="22"/>
  <c r="E31" i="22"/>
  <c r="D31" i="22"/>
  <c r="A31" i="22"/>
  <c r="J30" i="22"/>
  <c r="I30" i="22"/>
  <c r="H30" i="22"/>
  <c r="G30" i="22"/>
  <c r="F30" i="22"/>
  <c r="E30" i="22"/>
  <c r="D30" i="22"/>
  <c r="A30" i="22"/>
  <c r="J29" i="22"/>
  <c r="I29" i="22"/>
  <c r="H29" i="22"/>
  <c r="G29" i="22"/>
  <c r="F29" i="22"/>
  <c r="E29" i="22"/>
  <c r="D29" i="22"/>
  <c r="A29" i="22"/>
  <c r="J28" i="22"/>
  <c r="I28" i="22"/>
  <c r="H28" i="22"/>
  <c r="G28" i="22"/>
  <c r="F28" i="22"/>
  <c r="E28" i="22"/>
  <c r="D28" i="22"/>
  <c r="A28" i="22"/>
  <c r="J27" i="22"/>
  <c r="I27" i="22"/>
  <c r="H27" i="22"/>
  <c r="G27" i="22"/>
  <c r="F27" i="22"/>
  <c r="E27" i="22"/>
  <c r="D27" i="22"/>
  <c r="A27" i="22"/>
  <c r="J105" i="22"/>
  <c r="I105" i="22"/>
  <c r="H105" i="22"/>
  <c r="G105" i="22"/>
  <c r="F105" i="22"/>
  <c r="E105" i="22"/>
  <c r="D105" i="22"/>
  <c r="A105" i="22"/>
  <c r="J24" i="22"/>
  <c r="I24" i="22"/>
  <c r="H24" i="22"/>
  <c r="G24" i="22"/>
  <c r="F24" i="22"/>
  <c r="E24" i="22"/>
  <c r="D24" i="22"/>
  <c r="A24" i="22"/>
  <c r="J23" i="22"/>
  <c r="I23" i="22"/>
  <c r="H23" i="22"/>
  <c r="G23" i="22"/>
  <c r="F23" i="22"/>
  <c r="E23" i="22"/>
  <c r="D23" i="22"/>
  <c r="A23" i="22"/>
  <c r="J22" i="22"/>
  <c r="I22" i="22"/>
  <c r="H22" i="22"/>
  <c r="G22" i="22"/>
  <c r="F22" i="22"/>
  <c r="E22" i="22"/>
  <c r="D22" i="22"/>
  <c r="A22" i="22"/>
  <c r="J21" i="22"/>
  <c r="I21" i="22"/>
  <c r="H21" i="22"/>
  <c r="G21" i="22"/>
  <c r="F21" i="22"/>
  <c r="E21" i="22"/>
  <c r="D21" i="22"/>
  <c r="A21" i="22"/>
  <c r="J20" i="22"/>
  <c r="I20" i="22"/>
  <c r="H20" i="22"/>
  <c r="G20" i="22"/>
  <c r="F20" i="22"/>
  <c r="E20" i="22"/>
  <c r="D20" i="22"/>
  <c r="A20" i="22"/>
  <c r="J19" i="22"/>
  <c r="I19" i="22"/>
  <c r="H19" i="22"/>
  <c r="G19" i="22"/>
  <c r="F19" i="22"/>
  <c r="E19" i="22"/>
  <c r="D19" i="22"/>
  <c r="A19" i="22"/>
  <c r="J18" i="22"/>
  <c r="I18" i="22"/>
  <c r="H18" i="22"/>
  <c r="G18" i="22"/>
  <c r="F18" i="22"/>
  <c r="E18" i="22"/>
  <c r="D18" i="22"/>
  <c r="A18" i="22"/>
  <c r="J76" i="22"/>
  <c r="I76" i="22"/>
  <c r="H76" i="22"/>
  <c r="F76" i="22"/>
  <c r="D76" i="22"/>
  <c r="A76" i="22"/>
  <c r="J75" i="22"/>
  <c r="I75" i="22"/>
  <c r="H75" i="22"/>
  <c r="F75" i="22"/>
  <c r="D75" i="22"/>
  <c r="A75" i="22"/>
  <c r="J74" i="22"/>
  <c r="I74" i="22"/>
  <c r="H74" i="22"/>
  <c r="F74" i="22"/>
  <c r="D74" i="22"/>
  <c r="A74" i="22"/>
  <c r="J71" i="22"/>
  <c r="I71" i="22"/>
  <c r="H71" i="22"/>
  <c r="F71" i="22"/>
  <c r="D71" i="22"/>
  <c r="A71" i="22"/>
  <c r="J70" i="22"/>
  <c r="I70" i="22"/>
  <c r="H70" i="22"/>
  <c r="F70" i="22"/>
  <c r="D70" i="22"/>
  <c r="A70" i="22"/>
  <c r="J69" i="22"/>
  <c r="I69" i="22"/>
  <c r="H69" i="22"/>
  <c r="F69" i="22"/>
  <c r="D69" i="22"/>
  <c r="A69" i="22"/>
  <c r="J68" i="22"/>
  <c r="I68" i="22"/>
  <c r="H68" i="22"/>
  <c r="F68" i="22"/>
  <c r="D68" i="22"/>
  <c r="A68" i="22"/>
  <c r="J67" i="22"/>
  <c r="I67" i="22"/>
  <c r="H67" i="22"/>
  <c r="F67" i="22"/>
  <c r="D67" i="22"/>
  <c r="A67" i="22"/>
  <c r="J66" i="22"/>
  <c r="I66" i="22"/>
  <c r="H66" i="22"/>
  <c r="F66" i="22"/>
  <c r="D66" i="22"/>
  <c r="A66" i="22"/>
  <c r="J65" i="22"/>
  <c r="I65" i="22"/>
  <c r="H65" i="22"/>
  <c r="G65" i="22"/>
  <c r="F65" i="22"/>
  <c r="E65" i="22"/>
  <c r="D65" i="22"/>
  <c r="A65" i="22"/>
  <c r="J159" i="22"/>
  <c r="I159" i="22"/>
  <c r="H159" i="22"/>
  <c r="G159" i="22"/>
  <c r="F159" i="22"/>
  <c r="E159" i="22"/>
  <c r="D159" i="22"/>
  <c r="A159" i="22"/>
  <c r="J64" i="22"/>
  <c r="I64" i="22"/>
  <c r="H64" i="22"/>
  <c r="G64" i="22"/>
  <c r="F64" i="22"/>
  <c r="D64" i="22"/>
  <c r="A64" i="22"/>
  <c r="J61" i="22"/>
  <c r="I61" i="22"/>
  <c r="H61" i="22"/>
  <c r="G61" i="22"/>
  <c r="F61" i="22"/>
  <c r="E61" i="22"/>
  <c r="D61" i="22"/>
  <c r="A61" i="22"/>
  <c r="J60" i="22"/>
  <c r="I60" i="22"/>
  <c r="H60" i="22"/>
  <c r="G60" i="22"/>
  <c r="F60" i="22"/>
  <c r="E60" i="22"/>
  <c r="D60" i="22"/>
  <c r="A60" i="22"/>
  <c r="J59" i="22"/>
  <c r="I59" i="22"/>
  <c r="H59" i="22"/>
  <c r="G59" i="22"/>
  <c r="F59" i="22"/>
  <c r="D59" i="22"/>
  <c r="A59" i="22"/>
  <c r="J56" i="22"/>
  <c r="I56" i="22"/>
  <c r="H56" i="22"/>
  <c r="G56" i="22"/>
  <c r="F56" i="22"/>
  <c r="E56" i="22"/>
  <c r="D56" i="22"/>
  <c r="A56" i="22"/>
  <c r="J55" i="22"/>
  <c r="I55" i="22"/>
  <c r="H55" i="22"/>
  <c r="G55" i="22"/>
  <c r="F55" i="22"/>
  <c r="E55" i="22"/>
  <c r="D55" i="22"/>
  <c r="A55" i="22"/>
  <c r="J54" i="22"/>
  <c r="I54" i="22"/>
  <c r="H54" i="22"/>
  <c r="F54" i="22"/>
  <c r="D54" i="22"/>
  <c r="A54" i="22"/>
  <c r="J190" i="22"/>
  <c r="I190" i="22"/>
  <c r="H190" i="22"/>
  <c r="G190" i="22"/>
  <c r="F190" i="22"/>
  <c r="D190" i="22"/>
  <c r="A190" i="22"/>
  <c r="J189" i="22"/>
  <c r="I189" i="22"/>
  <c r="H189" i="22"/>
  <c r="F189" i="22"/>
  <c r="D189" i="22"/>
  <c r="A189" i="22"/>
  <c r="J188" i="22"/>
  <c r="I188" i="22"/>
  <c r="H188" i="22"/>
  <c r="F188" i="22"/>
  <c r="E188" i="22"/>
  <c r="D188" i="22"/>
  <c r="A188" i="22"/>
  <c r="J187" i="22"/>
  <c r="I187" i="22"/>
  <c r="H187" i="22"/>
  <c r="F187" i="22"/>
  <c r="D187" i="22"/>
  <c r="A187" i="22"/>
  <c r="J186" i="22"/>
  <c r="I186" i="22"/>
  <c r="H186" i="22"/>
  <c r="G186" i="22"/>
  <c r="F186" i="22"/>
  <c r="D186" i="22"/>
  <c r="A186" i="22"/>
  <c r="J185" i="22"/>
  <c r="I185" i="22"/>
  <c r="H185" i="22"/>
  <c r="G185" i="22"/>
  <c r="F185" i="22"/>
  <c r="E185" i="22"/>
  <c r="D185" i="22"/>
  <c r="A185" i="22"/>
  <c r="J184" i="22"/>
  <c r="I184" i="22"/>
  <c r="H184" i="22"/>
  <c r="G184" i="22"/>
  <c r="F184" i="22"/>
  <c r="E184" i="22"/>
  <c r="D184" i="22"/>
  <c r="A184" i="22"/>
  <c r="J183" i="22"/>
  <c r="I183" i="22"/>
  <c r="H183" i="22"/>
  <c r="G183" i="22"/>
  <c r="F183" i="22"/>
  <c r="E183" i="22"/>
  <c r="D183" i="22"/>
  <c r="A183" i="22"/>
  <c r="J182" i="22"/>
  <c r="I182" i="22"/>
  <c r="H182" i="22"/>
  <c r="G182" i="22"/>
  <c r="F182" i="22"/>
  <c r="E182" i="22"/>
  <c r="D182" i="22"/>
  <c r="A182" i="22"/>
  <c r="J181" i="22"/>
  <c r="I181" i="22"/>
  <c r="H181" i="22"/>
  <c r="G181" i="22"/>
  <c r="F181" i="22"/>
  <c r="E181" i="22"/>
  <c r="D181" i="22"/>
  <c r="A181" i="22"/>
  <c r="J180" i="22"/>
  <c r="I180" i="22"/>
  <c r="H180" i="22"/>
  <c r="G180" i="22"/>
  <c r="F180" i="22"/>
  <c r="E180" i="22"/>
  <c r="D180" i="22"/>
  <c r="A180" i="22"/>
  <c r="J179" i="22"/>
  <c r="I179" i="22"/>
  <c r="H179" i="22"/>
  <c r="G179" i="22"/>
  <c r="F179" i="22"/>
  <c r="E179" i="22"/>
  <c r="D179" i="22"/>
  <c r="A179" i="22"/>
  <c r="J178" i="22"/>
  <c r="I178" i="22"/>
  <c r="H178" i="22"/>
  <c r="G178" i="22"/>
  <c r="F178" i="22"/>
  <c r="E178" i="22"/>
  <c r="D178" i="22"/>
  <c r="A178" i="22"/>
  <c r="J177" i="22"/>
  <c r="I177" i="22"/>
  <c r="H177" i="22"/>
  <c r="G177" i="22"/>
  <c r="F177" i="22"/>
  <c r="E177" i="22"/>
  <c r="D177" i="22"/>
  <c r="A177" i="22"/>
  <c r="J176" i="22"/>
  <c r="I176" i="22"/>
  <c r="H176" i="22"/>
  <c r="G176" i="22"/>
  <c r="F176" i="22"/>
  <c r="E176" i="22"/>
  <c r="D176" i="22"/>
  <c r="A176" i="22"/>
  <c r="J175" i="22"/>
  <c r="I175" i="22"/>
  <c r="H175" i="22"/>
  <c r="G175" i="22"/>
  <c r="F175" i="22"/>
  <c r="E175" i="22"/>
  <c r="D175" i="22"/>
  <c r="A175" i="22"/>
  <c r="J174" i="22"/>
  <c r="I174" i="22"/>
  <c r="H174" i="22"/>
  <c r="G174" i="22"/>
  <c r="F174" i="22"/>
  <c r="E174" i="22"/>
  <c r="D174" i="22"/>
  <c r="A174" i="22"/>
  <c r="J173" i="22"/>
  <c r="I173" i="22"/>
  <c r="H173" i="22"/>
  <c r="G173" i="22"/>
  <c r="F173" i="22"/>
  <c r="E173" i="22"/>
  <c r="D173" i="22"/>
  <c r="A173" i="22"/>
  <c r="J172" i="22"/>
  <c r="I172" i="22"/>
  <c r="H172" i="22"/>
  <c r="G172" i="22"/>
  <c r="F172" i="22"/>
  <c r="E172" i="22"/>
  <c r="D172" i="22"/>
  <c r="A172" i="22"/>
  <c r="J171" i="22"/>
  <c r="I171" i="22"/>
  <c r="H171" i="22"/>
  <c r="G171" i="22"/>
  <c r="F171" i="22"/>
  <c r="E171" i="22"/>
  <c r="D171" i="22"/>
  <c r="A171" i="22"/>
  <c r="J170" i="22"/>
  <c r="I170" i="22"/>
  <c r="H170" i="22"/>
  <c r="G170" i="22"/>
  <c r="F170" i="22"/>
  <c r="E170" i="22"/>
  <c r="D170" i="22"/>
  <c r="A170" i="22"/>
  <c r="J169" i="22"/>
  <c r="I169" i="22"/>
  <c r="H169" i="22"/>
  <c r="F169" i="22"/>
  <c r="D169" i="22"/>
  <c r="A169" i="22"/>
  <c r="J168" i="22"/>
  <c r="I168" i="22"/>
  <c r="H168" i="22"/>
  <c r="F168" i="22"/>
  <c r="D168" i="22"/>
  <c r="A168" i="22"/>
  <c r="J73" i="22"/>
  <c r="I73" i="22"/>
  <c r="H73" i="22"/>
  <c r="F73" i="22"/>
  <c r="D73" i="22"/>
  <c r="A73" i="22"/>
  <c r="J167" i="22"/>
  <c r="I167" i="22"/>
  <c r="H167" i="22"/>
  <c r="F167" i="22"/>
  <c r="D167" i="22"/>
  <c r="A167" i="22"/>
  <c r="J72" i="22"/>
  <c r="I72" i="22"/>
  <c r="H72" i="22"/>
  <c r="F72" i="22"/>
  <c r="D72" i="22"/>
  <c r="A72" i="22"/>
  <c r="J166" i="22"/>
  <c r="I166" i="22"/>
  <c r="H166" i="22"/>
  <c r="F166" i="22"/>
  <c r="D166" i="22"/>
  <c r="A166" i="22"/>
  <c r="J165" i="22"/>
  <c r="I165" i="22"/>
  <c r="H165" i="22"/>
  <c r="F165" i="22"/>
  <c r="D165" i="22"/>
  <c r="A165" i="22"/>
  <c r="J13" i="22"/>
  <c r="I13" i="22"/>
  <c r="H13" i="22"/>
  <c r="F13" i="22"/>
  <c r="D13" i="22"/>
  <c r="A13" i="22"/>
  <c r="J12" i="22"/>
  <c r="I12" i="22"/>
  <c r="H12" i="22"/>
  <c r="F12" i="22"/>
  <c r="D12" i="22"/>
  <c r="A12" i="22"/>
  <c r="J164" i="22"/>
  <c r="I164" i="22"/>
  <c r="H164" i="22"/>
  <c r="F164" i="22"/>
  <c r="D164" i="22"/>
  <c r="A164" i="22"/>
  <c r="J163" i="22"/>
  <c r="I163" i="22"/>
  <c r="H163" i="22"/>
  <c r="F163" i="22"/>
  <c r="D163" i="22"/>
  <c r="A163" i="22"/>
  <c r="J162" i="22"/>
  <c r="I162" i="22"/>
  <c r="H162" i="22"/>
  <c r="F162" i="22"/>
  <c r="D162" i="22"/>
  <c r="A162" i="22"/>
  <c r="J161" i="22"/>
  <c r="I161" i="22"/>
  <c r="H161" i="22"/>
  <c r="F161" i="22"/>
  <c r="D161" i="22"/>
  <c r="A161" i="22"/>
  <c r="J9" i="22"/>
  <c r="I9" i="22"/>
  <c r="H9" i="22"/>
  <c r="F9" i="22"/>
  <c r="D9" i="22"/>
  <c r="A9" i="22"/>
  <c r="J160" i="22"/>
  <c r="I160" i="22"/>
  <c r="H160" i="22"/>
  <c r="F160" i="22"/>
  <c r="D160" i="22"/>
  <c r="A160" i="22"/>
  <c r="J8" i="22"/>
  <c r="I8" i="22"/>
  <c r="H8" i="22"/>
  <c r="F8" i="22"/>
  <c r="D8" i="22"/>
  <c r="A8" i="22"/>
  <c r="J7" i="22"/>
  <c r="I7" i="22"/>
  <c r="H7" i="22"/>
  <c r="G7" i="22"/>
  <c r="F7" i="22"/>
  <c r="E7" i="22"/>
  <c r="D7" i="22"/>
  <c r="A7" i="22"/>
  <c r="J158" i="22"/>
  <c r="I158" i="22"/>
  <c r="H158" i="22"/>
  <c r="G158" i="22"/>
  <c r="F158" i="22"/>
  <c r="E158" i="22"/>
  <c r="D158" i="22"/>
  <c r="A158" i="22"/>
  <c r="J6" i="22"/>
  <c r="I6" i="22"/>
  <c r="H6" i="22"/>
  <c r="G6" i="22"/>
  <c r="F6" i="22"/>
  <c r="E6" i="22"/>
  <c r="D6" i="22"/>
  <c r="A6" i="22"/>
  <c r="J157" i="22"/>
  <c r="I157" i="22"/>
  <c r="H157" i="22"/>
  <c r="G157" i="22"/>
  <c r="F157" i="22"/>
  <c r="E157" i="22"/>
  <c r="D157" i="22"/>
  <c r="A157" i="22"/>
  <c r="J156" i="22"/>
  <c r="I156" i="22"/>
  <c r="H156" i="22"/>
  <c r="F156" i="22"/>
  <c r="D156" i="22"/>
  <c r="A156" i="22"/>
  <c r="J5" i="22"/>
  <c r="I5" i="22"/>
  <c r="H5" i="22"/>
  <c r="F5" i="22"/>
  <c r="D5" i="22"/>
  <c r="A5" i="22"/>
  <c r="J155" i="22"/>
  <c r="I155" i="22"/>
  <c r="H155" i="22"/>
  <c r="F155" i="22"/>
  <c r="D155" i="22"/>
  <c r="A155" i="22"/>
  <c r="J4" i="22"/>
  <c r="I4" i="22"/>
  <c r="H4" i="22"/>
  <c r="F4" i="22"/>
  <c r="D4" i="22"/>
  <c r="A4" i="22"/>
  <c r="J3" i="22"/>
  <c r="I3" i="22"/>
  <c r="H3" i="22"/>
  <c r="G3" i="22"/>
  <c r="F3" i="22"/>
  <c r="E3" i="22"/>
  <c r="D3" i="22"/>
  <c r="A3" i="22"/>
  <c r="J154" i="22"/>
  <c r="I154" i="22"/>
  <c r="H154" i="22"/>
  <c r="G154" i="22"/>
  <c r="F154" i="22"/>
  <c r="E154" i="22"/>
  <c r="D154" i="22"/>
  <c r="A154" i="22"/>
  <c r="J2" i="22"/>
  <c r="I2" i="22"/>
  <c r="H2" i="22"/>
  <c r="G2" i="22"/>
  <c r="F2" i="22"/>
  <c r="E2" i="22"/>
  <c r="D2" i="22"/>
  <c r="A2" i="22"/>
  <c r="J153" i="22"/>
  <c r="I153" i="22"/>
  <c r="H153" i="22"/>
  <c r="G153" i="22"/>
  <c r="F153" i="22"/>
  <c r="E153" i="22"/>
  <c r="D153" i="22"/>
  <c r="A153" i="22"/>
  <c r="J152" i="22"/>
  <c r="I152" i="22"/>
  <c r="H152" i="22"/>
  <c r="G152" i="22"/>
  <c r="F152" i="22"/>
  <c r="E152" i="22"/>
  <c r="D152" i="22"/>
  <c r="A152" i="22"/>
  <c r="J151" i="22"/>
  <c r="I151" i="22"/>
  <c r="H151" i="22"/>
  <c r="G151" i="22"/>
  <c r="F151" i="22"/>
  <c r="E151" i="22"/>
  <c r="D151" i="22"/>
  <c r="A151" i="22"/>
  <c r="J150" i="22"/>
  <c r="I150" i="22"/>
  <c r="H150" i="22"/>
  <c r="G150" i="22"/>
  <c r="F150" i="22"/>
  <c r="E150" i="22"/>
  <c r="D150" i="22"/>
  <c r="A150" i="22"/>
  <c r="J149" i="22"/>
  <c r="I149" i="22"/>
  <c r="H149" i="22"/>
  <c r="G149" i="22"/>
  <c r="F149" i="22"/>
  <c r="E149" i="22"/>
  <c r="D149" i="22"/>
  <c r="A149" i="22"/>
  <c r="J133" i="22"/>
  <c r="I133" i="22"/>
  <c r="H133" i="22"/>
  <c r="F133" i="22"/>
  <c r="D133" i="22"/>
  <c r="A133" i="22"/>
  <c r="J17" i="22"/>
  <c r="I17" i="22"/>
  <c r="H17" i="22"/>
  <c r="F17" i="22"/>
  <c r="D17" i="22"/>
  <c r="A17" i="22"/>
  <c r="J132" i="22"/>
  <c r="I132" i="22"/>
  <c r="H132" i="22"/>
  <c r="F132" i="22"/>
  <c r="D132" i="22"/>
  <c r="A132" i="22"/>
  <c r="J16" i="22"/>
  <c r="I16" i="22"/>
  <c r="H16" i="22"/>
  <c r="F16" i="22"/>
  <c r="D16" i="22"/>
  <c r="A16" i="22"/>
  <c r="J15" i="22"/>
  <c r="I15" i="22"/>
  <c r="H15" i="22"/>
  <c r="F15" i="22"/>
  <c r="D15" i="22"/>
  <c r="A15" i="22"/>
  <c r="J131" i="22"/>
  <c r="I131" i="22"/>
  <c r="H131" i="22"/>
  <c r="F131" i="22"/>
  <c r="D131" i="22"/>
  <c r="A131" i="22"/>
  <c r="J14" i="22"/>
  <c r="I14" i="22"/>
  <c r="H14" i="22"/>
  <c r="F14" i="22"/>
  <c r="D14" i="22"/>
  <c r="A14" i="22"/>
  <c r="J130" i="22"/>
  <c r="I130" i="22"/>
  <c r="H130" i="22"/>
  <c r="F130" i="22"/>
  <c r="D130" i="22"/>
  <c r="A130" i="22"/>
  <c r="J129" i="22"/>
  <c r="I129" i="22"/>
  <c r="H129" i="22"/>
  <c r="F129" i="22"/>
  <c r="D129" i="22"/>
  <c r="A129" i="22"/>
  <c r="J128" i="22"/>
  <c r="I128" i="22"/>
  <c r="H128" i="22"/>
  <c r="F128" i="22"/>
  <c r="D128" i="22"/>
  <c r="A128" i="22"/>
  <c r="J127" i="22"/>
  <c r="I127" i="22"/>
  <c r="H127" i="22"/>
  <c r="F127" i="22"/>
  <c r="D127" i="22"/>
  <c r="A127" i="22"/>
  <c r="J11" i="22"/>
  <c r="I11" i="22"/>
  <c r="H11" i="22"/>
  <c r="F11" i="22"/>
  <c r="D11" i="22"/>
  <c r="A11" i="22"/>
  <c r="J10" i="22"/>
  <c r="I10" i="22"/>
  <c r="H10" i="22"/>
  <c r="F10" i="22"/>
  <c r="D10" i="22"/>
  <c r="A10" i="22"/>
  <c r="J126" i="22"/>
  <c r="I126" i="22"/>
  <c r="H126" i="22"/>
  <c r="F126" i="22"/>
  <c r="D126" i="22"/>
  <c r="A126" i="22"/>
  <c r="J125" i="22"/>
  <c r="I125" i="22"/>
  <c r="H125" i="22"/>
  <c r="F125" i="22"/>
  <c r="D125" i="22"/>
  <c r="A125" i="22"/>
  <c r="J124" i="22"/>
  <c r="I124" i="22"/>
  <c r="H124" i="22"/>
  <c r="F124" i="22"/>
  <c r="D124" i="22"/>
  <c r="A124" i="22"/>
  <c r="J26" i="22"/>
  <c r="I26" i="22"/>
  <c r="H26" i="22"/>
  <c r="F26" i="22"/>
  <c r="E26" i="22"/>
  <c r="D26" i="22"/>
  <c r="B26" i="22"/>
  <c r="A26" i="22"/>
  <c r="J123" i="22"/>
  <c r="I123" i="22"/>
  <c r="H123" i="22"/>
  <c r="F123" i="22"/>
  <c r="D123" i="22"/>
  <c r="A123" i="22"/>
  <c r="J25" i="22"/>
  <c r="I25" i="22"/>
  <c r="H25" i="22"/>
  <c r="F25" i="22"/>
  <c r="D25" i="22"/>
  <c r="A25" i="22"/>
  <c r="J63" i="22"/>
  <c r="I63" i="22"/>
  <c r="H63" i="22"/>
  <c r="F63" i="22"/>
  <c r="D63" i="22"/>
  <c r="A63" i="22"/>
  <c r="J122" i="22"/>
  <c r="I122" i="22"/>
  <c r="H122" i="22"/>
  <c r="F122" i="22"/>
  <c r="D122" i="22"/>
  <c r="A122" i="22"/>
  <c r="J62" i="22"/>
  <c r="I62" i="22"/>
  <c r="H62" i="22"/>
  <c r="F62" i="22"/>
  <c r="D62" i="22"/>
  <c r="A62" i="22"/>
  <c r="J121" i="22"/>
  <c r="I121" i="22"/>
  <c r="H121" i="22"/>
  <c r="G121" i="22"/>
  <c r="F121" i="22"/>
  <c r="E121" i="22"/>
  <c r="D121" i="22"/>
  <c r="A121" i="22"/>
  <c r="J120" i="22"/>
  <c r="I120" i="22"/>
  <c r="H120" i="22"/>
  <c r="G120" i="22"/>
  <c r="F120" i="22"/>
  <c r="E120" i="22"/>
  <c r="D120" i="22"/>
  <c r="A120" i="22"/>
  <c r="J119" i="22"/>
  <c r="I119" i="22"/>
  <c r="H119" i="22"/>
  <c r="F119" i="22"/>
  <c r="D119" i="22"/>
  <c r="A119" i="22"/>
  <c r="J118" i="22"/>
  <c r="I118" i="22"/>
  <c r="H118" i="22"/>
  <c r="F118" i="22"/>
  <c r="D118" i="22"/>
  <c r="A118" i="22"/>
  <c r="J117" i="22"/>
  <c r="I117" i="22"/>
  <c r="H117" i="22"/>
  <c r="G117" i="22"/>
  <c r="F117" i="22"/>
  <c r="E117" i="22"/>
  <c r="D117" i="22"/>
  <c r="A117" i="22"/>
  <c r="J58" i="22"/>
  <c r="I58" i="22"/>
  <c r="H58" i="22"/>
  <c r="G58" i="22"/>
  <c r="F58" i="22"/>
  <c r="E58" i="22"/>
  <c r="D58" i="22"/>
  <c r="A58" i="22"/>
  <c r="J57" i="22"/>
  <c r="I57" i="22"/>
  <c r="H57" i="22"/>
  <c r="G57" i="22"/>
  <c r="F57" i="22"/>
  <c r="E57" i="22"/>
  <c r="D57" i="22"/>
  <c r="A57" i="22"/>
  <c r="J116" i="22"/>
  <c r="I116" i="22"/>
  <c r="H116" i="22"/>
  <c r="G116" i="22"/>
  <c r="F116" i="22"/>
  <c r="E116" i="22"/>
  <c r="D116" i="22"/>
  <c r="A116" i="22"/>
  <c r="J115" i="22"/>
  <c r="I115" i="22"/>
  <c r="H115" i="22"/>
  <c r="G115" i="22"/>
  <c r="F115" i="22"/>
  <c r="E115" i="22"/>
  <c r="D115" i="22"/>
  <c r="A115" i="22"/>
  <c r="J114" i="22"/>
  <c r="I114" i="22"/>
  <c r="H114" i="22"/>
  <c r="G114" i="22"/>
  <c r="F114" i="22"/>
  <c r="E114" i="22"/>
  <c r="D114" i="22"/>
  <c r="A114" i="22"/>
  <c r="J224" i="22"/>
  <c r="I224" i="22"/>
  <c r="H224" i="22"/>
  <c r="F224" i="22"/>
  <c r="D224" i="22"/>
  <c r="A224" i="22"/>
  <c r="J148" i="22"/>
  <c r="I148" i="22"/>
  <c r="H148" i="22"/>
  <c r="F148" i="22"/>
  <c r="D148" i="22"/>
  <c r="A148" i="22"/>
  <c r="J147" i="22"/>
  <c r="I147" i="22"/>
  <c r="H147" i="22"/>
  <c r="F147" i="22"/>
  <c r="D147" i="22"/>
  <c r="A147" i="22"/>
  <c r="J146" i="22"/>
  <c r="I146" i="22"/>
  <c r="H146" i="22"/>
  <c r="F146" i="22"/>
  <c r="D146" i="22"/>
  <c r="A146" i="22"/>
  <c r="J145" i="22"/>
  <c r="I145" i="22"/>
  <c r="H145" i="22"/>
  <c r="F145" i="22"/>
  <c r="D145" i="22"/>
  <c r="A145" i="22"/>
  <c r="J144" i="22"/>
  <c r="I144" i="22"/>
  <c r="H144" i="22"/>
  <c r="F144" i="22"/>
  <c r="D144" i="22"/>
  <c r="A144" i="22"/>
  <c r="J143" i="22"/>
  <c r="I143" i="22"/>
  <c r="H143" i="22"/>
  <c r="F143" i="22"/>
  <c r="D143" i="22"/>
  <c r="A143" i="22"/>
  <c r="J142" i="22"/>
  <c r="I142" i="22"/>
  <c r="H142" i="22"/>
  <c r="F142" i="22"/>
  <c r="D142" i="22"/>
  <c r="A142" i="22"/>
  <c r="J141" i="22"/>
  <c r="I141" i="22"/>
  <c r="H141" i="22"/>
  <c r="F141" i="22"/>
  <c r="D141" i="22"/>
  <c r="A141" i="22"/>
  <c r="J217" i="22"/>
  <c r="I217" i="22"/>
  <c r="H217" i="22"/>
  <c r="G217" i="22"/>
  <c r="F217" i="22"/>
  <c r="E217" i="22"/>
  <c r="D217" i="22"/>
  <c r="A217" i="22"/>
  <c r="J216" i="22"/>
  <c r="I216" i="22"/>
  <c r="H216" i="22"/>
  <c r="G216" i="22"/>
  <c r="F216" i="22"/>
  <c r="E216" i="22"/>
  <c r="D216" i="22"/>
  <c r="A216" i="22"/>
  <c r="J140" i="22"/>
  <c r="I140" i="22"/>
  <c r="H140" i="22"/>
  <c r="F140" i="22"/>
  <c r="D140" i="22"/>
  <c r="A140" i="22"/>
  <c r="J139" i="22"/>
  <c r="I139" i="22"/>
  <c r="H139" i="22"/>
  <c r="F139" i="22"/>
  <c r="E139" i="22"/>
  <c r="D139" i="22"/>
  <c r="A139" i="22"/>
  <c r="J138" i="22"/>
  <c r="I138" i="22"/>
  <c r="H138" i="22"/>
  <c r="G138" i="22"/>
  <c r="F138" i="22"/>
  <c r="E138" i="22"/>
  <c r="D138" i="22"/>
  <c r="A138" i="22"/>
  <c r="J137" i="22"/>
  <c r="I137" i="22"/>
  <c r="H137" i="22"/>
  <c r="F137" i="22"/>
  <c r="D137" i="22"/>
  <c r="A137" i="22"/>
  <c r="J136" i="22"/>
  <c r="I136" i="22"/>
  <c r="H136" i="22"/>
  <c r="F136" i="22"/>
  <c r="E136" i="22"/>
  <c r="D136" i="22"/>
  <c r="A136" i="22"/>
  <c r="J135" i="22"/>
  <c r="I135" i="22"/>
  <c r="H135" i="22"/>
  <c r="G135" i="22"/>
  <c r="F135" i="22"/>
  <c r="E135" i="22"/>
  <c r="D135" i="22"/>
  <c r="A135" i="22"/>
  <c r="J134" i="22"/>
  <c r="I134" i="22"/>
  <c r="H134" i="22"/>
  <c r="F134" i="22"/>
  <c r="D134" i="22"/>
  <c r="A134" i="22"/>
  <c r="J53" i="22"/>
  <c r="I53" i="22"/>
  <c r="H53" i="22"/>
  <c r="G53" i="22"/>
  <c r="F53" i="22"/>
  <c r="E53" i="22"/>
  <c r="D53" i="22"/>
  <c r="A53" i="22"/>
  <c r="J52" i="22"/>
  <c r="I52" i="22"/>
  <c r="H52" i="22"/>
  <c r="G52" i="22"/>
  <c r="F52" i="22"/>
  <c r="E52" i="22"/>
  <c r="D52" i="22"/>
  <c r="A52" i="22"/>
  <c r="J51" i="22"/>
  <c r="I51" i="22"/>
  <c r="H51" i="22"/>
  <c r="G51" i="22"/>
  <c r="F51" i="22"/>
  <c r="E51" i="22"/>
  <c r="D51" i="22"/>
  <c r="A51" i="22"/>
  <c r="J50" i="22"/>
  <c r="I50" i="22"/>
  <c r="H50" i="22"/>
  <c r="G50" i="22"/>
  <c r="F50" i="22"/>
  <c r="E50" i="22"/>
  <c r="D50" i="22"/>
  <c r="A50" i="22"/>
  <c r="J49" i="22"/>
  <c r="I49" i="22"/>
  <c r="H49" i="22"/>
  <c r="G49" i="22"/>
  <c r="F49" i="22"/>
  <c r="E49" i="22"/>
  <c r="D49" i="22"/>
  <c r="A49" i="22"/>
  <c r="J48" i="22"/>
  <c r="I48" i="22"/>
  <c r="H48" i="22"/>
  <c r="G48" i="22"/>
  <c r="F48" i="22"/>
  <c r="E48" i="22"/>
  <c r="D48" i="22"/>
  <c r="A48" i="22"/>
  <c r="J47" i="22"/>
  <c r="I47" i="22"/>
  <c r="H47" i="22"/>
  <c r="G47" i="22"/>
  <c r="F47" i="22"/>
  <c r="E47" i="22"/>
  <c r="D47" i="22"/>
  <c r="A47" i="22"/>
  <c r="J46" i="22"/>
  <c r="I46" i="22"/>
  <c r="H46" i="22"/>
  <c r="G46" i="22"/>
  <c r="F46" i="22"/>
  <c r="E46" i="22"/>
  <c r="D46" i="22"/>
  <c r="A46" i="22"/>
  <c r="J45" i="22"/>
  <c r="I45" i="22"/>
  <c r="H45" i="22"/>
  <c r="G45" i="22"/>
  <c r="F45" i="22"/>
  <c r="E45" i="22"/>
  <c r="D45" i="22"/>
  <c r="A45" i="22"/>
  <c r="J44" i="22"/>
  <c r="I44" i="22"/>
  <c r="H44" i="22"/>
  <c r="G44" i="22"/>
  <c r="F44" i="22"/>
  <c r="E44" i="22"/>
  <c r="D44" i="22"/>
  <c r="A44" i="22"/>
  <c r="J223" i="22"/>
  <c r="I223" i="22"/>
  <c r="H223" i="22"/>
  <c r="F223" i="22"/>
  <c r="D223" i="22"/>
  <c r="A223" i="22"/>
  <c r="J222" i="22"/>
  <c r="I222" i="22"/>
  <c r="H222" i="22"/>
  <c r="F222" i="22"/>
  <c r="D222" i="22"/>
  <c r="A222" i="22"/>
  <c r="J221" i="22"/>
  <c r="I221" i="22"/>
  <c r="H221" i="22"/>
  <c r="F221" i="22"/>
  <c r="D221" i="22"/>
  <c r="A221" i="22"/>
  <c r="J220" i="22"/>
  <c r="I220" i="22"/>
  <c r="H220" i="22"/>
  <c r="F220" i="22"/>
  <c r="D220" i="22"/>
  <c r="A220" i="22"/>
  <c r="J219" i="22"/>
  <c r="I219" i="22"/>
  <c r="H219" i="22"/>
  <c r="F219" i="22"/>
  <c r="D219" i="22"/>
  <c r="A219" i="22"/>
  <c r="J218" i="22"/>
  <c r="I218" i="22"/>
  <c r="H218" i="22"/>
  <c r="F218" i="22"/>
  <c r="E218" i="22"/>
  <c r="D218" i="22"/>
  <c r="A218" i="22"/>
  <c r="J215" i="22"/>
  <c r="I215" i="22"/>
  <c r="H215" i="22"/>
  <c r="F215" i="22"/>
  <c r="D215" i="22"/>
  <c r="A215" i="22"/>
  <c r="J214" i="22"/>
  <c r="I214" i="22"/>
  <c r="H214" i="22"/>
  <c r="G214" i="22"/>
  <c r="F214" i="22"/>
  <c r="E214" i="22"/>
  <c r="D214" i="22"/>
  <c r="A214" i="22"/>
  <c r="J213" i="22"/>
  <c r="I213" i="22"/>
  <c r="H213" i="22"/>
  <c r="G213" i="22"/>
  <c r="F213" i="22"/>
  <c r="E213" i="22"/>
  <c r="D213" i="22"/>
  <c r="A213" i="22"/>
  <c r="J212" i="22"/>
  <c r="I212" i="22"/>
  <c r="H212" i="22"/>
  <c r="G212" i="22"/>
  <c r="F212" i="22"/>
  <c r="D212" i="22"/>
  <c r="A212" i="22"/>
  <c r="J211" i="22"/>
  <c r="I211" i="22"/>
  <c r="H211" i="22"/>
  <c r="G211" i="22"/>
  <c r="F211" i="22"/>
  <c r="E211" i="22"/>
  <c r="D211" i="22"/>
  <c r="A211" i="22"/>
  <c r="J210" i="22"/>
  <c r="I210" i="22"/>
  <c r="H210" i="22"/>
  <c r="G210" i="22"/>
  <c r="F210" i="22"/>
  <c r="E210" i="22"/>
  <c r="D210" i="22"/>
  <c r="A210" i="22"/>
  <c r="J209" i="22"/>
  <c r="I209" i="22"/>
  <c r="H209" i="22"/>
  <c r="G209" i="22"/>
  <c r="F209" i="22"/>
  <c r="D209" i="22"/>
  <c r="A209" i="22"/>
  <c r="J43" i="22"/>
  <c r="I43" i="22"/>
  <c r="H43" i="22"/>
  <c r="G43" i="22"/>
  <c r="F43" i="22"/>
  <c r="E43" i="22"/>
  <c r="D43" i="22"/>
  <c r="A43" i="22"/>
  <c r="J42" i="22"/>
  <c r="I42" i="22"/>
  <c r="H42" i="22"/>
  <c r="G42" i="22"/>
  <c r="F42" i="22"/>
  <c r="E42" i="22"/>
  <c r="D42" i="22"/>
  <c r="A42" i="22"/>
  <c r="J41" i="22"/>
  <c r="I41" i="22"/>
  <c r="H41" i="22"/>
  <c r="F41" i="22"/>
  <c r="D41" i="22"/>
  <c r="A41" i="22"/>
  <c r="J40" i="22"/>
  <c r="I40" i="22"/>
  <c r="H40" i="22"/>
  <c r="F40" i="22"/>
  <c r="E40" i="22"/>
  <c r="D40" i="22"/>
  <c r="A40" i="22"/>
  <c r="J39" i="22"/>
  <c r="I39" i="22"/>
  <c r="H39" i="22"/>
  <c r="G39" i="22"/>
  <c r="F39" i="22"/>
  <c r="E39" i="22"/>
  <c r="D39" i="22"/>
  <c r="A39" i="22"/>
  <c r="J38" i="22"/>
  <c r="I38" i="22"/>
  <c r="H38" i="22"/>
  <c r="F38" i="22"/>
  <c r="D38" i="22"/>
  <c r="A38" i="22"/>
  <c r="J37" i="22"/>
  <c r="I37" i="22"/>
  <c r="H37" i="22"/>
  <c r="F37" i="22"/>
  <c r="E37" i="22"/>
  <c r="D37" i="22"/>
  <c r="A37" i="22"/>
  <c r="J36" i="22"/>
  <c r="I36" i="22"/>
  <c r="H36" i="22"/>
  <c r="G36" i="22"/>
  <c r="F36" i="22"/>
  <c r="E36" i="22"/>
  <c r="D36" i="22"/>
  <c r="A36" i="22"/>
  <c r="J35" i="22"/>
  <c r="I35" i="22"/>
  <c r="H35" i="22"/>
  <c r="F35" i="22"/>
  <c r="D35" i="22"/>
  <c r="A35" i="22"/>
  <c r="J208" i="22"/>
  <c r="I208" i="22"/>
  <c r="H208" i="22"/>
  <c r="G208" i="22"/>
  <c r="F208" i="22"/>
  <c r="E208" i="22"/>
  <c r="D208" i="22"/>
  <c r="A208" i="22"/>
  <c r="J207" i="22"/>
  <c r="I207" i="22"/>
  <c r="H207" i="22"/>
  <c r="G207" i="22"/>
  <c r="F207" i="22"/>
  <c r="E207" i="22"/>
  <c r="D207" i="22"/>
  <c r="A207" i="22"/>
  <c r="J206" i="22"/>
  <c r="I206" i="22"/>
  <c r="H206" i="22"/>
  <c r="G206" i="22"/>
  <c r="F206" i="22"/>
  <c r="E206" i="22"/>
  <c r="D206" i="22"/>
  <c r="A206" i="22"/>
  <c r="J205" i="22"/>
  <c r="I205" i="22"/>
  <c r="H205" i="22"/>
  <c r="G205" i="22"/>
  <c r="F205" i="22"/>
  <c r="E205" i="22"/>
  <c r="D205" i="22"/>
  <c r="A205" i="22"/>
  <c r="J204" i="22"/>
  <c r="I204" i="22"/>
  <c r="H204" i="22"/>
  <c r="G204" i="22"/>
  <c r="F204" i="22"/>
  <c r="E204" i="22"/>
  <c r="D204" i="22"/>
  <c r="A204" i="22"/>
  <c r="J203" i="22"/>
  <c r="I203" i="22"/>
  <c r="H203" i="22"/>
  <c r="G203" i="22"/>
  <c r="F203" i="22"/>
  <c r="E203" i="22"/>
  <c r="D203" i="22"/>
  <c r="A203" i="22"/>
  <c r="J201" i="22"/>
  <c r="I201" i="22"/>
  <c r="H201" i="22"/>
  <c r="F201" i="22"/>
  <c r="D201" i="22"/>
  <c r="A201" i="22"/>
  <c r="J200" i="22"/>
  <c r="I200" i="22"/>
  <c r="H200" i="22"/>
  <c r="F200" i="22"/>
  <c r="D200" i="22"/>
  <c r="A200" i="22"/>
  <c r="J86" i="22"/>
  <c r="I86" i="22"/>
  <c r="H86" i="22"/>
  <c r="F86" i="22"/>
  <c r="D86" i="22"/>
  <c r="A86" i="22"/>
  <c r="J85" i="22"/>
  <c r="I85" i="22"/>
  <c r="H85" i="22"/>
  <c r="F85" i="22"/>
  <c r="D85" i="22"/>
  <c r="A85" i="22"/>
  <c r="J199" i="22"/>
  <c r="I199" i="22"/>
  <c r="H199" i="22"/>
  <c r="F199" i="22"/>
  <c r="D199" i="22"/>
  <c r="A199" i="22"/>
  <c r="J196" i="22"/>
  <c r="I196" i="22"/>
  <c r="H196" i="22"/>
  <c r="F196" i="22"/>
  <c r="D196" i="22"/>
  <c r="A196" i="22"/>
  <c r="J195" i="22"/>
  <c r="I195" i="22"/>
  <c r="H195" i="22"/>
  <c r="F195" i="22"/>
  <c r="D195" i="22"/>
  <c r="A195" i="22"/>
  <c r="J192" i="22"/>
  <c r="I192" i="22"/>
  <c r="H192" i="22"/>
  <c r="F192" i="22"/>
  <c r="D192" i="22"/>
  <c r="A192" i="22"/>
  <c r="J191" i="22"/>
  <c r="I191" i="22"/>
  <c r="H191" i="22"/>
  <c r="F191" i="22"/>
  <c r="D191" i="22"/>
  <c r="A191" i="22"/>
  <c r="J97" i="22"/>
  <c r="I97" i="22"/>
  <c r="H97" i="22"/>
  <c r="G97" i="22"/>
  <c r="F97" i="22"/>
  <c r="E97" i="22"/>
  <c r="D97" i="22"/>
  <c r="A97" i="22"/>
  <c r="J96" i="22"/>
  <c r="I96" i="22"/>
  <c r="H96" i="22"/>
  <c r="F96" i="22"/>
  <c r="E96" i="22"/>
  <c r="D96" i="22"/>
  <c r="A96" i="22"/>
  <c r="J95" i="22"/>
  <c r="I95" i="22"/>
  <c r="H95" i="22"/>
  <c r="G95" i="22"/>
  <c r="F95" i="22"/>
  <c r="E95" i="22"/>
  <c r="D95" i="22"/>
  <c r="A95" i="22"/>
  <c r="J94" i="22"/>
  <c r="I94" i="22"/>
  <c r="H94" i="22"/>
  <c r="G94" i="22"/>
  <c r="F94" i="22"/>
  <c r="E94" i="22"/>
  <c r="D94" i="22"/>
  <c r="A94" i="22"/>
  <c r="J93" i="22"/>
  <c r="I93" i="22"/>
  <c r="H93" i="22"/>
  <c r="G93" i="22"/>
  <c r="F93" i="22"/>
  <c r="E93" i="22"/>
  <c r="D93" i="22"/>
  <c r="A93" i="22"/>
  <c r="J92" i="22"/>
  <c r="I92" i="22"/>
  <c r="H92" i="22"/>
  <c r="F92" i="22"/>
  <c r="E92" i="22"/>
  <c r="D92" i="22"/>
  <c r="A92" i="22"/>
  <c r="J91" i="22"/>
  <c r="I91" i="22"/>
  <c r="H91" i="22"/>
  <c r="G91" i="22"/>
  <c r="F91" i="22"/>
  <c r="E91" i="22"/>
  <c r="D91" i="22"/>
  <c r="A91" i="22"/>
  <c r="J90" i="22"/>
  <c r="I90" i="22"/>
  <c r="H90" i="22"/>
  <c r="G90" i="22"/>
  <c r="F90" i="22"/>
  <c r="E90" i="22"/>
  <c r="D90" i="22"/>
  <c r="A90" i="22"/>
  <c r="J89" i="22"/>
  <c r="I89" i="22"/>
  <c r="H89" i="22"/>
  <c r="G89" i="22"/>
  <c r="F89" i="22"/>
  <c r="E89" i="22"/>
  <c r="D89" i="22"/>
  <c r="A89" i="22"/>
  <c r="J202" i="22"/>
  <c r="I202" i="22"/>
  <c r="H202" i="22"/>
  <c r="G202" i="22"/>
  <c r="F202" i="22"/>
  <c r="E202" i="22"/>
  <c r="D202" i="22"/>
  <c r="A202" i="22"/>
  <c r="J88" i="22"/>
  <c r="I88" i="22"/>
  <c r="H88" i="22"/>
  <c r="G88" i="22"/>
  <c r="F88" i="22"/>
  <c r="E88" i="22"/>
  <c r="D88" i="22"/>
  <c r="A88" i="22"/>
  <c r="J87" i="22"/>
  <c r="I87" i="22"/>
  <c r="H87" i="22"/>
  <c r="G87" i="22"/>
  <c r="F87" i="22"/>
  <c r="D87" i="22"/>
  <c r="A87" i="22"/>
  <c r="J198" i="22"/>
  <c r="I198" i="22"/>
  <c r="H198" i="22"/>
  <c r="G198" i="22"/>
  <c r="F198" i="22"/>
  <c r="E198" i="22"/>
  <c r="D198" i="22"/>
  <c r="A198" i="22"/>
  <c r="J84" i="22"/>
  <c r="I84" i="22"/>
  <c r="H84" i="22"/>
  <c r="G84" i="22"/>
  <c r="F84" i="22"/>
  <c r="E84" i="22"/>
  <c r="D84" i="22"/>
  <c r="A84" i="22"/>
  <c r="J197" i="22"/>
  <c r="I197" i="22"/>
  <c r="H197" i="22"/>
  <c r="F197" i="22"/>
  <c r="E197" i="22"/>
  <c r="D197" i="22"/>
  <c r="A197" i="22"/>
  <c r="J83" i="22"/>
  <c r="I83" i="22"/>
  <c r="H83" i="22"/>
  <c r="G83" i="22"/>
  <c r="F83" i="22"/>
  <c r="D83" i="22"/>
  <c r="A83" i="22"/>
  <c r="J82" i="22"/>
  <c r="I82" i="22"/>
  <c r="H82" i="22"/>
  <c r="G82" i="22"/>
  <c r="F82" i="22"/>
  <c r="E82" i="22"/>
  <c r="D82" i="22"/>
  <c r="A82" i="22"/>
  <c r="J81" i="22"/>
  <c r="I81" i="22"/>
  <c r="H81" i="22"/>
  <c r="G81" i="22"/>
  <c r="F81" i="22"/>
  <c r="E81" i="22"/>
  <c r="D81" i="22"/>
  <c r="A81" i="22"/>
  <c r="J194" i="22"/>
  <c r="I194" i="22"/>
  <c r="H194" i="22"/>
  <c r="G194" i="22"/>
  <c r="F194" i="22"/>
  <c r="D194" i="22"/>
  <c r="A194" i="22"/>
  <c r="J80" i="22"/>
  <c r="I80" i="22"/>
  <c r="H80" i="22"/>
  <c r="G80" i="22"/>
  <c r="F80" i="22"/>
  <c r="E80" i="22"/>
  <c r="D80" i="22"/>
  <c r="A80" i="22"/>
  <c r="J193" i="22"/>
  <c r="I193" i="22"/>
  <c r="H193" i="22"/>
  <c r="G193" i="22"/>
  <c r="F193" i="22"/>
  <c r="E193" i="22"/>
  <c r="D193" i="22"/>
  <c r="A193" i="22"/>
  <c r="J79" i="22"/>
  <c r="I79" i="22"/>
  <c r="H79" i="22"/>
  <c r="G79" i="22"/>
  <c r="F79" i="22"/>
  <c r="D79" i="22"/>
  <c r="A79" i="22"/>
  <c r="J78" i="22"/>
  <c r="I78" i="22"/>
  <c r="H78" i="22"/>
  <c r="G78" i="22"/>
  <c r="F78" i="22"/>
  <c r="E78" i="22"/>
  <c r="D78" i="22"/>
  <c r="A78" i="22"/>
  <c r="J77" i="22"/>
  <c r="I77" i="22"/>
  <c r="H77" i="22"/>
  <c r="G77" i="22"/>
  <c r="F77" i="22"/>
  <c r="E77" i="22"/>
  <c r="D77" i="22"/>
  <c r="A77" i="22"/>
  <c r="K106" i="21"/>
  <c r="J261" i="21"/>
  <c r="I261" i="21"/>
  <c r="H261" i="21"/>
  <c r="F261" i="21"/>
  <c r="D261" i="21"/>
  <c r="J260" i="21"/>
  <c r="I260" i="21"/>
  <c r="H260" i="21"/>
  <c r="F260" i="21"/>
  <c r="D260" i="21"/>
  <c r="J259" i="21"/>
  <c r="I259" i="21"/>
  <c r="H259" i="21"/>
  <c r="F259" i="21"/>
  <c r="D259" i="21"/>
  <c r="J258" i="21"/>
  <c r="I258" i="21"/>
  <c r="H258" i="21"/>
  <c r="F258" i="21"/>
  <c r="D258" i="21"/>
  <c r="J257" i="21"/>
  <c r="I257" i="21"/>
  <c r="H257" i="21"/>
  <c r="F257" i="21"/>
  <c r="D257" i="21"/>
  <c r="J256" i="21"/>
  <c r="I256" i="21"/>
  <c r="H256" i="21"/>
  <c r="F256" i="21"/>
  <c r="D256" i="21"/>
  <c r="J255" i="21"/>
  <c r="I255" i="21"/>
  <c r="H255" i="21"/>
  <c r="F255" i="21"/>
  <c r="D255" i="21"/>
  <c r="J254" i="21"/>
  <c r="I254" i="21"/>
  <c r="H254" i="21"/>
  <c r="F254" i="21"/>
  <c r="D254" i="21"/>
  <c r="J253" i="21"/>
  <c r="I253" i="21"/>
  <c r="H253" i="21"/>
  <c r="F253" i="21"/>
  <c r="D253" i="21"/>
  <c r="J252" i="21"/>
  <c r="I252" i="21"/>
  <c r="H252" i="21"/>
  <c r="F252" i="21"/>
  <c r="D252" i="21"/>
  <c r="J251" i="21"/>
  <c r="I251" i="21"/>
  <c r="H251" i="21"/>
  <c r="F251" i="21"/>
  <c r="D251" i="21"/>
  <c r="J250" i="21"/>
  <c r="I250" i="21"/>
  <c r="H250" i="21"/>
  <c r="G250" i="21"/>
  <c r="F250" i="21"/>
  <c r="E250" i="21"/>
  <c r="D250" i="21"/>
  <c r="J249" i="21"/>
  <c r="I249" i="21"/>
  <c r="H249" i="21"/>
  <c r="F249" i="21"/>
  <c r="D249" i="21"/>
  <c r="J248" i="21"/>
  <c r="I248" i="21"/>
  <c r="H248" i="21"/>
  <c r="G248" i="21"/>
  <c r="F248" i="21"/>
  <c r="E248" i="21"/>
  <c r="D248" i="21"/>
  <c r="J247" i="21"/>
  <c r="I247" i="21"/>
  <c r="H247" i="21"/>
  <c r="G247" i="21"/>
  <c r="F247" i="21"/>
  <c r="E247" i="21"/>
  <c r="D247" i="21"/>
  <c r="J246" i="21"/>
  <c r="I246" i="21"/>
  <c r="H246" i="21"/>
  <c r="G246" i="21"/>
  <c r="F246" i="21"/>
  <c r="E246" i="21"/>
  <c r="D246" i="21"/>
  <c r="J245" i="21"/>
  <c r="I245" i="21"/>
  <c r="H245" i="21"/>
  <c r="G245" i="21"/>
  <c r="F245" i="21"/>
  <c r="D245" i="21"/>
  <c r="J244" i="21"/>
  <c r="I244" i="21"/>
  <c r="H244" i="21"/>
  <c r="G244" i="21"/>
  <c r="F244" i="21"/>
  <c r="E244" i="21"/>
  <c r="D244" i="21"/>
  <c r="J243" i="21"/>
  <c r="I243" i="21"/>
  <c r="H243" i="21"/>
  <c r="G243" i="21"/>
  <c r="F243" i="21"/>
  <c r="E243" i="21"/>
  <c r="D243" i="21"/>
  <c r="J242" i="21"/>
  <c r="I242" i="21"/>
  <c r="H242" i="21"/>
  <c r="G242" i="21"/>
  <c r="F242" i="21"/>
  <c r="D242" i="21"/>
  <c r="J241" i="21"/>
  <c r="I241" i="21"/>
  <c r="H241" i="21"/>
  <c r="G241" i="21"/>
  <c r="F241" i="21"/>
  <c r="E241" i="21"/>
  <c r="D241" i="21"/>
  <c r="J240" i="21"/>
  <c r="I240" i="21"/>
  <c r="H240" i="21"/>
  <c r="G240" i="21"/>
  <c r="F240" i="21"/>
  <c r="E240" i="21"/>
  <c r="D240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J239" i="21"/>
  <c r="I239" i="21"/>
  <c r="H239" i="21"/>
  <c r="F239" i="21"/>
  <c r="D239" i="21"/>
  <c r="J238" i="21"/>
  <c r="I238" i="21"/>
  <c r="H238" i="21"/>
  <c r="F238" i="21"/>
  <c r="D238" i="21"/>
  <c r="J237" i="21"/>
  <c r="I237" i="21"/>
  <c r="H237" i="21"/>
  <c r="F237" i="21"/>
  <c r="D237" i="21"/>
  <c r="J236" i="21"/>
  <c r="I236" i="21"/>
  <c r="H236" i="21"/>
  <c r="F236" i="21"/>
  <c r="D236" i="21"/>
  <c r="J235" i="21"/>
  <c r="I235" i="21"/>
  <c r="H235" i="21"/>
  <c r="F235" i="21"/>
  <c r="D235" i="21"/>
  <c r="J234" i="21"/>
  <c r="I234" i="21"/>
  <c r="H234" i="21"/>
  <c r="F234" i="21"/>
  <c r="D234" i="21"/>
  <c r="J233" i="21"/>
  <c r="I233" i="21"/>
  <c r="H233" i="21"/>
  <c r="F233" i="21"/>
  <c r="D233" i="21"/>
  <c r="J232" i="21"/>
  <c r="I232" i="21"/>
  <c r="H232" i="21"/>
  <c r="F232" i="21"/>
  <c r="D232" i="21"/>
  <c r="J231" i="21"/>
  <c r="I231" i="21"/>
  <c r="H231" i="21"/>
  <c r="F231" i="21"/>
  <c r="D231" i="21"/>
  <c r="J230" i="21"/>
  <c r="I230" i="21"/>
  <c r="H230" i="21"/>
  <c r="F230" i="21"/>
  <c r="D230" i="21"/>
  <c r="A239" i="21"/>
  <c r="A238" i="21"/>
  <c r="A237" i="21"/>
  <c r="A236" i="21"/>
  <c r="A235" i="21"/>
  <c r="A234" i="21"/>
  <c r="A233" i="21"/>
  <c r="A232" i="21"/>
  <c r="A231" i="21"/>
  <c r="A230" i="21"/>
  <c r="J229" i="21"/>
  <c r="I229" i="21"/>
  <c r="H229" i="21"/>
  <c r="F229" i="21"/>
  <c r="D229" i="21"/>
  <c r="J228" i="21"/>
  <c r="I228" i="21"/>
  <c r="H228" i="21"/>
  <c r="F228" i="21"/>
  <c r="D228" i="21"/>
  <c r="J227" i="21"/>
  <c r="I227" i="21"/>
  <c r="H227" i="21"/>
  <c r="F227" i="21"/>
  <c r="D227" i="21"/>
  <c r="J226" i="21"/>
  <c r="I226" i="21"/>
  <c r="H226" i="21"/>
  <c r="F226" i="21"/>
  <c r="D226" i="21"/>
  <c r="J225" i="21"/>
  <c r="I225" i="21"/>
  <c r="H225" i="21"/>
  <c r="G225" i="21"/>
  <c r="F225" i="21"/>
  <c r="D225" i="21"/>
  <c r="J224" i="21"/>
  <c r="I224" i="21"/>
  <c r="H224" i="21"/>
  <c r="F224" i="21"/>
  <c r="D224" i="21"/>
  <c r="J223" i="21"/>
  <c r="I223" i="21"/>
  <c r="H223" i="21"/>
  <c r="F223" i="21"/>
  <c r="D223" i="21"/>
  <c r="J222" i="21"/>
  <c r="I222" i="21"/>
  <c r="H222" i="21"/>
  <c r="F222" i="21"/>
  <c r="D222" i="21"/>
  <c r="J221" i="21"/>
  <c r="I221" i="21"/>
  <c r="H221" i="21"/>
  <c r="F221" i="21"/>
  <c r="D221" i="21"/>
  <c r="J220" i="21"/>
  <c r="I220" i="21"/>
  <c r="H220" i="21"/>
  <c r="F220" i="21"/>
  <c r="D220" i="21"/>
  <c r="J219" i="21"/>
  <c r="I219" i="21"/>
  <c r="H219" i="21"/>
  <c r="G219" i="21"/>
  <c r="F219" i="21"/>
  <c r="E219" i="21"/>
  <c r="D219" i="21"/>
  <c r="J218" i="21"/>
  <c r="I218" i="21"/>
  <c r="H218" i="21"/>
  <c r="G218" i="21"/>
  <c r="F218" i="21"/>
  <c r="E218" i="21"/>
  <c r="D218" i="21"/>
  <c r="J217" i="21"/>
  <c r="I217" i="21"/>
  <c r="H217" i="21"/>
  <c r="F217" i="21"/>
  <c r="D217" i="21"/>
  <c r="J216" i="21"/>
  <c r="I216" i="21"/>
  <c r="H216" i="21"/>
  <c r="F216" i="21"/>
  <c r="D216" i="21"/>
  <c r="J215" i="21"/>
  <c r="I215" i="21"/>
  <c r="H215" i="21"/>
  <c r="G215" i="21"/>
  <c r="F215" i="21"/>
  <c r="E215" i="21"/>
  <c r="D215" i="21"/>
  <c r="J214" i="21"/>
  <c r="I214" i="21"/>
  <c r="H214" i="21"/>
  <c r="G214" i="21"/>
  <c r="F214" i="21"/>
  <c r="D214" i="21"/>
  <c r="J213" i="21"/>
  <c r="I213" i="21"/>
  <c r="H213" i="21"/>
  <c r="F213" i="21"/>
  <c r="D213" i="21"/>
  <c r="J212" i="21"/>
  <c r="I212" i="21"/>
  <c r="H212" i="21"/>
  <c r="F212" i="21"/>
  <c r="D212" i="21"/>
  <c r="J211" i="21"/>
  <c r="I211" i="21"/>
  <c r="H211" i="21"/>
  <c r="G211" i="21"/>
  <c r="F211" i="21"/>
  <c r="E211" i="21"/>
  <c r="D211" i="21"/>
  <c r="J210" i="21"/>
  <c r="I210" i="21"/>
  <c r="H210" i="21"/>
  <c r="F210" i="21"/>
  <c r="E210" i="21"/>
  <c r="D21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J209" i="21"/>
  <c r="I209" i="21"/>
  <c r="H209" i="21"/>
  <c r="G209" i="21"/>
  <c r="F209" i="21"/>
  <c r="E209" i="21"/>
  <c r="D209" i="21"/>
  <c r="J208" i="21"/>
  <c r="I208" i="21"/>
  <c r="H208" i="21"/>
  <c r="G208" i="21"/>
  <c r="F208" i="21"/>
  <c r="E208" i="21"/>
  <c r="D208" i="21"/>
  <c r="J207" i="21"/>
  <c r="I207" i="21"/>
  <c r="H207" i="21"/>
  <c r="G207" i="21"/>
  <c r="F207" i="21"/>
  <c r="E207" i="21"/>
  <c r="D207" i="21"/>
  <c r="J206" i="21"/>
  <c r="I206" i="21"/>
  <c r="H206" i="21"/>
  <c r="G206" i="21"/>
  <c r="F206" i="21"/>
  <c r="E206" i="21"/>
  <c r="D206" i="21"/>
  <c r="J205" i="21"/>
  <c r="I205" i="21"/>
  <c r="H205" i="21"/>
  <c r="G205" i="21"/>
  <c r="F205" i="21"/>
  <c r="E205" i="21"/>
  <c r="D205" i="21"/>
  <c r="J204" i="21"/>
  <c r="I204" i="21"/>
  <c r="H204" i="21"/>
  <c r="G204" i="21"/>
  <c r="F204" i="21"/>
  <c r="E204" i="21"/>
  <c r="D204" i="21"/>
  <c r="J203" i="21"/>
  <c r="I203" i="21"/>
  <c r="H203" i="21"/>
  <c r="G203" i="21"/>
  <c r="F203" i="21"/>
  <c r="E203" i="21"/>
  <c r="D203" i="21"/>
  <c r="J202" i="21"/>
  <c r="I202" i="21"/>
  <c r="H202" i="21"/>
  <c r="G202" i="21"/>
  <c r="F202" i="21"/>
  <c r="E202" i="21"/>
  <c r="D202" i="21"/>
  <c r="J201" i="21"/>
  <c r="I201" i="21"/>
  <c r="H201" i="21"/>
  <c r="G201" i="21"/>
  <c r="F201" i="21"/>
  <c r="E201" i="21"/>
  <c r="D201" i="21"/>
  <c r="J200" i="21"/>
  <c r="I200" i="21"/>
  <c r="H200" i="21"/>
  <c r="G200" i="21"/>
  <c r="F200" i="21"/>
  <c r="E200" i="21"/>
  <c r="D200" i="21"/>
  <c r="J199" i="21"/>
  <c r="I199" i="21"/>
  <c r="H199" i="21"/>
  <c r="G199" i="21"/>
  <c r="F199" i="21"/>
  <c r="E199" i="21"/>
  <c r="D199" i="21"/>
  <c r="J198" i="21"/>
  <c r="I198" i="21"/>
  <c r="H198" i="21"/>
  <c r="G198" i="21"/>
  <c r="F198" i="21"/>
  <c r="E198" i="21"/>
  <c r="D198" i="21"/>
  <c r="J197" i="21"/>
  <c r="I197" i="21"/>
  <c r="H197" i="21"/>
  <c r="G197" i="21"/>
  <c r="F197" i="21"/>
  <c r="E197" i="21"/>
  <c r="D197" i="21"/>
  <c r="J196" i="21"/>
  <c r="I196" i="21"/>
  <c r="H196" i="21"/>
  <c r="G196" i="21"/>
  <c r="F196" i="21"/>
  <c r="E196" i="21"/>
  <c r="D196" i="21"/>
  <c r="J195" i="21"/>
  <c r="I195" i="21"/>
  <c r="H195" i="21"/>
  <c r="G195" i="21"/>
  <c r="F195" i="21"/>
  <c r="E195" i="21"/>
  <c r="D195" i="21"/>
  <c r="J194" i="21"/>
  <c r="I194" i="21"/>
  <c r="H194" i="21"/>
  <c r="G194" i="21"/>
  <c r="F194" i="21"/>
  <c r="E194" i="21"/>
  <c r="D194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J193" i="21"/>
  <c r="I193" i="21"/>
  <c r="H193" i="21"/>
  <c r="F193" i="21"/>
  <c r="D193" i="21"/>
  <c r="J192" i="21"/>
  <c r="I192" i="21"/>
  <c r="H192" i="21"/>
  <c r="F192" i="21"/>
  <c r="D192" i="21"/>
  <c r="J191" i="21"/>
  <c r="I191" i="21"/>
  <c r="H191" i="21"/>
  <c r="F191" i="21"/>
  <c r="D191" i="21"/>
  <c r="J190" i="21"/>
  <c r="I190" i="21"/>
  <c r="H190" i="21"/>
  <c r="F190" i="21"/>
  <c r="D190" i="21"/>
  <c r="J189" i="21"/>
  <c r="I189" i="21"/>
  <c r="H189" i="21"/>
  <c r="F189" i="21"/>
  <c r="D189" i="21"/>
  <c r="J188" i="21"/>
  <c r="I188" i="21"/>
  <c r="H188" i="21"/>
  <c r="F188" i="21"/>
  <c r="D188" i="21"/>
  <c r="J187" i="21"/>
  <c r="I187" i="21"/>
  <c r="H187" i="21"/>
  <c r="F187" i="21"/>
  <c r="D187" i="21"/>
  <c r="J186" i="21"/>
  <c r="I186" i="21"/>
  <c r="H186" i="21"/>
  <c r="F186" i="21"/>
  <c r="D186" i="21"/>
  <c r="J185" i="21"/>
  <c r="I185" i="21"/>
  <c r="H185" i="21"/>
  <c r="F185" i="21"/>
  <c r="D185" i="21"/>
  <c r="J184" i="21"/>
  <c r="I184" i="21"/>
  <c r="H184" i="21"/>
  <c r="G184" i="21"/>
  <c r="F184" i="21"/>
  <c r="E184" i="21"/>
  <c r="D184" i="21"/>
  <c r="J183" i="21"/>
  <c r="I183" i="21"/>
  <c r="H183" i="21"/>
  <c r="G183" i="21"/>
  <c r="F183" i="21"/>
  <c r="E183" i="21"/>
  <c r="D183" i="21"/>
  <c r="J182" i="21"/>
  <c r="I182" i="21"/>
  <c r="H182" i="21"/>
  <c r="G182" i="21"/>
  <c r="F182" i="21"/>
  <c r="D182" i="21"/>
  <c r="J181" i="21"/>
  <c r="I181" i="21"/>
  <c r="H181" i="21"/>
  <c r="G181" i="21"/>
  <c r="F181" i="21"/>
  <c r="E181" i="21"/>
  <c r="D181" i="21"/>
  <c r="J180" i="21"/>
  <c r="I180" i="21"/>
  <c r="H180" i="21"/>
  <c r="G180" i="21"/>
  <c r="F180" i="21"/>
  <c r="E180" i="21"/>
  <c r="D180" i="21"/>
  <c r="J179" i="21"/>
  <c r="I179" i="21"/>
  <c r="H179" i="21"/>
  <c r="G179" i="21"/>
  <c r="F179" i="21"/>
  <c r="D179" i="21"/>
  <c r="J178" i="21"/>
  <c r="I178" i="21"/>
  <c r="H178" i="21"/>
  <c r="G178" i="21"/>
  <c r="F178" i="21"/>
  <c r="E178" i="21"/>
  <c r="D178" i="21"/>
  <c r="J177" i="21"/>
  <c r="I177" i="21"/>
  <c r="H177" i="21"/>
  <c r="G177" i="21"/>
  <c r="F177" i="21"/>
  <c r="E177" i="21"/>
  <c r="D177" i="21"/>
  <c r="J176" i="21"/>
  <c r="I176" i="21"/>
  <c r="H176" i="21"/>
  <c r="F176" i="21"/>
  <c r="D176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J175" i="21"/>
  <c r="I175" i="21"/>
  <c r="H175" i="21"/>
  <c r="G175" i="21"/>
  <c r="F175" i="21"/>
  <c r="D175" i="21"/>
  <c r="J174" i="21"/>
  <c r="I174" i="21"/>
  <c r="H174" i="21"/>
  <c r="F174" i="21"/>
  <c r="D174" i="21"/>
  <c r="J173" i="21"/>
  <c r="I173" i="21"/>
  <c r="H173" i="21"/>
  <c r="F173" i="21"/>
  <c r="E173" i="21"/>
  <c r="D173" i="21"/>
  <c r="J172" i="21"/>
  <c r="I172" i="21"/>
  <c r="H172" i="21"/>
  <c r="F172" i="21"/>
  <c r="D172" i="21"/>
  <c r="J171" i="21"/>
  <c r="I171" i="21"/>
  <c r="H171" i="21"/>
  <c r="G171" i="21"/>
  <c r="F171" i="21"/>
  <c r="D171" i="21"/>
  <c r="J170" i="21"/>
  <c r="I170" i="21"/>
  <c r="H170" i="21"/>
  <c r="G170" i="21"/>
  <c r="F170" i="21"/>
  <c r="E170" i="21"/>
  <c r="D170" i="21"/>
  <c r="J169" i="21"/>
  <c r="I169" i="21"/>
  <c r="H169" i="21"/>
  <c r="G169" i="21"/>
  <c r="F169" i="21"/>
  <c r="E169" i="21"/>
  <c r="D169" i="21"/>
  <c r="J168" i="21"/>
  <c r="I168" i="21"/>
  <c r="H168" i="21"/>
  <c r="G168" i="21"/>
  <c r="F168" i="21"/>
  <c r="E168" i="21"/>
  <c r="D168" i="21"/>
  <c r="J167" i="21"/>
  <c r="I167" i="21"/>
  <c r="H167" i="21"/>
  <c r="G167" i="21"/>
  <c r="F167" i="21"/>
  <c r="E167" i="21"/>
  <c r="D167" i="21"/>
  <c r="J166" i="21"/>
  <c r="I166" i="21"/>
  <c r="H166" i="21"/>
  <c r="G166" i="21"/>
  <c r="F166" i="21"/>
  <c r="E166" i="21"/>
  <c r="D166" i="21"/>
  <c r="J165" i="21"/>
  <c r="I165" i="21"/>
  <c r="H165" i="21"/>
  <c r="G165" i="21"/>
  <c r="F165" i="21"/>
  <c r="E165" i="21"/>
  <c r="D165" i="21"/>
  <c r="J164" i="21"/>
  <c r="I164" i="21"/>
  <c r="H164" i="21"/>
  <c r="G164" i="21"/>
  <c r="F164" i="21"/>
  <c r="E164" i="21"/>
  <c r="D164" i="21"/>
  <c r="J163" i="21"/>
  <c r="I163" i="21"/>
  <c r="H163" i="21"/>
  <c r="G163" i="21"/>
  <c r="F163" i="21"/>
  <c r="E163" i="21"/>
  <c r="D163" i="21"/>
  <c r="J162" i="21"/>
  <c r="I162" i="21"/>
  <c r="H162" i="21"/>
  <c r="G162" i="21"/>
  <c r="F162" i="21"/>
  <c r="E162" i="21"/>
  <c r="D162" i="21"/>
  <c r="J161" i="21"/>
  <c r="I161" i="21"/>
  <c r="H161" i="21"/>
  <c r="G161" i="21"/>
  <c r="F161" i="21"/>
  <c r="E161" i="21"/>
  <c r="D161" i="21"/>
  <c r="J160" i="21"/>
  <c r="I160" i="21"/>
  <c r="H160" i="21"/>
  <c r="G160" i="21"/>
  <c r="F160" i="21"/>
  <c r="E160" i="21"/>
  <c r="D160" i="21"/>
  <c r="J159" i="21"/>
  <c r="I159" i="21"/>
  <c r="H159" i="21"/>
  <c r="G159" i="21"/>
  <c r="F159" i="21"/>
  <c r="E159" i="21"/>
  <c r="D159" i="21"/>
  <c r="J158" i="21"/>
  <c r="I158" i="21"/>
  <c r="H158" i="21"/>
  <c r="G158" i="21"/>
  <c r="F158" i="21"/>
  <c r="E158" i="21"/>
  <c r="D158" i="21"/>
  <c r="J157" i="21"/>
  <c r="I157" i="21"/>
  <c r="H157" i="21"/>
  <c r="G157" i="21"/>
  <c r="F157" i="21"/>
  <c r="E157" i="21"/>
  <c r="D157" i="21"/>
  <c r="J156" i="21"/>
  <c r="I156" i="21"/>
  <c r="H156" i="21"/>
  <c r="G156" i="21"/>
  <c r="F156" i="21"/>
  <c r="E156" i="21"/>
  <c r="D156" i="21"/>
  <c r="J155" i="21"/>
  <c r="I155" i="21"/>
  <c r="H155" i="21"/>
  <c r="G155" i="21"/>
  <c r="F155" i="21"/>
  <c r="E155" i="21"/>
  <c r="D155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J154" i="21"/>
  <c r="I154" i="21"/>
  <c r="H154" i="21"/>
  <c r="F154" i="21"/>
  <c r="D154" i="21"/>
  <c r="J153" i="21"/>
  <c r="I153" i="21"/>
  <c r="H153" i="21"/>
  <c r="F153" i="21"/>
  <c r="D153" i="21"/>
  <c r="J152" i="21"/>
  <c r="I152" i="21"/>
  <c r="H152" i="21"/>
  <c r="F152" i="21"/>
  <c r="D152" i="21"/>
  <c r="J151" i="21"/>
  <c r="I151" i="21"/>
  <c r="H151" i="21"/>
  <c r="F151" i="21"/>
  <c r="D151" i="21"/>
  <c r="J150" i="21"/>
  <c r="I150" i="21"/>
  <c r="H150" i="21"/>
  <c r="F150" i="21"/>
  <c r="D150" i="21"/>
  <c r="J149" i="21"/>
  <c r="I149" i="21"/>
  <c r="H149" i="21"/>
  <c r="F149" i="21"/>
  <c r="D149" i="21"/>
  <c r="J148" i="21"/>
  <c r="I148" i="21"/>
  <c r="H148" i="21"/>
  <c r="F148" i="21"/>
  <c r="D148" i="21"/>
  <c r="J147" i="21"/>
  <c r="I147" i="21"/>
  <c r="H147" i="21"/>
  <c r="F147" i="21"/>
  <c r="D147" i="21"/>
  <c r="J146" i="21"/>
  <c r="I146" i="21"/>
  <c r="H146" i="21"/>
  <c r="F146" i="21"/>
  <c r="D146" i="21"/>
  <c r="J145" i="21"/>
  <c r="I145" i="21"/>
  <c r="H145" i="21"/>
  <c r="F145" i="21"/>
  <c r="D145" i="21"/>
  <c r="J144" i="21"/>
  <c r="I144" i="21"/>
  <c r="H144" i="21"/>
  <c r="F144" i="21"/>
  <c r="D144" i="21"/>
  <c r="J143" i="21"/>
  <c r="I143" i="21"/>
  <c r="H143" i="21"/>
  <c r="F143" i="21"/>
  <c r="D143" i="21"/>
  <c r="J142" i="21"/>
  <c r="I142" i="21"/>
  <c r="H142" i="21"/>
  <c r="F142" i="21"/>
  <c r="D142" i="21"/>
  <c r="J141" i="21"/>
  <c r="I141" i="21"/>
  <c r="H141" i="21"/>
  <c r="F141" i="21"/>
  <c r="D141" i="21"/>
  <c r="J140" i="21"/>
  <c r="I140" i="21"/>
  <c r="H140" i="21"/>
  <c r="F140" i="21"/>
  <c r="D140" i="21"/>
  <c r="J139" i="21"/>
  <c r="I139" i="21"/>
  <c r="H139" i="21"/>
  <c r="F139" i="21"/>
  <c r="D139" i="21"/>
  <c r="J138" i="21"/>
  <c r="I138" i="21"/>
  <c r="H138" i="21"/>
  <c r="G138" i="21"/>
  <c r="F138" i="21"/>
  <c r="E138" i="21"/>
  <c r="D138" i="21"/>
  <c r="J137" i="21"/>
  <c r="I137" i="21"/>
  <c r="H137" i="21"/>
  <c r="G137" i="21"/>
  <c r="F137" i="21"/>
  <c r="E137" i="21"/>
  <c r="D137" i="21"/>
  <c r="J136" i="21"/>
  <c r="I136" i="21"/>
  <c r="H136" i="21"/>
  <c r="G136" i="21"/>
  <c r="F136" i="21"/>
  <c r="E136" i="21"/>
  <c r="D136" i="21"/>
  <c r="J135" i="21"/>
  <c r="I135" i="21"/>
  <c r="H135" i="21"/>
  <c r="G135" i="21"/>
  <c r="F135" i="21"/>
  <c r="E135" i="21"/>
  <c r="D135" i="21"/>
  <c r="J134" i="21"/>
  <c r="I134" i="21"/>
  <c r="H134" i="21"/>
  <c r="F134" i="21"/>
  <c r="D134" i="21"/>
  <c r="J133" i="21"/>
  <c r="I133" i="21"/>
  <c r="H133" i="21"/>
  <c r="F133" i="21"/>
  <c r="D133" i="21"/>
  <c r="J132" i="21"/>
  <c r="I132" i="21"/>
  <c r="H132" i="21"/>
  <c r="F132" i="21"/>
  <c r="D132" i="21"/>
  <c r="J131" i="21"/>
  <c r="I131" i="21"/>
  <c r="H131" i="21"/>
  <c r="F131" i="21"/>
  <c r="D131" i="21"/>
  <c r="J130" i="21"/>
  <c r="I130" i="21"/>
  <c r="H130" i="21"/>
  <c r="G130" i="21"/>
  <c r="F130" i="21"/>
  <c r="E130" i="21"/>
  <c r="D130" i="21"/>
  <c r="J129" i="21"/>
  <c r="I129" i="21"/>
  <c r="H129" i="21"/>
  <c r="G129" i="21"/>
  <c r="F129" i="21"/>
  <c r="E129" i="21"/>
  <c r="D129" i="21"/>
  <c r="J128" i="21"/>
  <c r="I128" i="21"/>
  <c r="H128" i="21"/>
  <c r="G128" i="21"/>
  <c r="F128" i="21"/>
  <c r="E128" i="21"/>
  <c r="D128" i="21"/>
  <c r="J127" i="21"/>
  <c r="I127" i="21"/>
  <c r="H127" i="21"/>
  <c r="G127" i="21"/>
  <c r="F127" i="21"/>
  <c r="E127" i="21"/>
  <c r="D127" i="21"/>
  <c r="J126" i="21"/>
  <c r="I126" i="21"/>
  <c r="H126" i="21"/>
  <c r="G126" i="21"/>
  <c r="F126" i="21"/>
  <c r="E126" i="21"/>
  <c r="D126" i="21"/>
  <c r="J125" i="21"/>
  <c r="I125" i="21"/>
  <c r="H125" i="21"/>
  <c r="G125" i="21"/>
  <c r="F125" i="21"/>
  <c r="E125" i="21"/>
  <c r="D125" i="21"/>
  <c r="J124" i="21"/>
  <c r="I124" i="21"/>
  <c r="H124" i="21"/>
  <c r="G124" i="21"/>
  <c r="F124" i="21"/>
  <c r="E124" i="21"/>
  <c r="D124" i="21"/>
  <c r="J123" i="21"/>
  <c r="I123" i="21"/>
  <c r="H123" i="21"/>
  <c r="G123" i="21"/>
  <c r="F123" i="21"/>
  <c r="E123" i="21"/>
  <c r="D123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J122" i="21"/>
  <c r="I122" i="21"/>
  <c r="H122" i="21"/>
  <c r="F122" i="21"/>
  <c r="D122" i="21"/>
  <c r="J121" i="21"/>
  <c r="I121" i="21"/>
  <c r="H121" i="21"/>
  <c r="F121" i="21"/>
  <c r="D121" i="21"/>
  <c r="J120" i="21"/>
  <c r="I120" i="21"/>
  <c r="H120" i="21"/>
  <c r="F120" i="21"/>
  <c r="D120" i="21"/>
  <c r="J119" i="21"/>
  <c r="I119" i="21"/>
  <c r="H119" i="21"/>
  <c r="F119" i="21"/>
  <c r="D119" i="21"/>
  <c r="J118" i="21"/>
  <c r="I118" i="21"/>
  <c r="H118" i="21"/>
  <c r="F118" i="21"/>
  <c r="D118" i="21"/>
  <c r="J117" i="21"/>
  <c r="I117" i="21"/>
  <c r="H117" i="21"/>
  <c r="F117" i="21"/>
  <c r="D117" i="21"/>
  <c r="J116" i="21"/>
  <c r="I116" i="21"/>
  <c r="H116" i="21"/>
  <c r="F116" i="21"/>
  <c r="D116" i="21"/>
  <c r="J115" i="21"/>
  <c r="I115" i="21"/>
  <c r="H115" i="21"/>
  <c r="F115" i="21"/>
  <c r="D115" i="21"/>
  <c r="J114" i="21"/>
  <c r="I114" i="21"/>
  <c r="H114" i="21"/>
  <c r="F114" i="21"/>
  <c r="D114" i="21"/>
  <c r="J113" i="21"/>
  <c r="I113" i="21"/>
  <c r="H113" i="21"/>
  <c r="F113" i="21"/>
  <c r="D113" i="21"/>
  <c r="J112" i="21"/>
  <c r="I112" i="21"/>
  <c r="H112" i="21"/>
  <c r="F112" i="21"/>
  <c r="D112" i="21"/>
  <c r="J109" i="21"/>
  <c r="I109" i="21"/>
  <c r="H109" i="21"/>
  <c r="F109" i="21"/>
  <c r="D109" i="21"/>
  <c r="J108" i="21"/>
  <c r="I108" i="21"/>
  <c r="H108" i="21"/>
  <c r="F108" i="21"/>
  <c r="D108" i="21"/>
  <c r="J107" i="21"/>
  <c r="I107" i="21"/>
  <c r="H107" i="21"/>
  <c r="F107" i="21"/>
  <c r="D107" i="21"/>
  <c r="J111" i="21"/>
  <c r="I111" i="21"/>
  <c r="H111" i="21"/>
  <c r="F111" i="21"/>
  <c r="D111" i="21"/>
  <c r="J110" i="21"/>
  <c r="I110" i="21"/>
  <c r="H110" i="21"/>
  <c r="F110" i="21"/>
  <c r="D110" i="21"/>
  <c r="J106" i="21"/>
  <c r="I106" i="21"/>
  <c r="H106" i="21"/>
  <c r="F106" i="21"/>
  <c r="D106" i="21"/>
  <c r="J105" i="21"/>
  <c r="I105" i="21"/>
  <c r="H105" i="21"/>
  <c r="F105" i="21"/>
  <c r="D105" i="21"/>
  <c r="J104" i="21"/>
  <c r="I104" i="21"/>
  <c r="H104" i="21"/>
  <c r="F104" i="21"/>
  <c r="D104" i="21"/>
  <c r="J103" i="21"/>
  <c r="I103" i="21"/>
  <c r="H103" i="21"/>
  <c r="F103" i="21"/>
  <c r="D103" i="21"/>
  <c r="J102" i="21"/>
  <c r="I102" i="21"/>
  <c r="H102" i="21"/>
  <c r="F102" i="21"/>
  <c r="D102" i="21"/>
  <c r="J101" i="21"/>
  <c r="I101" i="21"/>
  <c r="H101" i="21"/>
  <c r="F101" i="21"/>
  <c r="D101" i="21"/>
  <c r="J100" i="21"/>
  <c r="I100" i="21"/>
  <c r="H100" i="21"/>
  <c r="F100" i="21"/>
  <c r="D100" i="21"/>
  <c r="J99" i="21"/>
  <c r="I99" i="21"/>
  <c r="H99" i="21"/>
  <c r="F99" i="21"/>
  <c r="D99" i="21"/>
  <c r="J98" i="21"/>
  <c r="I98" i="21"/>
  <c r="H98" i="21"/>
  <c r="F98" i="21"/>
  <c r="D98" i="21"/>
  <c r="J97" i="21"/>
  <c r="I97" i="21"/>
  <c r="H97" i="21"/>
  <c r="F97" i="21"/>
  <c r="D97" i="21"/>
  <c r="J96" i="21"/>
  <c r="I96" i="21"/>
  <c r="H96" i="21"/>
  <c r="F96" i="21"/>
  <c r="D96" i="21"/>
  <c r="J95" i="21"/>
  <c r="I95" i="21"/>
  <c r="H95" i="21"/>
  <c r="F95" i="21"/>
  <c r="D95" i="21"/>
  <c r="J94" i="21"/>
  <c r="I94" i="21"/>
  <c r="H94" i="21"/>
  <c r="F94" i="21"/>
  <c r="D94" i="21"/>
  <c r="J93" i="21"/>
  <c r="I93" i="21"/>
  <c r="H93" i="21"/>
  <c r="F93" i="21"/>
  <c r="D93" i="21"/>
  <c r="J92" i="21"/>
  <c r="I92" i="21"/>
  <c r="H92" i="21"/>
  <c r="F92" i="21"/>
  <c r="D92" i="21"/>
  <c r="J91" i="21"/>
  <c r="I91" i="21"/>
  <c r="H91" i="21"/>
  <c r="F91" i="21"/>
  <c r="D91" i="21"/>
  <c r="A122" i="21"/>
  <c r="A121" i="21"/>
  <c r="A120" i="21"/>
  <c r="A119" i="21"/>
  <c r="A118" i="21"/>
  <c r="A117" i="21"/>
  <c r="A116" i="21"/>
  <c r="A115" i="21"/>
  <c r="A114" i="21"/>
  <c r="A113" i="21"/>
  <c r="A112" i="21"/>
  <c r="A109" i="21"/>
  <c r="A108" i="21"/>
  <c r="A107" i="21"/>
  <c r="A111" i="21"/>
  <c r="A110" i="21"/>
  <c r="B106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J90" i="21"/>
  <c r="I90" i="21"/>
  <c r="H90" i="21"/>
  <c r="F90" i="21"/>
  <c r="D90" i="21"/>
  <c r="J89" i="21"/>
  <c r="I89" i="21"/>
  <c r="H89" i="21"/>
  <c r="F89" i="21"/>
  <c r="D89" i="21"/>
  <c r="J88" i="21"/>
  <c r="I88" i="21"/>
  <c r="H88" i="21"/>
  <c r="F88" i="21"/>
  <c r="D88" i="21"/>
  <c r="J87" i="21"/>
  <c r="I87" i="21"/>
  <c r="H87" i="21"/>
  <c r="F87" i="21"/>
  <c r="D87" i="21"/>
  <c r="J86" i="21"/>
  <c r="I86" i="21"/>
  <c r="H86" i="21"/>
  <c r="F86" i="21"/>
  <c r="D86" i="21"/>
  <c r="J85" i="21"/>
  <c r="I85" i="21"/>
  <c r="H85" i="21"/>
  <c r="F85" i="21"/>
  <c r="D85" i="21"/>
  <c r="J84" i="21"/>
  <c r="I84" i="21"/>
  <c r="H84" i="21"/>
  <c r="F84" i="21"/>
  <c r="D84" i="21"/>
  <c r="J83" i="21"/>
  <c r="I83" i="21"/>
  <c r="H83" i="21"/>
  <c r="F83" i="21"/>
  <c r="D83" i="21"/>
  <c r="J82" i="21"/>
  <c r="I82" i="21"/>
  <c r="H82" i="21"/>
  <c r="F82" i="21"/>
  <c r="D82" i="21"/>
  <c r="J81" i="21"/>
  <c r="I81" i="21"/>
  <c r="H81" i="21"/>
  <c r="G81" i="21"/>
  <c r="F81" i="21"/>
  <c r="E81" i="21"/>
  <c r="D81" i="21"/>
  <c r="J80" i="21"/>
  <c r="I80" i="21"/>
  <c r="H80" i="21"/>
  <c r="G80" i="21"/>
  <c r="F80" i="21"/>
  <c r="E80" i="21"/>
  <c r="D80" i="21"/>
  <c r="J79" i="21"/>
  <c r="I79" i="21"/>
  <c r="H79" i="21"/>
  <c r="F79" i="21"/>
  <c r="D79" i="21"/>
  <c r="J78" i="21"/>
  <c r="I78" i="21"/>
  <c r="H78" i="21"/>
  <c r="F78" i="21"/>
  <c r="E78" i="21"/>
  <c r="D78" i="21"/>
  <c r="J77" i="21"/>
  <c r="I77" i="21"/>
  <c r="H77" i="21"/>
  <c r="G77" i="21"/>
  <c r="F77" i="21"/>
  <c r="E77" i="21"/>
  <c r="D77" i="21"/>
  <c r="J76" i="21"/>
  <c r="I76" i="21"/>
  <c r="H76" i="21"/>
  <c r="F76" i="21"/>
  <c r="D76" i="21"/>
  <c r="J75" i="21"/>
  <c r="I75" i="21"/>
  <c r="H75" i="21"/>
  <c r="F75" i="21"/>
  <c r="E75" i="21"/>
  <c r="D75" i="21"/>
  <c r="J74" i="21"/>
  <c r="I74" i="21"/>
  <c r="H74" i="21"/>
  <c r="G74" i="21"/>
  <c r="F74" i="21"/>
  <c r="E74" i="21"/>
  <c r="D74" i="21"/>
  <c r="J73" i="21"/>
  <c r="I73" i="21"/>
  <c r="H73" i="21"/>
  <c r="F73" i="21"/>
  <c r="D73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J72" i="21"/>
  <c r="I72" i="21"/>
  <c r="H72" i="21"/>
  <c r="G72" i="21"/>
  <c r="F72" i="21"/>
  <c r="E72" i="21"/>
  <c r="D72" i="21"/>
  <c r="J71" i="21"/>
  <c r="I71" i="21"/>
  <c r="H71" i="21"/>
  <c r="G71" i="21"/>
  <c r="F71" i="21"/>
  <c r="E71" i="21"/>
  <c r="D71" i="21"/>
  <c r="J70" i="21"/>
  <c r="I70" i="21"/>
  <c r="H70" i="21"/>
  <c r="G70" i="21"/>
  <c r="F70" i="21"/>
  <c r="E70" i="21"/>
  <c r="D70" i="21"/>
  <c r="J69" i="21"/>
  <c r="I69" i="21"/>
  <c r="H69" i="21"/>
  <c r="G69" i="21"/>
  <c r="F69" i="21"/>
  <c r="E69" i="21"/>
  <c r="D69" i="21"/>
  <c r="J68" i="21"/>
  <c r="I68" i="21"/>
  <c r="H68" i="21"/>
  <c r="G68" i="21"/>
  <c r="F68" i="21"/>
  <c r="E68" i="21"/>
  <c r="D68" i="21"/>
  <c r="J67" i="21"/>
  <c r="I67" i="21"/>
  <c r="H67" i="21"/>
  <c r="G67" i="21"/>
  <c r="F67" i="21"/>
  <c r="E67" i="21"/>
  <c r="D67" i="21"/>
  <c r="J66" i="21"/>
  <c r="I66" i="21"/>
  <c r="H66" i="21"/>
  <c r="G66" i="21"/>
  <c r="F66" i="21"/>
  <c r="E66" i="21"/>
  <c r="D66" i="21"/>
  <c r="J65" i="21"/>
  <c r="I65" i="21"/>
  <c r="H65" i="21"/>
  <c r="G65" i="21"/>
  <c r="F65" i="21"/>
  <c r="E65" i="21"/>
  <c r="D65" i="21"/>
  <c r="J64" i="21"/>
  <c r="I64" i="21"/>
  <c r="H64" i="21"/>
  <c r="G64" i="21"/>
  <c r="F64" i="21"/>
  <c r="E64" i="21"/>
  <c r="D64" i="21"/>
  <c r="J63" i="21"/>
  <c r="I63" i="21"/>
  <c r="H63" i="21"/>
  <c r="G63" i="21"/>
  <c r="F63" i="21"/>
  <c r="E63" i="21"/>
  <c r="D63" i="21"/>
  <c r="J62" i="21"/>
  <c r="I62" i="21"/>
  <c r="H62" i="21"/>
  <c r="F62" i="21"/>
  <c r="D62" i="21"/>
  <c r="J61" i="21"/>
  <c r="I61" i="21"/>
  <c r="H61" i="21"/>
  <c r="F61" i="21"/>
  <c r="D61" i="21"/>
  <c r="J60" i="21"/>
  <c r="I60" i="21"/>
  <c r="H60" i="21"/>
  <c r="F60" i="21"/>
  <c r="D60" i="21"/>
  <c r="J59" i="21"/>
  <c r="I59" i="21"/>
  <c r="H59" i="21"/>
  <c r="F59" i="21"/>
  <c r="D59" i="21"/>
  <c r="J58" i="21"/>
  <c r="I58" i="21"/>
  <c r="H58" i="21"/>
  <c r="F58" i="21"/>
  <c r="D58" i="21"/>
  <c r="J57" i="21"/>
  <c r="I57" i="21"/>
  <c r="H57" i="21"/>
  <c r="F57" i="21"/>
  <c r="E57" i="21"/>
  <c r="D57" i="21"/>
  <c r="J56" i="21"/>
  <c r="I56" i="21"/>
  <c r="H56" i="21"/>
  <c r="F56" i="21"/>
  <c r="D56" i="21"/>
  <c r="J55" i="21"/>
  <c r="I55" i="21"/>
  <c r="H55" i="21"/>
  <c r="G55" i="21"/>
  <c r="F55" i="21"/>
  <c r="E55" i="21"/>
  <c r="D55" i="21"/>
  <c r="J54" i="21"/>
  <c r="I54" i="21"/>
  <c r="H54" i="21"/>
  <c r="G54" i="21"/>
  <c r="F54" i="21"/>
  <c r="E54" i="21"/>
  <c r="D54" i="21"/>
  <c r="J53" i="21"/>
  <c r="I53" i="21"/>
  <c r="H53" i="21"/>
  <c r="G53" i="21"/>
  <c r="F53" i="21"/>
  <c r="D53" i="21"/>
  <c r="J52" i="21"/>
  <c r="I52" i="21"/>
  <c r="H52" i="21"/>
  <c r="G52" i="21"/>
  <c r="F52" i="21"/>
  <c r="E52" i="21"/>
  <c r="D52" i="21"/>
  <c r="J51" i="21"/>
  <c r="I51" i="21"/>
  <c r="H51" i="21"/>
  <c r="G51" i="21"/>
  <c r="F51" i="21"/>
  <c r="E51" i="21"/>
  <c r="D51" i="21"/>
  <c r="J50" i="21"/>
  <c r="I50" i="21"/>
  <c r="H50" i="21"/>
  <c r="G50" i="21"/>
  <c r="F50" i="21"/>
  <c r="D50" i="21"/>
  <c r="J49" i="21"/>
  <c r="I49" i="21"/>
  <c r="H49" i="21"/>
  <c r="G49" i="21"/>
  <c r="F49" i="21"/>
  <c r="E49" i="21"/>
  <c r="D49" i="21"/>
  <c r="J48" i="21"/>
  <c r="I48" i="21"/>
  <c r="H48" i="21"/>
  <c r="G48" i="21"/>
  <c r="F48" i="21"/>
  <c r="E48" i="21"/>
  <c r="D48" i="21"/>
  <c r="J47" i="21"/>
  <c r="I47" i="21"/>
  <c r="H47" i="21"/>
  <c r="F47" i="21"/>
  <c r="D47" i="21"/>
  <c r="J46" i="21"/>
  <c r="I46" i="21"/>
  <c r="H46" i="21"/>
  <c r="F46" i="21"/>
  <c r="E46" i="21"/>
  <c r="D46" i="21"/>
  <c r="J45" i="21"/>
  <c r="I45" i="21"/>
  <c r="H45" i="21"/>
  <c r="G45" i="21"/>
  <c r="F45" i="21"/>
  <c r="E45" i="21"/>
  <c r="D45" i="21"/>
  <c r="J44" i="21"/>
  <c r="I44" i="21"/>
  <c r="H44" i="21"/>
  <c r="F44" i="21"/>
  <c r="D44" i="21"/>
  <c r="J43" i="21"/>
  <c r="I43" i="21"/>
  <c r="H43" i="21"/>
  <c r="F43" i="21"/>
  <c r="E43" i="21"/>
  <c r="D43" i="21"/>
  <c r="J42" i="21"/>
  <c r="I42" i="21"/>
  <c r="H42" i="21"/>
  <c r="G42" i="21"/>
  <c r="F42" i="21"/>
  <c r="E42" i="21"/>
  <c r="D42" i="21"/>
  <c r="J41" i="21"/>
  <c r="I41" i="21"/>
  <c r="H41" i="21"/>
  <c r="F41" i="21"/>
  <c r="D41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J40" i="21"/>
  <c r="I40" i="21"/>
  <c r="H40" i="21"/>
  <c r="G40" i="21"/>
  <c r="F40" i="21"/>
  <c r="E40" i="21"/>
  <c r="D40" i="21"/>
  <c r="J39" i="21"/>
  <c r="I39" i="21"/>
  <c r="H39" i="21"/>
  <c r="G39" i="21"/>
  <c r="F39" i="21"/>
  <c r="E39" i="21"/>
  <c r="D39" i="21"/>
  <c r="J38" i="21"/>
  <c r="I38" i="21"/>
  <c r="H38" i="21"/>
  <c r="G38" i="21"/>
  <c r="F38" i="21"/>
  <c r="E38" i="21"/>
  <c r="D38" i="21"/>
  <c r="J37" i="21"/>
  <c r="I37" i="21"/>
  <c r="H37" i="21"/>
  <c r="G37" i="21"/>
  <c r="F37" i="21"/>
  <c r="E37" i="21"/>
  <c r="D37" i="21"/>
  <c r="J36" i="21"/>
  <c r="I36" i="21"/>
  <c r="H36" i="21"/>
  <c r="G36" i="21"/>
  <c r="F36" i="21"/>
  <c r="E36" i="21"/>
  <c r="D36" i="21"/>
  <c r="J35" i="21"/>
  <c r="I35" i="21"/>
  <c r="H35" i="21"/>
  <c r="G35" i="21"/>
  <c r="F35" i="21"/>
  <c r="E35" i="21"/>
  <c r="D35" i="21"/>
  <c r="J34" i="21"/>
  <c r="I34" i="21"/>
  <c r="H34" i="21"/>
  <c r="F34" i="21"/>
  <c r="D34" i="21"/>
  <c r="J33" i="21"/>
  <c r="I33" i="21"/>
  <c r="H33" i="21"/>
  <c r="F33" i="21"/>
  <c r="D33" i="21"/>
  <c r="J32" i="21"/>
  <c r="I32" i="21"/>
  <c r="H32" i="21"/>
  <c r="F32" i="21"/>
  <c r="D32" i="21"/>
  <c r="J31" i="21"/>
  <c r="I31" i="21"/>
  <c r="H31" i="21"/>
  <c r="F31" i="21"/>
  <c r="D31" i="21"/>
  <c r="J30" i="21"/>
  <c r="I30" i="21"/>
  <c r="H30" i="21"/>
  <c r="F30" i="21"/>
  <c r="D30" i="21"/>
  <c r="J29" i="21"/>
  <c r="I29" i="21"/>
  <c r="H29" i="21"/>
  <c r="F29" i="21"/>
  <c r="D29" i="21"/>
  <c r="J28" i="21"/>
  <c r="I28" i="21"/>
  <c r="H28" i="21"/>
  <c r="F28" i="21"/>
  <c r="D28" i="21"/>
  <c r="J27" i="21"/>
  <c r="I27" i="21"/>
  <c r="H27" i="21"/>
  <c r="F27" i="21"/>
  <c r="D27" i="21"/>
  <c r="J26" i="21"/>
  <c r="I26" i="21"/>
  <c r="H26" i="21"/>
  <c r="F26" i="21"/>
  <c r="D26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I25" i="21"/>
  <c r="H25" i="21"/>
  <c r="G25" i="21"/>
  <c r="F25" i="21"/>
  <c r="E25" i="21"/>
  <c r="D25" i="21"/>
  <c r="I24" i="21"/>
  <c r="H24" i="21"/>
  <c r="F24" i="21"/>
  <c r="E24" i="21"/>
  <c r="D24" i="21"/>
  <c r="I23" i="21"/>
  <c r="H23" i="21"/>
  <c r="G23" i="21"/>
  <c r="F23" i="21"/>
  <c r="E23" i="21"/>
  <c r="D23" i="21"/>
  <c r="I22" i="21"/>
  <c r="H22" i="21"/>
  <c r="G22" i="21"/>
  <c r="F22" i="21"/>
  <c r="E22" i="21"/>
  <c r="D22" i="21"/>
  <c r="I21" i="21"/>
  <c r="H21" i="21"/>
  <c r="G21" i="21"/>
  <c r="F21" i="21"/>
  <c r="E21" i="21"/>
  <c r="D21" i="21"/>
  <c r="I20" i="21"/>
  <c r="H20" i="21"/>
  <c r="F20" i="21"/>
  <c r="E20" i="21"/>
  <c r="D20" i="21"/>
  <c r="I19" i="21"/>
  <c r="H19" i="21"/>
  <c r="G19" i="21"/>
  <c r="F19" i="21"/>
  <c r="E19" i="21"/>
  <c r="D19" i="21"/>
  <c r="I18" i="21"/>
  <c r="H18" i="21"/>
  <c r="G18" i="21"/>
  <c r="F18" i="21"/>
  <c r="E18" i="21"/>
  <c r="D18" i="21"/>
  <c r="I17" i="21"/>
  <c r="H17" i="21"/>
  <c r="G17" i="21"/>
  <c r="F17" i="21"/>
  <c r="E17" i="21"/>
  <c r="D17" i="21"/>
  <c r="I16" i="21"/>
  <c r="H16" i="21"/>
  <c r="G16" i="21"/>
  <c r="F16" i="21"/>
  <c r="E16" i="21"/>
  <c r="D16" i="21"/>
  <c r="I15" i="21"/>
  <c r="H15" i="21"/>
  <c r="G15" i="21"/>
  <c r="F15" i="21"/>
  <c r="E15" i="21"/>
  <c r="D15" i="21"/>
  <c r="I14" i="21"/>
  <c r="H14" i="21"/>
  <c r="G14" i="21"/>
  <c r="F14" i="21"/>
  <c r="D14" i="21"/>
  <c r="J13" i="21"/>
  <c r="I13" i="21"/>
  <c r="H13" i="21"/>
  <c r="G13" i="21"/>
  <c r="F13" i="21"/>
  <c r="E13" i="21"/>
  <c r="D13" i="21"/>
  <c r="J12" i="21"/>
  <c r="I12" i="21"/>
  <c r="H12" i="21"/>
  <c r="G12" i="21"/>
  <c r="F12" i="21"/>
  <c r="E12" i="21"/>
  <c r="D12" i="21"/>
  <c r="J11" i="21"/>
  <c r="I11" i="21"/>
  <c r="H11" i="21"/>
  <c r="F11" i="21"/>
  <c r="E11" i="21"/>
  <c r="D11" i="21"/>
  <c r="J10" i="21"/>
  <c r="I10" i="21"/>
  <c r="H10" i="21"/>
  <c r="G10" i="21"/>
  <c r="F10" i="21"/>
  <c r="D10" i="21"/>
  <c r="J9" i="21"/>
  <c r="I9" i="21"/>
  <c r="H9" i="21"/>
  <c r="G9" i="21"/>
  <c r="F9" i="21"/>
  <c r="E9" i="21"/>
  <c r="D9" i="21"/>
  <c r="J8" i="21"/>
  <c r="I8" i="21"/>
  <c r="H8" i="21"/>
  <c r="G8" i="21"/>
  <c r="F8" i="21"/>
  <c r="E8" i="21"/>
  <c r="D8" i="21"/>
  <c r="J7" i="21"/>
  <c r="I7" i="21"/>
  <c r="H7" i="21"/>
  <c r="G7" i="21"/>
  <c r="F7" i="21"/>
  <c r="D7" i="21"/>
  <c r="J6" i="21"/>
  <c r="I6" i="21"/>
  <c r="H6" i="21"/>
  <c r="G6" i="21"/>
  <c r="F6" i="21"/>
  <c r="E6" i="21"/>
  <c r="D6" i="21"/>
  <c r="J5" i="21"/>
  <c r="I5" i="21"/>
  <c r="H5" i="21"/>
  <c r="G5" i="21"/>
  <c r="F5" i="21"/>
  <c r="E5" i="21"/>
  <c r="D5" i="21"/>
  <c r="J4" i="21"/>
  <c r="I4" i="21"/>
  <c r="H4" i="21"/>
  <c r="G4" i="21"/>
  <c r="F4" i="21"/>
  <c r="D4" i="21"/>
  <c r="J3" i="21"/>
  <c r="I3" i="21"/>
  <c r="H3" i="21"/>
  <c r="G3" i="21"/>
  <c r="F3" i="21"/>
  <c r="E3" i="21"/>
  <c r="D3" i="21"/>
  <c r="J2" i="21"/>
  <c r="I2" i="21"/>
  <c r="H2" i="21"/>
  <c r="G2" i="21"/>
  <c r="F2" i="21"/>
  <c r="E2" i="21"/>
  <c r="D2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B36" i="19"/>
  <c r="B28" i="19"/>
  <c r="B29" i="19"/>
  <c r="B30" i="19"/>
  <c r="B31" i="19"/>
  <c r="B32" i="19"/>
  <c r="B33" i="19"/>
  <c r="B34" i="19"/>
  <c r="B27" i="19"/>
  <c r="C34" i="19"/>
  <c r="C33" i="19"/>
  <c r="C32" i="19"/>
  <c r="C31" i="19"/>
  <c r="C30" i="19"/>
  <c r="C29" i="19"/>
  <c r="C28" i="19"/>
  <c r="C27" i="19"/>
  <c r="B23" i="19"/>
  <c r="B22" i="19"/>
  <c r="B15" i="19"/>
  <c r="B16" i="19"/>
  <c r="B17" i="19"/>
  <c r="B18" i="19"/>
  <c r="B19" i="19"/>
  <c r="B20" i="19"/>
  <c r="B14" i="19"/>
  <c r="C20" i="19"/>
  <c r="C97" i="23" s="1"/>
  <c r="C19" i="19"/>
  <c r="C78" i="21" s="1"/>
  <c r="C18" i="19"/>
  <c r="C138" i="22" s="1"/>
  <c r="C17" i="19"/>
  <c r="C137" i="22" s="1"/>
  <c r="C16" i="19"/>
  <c r="C15" i="19"/>
  <c r="C135" i="22" s="1"/>
  <c r="C14" i="19"/>
  <c r="B29" i="20"/>
  <c r="B30" i="20"/>
  <c r="B31" i="20"/>
  <c r="B32" i="20"/>
  <c r="B33" i="20"/>
  <c r="B34" i="20"/>
  <c r="B35" i="20"/>
  <c r="B36" i="20"/>
  <c r="B28" i="20"/>
  <c r="B27" i="20"/>
  <c r="B26" i="20"/>
  <c r="B25" i="20"/>
  <c r="C27" i="20"/>
  <c r="C36" i="20"/>
  <c r="C35" i="20"/>
  <c r="C34" i="20"/>
  <c r="C33" i="20"/>
  <c r="C32" i="20"/>
  <c r="C31" i="20"/>
  <c r="C30" i="20"/>
  <c r="C29" i="20"/>
  <c r="C28" i="20"/>
  <c r="C26" i="20"/>
  <c r="C25" i="20"/>
  <c r="B21" i="20"/>
  <c r="B19" i="20"/>
  <c r="B17" i="20"/>
  <c r="B18" i="20"/>
  <c r="B20" i="20"/>
  <c r="B16" i="20"/>
  <c r="B15" i="20"/>
  <c r="B13" i="20"/>
  <c r="B11" i="20"/>
  <c r="B12" i="20"/>
  <c r="B14" i="20"/>
  <c r="B10" i="20"/>
  <c r="C21" i="20"/>
  <c r="C19" i="20"/>
  <c r="C15" i="20"/>
  <c r="C13" i="20"/>
  <c r="C20" i="20"/>
  <c r="C18" i="20"/>
  <c r="C17" i="20"/>
  <c r="C16" i="20"/>
  <c r="C14" i="20"/>
  <c r="C12" i="20"/>
  <c r="C11" i="20"/>
  <c r="C10" i="20"/>
  <c r="E10" i="20"/>
  <c r="G10" i="20"/>
  <c r="E11" i="20"/>
  <c r="G11" i="20"/>
  <c r="E12" i="20"/>
  <c r="E36" i="23" s="1"/>
  <c r="G12" i="20"/>
  <c r="E14" i="20"/>
  <c r="G14" i="20"/>
  <c r="E13" i="20"/>
  <c r="G13" i="20"/>
  <c r="E15" i="20"/>
  <c r="G15" i="20"/>
  <c r="E16" i="20"/>
  <c r="G16" i="20"/>
  <c r="E17" i="20"/>
  <c r="G17" i="20"/>
  <c r="E18" i="20"/>
  <c r="E88" i="23" s="1"/>
  <c r="G18" i="20"/>
  <c r="E20" i="20"/>
  <c r="G20" i="20"/>
  <c r="E19" i="20"/>
  <c r="G19" i="20"/>
  <c r="E21" i="20"/>
  <c r="G21" i="20"/>
  <c r="E28" i="20"/>
  <c r="G28" i="20"/>
  <c r="E26" i="20"/>
  <c r="G26" i="20"/>
  <c r="E27" i="20"/>
  <c r="G27" i="20"/>
  <c r="E25" i="20"/>
  <c r="E87" i="22" s="1"/>
  <c r="G25" i="20"/>
  <c r="G29" i="20"/>
  <c r="G30" i="20"/>
  <c r="G31" i="20"/>
  <c r="G32" i="20"/>
  <c r="G33" i="20"/>
  <c r="G34" i="20"/>
  <c r="G35" i="20"/>
  <c r="G36" i="20"/>
  <c r="E14" i="19"/>
  <c r="G14" i="19"/>
  <c r="E15" i="19"/>
  <c r="G15" i="19"/>
  <c r="E16" i="19"/>
  <c r="G16" i="19"/>
  <c r="E17" i="19"/>
  <c r="G17" i="19"/>
  <c r="E18" i="19"/>
  <c r="G18" i="19"/>
  <c r="E19" i="19"/>
  <c r="G19" i="19"/>
  <c r="E20" i="19"/>
  <c r="G20" i="19"/>
  <c r="E22" i="19"/>
  <c r="G22" i="19"/>
  <c r="E23" i="19"/>
  <c r="G23" i="19"/>
  <c r="E27" i="19"/>
  <c r="G27" i="19"/>
  <c r="E28" i="19"/>
  <c r="G28" i="19"/>
  <c r="E29" i="19"/>
  <c r="G29" i="19"/>
  <c r="E30" i="19"/>
  <c r="G30" i="19"/>
  <c r="E31" i="19"/>
  <c r="G31" i="19"/>
  <c r="E32" i="19"/>
  <c r="G32" i="19"/>
  <c r="E33" i="19"/>
  <c r="G33" i="19"/>
  <c r="E34" i="19"/>
  <c r="G34" i="19"/>
  <c r="E36" i="19"/>
  <c r="G36" i="19"/>
  <c r="G11" i="7"/>
  <c r="N13" i="2"/>
  <c r="B27" i="14"/>
  <c r="B24" i="14"/>
  <c r="B22" i="14"/>
  <c r="B108" i="22" s="1"/>
  <c r="B21" i="14"/>
  <c r="B32" i="18"/>
  <c r="B24" i="18"/>
  <c r="B25" i="18"/>
  <c r="B26" i="18"/>
  <c r="B27" i="18"/>
  <c r="B28" i="18"/>
  <c r="B29" i="18"/>
  <c r="B30" i="18"/>
  <c r="B31" i="18"/>
  <c r="B23" i="18"/>
  <c r="C32" i="18"/>
  <c r="C24" i="18"/>
  <c r="C25" i="18"/>
  <c r="C26" i="18"/>
  <c r="C27" i="18"/>
  <c r="C28" i="18"/>
  <c r="C29" i="18"/>
  <c r="C30" i="18"/>
  <c r="C31" i="18"/>
  <c r="C23" i="18"/>
  <c r="B11" i="18"/>
  <c r="B12" i="18"/>
  <c r="B13" i="18"/>
  <c r="B14" i="18"/>
  <c r="B15" i="18"/>
  <c r="B16" i="18"/>
  <c r="B17" i="18"/>
  <c r="B18" i="18"/>
  <c r="B19" i="18"/>
  <c r="B10" i="18"/>
  <c r="C19" i="18"/>
  <c r="C18" i="18"/>
  <c r="C17" i="18"/>
  <c r="C16" i="18"/>
  <c r="C15" i="18"/>
  <c r="C14" i="18"/>
  <c r="C13" i="18"/>
  <c r="C12" i="18"/>
  <c r="C11" i="18"/>
  <c r="C10" i="18"/>
  <c r="B36" i="17"/>
  <c r="B34" i="17"/>
  <c r="B33" i="17"/>
  <c r="B32" i="17"/>
  <c r="B30" i="17"/>
  <c r="B29" i="17"/>
  <c r="B28" i="17"/>
  <c r="B26" i="17"/>
  <c r="B12" i="17"/>
  <c r="B13" i="17"/>
  <c r="B14" i="17"/>
  <c r="B15" i="17"/>
  <c r="B22" i="16"/>
  <c r="B23" i="16"/>
  <c r="B24" i="16"/>
  <c r="B25" i="16"/>
  <c r="B26" i="16"/>
  <c r="B27" i="16"/>
  <c r="B28" i="16"/>
  <c r="B21" i="16"/>
  <c r="E18" i="18"/>
  <c r="G18" i="18"/>
  <c r="E11" i="18"/>
  <c r="G11" i="18"/>
  <c r="E12" i="18"/>
  <c r="G12" i="18"/>
  <c r="E13" i="18"/>
  <c r="G13" i="18"/>
  <c r="E14" i="18"/>
  <c r="G14" i="18"/>
  <c r="E15" i="18"/>
  <c r="G15" i="18"/>
  <c r="E16" i="18"/>
  <c r="G16" i="18"/>
  <c r="E17" i="18"/>
  <c r="G17" i="18"/>
  <c r="E10" i="18"/>
  <c r="G10" i="18"/>
  <c r="E19" i="18"/>
  <c r="G19" i="18"/>
  <c r="E23" i="18"/>
  <c r="G23" i="18"/>
  <c r="E24" i="18"/>
  <c r="G24" i="18"/>
  <c r="E25" i="18"/>
  <c r="G25" i="18"/>
  <c r="E26" i="18"/>
  <c r="G26" i="18"/>
  <c r="E27" i="18"/>
  <c r="E224" i="21" s="1"/>
  <c r="G27" i="18"/>
  <c r="E28" i="18"/>
  <c r="E258" i="22" s="1"/>
  <c r="E29" i="18"/>
  <c r="G29" i="18"/>
  <c r="E30" i="18"/>
  <c r="G30" i="18"/>
  <c r="E31" i="18"/>
  <c r="G31" i="18"/>
  <c r="G228" i="21" s="1"/>
  <c r="E32" i="18"/>
  <c r="G32" i="18"/>
  <c r="G257" i="23" s="1"/>
  <c r="B17" i="14"/>
  <c r="B15" i="14"/>
  <c r="B14" i="14"/>
  <c r="B12" i="14"/>
  <c r="B11" i="14"/>
  <c r="B17" i="16"/>
  <c r="B35" i="17"/>
  <c r="B31" i="17"/>
  <c r="B27" i="17"/>
  <c r="C36" i="17"/>
  <c r="C34" i="17"/>
  <c r="C33" i="17"/>
  <c r="C32" i="17"/>
  <c r="C30" i="17"/>
  <c r="C29" i="17"/>
  <c r="C28" i="17"/>
  <c r="C26" i="17"/>
  <c r="C35" i="17"/>
  <c r="C31" i="17"/>
  <c r="C27" i="17"/>
  <c r="B22" i="17"/>
  <c r="B20" i="17"/>
  <c r="B18" i="17"/>
  <c r="B19" i="17"/>
  <c r="B21" i="17"/>
  <c r="B17" i="17"/>
  <c r="B16" i="17"/>
  <c r="C20" i="17"/>
  <c r="C16" i="17"/>
  <c r="C22" i="17"/>
  <c r="C21" i="17"/>
  <c r="C19" i="17"/>
  <c r="C18" i="17"/>
  <c r="C17" i="17"/>
  <c r="C15" i="17"/>
  <c r="C14" i="17"/>
  <c r="C13" i="17"/>
  <c r="C12" i="17"/>
  <c r="G2" i="17"/>
  <c r="I2" i="17"/>
  <c r="G3" i="17"/>
  <c r="I3" i="17"/>
  <c r="G5" i="17"/>
  <c r="I5" i="17"/>
  <c r="I6" i="17"/>
  <c r="G8" i="17"/>
  <c r="I8" i="17"/>
  <c r="E12" i="17"/>
  <c r="G12" i="17"/>
  <c r="E13" i="17"/>
  <c r="G13" i="17"/>
  <c r="E14" i="17"/>
  <c r="G14" i="17"/>
  <c r="E15" i="17"/>
  <c r="G15" i="17"/>
  <c r="E16" i="17"/>
  <c r="G16" i="17"/>
  <c r="E17" i="17"/>
  <c r="G17" i="17"/>
  <c r="E21" i="17"/>
  <c r="G21" i="17"/>
  <c r="E26" i="17"/>
  <c r="G26" i="17"/>
  <c r="E28" i="17"/>
  <c r="G28" i="17"/>
  <c r="E29" i="17"/>
  <c r="G29" i="17"/>
  <c r="E27" i="17"/>
  <c r="G27" i="17"/>
  <c r="E30" i="17"/>
  <c r="G30" i="17"/>
  <c r="E32" i="17"/>
  <c r="G32" i="17"/>
  <c r="E33" i="17"/>
  <c r="G33" i="17"/>
  <c r="E31" i="17"/>
  <c r="G31" i="17"/>
  <c r="E34" i="17"/>
  <c r="G34" i="17"/>
  <c r="E36" i="17"/>
  <c r="G36" i="17"/>
  <c r="E35" i="17"/>
  <c r="G35" i="17"/>
  <c r="C28" i="16"/>
  <c r="C27" i="16"/>
  <c r="C26" i="16"/>
  <c r="C25" i="16"/>
  <c r="C24" i="16"/>
  <c r="C23" i="16"/>
  <c r="C22" i="16"/>
  <c r="C21" i="16"/>
  <c r="B11" i="16"/>
  <c r="B12" i="16"/>
  <c r="B13" i="16"/>
  <c r="B14" i="16"/>
  <c r="B15" i="16"/>
  <c r="B16" i="16"/>
  <c r="B10" i="16"/>
  <c r="C17" i="16"/>
  <c r="C11" i="16"/>
  <c r="C12" i="16"/>
  <c r="C13" i="16"/>
  <c r="C14" i="16"/>
  <c r="C15" i="16"/>
  <c r="C16" i="16"/>
  <c r="C10" i="16"/>
  <c r="E10" i="16"/>
  <c r="G10" i="16"/>
  <c r="E11" i="16"/>
  <c r="G11" i="16"/>
  <c r="E13" i="16"/>
  <c r="G13" i="16"/>
  <c r="E12" i="16"/>
  <c r="G12" i="16"/>
  <c r="E14" i="16"/>
  <c r="G14" i="16"/>
  <c r="E15" i="16"/>
  <c r="G15" i="16"/>
  <c r="E17" i="16"/>
  <c r="G17" i="16"/>
  <c r="E16" i="16"/>
  <c r="G16" i="16"/>
  <c r="E21" i="16"/>
  <c r="G21" i="16"/>
  <c r="E22" i="16"/>
  <c r="G22" i="16"/>
  <c r="E23" i="16"/>
  <c r="G23" i="16"/>
  <c r="E24" i="16"/>
  <c r="G24" i="16"/>
  <c r="E248" i="23" l="1"/>
  <c r="E260" i="22"/>
  <c r="E227" i="21"/>
  <c r="E184" i="23"/>
  <c r="E256" i="22"/>
  <c r="E223" i="21"/>
  <c r="G4" i="23"/>
  <c r="G243" i="22"/>
  <c r="G210" i="21"/>
  <c r="E54" i="23"/>
  <c r="E247" i="22"/>
  <c r="E214" i="21"/>
  <c r="G248" i="23"/>
  <c r="G260" i="22"/>
  <c r="G227" i="21"/>
  <c r="G141" i="23"/>
  <c r="G253" i="22"/>
  <c r="G220" i="21"/>
  <c r="G106" i="23"/>
  <c r="G250" i="22"/>
  <c r="G217" i="21"/>
  <c r="G28" i="23"/>
  <c r="G245" i="22"/>
  <c r="G212" i="21"/>
  <c r="G184" i="23"/>
  <c r="G256" i="22"/>
  <c r="G223" i="21"/>
  <c r="E141" i="23"/>
  <c r="E253" i="22"/>
  <c r="E220" i="21"/>
  <c r="G92" i="23"/>
  <c r="G249" i="22"/>
  <c r="G216" i="21"/>
  <c r="E41" i="23"/>
  <c r="E246" i="22"/>
  <c r="E213" i="21"/>
  <c r="G206" i="23"/>
  <c r="G257" i="22"/>
  <c r="G224" i="21"/>
  <c r="G157" i="23"/>
  <c r="G254" i="22"/>
  <c r="G221" i="21"/>
  <c r="E106" i="23"/>
  <c r="E250" i="22"/>
  <c r="E217" i="21"/>
  <c r="G41" i="23"/>
  <c r="G246" i="22"/>
  <c r="G213" i="21"/>
  <c r="E157" i="23"/>
  <c r="E254" i="22"/>
  <c r="E221" i="21"/>
  <c r="E92" i="23"/>
  <c r="E249" i="22"/>
  <c r="E216" i="21"/>
  <c r="E28" i="23"/>
  <c r="E245" i="22"/>
  <c r="E212" i="21"/>
  <c r="G261" i="22"/>
  <c r="G258" i="23"/>
  <c r="E257" i="22"/>
  <c r="E206" i="23"/>
  <c r="G229" i="21"/>
  <c r="E221" i="23"/>
  <c r="G242" i="22"/>
  <c r="E225" i="21"/>
  <c r="G189" i="23"/>
  <c r="G145" i="22"/>
  <c r="G86" i="21"/>
  <c r="G148" i="23"/>
  <c r="G142" i="22"/>
  <c r="G83" i="21"/>
  <c r="G83" i="23"/>
  <c r="G139" i="22"/>
  <c r="G78" i="21"/>
  <c r="G45" i="23"/>
  <c r="G136" i="22"/>
  <c r="G75" i="21"/>
  <c r="G201" i="23"/>
  <c r="G146" i="22"/>
  <c r="G87" i="21"/>
  <c r="G162" i="23"/>
  <c r="G143" i="22"/>
  <c r="G84" i="21"/>
  <c r="G176" i="23"/>
  <c r="G144" i="22"/>
  <c r="G85" i="21"/>
  <c r="G135" i="23"/>
  <c r="G141" i="22"/>
  <c r="G82" i="21"/>
  <c r="E256" i="23"/>
  <c r="E224" i="22"/>
  <c r="E90" i="21"/>
  <c r="E162" i="23"/>
  <c r="E143" i="22"/>
  <c r="E84" i="21"/>
  <c r="E97" i="23"/>
  <c r="E140" i="22"/>
  <c r="E79" i="21"/>
  <c r="E19" i="23"/>
  <c r="E134" i="22"/>
  <c r="E73" i="21"/>
  <c r="E226" i="23"/>
  <c r="E148" i="22"/>
  <c r="E89" i="21"/>
  <c r="E148" i="23"/>
  <c r="E142" i="22"/>
  <c r="E83" i="21"/>
  <c r="G97" i="23"/>
  <c r="G140" i="22"/>
  <c r="G79" i="21"/>
  <c r="E59" i="23"/>
  <c r="E137" i="22"/>
  <c r="E76" i="21"/>
  <c r="E213" i="23"/>
  <c r="E147" i="22"/>
  <c r="E88" i="21"/>
  <c r="E135" i="23"/>
  <c r="E141" i="22"/>
  <c r="E82" i="21"/>
  <c r="G59" i="23"/>
  <c r="G137" i="22"/>
  <c r="G76" i="21"/>
  <c r="G19" i="23"/>
  <c r="G134" i="22"/>
  <c r="G73" i="21"/>
  <c r="G256" i="23"/>
  <c r="G224" i="22"/>
  <c r="G90" i="21"/>
  <c r="E201" i="23"/>
  <c r="E146" i="22"/>
  <c r="E87" i="21"/>
  <c r="G226" i="23"/>
  <c r="G148" i="22"/>
  <c r="G89" i="21"/>
  <c r="E189" i="23"/>
  <c r="E145" i="22"/>
  <c r="E86" i="21"/>
  <c r="E258" i="23"/>
  <c r="E261" i="22"/>
  <c r="E228" i="21"/>
  <c r="E171" i="23"/>
  <c r="E255" i="22"/>
  <c r="E222" i="21"/>
  <c r="E257" i="23"/>
  <c r="E242" i="22"/>
  <c r="E229" i="21"/>
  <c r="E235" i="23"/>
  <c r="E259" i="22"/>
  <c r="E226" i="21"/>
  <c r="E233" i="23"/>
  <c r="E112" i="22"/>
  <c r="E260" i="21"/>
  <c r="E139" i="23"/>
  <c r="E106" i="22"/>
  <c r="E252" i="21"/>
  <c r="G105" i="23"/>
  <c r="G232" i="22"/>
  <c r="G249" i="21"/>
  <c r="E53" i="23"/>
  <c r="E229" i="22"/>
  <c r="E245" i="21"/>
  <c r="E247" i="23"/>
  <c r="E241" i="22"/>
  <c r="E261" i="21"/>
  <c r="E170" i="23"/>
  <c r="E236" i="22"/>
  <c r="E254" i="21"/>
  <c r="E105" i="23"/>
  <c r="E232" i="22"/>
  <c r="E249" i="21"/>
  <c r="E27" i="23"/>
  <c r="E227" i="22"/>
  <c r="E242" i="21"/>
  <c r="G255" i="23"/>
  <c r="G96" i="22"/>
  <c r="G24" i="21"/>
  <c r="G207" i="23"/>
  <c r="G92" i="22"/>
  <c r="G20" i="21"/>
  <c r="G90" i="23"/>
  <c r="G197" i="22"/>
  <c r="G11" i="21"/>
  <c r="E50" i="23"/>
  <c r="E194" i="22"/>
  <c r="E7" i="21"/>
  <c r="C10" i="23"/>
  <c r="C18" i="22"/>
  <c r="C194" i="21"/>
  <c r="C103" i="23"/>
  <c r="C24" i="22"/>
  <c r="C200" i="21"/>
  <c r="C87" i="23"/>
  <c r="C23" i="22"/>
  <c r="C199" i="21"/>
  <c r="C66" i="23"/>
  <c r="C22" i="22"/>
  <c r="C198" i="21"/>
  <c r="C51" i="23"/>
  <c r="C21" i="22"/>
  <c r="C197" i="21"/>
  <c r="C38" i="23"/>
  <c r="C20" i="22"/>
  <c r="C196" i="21"/>
  <c r="C25" i="23"/>
  <c r="C19" i="22"/>
  <c r="C195" i="21"/>
  <c r="C116" i="23"/>
  <c r="C105" i="22"/>
  <c r="C201" i="21"/>
  <c r="N5" i="2"/>
  <c r="B10" i="23"/>
  <c r="B18" i="22"/>
  <c r="B194" i="21"/>
  <c r="N11" i="2"/>
  <c r="B103" i="23"/>
  <c r="B24" i="22"/>
  <c r="B200" i="21"/>
  <c r="N10" i="2"/>
  <c r="B87" i="23"/>
  <c r="B23" i="22"/>
  <c r="B199" i="21"/>
  <c r="K199" i="21" s="1"/>
  <c r="N9" i="2"/>
  <c r="B66" i="23"/>
  <c r="B22" i="22"/>
  <c r="B198" i="21"/>
  <c r="K198" i="21" s="1"/>
  <c r="N8" i="2"/>
  <c r="B51" i="23"/>
  <c r="B21" i="22"/>
  <c r="B197" i="21"/>
  <c r="K197" i="21" s="1"/>
  <c r="N7" i="2"/>
  <c r="B38" i="23"/>
  <c r="B20" i="22"/>
  <c r="B196" i="21"/>
  <c r="K196" i="21" s="1"/>
  <c r="N6" i="2"/>
  <c r="B25" i="23"/>
  <c r="B19" i="22"/>
  <c r="B195" i="21"/>
  <c r="K195" i="21" s="1"/>
  <c r="C138" i="23"/>
  <c r="C27" i="22"/>
  <c r="C202" i="21"/>
  <c r="C154" i="23"/>
  <c r="C28" i="22"/>
  <c r="C203" i="21"/>
  <c r="C168" i="23"/>
  <c r="C29" i="22"/>
  <c r="C204" i="21"/>
  <c r="C181" i="23"/>
  <c r="C30" i="22"/>
  <c r="C205" i="21"/>
  <c r="C196" i="23"/>
  <c r="C31" i="22"/>
  <c r="C206" i="21"/>
  <c r="C216" i="23"/>
  <c r="C32" i="22"/>
  <c r="C207" i="21"/>
  <c r="C232" i="23"/>
  <c r="C33" i="22"/>
  <c r="C208" i="21"/>
  <c r="C245" i="23"/>
  <c r="C34" i="22"/>
  <c r="C209" i="21"/>
  <c r="C3" i="23"/>
  <c r="C225" i="22"/>
  <c r="C240" i="21"/>
  <c r="C12" i="23"/>
  <c r="C226" i="22"/>
  <c r="C241" i="21"/>
  <c r="C27" i="23"/>
  <c r="C227" i="22"/>
  <c r="C242" i="21"/>
  <c r="C40" i="23"/>
  <c r="C228" i="22"/>
  <c r="C243" i="21"/>
  <c r="C53" i="23"/>
  <c r="C229" i="22"/>
  <c r="C245" i="21"/>
  <c r="C75" i="23"/>
  <c r="C230" i="22"/>
  <c r="C246" i="21"/>
  <c r="C91" i="23"/>
  <c r="C231" i="22"/>
  <c r="C247" i="21"/>
  <c r="C105" i="23"/>
  <c r="C232" i="22"/>
  <c r="C249" i="21"/>
  <c r="C117" i="23"/>
  <c r="C233" i="22"/>
  <c r="C250" i="21"/>
  <c r="C39" i="23"/>
  <c r="C100" i="22"/>
  <c r="C244" i="21"/>
  <c r="C89" i="23"/>
  <c r="C103" i="22"/>
  <c r="C248" i="21"/>
  <c r="M7" i="2"/>
  <c r="B39" i="23"/>
  <c r="B100" i="22"/>
  <c r="B244" i="21"/>
  <c r="K244" i="21" s="1"/>
  <c r="L8" i="2"/>
  <c r="B53" i="23"/>
  <c r="B229" i="22"/>
  <c r="B245" i="21"/>
  <c r="K245" i="21" s="1"/>
  <c r="L11" i="2"/>
  <c r="B105" i="23"/>
  <c r="B232" i="22"/>
  <c r="B249" i="21"/>
  <c r="K249" i="21" s="1"/>
  <c r="L10" i="2"/>
  <c r="B91" i="23"/>
  <c r="B231" i="22"/>
  <c r="B247" i="21"/>
  <c r="K247" i="21" s="1"/>
  <c r="L9" i="2"/>
  <c r="B75" i="23"/>
  <c r="B230" i="22"/>
  <c r="B246" i="21"/>
  <c r="K246" i="21" s="1"/>
  <c r="M10" i="2"/>
  <c r="B89" i="23"/>
  <c r="B103" i="22"/>
  <c r="B248" i="21"/>
  <c r="K248" i="21" s="1"/>
  <c r="L12" i="2"/>
  <c r="B117" i="23"/>
  <c r="B233" i="22"/>
  <c r="B250" i="21"/>
  <c r="K250" i="21" s="1"/>
  <c r="C139" i="23"/>
  <c r="C106" i="22"/>
  <c r="C252" i="21"/>
  <c r="C182" i="23"/>
  <c r="C109" i="22"/>
  <c r="C256" i="21"/>
  <c r="C233" i="23"/>
  <c r="C112" i="22"/>
  <c r="C260" i="21"/>
  <c r="C140" i="23"/>
  <c r="C234" i="22"/>
  <c r="C251" i="21"/>
  <c r="C156" i="23"/>
  <c r="C235" i="22"/>
  <c r="C253" i="21"/>
  <c r="C170" i="23"/>
  <c r="C236" i="22"/>
  <c r="C254" i="21"/>
  <c r="C183" i="23"/>
  <c r="C237" i="22"/>
  <c r="C255" i="21"/>
  <c r="C205" i="23"/>
  <c r="C238" i="22"/>
  <c r="C257" i="21"/>
  <c r="C220" i="23"/>
  <c r="C239" i="22"/>
  <c r="C258" i="21"/>
  <c r="C234" i="23"/>
  <c r="C240" i="22"/>
  <c r="C259" i="21"/>
  <c r="C247" i="23"/>
  <c r="C241" i="22"/>
  <c r="C261" i="21"/>
  <c r="M31" i="2"/>
  <c r="B139" i="23"/>
  <c r="B106" i="22"/>
  <c r="B252" i="21"/>
  <c r="K252" i="21" s="1"/>
  <c r="M34" i="2"/>
  <c r="B182" i="23"/>
  <c r="B109" i="22"/>
  <c r="B256" i="21"/>
  <c r="K256" i="21" s="1"/>
  <c r="M37" i="2"/>
  <c r="B233" i="23"/>
  <c r="B112" i="22"/>
  <c r="B260" i="21"/>
  <c r="K260" i="21" s="1"/>
  <c r="M12" i="2"/>
  <c r="B116" i="23"/>
  <c r="B105" i="22"/>
  <c r="B201" i="21"/>
  <c r="B11" i="23"/>
  <c r="B98" i="22"/>
  <c r="B230" i="21"/>
  <c r="B26" i="23"/>
  <c r="B99" i="22"/>
  <c r="B231" i="21"/>
  <c r="K231" i="21" s="1"/>
  <c r="B101" i="22"/>
  <c r="B232" i="21"/>
  <c r="K232" i="21" s="1"/>
  <c r="B69" i="23"/>
  <c r="B102" i="22"/>
  <c r="B233" i="21"/>
  <c r="K233" i="21" s="1"/>
  <c r="B104" i="22"/>
  <c r="B104" i="23"/>
  <c r="B234" i="21"/>
  <c r="K234" i="21" s="1"/>
  <c r="N31" i="2"/>
  <c r="B138" i="23"/>
  <c r="B27" i="22"/>
  <c r="B202" i="21"/>
  <c r="K202" i="21" s="1"/>
  <c r="N38" i="2"/>
  <c r="B245" i="23"/>
  <c r="B34" i="22"/>
  <c r="B209" i="21"/>
  <c r="K209" i="21" s="1"/>
  <c r="N37" i="2"/>
  <c r="B232" i="23"/>
  <c r="B33" i="22"/>
  <c r="B208" i="21"/>
  <c r="N36" i="2"/>
  <c r="B216" i="23"/>
  <c r="B32" i="22"/>
  <c r="B207" i="21"/>
  <c r="N35" i="2"/>
  <c r="B196" i="23"/>
  <c r="B31" i="22"/>
  <c r="B206" i="21"/>
  <c r="N34" i="2"/>
  <c r="B181" i="23"/>
  <c r="B30" i="22"/>
  <c r="B205" i="21"/>
  <c r="K205" i="21" s="1"/>
  <c r="N33" i="2"/>
  <c r="B168" i="23"/>
  <c r="B29" i="22"/>
  <c r="B204" i="21"/>
  <c r="K204" i="21" s="1"/>
  <c r="N32" i="2"/>
  <c r="B154" i="23"/>
  <c r="B28" i="22"/>
  <c r="B203" i="21"/>
  <c r="K203" i="21" s="1"/>
  <c r="L7" i="2"/>
  <c r="B40" i="23"/>
  <c r="B228" i="22"/>
  <c r="B243" i="21"/>
  <c r="K243" i="21" s="1"/>
  <c r="L6" i="2"/>
  <c r="B27" i="23"/>
  <c r="B227" i="22"/>
  <c r="B242" i="21"/>
  <c r="K242" i="21" s="1"/>
  <c r="L5" i="2"/>
  <c r="B12" i="23"/>
  <c r="B226" i="22"/>
  <c r="B241" i="21"/>
  <c r="K241" i="21" s="1"/>
  <c r="L4" i="2"/>
  <c r="B3" i="23"/>
  <c r="B225" i="22"/>
  <c r="B240" i="21"/>
  <c r="K240" i="21" s="1"/>
  <c r="L31" i="2"/>
  <c r="B140" i="23"/>
  <c r="B234" i="22"/>
  <c r="B251" i="21"/>
  <c r="K251" i="21" s="1"/>
  <c r="L32" i="2"/>
  <c r="B156" i="23"/>
  <c r="B235" i="22"/>
  <c r="B253" i="21"/>
  <c r="K253" i="21" s="1"/>
  <c r="L33" i="2"/>
  <c r="B170" i="23"/>
  <c r="B236" i="22"/>
  <c r="B254" i="21"/>
  <c r="K254" i="21" s="1"/>
  <c r="L34" i="2"/>
  <c r="B183" i="23"/>
  <c r="B237" i="22"/>
  <c r="B255" i="21"/>
  <c r="K255" i="21" s="1"/>
  <c r="L35" i="2"/>
  <c r="B205" i="23"/>
  <c r="B238" i="22"/>
  <c r="B257" i="21"/>
  <c r="K257" i="21" s="1"/>
  <c r="L36" i="2"/>
  <c r="B220" i="23"/>
  <c r="B239" i="22"/>
  <c r="B258" i="21"/>
  <c r="K258" i="21" s="1"/>
  <c r="L37" i="2"/>
  <c r="B234" i="23"/>
  <c r="B240" i="22"/>
  <c r="B259" i="21"/>
  <c r="K259" i="21" s="1"/>
  <c r="L38" i="2"/>
  <c r="B247" i="23"/>
  <c r="B241" i="22"/>
  <c r="B261" i="21"/>
  <c r="K261" i="21" s="1"/>
  <c r="C4" i="23"/>
  <c r="C243" i="22"/>
  <c r="C210" i="21"/>
  <c r="C13" i="23"/>
  <c r="C244" i="22"/>
  <c r="C211" i="21"/>
  <c r="C28" i="23"/>
  <c r="C245" i="22"/>
  <c r="C212" i="21"/>
  <c r="C41" i="23"/>
  <c r="C246" i="22"/>
  <c r="C213" i="21"/>
  <c r="C54" i="23"/>
  <c r="C247" i="22"/>
  <c r="C214" i="21"/>
  <c r="C76" i="23"/>
  <c r="C248" i="22"/>
  <c r="C215" i="21"/>
  <c r="C92" i="23"/>
  <c r="C249" i="22"/>
  <c r="C216" i="21"/>
  <c r="C106" i="23"/>
  <c r="C250" i="22"/>
  <c r="C217" i="21"/>
  <c r="C118" i="23"/>
  <c r="C251" i="22"/>
  <c r="C218" i="21"/>
  <c r="C127" i="23"/>
  <c r="C252" i="22"/>
  <c r="C219" i="21"/>
  <c r="O4" i="2"/>
  <c r="B4" i="23"/>
  <c r="B243" i="22"/>
  <c r="B210" i="21"/>
  <c r="K210" i="21" s="1"/>
  <c r="O13" i="2"/>
  <c r="B127" i="23"/>
  <c r="B252" i="22"/>
  <c r="B219" i="21"/>
  <c r="K219" i="21" s="1"/>
  <c r="O12" i="2"/>
  <c r="B118" i="23"/>
  <c r="B251" i="22"/>
  <c r="B218" i="21"/>
  <c r="K218" i="21" s="1"/>
  <c r="O11" i="2"/>
  <c r="B106" i="23"/>
  <c r="B250" i="22"/>
  <c r="B217" i="21"/>
  <c r="K217" i="21" s="1"/>
  <c r="O10" i="2"/>
  <c r="B92" i="23"/>
  <c r="B249" i="22"/>
  <c r="B216" i="21"/>
  <c r="K216" i="21" s="1"/>
  <c r="O9" i="2"/>
  <c r="B76" i="23"/>
  <c r="B248" i="22"/>
  <c r="B215" i="21"/>
  <c r="K215" i="21" s="1"/>
  <c r="O8" i="2"/>
  <c r="B54" i="23"/>
  <c r="B247" i="22"/>
  <c r="B214" i="21"/>
  <c r="K214" i="21" s="1"/>
  <c r="O7" i="2"/>
  <c r="B41" i="23"/>
  <c r="B246" i="22"/>
  <c r="B213" i="21"/>
  <c r="K213" i="21" s="1"/>
  <c r="O6" i="2"/>
  <c r="B28" i="23"/>
  <c r="B245" i="22"/>
  <c r="B212" i="21"/>
  <c r="K212" i="21" s="1"/>
  <c r="O5" i="2"/>
  <c r="B13" i="23"/>
  <c r="B244" i="22"/>
  <c r="B211" i="21"/>
  <c r="K211" i="21" s="1"/>
  <c r="C141" i="23"/>
  <c r="C253" i="22"/>
  <c r="C220" i="21"/>
  <c r="C258" i="23"/>
  <c r="C261" i="22"/>
  <c r="C228" i="21"/>
  <c r="C248" i="23"/>
  <c r="C260" i="22"/>
  <c r="C227" i="21"/>
  <c r="C235" i="23"/>
  <c r="C259" i="22"/>
  <c r="C226" i="21"/>
  <c r="C221" i="23"/>
  <c r="C258" i="22"/>
  <c r="C225" i="21"/>
  <c r="C206" i="23"/>
  <c r="C257" i="22"/>
  <c r="C224" i="21"/>
  <c r="C184" i="23"/>
  <c r="C256" i="22"/>
  <c r="C223" i="21"/>
  <c r="C171" i="23"/>
  <c r="C255" i="22"/>
  <c r="C222" i="21"/>
  <c r="C157" i="23"/>
  <c r="C254" i="22"/>
  <c r="C221" i="21"/>
  <c r="C257" i="23"/>
  <c r="C242" i="22"/>
  <c r="C229" i="21"/>
  <c r="O31" i="2"/>
  <c r="B141" i="23"/>
  <c r="B253" i="22"/>
  <c r="B220" i="21"/>
  <c r="K220" i="21" s="1"/>
  <c r="O39" i="2"/>
  <c r="B258" i="23"/>
  <c r="B261" i="22"/>
  <c r="B228" i="21"/>
  <c r="K228" i="21" s="1"/>
  <c r="O38" i="2"/>
  <c r="B248" i="23"/>
  <c r="B260" i="22"/>
  <c r="B227" i="21"/>
  <c r="K227" i="21" s="1"/>
  <c r="O37" i="2"/>
  <c r="B235" i="23"/>
  <c r="B259" i="22"/>
  <c r="B226" i="21"/>
  <c r="K226" i="21" s="1"/>
  <c r="O36" i="2"/>
  <c r="B221" i="23"/>
  <c r="B258" i="22"/>
  <c r="B225" i="21"/>
  <c r="K225" i="21" s="1"/>
  <c r="O35" i="2"/>
  <c r="B206" i="23"/>
  <c r="B257" i="22"/>
  <c r="B224" i="21"/>
  <c r="K224" i="21" s="1"/>
  <c r="O34" i="2"/>
  <c r="B184" i="23"/>
  <c r="B256" i="22"/>
  <c r="B223" i="21"/>
  <c r="K223" i="21" s="1"/>
  <c r="O33" i="2"/>
  <c r="B171" i="23"/>
  <c r="B255" i="22"/>
  <c r="B222" i="21"/>
  <c r="K222" i="21" s="1"/>
  <c r="O32" i="2"/>
  <c r="B157" i="23"/>
  <c r="B254" i="22"/>
  <c r="B221" i="21"/>
  <c r="K221" i="21" s="1"/>
  <c r="L39" i="2"/>
  <c r="B257" i="23"/>
  <c r="B242" i="22"/>
  <c r="B229" i="21"/>
  <c r="K229" i="21" s="1"/>
  <c r="B235" i="21"/>
  <c r="K235" i="21" s="1"/>
  <c r="B155" i="23"/>
  <c r="B107" i="22"/>
  <c r="B237" i="21"/>
  <c r="B199" i="23"/>
  <c r="B110" i="22"/>
  <c r="B246" i="23"/>
  <c r="B113" i="22"/>
  <c r="B239" i="21"/>
  <c r="C14" i="23"/>
  <c r="C77" i="22"/>
  <c r="C2" i="21"/>
  <c r="C23" i="23"/>
  <c r="C78" i="22"/>
  <c r="C3" i="21"/>
  <c r="C36" i="23"/>
  <c r="C79" i="22"/>
  <c r="C4" i="21"/>
  <c r="C49" i="23"/>
  <c r="C80" i="22"/>
  <c r="C6" i="21"/>
  <c r="C63" i="23"/>
  <c r="C81" i="22"/>
  <c r="C8" i="21"/>
  <c r="C77" i="23"/>
  <c r="C82" i="22"/>
  <c r="C9" i="21"/>
  <c r="C88" i="23"/>
  <c r="C83" i="22"/>
  <c r="C10" i="21"/>
  <c r="C101" i="23"/>
  <c r="C84" i="22"/>
  <c r="C12" i="21"/>
  <c r="C37" i="23"/>
  <c r="C193" i="22"/>
  <c r="C5" i="21"/>
  <c r="C50" i="23"/>
  <c r="C194" i="22"/>
  <c r="C7" i="21"/>
  <c r="C90" i="23"/>
  <c r="C197" i="22"/>
  <c r="C11" i="21"/>
  <c r="C102" i="23"/>
  <c r="C198" i="22"/>
  <c r="C13" i="21"/>
  <c r="D5" i="2"/>
  <c r="B14" i="23"/>
  <c r="B77" i="22"/>
  <c r="B2" i="21"/>
  <c r="K2" i="21" s="1"/>
  <c r="D8" i="2"/>
  <c r="B49" i="23"/>
  <c r="B80" i="22"/>
  <c r="B6" i="21"/>
  <c r="K6" i="21" s="1"/>
  <c r="D7" i="2"/>
  <c r="B36" i="23"/>
  <c r="B79" i="22"/>
  <c r="B4" i="21"/>
  <c r="K4" i="21" s="1"/>
  <c r="D6" i="2"/>
  <c r="B23" i="23"/>
  <c r="B78" i="22"/>
  <c r="B3" i="21"/>
  <c r="K3" i="21" s="1"/>
  <c r="C7" i="2"/>
  <c r="B37" i="23"/>
  <c r="B193" i="22"/>
  <c r="B5" i="21"/>
  <c r="K5" i="21" s="1"/>
  <c r="C8" i="2"/>
  <c r="B50" i="23"/>
  <c r="B194" i="22"/>
  <c r="B7" i="21"/>
  <c r="K7" i="21" s="1"/>
  <c r="D9" i="2"/>
  <c r="B63" i="23"/>
  <c r="B81" i="22"/>
  <c r="B8" i="21"/>
  <c r="K8" i="21" s="1"/>
  <c r="D12" i="2"/>
  <c r="B101" i="23"/>
  <c r="B84" i="22"/>
  <c r="B12" i="21"/>
  <c r="K12" i="21" s="1"/>
  <c r="B88" i="23"/>
  <c r="B83" i="22"/>
  <c r="B10" i="21"/>
  <c r="K10" i="21" s="1"/>
  <c r="D11" i="2"/>
  <c r="D10" i="2"/>
  <c r="B77" i="23"/>
  <c r="B82" i="22"/>
  <c r="B9" i="21"/>
  <c r="K9" i="21" s="1"/>
  <c r="C11" i="2"/>
  <c r="B90" i="23"/>
  <c r="B197" i="22"/>
  <c r="B11" i="21"/>
  <c r="K11" i="21" s="1"/>
  <c r="C12" i="2"/>
  <c r="B102" i="23"/>
  <c r="B198" i="22"/>
  <c r="B13" i="21"/>
  <c r="K13" i="21" s="1"/>
  <c r="C142" i="23"/>
  <c r="C87" i="22"/>
  <c r="C14" i="21"/>
  <c r="C152" i="23"/>
  <c r="C88" i="22"/>
  <c r="C15" i="21"/>
  <c r="C166" i="23"/>
  <c r="C89" i="22"/>
  <c r="C17" i="21"/>
  <c r="C179" i="23"/>
  <c r="C90" i="22"/>
  <c r="C18" i="21"/>
  <c r="C193" i="23"/>
  <c r="C91" i="22"/>
  <c r="C19" i="21"/>
  <c r="C207" i="23"/>
  <c r="C92" i="22"/>
  <c r="C20" i="21"/>
  <c r="C217" i="23"/>
  <c r="C93" i="22"/>
  <c r="C21" i="21"/>
  <c r="C230" i="23"/>
  <c r="C94" i="22"/>
  <c r="C22" i="21"/>
  <c r="C243" i="23"/>
  <c r="C95" i="22"/>
  <c r="C23" i="21"/>
  <c r="C255" i="23"/>
  <c r="C96" i="22"/>
  <c r="C24" i="21"/>
  <c r="C261" i="23"/>
  <c r="C97" i="22"/>
  <c r="C25" i="21"/>
  <c r="C167" i="23"/>
  <c r="C202" i="22"/>
  <c r="C16" i="21"/>
  <c r="D31" i="2"/>
  <c r="B142" i="23"/>
  <c r="B87" i="22"/>
  <c r="B14" i="21"/>
  <c r="K14" i="21" s="1"/>
  <c r="D32" i="2"/>
  <c r="B152" i="23"/>
  <c r="B88" i="22"/>
  <c r="B15" i="21"/>
  <c r="K15" i="21" s="1"/>
  <c r="C33" i="2"/>
  <c r="B167" i="23"/>
  <c r="B202" i="22"/>
  <c r="B16" i="21"/>
  <c r="K16" i="21" s="1"/>
  <c r="D33" i="2"/>
  <c r="B166" i="23"/>
  <c r="B89" i="22"/>
  <c r="B17" i="21"/>
  <c r="K17" i="21" s="1"/>
  <c r="D41" i="2"/>
  <c r="B261" i="23"/>
  <c r="B97" i="22"/>
  <c r="B25" i="21"/>
  <c r="K25" i="21" s="1"/>
  <c r="D40" i="2"/>
  <c r="B255" i="23"/>
  <c r="B96" i="22"/>
  <c r="B24" i="21"/>
  <c r="K24" i="21" s="1"/>
  <c r="D39" i="2"/>
  <c r="B243" i="23"/>
  <c r="B95" i="22"/>
  <c r="B23" i="21"/>
  <c r="K23" i="21" s="1"/>
  <c r="D38" i="2"/>
  <c r="B230" i="23"/>
  <c r="B94" i="22"/>
  <c r="B22" i="21"/>
  <c r="K22" i="21" s="1"/>
  <c r="D37" i="2"/>
  <c r="B217" i="23"/>
  <c r="B93" i="22"/>
  <c r="B21" i="21"/>
  <c r="K21" i="21" s="1"/>
  <c r="D36" i="2"/>
  <c r="B207" i="23"/>
  <c r="B92" i="22"/>
  <c r="B20" i="21"/>
  <c r="K20" i="21" s="1"/>
  <c r="D35" i="2"/>
  <c r="B193" i="23"/>
  <c r="B91" i="22"/>
  <c r="B19" i="21"/>
  <c r="K19" i="21" s="1"/>
  <c r="D34" i="2"/>
  <c r="B179" i="23"/>
  <c r="B90" i="22"/>
  <c r="B18" i="21"/>
  <c r="K18" i="21" s="1"/>
  <c r="C19" i="23"/>
  <c r="C73" i="21"/>
  <c r="C45" i="23"/>
  <c r="C136" i="22"/>
  <c r="C125" i="23"/>
  <c r="C216" i="22"/>
  <c r="C80" i="21"/>
  <c r="C130" i="23"/>
  <c r="C217" i="22"/>
  <c r="C81" i="21"/>
  <c r="H6" i="2"/>
  <c r="B19" i="23"/>
  <c r="B134" i="22"/>
  <c r="B73" i="21"/>
  <c r="K73" i="21" s="1"/>
  <c r="H12" i="2"/>
  <c r="B97" i="23"/>
  <c r="B140" i="22"/>
  <c r="B79" i="21"/>
  <c r="K79" i="21" s="1"/>
  <c r="H11" i="2"/>
  <c r="B83" i="23"/>
  <c r="B139" i="22"/>
  <c r="B78" i="21"/>
  <c r="K78" i="21" s="1"/>
  <c r="H10" i="2"/>
  <c r="B71" i="23"/>
  <c r="B138" i="22"/>
  <c r="B77" i="21"/>
  <c r="K77" i="21" s="1"/>
  <c r="H9" i="2"/>
  <c r="B59" i="23"/>
  <c r="B137" i="22"/>
  <c r="B76" i="21"/>
  <c r="K76" i="21" s="1"/>
  <c r="H8" i="2"/>
  <c r="B45" i="23"/>
  <c r="B136" i="22"/>
  <c r="B75" i="21"/>
  <c r="K75" i="21" s="1"/>
  <c r="H7" i="2"/>
  <c r="B32" i="23"/>
  <c r="B135" i="22"/>
  <c r="B74" i="21"/>
  <c r="K74" i="21" s="1"/>
  <c r="G14" i="2"/>
  <c r="B125" i="23"/>
  <c r="B216" i="22"/>
  <c r="B80" i="21"/>
  <c r="K80" i="21" s="1"/>
  <c r="G15" i="2"/>
  <c r="B130" i="23"/>
  <c r="B217" i="22"/>
  <c r="B81" i="21"/>
  <c r="K81" i="21" s="1"/>
  <c r="C135" i="23"/>
  <c r="C82" i="21"/>
  <c r="C83" i="21"/>
  <c r="C148" i="23"/>
  <c r="C142" i="22"/>
  <c r="C143" i="22"/>
  <c r="C84" i="21"/>
  <c r="C176" i="23"/>
  <c r="C144" i="22"/>
  <c r="C85" i="21"/>
  <c r="C189" i="23"/>
  <c r="C145" i="22"/>
  <c r="C86" i="21"/>
  <c r="C201" i="23"/>
  <c r="C146" i="22"/>
  <c r="C87" i="21"/>
  <c r="C213" i="23"/>
  <c r="C147" i="22"/>
  <c r="C88" i="21"/>
  <c r="C226" i="23"/>
  <c r="C148" i="22"/>
  <c r="C89" i="21"/>
  <c r="C256" i="23"/>
  <c r="C224" i="22"/>
  <c r="C90" i="21"/>
  <c r="H31" i="2"/>
  <c r="B135" i="23"/>
  <c r="B141" i="22"/>
  <c r="B82" i="21"/>
  <c r="K82" i="21" s="1"/>
  <c r="B226" i="23"/>
  <c r="B148" i="22"/>
  <c r="B89" i="21"/>
  <c r="K89" i="21" s="1"/>
  <c r="H38" i="2"/>
  <c r="H37" i="2"/>
  <c r="B213" i="23"/>
  <c r="B147" i="22"/>
  <c r="B88" i="21"/>
  <c r="K88" i="21" s="1"/>
  <c r="H36" i="2"/>
  <c r="B201" i="23"/>
  <c r="B146" i="22"/>
  <c r="B87" i="21"/>
  <c r="K87" i="21" s="1"/>
  <c r="H35" i="2"/>
  <c r="B189" i="23"/>
  <c r="B145" i="22"/>
  <c r="B86" i="21"/>
  <c r="K86" i="21" s="1"/>
  <c r="H34" i="2"/>
  <c r="B176" i="23"/>
  <c r="B144" i="22"/>
  <c r="B85" i="21"/>
  <c r="K85" i="21" s="1"/>
  <c r="H33" i="2"/>
  <c r="B162" i="23"/>
  <c r="B143" i="22"/>
  <c r="B84" i="21"/>
  <c r="K84" i="21" s="1"/>
  <c r="H32" i="2"/>
  <c r="B148" i="23"/>
  <c r="B142" i="22"/>
  <c r="B83" i="21"/>
  <c r="K83" i="21" s="1"/>
  <c r="G40" i="2"/>
  <c r="B256" i="23"/>
  <c r="B224" i="22"/>
  <c r="B90" i="21"/>
  <c r="K90" i="21" s="1"/>
  <c r="K194" i="21"/>
  <c r="K200" i="21"/>
  <c r="K201" i="21"/>
  <c r="K206" i="21"/>
  <c r="K207" i="21"/>
  <c r="K208" i="21"/>
  <c r="K230" i="21"/>
  <c r="K237" i="21"/>
  <c r="K239" i="21"/>
  <c r="K79" i="22"/>
  <c r="K193" i="22"/>
  <c r="K81" i="22"/>
  <c r="K137" i="22"/>
  <c r="K138" i="22"/>
  <c r="K140" i="22"/>
  <c r="K216" i="22"/>
  <c r="K146" i="22"/>
  <c r="K147" i="22"/>
  <c r="K20" i="22"/>
  <c r="K105" i="22"/>
  <c r="K27" i="22"/>
  <c r="K33" i="22"/>
  <c r="K247" i="22"/>
  <c r="K249" i="22"/>
  <c r="K252" i="22"/>
  <c r="K258" i="22"/>
  <c r="K260" i="22"/>
  <c r="K242" i="22"/>
  <c r="K107" i="22"/>
  <c r="K110" i="22"/>
  <c r="K228" i="22"/>
  <c r="K100" i="22"/>
  <c r="K230" i="22"/>
  <c r="K103" i="22"/>
  <c r="K236" i="22"/>
  <c r="K112" i="22"/>
  <c r="K49" i="23"/>
  <c r="K101" i="23"/>
  <c r="K32" i="23"/>
  <c r="K83" i="23"/>
  <c r="K213" i="23"/>
  <c r="K138" i="23"/>
  <c r="K168" i="23"/>
  <c r="K92" i="23"/>
  <c r="K206" i="23"/>
  <c r="K53" i="23"/>
  <c r="K75" i="23"/>
  <c r="K91" i="23"/>
  <c r="K220" i="23"/>
  <c r="K234" i="23"/>
  <c r="K247" i="23"/>
  <c r="K256" i="22"/>
  <c r="K234" i="22"/>
  <c r="K238" i="22"/>
  <c r="E234" i="23"/>
  <c r="E240" i="22"/>
  <c r="E259" i="21"/>
  <c r="G183" i="23"/>
  <c r="G237" i="22"/>
  <c r="G255" i="21"/>
  <c r="G234" i="23"/>
  <c r="G240" i="22"/>
  <c r="G259" i="21"/>
  <c r="G156" i="23"/>
  <c r="G235" i="22"/>
  <c r="G253" i="21"/>
  <c r="G182" i="23"/>
  <c r="G109" i="22"/>
  <c r="G256" i="21"/>
  <c r="G139" i="23"/>
  <c r="G106" i="22"/>
  <c r="G252" i="21"/>
  <c r="E183" i="23"/>
  <c r="E237" i="22"/>
  <c r="E255" i="21"/>
  <c r="G140" i="23"/>
  <c r="G234" i="22"/>
  <c r="G251" i="21"/>
  <c r="G233" i="23"/>
  <c r="G112" i="22"/>
  <c r="G260" i="21"/>
  <c r="E182" i="23"/>
  <c r="E109" i="22"/>
  <c r="E256" i="21"/>
  <c r="G247" i="23"/>
  <c r="G241" i="22"/>
  <c r="G261" i="21"/>
  <c r="E220" i="23"/>
  <c r="E239" i="22"/>
  <c r="E258" i="21"/>
  <c r="G220" i="23"/>
  <c r="G239" i="22"/>
  <c r="G258" i="21"/>
  <c r="G170" i="23"/>
  <c r="G236" i="22"/>
  <c r="G254" i="21"/>
  <c r="G205" i="23"/>
  <c r="G238" i="22"/>
  <c r="G257" i="21"/>
  <c r="E156" i="23"/>
  <c r="E235" i="22"/>
  <c r="E253" i="21"/>
  <c r="G235" i="23"/>
  <c r="G259" i="22"/>
  <c r="G226" i="21"/>
  <c r="G171" i="23"/>
  <c r="G255" i="22"/>
  <c r="G222" i="21"/>
  <c r="G213" i="23"/>
  <c r="G147" i="22"/>
  <c r="G88" i="21"/>
  <c r="E176" i="23"/>
  <c r="E144" i="22"/>
  <c r="E85" i="21"/>
  <c r="E205" i="23"/>
  <c r="E238" i="22"/>
  <c r="E257" i="21"/>
  <c r="E140" i="23"/>
  <c r="E234" i="22"/>
  <c r="E251" i="21"/>
  <c r="K194" i="22"/>
  <c r="K217" i="22"/>
  <c r="E4" i="21"/>
  <c r="E10" i="21"/>
  <c r="E142" i="23"/>
  <c r="E79" i="22"/>
  <c r="E83" i="22"/>
  <c r="E14" i="21"/>
  <c r="K78" i="22"/>
  <c r="K145" i="22"/>
  <c r="K18" i="22"/>
  <c r="K257" i="22"/>
  <c r="K144" i="22"/>
  <c r="K23" i="22"/>
  <c r="K92" i="22"/>
  <c r="K198" i="22"/>
  <c r="K91" i="22"/>
  <c r="K97" i="22"/>
  <c r="K226" i="22"/>
  <c r="K231" i="22"/>
  <c r="K135" i="22"/>
  <c r="K148" i="22"/>
  <c r="K21" i="22"/>
  <c r="K96" i="22"/>
  <c r="K139" i="22"/>
  <c r="K142" i="22"/>
  <c r="K239" i="22"/>
  <c r="K197" i="22"/>
  <c r="K89" i="22"/>
  <c r="K95" i="22"/>
  <c r="K134" i="22"/>
  <c r="K83" i="22"/>
  <c r="K202" i="22"/>
  <c r="K94" i="22"/>
  <c r="K233" i="22"/>
  <c r="K41" i="23"/>
  <c r="K221" i="23"/>
  <c r="K199" i="23"/>
  <c r="K166" i="23"/>
  <c r="K243" i="23"/>
  <c r="K59" i="23"/>
  <c r="K176" i="23"/>
  <c r="K184" i="23"/>
  <c r="K104" i="23"/>
  <c r="K89" i="23"/>
  <c r="K170" i="23"/>
  <c r="K88" i="23"/>
  <c r="K217" i="23"/>
  <c r="K148" i="23"/>
  <c r="K155" i="23"/>
  <c r="K244" i="22"/>
  <c r="K141" i="22"/>
  <c r="K255" i="22"/>
  <c r="K237" i="22"/>
  <c r="K254" i="22"/>
  <c r="K261" i="22"/>
  <c r="K136" i="22"/>
  <c r="K253" i="22"/>
  <c r="K77" i="22"/>
  <c r="K82" i="22"/>
  <c r="K88" i="22"/>
  <c r="K93" i="22"/>
  <c r="K143" i="22"/>
  <c r="K24" i="22"/>
  <c r="K31" i="22"/>
  <c r="K245" i="22"/>
  <c r="K251" i="22"/>
  <c r="C71" i="23"/>
  <c r="C59" i="23"/>
  <c r="C140" i="22"/>
  <c r="C134" i="22"/>
  <c r="C77" i="21"/>
  <c r="C32" i="23"/>
  <c r="C74" i="21"/>
  <c r="C79" i="21"/>
  <c r="K106" i="22"/>
  <c r="K246" i="23"/>
  <c r="K104" i="22"/>
  <c r="K109" i="22"/>
  <c r="B52" i="23"/>
  <c r="K52" i="23" s="1"/>
  <c r="B169" i="23"/>
  <c r="B236" i="21"/>
  <c r="K236" i="21" s="1"/>
  <c r="K101" i="22"/>
  <c r="K98" i="22"/>
  <c r="K29" i="22"/>
  <c r="K26" i="22"/>
  <c r="K19" i="22"/>
  <c r="K235" i="22"/>
  <c r="K80" i="22"/>
  <c r="K108" i="22"/>
  <c r="K246" i="22"/>
  <c r="K229" i="22"/>
  <c r="K22" i="22"/>
  <c r="K259" i="22"/>
  <c r="K250" i="22"/>
  <c r="K32" i="22"/>
  <c r="K240" i="22"/>
  <c r="K90" i="22"/>
  <c r="K28" i="22"/>
  <c r="K99" i="22"/>
  <c r="K232" i="22"/>
  <c r="K248" i="22"/>
  <c r="K34" i="22"/>
  <c r="K113" i="22"/>
  <c r="K241" i="22"/>
  <c r="K87" i="22"/>
  <c r="K227" i="22"/>
  <c r="K30" i="22"/>
  <c r="K102" i="22"/>
  <c r="K84" i="22"/>
  <c r="K224" i="22"/>
  <c r="K243" i="22"/>
  <c r="K225" i="22"/>
  <c r="K14" i="23"/>
  <c r="K102" i="23"/>
  <c r="K255" i="23"/>
  <c r="K71" i="23"/>
  <c r="K90" i="23"/>
  <c r="K230" i="23"/>
  <c r="K10" i="23"/>
  <c r="K51" i="23"/>
  <c r="K232" i="23"/>
  <c r="K127" i="23"/>
  <c r="K11" i="23"/>
  <c r="K97" i="23"/>
  <c r="K36" i="23"/>
  <c r="K152" i="23"/>
  <c r="K189" i="23"/>
  <c r="K27" i="23"/>
  <c r="K226" i="23"/>
  <c r="K3" i="23"/>
  <c r="K201" i="23"/>
  <c r="K63" i="23"/>
  <c r="K193" i="23"/>
  <c r="K130" i="23"/>
  <c r="K256" i="23"/>
  <c r="K12" i="23"/>
  <c r="K139" i="23"/>
  <c r="K25" i="23"/>
  <c r="K196" i="23"/>
  <c r="K106" i="23"/>
  <c r="K258" i="23"/>
  <c r="K126" i="23"/>
  <c r="K103" i="23"/>
  <c r="K171" i="23"/>
  <c r="K69" i="23"/>
  <c r="K45" i="23"/>
  <c r="K66" i="23"/>
  <c r="K26" i="23"/>
  <c r="K77" i="23"/>
  <c r="K207" i="23"/>
  <c r="K169" i="23"/>
  <c r="K117" i="23"/>
  <c r="K38" i="23"/>
  <c r="K118" i="23"/>
  <c r="K257" i="23"/>
  <c r="C141" i="22"/>
  <c r="C162" i="23"/>
  <c r="C76" i="21"/>
  <c r="C83" i="23"/>
  <c r="C139" i="22"/>
  <c r="C75" i="21"/>
  <c r="K23" i="23"/>
  <c r="K142" i="23"/>
  <c r="K261" i="23"/>
  <c r="K125" i="23"/>
  <c r="K4" i="23"/>
  <c r="K157" i="23"/>
  <c r="K182" i="23"/>
  <c r="K141" i="23"/>
  <c r="K39" i="23"/>
  <c r="K50" i="23"/>
  <c r="K179" i="23"/>
  <c r="K19" i="23"/>
  <c r="K162" i="23"/>
  <c r="K154" i="23"/>
  <c r="K54" i="23"/>
  <c r="K235" i="23"/>
  <c r="K37" i="23"/>
  <c r="K167" i="23"/>
  <c r="K135" i="23"/>
  <c r="K116" i="23"/>
  <c r="K28" i="23"/>
  <c r="K87" i="23"/>
  <c r="K40" i="23"/>
  <c r="K233" i="23"/>
  <c r="K248" i="23"/>
  <c r="K76" i="23"/>
  <c r="K205" i="23"/>
  <c r="K13" i="23"/>
  <c r="K183" i="23"/>
  <c r="K245" i="23"/>
  <c r="K156" i="23"/>
  <c r="K216" i="23"/>
  <c r="K140" i="23"/>
  <c r="K181" i="23"/>
  <c r="K105" i="23"/>
  <c r="B23" i="3"/>
  <c r="B22" i="3"/>
  <c r="B18" i="3"/>
  <c r="B17" i="3"/>
  <c r="B16" i="3"/>
  <c r="B14" i="3"/>
  <c r="B13" i="3"/>
  <c r="B11" i="3"/>
  <c r="B10" i="3"/>
  <c r="C27" i="3"/>
  <c r="C26" i="3"/>
  <c r="C23" i="3"/>
  <c r="C22" i="3"/>
  <c r="C18" i="3"/>
  <c r="C17" i="3"/>
  <c r="C16" i="3"/>
  <c r="C14" i="3"/>
  <c r="C13" i="3"/>
  <c r="C11" i="3"/>
  <c r="C10" i="3"/>
  <c r="C53" i="2"/>
  <c r="C30" i="4"/>
  <c r="C29" i="4"/>
  <c r="B30" i="4"/>
  <c r="B29" i="4"/>
  <c r="B27" i="4"/>
  <c r="B26" i="4"/>
  <c r="B22" i="4"/>
  <c r="B23" i="4"/>
  <c r="B24" i="4"/>
  <c r="B21" i="4"/>
  <c r="B11" i="4"/>
  <c r="B12" i="4"/>
  <c r="B13" i="4"/>
  <c r="B14" i="4"/>
  <c r="B15" i="4"/>
  <c r="B16" i="4"/>
  <c r="B17" i="4"/>
  <c r="B10" i="4"/>
  <c r="C27" i="4"/>
  <c r="C26" i="4"/>
  <c r="C24" i="4"/>
  <c r="C23" i="4"/>
  <c r="C22" i="4"/>
  <c r="C21" i="4"/>
  <c r="C17" i="4"/>
  <c r="C16" i="4"/>
  <c r="C15" i="4"/>
  <c r="C14" i="4"/>
  <c r="C13" i="4"/>
  <c r="C12" i="4"/>
  <c r="C11" i="4"/>
  <c r="C10" i="4"/>
  <c r="B29" i="5"/>
  <c r="B28" i="5"/>
  <c r="B27" i="5"/>
  <c r="B25" i="5"/>
  <c r="B24" i="5"/>
  <c r="B23" i="5"/>
  <c r="C29" i="5"/>
  <c r="C28" i="5"/>
  <c r="C27" i="5"/>
  <c r="C25" i="5"/>
  <c r="C24" i="5"/>
  <c r="C23" i="5"/>
  <c r="B19" i="5"/>
  <c r="B18" i="5"/>
  <c r="B16" i="5"/>
  <c r="B15" i="5"/>
  <c r="B13" i="5"/>
  <c r="B12" i="5"/>
  <c r="C19" i="5"/>
  <c r="C18" i="5"/>
  <c r="C16" i="5"/>
  <c r="C15" i="5"/>
  <c r="C13" i="5"/>
  <c r="C12" i="5"/>
  <c r="B50" i="6"/>
  <c r="B51" i="6"/>
  <c r="B52" i="6"/>
  <c r="B53" i="6"/>
  <c r="B54" i="6"/>
  <c r="B55" i="6"/>
  <c r="B56" i="6"/>
  <c r="B57" i="6"/>
  <c r="B49" i="6"/>
  <c r="B47" i="6"/>
  <c r="B46" i="6"/>
  <c r="B44" i="6"/>
  <c r="B43" i="6"/>
  <c r="B41" i="6"/>
  <c r="B40" i="6"/>
  <c r="C47" i="6"/>
  <c r="C46" i="6"/>
  <c r="C44" i="6"/>
  <c r="C43" i="6"/>
  <c r="C41" i="6"/>
  <c r="C40" i="6"/>
  <c r="C50" i="6"/>
  <c r="C51" i="6"/>
  <c r="C52" i="6"/>
  <c r="C53" i="6"/>
  <c r="C54" i="6"/>
  <c r="C55" i="6"/>
  <c r="C56" i="6"/>
  <c r="C57" i="6"/>
  <c r="C58" i="6"/>
  <c r="C49" i="6"/>
  <c r="B32" i="6"/>
  <c r="B33" i="6"/>
  <c r="B34" i="6"/>
  <c r="B35" i="6"/>
  <c r="B36" i="6"/>
  <c r="B37" i="6"/>
  <c r="B31" i="6"/>
  <c r="B22" i="6"/>
  <c r="B23" i="6"/>
  <c r="B24" i="6"/>
  <c r="B25" i="6"/>
  <c r="B26" i="6"/>
  <c r="B27" i="6"/>
  <c r="B28" i="6"/>
  <c r="B29" i="6"/>
  <c r="B21" i="6"/>
  <c r="C37" i="6"/>
  <c r="C36" i="6"/>
  <c r="C35" i="6"/>
  <c r="C34" i="6"/>
  <c r="C33" i="6"/>
  <c r="C32" i="6"/>
  <c r="C31" i="6"/>
  <c r="C29" i="6"/>
  <c r="C28" i="6"/>
  <c r="C27" i="6"/>
  <c r="C26" i="6"/>
  <c r="C25" i="6"/>
  <c r="C24" i="6"/>
  <c r="C23" i="6"/>
  <c r="C22" i="6"/>
  <c r="C21" i="6"/>
  <c r="B21" i="7"/>
  <c r="B22" i="7"/>
  <c r="B23" i="7"/>
  <c r="B24" i="7"/>
  <c r="B25" i="7"/>
  <c r="B26" i="7"/>
  <c r="B27" i="7"/>
  <c r="C21" i="7"/>
  <c r="E21" i="7"/>
  <c r="G21" i="7"/>
  <c r="C26" i="7"/>
  <c r="C27" i="7"/>
  <c r="B20" i="7"/>
  <c r="B11" i="7"/>
  <c r="B12" i="7"/>
  <c r="B13" i="7"/>
  <c r="B14" i="7"/>
  <c r="B15" i="7"/>
  <c r="B16" i="7"/>
  <c r="B10" i="7"/>
  <c r="C25" i="7"/>
  <c r="C24" i="7"/>
  <c r="C23" i="7"/>
  <c r="C22" i="7"/>
  <c r="C20" i="7"/>
  <c r="C11" i="7"/>
  <c r="C12" i="7"/>
  <c r="C13" i="7"/>
  <c r="C14" i="7"/>
  <c r="C15" i="7"/>
  <c r="C16" i="7"/>
  <c r="C10" i="7"/>
  <c r="B40" i="8"/>
  <c r="B38" i="8"/>
  <c r="B43" i="8"/>
  <c r="B41" i="8"/>
  <c r="B44" i="8"/>
  <c r="B42" i="8"/>
  <c r="B37" i="8"/>
  <c r="B39" i="8"/>
  <c r="B36" i="8"/>
  <c r="B35" i="8"/>
  <c r="B30" i="8"/>
  <c r="B31" i="8"/>
  <c r="B34" i="8"/>
  <c r="B29" i="8"/>
  <c r="C44" i="8"/>
  <c r="C42" i="8"/>
  <c r="C39" i="8"/>
  <c r="C37" i="8"/>
  <c r="C36" i="8"/>
  <c r="C35" i="8"/>
  <c r="C34" i="8"/>
  <c r="C31" i="8"/>
  <c r="C30" i="8"/>
  <c r="C29" i="8"/>
  <c r="C43" i="8"/>
  <c r="C41" i="8"/>
  <c r="C40" i="8"/>
  <c r="C38" i="8"/>
  <c r="B33" i="8"/>
  <c r="B32" i="8"/>
  <c r="C33" i="8"/>
  <c r="C32" i="8"/>
  <c r="B23" i="8"/>
  <c r="C25" i="8"/>
  <c r="C23" i="8"/>
  <c r="B22" i="8"/>
  <c r="B20" i="8"/>
  <c r="B19" i="8"/>
  <c r="B21" i="8"/>
  <c r="B24" i="8"/>
  <c r="B18" i="8"/>
  <c r="B14" i="8"/>
  <c r="B13" i="8"/>
  <c r="B11" i="8"/>
  <c r="B12" i="8"/>
  <c r="B15" i="8"/>
  <c r="B16" i="8"/>
  <c r="B17" i="8"/>
  <c r="B10" i="8"/>
  <c r="C22" i="8"/>
  <c r="C20" i="8"/>
  <c r="C14" i="8"/>
  <c r="C13" i="8"/>
  <c r="C24" i="8"/>
  <c r="C21" i="8"/>
  <c r="C19" i="8"/>
  <c r="C18" i="8"/>
  <c r="C17" i="8"/>
  <c r="C16" i="8"/>
  <c r="C15" i="8"/>
  <c r="C12" i="8"/>
  <c r="C11" i="8"/>
  <c r="C10" i="8"/>
  <c r="B43" i="9"/>
  <c r="B42" i="9"/>
  <c r="B41" i="9"/>
  <c r="B39" i="9"/>
  <c r="B38" i="9"/>
  <c r="B40" i="9"/>
  <c r="B37" i="9"/>
  <c r="B36" i="9"/>
  <c r="B35" i="9"/>
  <c r="B31" i="9"/>
  <c r="B32" i="9"/>
  <c r="B33" i="9"/>
  <c r="B34" i="9"/>
  <c r="B29" i="9"/>
  <c r="B30" i="9"/>
  <c r="B28" i="9"/>
  <c r="C43" i="9"/>
  <c r="C42" i="9"/>
  <c r="C40" i="9"/>
  <c r="C38" i="9"/>
  <c r="C37" i="9"/>
  <c r="C34" i="9"/>
  <c r="C33" i="9"/>
  <c r="C32" i="9"/>
  <c r="C31" i="9"/>
  <c r="C29" i="9"/>
  <c r="C41" i="9"/>
  <c r="C39" i="9"/>
  <c r="C36" i="9"/>
  <c r="C35" i="9"/>
  <c r="C30" i="9"/>
  <c r="C28" i="9"/>
  <c r="B21" i="9"/>
  <c r="B22" i="9"/>
  <c r="B24" i="9"/>
  <c r="B19" i="9"/>
  <c r="B25" i="9"/>
  <c r="B23" i="9"/>
  <c r="B20" i="9"/>
  <c r="B18" i="9"/>
  <c r="B17" i="9"/>
  <c r="B15" i="9"/>
  <c r="B11" i="9"/>
  <c r="B12" i="9"/>
  <c r="B13" i="9"/>
  <c r="B14" i="9"/>
  <c r="B16" i="9"/>
  <c r="B10" i="9"/>
  <c r="C25" i="9"/>
  <c r="C23" i="9"/>
  <c r="C24" i="9"/>
  <c r="C22" i="9"/>
  <c r="C21" i="9"/>
  <c r="C19" i="9"/>
  <c r="C20" i="9"/>
  <c r="C18" i="9"/>
  <c r="C17" i="9"/>
  <c r="C15" i="9"/>
  <c r="C16" i="9"/>
  <c r="C14" i="9"/>
  <c r="C13" i="9"/>
  <c r="C12" i="9"/>
  <c r="C11" i="9"/>
  <c r="C10" i="9"/>
  <c r="B24" i="10"/>
  <c r="B25" i="10"/>
  <c r="B26" i="10"/>
  <c r="B27" i="10"/>
  <c r="B28" i="10"/>
  <c r="B29" i="10"/>
  <c r="B30" i="10"/>
  <c r="B31" i="10"/>
  <c r="B32" i="10"/>
  <c r="B33" i="10"/>
  <c r="B23" i="10"/>
  <c r="C24" i="10"/>
  <c r="C25" i="10"/>
  <c r="C26" i="10"/>
  <c r="C27" i="10"/>
  <c r="C28" i="10"/>
  <c r="C29" i="10"/>
  <c r="C30" i="10"/>
  <c r="C31" i="10"/>
  <c r="C32" i="10"/>
  <c r="C33" i="10"/>
  <c r="C23" i="10"/>
  <c r="B11" i="10"/>
  <c r="B12" i="10"/>
  <c r="B13" i="10"/>
  <c r="B14" i="10"/>
  <c r="B15" i="10"/>
  <c r="B16" i="10"/>
  <c r="B17" i="10"/>
  <c r="B18" i="10"/>
  <c r="B19" i="10"/>
  <c r="B10" i="10"/>
  <c r="C19" i="10"/>
  <c r="C18" i="10"/>
  <c r="C17" i="10"/>
  <c r="C16" i="10"/>
  <c r="C15" i="10"/>
  <c r="C14" i="10"/>
  <c r="C13" i="10"/>
  <c r="C12" i="10"/>
  <c r="C11" i="10"/>
  <c r="C10" i="10"/>
  <c r="B24" i="11"/>
  <c r="B23" i="11"/>
  <c r="B22" i="11"/>
  <c r="B20" i="11"/>
  <c r="B19" i="11"/>
  <c r="B18" i="11"/>
  <c r="B16" i="11"/>
  <c r="B15" i="11"/>
  <c r="B14" i="11"/>
  <c r="B36" i="11"/>
  <c r="B37" i="11"/>
  <c r="B35" i="11"/>
  <c r="B29" i="11"/>
  <c r="B30" i="11"/>
  <c r="B31" i="11"/>
  <c r="B32" i="11"/>
  <c r="B33" i="11"/>
  <c r="B28" i="11"/>
  <c r="C37" i="11"/>
  <c r="C36" i="11"/>
  <c r="C35" i="11"/>
  <c r="C33" i="11"/>
  <c r="C32" i="11"/>
  <c r="C31" i="11"/>
  <c r="C30" i="11"/>
  <c r="C29" i="11"/>
  <c r="C28" i="11"/>
  <c r="C23" i="11"/>
  <c r="C24" i="11"/>
  <c r="C22" i="11"/>
  <c r="C20" i="11"/>
  <c r="C19" i="11"/>
  <c r="C18" i="11"/>
  <c r="C16" i="11"/>
  <c r="C15" i="11"/>
  <c r="C14" i="11"/>
  <c r="B21" i="12"/>
  <c r="B22" i="12"/>
  <c r="B23" i="12"/>
  <c r="B24" i="12"/>
  <c r="B25" i="12"/>
  <c r="B26" i="12"/>
  <c r="B27" i="12"/>
  <c r="B20" i="12"/>
  <c r="C26" i="12"/>
  <c r="C27" i="12"/>
  <c r="C25" i="12"/>
  <c r="C24" i="12"/>
  <c r="C23" i="12"/>
  <c r="C22" i="12"/>
  <c r="C21" i="12"/>
  <c r="C20" i="12"/>
  <c r="B11" i="12"/>
  <c r="B12" i="12"/>
  <c r="B13" i="12"/>
  <c r="B14" i="12"/>
  <c r="B15" i="12"/>
  <c r="B16" i="12"/>
  <c r="B10" i="12"/>
  <c r="C16" i="12"/>
  <c r="C15" i="12"/>
  <c r="C14" i="12"/>
  <c r="C13" i="12"/>
  <c r="C12" i="12"/>
  <c r="C11" i="12"/>
  <c r="C10" i="12"/>
  <c r="B35" i="13"/>
  <c r="B33" i="13"/>
  <c r="B34" i="13"/>
  <c r="B32" i="13"/>
  <c r="B26" i="13"/>
  <c r="B27" i="13"/>
  <c r="B28" i="13"/>
  <c r="B29" i="13"/>
  <c r="B30" i="13"/>
  <c r="B31" i="13"/>
  <c r="B25" i="13"/>
  <c r="B24" i="13"/>
  <c r="C35" i="13"/>
  <c r="C24" i="13"/>
  <c r="C34" i="13"/>
  <c r="C32" i="13"/>
  <c r="C33" i="13"/>
  <c r="C31" i="13"/>
  <c r="C30" i="13"/>
  <c r="C29" i="13"/>
  <c r="C28" i="13"/>
  <c r="C27" i="13"/>
  <c r="C26" i="13"/>
  <c r="C25" i="13"/>
  <c r="B16" i="13"/>
  <c r="B17" i="13"/>
  <c r="B18" i="13"/>
  <c r="B19" i="13"/>
  <c r="B20" i="13"/>
  <c r="B15" i="13"/>
  <c r="B14" i="13"/>
  <c r="B11" i="13"/>
  <c r="B12" i="13"/>
  <c r="B13" i="13"/>
  <c r="B10" i="13"/>
  <c r="C14" i="13"/>
  <c r="C20" i="13"/>
  <c r="C19" i="13"/>
  <c r="C18" i="13"/>
  <c r="C17" i="13"/>
  <c r="C16" i="13"/>
  <c r="C15" i="13"/>
  <c r="C13" i="13"/>
  <c r="C12" i="13"/>
  <c r="C11" i="13"/>
  <c r="C10" i="13"/>
  <c r="M38" i="2"/>
  <c r="B25" i="14"/>
  <c r="M35" i="2"/>
  <c r="M33" i="2"/>
  <c r="M32" i="2"/>
  <c r="C27" i="14"/>
  <c r="C25" i="14"/>
  <c r="C24" i="14"/>
  <c r="C22" i="14"/>
  <c r="C21" i="14"/>
  <c r="M11" i="2"/>
  <c r="M9" i="2"/>
  <c r="M8" i="2"/>
  <c r="M6" i="2"/>
  <c r="M5" i="2"/>
  <c r="C17" i="14"/>
  <c r="C15" i="14"/>
  <c r="C14" i="14"/>
  <c r="C12" i="14"/>
  <c r="C11" i="14"/>
  <c r="C30" i="15"/>
  <c r="C28" i="15"/>
  <c r="C29" i="15"/>
  <c r="C27" i="15"/>
  <c r="C26" i="15"/>
  <c r="C25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C36" i="15"/>
  <c r="C35" i="15"/>
  <c r="C34" i="15"/>
  <c r="C33" i="15"/>
  <c r="C32" i="15"/>
  <c r="C31" i="15"/>
  <c r="B21" i="15"/>
  <c r="B19" i="15"/>
  <c r="B20" i="15"/>
  <c r="B18" i="15"/>
  <c r="B17" i="15"/>
  <c r="B15" i="15"/>
  <c r="B16" i="15"/>
  <c r="B14" i="15"/>
  <c r="B12" i="15"/>
  <c r="B11" i="15"/>
  <c r="B10" i="15"/>
  <c r="B9" i="15"/>
  <c r="C19" i="15"/>
  <c r="C15" i="15"/>
  <c r="C11" i="15"/>
  <c r="C21" i="15"/>
  <c r="C20" i="15"/>
  <c r="C18" i="15"/>
  <c r="C17" i="15"/>
  <c r="C16" i="15"/>
  <c r="C14" i="15"/>
  <c r="C12" i="15"/>
  <c r="C10" i="15"/>
  <c r="C9" i="15"/>
  <c r="E9" i="15"/>
  <c r="G9" i="15"/>
  <c r="E10" i="15"/>
  <c r="G10" i="15"/>
  <c r="E11" i="15"/>
  <c r="G11" i="15"/>
  <c r="E12" i="15"/>
  <c r="G12" i="15"/>
  <c r="E14" i="15"/>
  <c r="G14" i="15"/>
  <c r="E16" i="15"/>
  <c r="G16" i="15"/>
  <c r="E15" i="15"/>
  <c r="G15" i="15"/>
  <c r="E17" i="15"/>
  <c r="G17" i="15"/>
  <c r="E18" i="15"/>
  <c r="G18" i="15"/>
  <c r="E20" i="15"/>
  <c r="G20" i="15"/>
  <c r="E19" i="15"/>
  <c r="G19" i="15"/>
  <c r="E21" i="15"/>
  <c r="G21" i="15"/>
  <c r="E33" i="15"/>
  <c r="G33" i="15"/>
  <c r="E34" i="15"/>
  <c r="G34" i="15"/>
  <c r="E31" i="15"/>
  <c r="G31" i="15"/>
  <c r="E32" i="15"/>
  <c r="G32" i="15"/>
  <c r="E35" i="15"/>
  <c r="G35" i="15"/>
  <c r="E36" i="15"/>
  <c r="G36" i="15"/>
  <c r="E11" i="14"/>
  <c r="G11" i="14"/>
  <c r="E12" i="14"/>
  <c r="G12" i="14"/>
  <c r="E14" i="14"/>
  <c r="G14" i="14"/>
  <c r="E15" i="14"/>
  <c r="G15" i="14"/>
  <c r="E17" i="14"/>
  <c r="G17" i="14"/>
  <c r="E21" i="14"/>
  <c r="G21" i="14"/>
  <c r="E22" i="14"/>
  <c r="G22" i="14"/>
  <c r="E24" i="14"/>
  <c r="G24" i="14"/>
  <c r="E25" i="14"/>
  <c r="G25" i="14"/>
  <c r="E27" i="14"/>
  <c r="G27" i="14"/>
  <c r="B34" i="14"/>
  <c r="G34" i="14"/>
  <c r="B35" i="14"/>
  <c r="G35" i="14"/>
  <c r="B36" i="14"/>
  <c r="G36" i="14"/>
  <c r="B37" i="14"/>
  <c r="G37" i="14"/>
  <c r="B38" i="14"/>
  <c r="G38" i="14"/>
  <c r="E10" i="13"/>
  <c r="G10" i="13"/>
  <c r="E11" i="13"/>
  <c r="G11" i="13"/>
  <c r="E12" i="13"/>
  <c r="G12" i="13"/>
  <c r="E13" i="13"/>
  <c r="G13" i="13"/>
  <c r="E14" i="13"/>
  <c r="G14" i="13"/>
  <c r="E15" i="13"/>
  <c r="G15" i="13"/>
  <c r="E16" i="13"/>
  <c r="G16" i="13"/>
  <c r="E17" i="13"/>
  <c r="G17" i="13"/>
  <c r="E18" i="13"/>
  <c r="G18" i="13"/>
  <c r="E19" i="13"/>
  <c r="G19" i="13"/>
  <c r="E20" i="13"/>
  <c r="G20" i="13"/>
  <c r="E24" i="13"/>
  <c r="G24" i="13"/>
  <c r="E25" i="13"/>
  <c r="G25" i="13"/>
  <c r="E26" i="13"/>
  <c r="G26" i="13"/>
  <c r="E27" i="13"/>
  <c r="G27" i="13"/>
  <c r="E28" i="13"/>
  <c r="G28" i="13"/>
  <c r="E29" i="13"/>
  <c r="G29" i="13"/>
  <c r="E30" i="13"/>
  <c r="G30" i="13"/>
  <c r="E31" i="13"/>
  <c r="G31" i="13"/>
  <c r="E33" i="13"/>
  <c r="G33" i="13"/>
  <c r="E32" i="13"/>
  <c r="G32" i="13"/>
  <c r="E34" i="13"/>
  <c r="G34" i="13"/>
  <c r="E35" i="13"/>
  <c r="G35" i="13"/>
  <c r="E10" i="12"/>
  <c r="G10" i="12"/>
  <c r="E11" i="12"/>
  <c r="G11" i="12"/>
  <c r="E12" i="12"/>
  <c r="G12" i="12"/>
  <c r="E13" i="12"/>
  <c r="G13" i="12"/>
  <c r="E14" i="12"/>
  <c r="G14" i="12"/>
  <c r="E15" i="12"/>
  <c r="G15" i="12"/>
  <c r="E16" i="12"/>
  <c r="G16" i="12"/>
  <c r="E20" i="12"/>
  <c r="G20" i="12"/>
  <c r="E21" i="12"/>
  <c r="G21" i="12"/>
  <c r="E27" i="12"/>
  <c r="G27" i="12"/>
  <c r="E26" i="12"/>
  <c r="G26" i="12"/>
  <c r="B34" i="12"/>
  <c r="G34" i="12"/>
  <c r="B35" i="12"/>
  <c r="G35" i="12"/>
  <c r="B36" i="12"/>
  <c r="G36" i="12"/>
  <c r="B37" i="12"/>
  <c r="G37" i="12"/>
  <c r="E22" i="11"/>
  <c r="G22" i="11"/>
  <c r="E15" i="11"/>
  <c r="G15" i="11"/>
  <c r="E16" i="11"/>
  <c r="G16" i="11"/>
  <c r="E18" i="11"/>
  <c r="G18" i="11"/>
  <c r="E19" i="11"/>
  <c r="G19" i="11"/>
  <c r="E20" i="11"/>
  <c r="G20" i="11"/>
  <c r="E14" i="11"/>
  <c r="G14" i="11"/>
  <c r="E23" i="11"/>
  <c r="G23" i="11"/>
  <c r="E24" i="11"/>
  <c r="G24" i="11"/>
  <c r="E28" i="11"/>
  <c r="G28" i="11"/>
  <c r="E29" i="11"/>
  <c r="G29" i="11"/>
  <c r="E30" i="11"/>
  <c r="G30" i="11"/>
  <c r="E31" i="11"/>
  <c r="G31" i="11"/>
  <c r="E32" i="11"/>
  <c r="G32" i="11"/>
  <c r="E33" i="11"/>
  <c r="G33" i="11"/>
  <c r="E35" i="11"/>
  <c r="G35" i="11"/>
  <c r="E36" i="11"/>
  <c r="G36" i="11"/>
  <c r="E37" i="11"/>
  <c r="G37" i="11"/>
  <c r="E11" i="10"/>
  <c r="G11" i="10"/>
  <c r="E12" i="10"/>
  <c r="G12" i="10"/>
  <c r="E10" i="10"/>
  <c r="G10" i="10"/>
  <c r="E14" i="10"/>
  <c r="G14" i="10"/>
  <c r="E15" i="10"/>
  <c r="G15" i="10"/>
  <c r="E16" i="10"/>
  <c r="G16" i="10"/>
  <c r="E13" i="10"/>
  <c r="G13" i="10"/>
  <c r="E17" i="10"/>
  <c r="G17" i="10"/>
  <c r="E18" i="10"/>
  <c r="G18" i="10"/>
  <c r="E19" i="10"/>
  <c r="G19" i="10"/>
  <c r="E23" i="10"/>
  <c r="G23" i="10"/>
  <c r="E24" i="10"/>
  <c r="G24" i="10"/>
  <c r="E29" i="10"/>
  <c r="E30" i="10"/>
  <c r="G30" i="10"/>
  <c r="G31" i="10"/>
  <c r="E32" i="10"/>
  <c r="G32" i="10"/>
  <c r="E33" i="10"/>
  <c r="E10" i="9"/>
  <c r="G10" i="9"/>
  <c r="E11" i="9"/>
  <c r="G11" i="9"/>
  <c r="E12" i="9"/>
  <c r="G12" i="9"/>
  <c r="E13" i="9"/>
  <c r="G13" i="9"/>
  <c r="E14" i="9"/>
  <c r="G14" i="9"/>
  <c r="E16" i="9"/>
  <c r="G16" i="9"/>
  <c r="E15" i="9"/>
  <c r="G15" i="9"/>
  <c r="E17" i="9"/>
  <c r="G17" i="9"/>
  <c r="E18" i="9"/>
  <c r="G18" i="9"/>
  <c r="E20" i="9"/>
  <c r="G20" i="9"/>
  <c r="E19" i="9"/>
  <c r="G19" i="9"/>
  <c r="E21" i="9"/>
  <c r="G21" i="9"/>
  <c r="E28" i="9"/>
  <c r="G28" i="9"/>
  <c r="E30" i="9"/>
  <c r="G30" i="9"/>
  <c r="E29" i="9"/>
  <c r="G29" i="9"/>
  <c r="E31" i="9"/>
  <c r="G31" i="9"/>
  <c r="E32" i="9"/>
  <c r="G32" i="9"/>
  <c r="E33" i="9"/>
  <c r="G33" i="9"/>
  <c r="E34" i="9"/>
  <c r="G34" i="9"/>
  <c r="G35" i="9"/>
  <c r="E36" i="9"/>
  <c r="G36" i="9"/>
  <c r="E37" i="9"/>
  <c r="G37" i="9"/>
  <c r="E38" i="9"/>
  <c r="G38" i="9"/>
  <c r="E40" i="9"/>
  <c r="G40" i="9"/>
  <c r="E39" i="9"/>
  <c r="G39" i="9"/>
  <c r="E41" i="9"/>
  <c r="G41" i="9"/>
  <c r="E42" i="9"/>
  <c r="G42" i="9"/>
  <c r="E43" i="9"/>
  <c r="G43" i="9"/>
  <c r="E10" i="8"/>
  <c r="E91" i="21" s="1"/>
  <c r="G10" i="8"/>
  <c r="G91" i="21" s="1"/>
  <c r="E11" i="8"/>
  <c r="E92" i="21" s="1"/>
  <c r="G11" i="8"/>
  <c r="G92" i="21" s="1"/>
  <c r="E12" i="8"/>
  <c r="E93" i="21" s="1"/>
  <c r="G12" i="8"/>
  <c r="G93" i="21" s="1"/>
  <c r="E15" i="8"/>
  <c r="E96" i="21" s="1"/>
  <c r="G15" i="8"/>
  <c r="G96" i="21" s="1"/>
  <c r="E16" i="8"/>
  <c r="G16" i="8"/>
  <c r="E17" i="8"/>
  <c r="G17" i="8"/>
  <c r="E13" i="8"/>
  <c r="E94" i="21" s="1"/>
  <c r="G13" i="8"/>
  <c r="G94" i="21" s="1"/>
  <c r="E14" i="8"/>
  <c r="E95" i="21" s="1"/>
  <c r="G14" i="8"/>
  <c r="G95" i="21" s="1"/>
  <c r="E18" i="8"/>
  <c r="E99" i="21" s="1"/>
  <c r="G18" i="8"/>
  <c r="G99" i="21" s="1"/>
  <c r="E19" i="8"/>
  <c r="E100" i="21" s="1"/>
  <c r="G19" i="8"/>
  <c r="G100" i="21" s="1"/>
  <c r="E21" i="8"/>
  <c r="G21" i="8"/>
  <c r="E23" i="8"/>
  <c r="G23" i="8"/>
  <c r="E20" i="8"/>
  <c r="G20" i="8"/>
  <c r="E22" i="8"/>
  <c r="G22" i="8"/>
  <c r="E24" i="8"/>
  <c r="G24" i="8"/>
  <c r="E106" i="21"/>
  <c r="G25" i="8"/>
  <c r="E32" i="8"/>
  <c r="G32" i="8"/>
  <c r="E33" i="8"/>
  <c r="G33" i="8"/>
  <c r="E29" i="8"/>
  <c r="G29" i="8"/>
  <c r="E30" i="8"/>
  <c r="G30" i="8"/>
  <c r="E31" i="8"/>
  <c r="G31" i="8"/>
  <c r="E34" i="8"/>
  <c r="G34" i="8"/>
  <c r="E35" i="8"/>
  <c r="G35" i="8"/>
  <c r="E41" i="8"/>
  <c r="G41" i="8"/>
  <c r="E43" i="8"/>
  <c r="G43" i="8"/>
  <c r="E36" i="8"/>
  <c r="G36" i="8"/>
  <c r="E37" i="8"/>
  <c r="G37" i="8"/>
  <c r="E39" i="8"/>
  <c r="G39" i="8"/>
  <c r="E38" i="8"/>
  <c r="G38" i="8"/>
  <c r="E40" i="8"/>
  <c r="G40" i="8"/>
  <c r="E42" i="8"/>
  <c r="G42" i="8"/>
  <c r="E44" i="8"/>
  <c r="G44" i="8"/>
  <c r="E10" i="7"/>
  <c r="G10" i="7"/>
  <c r="E11" i="7"/>
  <c r="E12" i="7"/>
  <c r="G12" i="7"/>
  <c r="E13" i="7"/>
  <c r="G13" i="7"/>
  <c r="E14" i="7"/>
  <c r="G14" i="7"/>
  <c r="E15" i="7"/>
  <c r="G15" i="7"/>
  <c r="E16" i="7"/>
  <c r="G16" i="7"/>
  <c r="E20" i="7"/>
  <c r="G20" i="7"/>
  <c r="E27" i="7"/>
  <c r="G27" i="7"/>
  <c r="E26" i="7"/>
  <c r="G26" i="7"/>
  <c r="B34" i="7"/>
  <c r="G34" i="7"/>
  <c r="B35" i="7"/>
  <c r="G35" i="7"/>
  <c r="B36" i="7"/>
  <c r="G36" i="7"/>
  <c r="B37" i="7"/>
  <c r="G37" i="7"/>
  <c r="E21" i="6"/>
  <c r="G21" i="6"/>
  <c r="E22" i="6"/>
  <c r="G22" i="6"/>
  <c r="E23" i="6"/>
  <c r="G23" i="6"/>
  <c r="E24" i="6"/>
  <c r="G24" i="6"/>
  <c r="E25" i="6"/>
  <c r="G25" i="6"/>
  <c r="E26" i="6"/>
  <c r="G26" i="6"/>
  <c r="E27" i="6"/>
  <c r="G27" i="6"/>
  <c r="E28" i="6"/>
  <c r="G28" i="6"/>
  <c r="E29" i="6"/>
  <c r="G29" i="6"/>
  <c r="E31" i="6"/>
  <c r="G31" i="6"/>
  <c r="E32" i="6"/>
  <c r="G32" i="6"/>
  <c r="E33" i="6"/>
  <c r="G33" i="6"/>
  <c r="E34" i="6"/>
  <c r="G34" i="6"/>
  <c r="E37" i="6"/>
  <c r="G37" i="6"/>
  <c r="G40" i="6"/>
  <c r="E41" i="6"/>
  <c r="G41" i="6"/>
  <c r="E43" i="6"/>
  <c r="G43" i="6"/>
  <c r="E44" i="6"/>
  <c r="G44" i="6"/>
  <c r="E46" i="6"/>
  <c r="G46" i="6"/>
  <c r="E47" i="6"/>
  <c r="G47" i="6"/>
  <c r="E12" i="5"/>
  <c r="G12" i="5"/>
  <c r="E13" i="5"/>
  <c r="G13" i="5"/>
  <c r="E15" i="5"/>
  <c r="G15" i="5"/>
  <c r="E16" i="5"/>
  <c r="G16" i="5"/>
  <c r="E18" i="5"/>
  <c r="G18" i="5"/>
  <c r="E19" i="5"/>
  <c r="G19" i="5"/>
  <c r="E23" i="5"/>
  <c r="G23" i="5"/>
  <c r="E24" i="5"/>
  <c r="G24" i="5"/>
  <c r="E25" i="5"/>
  <c r="G25" i="5"/>
  <c r="E27" i="5"/>
  <c r="G27" i="5"/>
  <c r="E28" i="5"/>
  <c r="G28" i="5"/>
  <c r="E29" i="5"/>
  <c r="G29" i="5"/>
  <c r="E10" i="4"/>
  <c r="G10" i="4"/>
  <c r="E11" i="4"/>
  <c r="G11" i="4"/>
  <c r="E12" i="4"/>
  <c r="G12" i="4"/>
  <c r="E13" i="4"/>
  <c r="G13" i="4"/>
  <c r="E14" i="4"/>
  <c r="G14" i="4"/>
  <c r="E15" i="4"/>
  <c r="G15" i="4"/>
  <c r="E16" i="4"/>
  <c r="G16" i="4"/>
  <c r="E17" i="4"/>
  <c r="G17" i="4"/>
  <c r="E21" i="4"/>
  <c r="G21" i="4"/>
  <c r="E22" i="4"/>
  <c r="G22" i="4"/>
  <c r="E23" i="4"/>
  <c r="G23" i="4"/>
  <c r="E24" i="4"/>
  <c r="G24" i="4"/>
  <c r="E10" i="3"/>
  <c r="G10" i="3"/>
  <c r="E13" i="3"/>
  <c r="G13" i="3"/>
  <c r="E16" i="3"/>
  <c r="G16" i="3"/>
  <c r="E14" i="3"/>
  <c r="G14" i="3"/>
  <c r="E11" i="3"/>
  <c r="G11" i="3"/>
  <c r="E17" i="3"/>
  <c r="G17" i="3"/>
  <c r="E18" i="3"/>
  <c r="G18" i="3"/>
  <c r="E22" i="3"/>
  <c r="G22" i="3"/>
  <c r="E23" i="3"/>
  <c r="G23" i="3"/>
  <c r="B37" i="3"/>
  <c r="G37" i="3"/>
  <c r="B38" i="3"/>
  <c r="G38" i="3"/>
  <c r="B39" i="3"/>
  <c r="G39" i="3"/>
  <c r="B40" i="3"/>
  <c r="G40" i="3"/>
  <c r="E251" i="23" l="1"/>
  <c r="E75" i="22"/>
  <c r="E192" i="21"/>
  <c r="E146" i="23"/>
  <c r="E67" i="22"/>
  <c r="E186" i="21"/>
  <c r="E259" i="23"/>
  <c r="E76" i="22"/>
  <c r="E193" i="21"/>
  <c r="E160" i="23"/>
  <c r="E68" i="22"/>
  <c r="E187" i="21"/>
  <c r="E238" i="23"/>
  <c r="E74" i="22"/>
  <c r="E191" i="21"/>
  <c r="E133" i="23"/>
  <c r="E66" i="22"/>
  <c r="E185" i="21"/>
  <c r="G238" i="23"/>
  <c r="G74" i="22"/>
  <c r="G191" i="21"/>
  <c r="E174" i="23"/>
  <c r="E69" i="22"/>
  <c r="E188" i="21"/>
  <c r="G251" i="23"/>
  <c r="G75" i="22"/>
  <c r="G192" i="21"/>
  <c r="E187" i="23"/>
  <c r="E70" i="22"/>
  <c r="E189" i="21"/>
  <c r="G259" i="23"/>
  <c r="G76" i="22"/>
  <c r="G193" i="21"/>
  <c r="E198" i="23"/>
  <c r="E71" i="22"/>
  <c r="E190" i="21"/>
  <c r="G229" i="23"/>
  <c r="G222" i="22"/>
  <c r="G61" i="21"/>
  <c r="E192" i="23"/>
  <c r="E220" i="22"/>
  <c r="E59" i="21"/>
  <c r="E100" i="23"/>
  <c r="E215" i="22"/>
  <c r="E56" i="21"/>
  <c r="E22" i="23"/>
  <c r="E209" i="22"/>
  <c r="E50" i="21"/>
  <c r="G242" i="23"/>
  <c r="G223" i="22"/>
  <c r="G62" i="21"/>
  <c r="E204" i="23"/>
  <c r="E221" i="22"/>
  <c r="E60" i="21"/>
  <c r="G100" i="23"/>
  <c r="G215" i="22"/>
  <c r="G56" i="21"/>
  <c r="E62" i="23"/>
  <c r="E212" i="22"/>
  <c r="E53" i="21"/>
  <c r="G2" i="23"/>
  <c r="G54" i="22"/>
  <c r="G176" i="21"/>
  <c r="E120" i="23"/>
  <c r="E64" i="22"/>
  <c r="E182" i="21"/>
  <c r="G187" i="23"/>
  <c r="G70" i="22"/>
  <c r="G189" i="21"/>
  <c r="G146" i="23"/>
  <c r="G67" i="22"/>
  <c r="G186" i="21"/>
  <c r="E2" i="23"/>
  <c r="E54" i="22"/>
  <c r="E176" i="21"/>
  <c r="E57" i="23"/>
  <c r="E59" i="22"/>
  <c r="E179" i="21"/>
  <c r="G174" i="23"/>
  <c r="G69" i="22"/>
  <c r="G188" i="21"/>
  <c r="G133" i="23"/>
  <c r="G66" i="22"/>
  <c r="G185" i="21"/>
  <c r="G198" i="23"/>
  <c r="G71" i="22"/>
  <c r="G190" i="21"/>
  <c r="G160" i="23"/>
  <c r="G68" i="22"/>
  <c r="G187" i="21"/>
  <c r="G241" i="23"/>
  <c r="G188" i="22"/>
  <c r="G173" i="21"/>
  <c r="G228" i="23"/>
  <c r="G187" i="22"/>
  <c r="G172" i="21"/>
  <c r="E254" i="23"/>
  <c r="E189" i="22"/>
  <c r="E174" i="21"/>
  <c r="E215" i="23"/>
  <c r="E186" i="22"/>
  <c r="E171" i="21"/>
  <c r="E228" i="23"/>
  <c r="E187" i="22"/>
  <c r="E172" i="21"/>
  <c r="G106" i="21"/>
  <c r="G126" i="23"/>
  <c r="G26" i="22"/>
  <c r="G105" i="21"/>
  <c r="G121" i="23"/>
  <c r="G123" i="22"/>
  <c r="G67" i="23"/>
  <c r="G40" i="22"/>
  <c r="G46" i="21"/>
  <c r="G29" i="23"/>
  <c r="G37" i="22"/>
  <c r="G43" i="21"/>
  <c r="G42" i="23"/>
  <c r="G38" i="22"/>
  <c r="G44" i="21"/>
  <c r="G5" i="23"/>
  <c r="G35" i="22"/>
  <c r="G41" i="21"/>
  <c r="E80" i="23"/>
  <c r="E41" i="22"/>
  <c r="E47" i="21"/>
  <c r="E5" i="23"/>
  <c r="E35" i="22"/>
  <c r="E41" i="21"/>
  <c r="G80" i="23"/>
  <c r="G41" i="22"/>
  <c r="G47" i="21"/>
  <c r="E42" i="23"/>
  <c r="E38" i="22"/>
  <c r="E44" i="21"/>
  <c r="E229" i="23"/>
  <c r="E222" i="22"/>
  <c r="E61" i="21"/>
  <c r="E242" i="23"/>
  <c r="E223" i="22"/>
  <c r="E62" i="21"/>
  <c r="E165" i="23"/>
  <c r="E219" i="22"/>
  <c r="E58" i="21"/>
  <c r="E108" i="21"/>
  <c r="E147" i="23"/>
  <c r="E125" i="22"/>
  <c r="G111" i="21"/>
  <c r="G172" i="23"/>
  <c r="G11" i="22"/>
  <c r="E105" i="21"/>
  <c r="E121" i="23"/>
  <c r="E123" i="22"/>
  <c r="C2" i="23"/>
  <c r="C54" i="22"/>
  <c r="C176" i="21"/>
  <c r="C6" i="23"/>
  <c r="C55" i="22"/>
  <c r="C177" i="21"/>
  <c r="C17" i="23"/>
  <c r="C56" i="22"/>
  <c r="C178" i="21"/>
  <c r="C57" i="23"/>
  <c r="C59" i="22"/>
  <c r="C179" i="21"/>
  <c r="C68" i="23"/>
  <c r="C60" i="22"/>
  <c r="C180" i="21"/>
  <c r="C81" i="23"/>
  <c r="C61" i="22"/>
  <c r="C181" i="21"/>
  <c r="C120" i="23"/>
  <c r="C64" i="22"/>
  <c r="C182" i="21"/>
  <c r="C128" i="23"/>
  <c r="C65" i="22"/>
  <c r="C184" i="21"/>
  <c r="C129" i="23"/>
  <c r="C159" i="22"/>
  <c r="C183" i="21"/>
  <c r="C133" i="23"/>
  <c r="C66" i="22"/>
  <c r="C185" i="21"/>
  <c r="C146" i="23"/>
  <c r="C67" i="22"/>
  <c r="C186" i="21"/>
  <c r="C160" i="23"/>
  <c r="C68" i="22"/>
  <c r="C187" i="21"/>
  <c r="C174" i="23"/>
  <c r="C69" i="22"/>
  <c r="C188" i="21"/>
  <c r="C187" i="23"/>
  <c r="C70" i="22"/>
  <c r="C189" i="21"/>
  <c r="C198" i="23"/>
  <c r="C71" i="22"/>
  <c r="C190" i="21"/>
  <c r="C238" i="23"/>
  <c r="C74" i="22"/>
  <c r="C191" i="21"/>
  <c r="C251" i="23"/>
  <c r="C75" i="22"/>
  <c r="C192" i="21"/>
  <c r="C259" i="23"/>
  <c r="C76" i="22"/>
  <c r="C193" i="21"/>
  <c r="R31" i="2"/>
  <c r="B133" i="23"/>
  <c r="K133" i="23" s="1"/>
  <c r="B66" i="22"/>
  <c r="K66" i="22" s="1"/>
  <c r="B185" i="21"/>
  <c r="K185" i="21" s="1"/>
  <c r="R36" i="2"/>
  <c r="B198" i="23"/>
  <c r="K198" i="23" s="1"/>
  <c r="B71" i="22"/>
  <c r="K71" i="22" s="1"/>
  <c r="B190" i="21"/>
  <c r="K190" i="21" s="1"/>
  <c r="R35" i="2"/>
  <c r="B187" i="23"/>
  <c r="K187" i="23" s="1"/>
  <c r="B70" i="22"/>
  <c r="K70" i="22" s="1"/>
  <c r="B189" i="21"/>
  <c r="K189" i="21" s="1"/>
  <c r="R34" i="2"/>
  <c r="B174" i="23"/>
  <c r="K174" i="23" s="1"/>
  <c r="B69" i="22"/>
  <c r="K69" i="22" s="1"/>
  <c r="B188" i="21"/>
  <c r="K188" i="21" s="1"/>
  <c r="R33" i="2"/>
  <c r="B160" i="23"/>
  <c r="K160" i="23" s="1"/>
  <c r="B68" i="22"/>
  <c r="K68" i="22" s="1"/>
  <c r="B187" i="21"/>
  <c r="K187" i="21" s="1"/>
  <c r="R32" i="2"/>
  <c r="B146" i="23"/>
  <c r="K146" i="23" s="1"/>
  <c r="B67" i="22"/>
  <c r="K67" i="22" s="1"/>
  <c r="B186" i="21"/>
  <c r="K186" i="21" s="1"/>
  <c r="R39" i="2"/>
  <c r="B238" i="23"/>
  <c r="K238" i="23" s="1"/>
  <c r="B74" i="22"/>
  <c r="K74" i="22" s="1"/>
  <c r="B191" i="21"/>
  <c r="K191" i="21" s="1"/>
  <c r="R41" i="2"/>
  <c r="B259" i="23"/>
  <c r="K259" i="23" s="1"/>
  <c r="B76" i="22"/>
  <c r="K76" i="22" s="1"/>
  <c r="B193" i="21"/>
  <c r="K193" i="21" s="1"/>
  <c r="R40" i="2"/>
  <c r="B251" i="23"/>
  <c r="K251" i="23" s="1"/>
  <c r="B75" i="22"/>
  <c r="K75" i="22" s="1"/>
  <c r="B192" i="21"/>
  <c r="K192" i="21" s="1"/>
  <c r="R4" i="2"/>
  <c r="B2" i="23"/>
  <c r="K2" i="23" s="1"/>
  <c r="B54" i="22"/>
  <c r="K54" i="22" s="1"/>
  <c r="B176" i="21"/>
  <c r="K176" i="21" s="1"/>
  <c r="R5" i="2"/>
  <c r="B6" i="23"/>
  <c r="K6" i="23" s="1"/>
  <c r="B55" i="22"/>
  <c r="K55" i="22" s="1"/>
  <c r="B177" i="21"/>
  <c r="K177" i="21" s="1"/>
  <c r="R6" i="2"/>
  <c r="B17" i="23"/>
  <c r="K17" i="23" s="1"/>
  <c r="B56" i="22"/>
  <c r="K56" i="22" s="1"/>
  <c r="B178" i="21"/>
  <c r="K178" i="21" s="1"/>
  <c r="R9" i="2"/>
  <c r="B57" i="23"/>
  <c r="K57" i="23" s="1"/>
  <c r="B59" i="22"/>
  <c r="K59" i="22" s="1"/>
  <c r="B179" i="21"/>
  <c r="K179" i="21" s="1"/>
  <c r="R10" i="2"/>
  <c r="B68" i="23"/>
  <c r="K68" i="23" s="1"/>
  <c r="B60" i="22"/>
  <c r="K60" i="22" s="1"/>
  <c r="B180" i="21"/>
  <c r="K180" i="21" s="1"/>
  <c r="R11" i="2"/>
  <c r="B81" i="23"/>
  <c r="K81" i="23" s="1"/>
  <c r="B61" i="22"/>
  <c r="K61" i="22" s="1"/>
  <c r="B181" i="21"/>
  <c r="K181" i="21" s="1"/>
  <c r="R14" i="2"/>
  <c r="B120" i="23"/>
  <c r="K120" i="23" s="1"/>
  <c r="B64" i="22"/>
  <c r="K64" i="22" s="1"/>
  <c r="B182" i="21"/>
  <c r="K182" i="21" s="1"/>
  <c r="S15" i="2"/>
  <c r="B129" i="23"/>
  <c r="K129" i="23" s="1"/>
  <c r="B159" i="22"/>
  <c r="K159" i="22" s="1"/>
  <c r="B183" i="21"/>
  <c r="K183" i="21" s="1"/>
  <c r="R15" i="2"/>
  <c r="B128" i="23"/>
  <c r="K128" i="23" s="1"/>
  <c r="B65" i="22"/>
  <c r="K65" i="22" s="1"/>
  <c r="B184" i="21"/>
  <c r="K184" i="21" s="1"/>
  <c r="C9" i="23"/>
  <c r="C170" i="22"/>
  <c r="C155" i="21"/>
  <c r="C21" i="23"/>
  <c r="C171" i="22"/>
  <c r="C156" i="21"/>
  <c r="C34" i="23"/>
  <c r="C172" i="22"/>
  <c r="C157" i="21"/>
  <c r="C47" i="23"/>
  <c r="C173" i="22"/>
  <c r="C158" i="21"/>
  <c r="C61" i="23"/>
  <c r="C174" i="22"/>
  <c r="C159" i="21"/>
  <c r="C73" i="23"/>
  <c r="C175" i="22"/>
  <c r="C160" i="21"/>
  <c r="C85" i="23"/>
  <c r="C176" i="22"/>
  <c r="C161" i="21"/>
  <c r="C99" i="23"/>
  <c r="C177" i="22"/>
  <c r="C162" i="21"/>
  <c r="C112" i="23"/>
  <c r="C178" i="22"/>
  <c r="C163" i="21"/>
  <c r="C123" i="23"/>
  <c r="C179" i="22"/>
  <c r="C164" i="21"/>
  <c r="U5" i="2"/>
  <c r="B9" i="23"/>
  <c r="K9" i="23" s="1"/>
  <c r="B170" i="22"/>
  <c r="K170" i="22" s="1"/>
  <c r="B155" i="21"/>
  <c r="K155" i="21" s="1"/>
  <c r="U14" i="2"/>
  <c r="B123" i="23"/>
  <c r="K123" i="23" s="1"/>
  <c r="B179" i="22"/>
  <c r="K179" i="22" s="1"/>
  <c r="B164" i="21"/>
  <c r="K164" i="21" s="1"/>
  <c r="U13" i="2"/>
  <c r="B112" i="23"/>
  <c r="K112" i="23" s="1"/>
  <c r="B178" i="22"/>
  <c r="K178" i="22" s="1"/>
  <c r="B163" i="21"/>
  <c r="K163" i="21" s="1"/>
  <c r="U12" i="2"/>
  <c r="B99" i="23"/>
  <c r="K99" i="23" s="1"/>
  <c r="B177" i="22"/>
  <c r="K177" i="22" s="1"/>
  <c r="B162" i="21"/>
  <c r="K162" i="21" s="1"/>
  <c r="U11" i="2"/>
  <c r="B85" i="23"/>
  <c r="K85" i="23" s="1"/>
  <c r="B176" i="22"/>
  <c r="K176" i="22" s="1"/>
  <c r="B161" i="21"/>
  <c r="K161" i="21" s="1"/>
  <c r="U10" i="2"/>
  <c r="B73" i="23"/>
  <c r="K73" i="23" s="1"/>
  <c r="B175" i="22"/>
  <c r="K175" i="22" s="1"/>
  <c r="B160" i="21"/>
  <c r="K160" i="21" s="1"/>
  <c r="U9" i="2"/>
  <c r="B61" i="23"/>
  <c r="K61" i="23" s="1"/>
  <c r="B174" i="22"/>
  <c r="K174" i="22" s="1"/>
  <c r="B159" i="21"/>
  <c r="K159" i="21" s="1"/>
  <c r="U8" i="2"/>
  <c r="B47" i="23"/>
  <c r="K47" i="23" s="1"/>
  <c r="B173" i="22"/>
  <c r="K173" i="22" s="1"/>
  <c r="B158" i="21"/>
  <c r="K158" i="21" s="1"/>
  <c r="U7" i="2"/>
  <c r="B34" i="23"/>
  <c r="K34" i="23" s="1"/>
  <c r="B172" i="22"/>
  <c r="K172" i="22" s="1"/>
  <c r="B157" i="21"/>
  <c r="K157" i="21" s="1"/>
  <c r="U6" i="2"/>
  <c r="B21" i="23"/>
  <c r="K21" i="23" s="1"/>
  <c r="B171" i="22"/>
  <c r="K171" i="22" s="1"/>
  <c r="B156" i="21"/>
  <c r="K156" i="21" s="1"/>
  <c r="C137" i="23"/>
  <c r="C180" i="22"/>
  <c r="C165" i="21"/>
  <c r="C260" i="23"/>
  <c r="C190" i="22"/>
  <c r="C175" i="21"/>
  <c r="C254" i="23"/>
  <c r="C189" i="22"/>
  <c r="C174" i="21"/>
  <c r="C241" i="23"/>
  <c r="C188" i="22"/>
  <c r="C173" i="21"/>
  <c r="C228" i="23"/>
  <c r="C187" i="22"/>
  <c r="C172" i="21"/>
  <c r="C215" i="23"/>
  <c r="C186" i="22"/>
  <c r="C171" i="21"/>
  <c r="C203" i="23"/>
  <c r="C185" i="22"/>
  <c r="C170" i="21"/>
  <c r="C191" i="23"/>
  <c r="C184" i="22"/>
  <c r="C169" i="21"/>
  <c r="C178" i="23"/>
  <c r="C183" i="22"/>
  <c r="C168" i="21"/>
  <c r="C164" i="23"/>
  <c r="C182" i="22"/>
  <c r="C167" i="21"/>
  <c r="C150" i="23"/>
  <c r="C181" i="22"/>
  <c r="C166" i="21"/>
  <c r="U31" i="2"/>
  <c r="B137" i="23"/>
  <c r="K137" i="23" s="1"/>
  <c r="B180" i="22"/>
  <c r="K180" i="22" s="1"/>
  <c r="B165" i="21"/>
  <c r="K165" i="21" s="1"/>
  <c r="U41" i="2"/>
  <c r="B260" i="23"/>
  <c r="K260" i="23" s="1"/>
  <c r="B190" i="22"/>
  <c r="K190" i="22" s="1"/>
  <c r="B175" i="21"/>
  <c r="K175" i="21" s="1"/>
  <c r="U40" i="2"/>
  <c r="B254" i="23"/>
  <c r="K254" i="23" s="1"/>
  <c r="B189" i="22"/>
  <c r="K189" i="22" s="1"/>
  <c r="B174" i="21"/>
  <c r="K174" i="21" s="1"/>
  <c r="U39" i="2"/>
  <c r="B241" i="23"/>
  <c r="K241" i="23" s="1"/>
  <c r="B188" i="22"/>
  <c r="K188" i="22" s="1"/>
  <c r="B173" i="21"/>
  <c r="K173" i="21" s="1"/>
  <c r="U38" i="2"/>
  <c r="B228" i="23"/>
  <c r="K228" i="23" s="1"/>
  <c r="B187" i="22"/>
  <c r="K187" i="22" s="1"/>
  <c r="B172" i="21"/>
  <c r="K172" i="21" s="1"/>
  <c r="U37" i="2"/>
  <c r="B215" i="23"/>
  <c r="K215" i="23" s="1"/>
  <c r="B186" i="22"/>
  <c r="K186" i="22" s="1"/>
  <c r="B171" i="21"/>
  <c r="K171" i="21" s="1"/>
  <c r="U36" i="2"/>
  <c r="B203" i="23"/>
  <c r="K203" i="23" s="1"/>
  <c r="B185" i="22"/>
  <c r="K185" i="22" s="1"/>
  <c r="B170" i="21"/>
  <c r="K170" i="21" s="1"/>
  <c r="U35" i="2"/>
  <c r="B191" i="23"/>
  <c r="K191" i="23" s="1"/>
  <c r="B184" i="22"/>
  <c r="K184" i="22" s="1"/>
  <c r="B169" i="21"/>
  <c r="K169" i="21" s="1"/>
  <c r="U34" i="2"/>
  <c r="B178" i="23"/>
  <c r="K178" i="23" s="1"/>
  <c r="B183" i="22"/>
  <c r="K183" i="22" s="1"/>
  <c r="B168" i="21"/>
  <c r="K168" i="21" s="1"/>
  <c r="U33" i="2"/>
  <c r="B164" i="23"/>
  <c r="K164" i="23" s="1"/>
  <c r="B182" i="22"/>
  <c r="K182" i="22" s="1"/>
  <c r="B167" i="21"/>
  <c r="K167" i="21" s="1"/>
  <c r="U32" i="2"/>
  <c r="B150" i="23"/>
  <c r="K150" i="23" s="1"/>
  <c r="B181" i="22"/>
  <c r="K181" i="22" s="1"/>
  <c r="B166" i="21"/>
  <c r="K166" i="21" s="1"/>
  <c r="C8" i="23"/>
  <c r="C149" i="22"/>
  <c r="C123" i="21"/>
  <c r="C20" i="23"/>
  <c r="C150" i="22"/>
  <c r="C124" i="21"/>
  <c r="C33" i="23"/>
  <c r="C151" i="22"/>
  <c r="C125" i="21"/>
  <c r="C46" i="23"/>
  <c r="C152" i="22"/>
  <c r="C126" i="21"/>
  <c r="C60" i="23"/>
  <c r="C153" i="22"/>
  <c r="C127" i="21"/>
  <c r="C72" i="23"/>
  <c r="C154" i="22"/>
  <c r="C129" i="21"/>
  <c r="C55" i="23"/>
  <c r="C2" i="22"/>
  <c r="C128" i="21"/>
  <c r="C65" i="23"/>
  <c r="C3" i="22"/>
  <c r="C130" i="21"/>
  <c r="C79" i="23"/>
  <c r="C4" i="22"/>
  <c r="C131" i="21"/>
  <c r="C93" i="23"/>
  <c r="C5" i="22"/>
  <c r="C133" i="21"/>
  <c r="C84" i="23"/>
  <c r="C155" i="22"/>
  <c r="C132" i="21"/>
  <c r="C98" i="23"/>
  <c r="C156" i="22"/>
  <c r="C134" i="21"/>
  <c r="C111" i="23"/>
  <c r="C157" i="22"/>
  <c r="C135" i="21"/>
  <c r="C122" i="23"/>
  <c r="C158" i="22"/>
  <c r="C137" i="21"/>
  <c r="C107" i="23"/>
  <c r="C6" i="22"/>
  <c r="C136" i="21"/>
  <c r="C119" i="23"/>
  <c r="C7" i="22"/>
  <c r="C138" i="21"/>
  <c r="S5" i="2"/>
  <c r="B8" i="23"/>
  <c r="K8" i="23" s="1"/>
  <c r="B149" i="22"/>
  <c r="K149" i="22" s="1"/>
  <c r="B123" i="21"/>
  <c r="K123" i="21" s="1"/>
  <c r="S10" i="2"/>
  <c r="B72" i="23"/>
  <c r="K72" i="23" s="1"/>
  <c r="B154" i="22"/>
  <c r="K154" i="22" s="1"/>
  <c r="B129" i="21"/>
  <c r="K129" i="21" s="1"/>
  <c r="S9" i="2"/>
  <c r="B60" i="23"/>
  <c r="K60" i="23" s="1"/>
  <c r="B153" i="22"/>
  <c r="K153" i="22" s="1"/>
  <c r="B127" i="21"/>
  <c r="K127" i="21" s="1"/>
  <c r="S8" i="2"/>
  <c r="B46" i="23"/>
  <c r="K46" i="23" s="1"/>
  <c r="B152" i="22"/>
  <c r="K152" i="22" s="1"/>
  <c r="B126" i="21"/>
  <c r="K126" i="21" s="1"/>
  <c r="S7" i="2"/>
  <c r="B33" i="23"/>
  <c r="K33" i="23" s="1"/>
  <c r="B151" i="22"/>
  <c r="K151" i="22" s="1"/>
  <c r="B125" i="21"/>
  <c r="K125" i="21" s="1"/>
  <c r="S6" i="2"/>
  <c r="B20" i="23"/>
  <c r="K20" i="23" s="1"/>
  <c r="B150" i="22"/>
  <c r="K150" i="22" s="1"/>
  <c r="B124" i="21"/>
  <c r="K124" i="21" s="1"/>
  <c r="T9" i="2"/>
  <c r="B55" i="23"/>
  <c r="K55" i="23" s="1"/>
  <c r="B2" i="22"/>
  <c r="K2" i="22" s="1"/>
  <c r="B128" i="21"/>
  <c r="K128" i="21" s="1"/>
  <c r="T10" i="2"/>
  <c r="B65" i="23"/>
  <c r="K65" i="23" s="1"/>
  <c r="B3" i="22"/>
  <c r="K3" i="22" s="1"/>
  <c r="B130" i="21"/>
  <c r="K130" i="21" s="1"/>
  <c r="T11" i="2"/>
  <c r="B79" i="23"/>
  <c r="K79" i="23" s="1"/>
  <c r="B4" i="22"/>
  <c r="K4" i="22" s="1"/>
  <c r="B131" i="21"/>
  <c r="K131" i="21" s="1"/>
  <c r="T12" i="2"/>
  <c r="B93" i="23"/>
  <c r="K93" i="23" s="1"/>
  <c r="B5" i="22"/>
  <c r="K5" i="22" s="1"/>
  <c r="B133" i="21"/>
  <c r="K133" i="21" s="1"/>
  <c r="T13" i="2"/>
  <c r="B107" i="23"/>
  <c r="K107" i="23" s="1"/>
  <c r="B6" i="22"/>
  <c r="K6" i="22" s="1"/>
  <c r="B136" i="21"/>
  <c r="K136" i="21" s="1"/>
  <c r="T14" i="2"/>
  <c r="B119" i="23"/>
  <c r="K119" i="23" s="1"/>
  <c r="B7" i="22"/>
  <c r="K7" i="22" s="1"/>
  <c r="B138" i="21"/>
  <c r="K138" i="21" s="1"/>
  <c r="S11" i="2"/>
  <c r="B84" i="23"/>
  <c r="K84" i="23" s="1"/>
  <c r="B155" i="22"/>
  <c r="K155" i="22" s="1"/>
  <c r="B132" i="21"/>
  <c r="K132" i="21" s="1"/>
  <c r="S14" i="2"/>
  <c r="B122" i="23"/>
  <c r="K122" i="23" s="1"/>
  <c r="B158" i="22"/>
  <c r="K158" i="22" s="1"/>
  <c r="B137" i="21"/>
  <c r="K137" i="21" s="1"/>
  <c r="S13" i="2"/>
  <c r="B111" i="23"/>
  <c r="K111" i="23" s="1"/>
  <c r="B157" i="22"/>
  <c r="K157" i="22" s="1"/>
  <c r="B135" i="21"/>
  <c r="K135" i="21" s="1"/>
  <c r="S12" i="2"/>
  <c r="B98" i="23"/>
  <c r="K98" i="23" s="1"/>
  <c r="B156" i="22"/>
  <c r="K156" i="22" s="1"/>
  <c r="B134" i="21"/>
  <c r="K134" i="21" s="1"/>
  <c r="C131" i="23"/>
  <c r="C8" i="22"/>
  <c r="C139" i="21"/>
  <c r="C144" i="23"/>
  <c r="C9" i="22"/>
  <c r="C141" i="21"/>
  <c r="C185" i="23"/>
  <c r="C12" i="22"/>
  <c r="C146" i="21"/>
  <c r="C195" i="23"/>
  <c r="C13" i="22"/>
  <c r="C147" i="21"/>
  <c r="C211" i="23"/>
  <c r="C72" i="22"/>
  <c r="C150" i="21"/>
  <c r="C224" i="23"/>
  <c r="C73" i="22"/>
  <c r="C152" i="21"/>
  <c r="C136" i="23"/>
  <c r="C160" i="22"/>
  <c r="C140" i="21"/>
  <c r="C149" i="23"/>
  <c r="C161" i="22"/>
  <c r="C142" i="21"/>
  <c r="C163" i="23"/>
  <c r="C162" i="22"/>
  <c r="C143" i="21"/>
  <c r="C177" i="23"/>
  <c r="C163" i="22"/>
  <c r="C144" i="21"/>
  <c r="C190" i="23"/>
  <c r="C164" i="22"/>
  <c r="C145" i="21"/>
  <c r="C202" i="23"/>
  <c r="C165" i="22"/>
  <c r="C148" i="21"/>
  <c r="C214" i="23"/>
  <c r="C166" i="22"/>
  <c r="C149" i="21"/>
  <c r="C227" i="23"/>
  <c r="C167" i="22"/>
  <c r="C151" i="21"/>
  <c r="C240" i="23"/>
  <c r="C168" i="22"/>
  <c r="C153" i="21"/>
  <c r="C253" i="23"/>
  <c r="C169" i="22"/>
  <c r="C154" i="21"/>
  <c r="T31" i="2"/>
  <c r="B131" i="23"/>
  <c r="K131" i="23" s="1"/>
  <c r="B8" i="22"/>
  <c r="K8" i="22" s="1"/>
  <c r="B139" i="21"/>
  <c r="K139" i="21" s="1"/>
  <c r="T32" i="2"/>
  <c r="B144" i="23"/>
  <c r="K144" i="23" s="1"/>
  <c r="B9" i="22"/>
  <c r="K9" i="22" s="1"/>
  <c r="B141" i="21"/>
  <c r="K141" i="21" s="1"/>
  <c r="S31" i="2"/>
  <c r="B136" i="23"/>
  <c r="K136" i="23" s="1"/>
  <c r="B160" i="22"/>
  <c r="K160" i="22" s="1"/>
  <c r="B140" i="21"/>
  <c r="K140" i="21" s="1"/>
  <c r="S35" i="2"/>
  <c r="B190" i="23"/>
  <c r="K190" i="23" s="1"/>
  <c r="B164" i="22"/>
  <c r="K164" i="22" s="1"/>
  <c r="B145" i="21"/>
  <c r="K145" i="21" s="1"/>
  <c r="S34" i="2"/>
  <c r="B177" i="23"/>
  <c r="K177" i="23" s="1"/>
  <c r="B163" i="22"/>
  <c r="K163" i="22" s="1"/>
  <c r="B144" i="21"/>
  <c r="K144" i="21" s="1"/>
  <c r="S33" i="2"/>
  <c r="B163" i="23"/>
  <c r="K163" i="23" s="1"/>
  <c r="B162" i="22"/>
  <c r="K162" i="22" s="1"/>
  <c r="B143" i="21"/>
  <c r="K143" i="21" s="1"/>
  <c r="S32" i="2"/>
  <c r="B149" i="23"/>
  <c r="K149" i="23" s="1"/>
  <c r="B161" i="22"/>
  <c r="K161" i="22" s="1"/>
  <c r="B142" i="21"/>
  <c r="K142" i="21" s="1"/>
  <c r="T35" i="2"/>
  <c r="B185" i="23"/>
  <c r="K185" i="23" s="1"/>
  <c r="B12" i="22"/>
  <c r="K12" i="22" s="1"/>
  <c r="B146" i="21"/>
  <c r="K146" i="21" s="1"/>
  <c r="T36" i="2"/>
  <c r="B195" i="23"/>
  <c r="K195" i="23" s="1"/>
  <c r="B13" i="22"/>
  <c r="K13" i="22" s="1"/>
  <c r="B147" i="21"/>
  <c r="K147" i="21" s="1"/>
  <c r="S36" i="2"/>
  <c r="B202" i="23"/>
  <c r="K202" i="23" s="1"/>
  <c r="B165" i="22"/>
  <c r="K165" i="22" s="1"/>
  <c r="B148" i="21"/>
  <c r="K148" i="21" s="1"/>
  <c r="S38" i="2"/>
  <c r="B227" i="23"/>
  <c r="K227" i="23" s="1"/>
  <c r="B167" i="22"/>
  <c r="K167" i="22" s="1"/>
  <c r="B151" i="21"/>
  <c r="K151" i="21" s="1"/>
  <c r="S37" i="2"/>
  <c r="B214" i="23"/>
  <c r="K214" i="23" s="1"/>
  <c r="B166" i="22"/>
  <c r="K166" i="22" s="1"/>
  <c r="B149" i="21"/>
  <c r="K149" i="21" s="1"/>
  <c r="R37" i="2"/>
  <c r="B211" i="23"/>
  <c r="K211" i="23" s="1"/>
  <c r="B72" i="22"/>
  <c r="K72" i="22" s="1"/>
  <c r="B150" i="21"/>
  <c r="K150" i="21" s="1"/>
  <c r="R38" i="2"/>
  <c r="B224" i="23"/>
  <c r="K224" i="23" s="1"/>
  <c r="B73" i="22"/>
  <c r="K73" i="22" s="1"/>
  <c r="B152" i="21"/>
  <c r="K152" i="21" s="1"/>
  <c r="S39" i="2"/>
  <c r="B240" i="23"/>
  <c r="K240" i="23" s="1"/>
  <c r="B168" i="22"/>
  <c r="K168" i="22" s="1"/>
  <c r="B153" i="21"/>
  <c r="K153" i="21" s="1"/>
  <c r="S40" i="2"/>
  <c r="B253" i="23"/>
  <c r="K253" i="23" s="1"/>
  <c r="B169" i="22"/>
  <c r="K169" i="22" s="1"/>
  <c r="B154" i="21"/>
  <c r="K154" i="21" s="1"/>
  <c r="C91" i="21"/>
  <c r="C7" i="23"/>
  <c r="C114" i="22"/>
  <c r="C92" i="21"/>
  <c r="C18" i="23"/>
  <c r="C115" i="22"/>
  <c r="C93" i="21"/>
  <c r="C31" i="23"/>
  <c r="C116" i="22"/>
  <c r="C96" i="21"/>
  <c r="C44" i="23"/>
  <c r="C117" i="22"/>
  <c r="C97" i="21"/>
  <c r="C58" i="23"/>
  <c r="C118" i="22"/>
  <c r="C98" i="21"/>
  <c r="C70" i="23"/>
  <c r="C119" i="22"/>
  <c r="C99" i="21"/>
  <c r="C82" i="23"/>
  <c r="C120" i="22"/>
  <c r="C100" i="21"/>
  <c r="C96" i="23"/>
  <c r="C121" i="22"/>
  <c r="C102" i="21"/>
  <c r="C110" i="23"/>
  <c r="C122" i="22"/>
  <c r="C105" i="21"/>
  <c r="C121" i="23"/>
  <c r="C123" i="22"/>
  <c r="C94" i="21"/>
  <c r="C30" i="23"/>
  <c r="C57" i="22"/>
  <c r="C95" i="21"/>
  <c r="C43" i="23"/>
  <c r="C58" i="22"/>
  <c r="C101" i="21"/>
  <c r="C95" i="23"/>
  <c r="C62" i="22"/>
  <c r="C103" i="21"/>
  <c r="C109" i="23"/>
  <c r="C63" i="22"/>
  <c r="B7" i="23"/>
  <c r="K7" i="23" s="1"/>
  <c r="B114" i="22"/>
  <c r="K114" i="22" s="1"/>
  <c r="B98" i="21"/>
  <c r="K98" i="21" s="1"/>
  <c r="B70" i="23"/>
  <c r="K70" i="23" s="1"/>
  <c r="B119" i="22"/>
  <c r="K119" i="22" s="1"/>
  <c r="B58" i="23"/>
  <c r="K58" i="23" s="1"/>
  <c r="B118" i="22"/>
  <c r="K118" i="22" s="1"/>
  <c r="B44" i="23"/>
  <c r="K44" i="23" s="1"/>
  <c r="B117" i="22"/>
  <c r="K117" i="22" s="1"/>
  <c r="B31" i="23"/>
  <c r="K31" i="23" s="1"/>
  <c r="B116" i="22"/>
  <c r="K116" i="22" s="1"/>
  <c r="B18" i="23"/>
  <c r="K18" i="23" s="1"/>
  <c r="B115" i="22"/>
  <c r="K115" i="22" s="1"/>
  <c r="B94" i="21"/>
  <c r="K94" i="21" s="1"/>
  <c r="B30" i="23"/>
  <c r="K30" i="23" s="1"/>
  <c r="B57" i="22"/>
  <c r="K57" i="22" s="1"/>
  <c r="B95" i="21"/>
  <c r="K95" i="21" s="1"/>
  <c r="B43" i="23"/>
  <c r="K43" i="23" s="1"/>
  <c r="B58" i="22"/>
  <c r="K58" i="22" s="1"/>
  <c r="B99" i="21"/>
  <c r="K99" i="21" s="1"/>
  <c r="B82" i="23"/>
  <c r="K82" i="23" s="1"/>
  <c r="B120" i="22"/>
  <c r="K120" i="22" s="1"/>
  <c r="B105" i="21"/>
  <c r="K105" i="21" s="1"/>
  <c r="B121" i="23"/>
  <c r="K121" i="23" s="1"/>
  <c r="B123" i="22"/>
  <c r="K123" i="22" s="1"/>
  <c r="B102" i="21"/>
  <c r="K102" i="21" s="1"/>
  <c r="B110" i="23"/>
  <c r="K110" i="23" s="1"/>
  <c r="B122" i="22"/>
  <c r="K122" i="22" s="1"/>
  <c r="B100" i="21"/>
  <c r="K100" i="21" s="1"/>
  <c r="B96" i="23"/>
  <c r="K96" i="23" s="1"/>
  <c r="B121" i="22"/>
  <c r="K121" i="22" s="1"/>
  <c r="B101" i="21"/>
  <c r="K101" i="21" s="1"/>
  <c r="B95" i="23"/>
  <c r="K95" i="23" s="1"/>
  <c r="B62" i="22"/>
  <c r="K62" i="22" s="1"/>
  <c r="B103" i="21"/>
  <c r="K103" i="21" s="1"/>
  <c r="B109" i="23"/>
  <c r="K109" i="23" s="1"/>
  <c r="B63" i="22"/>
  <c r="K63" i="22" s="1"/>
  <c r="C104" i="21"/>
  <c r="C115" i="23"/>
  <c r="C25" i="22"/>
  <c r="C106" i="21"/>
  <c r="C126" i="23"/>
  <c r="C26" i="22"/>
  <c r="B104" i="21"/>
  <c r="K104" i="21" s="1"/>
  <c r="B115" i="23"/>
  <c r="K115" i="23" s="1"/>
  <c r="B25" i="22"/>
  <c r="K25" i="22" s="1"/>
  <c r="C110" i="21"/>
  <c r="C158" i="23"/>
  <c r="C10" i="22"/>
  <c r="C111" i="21"/>
  <c r="C172" i="23"/>
  <c r="C11" i="22"/>
  <c r="B158" i="23"/>
  <c r="K158" i="23" s="1"/>
  <c r="B10" i="22"/>
  <c r="K10" i="22" s="1"/>
  <c r="B172" i="23"/>
  <c r="K172" i="23" s="1"/>
  <c r="B11" i="22"/>
  <c r="K11" i="22" s="1"/>
  <c r="C116" i="21"/>
  <c r="C209" i="23"/>
  <c r="C14" i="22"/>
  <c r="C118" i="21"/>
  <c r="C222" i="23"/>
  <c r="C15" i="22"/>
  <c r="C119" i="21"/>
  <c r="C236" i="23"/>
  <c r="C16" i="22"/>
  <c r="C121" i="21"/>
  <c r="C249" i="23"/>
  <c r="C17" i="22"/>
  <c r="C107" i="21"/>
  <c r="C134" i="23"/>
  <c r="C124" i="22"/>
  <c r="C108" i="21"/>
  <c r="C147" i="23"/>
  <c r="C125" i="22"/>
  <c r="C109" i="21"/>
  <c r="C161" i="23"/>
  <c r="C126" i="22"/>
  <c r="C112" i="21"/>
  <c r="C175" i="23"/>
  <c r="C127" i="22"/>
  <c r="C113" i="21"/>
  <c r="C188" i="23"/>
  <c r="C128" i="22"/>
  <c r="C114" i="21"/>
  <c r="C200" i="23"/>
  <c r="C129" i="22"/>
  <c r="C115" i="21"/>
  <c r="C212" i="23"/>
  <c r="C130" i="22"/>
  <c r="C117" i="21"/>
  <c r="C225" i="23"/>
  <c r="C131" i="22"/>
  <c r="C120" i="21"/>
  <c r="C239" i="23"/>
  <c r="C132" i="22"/>
  <c r="C122" i="21"/>
  <c r="C252" i="23"/>
  <c r="C133" i="22"/>
  <c r="B134" i="23"/>
  <c r="K134" i="23" s="1"/>
  <c r="B124" i="22"/>
  <c r="K124" i="22" s="1"/>
  <c r="B175" i="23"/>
  <c r="K175" i="23" s="1"/>
  <c r="B127" i="22"/>
  <c r="K127" i="22" s="1"/>
  <c r="B161" i="23"/>
  <c r="K161" i="23" s="1"/>
  <c r="B126" i="22"/>
  <c r="K126" i="22" s="1"/>
  <c r="B147" i="23"/>
  <c r="K147" i="23" s="1"/>
  <c r="B125" i="22"/>
  <c r="K125" i="22" s="1"/>
  <c r="B188" i="23"/>
  <c r="K188" i="23" s="1"/>
  <c r="B128" i="22"/>
  <c r="K128" i="22" s="1"/>
  <c r="B200" i="23"/>
  <c r="K200" i="23" s="1"/>
  <c r="B129" i="22"/>
  <c r="K129" i="22" s="1"/>
  <c r="B225" i="23"/>
  <c r="K225" i="23" s="1"/>
  <c r="B131" i="22"/>
  <c r="K131" i="22" s="1"/>
  <c r="B212" i="23"/>
  <c r="K212" i="23" s="1"/>
  <c r="B130" i="22"/>
  <c r="K130" i="22" s="1"/>
  <c r="B239" i="23"/>
  <c r="K239" i="23" s="1"/>
  <c r="B132" i="22"/>
  <c r="K132" i="22" s="1"/>
  <c r="B252" i="23"/>
  <c r="K252" i="23" s="1"/>
  <c r="B133" i="22"/>
  <c r="K133" i="22" s="1"/>
  <c r="B236" i="23"/>
  <c r="K236" i="23" s="1"/>
  <c r="B16" i="22"/>
  <c r="K16" i="22" s="1"/>
  <c r="B249" i="23"/>
  <c r="K249" i="23" s="1"/>
  <c r="B17" i="22"/>
  <c r="K17" i="22" s="1"/>
  <c r="B209" i="23"/>
  <c r="K209" i="23" s="1"/>
  <c r="B14" i="22"/>
  <c r="K14" i="22" s="1"/>
  <c r="B222" i="23"/>
  <c r="K222" i="23" s="1"/>
  <c r="B15" i="22"/>
  <c r="K15" i="22" s="1"/>
  <c r="C5" i="23"/>
  <c r="C35" i="22"/>
  <c r="C41" i="21"/>
  <c r="C16" i="23"/>
  <c r="C36" i="22"/>
  <c r="C42" i="21"/>
  <c r="C29" i="23"/>
  <c r="C37" i="22"/>
  <c r="C43" i="21"/>
  <c r="C42" i="23"/>
  <c r="C38" i="22"/>
  <c r="C44" i="21"/>
  <c r="C56" i="23"/>
  <c r="C39" i="22"/>
  <c r="C45" i="21"/>
  <c r="C67" i="23"/>
  <c r="C40" i="22"/>
  <c r="C46" i="21"/>
  <c r="C80" i="23"/>
  <c r="C41" i="22"/>
  <c r="C47" i="21"/>
  <c r="C94" i="23"/>
  <c r="C42" i="22"/>
  <c r="C48" i="21"/>
  <c r="C108" i="23"/>
  <c r="C43" i="22"/>
  <c r="C49" i="21"/>
  <c r="C22" i="23"/>
  <c r="C209" i="22"/>
  <c r="C50" i="21"/>
  <c r="C35" i="23"/>
  <c r="C210" i="22"/>
  <c r="C51" i="21"/>
  <c r="C48" i="23"/>
  <c r="C211" i="22"/>
  <c r="C52" i="21"/>
  <c r="C62" i="23"/>
  <c r="C212" i="22"/>
  <c r="C53" i="21"/>
  <c r="C74" i="23"/>
  <c r="C213" i="22"/>
  <c r="C54" i="21"/>
  <c r="C86" i="23"/>
  <c r="C214" i="22"/>
  <c r="C55" i="21"/>
  <c r="C100" i="23"/>
  <c r="C215" i="22"/>
  <c r="C56" i="21"/>
  <c r="I5" i="2"/>
  <c r="B5" i="23"/>
  <c r="K5" i="23" s="1"/>
  <c r="B35" i="22"/>
  <c r="K35" i="22" s="1"/>
  <c r="B41" i="21"/>
  <c r="K41" i="21" s="1"/>
  <c r="I13" i="2"/>
  <c r="B108" i="23"/>
  <c r="K108" i="23" s="1"/>
  <c r="B43" i="22"/>
  <c r="K43" i="22" s="1"/>
  <c r="B49" i="21"/>
  <c r="K49" i="21" s="1"/>
  <c r="I12" i="2"/>
  <c r="B94" i="23"/>
  <c r="K94" i="23" s="1"/>
  <c r="B42" i="22"/>
  <c r="K42" i="22" s="1"/>
  <c r="B48" i="21"/>
  <c r="K48" i="21" s="1"/>
  <c r="I11" i="2"/>
  <c r="B80" i="23"/>
  <c r="K80" i="23" s="1"/>
  <c r="B41" i="22"/>
  <c r="K41" i="22" s="1"/>
  <c r="B47" i="21"/>
  <c r="K47" i="21" s="1"/>
  <c r="I10" i="2"/>
  <c r="B67" i="23"/>
  <c r="K67" i="23" s="1"/>
  <c r="B40" i="22"/>
  <c r="K40" i="22" s="1"/>
  <c r="B46" i="21"/>
  <c r="K46" i="21" s="1"/>
  <c r="I9" i="2"/>
  <c r="B56" i="23"/>
  <c r="K56" i="23" s="1"/>
  <c r="B39" i="22"/>
  <c r="K39" i="22" s="1"/>
  <c r="B45" i="21"/>
  <c r="K45" i="21" s="1"/>
  <c r="I8" i="2"/>
  <c r="B42" i="23"/>
  <c r="K42" i="23" s="1"/>
  <c r="B38" i="22"/>
  <c r="K38" i="22" s="1"/>
  <c r="B44" i="21"/>
  <c r="K44" i="21" s="1"/>
  <c r="I7" i="2"/>
  <c r="B29" i="23"/>
  <c r="K29" i="23" s="1"/>
  <c r="B37" i="22"/>
  <c r="K37" i="22" s="1"/>
  <c r="B43" i="21"/>
  <c r="K43" i="21" s="1"/>
  <c r="I6" i="2"/>
  <c r="B16" i="23"/>
  <c r="K16" i="23" s="1"/>
  <c r="B36" i="22"/>
  <c r="K36" i="22" s="1"/>
  <c r="B42" i="21"/>
  <c r="K42" i="21" s="1"/>
  <c r="G6" i="2"/>
  <c r="B22" i="23"/>
  <c r="K22" i="23" s="1"/>
  <c r="B209" i="22"/>
  <c r="K209" i="22" s="1"/>
  <c r="B50" i="21"/>
  <c r="K50" i="21" s="1"/>
  <c r="G12" i="2"/>
  <c r="B100" i="23"/>
  <c r="K100" i="23" s="1"/>
  <c r="B215" i="22"/>
  <c r="K215" i="22" s="1"/>
  <c r="B56" i="21"/>
  <c r="K56" i="21" s="1"/>
  <c r="G11" i="2"/>
  <c r="B86" i="23"/>
  <c r="K86" i="23" s="1"/>
  <c r="B214" i="22"/>
  <c r="K214" i="22" s="1"/>
  <c r="B55" i="21"/>
  <c r="K55" i="21" s="1"/>
  <c r="G10" i="2"/>
  <c r="B74" i="23"/>
  <c r="K74" i="23" s="1"/>
  <c r="B213" i="22"/>
  <c r="K213" i="22" s="1"/>
  <c r="B54" i="21"/>
  <c r="K54" i="21" s="1"/>
  <c r="G9" i="2"/>
  <c r="B62" i="23"/>
  <c r="K62" i="23" s="1"/>
  <c r="B212" i="22"/>
  <c r="K212" i="22" s="1"/>
  <c r="B53" i="21"/>
  <c r="K53" i="21" s="1"/>
  <c r="G8" i="2"/>
  <c r="B48" i="23"/>
  <c r="K48" i="23" s="1"/>
  <c r="B211" i="22"/>
  <c r="K211" i="22" s="1"/>
  <c r="B52" i="21"/>
  <c r="K52" i="21" s="1"/>
  <c r="G7" i="2"/>
  <c r="B35" i="23"/>
  <c r="K35" i="23" s="1"/>
  <c r="B210" i="22"/>
  <c r="K210" i="22" s="1"/>
  <c r="B51" i="21"/>
  <c r="K51" i="21" s="1"/>
  <c r="C132" i="23"/>
  <c r="C44" i="22"/>
  <c r="C63" i="21"/>
  <c r="C250" i="23"/>
  <c r="C53" i="22"/>
  <c r="C72" i="21"/>
  <c r="C237" i="23"/>
  <c r="C52" i="22"/>
  <c r="C71" i="21"/>
  <c r="C223" i="23"/>
  <c r="C51" i="22"/>
  <c r="C70" i="21"/>
  <c r="C210" i="23"/>
  <c r="C50" i="22"/>
  <c r="C69" i="21"/>
  <c r="C197" i="23"/>
  <c r="C49" i="22"/>
  <c r="C68" i="21"/>
  <c r="C186" i="23"/>
  <c r="C48" i="22"/>
  <c r="C67" i="21"/>
  <c r="C173" i="23"/>
  <c r="C47" i="22"/>
  <c r="C66" i="21"/>
  <c r="C159" i="23"/>
  <c r="C46" i="22"/>
  <c r="C65" i="21"/>
  <c r="C145" i="23"/>
  <c r="C45" i="22"/>
  <c r="C64" i="21"/>
  <c r="C151" i="23"/>
  <c r="C218" i="22"/>
  <c r="C57" i="21"/>
  <c r="C165" i="23"/>
  <c r="C219" i="22"/>
  <c r="C58" i="21"/>
  <c r="C192" i="23"/>
  <c r="C220" i="22"/>
  <c r="C59" i="21"/>
  <c r="C204" i="23"/>
  <c r="C221" i="22"/>
  <c r="C60" i="21"/>
  <c r="C229" i="23"/>
  <c r="C222" i="22"/>
  <c r="C61" i="21"/>
  <c r="C242" i="23"/>
  <c r="C223" i="22"/>
  <c r="C62" i="21"/>
  <c r="G32" i="2"/>
  <c r="B151" i="23"/>
  <c r="K151" i="23" s="1"/>
  <c r="B218" i="22"/>
  <c r="K218" i="22" s="1"/>
  <c r="B57" i="21"/>
  <c r="K57" i="21" s="1"/>
  <c r="G33" i="2"/>
  <c r="B165" i="23"/>
  <c r="K165" i="23" s="1"/>
  <c r="B219" i="22"/>
  <c r="K219" i="22" s="1"/>
  <c r="B58" i="21"/>
  <c r="K58" i="21" s="1"/>
  <c r="G35" i="2"/>
  <c r="B192" i="23"/>
  <c r="K192" i="23" s="1"/>
  <c r="B220" i="22"/>
  <c r="K220" i="22" s="1"/>
  <c r="B59" i="21"/>
  <c r="K59" i="21" s="1"/>
  <c r="G36" i="2"/>
  <c r="B204" i="23"/>
  <c r="K204" i="23" s="1"/>
  <c r="B221" i="22"/>
  <c r="K221" i="22" s="1"/>
  <c r="B60" i="21"/>
  <c r="K60" i="21" s="1"/>
  <c r="G38" i="2"/>
  <c r="B229" i="23"/>
  <c r="K229" i="23" s="1"/>
  <c r="B222" i="22"/>
  <c r="K222" i="22" s="1"/>
  <c r="B61" i="21"/>
  <c r="K61" i="21" s="1"/>
  <c r="G39" i="2"/>
  <c r="B242" i="23"/>
  <c r="K242" i="23" s="1"/>
  <c r="B223" i="22"/>
  <c r="K223" i="22" s="1"/>
  <c r="B62" i="21"/>
  <c r="K62" i="21" s="1"/>
  <c r="I31" i="2"/>
  <c r="B132" i="23"/>
  <c r="K132" i="23" s="1"/>
  <c r="B44" i="22"/>
  <c r="K44" i="22" s="1"/>
  <c r="B63" i="21"/>
  <c r="K63" i="21" s="1"/>
  <c r="I40" i="2"/>
  <c r="B250" i="23"/>
  <c r="K250" i="23" s="1"/>
  <c r="B53" i="22"/>
  <c r="K53" i="22" s="1"/>
  <c r="B72" i="21"/>
  <c r="K72" i="21" s="1"/>
  <c r="I39" i="2"/>
  <c r="B237" i="23"/>
  <c r="K237" i="23" s="1"/>
  <c r="B52" i="22"/>
  <c r="K52" i="22" s="1"/>
  <c r="B71" i="21"/>
  <c r="K71" i="21" s="1"/>
  <c r="I38" i="2"/>
  <c r="B223" i="23"/>
  <c r="K223" i="23" s="1"/>
  <c r="B51" i="22"/>
  <c r="K51" i="22" s="1"/>
  <c r="B70" i="21"/>
  <c r="K70" i="21" s="1"/>
  <c r="I37" i="2"/>
  <c r="B210" i="23"/>
  <c r="K210" i="23" s="1"/>
  <c r="B50" i="22"/>
  <c r="K50" i="22" s="1"/>
  <c r="B69" i="21"/>
  <c r="K69" i="21" s="1"/>
  <c r="I36" i="2"/>
  <c r="B197" i="23"/>
  <c r="K197" i="23" s="1"/>
  <c r="B49" i="22"/>
  <c r="K49" i="22" s="1"/>
  <c r="B68" i="21"/>
  <c r="K68" i="21" s="1"/>
  <c r="I35" i="2"/>
  <c r="B186" i="23"/>
  <c r="K186" i="23" s="1"/>
  <c r="B48" i="22"/>
  <c r="K48" i="22" s="1"/>
  <c r="B67" i="21"/>
  <c r="K67" i="21" s="1"/>
  <c r="I34" i="2"/>
  <c r="B173" i="23"/>
  <c r="K173" i="23" s="1"/>
  <c r="B47" i="22"/>
  <c r="K47" i="22" s="1"/>
  <c r="B66" i="21"/>
  <c r="K66" i="21" s="1"/>
  <c r="I33" i="2"/>
  <c r="B159" i="23"/>
  <c r="K159" i="23" s="1"/>
  <c r="B46" i="22"/>
  <c r="K46" i="22" s="1"/>
  <c r="B65" i="21"/>
  <c r="K65" i="21" s="1"/>
  <c r="I32" i="2"/>
  <c r="B145" i="23"/>
  <c r="K145" i="23" s="1"/>
  <c r="B45" i="22"/>
  <c r="K45" i="22" s="1"/>
  <c r="B64" i="21"/>
  <c r="K64" i="21" s="1"/>
  <c r="G192" i="23"/>
  <c r="G220" i="22"/>
  <c r="G59" i="21"/>
  <c r="G151" i="23"/>
  <c r="G218" i="22"/>
  <c r="G57" i="21"/>
  <c r="G204" i="23"/>
  <c r="G221" i="22"/>
  <c r="G60" i="21"/>
  <c r="G165" i="23"/>
  <c r="G219" i="22"/>
  <c r="G58" i="21"/>
  <c r="E114" i="21"/>
  <c r="E200" i="23"/>
  <c r="E129" i="22"/>
  <c r="G112" i="21"/>
  <c r="G175" i="23"/>
  <c r="G127" i="22"/>
  <c r="E149" i="23"/>
  <c r="E161" i="22"/>
  <c r="E142" i="21"/>
  <c r="G144" i="23"/>
  <c r="G9" i="22"/>
  <c r="G141" i="21"/>
  <c r="G136" i="23"/>
  <c r="G160" i="22"/>
  <c r="G140" i="21"/>
  <c r="E131" i="23"/>
  <c r="E8" i="22"/>
  <c r="E139" i="21"/>
  <c r="E202" i="23"/>
  <c r="E165" i="22"/>
  <c r="E148" i="21"/>
  <c r="G177" i="23"/>
  <c r="G163" i="22"/>
  <c r="G144" i="21"/>
  <c r="G190" i="23"/>
  <c r="G164" i="22"/>
  <c r="G145" i="21"/>
  <c r="E163" i="23"/>
  <c r="E162" i="22"/>
  <c r="E143" i="21"/>
  <c r="E260" i="23"/>
  <c r="E190" i="22"/>
  <c r="E175" i="21"/>
  <c r="G254" i="23"/>
  <c r="G189" i="22"/>
  <c r="G174" i="21"/>
  <c r="G98" i="23"/>
  <c r="G156" i="22"/>
  <c r="G134" i="21"/>
  <c r="G84" i="23"/>
  <c r="G155" i="22"/>
  <c r="G132" i="21"/>
  <c r="G103" i="21"/>
  <c r="G109" i="23"/>
  <c r="G63" i="22"/>
  <c r="G101" i="21"/>
  <c r="G95" i="23"/>
  <c r="G62" i="22"/>
  <c r="G104" i="21"/>
  <c r="G115" i="23"/>
  <c r="G25" i="22"/>
  <c r="G102" i="21"/>
  <c r="G110" i="23"/>
  <c r="G122" i="22"/>
  <c r="G98" i="21"/>
  <c r="G70" i="23"/>
  <c r="G119" i="22"/>
  <c r="G97" i="21"/>
  <c r="G58" i="23"/>
  <c r="G118" i="22"/>
  <c r="G253" i="23"/>
  <c r="G169" i="22"/>
  <c r="G154" i="21"/>
  <c r="G240" i="23"/>
  <c r="G168" i="22"/>
  <c r="G153" i="21"/>
  <c r="G224" i="23"/>
  <c r="G73" i="22"/>
  <c r="G152" i="21"/>
  <c r="G211" i="23"/>
  <c r="G72" i="22"/>
  <c r="G150" i="21"/>
  <c r="G227" i="23"/>
  <c r="G167" i="22"/>
  <c r="G151" i="21"/>
  <c r="G214" i="23"/>
  <c r="G166" i="22"/>
  <c r="G149" i="21"/>
  <c r="G202" i="23"/>
  <c r="G165" i="22"/>
  <c r="G148" i="21"/>
  <c r="G195" i="23"/>
  <c r="G13" i="22"/>
  <c r="G147" i="21"/>
  <c r="G185" i="23"/>
  <c r="G12" i="22"/>
  <c r="G146" i="21"/>
  <c r="E177" i="23"/>
  <c r="E163" i="22"/>
  <c r="E144" i="21"/>
  <c r="G149" i="23"/>
  <c r="G161" i="22"/>
  <c r="G142" i="21"/>
  <c r="E144" i="23"/>
  <c r="E9" i="22"/>
  <c r="E141" i="21"/>
  <c r="E98" i="23"/>
  <c r="E156" i="22"/>
  <c r="E134" i="21"/>
  <c r="E84" i="23"/>
  <c r="E155" i="22"/>
  <c r="E132" i="21"/>
  <c r="G113" i="21"/>
  <c r="G188" i="23"/>
  <c r="G128" i="22"/>
  <c r="E109" i="21"/>
  <c r="E161" i="23"/>
  <c r="E126" i="22"/>
  <c r="G107" i="21"/>
  <c r="G134" i="23"/>
  <c r="G124" i="22"/>
  <c r="E110" i="21"/>
  <c r="E158" i="23"/>
  <c r="E10" i="22"/>
  <c r="E103" i="21"/>
  <c r="E109" i="23"/>
  <c r="E63" i="22"/>
  <c r="E101" i="21"/>
  <c r="E95" i="23"/>
  <c r="E62" i="22"/>
  <c r="G122" i="21"/>
  <c r="G252" i="23"/>
  <c r="G133" i="22"/>
  <c r="G120" i="21"/>
  <c r="G239" i="23"/>
  <c r="G132" i="22"/>
  <c r="G118" i="21"/>
  <c r="G222" i="23"/>
  <c r="G15" i="22"/>
  <c r="G116" i="21"/>
  <c r="G209" i="23"/>
  <c r="G14" i="22"/>
  <c r="G117" i="21"/>
  <c r="G225" i="23"/>
  <c r="G131" i="22"/>
  <c r="G115" i="21"/>
  <c r="G212" i="23"/>
  <c r="G130" i="22"/>
  <c r="G114" i="21"/>
  <c r="G200" i="23"/>
  <c r="G129" i="22"/>
  <c r="G121" i="21"/>
  <c r="G249" i="23"/>
  <c r="G17" i="22"/>
  <c r="G119" i="21"/>
  <c r="G236" i="23"/>
  <c r="G16" i="22"/>
  <c r="E112" i="21"/>
  <c r="E175" i="23"/>
  <c r="E127" i="22"/>
  <c r="G108" i="21"/>
  <c r="G147" i="23"/>
  <c r="G125" i="22"/>
  <c r="E111" i="21"/>
  <c r="E172" i="23"/>
  <c r="E11" i="22"/>
  <c r="E104" i="21"/>
  <c r="E115" i="23"/>
  <c r="E25" i="22"/>
  <c r="E102" i="21"/>
  <c r="E110" i="23"/>
  <c r="E122" i="22"/>
  <c r="G93" i="23"/>
  <c r="G5" i="22"/>
  <c r="G133" i="21"/>
  <c r="G79" i="23"/>
  <c r="G4" i="22"/>
  <c r="G131" i="21"/>
  <c r="G153" i="23"/>
  <c r="G201" i="22"/>
  <c r="G34" i="21"/>
  <c r="E153" i="23"/>
  <c r="E201" i="22"/>
  <c r="E34" i="21"/>
  <c r="G143" i="23"/>
  <c r="G200" i="22"/>
  <c r="G33" i="21"/>
  <c r="E143" i="23"/>
  <c r="E200" i="22"/>
  <c r="E33" i="21"/>
  <c r="G124" i="23"/>
  <c r="G86" i="22"/>
  <c r="G32" i="21"/>
  <c r="E124" i="23"/>
  <c r="E86" i="22"/>
  <c r="E32" i="21"/>
  <c r="G113" i="23"/>
  <c r="G85" i="22"/>
  <c r="G31" i="21"/>
  <c r="E113" i="23"/>
  <c r="E85" i="22"/>
  <c r="E31" i="21"/>
  <c r="G24" i="23"/>
  <c r="G192" i="22"/>
  <c r="G27" i="21"/>
  <c r="E24" i="23"/>
  <c r="E192" i="22"/>
  <c r="E27" i="21"/>
  <c r="G78" i="23"/>
  <c r="G196" i="22"/>
  <c r="G29" i="21"/>
  <c r="E78" i="23"/>
  <c r="E196" i="22"/>
  <c r="E29" i="21"/>
  <c r="G114" i="23"/>
  <c r="G199" i="22"/>
  <c r="G30" i="21"/>
  <c r="E114" i="23"/>
  <c r="E199" i="22"/>
  <c r="E30" i="21"/>
  <c r="G64" i="23"/>
  <c r="G195" i="22"/>
  <c r="G28" i="21"/>
  <c r="E64" i="23"/>
  <c r="E195" i="22"/>
  <c r="E28" i="21"/>
  <c r="G15" i="23"/>
  <c r="G191" i="22"/>
  <c r="G26" i="21"/>
  <c r="E15" i="23"/>
  <c r="E191" i="22"/>
  <c r="E26" i="21"/>
  <c r="C15" i="23"/>
  <c r="C191" i="22"/>
  <c r="C26" i="21"/>
  <c r="C24" i="23"/>
  <c r="C192" i="22"/>
  <c r="C27" i="21"/>
  <c r="C64" i="23"/>
  <c r="C195" i="22"/>
  <c r="C28" i="21"/>
  <c r="C78" i="23"/>
  <c r="C196" i="22"/>
  <c r="C29" i="21"/>
  <c r="C114" i="23"/>
  <c r="C199" i="22"/>
  <c r="C30" i="21"/>
  <c r="C113" i="23"/>
  <c r="C85" i="22"/>
  <c r="C31" i="21"/>
  <c r="C124" i="23"/>
  <c r="C86" i="22"/>
  <c r="C32" i="21"/>
  <c r="C219" i="23"/>
  <c r="C206" i="22"/>
  <c r="C38" i="21"/>
  <c r="C244" i="23"/>
  <c r="C208" i="22"/>
  <c r="C40" i="21"/>
  <c r="C143" i="23"/>
  <c r="C200" i="22"/>
  <c r="C33" i="21"/>
  <c r="C153" i="23"/>
  <c r="C201" i="22"/>
  <c r="C34" i="21"/>
  <c r="C194" i="23"/>
  <c r="C204" i="22"/>
  <c r="C36" i="21"/>
  <c r="C208" i="23"/>
  <c r="C205" i="22"/>
  <c r="C37" i="21"/>
  <c r="C231" i="23"/>
  <c r="C207" i="22"/>
  <c r="C39" i="21"/>
  <c r="C5" i="2"/>
  <c r="B15" i="23"/>
  <c r="K15" i="23" s="1"/>
  <c r="B191" i="22"/>
  <c r="K191" i="22" s="1"/>
  <c r="B26" i="21"/>
  <c r="K26" i="21" s="1"/>
  <c r="B24" i="23"/>
  <c r="K24" i="23" s="1"/>
  <c r="B192" i="22"/>
  <c r="K192" i="22" s="1"/>
  <c r="B27" i="21"/>
  <c r="K27" i="21" s="1"/>
  <c r="B64" i="23"/>
  <c r="K64" i="23" s="1"/>
  <c r="B195" i="22"/>
  <c r="K195" i="22" s="1"/>
  <c r="B28" i="21"/>
  <c r="K28" i="21" s="1"/>
  <c r="B78" i="23"/>
  <c r="K78" i="23" s="1"/>
  <c r="B196" i="22"/>
  <c r="K196" i="22" s="1"/>
  <c r="B29" i="21"/>
  <c r="K29" i="21" s="1"/>
  <c r="B114" i="23"/>
  <c r="K114" i="23" s="1"/>
  <c r="B199" i="22"/>
  <c r="K199" i="22" s="1"/>
  <c r="B30" i="21"/>
  <c r="K30" i="21" s="1"/>
  <c r="B113" i="23"/>
  <c r="K113" i="23" s="1"/>
  <c r="B85" i="22"/>
  <c r="K85" i="22" s="1"/>
  <c r="B31" i="21"/>
  <c r="K31" i="21" s="1"/>
  <c r="B124" i="23"/>
  <c r="K124" i="23" s="1"/>
  <c r="B86" i="22"/>
  <c r="K86" i="22" s="1"/>
  <c r="B32" i="21"/>
  <c r="K32" i="21" s="1"/>
  <c r="C31" i="2"/>
  <c r="B143" i="23"/>
  <c r="K143" i="23" s="1"/>
  <c r="B200" i="22"/>
  <c r="K200" i="22" s="1"/>
  <c r="B33" i="21"/>
  <c r="K33" i="21" s="1"/>
  <c r="C32" i="2"/>
  <c r="B153" i="23"/>
  <c r="K153" i="23" s="1"/>
  <c r="B201" i="22"/>
  <c r="K201" i="22" s="1"/>
  <c r="B34" i="21"/>
  <c r="K34" i="21" s="1"/>
  <c r="C180" i="23"/>
  <c r="C203" i="22"/>
  <c r="C35" i="21"/>
  <c r="C34" i="2"/>
  <c r="B180" i="23"/>
  <c r="K180" i="23" s="1"/>
  <c r="B203" i="22"/>
  <c r="K203" i="22" s="1"/>
  <c r="B35" i="21"/>
  <c r="K35" i="21" s="1"/>
  <c r="C35" i="2"/>
  <c r="B194" i="23"/>
  <c r="K194" i="23" s="1"/>
  <c r="B204" i="22"/>
  <c r="K204" i="22" s="1"/>
  <c r="B36" i="21"/>
  <c r="K36" i="21" s="1"/>
  <c r="C36" i="2"/>
  <c r="B208" i="23"/>
  <c r="K208" i="23" s="1"/>
  <c r="B205" i="22"/>
  <c r="K205" i="22" s="1"/>
  <c r="B37" i="21"/>
  <c r="K37" i="21" s="1"/>
  <c r="C37" i="2"/>
  <c r="B219" i="23"/>
  <c r="K219" i="23" s="1"/>
  <c r="B206" i="22"/>
  <c r="K206" i="22" s="1"/>
  <c r="B38" i="21"/>
  <c r="K38" i="21" s="1"/>
  <c r="C38" i="2"/>
  <c r="B231" i="23"/>
  <c r="K231" i="23" s="1"/>
  <c r="B207" i="22"/>
  <c r="K207" i="22" s="1"/>
  <c r="B39" i="21"/>
  <c r="K39" i="21" s="1"/>
  <c r="C39" i="2"/>
  <c r="B244" i="23"/>
  <c r="K244" i="23" s="1"/>
  <c r="B208" i="22"/>
  <c r="K208" i="22" s="1"/>
  <c r="B40" i="21"/>
  <c r="K40" i="21" s="1"/>
  <c r="E253" i="23"/>
  <c r="E169" i="22"/>
  <c r="E154" i="21"/>
  <c r="E240" i="23"/>
  <c r="E168" i="22"/>
  <c r="E153" i="21"/>
  <c r="E224" i="23"/>
  <c r="E73" i="22"/>
  <c r="E152" i="21"/>
  <c r="E211" i="23"/>
  <c r="E72" i="22"/>
  <c r="E150" i="21"/>
  <c r="E227" i="23"/>
  <c r="E167" i="22"/>
  <c r="E151" i="21"/>
  <c r="E214" i="23"/>
  <c r="E166" i="22"/>
  <c r="E149" i="21"/>
  <c r="E195" i="23"/>
  <c r="E13" i="22"/>
  <c r="E147" i="21"/>
  <c r="E185" i="23"/>
  <c r="E12" i="22"/>
  <c r="E146" i="21"/>
  <c r="E190" i="23"/>
  <c r="E164" i="22"/>
  <c r="E145" i="21"/>
  <c r="G163" i="23"/>
  <c r="G162" i="22"/>
  <c r="G143" i="21"/>
  <c r="E136" i="23"/>
  <c r="E160" i="22"/>
  <c r="E140" i="21"/>
  <c r="G131" i="23"/>
  <c r="G8" i="22"/>
  <c r="G139" i="21"/>
  <c r="E93" i="23"/>
  <c r="E5" i="22"/>
  <c r="E133" i="21"/>
  <c r="E79" i="23"/>
  <c r="E4" i="22"/>
  <c r="E131" i="21"/>
  <c r="E122" i="21"/>
  <c r="E252" i="23"/>
  <c r="E133" i="22"/>
  <c r="E120" i="21"/>
  <c r="E239" i="23"/>
  <c r="E132" i="22"/>
  <c r="E118" i="21"/>
  <c r="E222" i="23"/>
  <c r="E15" i="22"/>
  <c r="E116" i="21"/>
  <c r="E209" i="23"/>
  <c r="E14" i="22"/>
  <c r="E117" i="21"/>
  <c r="E225" i="23"/>
  <c r="E131" i="22"/>
  <c r="E115" i="21"/>
  <c r="E212" i="23"/>
  <c r="E130" i="22"/>
  <c r="E121" i="21"/>
  <c r="E249" i="23"/>
  <c r="E17" i="22"/>
  <c r="E119" i="21"/>
  <c r="E236" i="23"/>
  <c r="E16" i="22"/>
  <c r="E113" i="21"/>
  <c r="E188" i="23"/>
  <c r="E128" i="22"/>
  <c r="G109" i="21"/>
  <c r="G161" i="23"/>
  <c r="G126" i="22"/>
  <c r="E107" i="21"/>
  <c r="E134" i="23"/>
  <c r="E124" i="22"/>
  <c r="G110" i="21"/>
  <c r="G158" i="23"/>
  <c r="G10" i="22"/>
  <c r="E98" i="21"/>
  <c r="E70" i="23"/>
  <c r="E119" i="22"/>
  <c r="E97" i="21"/>
  <c r="E58" i="23"/>
  <c r="E118" i="22"/>
  <c r="G239" i="21"/>
  <c r="G113" i="22"/>
  <c r="G246" i="23"/>
  <c r="C108" i="22"/>
  <c r="C169" i="23"/>
  <c r="C236" i="21"/>
  <c r="C111" i="22"/>
  <c r="C218" i="23"/>
  <c r="C238" i="21"/>
  <c r="E111" i="22"/>
  <c r="E218" i="23"/>
  <c r="E238" i="21"/>
  <c r="C107" i="22"/>
  <c r="C155" i="23"/>
  <c r="C235" i="21"/>
  <c r="E108" i="22"/>
  <c r="E169" i="23"/>
  <c r="E236" i="21"/>
  <c r="G104" i="22"/>
  <c r="G234" i="21"/>
  <c r="G104" i="23"/>
  <c r="G52" i="23"/>
  <c r="G101" i="22"/>
  <c r="G232" i="21"/>
  <c r="E101" i="22"/>
  <c r="E52" i="23"/>
  <c r="E232" i="21"/>
  <c r="G231" i="21"/>
  <c r="G99" i="22"/>
  <c r="G26" i="23"/>
  <c r="C230" i="21"/>
  <c r="C98" i="22"/>
  <c r="C11" i="23"/>
  <c r="E246" i="23"/>
  <c r="E239" i="21"/>
  <c r="E113" i="22"/>
  <c r="G237" i="21"/>
  <c r="G110" i="22"/>
  <c r="G199" i="23"/>
  <c r="G108" i="22"/>
  <c r="G169" i="23"/>
  <c r="G236" i="21"/>
  <c r="C231" i="21"/>
  <c r="C99" i="22"/>
  <c r="C26" i="23"/>
  <c r="E104" i="22"/>
  <c r="E234" i="21"/>
  <c r="E104" i="23"/>
  <c r="E237" i="21"/>
  <c r="E110" i="22"/>
  <c r="E199" i="23"/>
  <c r="G235" i="21"/>
  <c r="G107" i="22"/>
  <c r="G155" i="23"/>
  <c r="G102" i="22"/>
  <c r="G69" i="23"/>
  <c r="G233" i="21"/>
  <c r="E99" i="22"/>
  <c r="E231" i="21"/>
  <c r="E26" i="23"/>
  <c r="G98" i="22"/>
  <c r="G11" i="23"/>
  <c r="G230" i="21"/>
  <c r="E11" i="23"/>
  <c r="E230" i="21"/>
  <c r="E98" i="22"/>
  <c r="C102" i="22"/>
  <c r="C69" i="23"/>
  <c r="C233" i="21"/>
  <c r="C104" i="22"/>
  <c r="C104" i="23"/>
  <c r="C234" i="21"/>
  <c r="G111" i="22"/>
  <c r="G218" i="23"/>
  <c r="G238" i="21"/>
  <c r="C237" i="21"/>
  <c r="C199" i="23"/>
  <c r="C110" i="22"/>
  <c r="C246" i="23"/>
  <c r="C239" i="21"/>
  <c r="C113" i="22"/>
  <c r="E235" i="21"/>
  <c r="E107" i="22"/>
  <c r="E155" i="23"/>
  <c r="M36" i="2"/>
  <c r="B111" i="22"/>
  <c r="K111" i="22" s="1"/>
  <c r="B218" i="23"/>
  <c r="K218" i="23" s="1"/>
  <c r="B238" i="21"/>
  <c r="K238" i="21" s="1"/>
  <c r="E102" i="22"/>
  <c r="E69" i="23"/>
  <c r="E233" i="21"/>
  <c r="C101" i="22"/>
  <c r="C52" i="23"/>
  <c r="C232" i="21"/>
  <c r="V33" i="2"/>
  <c r="B109" i="21"/>
  <c r="K109" i="21" s="1"/>
  <c r="V32" i="2"/>
  <c r="B108" i="21"/>
  <c r="K108" i="21" s="1"/>
  <c r="V36" i="2"/>
  <c r="B114" i="21"/>
  <c r="K114" i="21" s="1"/>
  <c r="T33" i="2"/>
  <c r="B110" i="21"/>
  <c r="K110" i="21" s="1"/>
  <c r="V35" i="2"/>
  <c r="B113" i="21"/>
  <c r="K113" i="21" s="1"/>
  <c r="V9" i="2"/>
  <c r="B97" i="21"/>
  <c r="K97" i="21" s="1"/>
  <c r="T40" i="2"/>
  <c r="B121" i="21"/>
  <c r="K121" i="21" s="1"/>
  <c r="V31" i="2"/>
  <c r="B107" i="21"/>
  <c r="K107" i="21" s="1"/>
  <c r="V38" i="2"/>
  <c r="B117" i="21"/>
  <c r="K117" i="21" s="1"/>
  <c r="T34" i="2"/>
  <c r="B111" i="21"/>
  <c r="K111" i="21" s="1"/>
  <c r="V37" i="2"/>
  <c r="B115" i="21"/>
  <c r="K115" i="21" s="1"/>
  <c r="T39" i="2"/>
  <c r="B119" i="21"/>
  <c r="K119" i="21" s="1"/>
  <c r="V34" i="2"/>
  <c r="B112" i="21"/>
  <c r="K112" i="21" s="1"/>
  <c r="V39" i="2"/>
  <c r="B120" i="21"/>
  <c r="K120" i="21" s="1"/>
  <c r="V5" i="2"/>
  <c r="B91" i="21"/>
  <c r="K91" i="21" s="1"/>
  <c r="V40" i="2"/>
  <c r="B122" i="21"/>
  <c r="K122" i="21" s="1"/>
  <c r="V6" i="2"/>
  <c r="B92" i="21"/>
  <c r="K92" i="21" s="1"/>
  <c r="V8" i="2"/>
  <c r="B96" i="21"/>
  <c r="K96" i="21" s="1"/>
  <c r="T37" i="2"/>
  <c r="B116" i="21"/>
  <c r="K116" i="21" s="1"/>
  <c r="V7" i="2"/>
  <c r="B93" i="21"/>
  <c r="K93" i="21" s="1"/>
  <c r="T38" i="2"/>
  <c r="B118" i="21"/>
  <c r="K118" i="21" s="1"/>
  <c r="V10" i="2"/>
  <c r="N12" i="2"/>
  <c r="N21" i="2" s="1"/>
  <c r="R7" i="2"/>
  <c r="R8" i="2"/>
  <c r="V13" i="2"/>
  <c r="V12" i="2"/>
  <c r="R13" i="2"/>
  <c r="V11" i="2"/>
  <c r="V14" i="2"/>
  <c r="R12" i="2"/>
  <c r="D14" i="2"/>
  <c r="C13" i="2"/>
  <c r="D13" i="2"/>
  <c r="C10" i="2"/>
  <c r="C9" i="2"/>
  <c r="C6" i="2"/>
  <c r="C49" i="2" s="1"/>
  <c r="D49" i="2"/>
  <c r="H49" i="2"/>
  <c r="I49" i="2"/>
  <c r="H21" i="2"/>
  <c r="G49" i="2"/>
  <c r="G21" i="2"/>
  <c r="I21" i="2"/>
  <c r="S49" i="2"/>
  <c r="T21" i="2"/>
  <c r="S21" i="2"/>
  <c r="U49" i="2"/>
  <c r="U21" i="2"/>
  <c r="R49" i="2"/>
  <c r="N49" i="2"/>
  <c r="O49" i="2"/>
  <c r="O21" i="2"/>
  <c r="M21" i="2"/>
  <c r="L21" i="2"/>
  <c r="V49" i="2" l="1"/>
  <c r="T49" i="2"/>
  <c r="V21" i="2"/>
  <c r="R21" i="2"/>
  <c r="D21" i="2"/>
  <c r="C21" i="2"/>
  <c r="M49" i="2"/>
  <c r="L49" i="2"/>
  <c r="N30" i="1"/>
  <c r="M30" i="1"/>
  <c r="N27" i="1"/>
  <c r="M27" i="1"/>
  <c r="N32" i="1"/>
  <c r="N29" i="1"/>
  <c r="N19" i="1"/>
  <c r="M19" i="1"/>
  <c r="M32" i="1"/>
  <c r="N20" i="1"/>
  <c r="N31" i="1"/>
  <c r="M20" i="1"/>
  <c r="M29" i="1"/>
  <c r="M31" i="1"/>
  <c r="Y21" i="2" l="1"/>
  <c r="Y49" i="2"/>
  <c r="B174" i="1"/>
  <c r="C159" i="1"/>
  <c r="E174" i="1"/>
  <c r="D174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I40" i="1"/>
  <c r="I46" i="1"/>
  <c r="I44" i="1"/>
  <c r="H44" i="1"/>
  <c r="H41" i="1"/>
  <c r="I41" i="1"/>
  <c r="H46" i="1"/>
  <c r="H49" i="1"/>
  <c r="I43" i="1"/>
  <c r="H43" i="1"/>
  <c r="I45" i="1"/>
  <c r="H45" i="1"/>
  <c r="I48" i="1"/>
  <c r="H48" i="1"/>
  <c r="I47" i="1"/>
  <c r="H47" i="1"/>
  <c r="I49" i="1"/>
  <c r="H40" i="1"/>
  <c r="I42" i="1"/>
  <c r="H42" i="1"/>
  <c r="Y3" i="2"/>
  <c r="F174" i="1" l="1"/>
</calcChain>
</file>

<file path=xl/sharedStrings.xml><?xml version="1.0" encoding="utf-8"?>
<sst xmlns="http://schemas.openxmlformats.org/spreadsheetml/2006/main" count="2660" uniqueCount="1071">
  <si>
    <t>DIVISION</t>
  </si>
  <si>
    <t>TEAM</t>
  </si>
  <si>
    <t>10U_BOYS_&amp;_COED_PLATINUM</t>
  </si>
  <si>
    <t>2 SET MEDALS</t>
  </si>
  <si>
    <t>A coed pt 1st-3rd</t>
  </si>
  <si>
    <t>B boys 1st-4th</t>
  </si>
  <si>
    <t>10U_BOYS</t>
  </si>
  <si>
    <t>CDM BLUE</t>
  </si>
  <si>
    <t>A1-NORTH IRVINE BLACK</t>
  </si>
  <si>
    <t>B1-ORWP A</t>
  </si>
  <si>
    <t>NEWPORT BEACH WHITE</t>
  </si>
  <si>
    <t>A2-SAN DIEGO DONS BLACK</t>
  </si>
  <si>
    <t>B2-CDM BLUE</t>
  </si>
  <si>
    <t>ORWP A</t>
  </si>
  <si>
    <t>A3-VIKING</t>
  </si>
  <si>
    <t>B3-SAN CLEMENTE RED</t>
  </si>
  <si>
    <t>SAN CLEMENTE RED</t>
  </si>
  <si>
    <t>B4-NEWPORT BEACH WHITE</t>
  </si>
  <si>
    <t>10U_COED_PLATINUM</t>
  </si>
  <si>
    <t>NORTH IRVINE BLACK</t>
  </si>
  <si>
    <t>SAN DIEGO DONS BLACK</t>
  </si>
  <si>
    <t>VIKING</t>
  </si>
  <si>
    <t>10U_GIRLS_COED_GOLD_SILVER</t>
  </si>
  <si>
    <t>RR for 1st-4th then cross no re-play</t>
  </si>
  <si>
    <t>A gold 1st-4th</t>
  </si>
  <si>
    <t>10U_COED_GOLD</t>
  </si>
  <si>
    <t>ORANGE COUNTY WPC B au</t>
  </si>
  <si>
    <t>A1-TROJAN SOUTH au</t>
  </si>
  <si>
    <t>SAN CLEMENTE BLACK au</t>
  </si>
  <si>
    <t>A2-VANGUARD BLUE au</t>
  </si>
  <si>
    <t>TROJAN SOUTH au</t>
  </si>
  <si>
    <t>A3-SAN CLEMENTE BLACK au</t>
  </si>
  <si>
    <t>VANGUARD BLUE au</t>
  </si>
  <si>
    <t>A4-ORANGE COUNTY WPC B au</t>
  </si>
  <si>
    <t>B silver 1st-4th</t>
  </si>
  <si>
    <t>10U_COED_SILVER</t>
  </si>
  <si>
    <t>CDM BOYS WHITE ag</t>
  </si>
  <si>
    <t>B1-SAN CLEMENTE GIRLS RED ag</t>
  </si>
  <si>
    <t>LAGUNA BEACH ag</t>
  </si>
  <si>
    <t>B2-CDM BOYS WHITE ag</t>
  </si>
  <si>
    <t>SAN CLEMENTE GIRLS RED ag</t>
  </si>
  <si>
    <t>B3-LAGUNA BEACH ag</t>
  </si>
  <si>
    <t>TROJAN NORTH ag</t>
  </si>
  <si>
    <t>B4-TROJAN NORTH ag</t>
  </si>
  <si>
    <t>No Intra-club play, then cross</t>
  </si>
  <si>
    <t>C GIrls 1st-4th</t>
  </si>
  <si>
    <t>10U_GIRLS</t>
  </si>
  <si>
    <t>DEL MAR GIRLS BLUE</t>
  </si>
  <si>
    <t>C1-DEL MAR GIRLS BLUE</t>
  </si>
  <si>
    <t>DEL MAR GIRLS WHITE</t>
  </si>
  <si>
    <t>C2-NEWPORT BEACH GIRLS BLUE</t>
  </si>
  <si>
    <t>NEWPORT BEACH GIRLS BLUE</t>
  </si>
  <si>
    <t>C3-DEL MAR GIRLS WHITE</t>
  </si>
  <si>
    <t>NEWPORT BEACH GIRLS WHITE</t>
  </si>
  <si>
    <t>C4-NEWPORT BEACH GIRLS WHITE</t>
  </si>
  <si>
    <t>12U_BOYS</t>
  </si>
  <si>
    <t>3 SET MEDALS</t>
  </si>
  <si>
    <t>12U_BOYS_SILVER</t>
  </si>
  <si>
    <t>CDM ag</t>
  </si>
  <si>
    <t>ORANGE COUNTY WPC B ag</t>
  </si>
  <si>
    <t>ORWP B ag</t>
  </si>
  <si>
    <t>A pt 1st-3rd</t>
  </si>
  <si>
    <t>B au</t>
  </si>
  <si>
    <t>C au</t>
  </si>
  <si>
    <t>D au</t>
  </si>
  <si>
    <t>E ag 1st-3rd</t>
  </si>
  <si>
    <t>A1-LA PREMIER</t>
  </si>
  <si>
    <t>B1-TROJAN</t>
  </si>
  <si>
    <t>C1-LAWPC</t>
  </si>
  <si>
    <t>D1-PEGASUS WPA BLUE</t>
  </si>
  <si>
    <t>E1-CDM</t>
  </si>
  <si>
    <t>A2-ORANGE COUNTY WPC A</t>
  </si>
  <si>
    <t>B2-ROUTE 66</t>
  </si>
  <si>
    <t>C2-MISSION B</t>
  </si>
  <si>
    <t>D2-VANGUARD SILVER</t>
  </si>
  <si>
    <t>E2-ORWP B</t>
  </si>
  <si>
    <t>12U_BOYS_GOLD</t>
  </si>
  <si>
    <t>LAGUNA BEACH au</t>
  </si>
  <si>
    <t>A3-CMAC</t>
  </si>
  <si>
    <t>B3-LAGUNA BEACH</t>
  </si>
  <si>
    <t>C3-NORTH IRVINE RED</t>
  </si>
  <si>
    <t>D3-SAN DIEGO DONS 10 RED</t>
  </si>
  <si>
    <t>E3-ORANGE COUNTY WPC B</t>
  </si>
  <si>
    <t>LAWPC au</t>
  </si>
  <si>
    <t>D4-NEWPORT BEACH 10 BLUE</t>
  </si>
  <si>
    <t>MISSION B au</t>
  </si>
  <si>
    <t>Day 2 crosses</t>
  </si>
  <si>
    <t>NEWPORT BEACH 10 BLUE au</t>
  </si>
  <si>
    <t>NORTH IRVINE RED au</t>
  </si>
  <si>
    <t>PEGASUS WPA BLUE au</t>
  </si>
  <si>
    <t>F au 1st-3rd</t>
  </si>
  <si>
    <t>G au 4th-6th</t>
  </si>
  <si>
    <t>3rdB-</t>
  </si>
  <si>
    <t>ROUTE 66 au</t>
  </si>
  <si>
    <t>1stA-</t>
  </si>
  <si>
    <t>F1(1stB)-</t>
  </si>
  <si>
    <t>G1(2ndB)-</t>
  </si>
  <si>
    <t>3rdC-</t>
  </si>
  <si>
    <t>SAN DIEGO DONS 10 RED au</t>
  </si>
  <si>
    <t>2ndA-</t>
  </si>
  <si>
    <t>F2(1stC)-</t>
  </si>
  <si>
    <t>G2(2ndC)-</t>
  </si>
  <si>
    <t>3rdD-</t>
  </si>
  <si>
    <t>TROJAN au</t>
  </si>
  <si>
    <t>3rdA-</t>
  </si>
  <si>
    <t>F3(1stD)-</t>
  </si>
  <si>
    <t>G3(2ndD)-</t>
  </si>
  <si>
    <t>4thD-</t>
  </si>
  <si>
    <t>VANGUARD SILVER au</t>
  </si>
  <si>
    <t>1stE-</t>
  </si>
  <si>
    <t>2ndE-</t>
  </si>
  <si>
    <t>12U_BOYS_PLATINUM</t>
  </si>
  <si>
    <t>LA PREMIER pt</t>
  </si>
  <si>
    <t>3rdE-</t>
  </si>
  <si>
    <t>CMAC pt</t>
  </si>
  <si>
    <t>ORANGE COUNTY WPC A pt</t>
  </si>
  <si>
    <t>12U_COED_GIRLS</t>
  </si>
  <si>
    <t>ARROYO GRANDE</t>
  </si>
  <si>
    <t>A</t>
  </si>
  <si>
    <t>B</t>
  </si>
  <si>
    <t>C</t>
  </si>
  <si>
    <t>HIELAND</t>
  </si>
  <si>
    <t>A1-HIELAND</t>
  </si>
  <si>
    <t>B1-ARROYO GRANDE</t>
  </si>
  <si>
    <t>C1-INNIS ARDEN</t>
  </si>
  <si>
    <t>INNIS ARDEN</t>
  </si>
  <si>
    <t>A2-PALOS VERDES</t>
  </si>
  <si>
    <t>B2-SET</t>
  </si>
  <si>
    <t>C2-CMAC GIRLS</t>
  </si>
  <si>
    <t>PALOS VERDES</t>
  </si>
  <si>
    <t>A3-TRILOGY</t>
  </si>
  <si>
    <t>B3-VIKING</t>
  </si>
  <si>
    <t>C3-LAGUNA BEACH GIRLS</t>
  </si>
  <si>
    <t>SET</t>
  </si>
  <si>
    <t>TRILOGY</t>
  </si>
  <si>
    <t>D</t>
  </si>
  <si>
    <t>E</t>
  </si>
  <si>
    <t>F</t>
  </si>
  <si>
    <t>D1(1stA)-</t>
  </si>
  <si>
    <t>E1(2ndA)-</t>
  </si>
  <si>
    <t>F1(3rdA)-</t>
  </si>
  <si>
    <t>CMAC GIRLS</t>
  </si>
  <si>
    <t>D2(1stB)-</t>
  </si>
  <si>
    <t>E2(2ndB)-</t>
  </si>
  <si>
    <t>F2(3rdB)-</t>
  </si>
  <si>
    <t>LAGUNA BEACH GIRLS</t>
  </si>
  <si>
    <t>D3(1stC)-</t>
  </si>
  <si>
    <t>E3(2ndC)-</t>
  </si>
  <si>
    <t>F3(3rdC)-</t>
  </si>
  <si>
    <t>14U_BOYS_SILVER</t>
  </si>
  <si>
    <t>BREA OLINDA GOLD</t>
  </si>
  <si>
    <t>GOLD COAST</t>
  </si>
  <si>
    <t>A1-SAND CANYON</t>
  </si>
  <si>
    <t>B1-RIVERSIDE</t>
  </si>
  <si>
    <t>C1-TSM</t>
  </si>
  <si>
    <t>D1-TITANS</t>
  </si>
  <si>
    <t>NEWPORT BEACH SILVER</t>
  </si>
  <si>
    <t>A2-BREA OLINDA GOLD</t>
  </si>
  <si>
    <t>B2-PASADENA AC ORANGE</t>
  </si>
  <si>
    <t>C2-GOLD COAST</t>
  </si>
  <si>
    <t>D2-SET</t>
  </si>
  <si>
    <t>NORTH IRVINE 12 BLACK</t>
  </si>
  <si>
    <t>A3-TROJAN GOLD</t>
  </si>
  <si>
    <t>B3-SAN CLEMENTE BLACK</t>
  </si>
  <si>
    <t>C3-PALOS VERDES B</t>
  </si>
  <si>
    <t>D3-ORWP B</t>
  </si>
  <si>
    <t>ORWP B</t>
  </si>
  <si>
    <t>A4-SAN DIEGO DONS 12 BLACK</t>
  </si>
  <si>
    <t>B4-RANCHO TSUNAMI 12 BLUE</t>
  </si>
  <si>
    <t>C4-NORTH IRVINE 12 BLACK</t>
  </si>
  <si>
    <t>D4-NEWPORT BEACH SILVER</t>
  </si>
  <si>
    <t>PALOS VERDES B</t>
  </si>
  <si>
    <t>PASADENA AC ORANGE</t>
  </si>
  <si>
    <t>RANCHO TSUNAMI 12 BLUE</t>
  </si>
  <si>
    <t>RIVERSIDE</t>
  </si>
  <si>
    <t>SAN CLEMENTE BLACK</t>
  </si>
  <si>
    <t>SAN DIEGO DONS 12 BLACK</t>
  </si>
  <si>
    <t>SAND CANYON</t>
  </si>
  <si>
    <t>TITANS</t>
  </si>
  <si>
    <t>TROJAN GOLD</t>
  </si>
  <si>
    <t>TSM</t>
  </si>
  <si>
    <t>14U_BOYS_GOLD</t>
  </si>
  <si>
    <t>ALAMEDA</t>
  </si>
  <si>
    <t>CDM B</t>
  </si>
  <si>
    <t>A1-LAWPC</t>
  </si>
  <si>
    <t>B1-SD ECA</t>
  </si>
  <si>
    <t>C1-HIELAND</t>
  </si>
  <si>
    <t>D1-PRIDE RED</t>
  </si>
  <si>
    <t>A2-TRILOGY BLACK</t>
  </si>
  <si>
    <t>B2-MISSION 14B</t>
  </si>
  <si>
    <t>C2-VANGUARD SILVER</t>
  </si>
  <si>
    <t>D2-ALAMEDA</t>
  </si>
  <si>
    <t>LAWPC</t>
  </si>
  <si>
    <t>A3-SAN DIEGO DONS 14 BLACK</t>
  </si>
  <si>
    <t>B3-ORANGE COUNTY WPC B</t>
  </si>
  <si>
    <t>C3-NEWPORT BEACH WHITE</t>
  </si>
  <si>
    <t>D3-CDM B</t>
  </si>
  <si>
    <t>MISSION 12A</t>
  </si>
  <si>
    <t>A4-NORTH IRVINE RED</t>
  </si>
  <si>
    <t>B4-SOCAL 12 BLACK</t>
  </si>
  <si>
    <t>C4-SAN DIEGO DONS 12 RED</t>
  </si>
  <si>
    <t>D4-MISSION 12A</t>
  </si>
  <si>
    <t>MISSION 14B</t>
  </si>
  <si>
    <t>NORTH IRVINE RED</t>
  </si>
  <si>
    <t>ORANGE COUNTY WPC B</t>
  </si>
  <si>
    <t>PRIDE RED</t>
  </si>
  <si>
    <t>SAN DIEGO DONS 12 RED</t>
  </si>
  <si>
    <t>SAN DIEGO DONS 14 BLACK</t>
  </si>
  <si>
    <t>SD ECA</t>
  </si>
  <si>
    <t>SOCAL 12 BLACK</t>
  </si>
  <si>
    <t>TRILOGY BLACK</t>
  </si>
  <si>
    <t>VANGUARD SILVER</t>
  </si>
  <si>
    <t>14U_BOYS_PLATINUM</t>
  </si>
  <si>
    <t>DEVILS GATE</t>
  </si>
  <si>
    <t>MISSION A</t>
  </si>
  <si>
    <t>A1-MISSION A</t>
  </si>
  <si>
    <t>B1-NEWPORT BEACH BLUE</t>
  </si>
  <si>
    <t>C1-SAN DIEGO DONS</t>
  </si>
  <si>
    <t>NEWPORT BEACH BLUE</t>
  </si>
  <si>
    <t>A2-ORWP A</t>
  </si>
  <si>
    <t>B2-TROJAN CARDINAL</t>
  </si>
  <si>
    <t>C2-VANGUARD BLUE</t>
  </si>
  <si>
    <t>A3-ROUTE 66</t>
  </si>
  <si>
    <t>B3-PATRIOT RED</t>
  </si>
  <si>
    <t>C3-RANCHO TSUNAMI BLUE</t>
  </si>
  <si>
    <t>PATRIOT RED</t>
  </si>
  <si>
    <t>C4-DEVILS GATE</t>
  </si>
  <si>
    <t>RANCHO TSUNAMI BLUE</t>
  </si>
  <si>
    <t>ROUTE 66</t>
  </si>
  <si>
    <t>SAN DIEGO DONS</t>
  </si>
  <si>
    <t>TROJAN CARDINAL</t>
  </si>
  <si>
    <t>VANGUARD BLUE</t>
  </si>
  <si>
    <t>14U_GIRLS</t>
  </si>
  <si>
    <t>3 SETS MEDALS</t>
  </si>
  <si>
    <t>B au 1st-3rd</t>
  </si>
  <si>
    <t>C ag 1st-3rd</t>
  </si>
  <si>
    <t>14U_GIRLS_SILVER</t>
  </si>
  <si>
    <t>CV PREMIER</t>
  </si>
  <si>
    <t>A1-VIKING</t>
  </si>
  <si>
    <t>B1-SET</t>
  </si>
  <si>
    <t>C1-CV PREMIER</t>
  </si>
  <si>
    <t>A2-ROGUE 619</t>
  </si>
  <si>
    <t>B2-PALOS VERDES BLACK</t>
  </si>
  <si>
    <t>C2-INNIS ARDEN</t>
  </si>
  <si>
    <t>TROJAN</t>
  </si>
  <si>
    <t>A3-NORTH IRVINE</t>
  </si>
  <si>
    <t>B3-ELITE</t>
  </si>
  <si>
    <t>C3-TROJAN</t>
  </si>
  <si>
    <t>14U_GIRLS_GOLD</t>
  </si>
  <si>
    <t>ELITE</t>
  </si>
  <si>
    <t>PALOS VERDES BLACK</t>
  </si>
  <si>
    <t>14U_GIRLS_PLATINUM</t>
  </si>
  <si>
    <t>ROGUE 619</t>
  </si>
  <si>
    <t>NORTH IRVINE</t>
  </si>
  <si>
    <t>16U_BOYS_SILVER</t>
  </si>
  <si>
    <t>CMAC</t>
  </si>
  <si>
    <t>B1-TITANS</t>
  </si>
  <si>
    <t>NORTH IRVINE 14 BLACK</t>
  </si>
  <si>
    <t>A2-CMAC</t>
  </si>
  <si>
    <t>B2-TRILOGY WHITE</t>
  </si>
  <si>
    <t>PALOS VERDES BLUE</t>
  </si>
  <si>
    <t>A3-PALOS VERDES BLUE</t>
  </si>
  <si>
    <t>A4-SUPREME</t>
  </si>
  <si>
    <t>B4-NORTH IRVINE 14 BLACK</t>
  </si>
  <si>
    <t>TRILOGY WHITE</t>
  </si>
  <si>
    <t>SUPREME</t>
  </si>
  <si>
    <t>16U_BOYS_PLATINUM_GOLD</t>
  </si>
  <si>
    <t>B gold</t>
  </si>
  <si>
    <t>C gold</t>
  </si>
  <si>
    <t>16U_BOYS_GOLD</t>
  </si>
  <si>
    <t>A1-ORWP A</t>
  </si>
  <si>
    <t>B1-ALAMEDA</t>
  </si>
  <si>
    <t>C1-VANGUARD SILVER</t>
  </si>
  <si>
    <t>BREA OLINDA</t>
  </si>
  <si>
    <t>A2-DEVILS GATE</t>
  </si>
  <si>
    <t>B2-INNIS ARDEN</t>
  </si>
  <si>
    <t>C2-TRILOGY BLACK</t>
  </si>
  <si>
    <t>A3-CHANNEL ISLANDS UNITED BLUE</t>
  </si>
  <si>
    <t>B3-TROJAN GOLD</t>
  </si>
  <si>
    <t>C3-BREA OLINDA</t>
  </si>
  <si>
    <t>C4-ELITE</t>
  </si>
  <si>
    <t>16U_BOYS_PLATINUM</t>
  </si>
  <si>
    <t>CHANNEL ISLANDS UNITED BLUE</t>
  </si>
  <si>
    <t>19U_BOYS_SILVER</t>
  </si>
  <si>
    <t>OHANA</t>
  </si>
  <si>
    <t>A1-SET</t>
  </si>
  <si>
    <t>A2-SOUTH COUNTY AQUATICS</t>
  </si>
  <si>
    <t>SFV</t>
  </si>
  <si>
    <t>A3-PASADENA AC ORANGE</t>
  </si>
  <si>
    <t>SOUTH COUNTY AQUATICS</t>
  </si>
  <si>
    <t>A4-SFV</t>
  </si>
  <si>
    <t>A5-OHANA</t>
  </si>
  <si>
    <t>19U BOYS_PLATINUM_GOLD</t>
  </si>
  <si>
    <t>19U_BOYS_GOLD</t>
  </si>
  <si>
    <t>A1-SAND CANYON BLACK pt</t>
  </si>
  <si>
    <t>B1-PEAK POLO LIGHTNING pt</t>
  </si>
  <si>
    <t>C1-TROJAN  16 CARDINAL pt</t>
  </si>
  <si>
    <t>A2-VANGUARD SILVER</t>
  </si>
  <si>
    <t>B2-ALAMEDA</t>
  </si>
  <si>
    <t>C2-PEAK POLO BOLTZ pt</t>
  </si>
  <si>
    <t>SAND CANYON RED</t>
  </si>
  <si>
    <t>A3-TSM B</t>
  </si>
  <si>
    <t>B3-HIELAND</t>
  </si>
  <si>
    <t>C3-SOUTH VALLEY</t>
  </si>
  <si>
    <t>SOUTH VALLEY</t>
  </si>
  <si>
    <t>B4-SAND CANYON RED</t>
  </si>
  <si>
    <t>C4-ROUTE 66</t>
  </si>
  <si>
    <t>TSM B</t>
  </si>
  <si>
    <t>PEAK POLO BOLTZ pt</t>
  </si>
  <si>
    <t>19U_BOYS_PLATINUM</t>
  </si>
  <si>
    <t>PEAK POLO LIGHTNING pt</t>
  </si>
  <si>
    <t>SAND CANYON BLACK pt</t>
  </si>
  <si>
    <t>TROJAN  16 CARDINAL pt</t>
  </si>
  <si>
    <t>TEAMS</t>
  </si>
  <si>
    <t>GAMES SAT</t>
  </si>
  <si>
    <t>GAMES SUN</t>
  </si>
  <si>
    <t>TOTAL</t>
  </si>
  <si>
    <t>10U_COED_PLATINUM_&amp;_BOYS</t>
  </si>
  <si>
    <t>19U_BOYS_PLATINUM_GOLD</t>
  </si>
  <si>
    <t>2026 TURBO OC CUP</t>
  </si>
  <si>
    <t>CHICLETS MASTER</t>
  </si>
  <si>
    <t>10U</t>
  </si>
  <si>
    <t>12U</t>
  </si>
  <si>
    <t>start at 11AM</t>
  </si>
  <si>
    <t>SATURDAY, MARCH 7</t>
  </si>
  <si>
    <t>WOOLLETT FAR LEFT</t>
  </si>
  <si>
    <t>EL TORO HS 2</t>
  </si>
  <si>
    <t>WOOLLETT FAR RIGHT</t>
  </si>
  <si>
    <t>LAGUNA HILLS HS</t>
  </si>
  <si>
    <t>COSTA MESA HS 2</t>
  </si>
  <si>
    <t>WOOLLETT NEAR LEFT</t>
  </si>
  <si>
    <t>ESTANCIA HS 1</t>
  </si>
  <si>
    <t>COSTA MESA HS 1</t>
  </si>
  <si>
    <t>WOOLLETT NEAR RIGHT</t>
  </si>
  <si>
    <t>EL TORO HS 1</t>
  </si>
  <si>
    <t>SAN JUAN HILLS HS</t>
  </si>
  <si>
    <t>ALISO NIGUEL HS</t>
  </si>
  <si>
    <t>WESTMINSTER HS</t>
  </si>
  <si>
    <t>ESTANCIA HS 2</t>
  </si>
  <si>
    <t>2R</t>
  </si>
  <si>
    <t>moved from Far Left</t>
  </si>
  <si>
    <t>last game 3:50pm</t>
  </si>
  <si>
    <t>DAYLIGHT SAVINGS!!!</t>
  </si>
  <si>
    <t>SUNDAY MARCH 8</t>
  </si>
  <si>
    <t>x</t>
  </si>
  <si>
    <t>moved from Far Left same time</t>
  </si>
  <si>
    <t>DATE</t>
  </si>
  <si>
    <t>TIME</t>
  </si>
  <si>
    <t>LOCATION</t>
  </si>
  <si>
    <t>GAME ID</t>
  </si>
  <si>
    <t>WHITE TEAM</t>
  </si>
  <si>
    <t>S</t>
  </si>
  <si>
    <t>DARK TEAM</t>
  </si>
  <si>
    <t>COMMENTS</t>
  </si>
  <si>
    <t>SORTKEY</t>
  </si>
  <si>
    <t>10U GIRLS COED GOLD SILVER</t>
  </si>
  <si>
    <t>12 teams CUSTOM</t>
  </si>
  <si>
    <t>5 min quarters</t>
  </si>
  <si>
    <t>24 games</t>
  </si>
  <si>
    <t>12+12</t>
  </si>
  <si>
    <t>HOT! RESULTS</t>
  </si>
  <si>
    <t>RESULTS FEED</t>
  </si>
  <si>
    <t>SUBMIT SCORES LOGIN</t>
  </si>
  <si>
    <t>10GCauag01</t>
  </si>
  <si>
    <t>B bracket, B1/B4  coed silver 1st-4th</t>
  </si>
  <si>
    <t>10GCauag02</t>
  </si>
  <si>
    <t>B bracket, B2/B3 coed silver 1st-4th</t>
  </si>
  <si>
    <t>10GCauag03</t>
  </si>
  <si>
    <t>A bracket, A1/A4 coed gold 1st-4th</t>
  </si>
  <si>
    <t>10GCauag05</t>
  </si>
  <si>
    <t>C bracket  C1,C4 Girls 1st-4th</t>
  </si>
  <si>
    <t>10GCauag04</t>
  </si>
  <si>
    <t>A bracket, A2/A3 coed gold 1st-4th</t>
  </si>
  <si>
    <t>10GCauag06</t>
  </si>
  <si>
    <t>C bracket  C2,C3 Girls 1st-4th</t>
  </si>
  <si>
    <t>10GCauag07</t>
  </si>
  <si>
    <t>B bracket, B2/B4 coed silver 1st-4th</t>
  </si>
  <si>
    <t>10GCauag08</t>
  </si>
  <si>
    <t>B bracket, B1/B3 coed silver 1st-4th</t>
  </si>
  <si>
    <t>10GCauag09</t>
  </si>
  <si>
    <t>A bracket, A1/A3 coed gold 1st-4th</t>
  </si>
  <si>
    <t>10GCauag11</t>
  </si>
  <si>
    <t>C bracket  C1,C2 Girls 1st-4th</t>
  </si>
  <si>
    <t>10GCauag10</t>
  </si>
  <si>
    <t>A bracket, A2/A4 coed gold 1st-4th</t>
  </si>
  <si>
    <t>10GCauag12</t>
  </si>
  <si>
    <t>C bracket  C3,C4 Girls 1st-4th</t>
  </si>
  <si>
    <t>10GCauag13</t>
  </si>
  <si>
    <t>bracket, A1/A2 coed gold 1st-4th</t>
  </si>
  <si>
    <t>10GCauag14</t>
  </si>
  <si>
    <t>bracket, A3/A4 coed gold 1st-4th</t>
  </si>
  <si>
    <t>10GCauag15</t>
  </si>
  <si>
    <t>bracket, B1/B2 coed silver 1st-4th</t>
  </si>
  <si>
    <t>10GCauag16</t>
  </si>
  <si>
    <t>bracket, B3/B4 coed silver 1st-4th</t>
  </si>
  <si>
    <t>10GCauag17</t>
  </si>
  <si>
    <t>1stA-ORANGE COUNTY WPC B au</t>
  </si>
  <si>
    <t>cross</t>
  </si>
  <si>
    <t>10GCauag18</t>
  </si>
  <si>
    <t>3rdA-TROJAN SOUTH au</t>
  </si>
  <si>
    <t>10GCauag19</t>
  </si>
  <si>
    <t>2ndA-VANGUARD BLUE au</t>
  </si>
  <si>
    <t>10GCauag20</t>
  </si>
  <si>
    <t>4thA-SAN CLEMENTE BLACK au</t>
  </si>
  <si>
    <t>10GCauag21</t>
  </si>
  <si>
    <t>1stB-TROJAN NORTH ag</t>
  </si>
  <si>
    <t>10GCauag22</t>
  </si>
  <si>
    <t>3rdB-SAN CLEMENTE RED GIRLS ag</t>
  </si>
  <si>
    <t>10GCauag23</t>
  </si>
  <si>
    <t>2ndB-LAGUNA BEACH ag</t>
  </si>
  <si>
    <t>10GCauag24</t>
  </si>
  <si>
    <t>4thB-CDM BOYS WHITE ag</t>
  </si>
  <si>
    <t>10U COED GOLD</t>
  </si>
  <si>
    <t>MEDALS TO EL TORO 2</t>
  </si>
  <si>
    <t>1st</t>
  </si>
  <si>
    <t>2nd</t>
  </si>
  <si>
    <t>3rd</t>
  </si>
  <si>
    <t>check!</t>
  </si>
  <si>
    <t>10U COED SILVER</t>
  </si>
  <si>
    <t>1st/2nd to Woollett, 3rd to El Toro 2</t>
  </si>
  <si>
    <t>issued</t>
  </si>
  <si>
    <t>SAN CLEMENTE RED GIRLS ag</t>
  </si>
  <si>
    <t>10U GIRLS</t>
  </si>
  <si>
    <t>Medals to Woollett Day 1</t>
  </si>
  <si>
    <t>10U BOYS &amp; COED PLATINUM</t>
  </si>
  <si>
    <t>7 teams CUSTOM</t>
  </si>
  <si>
    <t>15 games</t>
  </si>
  <si>
    <t>7+8</t>
  </si>
  <si>
    <t>10BCpt01</t>
  </si>
  <si>
    <t>A bracket A1,A3 Cpt 1st-3rd</t>
  </si>
  <si>
    <t>10BCpt02</t>
  </si>
  <si>
    <t>A bracket A2,A3 Cpt 1st-3rd</t>
  </si>
  <si>
    <t>10BCpt03</t>
  </si>
  <si>
    <t>B bracket B1,B4 Boys 1st-4th</t>
  </si>
  <si>
    <t>10BCpt04</t>
  </si>
  <si>
    <t>B bracket B2,B3 Boys 1st-4th</t>
  </si>
  <si>
    <t>10BCpt05</t>
  </si>
  <si>
    <t>A bracket A1,A2 Cpt 1st-3rd</t>
  </si>
  <si>
    <t>10BCpt06</t>
  </si>
  <si>
    <t>B bracket B1,B3 Boys 1st-4th</t>
  </si>
  <si>
    <t>10BCpt07</t>
  </si>
  <si>
    <t>B bracket B2,B4 Boys 1st-4th</t>
  </si>
  <si>
    <t>10BCpt08</t>
  </si>
  <si>
    <t>B bracket B3,B4 Boys 1st-4th</t>
  </si>
  <si>
    <t>10BCpt09</t>
  </si>
  <si>
    <t>B bracket B1,B2 Boys 1st-4th</t>
  </si>
  <si>
    <t>10BCpt10</t>
  </si>
  <si>
    <t>3rdA-VIKING</t>
  </si>
  <si>
    <t>4thB-NEWPORT BEACH WHITE</t>
  </si>
  <si>
    <t>10BCpt11</t>
  </si>
  <si>
    <t>1stA-NORTH IRVINE BLACK</t>
  </si>
  <si>
    <t>2ndB-SAN CLEMENTE RED</t>
  </si>
  <si>
    <t>10BCpt12</t>
  </si>
  <si>
    <t>1stB-ORWP A</t>
  </si>
  <si>
    <t>2ndA-SAN DIEGO DONS BLACK</t>
  </si>
  <si>
    <t>10BCpt13</t>
  </si>
  <si>
    <t>3rdB-CDM BLUE</t>
  </si>
  <si>
    <t>10BCpt14</t>
  </si>
  <si>
    <t>10BCpt15</t>
  </si>
  <si>
    <t>Medals to Woollett FAR LEFT</t>
  </si>
  <si>
    <t xml:space="preserve">  </t>
  </si>
  <si>
    <t>&lt;---POINTS        SCORES---&gt;</t>
  </si>
  <si>
    <t>(10,7)</t>
  </si>
  <si>
    <t>(9,8)</t>
  </si>
  <si>
    <t>(8,7)</t>
  </si>
  <si>
    <t>(11,14)</t>
  </si>
  <si>
    <t>(13,10)</t>
  </si>
  <si>
    <t>(7,8)</t>
  </si>
  <si>
    <t>(14,11)</t>
  </si>
  <si>
    <t>(8,9)</t>
  </si>
  <si>
    <t>(17,4)</t>
  </si>
  <si>
    <t>(7,10)</t>
  </si>
  <si>
    <t>(10,13)</t>
  </si>
  <si>
    <t>(4,17)</t>
  </si>
  <si>
    <t>10I COED PLATINUM</t>
  </si>
  <si>
    <t>10U COED GOLD SILVER</t>
  </si>
  <si>
    <t>8 teams CUSTOM</t>
  </si>
  <si>
    <t>16 games</t>
  </si>
  <si>
    <t>8+8</t>
  </si>
  <si>
    <t>A1-TROJAN au</t>
  </si>
  <si>
    <t>10Cauag01</t>
  </si>
  <si>
    <t>bracket, B1/B4 silver 1st-4th</t>
  </si>
  <si>
    <t>10U_COED_GOLD_SILVER</t>
  </si>
  <si>
    <t>10Cauag02</t>
  </si>
  <si>
    <t>bracket, B2/B3 silver 1st-4th</t>
  </si>
  <si>
    <t>10Cauag03</t>
  </si>
  <si>
    <t>bracket, A1/A4 gold 1st-4th</t>
  </si>
  <si>
    <t>10Cauag04</t>
  </si>
  <si>
    <t>bracket, A2/A3 gold 1st-4th</t>
  </si>
  <si>
    <t>10Cauag05</t>
  </si>
  <si>
    <t>bracket, B2/B4 silver 1st-4th</t>
  </si>
  <si>
    <t>10Cauag06</t>
  </si>
  <si>
    <t>bracket, B1/B3 silver 1st-4th</t>
  </si>
  <si>
    <t>10Cauag07</t>
  </si>
  <si>
    <t>bracket, A1/A3 gold 1st-4th</t>
  </si>
  <si>
    <t>10Cauag08</t>
  </si>
  <si>
    <t>bracket, A2/A4 gold 1st-4th</t>
  </si>
  <si>
    <t>10Cauag09</t>
  </si>
  <si>
    <t>bracket, B3/B4 silver 1st-4th</t>
  </si>
  <si>
    <t>10Cauag10</t>
  </si>
  <si>
    <t>bracket, A3/A4 gold 1st-4th</t>
  </si>
  <si>
    <t>10Cauag11</t>
  </si>
  <si>
    <t>bracket, B1/B2 silver 1st-4th</t>
  </si>
  <si>
    <t>10Cauag12</t>
  </si>
  <si>
    <t>bracket, A1/A2 gold 1st-4th</t>
  </si>
  <si>
    <t>10Cauag13</t>
  </si>
  <si>
    <t>2ndB-</t>
  </si>
  <si>
    <t>10Cauag14</t>
  </si>
  <si>
    <t>1stB-</t>
  </si>
  <si>
    <t>10Cauag15</t>
  </si>
  <si>
    <t>10Cauag16</t>
  </si>
  <si>
    <t>4thA-</t>
  </si>
  <si>
    <t>4thB-</t>
  </si>
  <si>
    <t>10U 12U GIRLS</t>
  </si>
  <si>
    <t>6 teams CUSTOM</t>
  </si>
  <si>
    <t>6 min quarters</t>
  </si>
  <si>
    <t>12 games</t>
  </si>
  <si>
    <t>A1-DEL MAR BLUE</t>
  </si>
  <si>
    <t>A2-NEWPORT BEACH BLUE</t>
  </si>
  <si>
    <t>A3-CMAC 12</t>
  </si>
  <si>
    <t>A4-LAGUNA BEACH 12</t>
  </si>
  <si>
    <t>A5-NEWPORT BEACH WHITE</t>
  </si>
  <si>
    <t>A6-DEL MAR WHITE</t>
  </si>
  <si>
    <t>10U12UG01</t>
  </si>
  <si>
    <t>bracket, B1/B4</t>
  </si>
  <si>
    <t>10U_12U_GIRLS</t>
  </si>
  <si>
    <t>10U12UG02</t>
  </si>
  <si>
    <t>bracket, B2/B3</t>
  </si>
  <si>
    <t>10U12UG03</t>
  </si>
  <si>
    <t>bracket, A1/A4</t>
  </si>
  <si>
    <t>10U12UG04</t>
  </si>
  <si>
    <t>bracket, A2/A3</t>
  </si>
  <si>
    <t>10U12UG05</t>
  </si>
  <si>
    <t>bracket, B2/B4</t>
  </si>
  <si>
    <t>10U12UG06</t>
  </si>
  <si>
    <t>bracket, B1/B3</t>
  </si>
  <si>
    <t>10U12UG07</t>
  </si>
  <si>
    <t>bracket, B3/B4</t>
  </si>
  <si>
    <t>10U12UG08</t>
  </si>
  <si>
    <t>bracket, A3/A4</t>
  </si>
  <si>
    <t>10U12UG09</t>
  </si>
  <si>
    <t>bracket, B1/B2</t>
  </si>
  <si>
    <t>10U12UG10</t>
  </si>
  <si>
    <t>bracket, A1/A2</t>
  </si>
  <si>
    <t>10U12UG11</t>
  </si>
  <si>
    <t>10U12UG12</t>
  </si>
  <si>
    <t>12U BOYS</t>
  </si>
  <si>
    <t>16 teams CUSTOM</t>
  </si>
  <si>
    <t>6 min. qrtrs.</t>
  </si>
  <si>
    <t>16+16</t>
  </si>
  <si>
    <t>3rdB-LAGUNA BEACH</t>
  </si>
  <si>
    <t>1stA-ORANGE COUNTY WPC A</t>
  </si>
  <si>
    <t>F1(1stB)-ROUTE 66</t>
  </si>
  <si>
    <t>G1(2ndB)-TROJAN</t>
  </si>
  <si>
    <t>3rdC-NORTH IRVINE RED</t>
  </si>
  <si>
    <t>2ndA-CMAC</t>
  </si>
  <si>
    <t>F2(1stC)-MISSION B</t>
  </si>
  <si>
    <t>G2(2ndC)-LAWPC</t>
  </si>
  <si>
    <t>3rdA-LA PREMIER</t>
  </si>
  <si>
    <t>1stE-ORANGE COUNTY WPC B</t>
  </si>
  <si>
    <t>2ndE-ORWP B</t>
  </si>
  <si>
    <t>3rdE-CDM</t>
  </si>
  <si>
    <t>12B01</t>
  </si>
  <si>
    <t>A bracket A1,A3 platinum 1st-3rd</t>
  </si>
  <si>
    <t>12B02</t>
  </si>
  <si>
    <t>B bracket B1,B3</t>
  </si>
  <si>
    <t>12B03</t>
  </si>
  <si>
    <t>E bracket E1,E3 silver 1st-3rd</t>
  </si>
  <si>
    <t>12B04</t>
  </si>
  <si>
    <t>A bracket A2,A3 platinum 1st-3rd</t>
  </si>
  <si>
    <t>12B05</t>
  </si>
  <si>
    <t>B bracket B2,B3</t>
  </si>
  <si>
    <t>12B06</t>
  </si>
  <si>
    <t>E bracket E2,E3 silver 1st-3rd</t>
  </si>
  <si>
    <t>12B07</t>
  </si>
  <si>
    <t>A bracket A1,A2 platinum 1st-3rd</t>
  </si>
  <si>
    <t>12B08</t>
  </si>
  <si>
    <t>B bracket B1,B2</t>
  </si>
  <si>
    <t>12B09</t>
  </si>
  <si>
    <t>E bracket E1,E2 silver 1st-3rd</t>
  </si>
  <si>
    <t>12B10</t>
  </si>
  <si>
    <t>C bracket C1,C3</t>
  </si>
  <si>
    <t>12B11</t>
  </si>
  <si>
    <t>W/L D1/D4</t>
  </si>
  <si>
    <t>12B12</t>
  </si>
  <si>
    <t>W/L D2/D3</t>
  </si>
  <si>
    <t>12B13</t>
  </si>
  <si>
    <t>C bracket C2,C3</t>
  </si>
  <si>
    <t>12B14</t>
  </si>
  <si>
    <t>3rd/4thD</t>
  </si>
  <si>
    <t>12B15</t>
  </si>
  <si>
    <t>1st/2ndD</t>
  </si>
  <si>
    <t>12B16</t>
  </si>
  <si>
    <t>C bracket C1,C2</t>
  </si>
  <si>
    <t>12B17</t>
  </si>
  <si>
    <t>G bracket G1,G3 gold 4th-6th</t>
  </si>
  <si>
    <t>12B18</t>
  </si>
  <si>
    <t>F bracket F1,F3 gold 1st-3rd</t>
  </si>
  <si>
    <t>12B21</t>
  </si>
  <si>
    <t>G bracket G2,G3 gold 4th-6th</t>
  </si>
  <si>
    <t>12B22</t>
  </si>
  <si>
    <t>F bracket F2,F3 gold 1st-3rd</t>
  </si>
  <si>
    <t>12B25</t>
  </si>
  <si>
    <t>G bracket G1,G2 gold 4th-6th</t>
  </si>
  <si>
    <t>12B26</t>
  </si>
  <si>
    <t>F bracket F1,F2 gold 1st-3rd</t>
  </si>
  <si>
    <t>12B19</t>
  </si>
  <si>
    <t>12B20</t>
  </si>
  <si>
    <t>12B23</t>
  </si>
  <si>
    <t>12B24</t>
  </si>
  <si>
    <t>12B27</t>
  </si>
  <si>
    <t>12B28</t>
  </si>
  <si>
    <t>12B29</t>
  </si>
  <si>
    <t>12B30</t>
  </si>
  <si>
    <t>12B31</t>
  </si>
  <si>
    <t>12B32</t>
  </si>
  <si>
    <t>12U BOYS PLATINUM</t>
  </si>
  <si>
    <t>Medals to Costa Mesa 2 Day 1</t>
  </si>
  <si>
    <t>ORANGE COUNTY WPC A</t>
  </si>
  <si>
    <t>LA PREMIER</t>
  </si>
  <si>
    <t>12U BOYS GOLD</t>
  </si>
  <si>
    <t>Medals to Woollett FAR RIGHT day 2</t>
  </si>
  <si>
    <t>MISSION B</t>
  </si>
  <si>
    <t>PEGASUS WPA BLU</t>
  </si>
  <si>
    <t>12U BOYS SILVER</t>
  </si>
  <si>
    <t>CDM</t>
  </si>
  <si>
    <t>12U COED</t>
  </si>
  <si>
    <t>7 teams</t>
  </si>
  <si>
    <t>B4-SET</t>
  </si>
  <si>
    <t>12C01</t>
  </si>
  <si>
    <t>A bracket A1,A3</t>
  </si>
  <si>
    <t>12U_COED</t>
  </si>
  <si>
    <t>12C02</t>
  </si>
  <si>
    <t>B bracket B1,B4</t>
  </si>
  <si>
    <t>12C03</t>
  </si>
  <si>
    <t>12C04</t>
  </si>
  <si>
    <t>A bracket A1,A2</t>
  </si>
  <si>
    <t>12C05</t>
  </si>
  <si>
    <t>12C06</t>
  </si>
  <si>
    <t>B bracket B2,B4</t>
  </si>
  <si>
    <t>12C07</t>
  </si>
  <si>
    <t>A bracket A2,A3</t>
  </si>
  <si>
    <t>12C08</t>
  </si>
  <si>
    <t>B bracket B3,B4</t>
  </si>
  <si>
    <t>12C09</t>
  </si>
  <si>
    <t>12C10</t>
  </si>
  <si>
    <t>5th-7th</t>
  </si>
  <si>
    <t>12C11</t>
  </si>
  <si>
    <t>1-4 semi</t>
  </si>
  <si>
    <t>12C12</t>
  </si>
  <si>
    <t>12C13</t>
  </si>
  <si>
    <t>12C14</t>
  </si>
  <si>
    <t>12C15</t>
  </si>
  <si>
    <t>12U COED GIRLS</t>
  </si>
  <si>
    <t>D1(1stA)-TRILOGY</t>
  </si>
  <si>
    <t>E1(2ndA)-PALOS VERDES</t>
  </si>
  <si>
    <t>F1(3rdA)-HEILAND</t>
  </si>
  <si>
    <t>D2(1stB)-VIKING</t>
  </si>
  <si>
    <t>E2(2ndB)-ARROYO GRANDE</t>
  </si>
  <si>
    <t>F2(3rdB)-SET</t>
  </si>
  <si>
    <t>D3(1stC)-INNIS ARDEN</t>
  </si>
  <si>
    <t>E3(2ndC)-LAGUNA BEACH GIRLS</t>
  </si>
  <si>
    <t>F3(3rdC)-CMAC GIRLS</t>
  </si>
  <si>
    <t>12GC01</t>
  </si>
  <si>
    <t>12GC02</t>
  </si>
  <si>
    <t>12GC03</t>
  </si>
  <si>
    <t>12GC04</t>
  </si>
  <si>
    <t>12GC05</t>
  </si>
  <si>
    <t>12GC06</t>
  </si>
  <si>
    <t>C bracket B2,B4 12U GIRLS 1st/2nd</t>
  </si>
  <si>
    <t>12GC07</t>
  </si>
  <si>
    <t>12GC08</t>
  </si>
  <si>
    <t>12GC09</t>
  </si>
  <si>
    <t>12GC10</t>
  </si>
  <si>
    <t>D bracket D1,D3 Coed 1st-3rd</t>
  </si>
  <si>
    <t>12GC11</t>
  </si>
  <si>
    <t>E bracket E1,E3 cross</t>
  </si>
  <si>
    <t>12GC12</t>
  </si>
  <si>
    <t>F bracket F1,F3 cross</t>
  </si>
  <si>
    <t>12GC13</t>
  </si>
  <si>
    <t>D bracket D2,D3 Coed 1st-3rd</t>
  </si>
  <si>
    <t>12GC14</t>
  </si>
  <si>
    <t>E bracket E2,E3 cross</t>
  </si>
  <si>
    <t>12GC15</t>
  </si>
  <si>
    <t>F bracket F2,F3 cross</t>
  </si>
  <si>
    <t>12GC16</t>
  </si>
  <si>
    <t>D bracket D1,D2 Coed 1st-3rd</t>
  </si>
  <si>
    <t>12GC17</t>
  </si>
  <si>
    <t>E bracket E1,E2 Coed 4th</t>
  </si>
  <si>
    <t>12GC18</t>
  </si>
  <si>
    <t>F bracket F1,F2 Coed 6th</t>
  </si>
  <si>
    <t>Medals to</t>
  </si>
  <si>
    <t>Laguna Hills Day 2</t>
  </si>
  <si>
    <t>12U GIRLS</t>
  </si>
  <si>
    <t>Laguna Hills Day 1</t>
  </si>
  <si>
    <t>14U BOYS SILVER</t>
  </si>
  <si>
    <t>16 teams</t>
  </si>
  <si>
    <t>14Bag01</t>
  </si>
  <si>
    <t>W/L A2/A3</t>
  </si>
  <si>
    <t>14Bag02</t>
  </si>
  <si>
    <t>W/L A1/A4</t>
  </si>
  <si>
    <t>14Bag03</t>
  </si>
  <si>
    <t>W/L C2/C3</t>
  </si>
  <si>
    <t>14Bag09</t>
  </si>
  <si>
    <t>14Bag10</t>
  </si>
  <si>
    <t>14Bag04</t>
  </si>
  <si>
    <t>W/L C1/C4</t>
  </si>
  <si>
    <t>14Bag05</t>
  </si>
  <si>
    <t>3rd/4thA</t>
  </si>
  <si>
    <t>14Bag06</t>
  </si>
  <si>
    <t>1st/2ndA</t>
  </si>
  <si>
    <t>14Bag11</t>
  </si>
  <si>
    <t>W/L B2/B3</t>
  </si>
  <si>
    <t>14Bag12</t>
  </si>
  <si>
    <t>W/L B1/B4</t>
  </si>
  <si>
    <t>14Bag13</t>
  </si>
  <si>
    <t>14Bag07</t>
  </si>
  <si>
    <t>3rd/4thC</t>
  </si>
  <si>
    <t>14Bag14</t>
  </si>
  <si>
    <t>14Bag08</t>
  </si>
  <si>
    <t>1st/2ndC</t>
  </si>
  <si>
    <t>14Bag15</t>
  </si>
  <si>
    <t>3rd/4thB</t>
  </si>
  <si>
    <t>14Bag16</t>
  </si>
  <si>
    <t>1st/2ndB</t>
  </si>
  <si>
    <t>14Bag27</t>
  </si>
  <si>
    <t>9-12 semi 3A/3D</t>
  </si>
  <si>
    <t>14Bag28</t>
  </si>
  <si>
    <t>9-12 semi 3B/3C</t>
  </si>
  <si>
    <t>14Bag21</t>
  </si>
  <si>
    <t>5-8 semi 2D/2A</t>
  </si>
  <si>
    <t>14Bag29</t>
  </si>
  <si>
    <t>13-16 semi</t>
  </si>
  <si>
    <t>14Bag30</t>
  </si>
  <si>
    <t>14Bag22</t>
  </si>
  <si>
    <t>5-8 semi 2C/2B</t>
  </si>
  <si>
    <t>14Bag19</t>
  </si>
  <si>
    <t>1-4 semi 1A/1D</t>
  </si>
  <si>
    <t>14Bag20</t>
  </si>
  <si>
    <t>1-4 semi 1B/1C</t>
  </si>
  <si>
    <t>14Bag25</t>
  </si>
  <si>
    <t>5th</t>
  </si>
  <si>
    <t>14Bag31</t>
  </si>
  <si>
    <t>9th</t>
  </si>
  <si>
    <t>14Bag26</t>
  </si>
  <si>
    <t>7th</t>
  </si>
  <si>
    <t>14Bag32</t>
  </si>
  <si>
    <t>11th</t>
  </si>
  <si>
    <t>14Bag34</t>
  </si>
  <si>
    <t>13th</t>
  </si>
  <si>
    <t>14Bag23</t>
  </si>
  <si>
    <t>14Bag33</t>
  </si>
  <si>
    <t>15th</t>
  </si>
  <si>
    <t>14Bag24</t>
  </si>
  <si>
    <t>Medals to Estancia 2 Day 2</t>
  </si>
  <si>
    <t>14Bau01</t>
  </si>
  <si>
    <t>14Bau02</t>
  </si>
  <si>
    <t>14Bau03</t>
  </si>
  <si>
    <t>14Bau04</t>
  </si>
  <si>
    <t>14Bau05</t>
  </si>
  <si>
    <t>14Bau07</t>
  </si>
  <si>
    <t>14Bau06</t>
  </si>
  <si>
    <t>14Bau08</t>
  </si>
  <si>
    <t>14Bau09</t>
  </si>
  <si>
    <t>3rd/4thA (7-1 LAWP)</t>
  </si>
  <si>
    <t>14Bau11</t>
  </si>
  <si>
    <t>14Bau10</t>
  </si>
  <si>
    <t>14Bau12</t>
  </si>
  <si>
    <t>14Bau13</t>
  </si>
  <si>
    <t>14Bau15</t>
  </si>
  <si>
    <t>14Bau14</t>
  </si>
  <si>
    <t>14Bau16</t>
  </si>
  <si>
    <t>14Bau29</t>
  </si>
  <si>
    <t>14Bau27</t>
  </si>
  <si>
    <t>14Bau30</t>
  </si>
  <si>
    <t>14Bau28</t>
  </si>
  <si>
    <t>14Bau21</t>
  </si>
  <si>
    <t>14Bau22</t>
  </si>
  <si>
    <t>14Bau19</t>
  </si>
  <si>
    <t>14Bau34</t>
  </si>
  <si>
    <t>14Bau33</t>
  </si>
  <si>
    <t>14Bau20</t>
  </si>
  <si>
    <t>14Bau25</t>
  </si>
  <si>
    <t>14Bau31</t>
  </si>
  <si>
    <t>14Bau26</t>
  </si>
  <si>
    <t>14Bau32</t>
  </si>
  <si>
    <t>14Bau23</t>
  </si>
  <si>
    <t>14Bau24</t>
  </si>
  <si>
    <t>Medals to San Juan Hills Day 2</t>
  </si>
  <si>
    <t>14U BOYS PLATINUM</t>
  </si>
  <si>
    <t>10 teams</t>
  </si>
  <si>
    <t>21 games</t>
  </si>
  <si>
    <t>10+11</t>
  </si>
  <si>
    <t>14Bpt01</t>
  </si>
  <si>
    <t>C bracket C1,C4</t>
  </si>
  <si>
    <t>14Bpt02</t>
  </si>
  <si>
    <t>14Bpt03</t>
  </si>
  <si>
    <t>14Bpt04</t>
  </si>
  <si>
    <t>14Bpt05</t>
  </si>
  <si>
    <t>14Bpt06</t>
  </si>
  <si>
    <t>14Bpt07</t>
  </si>
  <si>
    <t>C bracket C3,C4</t>
  </si>
  <si>
    <t>14Bpt08</t>
  </si>
  <si>
    <t>14Bpt09</t>
  </si>
  <si>
    <t>14Bpt10</t>
  </si>
  <si>
    <t>14Bpt11</t>
  </si>
  <si>
    <t>C bracket C2,C4</t>
  </si>
  <si>
    <t>14Bpt12</t>
  </si>
  <si>
    <t>14Bpt13</t>
  </si>
  <si>
    <t>2ndA-ORWP A</t>
  </si>
  <si>
    <t>3rdB-TROJAN CARDINAL</t>
  </si>
  <si>
    <t>5th-10th 2A/3B</t>
  </si>
  <si>
    <t>14Bpt14</t>
  </si>
  <si>
    <t>3rdA-ROUTE 66</t>
  </si>
  <si>
    <t>2ndB-PATRIOT RED</t>
  </si>
  <si>
    <t>5th-10th 3A/2B</t>
  </si>
  <si>
    <t>14Bpt15</t>
  </si>
  <si>
    <t>1stA-MISSION A</t>
  </si>
  <si>
    <t>2ndC-SAN DIEGO DONS</t>
  </si>
  <si>
    <t>1-4 semi 1A/2C</t>
  </si>
  <si>
    <t>14Bpt16</t>
  </si>
  <si>
    <t>1stB-NEWPORT BEACH BLUE</t>
  </si>
  <si>
    <t>1stC-VANGUARD BLUE</t>
  </si>
  <si>
    <t>14Bpt18</t>
  </si>
  <si>
    <t>3rdC-RANCHO TSUNAMI BLUE</t>
  </si>
  <si>
    <t>7th-10th</t>
  </si>
  <si>
    <t>14Bpt20</t>
  </si>
  <si>
    <t>14Bpt21</t>
  </si>
  <si>
    <t>14Bpt17</t>
  </si>
  <si>
    <t>14Bpt19</t>
  </si>
  <si>
    <t>4thC-DEVILS GATE</t>
  </si>
  <si>
    <t>Medals to Westminster Day 2</t>
  </si>
  <si>
    <t>14U GIRLS</t>
  </si>
  <si>
    <t>9 teams CUSTOM</t>
  </si>
  <si>
    <t>9+9</t>
  </si>
  <si>
    <t>D1(3rdA)-NORTH IRVINE</t>
  </si>
  <si>
    <t>E1(2ndA)-VIKING</t>
  </si>
  <si>
    <t>F1(1stA)-ROGUE 619</t>
  </si>
  <si>
    <t>D2(3rdB)-ELITE</t>
  </si>
  <si>
    <t>E2(2ndB)-SET</t>
  </si>
  <si>
    <t>F2(1stB)-PALOS VERDES BLACK</t>
  </si>
  <si>
    <t>D3(3rdC)-TROJAN</t>
  </si>
  <si>
    <t>E3(2ndC)-CV PREMIER</t>
  </si>
  <si>
    <t>F3(1stC)-INNIS ARDEN</t>
  </si>
  <si>
    <t>14G01</t>
  </si>
  <si>
    <t>C bracket silver 1st-3rd</t>
  </si>
  <si>
    <t>14G02</t>
  </si>
  <si>
    <t>B bracket gold 1st-3rd</t>
  </si>
  <si>
    <t>14G03</t>
  </si>
  <si>
    <t>A bracket platinum 1st-3rd</t>
  </si>
  <si>
    <t>14G04</t>
  </si>
  <si>
    <t>14G05</t>
  </si>
  <si>
    <t>14G06</t>
  </si>
  <si>
    <t>14G07</t>
  </si>
  <si>
    <t>14G08</t>
  </si>
  <si>
    <t>14G09</t>
  </si>
  <si>
    <t>14G10</t>
  </si>
  <si>
    <t>plat-gold-silver D1,D3</t>
  </si>
  <si>
    <t>14G11</t>
  </si>
  <si>
    <t>plat-gold-silver E1,E3</t>
  </si>
  <si>
    <t>14G12</t>
  </si>
  <si>
    <t>plat-gold-silver F1,F3</t>
  </si>
  <si>
    <t>14G13</t>
  </si>
  <si>
    <t>plat-gold-silver D2,D3</t>
  </si>
  <si>
    <t>14G14</t>
  </si>
  <si>
    <t>plat-gold-silver E2,E3</t>
  </si>
  <si>
    <t>14G15</t>
  </si>
  <si>
    <t>plat-gold-silver F2,F3</t>
  </si>
  <si>
    <t>14G16</t>
  </si>
  <si>
    <t>plat-gold-silver D1,D2</t>
  </si>
  <si>
    <t>14G17</t>
  </si>
  <si>
    <t>plat-gold-silver E1,E2</t>
  </si>
  <si>
    <t>14G18</t>
  </si>
  <si>
    <t>plat-gold-silver F1,F2</t>
  </si>
  <si>
    <t>14U GIRLS PLATINUM</t>
  </si>
  <si>
    <t>Medals to El Toro 1 Day 1</t>
  </si>
  <si>
    <t>maybe San Juan Hills check!</t>
  </si>
  <si>
    <t>14U GIRLS GOLD</t>
  </si>
  <si>
    <t>14U GIRLS SILVER</t>
  </si>
  <si>
    <t>16U BOYS SILVER</t>
  </si>
  <si>
    <t>7 min quarters</t>
  </si>
  <si>
    <t>16Bag01</t>
  </si>
  <si>
    <t>16Bag02</t>
  </si>
  <si>
    <t>16Bag03</t>
  </si>
  <si>
    <t>16Bag04</t>
  </si>
  <si>
    <t>16Bag05</t>
  </si>
  <si>
    <t>16Bag06</t>
  </si>
  <si>
    <t>16Bag07</t>
  </si>
  <si>
    <t>16Bag08</t>
  </si>
  <si>
    <t>16Bag09</t>
  </si>
  <si>
    <t>16Bag10</t>
  </si>
  <si>
    <t>16Bag11</t>
  </si>
  <si>
    <t>16Bag12</t>
  </si>
  <si>
    <t>16Bag13</t>
  </si>
  <si>
    <t>16Bag14</t>
  </si>
  <si>
    <t>16Bag15</t>
  </si>
  <si>
    <t>8 teams</t>
  </si>
  <si>
    <t>bracket, A2/A4</t>
  </si>
  <si>
    <t>bracket, A1/A3</t>
  </si>
  <si>
    <t>4thA-PALOS VERDES BLUE</t>
  </si>
  <si>
    <t>4thB-TITANS</t>
  </si>
  <si>
    <t>3rdA-SUPREME</t>
  </si>
  <si>
    <t>3rdB-SAN CLEMENTE BLACK</t>
  </si>
  <si>
    <t>2ndA-HIELAND</t>
  </si>
  <si>
    <t>2ndB-NORTH IRVINE 14 BLACK</t>
  </si>
  <si>
    <t>16Bag16</t>
  </si>
  <si>
    <t>1stA-CMAC</t>
  </si>
  <si>
    <t>1stB-TRILOGY WHITE</t>
  </si>
  <si>
    <t>Medals to Costa Mesa 1 Day 2</t>
  </si>
  <si>
    <t>16U BOYS PLATINUM GOLD</t>
  </si>
  <si>
    <t>11 teams CUSTOM</t>
  </si>
  <si>
    <t>7 min. qrtrs.</t>
  </si>
  <si>
    <t>11+11</t>
  </si>
  <si>
    <t>E Gold 1st-4th</t>
  </si>
  <si>
    <t>C1-PUGET SOUND POLO</t>
  </si>
  <si>
    <t>E1(1stB)-</t>
  </si>
  <si>
    <t>F1(3rdB)-</t>
  </si>
  <si>
    <t>D2(2ndA)-</t>
  </si>
  <si>
    <t>F2(4thB)-</t>
  </si>
  <si>
    <t>C3-TRILOGY BLACK</t>
  </si>
  <si>
    <t>D3(3rdA)-</t>
  </si>
  <si>
    <t>E3(1stC)-</t>
  </si>
  <si>
    <t>B4-ELITE</t>
  </si>
  <si>
    <t>C4-BREA OLINDA</t>
  </si>
  <si>
    <t>E4(2ndC)-</t>
  </si>
  <si>
    <t>F4(4thC)-</t>
  </si>
  <si>
    <t>16Bptau01</t>
  </si>
  <si>
    <t>16Bptau02</t>
  </si>
  <si>
    <t>16Bptau03</t>
  </si>
  <si>
    <t>16Bptau04</t>
  </si>
  <si>
    <t>16Bptau05</t>
  </si>
  <si>
    <t>16Bptau06</t>
  </si>
  <si>
    <t>16Bptau07</t>
  </si>
  <si>
    <t>16Bptau08</t>
  </si>
  <si>
    <t>16Bptau09</t>
  </si>
  <si>
    <t>16Bptau10</t>
  </si>
  <si>
    <t>16Bptau11</t>
  </si>
  <si>
    <t>16Bptau14</t>
  </si>
  <si>
    <t>16Bptau15</t>
  </si>
  <si>
    <t>16Bptau12</t>
  </si>
  <si>
    <t>16Bptau13</t>
  </si>
  <si>
    <t>16Bptau16</t>
  </si>
  <si>
    <t>16Bptau17</t>
  </si>
  <si>
    <t>16Bptau18</t>
  </si>
  <si>
    <t>16Bptau19</t>
  </si>
  <si>
    <t>16Bptau20</t>
  </si>
  <si>
    <t>GOLD 3rd</t>
  </si>
  <si>
    <t>16Bptau22</t>
  </si>
  <si>
    <t>16Bptau21</t>
  </si>
  <si>
    <t>GOLD 1st</t>
  </si>
  <si>
    <t>16Bptau23</t>
  </si>
  <si>
    <t>16U BOYS PLATINUM</t>
  </si>
  <si>
    <t>16U BOYS GOLD</t>
  </si>
  <si>
    <t>10 teams CUSTOM</t>
  </si>
  <si>
    <t>20 games</t>
  </si>
  <si>
    <t>10+10</t>
  </si>
  <si>
    <t>1stA-ORWP A</t>
  </si>
  <si>
    <t>3rdB-INNIS ARDEN</t>
  </si>
  <si>
    <t>1stB-ALAMEDA</t>
  </si>
  <si>
    <t>2ndA-CHANNEL ISLANDS UNITED BLUE</t>
  </si>
  <si>
    <t>3rdC-TRILOGY BLACK</t>
  </si>
  <si>
    <t>2ndB-TROJAN GOLD</t>
  </si>
  <si>
    <t>3rdA-DEVILS GATE</t>
  </si>
  <si>
    <t>4thC-ELITE</t>
  </si>
  <si>
    <t>1stC-VANGUARD SILVER</t>
  </si>
  <si>
    <t>2ndC-BREA OLINDA</t>
  </si>
  <si>
    <t>Gold 3rd</t>
  </si>
  <si>
    <t>Gold 1st</t>
  </si>
  <si>
    <t>Medals to Woollett NEAR RIGHT Day 1</t>
  </si>
  <si>
    <t>Medals to Woollett NEAR RIGHT Day 2</t>
  </si>
  <si>
    <t>19U BOYS SILVER</t>
  </si>
  <si>
    <t>5 teams</t>
  </si>
  <si>
    <t>5+5</t>
  </si>
  <si>
    <t>19Bag01</t>
  </si>
  <si>
    <t>A bracket 2/5</t>
  </si>
  <si>
    <t>19Bag02</t>
  </si>
  <si>
    <t>A bracket 1/3</t>
  </si>
  <si>
    <t>19Bag03</t>
  </si>
  <si>
    <t>A bracket 2/4</t>
  </si>
  <si>
    <t>19Bag04</t>
  </si>
  <si>
    <t>A bracket 3/5</t>
  </si>
  <si>
    <t>19Bag05</t>
  </si>
  <si>
    <t>A bracket 1/4</t>
  </si>
  <si>
    <t>19Bag06</t>
  </si>
  <si>
    <t>A bracket 2/3</t>
  </si>
  <si>
    <t>19Bag07</t>
  </si>
  <si>
    <t>A bracket 4/5</t>
  </si>
  <si>
    <t>19Bag08</t>
  </si>
  <si>
    <t>A bracket 1/2</t>
  </si>
  <si>
    <t>19Bag09</t>
  </si>
  <si>
    <t>A bracket 3/4</t>
  </si>
  <si>
    <t>19Bag10</t>
  </si>
  <si>
    <t>A bracket 1/5</t>
  </si>
  <si>
    <t>Medals to Estancia 1 Day 2 RR</t>
  </si>
  <si>
    <t>(6,15)</t>
  </si>
  <si>
    <t>(15,13)</t>
  </si>
  <si>
    <t>(6,12)</t>
  </si>
  <si>
    <t>(10,17)</t>
  </si>
  <si>
    <t>(4,12)</t>
  </si>
  <si>
    <t>(5,15)</t>
  </si>
  <si>
    <t>(12,6)</t>
  </si>
  <si>
    <t>(15,6)</t>
  </si>
  <si>
    <t>(19,3)</t>
  </si>
  <si>
    <t>(15,5)</t>
  </si>
  <si>
    <t>(20,9)</t>
  </si>
  <si>
    <t>(13,15)</t>
  </si>
  <si>
    <t>(8,19)</t>
  </si>
  <si>
    <t>(9,20)</t>
  </si>
  <si>
    <t>(12,4)</t>
  </si>
  <si>
    <t>(3,19)</t>
  </si>
  <si>
    <t>(19,8)</t>
  </si>
  <si>
    <t>(17,10)</t>
  </si>
  <si>
    <t>19U BOYS PLATINUM GOLD</t>
  </si>
  <si>
    <t>top 3 pt and top 3 au will medal</t>
  </si>
  <si>
    <t>D1(1stA)-SAND CANYON BLACK pt</t>
  </si>
  <si>
    <t>E1(2ndA)-VANGUARD SILVER</t>
  </si>
  <si>
    <t>F1(3rdA)-TSM B</t>
  </si>
  <si>
    <t>19Bptau01</t>
  </si>
  <si>
    <t>19Bptau02</t>
  </si>
  <si>
    <t>19Bptau03</t>
  </si>
  <si>
    <t>19Bptau04</t>
  </si>
  <si>
    <t>19Bptau05</t>
  </si>
  <si>
    <t>19Bptau06</t>
  </si>
  <si>
    <t>19Bptau07</t>
  </si>
  <si>
    <t>19Bptau08</t>
  </si>
  <si>
    <t>19Bptau10</t>
  </si>
  <si>
    <t>19Bptau09</t>
  </si>
  <si>
    <t>19Bptau11</t>
  </si>
  <si>
    <t>19Bptau12</t>
  </si>
  <si>
    <t>F1,F2 7th-11th</t>
  </si>
  <si>
    <t>19Bptau15</t>
  </si>
  <si>
    <t>E1,E3 4th-6th</t>
  </si>
  <si>
    <t>19Bptau13</t>
  </si>
  <si>
    <t>F3,F5 7th-11th</t>
  </si>
  <si>
    <t>19Bptau14</t>
  </si>
  <si>
    <t>D1,D3 1st-3rd</t>
  </si>
  <si>
    <t>19Bptau16</t>
  </si>
  <si>
    <t>F2,F4 7th-11th</t>
  </si>
  <si>
    <t>19Bptau19</t>
  </si>
  <si>
    <t>E2,E3 4th-6th</t>
  </si>
  <si>
    <t>19Bptau17</t>
  </si>
  <si>
    <t>F1,F3 7th-11th</t>
  </si>
  <si>
    <t>19Bptau18</t>
  </si>
  <si>
    <t>D2,D3 1st-3rd</t>
  </si>
  <si>
    <t>19Bptau20</t>
  </si>
  <si>
    <t>F4,F5 7th-11th</t>
  </si>
  <si>
    <t>19Bptau22</t>
  </si>
  <si>
    <t>E1,E2 4th-6th</t>
  </si>
  <si>
    <t>19Bptau21</t>
  </si>
  <si>
    <t>D1,D2 1st-3rd</t>
  </si>
  <si>
    <t>19U BOYS PLATINUM</t>
  </si>
  <si>
    <t>Medals to Woollett NEAR LEFT</t>
  </si>
  <si>
    <t>19U BOYS GOLD</t>
  </si>
  <si>
    <t>12 teams</t>
  </si>
  <si>
    <t>D1-PEAK POLO BOLTZ pt</t>
  </si>
  <si>
    <t>C2-SOUTH VALLEY</t>
  </si>
  <si>
    <t>D2-HIELAND</t>
  </si>
  <si>
    <t>B3-SAND CANYON RED</t>
  </si>
  <si>
    <t>C3-ROUTE 66</t>
  </si>
  <si>
    <t>D3-PUGET SOUND POLO</t>
  </si>
  <si>
    <t>D bracket D1,D3</t>
  </si>
  <si>
    <t>D bracket D2,D3</t>
  </si>
  <si>
    <t>D bracket D1,D2</t>
  </si>
  <si>
    <t>2ndD-</t>
  </si>
  <si>
    <t>5-8 semi</t>
  </si>
  <si>
    <t>2ndC-</t>
  </si>
  <si>
    <t>1stD-</t>
  </si>
  <si>
    <t>9-12 semi</t>
  </si>
  <si>
    <t>1stC-</t>
  </si>
  <si>
    <t>19Bptau23</t>
  </si>
  <si>
    <t>19Bptau24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</si>
</sst>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0.0"/>
    <numFmt numFmtId="166" formatCode="[$-409]d\-mmm;@"/>
  </numFmts>
  <fonts count="50"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8"/>
      <name val="Calibri"/>
      <family val="2"/>
      <scheme val="minor"/>
    </font>
    <font>
      <b/>
      <u/>
      <sz val="14"/>
      <color theme="1"/>
      <name val="Arial Narrow"/>
      <family val="2"/>
    </font>
    <font>
      <b/>
      <sz val="14"/>
      <color rgb="FFFF0000"/>
      <name val="Arial Narrow"/>
      <family val="2"/>
    </font>
    <font>
      <b/>
      <sz val="14"/>
      <color theme="9"/>
      <name val="Arial Narrow"/>
      <family val="2"/>
    </font>
    <font>
      <b/>
      <u/>
      <sz val="14"/>
      <color theme="4"/>
      <name val="Arial Narrow"/>
      <family val="2"/>
    </font>
    <font>
      <b/>
      <sz val="14"/>
      <color theme="4"/>
      <name val="Arial Narrow"/>
      <family val="2"/>
    </font>
    <font>
      <b/>
      <u/>
      <sz val="14"/>
      <color theme="7" tint="-0.249977111117893"/>
      <name val="Arial Narrow"/>
      <family val="2"/>
    </font>
    <font>
      <b/>
      <sz val="14"/>
      <color theme="7" tint="-0.249977111117893"/>
      <name val="Arial Narrow"/>
      <family val="2"/>
    </font>
    <font>
      <b/>
      <u/>
      <sz val="14"/>
      <color theme="9" tint="-0.249977111117893"/>
      <name val="Arial Narrow"/>
      <family val="2"/>
    </font>
    <font>
      <b/>
      <sz val="14"/>
      <color theme="9" tint="-0.249977111117893"/>
      <name val="Arial Narrow"/>
      <family val="2"/>
    </font>
    <font>
      <b/>
      <sz val="14"/>
      <color theme="0"/>
      <name val="Arial Narrow"/>
      <family val="2"/>
    </font>
    <font>
      <b/>
      <sz val="14"/>
      <color theme="5"/>
      <name val="Arial Narrow"/>
      <family val="2"/>
    </font>
    <font>
      <sz val="11"/>
      <color theme="1"/>
      <name val="Calibri"/>
      <family val="2"/>
      <scheme val="minor"/>
    </font>
    <font>
      <b/>
      <sz val="14"/>
      <name val="Arial Narrow"/>
      <family val="2"/>
    </font>
    <font>
      <sz val="14"/>
      <name val="Arial Narrow"/>
      <family val="2"/>
    </font>
    <font>
      <sz val="10"/>
      <name val="Verdana"/>
      <family val="2"/>
    </font>
    <font>
      <b/>
      <sz val="14"/>
      <color rgb="FFFFC000"/>
      <name val="Arial Narrow"/>
      <family val="2"/>
    </font>
    <font>
      <b/>
      <sz val="14"/>
      <color theme="7"/>
      <name val="Arial Narrow"/>
      <family val="2"/>
    </font>
    <font>
      <sz val="14"/>
      <color theme="1"/>
      <name val="Arial Narrow"/>
      <family val="2"/>
    </font>
    <font>
      <b/>
      <sz val="14"/>
      <color rgb="FF000000"/>
      <name val="Arial Narrow"/>
      <family val="2"/>
    </font>
    <font>
      <b/>
      <sz val="14"/>
      <color rgb="FF7030A0"/>
      <name val="Arial Narrow"/>
      <family val="2"/>
    </font>
    <font>
      <b/>
      <sz val="14"/>
      <color rgb="FF92D050"/>
      <name val="Arial Narrow"/>
      <family val="2"/>
    </font>
    <font>
      <b/>
      <u/>
      <sz val="14"/>
      <name val="Arial Narrow"/>
      <family val="2"/>
    </font>
    <font>
      <u/>
      <sz val="11"/>
      <color theme="10"/>
      <name val="Calibri"/>
      <family val="2"/>
      <scheme val="minor"/>
    </font>
    <font>
      <b/>
      <u/>
      <sz val="14"/>
      <color theme="0"/>
      <name val="Arial Narrow"/>
      <family val="2"/>
    </font>
    <font>
      <b/>
      <u/>
      <sz val="14"/>
      <color rgb="FFE53358"/>
      <name val="Arial Narrow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u/>
      <sz val="14"/>
      <color rgb="FF000000"/>
      <name val="Arial Narrow"/>
      <family val="2"/>
    </font>
    <font>
      <sz val="14"/>
      <color rgb="FF444444"/>
      <name val="Calibri"/>
      <family val="2"/>
      <charset val="1"/>
    </font>
    <font>
      <b/>
      <u/>
      <sz val="14"/>
      <color rgb="FFFF0000"/>
      <name val="Arial Narrow"/>
      <family val="2"/>
    </font>
    <font>
      <b/>
      <sz val="14"/>
      <name val="Arial"/>
      <family val="2"/>
    </font>
    <font>
      <b/>
      <i/>
      <u/>
      <sz val="14"/>
      <color theme="1"/>
      <name val="Arial Narrow"/>
      <family val="2"/>
    </font>
    <font>
      <b/>
      <sz val="14"/>
      <color rgb="FFFFFF00"/>
      <name val="Arial Narrow"/>
      <family val="2"/>
    </font>
    <font>
      <b/>
      <i/>
      <u/>
      <sz val="14"/>
      <name val="Arial Narrow"/>
      <family val="2"/>
    </font>
    <font>
      <b/>
      <i/>
      <u/>
      <sz val="14"/>
      <color theme="0"/>
      <name val="Arial Narrow"/>
      <family val="2"/>
    </font>
    <font>
      <b/>
      <i/>
      <u/>
      <sz val="14"/>
      <color rgb="FFFF0000"/>
      <name val="Arial Narrow"/>
      <family val="2"/>
    </font>
    <font>
      <b/>
      <sz val="14"/>
      <color rgb="FF00B050"/>
      <name val="Arial Narrow"/>
      <family val="2"/>
    </font>
    <font>
      <b/>
      <sz val="14"/>
      <name val="Arial Narrow"/>
    </font>
    <font>
      <sz val="14"/>
      <name val="Arial Narrow"/>
    </font>
    <font>
      <b/>
      <sz val="14"/>
      <color theme="8"/>
      <name val="Arial Narrow"/>
      <family val="2"/>
    </font>
    <font>
      <b/>
      <sz val="14"/>
      <color theme="5" tint="-0.249977111117893"/>
      <name val="Arial Narrow"/>
      <family val="2"/>
    </font>
    <font>
      <b/>
      <sz val="14"/>
      <color rgb="FF002060"/>
      <name val="Arial Narrow"/>
      <family val="2"/>
    </font>
    <font>
      <b/>
      <sz val="14"/>
      <color theme="4" tint="0.39997558519241921"/>
      <name val="Arial Narrow"/>
      <family val="2"/>
    </font>
    <font>
      <b/>
      <sz val="14"/>
      <color theme="6" tint="-0.249977111117893"/>
      <name val="Arial Narrow"/>
      <family val="2"/>
    </font>
    <font>
      <b/>
      <u/>
      <sz val="14"/>
      <color theme="0"/>
      <name val="Arial Narrow"/>
    </font>
    <font>
      <b/>
      <sz val="14"/>
      <color rgb="FFFF0000"/>
      <name val="Arial Narrow"/>
    </font>
    <font>
      <b/>
      <sz val="14"/>
      <color theme="6"/>
      <name val="Arial Narrow"/>
      <family val="2"/>
    </font>
  </fonts>
  <fills count="3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6699FF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6699"/>
        <bgColor rgb="FF000000"/>
      </patternFill>
    </fill>
    <fill>
      <patternFill patternType="solid">
        <fgColor rgb="FF83C9B8"/>
        <bgColor rgb="FF000000"/>
      </patternFill>
    </fill>
    <fill>
      <patternFill patternType="solid">
        <fgColor rgb="FF0C769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8217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C7D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4" fillId="0" borderId="0"/>
    <xf numFmtId="0" fontId="17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7" fillId="0" borderId="0"/>
  </cellStyleXfs>
  <cellXfs count="19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15" fillId="12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2" fillId="15" borderId="1" xfId="1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5" fillId="18" borderId="1" xfId="1" applyFont="1" applyFill="1" applyBorder="1" applyAlignment="1">
      <alignment horizontal="center" vertical="center"/>
    </xf>
    <xf numFmtId="0" fontId="12" fillId="19" borderId="1" xfId="1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" fillId="21" borderId="1" xfId="1" applyFont="1" applyFill="1" applyBorder="1" applyAlignment="1">
      <alignment horizontal="center" vertical="center"/>
    </xf>
    <xf numFmtId="0" fontId="12" fillId="22" borderId="1" xfId="1" applyFont="1" applyFill="1" applyBorder="1" applyAlignment="1">
      <alignment horizontal="center" vertical="center"/>
    </xf>
    <xf numFmtId="18" fontId="1" fillId="21" borderId="1" xfId="1" applyNumberFormat="1" applyFont="1" applyFill="1" applyBorder="1" applyAlignment="1">
      <alignment horizontal="center" vertical="center"/>
    </xf>
    <xf numFmtId="0" fontId="12" fillId="23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8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18" fontId="1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0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0" fillId="0" borderId="1" xfId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164" fontId="15" fillId="11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6" fillId="20" borderId="3" xfId="3" applyFont="1" applyFill="1" applyBorder="1" applyAlignment="1">
      <alignment horizontal="center" vertical="center"/>
    </xf>
    <xf numFmtId="0" fontId="26" fillId="24" borderId="3" xfId="4" applyFont="1" applyFill="1" applyBorder="1" applyAlignment="1">
      <alignment horizontal="center" vertical="center"/>
    </xf>
    <xf numFmtId="0" fontId="26" fillId="25" borderId="1" xfId="3" applyFont="1" applyFill="1" applyBorder="1" applyAlignment="1">
      <alignment horizontal="center" vertical="center"/>
    </xf>
    <xf numFmtId="0" fontId="27" fillId="7" borderId="1" xfId="1" applyFont="1" applyFill="1" applyBorder="1" applyAlignment="1">
      <alignment horizontal="center" vertical="center"/>
    </xf>
    <xf numFmtId="0" fontId="28" fillId="0" borderId="1" xfId="0" applyFont="1" applyBorder="1"/>
    <xf numFmtId="0" fontId="28" fillId="0" borderId="4" xfId="0" applyFont="1" applyBorder="1"/>
    <xf numFmtId="164" fontId="12" fillId="10" borderId="1" xfId="0" applyNumberFormat="1" applyFont="1" applyFill="1" applyBorder="1" applyAlignment="1">
      <alignment horizontal="center" vertical="center"/>
    </xf>
    <xf numFmtId="16" fontId="12" fillId="10" borderId="1" xfId="0" applyNumberFormat="1" applyFont="1" applyFill="1" applyBorder="1" applyAlignment="1">
      <alignment horizontal="center" vertical="center"/>
    </xf>
    <xf numFmtId="0" fontId="29" fillId="0" borderId="1" xfId="0" applyFont="1" applyBorder="1"/>
    <xf numFmtId="0" fontId="30" fillId="0" borderId="1" xfId="0" applyFont="1" applyBorder="1" applyAlignment="1">
      <alignment horizontal="center" vertical="center"/>
    </xf>
    <xf numFmtId="164" fontId="30" fillId="0" borderId="1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31" fillId="0" borderId="0" xfId="0" applyFont="1"/>
    <xf numFmtId="164" fontId="15" fillId="12" borderId="1" xfId="0" applyNumberFormat="1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166" fontId="15" fillId="0" borderId="1" xfId="2" applyNumberFormat="1" applyFont="1" applyBorder="1" applyAlignment="1">
      <alignment horizontal="center" vertical="center"/>
    </xf>
    <xf numFmtId="18" fontId="12" fillId="15" borderId="1" xfId="1" applyNumberFormat="1" applyFont="1" applyFill="1" applyBorder="1" applyAlignment="1">
      <alignment horizontal="center" vertical="center"/>
    </xf>
    <xf numFmtId="166" fontId="12" fillId="15" borderId="1" xfId="1" applyNumberFormat="1" applyFont="1" applyFill="1" applyBorder="1" applyAlignment="1">
      <alignment horizontal="center" vertical="center"/>
    </xf>
    <xf numFmtId="165" fontId="12" fillId="15" borderId="1" xfId="1" applyNumberFormat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24" fillId="0" borderId="1" xfId="2" applyNumberFormat="1" applyFont="1" applyBorder="1" applyAlignment="1">
      <alignment horizontal="center" vertical="center"/>
    </xf>
    <xf numFmtId="0" fontId="32" fillId="7" borderId="1" xfId="0" applyFont="1" applyFill="1" applyBorder="1" applyAlignment="1">
      <alignment horizontal="center"/>
    </xf>
    <xf numFmtId="0" fontId="24" fillId="0" borderId="1" xfId="2" applyFont="1" applyBorder="1" applyAlignment="1">
      <alignment horizontal="center" vertical="center"/>
    </xf>
    <xf numFmtId="164" fontId="15" fillId="13" borderId="1" xfId="0" applyNumberFormat="1" applyFont="1" applyFill="1" applyBorder="1" applyAlignment="1">
      <alignment horizontal="center" vertical="center"/>
    </xf>
    <xf numFmtId="16" fontId="15" fillId="13" borderId="1" xfId="0" applyNumberFormat="1" applyFont="1" applyFill="1" applyBorder="1" applyAlignment="1">
      <alignment horizontal="center" vertical="center"/>
    </xf>
    <xf numFmtId="18" fontId="12" fillId="23" borderId="1" xfId="1" applyNumberFormat="1" applyFont="1" applyFill="1" applyBorder="1" applyAlignment="1">
      <alignment horizontal="center" vertical="center"/>
    </xf>
    <xf numFmtId="166" fontId="12" fillId="23" borderId="1" xfId="1" applyNumberFormat="1" applyFont="1" applyFill="1" applyBorder="1" applyAlignment="1">
      <alignment horizontal="center" vertical="center"/>
    </xf>
    <xf numFmtId="0" fontId="12" fillId="26" borderId="1" xfId="1" applyFont="1" applyFill="1" applyBorder="1" applyAlignment="1">
      <alignment horizontal="center" vertical="center"/>
    </xf>
    <xf numFmtId="165" fontId="12" fillId="23" borderId="1" xfId="1" applyNumberFormat="1" applyFont="1" applyFill="1" applyBorder="1" applyAlignment="1">
      <alignment horizontal="center" vertical="center"/>
    </xf>
    <xf numFmtId="166" fontId="1" fillId="21" borderId="1" xfId="1" applyNumberFormat="1" applyFont="1" applyFill="1" applyBorder="1" applyAlignment="1">
      <alignment horizontal="center" vertical="center"/>
    </xf>
    <xf numFmtId="165" fontId="1" fillId="21" borderId="1" xfId="1" applyNumberFormat="1" applyFont="1" applyFill="1" applyBorder="1" applyAlignment="1">
      <alignment horizontal="center" vertical="center"/>
    </xf>
    <xf numFmtId="18" fontId="12" fillId="20" borderId="1" xfId="0" applyNumberFormat="1" applyFont="1" applyFill="1" applyBorder="1" applyAlignment="1">
      <alignment horizontal="center" vertical="center"/>
    </xf>
    <xf numFmtId="16" fontId="12" fillId="20" borderId="1" xfId="0" applyNumberFormat="1" applyFont="1" applyFill="1" applyBorder="1" applyAlignment="1">
      <alignment horizontal="center" vertical="center"/>
    </xf>
    <xf numFmtId="18" fontId="1" fillId="0" borderId="1" xfId="1" applyNumberFormat="1" applyFont="1" applyBorder="1" applyAlignment="1">
      <alignment horizontal="center" vertical="center"/>
    </xf>
    <xf numFmtId="16" fontId="1" fillId="0" borderId="1" xfId="1" applyNumberFormat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8" fontId="1" fillId="2" borderId="1" xfId="1" applyNumberFormat="1" applyFont="1" applyFill="1" applyBorder="1" applyAlignment="1">
      <alignment horizontal="center" vertical="center"/>
    </xf>
    <xf numFmtId="16" fontId="1" fillId="2" borderId="1" xfId="1" applyNumberFormat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24" fillId="0" borderId="1" xfId="5" applyFont="1" applyBorder="1" applyAlignment="1">
      <alignment horizontal="center" vertical="center"/>
    </xf>
    <xf numFmtId="164" fontId="1" fillId="17" borderId="1" xfId="0" applyNumberFormat="1" applyFont="1" applyFill="1" applyBorder="1" applyAlignment="1">
      <alignment horizontal="center" vertical="center"/>
    </xf>
    <xf numFmtId="18" fontId="1" fillId="17" borderId="1" xfId="0" applyNumberFormat="1" applyFont="1" applyFill="1" applyBorder="1" applyAlignment="1">
      <alignment horizontal="center" vertical="center"/>
    </xf>
    <xf numFmtId="16" fontId="1" fillId="17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15" fillId="16" borderId="1" xfId="0" applyNumberFormat="1" applyFont="1" applyFill="1" applyBorder="1" applyAlignment="1">
      <alignment horizontal="center" vertical="center"/>
    </xf>
    <xf numFmtId="16" fontId="15" fillId="16" borderId="1" xfId="0" applyNumberFormat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/>
    </xf>
    <xf numFmtId="0" fontId="12" fillId="27" borderId="1" xfId="1" applyFont="1" applyFill="1" applyBorder="1" applyAlignment="1">
      <alignment horizontal="center" vertical="center"/>
    </xf>
    <xf numFmtId="166" fontId="15" fillId="0" borderId="1" xfId="1" applyNumberFormat="1" applyFont="1" applyBorder="1" applyAlignment="1">
      <alignment horizontal="center" vertical="center"/>
    </xf>
    <xf numFmtId="0" fontId="15" fillId="2" borderId="1" xfId="1" applyFont="1" applyFill="1" applyBorder="1" applyAlignment="1">
      <alignment horizontal="center"/>
    </xf>
    <xf numFmtId="166" fontId="15" fillId="2" borderId="1" xfId="1" applyNumberFormat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18" fontId="12" fillId="22" borderId="1" xfId="1" applyNumberFormat="1" applyFont="1" applyFill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164" fontId="24" fillId="0" borderId="1" xfId="1" applyNumberFormat="1" applyFont="1" applyBorder="1" applyAlignment="1">
      <alignment horizontal="center" vertical="center"/>
    </xf>
    <xf numFmtId="0" fontId="24" fillId="7" borderId="1" xfId="0" applyFont="1" applyFill="1" applyBorder="1" applyAlignment="1">
      <alignment horizontal="center"/>
    </xf>
    <xf numFmtId="166" fontId="24" fillId="0" borderId="1" xfId="1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8" fontId="15" fillId="18" borderId="1" xfId="1" applyNumberFormat="1" applyFont="1" applyFill="1" applyBorder="1" applyAlignment="1">
      <alignment horizontal="center" vertical="center"/>
    </xf>
    <xf numFmtId="16" fontId="15" fillId="18" borderId="1" xfId="1" applyNumberFormat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20" fillId="2" borderId="1" xfId="1" applyFont="1" applyFill="1" applyBorder="1" applyAlignment="1">
      <alignment horizontal="center" vertical="center"/>
    </xf>
    <xf numFmtId="0" fontId="30" fillId="2" borderId="1" xfId="1" applyFont="1" applyFill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8" fontId="30" fillId="0" borderId="1" xfId="1" applyNumberFormat="1" applyFont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66" fontId="15" fillId="2" borderId="4" xfId="1" applyNumberFormat="1" applyFont="1" applyFill="1" applyBorder="1" applyAlignment="1">
      <alignment horizontal="center" vertical="center"/>
    </xf>
    <xf numFmtId="164" fontId="15" fillId="2" borderId="4" xfId="1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166" fontId="15" fillId="0" borderId="4" xfId="1" applyNumberFormat="1" applyFont="1" applyBorder="1" applyAlignment="1">
      <alignment horizontal="center" vertical="center"/>
    </xf>
    <xf numFmtId="164" fontId="15" fillId="0" borderId="4" xfId="1" applyNumberFormat="1" applyFont="1" applyBorder="1" applyAlignment="1">
      <alignment horizontal="center" vertical="center"/>
    </xf>
    <xf numFmtId="166" fontId="12" fillId="19" borderId="1" xfId="1" applyNumberFormat="1" applyFont="1" applyFill="1" applyBorder="1" applyAlignment="1">
      <alignment horizontal="center" vertical="center"/>
    </xf>
    <xf numFmtId="18" fontId="12" fillId="19" borderId="1" xfId="1" applyNumberFormat="1" applyFont="1" applyFill="1" applyBorder="1" applyAlignment="1">
      <alignment horizontal="center" vertical="center"/>
    </xf>
    <xf numFmtId="166" fontId="12" fillId="22" borderId="1" xfId="1" applyNumberFormat="1" applyFont="1" applyFill="1" applyBorder="1" applyAlignment="1">
      <alignment horizontal="center" vertical="center"/>
    </xf>
    <xf numFmtId="165" fontId="12" fillId="22" borderId="1" xfId="1" applyNumberFormat="1" applyFont="1" applyFill="1" applyBorder="1" applyAlignment="1">
      <alignment horizontal="center" vertical="center"/>
    </xf>
    <xf numFmtId="16" fontId="15" fillId="12" borderId="1" xfId="0" applyNumberFormat="1" applyFont="1" applyFill="1" applyBorder="1" applyAlignment="1">
      <alignment horizontal="center" vertical="center"/>
    </xf>
    <xf numFmtId="165" fontId="15" fillId="12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/>
    </xf>
    <xf numFmtId="18" fontId="35" fillId="23" borderId="1" xfId="1" applyNumberFormat="1" applyFont="1" applyFill="1" applyBorder="1" applyAlignment="1">
      <alignment horizontal="center" vertical="center"/>
    </xf>
    <xf numFmtId="0" fontId="35" fillId="23" borderId="1" xfId="1" applyFont="1" applyFill="1" applyBorder="1" applyAlignment="1">
      <alignment horizontal="center" vertical="center"/>
    </xf>
    <xf numFmtId="18" fontId="12" fillId="10" borderId="1" xfId="0" applyNumberFormat="1" applyFont="1" applyFill="1" applyBorder="1" applyAlignment="1">
      <alignment horizontal="center" vertical="center"/>
    </xf>
    <xf numFmtId="16" fontId="15" fillId="11" borderId="1" xfId="0" applyNumberFormat="1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center" vertical="center"/>
    </xf>
    <xf numFmtId="0" fontId="37" fillId="20" borderId="1" xfId="0" applyFont="1" applyFill="1" applyBorder="1" applyAlignment="1">
      <alignment horizontal="center" vertical="center"/>
    </xf>
    <xf numFmtId="0" fontId="15" fillId="29" borderId="1" xfId="0" applyFont="1" applyFill="1" applyBorder="1" applyAlignment="1">
      <alignment horizontal="center" vertical="center"/>
    </xf>
    <xf numFmtId="16" fontId="12" fillId="22" borderId="1" xfId="0" applyNumberFormat="1" applyFont="1" applyFill="1" applyBorder="1" applyAlignment="1">
      <alignment horizontal="center" vertical="center"/>
    </xf>
    <xf numFmtId="18" fontId="12" fillId="22" borderId="1" xfId="0" applyNumberFormat="1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5" fillId="16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2" fillId="23" borderId="4" xfId="1" applyFont="1" applyFill="1" applyBorder="1" applyAlignment="1">
      <alignment horizontal="center" vertical="center"/>
    </xf>
    <xf numFmtId="0" fontId="12" fillId="15" borderId="4" xfId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/>
    <xf numFmtId="1" fontId="12" fillId="23" borderId="1" xfId="1" applyNumberFormat="1" applyFont="1" applyFill="1" applyBorder="1" applyAlignment="1">
      <alignment horizontal="center" vertical="center"/>
    </xf>
    <xf numFmtId="1" fontId="12" fillId="15" borderId="1" xfId="1" applyNumberFormat="1" applyFont="1" applyFill="1" applyBorder="1" applyAlignment="1">
      <alignment horizontal="center" vertical="center"/>
    </xf>
    <xf numFmtId="1" fontId="1" fillId="21" borderId="1" xfId="1" applyNumberFormat="1" applyFont="1" applyFill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4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4" fillId="0" borderId="1" xfId="1" applyFont="1" applyBorder="1" applyAlignment="1">
      <alignment horizontal="center" vertical="center"/>
    </xf>
    <xf numFmtId="0" fontId="45" fillId="0" borderId="1" xfId="1" applyFont="1" applyBorder="1" applyAlignment="1">
      <alignment horizontal="center" vertical="center"/>
    </xf>
    <xf numFmtId="0" fontId="46" fillId="0" borderId="1" xfId="1" applyFont="1" applyBorder="1" applyAlignment="1">
      <alignment horizontal="center" vertical="center"/>
    </xf>
    <xf numFmtId="0" fontId="18" fillId="28" borderId="1" xfId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18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13" borderId="1" xfId="0" applyFont="1" applyFill="1" applyBorder="1" applyAlignment="1">
      <alignment horizontal="center" vertical="center"/>
    </xf>
    <xf numFmtId="0" fontId="4" fillId="21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7" fillId="25" borderId="1" xfId="3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9" fillId="0" borderId="1" xfId="1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</cellXfs>
  <cellStyles count="6">
    <cellStyle name="Hyperlink" xfId="3" builtinId="8"/>
    <cellStyle name="Hyperlink 2" xfId="4" xr:uid="{9D363DEA-F25B-4F02-B748-C1A94AAD652B}"/>
    <cellStyle name="Normal" xfId="0" builtinId="0"/>
    <cellStyle name="Normal 2 2 2 2 2" xfId="1" xr:uid="{217EE1D8-44B5-46D9-B3A0-A6BAC5CE66BF}"/>
    <cellStyle name="Normal 2 6" xfId="2" xr:uid="{51264C30-6C01-4660-A72F-BBAFB4CDF5E8}"/>
    <cellStyle name="Normal 3" xfId="5" xr:uid="{5A869A81-8CD1-41E8-A4FF-E19390C14D73}"/>
  </cellStyles>
  <dxfs count="0"/>
  <tableStyles count="0" defaultTableStyle="TableStyleMedium2" defaultPivotStyle="PivotStyleLight16"/>
  <colors>
    <mruColors>
      <color rgb="FF782170"/>
      <color rgb="FFD9D9D9"/>
      <color rgb="FFCAEDFB"/>
      <color rgb="FFF2CEEF"/>
      <color rgb="FF0C76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turbooccup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turbooccup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turbooccup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turbooccup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turbooccup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turbooccup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turbooccup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turbooccup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turbooccup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turbooccup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turbooccup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4"/>
  <sheetViews>
    <sheetView topLeftCell="A7" workbookViewId="0">
      <selection activeCell="D14" sqref="D14"/>
    </sheetView>
  </sheetViews>
  <sheetFormatPr defaultColWidth="8.7109375" defaultRowHeight="18"/>
  <cols>
    <col min="1" max="1" width="38.5703125" style="1" customWidth="1"/>
    <col min="2" max="2" width="55" style="1" bestFit="1" customWidth="1"/>
    <col min="3" max="3" width="8.28515625" style="1" customWidth="1"/>
    <col min="4" max="4" width="39.85546875" style="1" bestFit="1" customWidth="1"/>
    <col min="5" max="6" width="37.42578125" style="1" customWidth="1"/>
    <col min="7" max="7" width="33.42578125" style="1" customWidth="1"/>
    <col min="8" max="8" width="32.85546875" style="1" customWidth="1"/>
    <col min="9" max="9" width="32.42578125" style="1" customWidth="1"/>
    <col min="10" max="10" width="8.7109375" style="1"/>
    <col min="11" max="11" width="31" style="1" bestFit="1" customWidth="1"/>
    <col min="12" max="12" width="8.7109375" style="1"/>
    <col min="13" max="13" width="32" style="1" customWidth="1"/>
    <col min="14" max="14" width="33.42578125" style="1" customWidth="1"/>
    <col min="15" max="16384" width="8.7109375" style="1"/>
  </cols>
  <sheetData>
    <row r="1" spans="1:9">
      <c r="A1" s="3" t="s">
        <v>0</v>
      </c>
      <c r="B1" s="3" t="s">
        <v>1</v>
      </c>
    </row>
    <row r="2" spans="1:9">
      <c r="A2" s="5" t="s">
        <v>2</v>
      </c>
      <c r="B2" s="4" t="s">
        <v>3</v>
      </c>
      <c r="D2" s="3" t="s">
        <v>4</v>
      </c>
      <c r="E2" s="3" t="s">
        <v>5</v>
      </c>
    </row>
    <row r="3" spans="1:9">
      <c r="A3" s="1" t="s">
        <v>6</v>
      </c>
      <c r="B3" s="1" t="s">
        <v>7</v>
      </c>
      <c r="D3" s="1" t="s">
        <v>8</v>
      </c>
      <c r="E3" s="1" t="s">
        <v>9</v>
      </c>
    </row>
    <row r="4" spans="1:9">
      <c r="A4" s="1" t="s">
        <v>6</v>
      </c>
      <c r="B4" s="1" t="s">
        <v>10</v>
      </c>
      <c r="D4" s="1" t="s">
        <v>11</v>
      </c>
      <c r="E4" s="1" t="s">
        <v>12</v>
      </c>
    </row>
    <row r="5" spans="1:9">
      <c r="A5" s="1" t="s">
        <v>6</v>
      </c>
      <c r="B5" s="1" t="s">
        <v>13</v>
      </c>
      <c r="D5" s="1" t="s">
        <v>14</v>
      </c>
      <c r="E5" s="1" t="s">
        <v>15</v>
      </c>
    </row>
    <row r="6" spans="1:9">
      <c r="A6" s="1" t="s">
        <v>6</v>
      </c>
      <c r="B6" s="1" t="s">
        <v>16</v>
      </c>
      <c r="E6" s="1" t="s">
        <v>17</v>
      </c>
    </row>
    <row r="7" spans="1:9">
      <c r="A7" s="1" t="s">
        <v>18</v>
      </c>
      <c r="B7" s="1" t="s">
        <v>19</v>
      </c>
    </row>
    <row r="8" spans="1:9">
      <c r="A8" s="1" t="s">
        <v>18</v>
      </c>
      <c r="B8" s="1" t="s">
        <v>20</v>
      </c>
    </row>
    <row r="9" spans="1:9">
      <c r="A9" s="1" t="s">
        <v>18</v>
      </c>
      <c r="B9" s="1" t="s">
        <v>21</v>
      </c>
      <c r="C9" s="1">
        <v>7</v>
      </c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5" t="s">
        <v>22</v>
      </c>
      <c r="B11" s="4" t="s">
        <v>23</v>
      </c>
      <c r="D11" s="3" t="s">
        <v>24</v>
      </c>
      <c r="E11" s="3"/>
    </row>
    <row r="12" spans="1:9">
      <c r="A12" s="1" t="s">
        <v>25</v>
      </c>
      <c r="B12" s="1" t="s">
        <v>26</v>
      </c>
      <c r="D12" s="1" t="s">
        <v>27</v>
      </c>
    </row>
    <row r="13" spans="1:9">
      <c r="A13" s="1" t="s">
        <v>25</v>
      </c>
      <c r="B13" s="1" t="s">
        <v>28</v>
      </c>
      <c r="D13" s="1" t="s">
        <v>29</v>
      </c>
    </row>
    <row r="14" spans="1:9">
      <c r="A14" s="1" t="s">
        <v>25</v>
      </c>
      <c r="B14" s="1" t="s">
        <v>30</v>
      </c>
      <c r="D14" s="1" t="s">
        <v>31</v>
      </c>
    </row>
    <row r="15" spans="1:9">
      <c r="A15" s="1" t="s">
        <v>25</v>
      </c>
      <c r="B15" s="1" t="s">
        <v>32</v>
      </c>
      <c r="C15" s="1">
        <v>4</v>
      </c>
      <c r="D15" s="1" t="s">
        <v>33</v>
      </c>
    </row>
    <row r="17" spans="1:14">
      <c r="B17" s="4" t="s">
        <v>23</v>
      </c>
      <c r="D17" s="3" t="s">
        <v>34</v>
      </c>
    </row>
    <row r="18" spans="1:14">
      <c r="A18" s="1" t="s">
        <v>35</v>
      </c>
      <c r="B18" s="1" t="s">
        <v>36</v>
      </c>
      <c r="D18" s="1" t="s">
        <v>37</v>
      </c>
    </row>
    <row r="19" spans="1:14">
      <c r="A19" s="1" t="s">
        <v>35</v>
      </c>
      <c r="B19" s="1" t="s">
        <v>38</v>
      </c>
      <c r="D19" s="1" t="s">
        <v>39</v>
      </c>
      <c r="M19" s="1" t="e">
        <f>#REF!</f>
        <v>#REF!</v>
      </c>
      <c r="N19" s="1" t="e">
        <f>#REF!</f>
        <v>#REF!</v>
      </c>
    </row>
    <row r="20" spans="1:14">
      <c r="A20" s="1" t="s">
        <v>35</v>
      </c>
      <c r="B20" s="1" t="s">
        <v>40</v>
      </c>
      <c r="D20" s="1" t="s">
        <v>41</v>
      </c>
      <c r="M20" s="1" t="e">
        <f>#REF!</f>
        <v>#REF!</v>
      </c>
      <c r="N20" s="1" t="e">
        <f>#REF!</f>
        <v>#REF!</v>
      </c>
    </row>
    <row r="21" spans="1:14">
      <c r="A21" s="1" t="s">
        <v>35</v>
      </c>
      <c r="B21" s="1" t="s">
        <v>42</v>
      </c>
      <c r="C21" s="1">
        <v>4</v>
      </c>
      <c r="D21" s="1" t="s">
        <v>43</v>
      </c>
    </row>
    <row r="23" spans="1:14">
      <c r="B23" s="4" t="s">
        <v>44</v>
      </c>
      <c r="D23" s="3" t="s">
        <v>45</v>
      </c>
    </row>
    <row r="24" spans="1:14">
      <c r="A24" s="1" t="s">
        <v>46</v>
      </c>
      <c r="B24" s="1" t="s">
        <v>47</v>
      </c>
      <c r="D24" s="1" t="s">
        <v>48</v>
      </c>
    </row>
    <row r="25" spans="1:14">
      <c r="A25" s="1" t="s">
        <v>46</v>
      </c>
      <c r="B25" s="1" t="s">
        <v>49</v>
      </c>
      <c r="D25" s="1" t="s">
        <v>50</v>
      </c>
    </row>
    <row r="26" spans="1:14">
      <c r="A26" s="1" t="s">
        <v>46</v>
      </c>
      <c r="B26" s="1" t="s">
        <v>51</v>
      </c>
      <c r="D26" s="1" t="s">
        <v>52</v>
      </c>
    </row>
    <row r="27" spans="1:14">
      <c r="A27" s="1" t="s">
        <v>46</v>
      </c>
      <c r="B27" s="1" t="s">
        <v>53</v>
      </c>
      <c r="D27" s="1" t="s">
        <v>54</v>
      </c>
      <c r="M27" s="1" t="e">
        <f>#REF!</f>
        <v>#REF!</v>
      </c>
      <c r="N27" s="1" t="e">
        <f>#REF!</f>
        <v>#REF!</v>
      </c>
    </row>
    <row r="28" spans="1:14">
      <c r="C28" s="1">
        <v>4</v>
      </c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M29" s="1" t="e">
        <f>#REF!</f>
        <v>#REF!</v>
      </c>
      <c r="N29" s="1" t="e">
        <f>#REF!</f>
        <v>#REF!</v>
      </c>
    </row>
    <row r="30" spans="1:14">
      <c r="A30" s="5" t="s">
        <v>55</v>
      </c>
      <c r="B30" s="4" t="s">
        <v>56</v>
      </c>
      <c r="M30" s="19" t="e">
        <f>#REF!</f>
        <v>#REF!</v>
      </c>
      <c r="N30" s="19" t="e">
        <f>#REF!</f>
        <v>#REF!</v>
      </c>
    </row>
    <row r="31" spans="1:14">
      <c r="A31" s="1" t="s">
        <v>57</v>
      </c>
      <c r="B31" s="1" t="s">
        <v>58</v>
      </c>
      <c r="M31" s="1" t="e">
        <f>#REF!</f>
        <v>#REF!</v>
      </c>
      <c r="N31" s="1" t="e">
        <f>#REF!</f>
        <v>#REF!</v>
      </c>
    </row>
    <row r="32" spans="1:14">
      <c r="A32" s="1" t="s">
        <v>57</v>
      </c>
      <c r="B32" s="1" t="s">
        <v>59</v>
      </c>
      <c r="M32" s="1" t="e">
        <f>#REF!</f>
        <v>#REF!</v>
      </c>
      <c r="N32" s="1" t="e">
        <f>#REF!</f>
        <v>#REF!</v>
      </c>
    </row>
    <row r="33" spans="1:9">
      <c r="A33" s="1" t="s">
        <v>57</v>
      </c>
      <c r="B33" s="1" t="s">
        <v>60</v>
      </c>
      <c r="D33" s="6" t="s">
        <v>61</v>
      </c>
      <c r="E33" s="10" t="s">
        <v>62</v>
      </c>
      <c r="F33" s="10" t="s">
        <v>63</v>
      </c>
      <c r="G33" s="10" t="s">
        <v>64</v>
      </c>
      <c r="H33" s="8" t="s">
        <v>65</v>
      </c>
    </row>
    <row r="34" spans="1:9">
      <c r="D34" s="7" t="s">
        <v>66</v>
      </c>
      <c r="E34" s="11" t="s">
        <v>67</v>
      </c>
      <c r="F34" s="11" t="s">
        <v>68</v>
      </c>
      <c r="G34" s="11" t="s">
        <v>69</v>
      </c>
      <c r="H34" s="9" t="s">
        <v>70</v>
      </c>
    </row>
    <row r="35" spans="1:9">
      <c r="D35" s="7" t="s">
        <v>71</v>
      </c>
      <c r="E35" s="11" t="s">
        <v>72</v>
      </c>
      <c r="F35" s="11" t="s">
        <v>73</v>
      </c>
      <c r="G35" s="11" t="s">
        <v>74</v>
      </c>
      <c r="H35" s="9" t="s">
        <v>75</v>
      </c>
    </row>
    <row r="36" spans="1:9">
      <c r="A36" s="1" t="s">
        <v>76</v>
      </c>
      <c r="B36" s="1" t="s">
        <v>77</v>
      </c>
      <c r="D36" s="7" t="s">
        <v>78</v>
      </c>
      <c r="E36" s="11" t="s">
        <v>79</v>
      </c>
      <c r="F36" s="11" t="s">
        <v>80</v>
      </c>
      <c r="G36" s="11" t="s">
        <v>81</v>
      </c>
      <c r="H36" s="9" t="s">
        <v>82</v>
      </c>
    </row>
    <row r="37" spans="1:9">
      <c r="A37" s="1" t="s">
        <v>76</v>
      </c>
      <c r="B37" s="1" t="s">
        <v>83</v>
      </c>
      <c r="E37" s="11"/>
      <c r="F37" s="11"/>
      <c r="G37" s="11" t="s">
        <v>84</v>
      </c>
    </row>
    <row r="38" spans="1:9">
      <c r="A38" s="1" t="s">
        <v>76</v>
      </c>
      <c r="B38" s="1" t="s">
        <v>85</v>
      </c>
      <c r="H38" s="1" t="s">
        <v>86</v>
      </c>
    </row>
    <row r="39" spans="1:9">
      <c r="A39" s="1" t="s">
        <v>76</v>
      </c>
      <c r="B39" s="1" t="s">
        <v>87</v>
      </c>
    </row>
    <row r="40" spans="1:9">
      <c r="A40" s="1" t="s">
        <v>76</v>
      </c>
      <c r="B40" s="1" t="s">
        <v>88</v>
      </c>
      <c r="H40" s="16" t="str">
        <f>D43</f>
        <v>2ndA-</v>
      </c>
      <c r="I40" s="1" t="str">
        <f>G43</f>
        <v>3rdD-</v>
      </c>
    </row>
    <row r="41" spans="1:9">
      <c r="A41" s="1" t="s">
        <v>76</v>
      </c>
      <c r="B41" s="1" t="s">
        <v>89</v>
      </c>
      <c r="E41" s="10" t="s">
        <v>90</v>
      </c>
      <c r="F41" s="10" t="s">
        <v>91</v>
      </c>
      <c r="G41" s="1" t="s">
        <v>92</v>
      </c>
      <c r="H41" s="17" t="str">
        <f>D47</f>
        <v>2ndE-</v>
      </c>
      <c r="I41" s="12" t="str">
        <f>G44</f>
        <v>4thD-</v>
      </c>
    </row>
    <row r="42" spans="1:9">
      <c r="A42" s="1" t="s">
        <v>76</v>
      </c>
      <c r="B42" s="1" t="s">
        <v>93</v>
      </c>
      <c r="D42" s="7" t="s">
        <v>94</v>
      </c>
      <c r="E42" s="11" t="s">
        <v>95</v>
      </c>
      <c r="F42" s="11" t="s">
        <v>96</v>
      </c>
      <c r="G42" s="1" t="s">
        <v>97</v>
      </c>
      <c r="H42" s="13" t="str">
        <f>D42</f>
        <v>1stA-</v>
      </c>
      <c r="I42" s="14" t="str">
        <f>G41</f>
        <v>3rdB-</v>
      </c>
    </row>
    <row r="43" spans="1:9">
      <c r="A43" s="1" t="s">
        <v>76</v>
      </c>
      <c r="B43" s="1" t="s">
        <v>98</v>
      </c>
      <c r="D43" s="7" t="s">
        <v>99</v>
      </c>
      <c r="E43" s="11" t="s">
        <v>100</v>
      </c>
      <c r="F43" s="11" t="s">
        <v>101</v>
      </c>
      <c r="G43" s="1" t="s">
        <v>102</v>
      </c>
      <c r="H43" s="16" t="str">
        <f>D43</f>
        <v>2ndA-</v>
      </c>
      <c r="I43" s="18" t="str">
        <f>D46</f>
        <v>1stE-</v>
      </c>
    </row>
    <row r="44" spans="1:9">
      <c r="A44" s="1" t="s">
        <v>76</v>
      </c>
      <c r="B44" s="1" t="s">
        <v>103</v>
      </c>
      <c r="D44" s="7" t="s">
        <v>104</v>
      </c>
      <c r="E44" s="11" t="s">
        <v>105</v>
      </c>
      <c r="F44" s="11" t="s">
        <v>106</v>
      </c>
      <c r="G44" s="1" t="s">
        <v>107</v>
      </c>
      <c r="H44" s="1" t="str">
        <f>D48</f>
        <v>3rdE-</v>
      </c>
      <c r="I44" s="12" t="str">
        <f>G44</f>
        <v>4thD-</v>
      </c>
    </row>
    <row r="45" spans="1:9">
      <c r="A45" s="1" t="s">
        <v>76</v>
      </c>
      <c r="B45" s="1" t="s">
        <v>108</v>
      </c>
      <c r="H45" s="13" t="str">
        <f>D42</f>
        <v>1stA-</v>
      </c>
      <c r="I45" s="15" t="str">
        <f>G42</f>
        <v>3rdC-</v>
      </c>
    </row>
    <row r="46" spans="1:9">
      <c r="D46" s="9" t="s">
        <v>109</v>
      </c>
      <c r="H46" s="17" t="str">
        <f>D47</f>
        <v>2ndE-</v>
      </c>
      <c r="I46" s="1" t="str">
        <f>G43</f>
        <v>3rdD-</v>
      </c>
    </row>
    <row r="47" spans="1:9">
      <c r="D47" s="9" t="s">
        <v>110</v>
      </c>
      <c r="H47" s="1" t="str">
        <f>D44</f>
        <v>3rdA-</v>
      </c>
      <c r="I47" s="18" t="str">
        <f>D46</f>
        <v>1stE-</v>
      </c>
    </row>
    <row r="48" spans="1:9">
      <c r="A48" s="1" t="s">
        <v>111</v>
      </c>
      <c r="B48" s="1" t="s">
        <v>112</v>
      </c>
      <c r="D48" s="9" t="s">
        <v>113</v>
      </c>
      <c r="H48" s="14" t="str">
        <f>G41</f>
        <v>3rdB-</v>
      </c>
      <c r="I48" s="15" t="str">
        <f>G42</f>
        <v>3rdC-</v>
      </c>
    </row>
    <row r="49" spans="1:9">
      <c r="A49" s="1" t="s">
        <v>111</v>
      </c>
      <c r="B49" s="1" t="s">
        <v>114</v>
      </c>
      <c r="H49" s="1" t="str">
        <f>D44</f>
        <v>3rdA-</v>
      </c>
      <c r="I49" s="1" t="str">
        <f>D48</f>
        <v>3rdE-</v>
      </c>
    </row>
    <row r="50" spans="1:9">
      <c r="A50" s="1" t="s">
        <v>111</v>
      </c>
      <c r="B50" s="1" t="s">
        <v>115</v>
      </c>
      <c r="C50" s="1">
        <v>16</v>
      </c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161" t="s">
        <v>116</v>
      </c>
      <c r="B52" s="1" t="s">
        <v>117</v>
      </c>
      <c r="D52" s="3" t="s">
        <v>118</v>
      </c>
      <c r="E52" s="3" t="s">
        <v>119</v>
      </c>
      <c r="F52" s="53" t="s">
        <v>120</v>
      </c>
    </row>
    <row r="53" spans="1:9">
      <c r="A53" s="1" t="s">
        <v>116</v>
      </c>
      <c r="B53" s="1" t="s">
        <v>121</v>
      </c>
      <c r="D53" s="1" t="s">
        <v>122</v>
      </c>
      <c r="E53" s="1" t="s">
        <v>123</v>
      </c>
      <c r="F53" s="57" t="s">
        <v>124</v>
      </c>
    </row>
    <row r="54" spans="1:9">
      <c r="A54" s="1" t="s">
        <v>116</v>
      </c>
      <c r="B54" s="1" t="s">
        <v>125</v>
      </c>
      <c r="D54" s="1" t="s">
        <v>126</v>
      </c>
      <c r="E54" s="1" t="s">
        <v>127</v>
      </c>
      <c r="F54" s="57" t="s">
        <v>128</v>
      </c>
    </row>
    <row r="55" spans="1:9">
      <c r="A55" s="1" t="s">
        <v>116</v>
      </c>
      <c r="B55" s="1" t="s">
        <v>129</v>
      </c>
      <c r="D55" s="1" t="s">
        <v>130</v>
      </c>
      <c r="E55" s="1" t="s">
        <v>131</v>
      </c>
      <c r="F55" s="57" t="s">
        <v>132</v>
      </c>
    </row>
    <row r="56" spans="1:9">
      <c r="A56" s="1" t="s">
        <v>116</v>
      </c>
      <c r="B56" s="1" t="s">
        <v>133</v>
      </c>
      <c r="F56" s="57"/>
    </row>
    <row r="57" spans="1:9">
      <c r="A57" s="1" t="s">
        <v>116</v>
      </c>
      <c r="B57" s="1" t="s">
        <v>134</v>
      </c>
      <c r="D57" s="3" t="s">
        <v>135</v>
      </c>
      <c r="E57" s="3" t="s">
        <v>136</v>
      </c>
      <c r="F57" s="53" t="s">
        <v>137</v>
      </c>
    </row>
    <row r="58" spans="1:9">
      <c r="A58" s="1" t="s">
        <v>116</v>
      </c>
      <c r="B58" s="1" t="s">
        <v>21</v>
      </c>
      <c r="D58" s="1" t="s">
        <v>138</v>
      </c>
      <c r="E58" s="1" t="s">
        <v>139</v>
      </c>
      <c r="F58" s="1" t="s">
        <v>140</v>
      </c>
    </row>
    <row r="59" spans="1:9">
      <c r="A59" s="1" t="s">
        <v>116</v>
      </c>
      <c r="B59" s="1" t="s">
        <v>141</v>
      </c>
      <c r="D59" s="1" t="s">
        <v>142</v>
      </c>
      <c r="E59" s="1" t="s">
        <v>143</v>
      </c>
      <c r="F59" s="1" t="s">
        <v>144</v>
      </c>
    </row>
    <row r="60" spans="1:9">
      <c r="A60" s="1" t="s">
        <v>116</v>
      </c>
      <c r="B60" s="1" t="s">
        <v>145</v>
      </c>
      <c r="C60" s="1">
        <v>9</v>
      </c>
      <c r="D60" s="1" t="s">
        <v>146</v>
      </c>
      <c r="E60" s="1" t="s">
        <v>147</v>
      </c>
      <c r="F60" s="1" t="s">
        <v>148</v>
      </c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1" t="s">
        <v>149</v>
      </c>
      <c r="B62" s="1" t="s">
        <v>150</v>
      </c>
      <c r="D62" s="3" t="s">
        <v>118</v>
      </c>
      <c r="E62" s="3" t="s">
        <v>119</v>
      </c>
      <c r="F62" s="3" t="s">
        <v>120</v>
      </c>
      <c r="G62" s="3" t="s">
        <v>135</v>
      </c>
    </row>
    <row r="63" spans="1:9">
      <c r="A63" s="1" t="s">
        <v>149</v>
      </c>
      <c r="B63" s="1" t="s">
        <v>151</v>
      </c>
      <c r="D63" s="1" t="s">
        <v>152</v>
      </c>
      <c r="E63" s="1" t="s">
        <v>153</v>
      </c>
      <c r="F63" s="1" t="s">
        <v>154</v>
      </c>
      <c r="G63" s="1" t="s">
        <v>155</v>
      </c>
    </row>
    <row r="64" spans="1:9">
      <c r="A64" s="1" t="s">
        <v>149</v>
      </c>
      <c r="B64" s="1" t="s">
        <v>156</v>
      </c>
      <c r="D64" s="1" t="s">
        <v>157</v>
      </c>
      <c r="E64" s="1" t="s">
        <v>158</v>
      </c>
      <c r="F64" s="1" t="s">
        <v>159</v>
      </c>
      <c r="G64" s="1" t="s">
        <v>160</v>
      </c>
    </row>
    <row r="65" spans="1:9">
      <c r="A65" s="1" t="s">
        <v>149</v>
      </c>
      <c r="B65" s="1" t="s">
        <v>161</v>
      </c>
      <c r="D65" s="1" t="s">
        <v>162</v>
      </c>
      <c r="E65" s="1" t="s">
        <v>163</v>
      </c>
      <c r="F65" s="1" t="s">
        <v>164</v>
      </c>
      <c r="G65" s="1" t="s">
        <v>165</v>
      </c>
    </row>
    <row r="66" spans="1:9">
      <c r="A66" s="1" t="s">
        <v>149</v>
      </c>
      <c r="B66" s="1" t="s">
        <v>166</v>
      </c>
      <c r="D66" s="1" t="s">
        <v>167</v>
      </c>
      <c r="E66" s="1" t="s">
        <v>168</v>
      </c>
      <c r="F66" s="1" t="s">
        <v>169</v>
      </c>
      <c r="G66" s="1" t="s">
        <v>170</v>
      </c>
    </row>
    <row r="67" spans="1:9">
      <c r="A67" s="1" t="s">
        <v>149</v>
      </c>
      <c r="B67" s="1" t="s">
        <v>171</v>
      </c>
    </row>
    <row r="68" spans="1:9">
      <c r="A68" s="1" t="s">
        <v>149</v>
      </c>
      <c r="B68" s="1" t="s">
        <v>172</v>
      </c>
    </row>
    <row r="69" spans="1:9">
      <c r="A69" s="1" t="s">
        <v>149</v>
      </c>
      <c r="B69" s="1" t="s">
        <v>173</v>
      </c>
    </row>
    <row r="70" spans="1:9">
      <c r="A70" s="1" t="s">
        <v>149</v>
      </c>
      <c r="B70" s="1" t="s">
        <v>174</v>
      </c>
    </row>
    <row r="71" spans="1:9">
      <c r="A71" s="1" t="s">
        <v>149</v>
      </c>
      <c r="B71" s="1" t="s">
        <v>175</v>
      </c>
    </row>
    <row r="72" spans="1:9">
      <c r="A72" s="1" t="s">
        <v>149</v>
      </c>
      <c r="B72" s="1" t="s">
        <v>176</v>
      </c>
    </row>
    <row r="73" spans="1:9">
      <c r="A73" s="1" t="s">
        <v>149</v>
      </c>
      <c r="B73" s="1" t="s">
        <v>177</v>
      </c>
    </row>
    <row r="74" spans="1:9">
      <c r="A74" s="1" t="s">
        <v>149</v>
      </c>
      <c r="B74" s="1" t="s">
        <v>133</v>
      </c>
    </row>
    <row r="75" spans="1:9">
      <c r="A75" s="1" t="s">
        <v>149</v>
      </c>
      <c r="B75" s="1" t="s">
        <v>178</v>
      </c>
    </row>
    <row r="76" spans="1:9">
      <c r="A76" s="1" t="s">
        <v>149</v>
      </c>
      <c r="B76" s="1" t="s">
        <v>179</v>
      </c>
    </row>
    <row r="77" spans="1:9">
      <c r="A77" s="1" t="s">
        <v>149</v>
      </c>
      <c r="B77" s="1" t="s">
        <v>180</v>
      </c>
      <c r="C77" s="1">
        <v>16</v>
      </c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1" t="s">
        <v>181</v>
      </c>
      <c r="B79" s="1" t="s">
        <v>182</v>
      </c>
      <c r="D79" s="3" t="s">
        <v>118</v>
      </c>
      <c r="E79" s="3" t="s">
        <v>119</v>
      </c>
      <c r="F79" s="3" t="s">
        <v>120</v>
      </c>
      <c r="G79" s="3" t="s">
        <v>135</v>
      </c>
    </row>
    <row r="80" spans="1:9">
      <c r="A80" s="1" t="s">
        <v>181</v>
      </c>
      <c r="B80" s="1" t="s">
        <v>183</v>
      </c>
      <c r="D80" s="1" t="s">
        <v>184</v>
      </c>
      <c r="E80" s="1" t="s">
        <v>185</v>
      </c>
      <c r="F80" s="1" t="s">
        <v>186</v>
      </c>
      <c r="G80" s="1" t="s">
        <v>187</v>
      </c>
    </row>
    <row r="81" spans="1:9">
      <c r="A81" s="1" t="s">
        <v>181</v>
      </c>
      <c r="B81" s="1" t="s">
        <v>121</v>
      </c>
      <c r="D81" s="1" t="s">
        <v>188</v>
      </c>
      <c r="E81" s="1" t="s">
        <v>189</v>
      </c>
      <c r="F81" s="1" t="s">
        <v>190</v>
      </c>
      <c r="G81" s="1" t="s">
        <v>191</v>
      </c>
    </row>
    <row r="82" spans="1:9">
      <c r="A82" s="1" t="s">
        <v>181</v>
      </c>
      <c r="B82" s="1" t="s">
        <v>192</v>
      </c>
      <c r="D82" s="1" t="s">
        <v>193</v>
      </c>
      <c r="E82" s="1" t="s">
        <v>194</v>
      </c>
      <c r="F82" s="1" t="s">
        <v>195</v>
      </c>
      <c r="G82" s="1" t="s">
        <v>196</v>
      </c>
    </row>
    <row r="83" spans="1:9">
      <c r="A83" s="1" t="s">
        <v>181</v>
      </c>
      <c r="B83" s="1" t="s">
        <v>197</v>
      </c>
      <c r="D83" s="1" t="s">
        <v>198</v>
      </c>
      <c r="E83" s="1" t="s">
        <v>199</v>
      </c>
      <c r="F83" s="1" t="s">
        <v>200</v>
      </c>
      <c r="G83" s="1" t="s">
        <v>201</v>
      </c>
    </row>
    <row r="84" spans="1:9">
      <c r="A84" s="1" t="s">
        <v>181</v>
      </c>
      <c r="B84" s="1" t="s">
        <v>202</v>
      </c>
    </row>
    <row r="85" spans="1:9">
      <c r="A85" s="1" t="s">
        <v>181</v>
      </c>
      <c r="B85" s="1" t="s">
        <v>10</v>
      </c>
    </row>
    <row r="86" spans="1:9">
      <c r="A86" s="1" t="s">
        <v>181</v>
      </c>
      <c r="B86" s="1" t="s">
        <v>203</v>
      </c>
    </row>
    <row r="87" spans="1:9">
      <c r="A87" s="1" t="s">
        <v>181</v>
      </c>
      <c r="B87" s="1" t="s">
        <v>204</v>
      </c>
    </row>
    <row r="88" spans="1:9">
      <c r="A88" s="1" t="s">
        <v>181</v>
      </c>
      <c r="B88" s="1" t="s">
        <v>205</v>
      </c>
    </row>
    <row r="89" spans="1:9">
      <c r="A89" s="1" t="s">
        <v>181</v>
      </c>
      <c r="B89" s="1" t="s">
        <v>206</v>
      </c>
    </row>
    <row r="90" spans="1:9">
      <c r="A90" s="1" t="s">
        <v>181</v>
      </c>
      <c r="B90" s="1" t="s">
        <v>207</v>
      </c>
    </row>
    <row r="91" spans="1:9">
      <c r="A91" s="1" t="s">
        <v>181</v>
      </c>
      <c r="B91" s="1" t="s">
        <v>208</v>
      </c>
    </row>
    <row r="92" spans="1:9">
      <c r="A92" s="1" t="s">
        <v>181</v>
      </c>
      <c r="B92" s="1" t="s">
        <v>209</v>
      </c>
    </row>
    <row r="93" spans="1:9">
      <c r="A93" s="1" t="s">
        <v>181</v>
      </c>
      <c r="B93" s="1" t="s">
        <v>210</v>
      </c>
    </row>
    <row r="94" spans="1:9">
      <c r="A94" s="1" t="s">
        <v>181</v>
      </c>
      <c r="B94" s="1" t="s">
        <v>211</v>
      </c>
      <c r="C94" s="1">
        <v>16</v>
      </c>
    </row>
    <row r="95" spans="1:9">
      <c r="A95" s="2"/>
      <c r="B95" s="2"/>
      <c r="C95" s="2"/>
      <c r="D95" s="2"/>
      <c r="E95" s="2"/>
      <c r="F95" s="2"/>
      <c r="G95" s="2"/>
      <c r="H95" s="2"/>
      <c r="I95" s="2"/>
    </row>
    <row r="96" spans="1:9">
      <c r="A96" s="1" t="s">
        <v>212</v>
      </c>
      <c r="B96" s="1" t="s">
        <v>213</v>
      </c>
      <c r="D96" s="3" t="s">
        <v>118</v>
      </c>
      <c r="E96" s="3" t="s">
        <v>119</v>
      </c>
      <c r="F96" s="3" t="s">
        <v>120</v>
      </c>
    </row>
    <row r="97" spans="1:9">
      <c r="A97" s="1" t="s">
        <v>212</v>
      </c>
      <c r="B97" s="1" t="s">
        <v>214</v>
      </c>
      <c r="D97" s="1" t="s">
        <v>215</v>
      </c>
      <c r="E97" s="1" t="s">
        <v>216</v>
      </c>
      <c r="F97" s="1" t="s">
        <v>217</v>
      </c>
    </row>
    <row r="98" spans="1:9">
      <c r="A98" s="1" t="s">
        <v>212</v>
      </c>
      <c r="B98" s="1" t="s">
        <v>218</v>
      </c>
      <c r="D98" s="1" t="s">
        <v>219</v>
      </c>
      <c r="E98" s="1" t="s">
        <v>220</v>
      </c>
      <c r="F98" s="1" t="s">
        <v>221</v>
      </c>
    </row>
    <row r="99" spans="1:9">
      <c r="A99" s="1" t="s">
        <v>212</v>
      </c>
      <c r="B99" s="1" t="s">
        <v>13</v>
      </c>
      <c r="D99" s="1" t="s">
        <v>222</v>
      </c>
      <c r="E99" s="1" t="s">
        <v>223</v>
      </c>
      <c r="F99" s="1" t="s">
        <v>224</v>
      </c>
    </row>
    <row r="100" spans="1:9">
      <c r="A100" s="1" t="s">
        <v>212</v>
      </c>
      <c r="B100" s="1" t="s">
        <v>225</v>
      </c>
      <c r="F100" s="1" t="s">
        <v>226</v>
      </c>
    </row>
    <row r="101" spans="1:9">
      <c r="A101" s="1" t="s">
        <v>212</v>
      </c>
      <c r="B101" s="1" t="s">
        <v>227</v>
      </c>
    </row>
    <row r="102" spans="1:9">
      <c r="A102" s="1" t="s">
        <v>212</v>
      </c>
      <c r="B102" s="1" t="s">
        <v>228</v>
      </c>
    </row>
    <row r="103" spans="1:9">
      <c r="A103" s="1" t="s">
        <v>212</v>
      </c>
      <c r="B103" s="1" t="s">
        <v>229</v>
      </c>
    </row>
    <row r="104" spans="1:9">
      <c r="A104" s="1" t="s">
        <v>212</v>
      </c>
      <c r="B104" s="1" t="s">
        <v>230</v>
      </c>
    </row>
    <row r="105" spans="1:9">
      <c r="A105" s="1" t="s">
        <v>212</v>
      </c>
      <c r="B105" s="1" t="s">
        <v>231</v>
      </c>
      <c r="C105" s="1">
        <v>10</v>
      </c>
    </row>
    <row r="106" spans="1:9">
      <c r="A106" s="2"/>
      <c r="B106" s="2"/>
      <c r="C106" s="2"/>
      <c r="D106" s="2"/>
      <c r="E106" s="2"/>
      <c r="F106" s="2"/>
      <c r="G106" s="2"/>
      <c r="H106" s="2"/>
      <c r="I106" s="2"/>
    </row>
    <row r="107" spans="1:9">
      <c r="A107" s="5" t="s">
        <v>232</v>
      </c>
      <c r="B107" s="4" t="s">
        <v>233</v>
      </c>
      <c r="D107" s="3" t="s">
        <v>61</v>
      </c>
      <c r="E107" s="3" t="s">
        <v>234</v>
      </c>
      <c r="F107" s="3" t="s">
        <v>235</v>
      </c>
    </row>
    <row r="108" spans="1:9">
      <c r="A108" s="1" t="s">
        <v>236</v>
      </c>
      <c r="B108" s="1" t="s">
        <v>237</v>
      </c>
      <c r="D108" s="1" t="s">
        <v>238</v>
      </c>
      <c r="E108" s="1" t="s">
        <v>239</v>
      </c>
      <c r="F108" s="1" t="s">
        <v>240</v>
      </c>
    </row>
    <row r="109" spans="1:9">
      <c r="A109" s="1" t="s">
        <v>236</v>
      </c>
      <c r="B109" s="1" t="s">
        <v>125</v>
      </c>
      <c r="D109" s="1" t="s">
        <v>241</v>
      </c>
      <c r="E109" s="1" t="s">
        <v>242</v>
      </c>
      <c r="F109" s="1" t="s">
        <v>243</v>
      </c>
    </row>
    <row r="110" spans="1:9">
      <c r="A110" s="1" t="s">
        <v>236</v>
      </c>
      <c r="B110" s="1" t="s">
        <v>244</v>
      </c>
      <c r="D110" s="1" t="s">
        <v>245</v>
      </c>
      <c r="E110" s="1" t="s">
        <v>246</v>
      </c>
      <c r="F110" s="1" t="s">
        <v>247</v>
      </c>
    </row>
    <row r="111" spans="1:9">
      <c r="A111" s="1" t="s">
        <v>248</v>
      </c>
      <c r="B111" s="1" t="s">
        <v>249</v>
      </c>
    </row>
    <row r="112" spans="1:9">
      <c r="A112" s="1" t="s">
        <v>248</v>
      </c>
      <c r="B112" s="1" t="s">
        <v>250</v>
      </c>
    </row>
    <row r="113" spans="1:9">
      <c r="A113" s="1" t="s">
        <v>248</v>
      </c>
      <c r="B113" s="1" t="s">
        <v>133</v>
      </c>
    </row>
    <row r="114" spans="1:9">
      <c r="A114" s="1" t="s">
        <v>251</v>
      </c>
      <c r="B114" s="1" t="s">
        <v>252</v>
      </c>
    </row>
    <row r="115" spans="1:9">
      <c r="A115" s="1" t="s">
        <v>251</v>
      </c>
      <c r="B115" s="1" t="s">
        <v>253</v>
      </c>
    </row>
    <row r="116" spans="1:9">
      <c r="A116" s="1" t="s">
        <v>251</v>
      </c>
      <c r="B116" s="1" t="s">
        <v>21</v>
      </c>
      <c r="C116" s="1">
        <v>9</v>
      </c>
    </row>
    <row r="117" spans="1:9">
      <c r="A117" s="2"/>
      <c r="B117" s="2"/>
      <c r="C117" s="2"/>
      <c r="D117" s="2"/>
      <c r="E117" s="2"/>
      <c r="F117" s="2"/>
      <c r="G117" s="2"/>
      <c r="H117" s="2"/>
      <c r="I117" s="2"/>
    </row>
    <row r="118" spans="1:9">
      <c r="A118" s="1" t="s">
        <v>254</v>
      </c>
      <c r="B118" s="1" t="s">
        <v>255</v>
      </c>
      <c r="D118" s="3" t="s">
        <v>118</v>
      </c>
      <c r="E118" s="3" t="s">
        <v>119</v>
      </c>
    </row>
    <row r="119" spans="1:9">
      <c r="A119" s="1" t="s">
        <v>254</v>
      </c>
      <c r="B119" s="1" t="s">
        <v>121</v>
      </c>
      <c r="D119" s="1" t="s">
        <v>122</v>
      </c>
      <c r="E119" s="1" t="s">
        <v>256</v>
      </c>
    </row>
    <row r="120" spans="1:9">
      <c r="A120" s="1" t="s">
        <v>254</v>
      </c>
      <c r="B120" s="1" t="s">
        <v>257</v>
      </c>
      <c r="D120" s="1" t="s">
        <v>258</v>
      </c>
      <c r="E120" s="1" t="s">
        <v>259</v>
      </c>
    </row>
    <row r="121" spans="1:9">
      <c r="A121" s="1" t="s">
        <v>254</v>
      </c>
      <c r="B121" s="1" t="s">
        <v>260</v>
      </c>
      <c r="D121" s="1" t="s">
        <v>261</v>
      </c>
      <c r="E121" s="1" t="s">
        <v>163</v>
      </c>
    </row>
    <row r="122" spans="1:9">
      <c r="A122" s="1" t="s">
        <v>254</v>
      </c>
      <c r="B122" s="1" t="s">
        <v>175</v>
      </c>
      <c r="D122" s="1" t="s">
        <v>262</v>
      </c>
      <c r="E122" s="1" t="s">
        <v>263</v>
      </c>
    </row>
    <row r="123" spans="1:9">
      <c r="A123" s="1" t="s">
        <v>254</v>
      </c>
      <c r="B123" s="1" t="s">
        <v>178</v>
      </c>
    </row>
    <row r="124" spans="1:9">
      <c r="A124" s="1" t="s">
        <v>254</v>
      </c>
      <c r="B124" s="1" t="s">
        <v>264</v>
      </c>
    </row>
    <row r="125" spans="1:9">
      <c r="A125" s="1" t="s">
        <v>254</v>
      </c>
      <c r="B125" s="1" t="s">
        <v>265</v>
      </c>
      <c r="C125" s="1">
        <v>8</v>
      </c>
    </row>
    <row r="126" spans="1:9">
      <c r="A126" s="2"/>
      <c r="B126" s="2"/>
      <c r="C126" s="2"/>
      <c r="D126" s="2"/>
      <c r="E126" s="2"/>
      <c r="F126" s="2"/>
      <c r="G126" s="2"/>
      <c r="H126" s="2"/>
      <c r="I126" s="2"/>
    </row>
    <row r="127" spans="1:9">
      <c r="A127" s="5" t="s">
        <v>266</v>
      </c>
      <c r="B127" s="4" t="s">
        <v>3</v>
      </c>
      <c r="D127" s="3" t="s">
        <v>61</v>
      </c>
      <c r="E127" s="3" t="s">
        <v>267</v>
      </c>
      <c r="F127" s="3" t="s">
        <v>268</v>
      </c>
    </row>
    <row r="128" spans="1:9">
      <c r="A128" s="1" t="s">
        <v>269</v>
      </c>
      <c r="B128" s="1" t="s">
        <v>182</v>
      </c>
      <c r="D128" s="1" t="s">
        <v>270</v>
      </c>
      <c r="E128" s="1" t="s">
        <v>271</v>
      </c>
      <c r="F128" s="1" t="s">
        <v>272</v>
      </c>
    </row>
    <row r="129" spans="1:9">
      <c r="A129" s="1" t="s">
        <v>269</v>
      </c>
      <c r="B129" s="1" t="s">
        <v>273</v>
      </c>
      <c r="D129" s="1" t="s">
        <v>274</v>
      </c>
      <c r="E129" s="1" t="s">
        <v>275</v>
      </c>
      <c r="F129" s="1" t="s">
        <v>276</v>
      </c>
    </row>
    <row r="130" spans="1:9">
      <c r="A130" s="1" t="s">
        <v>269</v>
      </c>
      <c r="B130" s="1" t="s">
        <v>249</v>
      </c>
      <c r="D130" s="1" t="s">
        <v>277</v>
      </c>
      <c r="E130" s="1" t="s">
        <v>278</v>
      </c>
      <c r="F130" s="1" t="s">
        <v>279</v>
      </c>
    </row>
    <row r="131" spans="1:9">
      <c r="A131" s="1" t="s">
        <v>269</v>
      </c>
      <c r="B131" s="1" t="s">
        <v>125</v>
      </c>
      <c r="F131" s="1" t="s">
        <v>280</v>
      </c>
    </row>
    <row r="132" spans="1:9">
      <c r="A132" s="1" t="s">
        <v>269</v>
      </c>
      <c r="B132" s="1" t="s">
        <v>210</v>
      </c>
    </row>
    <row r="133" spans="1:9">
      <c r="A133" s="1" t="s">
        <v>269</v>
      </c>
      <c r="B133" s="1" t="s">
        <v>179</v>
      </c>
    </row>
    <row r="134" spans="1:9">
      <c r="A134" s="1" t="s">
        <v>269</v>
      </c>
      <c r="B134" s="1" t="s">
        <v>211</v>
      </c>
    </row>
    <row r="135" spans="1:9">
      <c r="A135" s="1" t="s">
        <v>281</v>
      </c>
      <c r="B135" s="1" t="s">
        <v>282</v>
      </c>
    </row>
    <row r="136" spans="1:9">
      <c r="A136" s="1" t="s">
        <v>281</v>
      </c>
      <c r="B136" s="1" t="s">
        <v>213</v>
      </c>
    </row>
    <row r="137" spans="1:9">
      <c r="A137" s="1" t="s">
        <v>281</v>
      </c>
      <c r="B137" s="1" t="s">
        <v>13</v>
      </c>
      <c r="C137" s="1">
        <v>10</v>
      </c>
    </row>
    <row r="138" spans="1:9">
      <c r="A138" s="2"/>
      <c r="B138" s="2"/>
      <c r="C138" s="2"/>
      <c r="D138" s="2"/>
      <c r="E138" s="2"/>
      <c r="F138" s="2"/>
      <c r="G138" s="2"/>
      <c r="H138" s="2"/>
      <c r="I138" s="2"/>
    </row>
    <row r="139" spans="1:9">
      <c r="A139" s="1" t="s">
        <v>283</v>
      </c>
      <c r="B139" s="1" t="s">
        <v>284</v>
      </c>
      <c r="D139" s="3" t="s">
        <v>118</v>
      </c>
    </row>
    <row r="140" spans="1:9">
      <c r="A140" s="1" t="s">
        <v>283</v>
      </c>
      <c r="B140" s="1" t="s">
        <v>172</v>
      </c>
      <c r="D140" s="1" t="s">
        <v>285</v>
      </c>
    </row>
    <row r="141" spans="1:9">
      <c r="A141" s="1" t="s">
        <v>283</v>
      </c>
      <c r="B141" s="1" t="s">
        <v>133</v>
      </c>
      <c r="D141" s="1" t="s">
        <v>286</v>
      </c>
    </row>
    <row r="142" spans="1:9">
      <c r="A142" s="1" t="s">
        <v>283</v>
      </c>
      <c r="B142" s="1" t="s">
        <v>287</v>
      </c>
      <c r="D142" s="1" t="s">
        <v>288</v>
      </c>
    </row>
    <row r="143" spans="1:9">
      <c r="A143" s="1" t="s">
        <v>283</v>
      </c>
      <c r="B143" s="1" t="s">
        <v>289</v>
      </c>
      <c r="D143" s="1" t="s">
        <v>290</v>
      </c>
    </row>
    <row r="144" spans="1:9">
      <c r="C144" s="1">
        <v>5</v>
      </c>
      <c r="D144" s="1" t="s">
        <v>291</v>
      </c>
    </row>
    <row r="145" spans="1:9">
      <c r="A145" s="2"/>
      <c r="B145" s="2"/>
      <c r="C145" s="2"/>
      <c r="D145" s="2"/>
      <c r="E145" s="2"/>
      <c r="F145" s="2"/>
      <c r="G145" s="2"/>
      <c r="H145" s="2"/>
      <c r="I145" s="2"/>
    </row>
    <row r="146" spans="1:9">
      <c r="A146" s="5" t="s">
        <v>292</v>
      </c>
      <c r="B146" s="4" t="s">
        <v>3</v>
      </c>
    </row>
    <row r="147" spans="1:9">
      <c r="A147" s="1" t="s">
        <v>293</v>
      </c>
      <c r="B147" s="1" t="s">
        <v>182</v>
      </c>
      <c r="D147" s="3" t="s">
        <v>118</v>
      </c>
      <c r="E147" s="3" t="s">
        <v>119</v>
      </c>
      <c r="F147" s="3" t="s">
        <v>120</v>
      </c>
    </row>
    <row r="148" spans="1:9">
      <c r="A148" s="1" t="s">
        <v>293</v>
      </c>
      <c r="B148" s="1" t="s">
        <v>121</v>
      </c>
      <c r="D148" s="1" t="s">
        <v>294</v>
      </c>
      <c r="E148" s="1" t="s">
        <v>295</v>
      </c>
      <c r="F148" s="1" t="s">
        <v>296</v>
      </c>
    </row>
    <row r="149" spans="1:9">
      <c r="A149" s="1" t="s">
        <v>293</v>
      </c>
      <c r="B149" s="1" t="s">
        <v>228</v>
      </c>
      <c r="D149" s="1" t="s">
        <v>297</v>
      </c>
      <c r="E149" s="1" t="s">
        <v>298</v>
      </c>
      <c r="F149" s="1" t="s">
        <v>299</v>
      </c>
    </row>
    <row r="150" spans="1:9">
      <c r="A150" s="1" t="s">
        <v>293</v>
      </c>
      <c r="B150" s="1" t="s">
        <v>300</v>
      </c>
      <c r="D150" s="1" t="s">
        <v>301</v>
      </c>
      <c r="E150" s="1" t="s">
        <v>302</v>
      </c>
      <c r="F150" s="1" t="s">
        <v>303</v>
      </c>
    </row>
    <row r="151" spans="1:9">
      <c r="A151" s="1" t="s">
        <v>293</v>
      </c>
      <c r="B151" s="1" t="s">
        <v>304</v>
      </c>
      <c r="E151" s="1" t="s">
        <v>305</v>
      </c>
      <c r="F151" s="1" t="s">
        <v>306</v>
      </c>
    </row>
    <row r="152" spans="1:9">
      <c r="A152" s="1" t="s">
        <v>293</v>
      </c>
      <c r="B152" s="1" t="s">
        <v>307</v>
      </c>
      <c r="D152" s="3"/>
      <c r="E152" s="3"/>
      <c r="F152" s="3"/>
    </row>
    <row r="153" spans="1:9">
      <c r="A153" s="1" t="s">
        <v>293</v>
      </c>
      <c r="B153" s="1" t="s">
        <v>211</v>
      </c>
    </row>
    <row r="154" spans="1:9">
      <c r="A154" s="1" t="s">
        <v>293</v>
      </c>
      <c r="B154" s="1" t="s">
        <v>308</v>
      </c>
    </row>
    <row r="155" spans="1:9">
      <c r="A155" s="1" t="s">
        <v>309</v>
      </c>
      <c r="B155" s="1" t="s">
        <v>310</v>
      </c>
    </row>
    <row r="156" spans="1:9">
      <c r="A156" s="1" t="s">
        <v>309</v>
      </c>
      <c r="B156" s="1" t="s">
        <v>311</v>
      </c>
    </row>
    <row r="157" spans="1:9">
      <c r="A157" s="1" t="s">
        <v>309</v>
      </c>
      <c r="B157" s="1" t="s">
        <v>312</v>
      </c>
      <c r="C157" s="1">
        <v>11</v>
      </c>
    </row>
    <row r="158" spans="1:9">
      <c r="A158" s="2"/>
      <c r="B158" s="2"/>
      <c r="C158" s="2"/>
      <c r="D158" s="2"/>
      <c r="E158" s="2"/>
      <c r="F158" s="2"/>
      <c r="G158" s="2"/>
      <c r="H158" s="2"/>
      <c r="I158" s="2"/>
    </row>
    <row r="159" spans="1:9">
      <c r="C159" s="1">
        <f>SUM(C2:C157)</f>
        <v>129</v>
      </c>
    </row>
    <row r="160" spans="1:9">
      <c r="B160" s="3" t="s">
        <v>313</v>
      </c>
      <c r="C160" s="3"/>
      <c r="D160" s="3" t="s">
        <v>314</v>
      </c>
      <c r="E160" s="3" t="s">
        <v>315</v>
      </c>
      <c r="F160" s="3" t="s">
        <v>316</v>
      </c>
    </row>
    <row r="161" spans="1:6">
      <c r="A161" s="29" t="s">
        <v>317</v>
      </c>
      <c r="B161" s="16">
        <v>7</v>
      </c>
      <c r="C161" s="16"/>
      <c r="D161" s="16">
        <v>7</v>
      </c>
      <c r="E161" s="16">
        <v>8</v>
      </c>
      <c r="F161" s="16">
        <f t="shared" ref="F161:F172" si="0">SUM(D161:E161)</f>
        <v>15</v>
      </c>
    </row>
    <row r="162" spans="1:6">
      <c r="A162" s="29" t="s">
        <v>22</v>
      </c>
      <c r="B162" s="16">
        <v>12</v>
      </c>
      <c r="C162" s="16"/>
      <c r="D162" s="16">
        <v>12</v>
      </c>
      <c r="E162" s="16">
        <v>12</v>
      </c>
      <c r="F162" s="16">
        <f t="shared" si="0"/>
        <v>24</v>
      </c>
    </row>
    <row r="163" spans="1:6">
      <c r="A163" s="29" t="s">
        <v>55</v>
      </c>
      <c r="B163" s="16">
        <v>16</v>
      </c>
      <c r="C163" s="16"/>
      <c r="D163" s="16">
        <v>16</v>
      </c>
      <c r="E163" s="16">
        <v>16</v>
      </c>
      <c r="F163" s="16">
        <f t="shared" si="0"/>
        <v>32</v>
      </c>
    </row>
    <row r="164" spans="1:6">
      <c r="A164" s="29" t="s">
        <v>116</v>
      </c>
      <c r="B164" s="16">
        <v>9</v>
      </c>
      <c r="C164" s="16"/>
      <c r="D164" s="16">
        <v>9</v>
      </c>
      <c r="E164" s="16">
        <v>9</v>
      </c>
      <c r="F164" s="16">
        <f t="shared" si="0"/>
        <v>18</v>
      </c>
    </row>
    <row r="165" spans="1:6">
      <c r="A165" s="16" t="s">
        <v>149</v>
      </c>
      <c r="B165" s="16">
        <v>16</v>
      </c>
      <c r="C165" s="16"/>
      <c r="D165" s="16">
        <v>16</v>
      </c>
      <c r="E165" s="16">
        <v>16</v>
      </c>
      <c r="F165" s="16">
        <f t="shared" si="0"/>
        <v>32</v>
      </c>
    </row>
    <row r="166" spans="1:6">
      <c r="A166" s="16" t="s">
        <v>181</v>
      </c>
      <c r="B166" s="16">
        <v>16</v>
      </c>
      <c r="C166" s="16"/>
      <c r="D166" s="16">
        <v>16</v>
      </c>
      <c r="E166" s="16">
        <v>16</v>
      </c>
      <c r="F166" s="16">
        <f t="shared" si="0"/>
        <v>32</v>
      </c>
    </row>
    <row r="167" spans="1:6">
      <c r="A167" s="16" t="s">
        <v>212</v>
      </c>
      <c r="B167" s="16">
        <v>10</v>
      </c>
      <c r="C167" s="16"/>
      <c r="D167" s="16">
        <v>10</v>
      </c>
      <c r="E167" s="16">
        <v>11</v>
      </c>
      <c r="F167" s="16">
        <f t="shared" si="0"/>
        <v>21</v>
      </c>
    </row>
    <row r="168" spans="1:6">
      <c r="A168" s="29" t="s">
        <v>232</v>
      </c>
      <c r="B168" s="16">
        <v>9</v>
      </c>
      <c r="C168" s="16"/>
      <c r="D168" s="16">
        <v>9</v>
      </c>
      <c r="E168" s="16">
        <v>9</v>
      </c>
      <c r="F168" s="16">
        <f t="shared" si="0"/>
        <v>18</v>
      </c>
    </row>
    <row r="169" spans="1:6">
      <c r="A169" s="16" t="s">
        <v>254</v>
      </c>
      <c r="B169" s="16">
        <v>8</v>
      </c>
      <c r="C169" s="16"/>
      <c r="D169" s="16">
        <v>8</v>
      </c>
      <c r="E169" s="16">
        <v>8</v>
      </c>
      <c r="F169" s="16">
        <f t="shared" si="0"/>
        <v>16</v>
      </c>
    </row>
    <row r="170" spans="1:6">
      <c r="A170" s="29" t="s">
        <v>266</v>
      </c>
      <c r="B170" s="16">
        <v>10</v>
      </c>
      <c r="C170" s="16"/>
      <c r="D170" s="16">
        <v>10</v>
      </c>
      <c r="E170" s="16">
        <v>10</v>
      </c>
      <c r="F170" s="16">
        <f t="shared" si="0"/>
        <v>20</v>
      </c>
    </row>
    <row r="171" spans="1:6">
      <c r="A171" s="16" t="s">
        <v>283</v>
      </c>
      <c r="B171" s="16">
        <v>5</v>
      </c>
      <c r="C171" s="16"/>
      <c r="D171" s="16">
        <v>5</v>
      </c>
      <c r="E171" s="16">
        <v>5</v>
      </c>
      <c r="F171" s="16">
        <f t="shared" si="0"/>
        <v>10</v>
      </c>
    </row>
    <row r="172" spans="1:6">
      <c r="A172" s="29" t="s">
        <v>318</v>
      </c>
      <c r="B172" s="16">
        <v>11</v>
      </c>
      <c r="C172" s="16"/>
      <c r="D172" s="16">
        <v>11</v>
      </c>
      <c r="E172" s="16">
        <v>11</v>
      </c>
      <c r="F172" s="16">
        <f t="shared" si="0"/>
        <v>22</v>
      </c>
    </row>
    <row r="174" spans="1:6">
      <c r="B174" s="1">
        <f>SUM(B161:B173)</f>
        <v>129</v>
      </c>
      <c r="D174" s="1">
        <f>SUM(D161:D173)</f>
        <v>129</v>
      </c>
      <c r="E174" s="1">
        <f>SUM(E161:E173)</f>
        <v>131</v>
      </c>
      <c r="F174" s="1">
        <f>SUM(F161:F173)</f>
        <v>260</v>
      </c>
    </row>
  </sheetData>
  <sortState xmlns:xlrd2="http://schemas.microsoft.com/office/spreadsheetml/2017/richdata2" ref="A2:D158">
    <sortCondition ref="A3:A158"/>
    <sortCondition ref="B3:B15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5BE3-BF97-4800-987D-8E6439DE0092}">
  <dimension ref="A1:Y82"/>
  <sheetViews>
    <sheetView topLeftCell="A26" workbookViewId="0">
      <selection activeCell="K15" sqref="K15"/>
    </sheetView>
  </sheetViews>
  <sheetFormatPr defaultColWidth="8.7109375" defaultRowHeight="18"/>
  <cols>
    <col min="1" max="1" width="5.85546875" style="1" customWidth="1"/>
    <col min="2" max="2" width="25.85546875" style="1" customWidth="1"/>
    <col min="3" max="3" width="73.28515625" style="1" bestFit="1" customWidth="1"/>
    <col min="4" max="4" width="63.85546875" style="1" customWidth="1"/>
    <col min="5" max="5" width="5.42578125" style="1" customWidth="1"/>
    <col min="6" max="6" width="41.28515625" style="37" bestFit="1" customWidth="1"/>
    <col min="7" max="7" width="53.5703125" style="1" customWidth="1"/>
    <col min="8" max="8" width="70" style="1" bestFit="1" customWidth="1"/>
    <col min="9" max="9" width="66.42578125" style="1" bestFit="1" customWidth="1"/>
    <col min="10" max="10" width="5.42578125" style="1" customWidth="1"/>
    <col min="11" max="11" width="19" style="37" customWidth="1"/>
    <col min="12" max="12" width="60.140625" style="1" customWidth="1"/>
    <col min="13" max="13" width="40.85546875" style="1" customWidth="1"/>
    <col min="14" max="14" width="41" style="1" customWidth="1"/>
    <col min="15" max="15" width="72.28515625" style="1" bestFit="1" customWidth="1"/>
    <col min="16" max="16" width="6.42578125" style="1" customWidth="1"/>
    <col min="17" max="17" width="13.42578125" style="37" customWidth="1"/>
    <col min="18" max="18" width="47.42578125" style="1" customWidth="1"/>
    <col min="19" max="19" width="41.5703125" style="1" customWidth="1"/>
    <col min="20" max="20" width="35" style="1" customWidth="1"/>
    <col min="21" max="21" width="39.5703125" style="1" customWidth="1"/>
    <col min="22" max="22" width="39.140625" style="1" customWidth="1"/>
    <col min="23" max="23" width="4.140625" style="1" customWidth="1"/>
    <col min="24" max="24" width="6.42578125" style="1" customWidth="1"/>
    <col min="25" max="25" width="8.7109375" style="1"/>
    <col min="26" max="26" width="8.7109375" style="1" customWidth="1"/>
    <col min="27" max="27" width="32.85546875" style="1" customWidth="1"/>
    <col min="28" max="16384" width="8.7109375" style="1"/>
  </cols>
  <sheetData>
    <row r="1" spans="1:25">
      <c r="B1" s="1" t="s">
        <v>319</v>
      </c>
    </row>
    <row r="2" spans="1:25">
      <c r="B2" s="1" t="s">
        <v>320</v>
      </c>
      <c r="C2" s="1" t="s">
        <v>321</v>
      </c>
      <c r="D2" s="1" t="s">
        <v>321</v>
      </c>
      <c r="G2" s="1" t="s">
        <v>322</v>
      </c>
      <c r="H2" s="1" t="s">
        <v>322</v>
      </c>
      <c r="I2" s="1" t="s">
        <v>322</v>
      </c>
      <c r="T2" s="4" t="s">
        <v>323</v>
      </c>
    </row>
    <row r="3" spans="1:25">
      <c r="B3" s="1" t="s">
        <v>324</v>
      </c>
      <c r="C3" s="1" t="s">
        <v>325</v>
      </c>
      <c r="D3" s="1" t="s">
        <v>326</v>
      </c>
      <c r="G3" s="1" t="s">
        <v>327</v>
      </c>
      <c r="H3" s="1" t="s">
        <v>328</v>
      </c>
      <c r="I3" s="1" t="s">
        <v>329</v>
      </c>
      <c r="L3" s="1" t="s">
        <v>330</v>
      </c>
      <c r="M3" s="1" t="s">
        <v>331</v>
      </c>
      <c r="N3" s="1" t="s">
        <v>332</v>
      </c>
      <c r="O3" s="1" t="s">
        <v>333</v>
      </c>
      <c r="R3" s="1" t="s">
        <v>334</v>
      </c>
      <c r="S3" s="1" t="s">
        <v>335</v>
      </c>
      <c r="T3" s="1" t="s">
        <v>336</v>
      </c>
      <c r="U3" s="1" t="s">
        <v>337</v>
      </c>
      <c r="V3" s="1" t="s">
        <v>338</v>
      </c>
      <c r="Y3" s="1">
        <f>COUNTA(C3:X3)</f>
        <v>14</v>
      </c>
    </row>
    <row r="4" spans="1:25">
      <c r="B4" s="38"/>
      <c r="F4" s="38">
        <v>0.29166666666666669</v>
      </c>
      <c r="K4" s="38">
        <v>0.29166666666666669</v>
      </c>
      <c r="L4" s="31" t="str">
        <f>'19U BOYS PLATINUM GOLD-11 TEAMS'!D12&amp;"-"&amp;'19U BOYS PLATINUM GOLD-11 TEAMS'!I12&amp;"-"&amp;TEXT('19U BOYS PLATINUM GOLD-11 TEAMS'!B12,"h:mm am/pm")</f>
        <v>19Bptau01-W/L C1/C4-7:00 AM</v>
      </c>
      <c r="M4" s="2"/>
      <c r="N4" s="2"/>
      <c r="O4" s="159" t="str">
        <f>'16U BOYS PLATINUM GOLD-10 TEAMS'!D10&amp;"-"&amp;'16U BOYS PLATINUM GOLD-10 TEAMS'!I10&amp;"-"&amp;TEXT('16U BOYS PLATINUM GOLD-10 TEAMS'!B10,"h:mm am/pm")</f>
        <v>16Bptau01-A bracket A1,A2 platinum 1st-3rd-7:00 AM</v>
      </c>
      <c r="Q4" s="38">
        <v>0.29166666666666669</v>
      </c>
      <c r="R4" s="28" t="str">
        <f>'14U GIRLS-9 TEAMS'!D14&amp;"-"&amp;'14U GIRLS-9 TEAMS'!I22&amp;"-"&amp;TEXT('14U GIRLS-9 TEAMS'!B14,"h:mm am/pm")</f>
        <v>14G01-C bracket silver 1st-3rd-7:00 AM</v>
      </c>
      <c r="T4" s="2"/>
      <c r="V4" s="2"/>
    </row>
    <row r="5" spans="1:25">
      <c r="B5" s="38">
        <v>0.33333333333333331</v>
      </c>
      <c r="C5" s="21" t="str">
        <f>'10U BOYS &amp; COED PT-7 CUSTOM'!D10&amp;"-"&amp;'10U BOYS &amp; COED PT-7 CUSTOM'!I10&amp;"-"&amp;TEXT('10U BOYS &amp; COED PT-7 CUSTOM'!B10,"h:mm am/pm")</f>
        <v>10BCpt01-A bracket A1,A3 Cpt 1st-3rd-8:00 AM</v>
      </c>
      <c r="D5" s="20" t="str">
        <f>'10U GIRLS COED AU AG-12 TEAMS'!D10&amp;"-"&amp;'10U GIRLS COED AU AG-12 TEAMS'!I10&amp;"-"&amp;TEXT('10U GIRLS COED AU AG-12 TEAMS'!B10,"h:mm am/pm")</f>
        <v>10GCauag01-B bracket, B1/B4  coed silver 1st-4th-8:00 AM</v>
      </c>
      <c r="F5" s="40">
        <v>0.3263888888888889</v>
      </c>
      <c r="I5" s="26" t="str">
        <f>'12U BOYS-16 TEAMS'!D21&amp;"-"&amp;'12U BOYS-16 TEAMS'!I21&amp;"-"&amp;TEXT('12U BOYS-16 TEAMS'!B21,"h:mm am/pm")</f>
        <v>12B01-A bracket A1,A3 platinum 1st-3rd-7:50 AM</v>
      </c>
      <c r="K5" s="38">
        <v>0.33333333333333298</v>
      </c>
      <c r="L5" s="31" t="str">
        <f>'19U BOYS PLATINUM GOLD-11 TEAMS'!D13&amp;"-"&amp;'19U BOYS PLATINUM GOLD-11 TEAMS'!I13&amp;"-"&amp;TEXT('19U BOYS PLATINUM GOLD-11 TEAMS'!B13,"h:mm am/pm")</f>
        <v>19Bptau02-W/L C2/C3-8:00 AM</v>
      </c>
      <c r="M5" s="30" t="str">
        <f>'19U BOYS SILVER-5 TEAMS'!D11&amp;"-"&amp;'19U BOYS SILVER-5 TEAMS'!I11&amp;"-"&amp;TEXT('19U BOYS SILVER-5 TEAMS'!B11,"h:mm am/pm")</f>
        <v>19Bag01-A bracket 2/5-8:00 AM</v>
      </c>
      <c r="N5" s="27" t="str">
        <f>'16U BOYS SILVER-8 TEAMS'!D10&amp;"-"&amp;'16U BOYS SILVER-8 TEAMS'!I10&amp;"-"&amp;TEXT('16U BOYS SILVER-8 TEAMS'!B10,"h:mm am/pm")</f>
        <v>16Bag01-bracket, B1/B4-8:00 AM</v>
      </c>
      <c r="O5" s="159" t="str">
        <f>'16U BOYS PLATINUM GOLD-10 TEAMS'!D11&amp;"-"&amp;'16U BOYS PLATINUM GOLD-10 TEAMS'!I11&amp;"-"&amp;TEXT('16U BOYS PLATINUM GOLD-10 TEAMS'!B11,"h:mm am/pm")</f>
        <v>16Bptau02-B bracket B1,B2-8:00 AM</v>
      </c>
      <c r="Q5" s="38">
        <v>0.3263888888888889</v>
      </c>
      <c r="R5" s="28" t="str">
        <f>'14U GIRLS-9 TEAMS'!D15&amp;"-"&amp;'14U GIRLS-9 TEAMS'!I15&amp;"-"&amp;TEXT('14U GIRLS-9 TEAMS'!B15,"h:mm am/pm")</f>
        <v>14G02-B bracket gold 1st-3rd-7:50 AM</v>
      </c>
      <c r="S5" s="33" t="str">
        <f>'14U BOYS GOLD-16 TEAMS'!D10&amp;"-"&amp;'14U BOYS GOLD-16 TEAMS'!I10&amp;"-"&amp;TEXT('14U BOYS GOLD-16 TEAMS'!B10,"h:mm am/pm")</f>
        <v>14Bau01-W/L A2/A3-7:50 AM</v>
      </c>
      <c r="T5" s="2"/>
      <c r="U5" s="32" t="str">
        <f>'14U BOYS PLATINUM-10 TEAMS'!D10&amp;"-"&amp;'14U BOYS PLATINUM-10 TEAMS'!I10&amp;"-"&amp;TEXT('14U BOYS PLATINUM-10 TEAMS'!B10,"h:mm am/pm")</f>
        <v>14Bpt01-C bracket C1,C4-7:50 AM</v>
      </c>
      <c r="V5" s="36" t="str">
        <f>'14U BOYS SILVER-16 TEAMS'!D10&amp;"-"&amp;'14U BOYS SILVER-16 TEAMS'!I10&amp;"-"&amp;TEXT('14U BOYS SILVER-16 TEAMS'!B10,"h:mm am/pm")</f>
        <v>14Bag01-W/L A2/A3-7:50 AM</v>
      </c>
    </row>
    <row r="6" spans="1:25">
      <c r="B6" s="38">
        <v>0.36805555555555558</v>
      </c>
      <c r="C6" s="21" t="str">
        <f>'10U BOYS &amp; COED PT-7 CUSTOM'!D11&amp;"-"&amp;'10U BOYS &amp; COED PT-7 CUSTOM'!I11&amp;"-"&amp;TEXT('10U BOYS &amp; COED PT-7 CUSTOM'!B11,"h:mm am/pm")</f>
        <v>10BCpt02-A bracket A2,A3 Cpt 1st-3rd-8:50 AM</v>
      </c>
      <c r="D6" s="20" t="str">
        <f>'10U GIRLS COED AU AG-12 TEAMS'!D11&amp;"-"&amp;'10U GIRLS COED AU AG-12 TEAMS'!I11&amp;"-"&amp;TEXT('10U GIRLS COED AU AG-12 TEAMS'!B11,"h:mm am/pm")</f>
        <v>10GCauag02-B bracket, B2/B3 coed silver 1st-4th-8:50 AM</v>
      </c>
      <c r="F6" s="38">
        <v>0.36111111111111099</v>
      </c>
      <c r="G6" s="26" t="str">
        <f>'12U BOYS-16 TEAMS'!D31&amp;"-"&amp;'12U BOYS-16 TEAMS'!I31&amp;"-"&amp;TEXT('12U BOYS-16 TEAMS'!B31,"h:mm am/pm")</f>
        <v>12B10-C bracket C1,C3-8:40 AM</v>
      </c>
      <c r="H6" s="24" t="str">
        <f>'12U COED GIRLS-9 TEAMS CUSTOM'!D14&amp;"-"&amp;'12U COED GIRLS-9 TEAMS CUSTOM'!I14&amp;"-"&amp;TEXT('12U COED GIRLS-9 TEAMS CUSTOM'!B14,"h:mm am/pm")</f>
        <v>12GC01-A bracket A1,A3-8:40 AM</v>
      </c>
      <c r="I6" s="26" t="str">
        <f>'12U BOYS-16 TEAMS'!D22&amp;"-"&amp;'12U BOYS-16 TEAMS'!I22&amp;"-"&amp;TEXT('12U BOYS-16 TEAMS'!B22,"h:mm am/pm")</f>
        <v>12B02-B bracket B1,B3-8:40 AM</v>
      </c>
      <c r="K6" s="38">
        <v>0.375</v>
      </c>
      <c r="L6" s="31" t="str">
        <f>'19U BOYS PLATINUM GOLD-11 TEAMS'!D14&amp;"-"&amp;'19U BOYS PLATINUM GOLD-11 TEAMS'!I14&amp;"-"&amp;TEXT('19U BOYS PLATINUM GOLD-11 TEAMS'!B14,"h:mm am/pm")</f>
        <v>19Bptau03-A bracket A1,A3-9:00 AM</v>
      </c>
      <c r="M6" s="30" t="str">
        <f>'19U BOYS SILVER-5 TEAMS'!D12&amp;"-"&amp;'19U BOYS SILVER-5 TEAMS'!I12&amp;"-"&amp;TEXT('19U BOYS SILVER-5 TEAMS'!B12,"h:mm am/pm")</f>
        <v>19Bag02-A bracket 1/3-9:00 AM</v>
      </c>
      <c r="N6" s="27" t="str">
        <f>'16U BOYS SILVER-8 TEAMS'!D11&amp;"-"&amp;'16U BOYS SILVER-8 TEAMS'!I11&amp;"-"&amp;TEXT('16U BOYS SILVER-8 TEAMS'!B11,"h:mm am/pm")</f>
        <v>16Bag02-bracket, B2/B3-9:00 AM</v>
      </c>
      <c r="O6" s="159" t="str">
        <f>'16U BOYS PLATINUM GOLD-10 TEAMS'!D12&amp;"-"&amp;'16U BOYS PLATINUM GOLD-10 TEAMS'!I12&amp;"-"&amp;TEXT('16U BOYS PLATINUM GOLD-10 TEAMS'!B12,"h:mm am/pm")</f>
        <v>16Bptau03-C bracket C1,C4-9:00 AM</v>
      </c>
      <c r="Q6" s="38">
        <v>0.36111111111111099</v>
      </c>
      <c r="R6" s="28" t="str">
        <f>'14U GIRLS-9 TEAMS'!D16&amp;"-"&amp;'14U GIRLS-9 TEAMS'!I16&amp;"-"&amp;TEXT('14U GIRLS-9 TEAMS'!B16,"h:mm am/pm")</f>
        <v>14G03-A bracket platinum 1st-3rd-8:40 AM</v>
      </c>
      <c r="S6" s="33" t="str">
        <f>'14U BOYS GOLD-16 TEAMS'!D11&amp;"-"&amp;'14U BOYS GOLD-16 TEAMS'!I11&amp;"-"&amp;TEXT('14U BOYS GOLD-16 TEAMS'!B11,"h:mm am/pm")</f>
        <v>14Bau02-W/L A1/A4-8:40 AM</v>
      </c>
      <c r="T6" s="2"/>
      <c r="U6" s="32" t="str">
        <f>'14U BOYS PLATINUM-10 TEAMS'!D11&amp;"-"&amp;'14U BOYS PLATINUM-10 TEAMS'!I11&amp;"-"&amp;TEXT('14U BOYS PLATINUM-10 TEAMS'!B11,"h:mm am/pm")</f>
        <v>14Bpt02-A bracket A1,A3-8:40 AM</v>
      </c>
      <c r="V6" s="36" t="str">
        <f>'14U BOYS SILVER-16 TEAMS'!D11&amp;"-"&amp;'14U BOYS SILVER-16 TEAMS'!I11&amp;"-"&amp;TEXT('14U BOYS SILVER-16 TEAMS'!B11,"h:mm am/pm")</f>
        <v>14Bag02-W/L A1/A4-8:40 AM</v>
      </c>
    </row>
    <row r="7" spans="1:25">
      <c r="A7" s="1" t="s">
        <v>339</v>
      </c>
      <c r="B7" s="38">
        <v>0.40277777777777779</v>
      </c>
      <c r="C7" s="20" t="str">
        <f>'10U GIRLS COED AU AG-12 TEAMS'!D13&amp;"-"&amp;'10U GIRLS COED AU AG-12 TEAMS'!I13&amp;"-"&amp;TEXT('10U GIRLS COED AU AG-12 TEAMS'!B13,"h:mm am/pm")</f>
        <v>10GCauag05-C bracket  C1,C4 Girls 1st-4th-9:40 AM</v>
      </c>
      <c r="D7" s="20" t="str">
        <f>'10U GIRLS COED AU AG-12 TEAMS'!D12&amp;"-"&amp;'10U GIRLS COED AU AG-12 TEAMS'!I12&amp;"-"&amp;TEXT('10U GIRLS COED AU AG-12 TEAMS'!B12,"h:mm am/pm")</f>
        <v>10GCauag03-A bracket, A1/A4 coed gold 1st-4th-9:40 AM</v>
      </c>
      <c r="F7" s="40">
        <v>0.39583333333333398</v>
      </c>
      <c r="G7" s="26" t="str">
        <f>'12U BOYS-16 TEAMS'!D32&amp;"-"&amp;'12U BOYS-16 TEAMS'!I32&amp;"-"&amp;TEXT('12U BOYS-16 TEAMS'!B32,"h:mm am/pm")</f>
        <v>12B11-W/L D1/D4-9:30 AM</v>
      </c>
      <c r="H7" s="24" t="str">
        <f>'12U COED GIRLS-9 TEAMS CUSTOM'!D15&amp;"-"&amp;'12U COED GIRLS-9 TEAMS CUSTOM'!I15&amp;"-"&amp;TEXT('12U COED GIRLS-9 TEAMS CUSTOM'!B15,"h:mm am/pm")</f>
        <v>12GC02-B bracket B1,B3-9:30 AM</v>
      </c>
      <c r="I7" s="26" t="str">
        <f>'12U BOYS-16 TEAMS'!D23&amp;"-"&amp;'12U BOYS-16 TEAMS'!I23&amp;"-"&amp;TEXT('12U BOYS-16 TEAMS'!B23,"h:mm am/pm")</f>
        <v>12B03-E bracket E1,E3 silver 1st-3rd-9:30 AM</v>
      </c>
      <c r="K7" s="38">
        <v>0.41666666666666702</v>
      </c>
      <c r="L7" s="31" t="str">
        <f>'19U BOYS PLATINUM GOLD-11 TEAMS'!D15&amp;"-"&amp;'19U BOYS PLATINUM GOLD-11 TEAMS'!I15&amp;"-"&amp;TEXT('19U BOYS PLATINUM GOLD-11 TEAMS'!B15,"h:mm am/pm")</f>
        <v>19Bptau04-W/L B1/B4-10:00 AM</v>
      </c>
      <c r="M7" s="31" t="str">
        <f>'19U BOYS PLATINUM GOLD-11 TEAMS'!D16&amp;"-"&amp;'19U BOYS PLATINUM GOLD-11 TEAMS'!I16&amp;"-"&amp;TEXT('19U BOYS PLATINUM GOLD-11 TEAMS'!B16,"h:mm am/pm")</f>
        <v>19Bptau05-W/L B2/B3-10:00 AM</v>
      </c>
      <c r="N7" s="27" t="str">
        <f>'16U BOYS SILVER-8 TEAMS'!D12&amp;"-"&amp;'16U BOYS SILVER-8 TEAMS'!I12&amp;"-"&amp;TEXT('16U BOYS SILVER-8 TEAMS'!B12,"h:mm am/pm")</f>
        <v>16Bag03-bracket, A2/A3-10:00 AM</v>
      </c>
      <c r="O7" s="159" t="str">
        <f>'16U BOYS PLATINUM GOLD-10 TEAMS'!D13&amp;"-"&amp;'16U BOYS PLATINUM GOLD-10 TEAMS'!I13&amp;"-"&amp;TEXT('16U BOYS PLATINUM GOLD-10 TEAMS'!B13,"h:mm am/pm")</f>
        <v>16Bptau04-C bracket C2,C3-10:00 AM</v>
      </c>
      <c r="Q7" s="38">
        <v>0.39583333333333398</v>
      </c>
      <c r="R7" s="36" t="str">
        <f>'14U BOYS SILVER-16 TEAMS'!D13&amp;"-"&amp;'14U BOYS SILVER-16 TEAMS'!I13&amp;"-"&amp;TEXT('14U BOYS SILVER-16 TEAMS'!B13,"h:mm am/pm")</f>
        <v>14Bag09-W/L D1/D4-9:30 AM</v>
      </c>
      <c r="S7" s="33" t="str">
        <f>'14U BOYS GOLD-16 TEAMS'!D12&amp;"-"&amp;'14U BOYS GOLD-16 TEAMS'!I12&amp;"-"&amp;TEXT('14U BOYS GOLD-16 TEAMS'!B12,"h:mm am/pm")</f>
        <v>14Bau03-W/L C2/C3-9:30 AM</v>
      </c>
      <c r="T7" s="2"/>
      <c r="U7" s="32" t="str">
        <f>'14U BOYS PLATINUM-10 TEAMS'!D12&amp;"-"&amp;'14U BOYS PLATINUM-10 TEAMS'!I12&amp;"-"&amp;TEXT('14U BOYS PLATINUM-10 TEAMS'!B12,"h:mm am/pm")</f>
        <v>14Bpt03-B bracket B1,B3-9:30 AM</v>
      </c>
      <c r="V7" s="36" t="str">
        <f>'14U BOYS SILVER-16 TEAMS'!D12&amp;"-"&amp;'14U BOYS SILVER-16 TEAMS'!I12&amp;"-"&amp;TEXT('14U BOYS SILVER-16 TEAMS'!B12,"h:mm am/pm")</f>
        <v>14Bag03-W/L C2/C3-9:30 AM</v>
      </c>
    </row>
    <row r="8" spans="1:25">
      <c r="A8" s="1" t="s">
        <v>339</v>
      </c>
      <c r="B8" s="38">
        <v>0.4375</v>
      </c>
      <c r="C8" s="20" t="str">
        <f>'10U GIRLS COED AU AG-12 TEAMS'!D15&amp;"-"&amp;'10U GIRLS COED AU AG-12 TEAMS'!I15&amp;"-"&amp;TEXT('10U GIRLS COED AU AG-12 TEAMS'!B15,"h:mm am/pm")</f>
        <v>10GCauag06-C bracket  C2,C3 Girls 1st-4th-10:30 AM</v>
      </c>
      <c r="D8" s="20" t="str">
        <f>'10U GIRLS COED AU AG-12 TEAMS'!D14&amp;"-"&amp;'10U GIRLS COED AU AG-12 TEAMS'!I14&amp;"-"&amp;TEXT('10U GIRLS COED AU AG-12 TEAMS'!B14,"h:mm am/pm")</f>
        <v>10GCauag04-A bracket, A2/A3 coed gold 1st-4th-10:30 AM</v>
      </c>
      <c r="F8" s="38">
        <v>0.43055555555555602</v>
      </c>
      <c r="G8" s="26" t="str">
        <f>'12U BOYS-16 TEAMS'!D33&amp;"-"&amp;'12U BOYS-16 TEAMS'!I33&amp;"-"&amp;TEXT('12U BOYS-16 TEAMS'!B33,"h:mm am/pm")</f>
        <v>12B12-W/L D2/D3-10:20 AM</v>
      </c>
      <c r="H8" s="24" t="str">
        <f>'12U COED GIRLS-9 TEAMS CUSTOM'!D16&amp;"-"&amp;'12U COED GIRLS-9 TEAMS CUSTOM'!I16&amp;"-"&amp;TEXT('12U COED GIRLS-9 TEAMS CUSTOM'!B16,"h:mm am/pm")</f>
        <v>12GC03-C bracket C1,C3-10:20 AM</v>
      </c>
      <c r="I8" s="26" t="str">
        <f>'12U BOYS-16 TEAMS'!D24&amp;"-"&amp;'12U BOYS-16 TEAMS'!I24&amp;"-"&amp;TEXT('12U BOYS-16 TEAMS'!B24,"h:mm am/pm")</f>
        <v>12B04-A bracket A2,A3 platinum 1st-3rd-10:20 AM</v>
      </c>
      <c r="K8" s="38">
        <v>0.45833333333333298</v>
      </c>
      <c r="L8" s="31" t="str">
        <f>'19U BOYS PLATINUM GOLD-11 TEAMS'!D17&amp;"-"&amp;'19U BOYS PLATINUM GOLD-11 TEAMS'!I17&amp;"-"&amp;TEXT('19U BOYS PLATINUM GOLD-11 TEAMS'!B17,"h:mm am/pm")</f>
        <v>19Bptau06-A bracket A2,A3-11:00 AM</v>
      </c>
      <c r="M8" s="30" t="str">
        <f>'19U BOYS SILVER-5 TEAMS'!D14&amp;"-"&amp;'19U BOYS SILVER-5 TEAMS'!I14&amp;"-"&amp;TEXT('19U BOYS SILVER-5 TEAMS'!B14,"h:mm am/pm")</f>
        <v>19Bag03-A bracket 2/4-11:00 AM</v>
      </c>
      <c r="N8" s="27" t="str">
        <f>'16U BOYS SILVER-8 TEAMS'!D13&amp;"-"&amp;'16U BOYS SILVER-8 TEAMS'!I13&amp;"-"&amp;TEXT('16U BOYS SILVER-8 TEAMS'!B13,"h:mm am/pm")</f>
        <v>16Bag04-bracket, A1/A4-11:00 AM</v>
      </c>
      <c r="O8" s="159" t="str">
        <f>'16U BOYS PLATINUM GOLD-10 TEAMS'!D14&amp;"-"&amp;'16U BOYS PLATINUM GOLD-10 TEAMS'!I14&amp;"-"&amp;TEXT('16U BOYS PLATINUM GOLD-10 TEAMS'!B14,"h:mm am/pm")</f>
        <v>16Bptau05-A bracket A2,A3 platinum 1st-3rd-11:00 AM</v>
      </c>
      <c r="Q8" s="38">
        <v>0.43055555555555602</v>
      </c>
      <c r="R8" s="36" t="str">
        <f>'14U BOYS SILVER-16 TEAMS'!D14&amp;"-"&amp;'14U BOYS SILVER-16 TEAMS'!I14&amp;"-"&amp;TEXT('14U BOYS SILVER-16 TEAMS'!B14,"h:mm am/pm")</f>
        <v>14Bag10-W/L D2/D3-10:20 AM</v>
      </c>
      <c r="S8" s="33" t="str">
        <f>'14U BOYS GOLD-16 TEAMS'!D13&amp;"-"&amp;'14U BOYS GOLD-16 TEAMS'!I13&amp;"-"&amp;TEXT('14U BOYS GOLD-16 TEAMS'!B13,"h:mm am/pm")</f>
        <v>14Bau04-W/L C1/C4-10:20 AM</v>
      </c>
      <c r="T8" s="2"/>
      <c r="U8" s="32" t="str">
        <f>'14U BOYS PLATINUM-10 TEAMS'!D13&amp;"-"&amp;'14U BOYS PLATINUM-10 TEAMS'!I13&amp;"-"&amp;TEXT('14U BOYS PLATINUM-10 TEAMS'!B13,"h:mm am/pm")</f>
        <v>14Bpt04-C bracket C1,C2-10:20 AM</v>
      </c>
      <c r="V8" s="36" t="str">
        <f>'14U BOYS SILVER-16 TEAMS'!D15&amp;"-"&amp;'14U BOYS SILVER-16 TEAMS'!I15&amp;"-"&amp;TEXT('14U BOYS SILVER-16 TEAMS'!B15,"h:mm am/pm")</f>
        <v>14Bag04-W/L C1/C4-10:20 AM</v>
      </c>
    </row>
    <row r="9" spans="1:25">
      <c r="B9" s="38">
        <v>0.47222222222222199</v>
      </c>
      <c r="C9" s="21" t="str">
        <f>'10U BOYS &amp; COED PT-7 CUSTOM'!D13&amp;"-"&amp;'10U BOYS &amp; COED PT-7 CUSTOM'!I13&amp;"-"&amp;TEXT('10U BOYS &amp; COED PT-7 CUSTOM'!B13,"h:mm am/pm")</f>
        <v>10BCpt03-B bracket B1,B4 Boys 1st-4th-11:20 AM</v>
      </c>
      <c r="D9" s="20" t="str">
        <f>'10U GIRLS COED AU AG-12 TEAMS'!D16&amp;"-"&amp;'10U GIRLS COED AU AG-12 TEAMS'!I16&amp;"-"&amp;TEXT('10U GIRLS COED AU AG-12 TEAMS'!B16,"h:mm am/pm")</f>
        <v>10GCauag07-B bracket, B2/B4 coed silver 1st-4th-11:20 AM</v>
      </c>
      <c r="F9" s="40">
        <v>0.46527777777777801</v>
      </c>
      <c r="G9" s="26" t="str">
        <f>'12U BOYS-16 TEAMS'!D34&amp;"-"&amp;'12U BOYS-16 TEAMS'!I34&amp;"-"&amp;TEXT('12U BOYS-16 TEAMS'!B34,"h:mm am/pm")</f>
        <v>12B13-C bracket C2,C3-11:10 AM</v>
      </c>
      <c r="H9" s="24" t="str">
        <f>'12U COED GIRLS-9 TEAMS CUSTOM'!D17&amp;"-"&amp;'12U COED GIRLS-9 TEAMS CUSTOM'!I17&amp;"-"&amp;TEXT('12U COED GIRLS-9 TEAMS CUSTOM'!B17,"h:mm am/pm")</f>
        <v>12GC04-A bracket A2,A3-11:10 AM</v>
      </c>
      <c r="I9" s="26" t="str">
        <f>'12U BOYS-16 TEAMS'!D25&amp;"-"&amp;'12U BOYS-16 TEAMS'!I25&amp;"-"&amp;TEXT('12U BOYS-16 TEAMS'!B25,"h:mm am/pm")</f>
        <v>12B05-B bracket B2,B3-11:10 AM</v>
      </c>
      <c r="K9" s="38">
        <v>0.5</v>
      </c>
      <c r="L9" s="31" t="str">
        <f>'19U BOYS PLATINUM GOLD-11 TEAMS'!D18&amp;"-"&amp;'19U BOYS PLATINUM GOLD-11 TEAMS'!I18&amp;"-"&amp;TEXT('19U BOYS PLATINUM GOLD-11 TEAMS'!B18,"h:mm am/pm")</f>
        <v>19Bptau07-3rd/4thC-12:00 PM</v>
      </c>
      <c r="M9" s="30" t="str">
        <f>'19U BOYS SILVER-5 TEAMS'!D15&amp;"-"&amp;'19U BOYS SILVER-5 TEAMS'!I15&amp;"-"&amp;TEXT('19U BOYS SILVER-5 TEAMS'!B15,"h:mm am/pm")</f>
        <v>19Bag04-A bracket 3/5-12:00 PM</v>
      </c>
      <c r="N9" s="27" t="str">
        <f>'16U BOYS SILVER-8 TEAMS'!D14&amp;"-"&amp;'16U BOYS SILVER-8 TEAMS'!I14&amp;"-"&amp;TEXT('16U BOYS SILVER-8 TEAMS'!B14,"h:mm am/pm")</f>
        <v>16Bag05-bracket, B1/B3-12:00 PM</v>
      </c>
      <c r="O9" s="159" t="str">
        <f>'16U BOYS PLATINUM GOLD-10 TEAMS'!D15&amp;"-"&amp;'16U BOYS PLATINUM GOLD-10 TEAMS'!I15&amp;"-"&amp;TEXT('16U BOYS PLATINUM GOLD-10 TEAMS'!B15,"h:mm am/pm")</f>
        <v>16Bptau06-B bracket B2,B3-12:00 PM</v>
      </c>
      <c r="Q9" s="38">
        <v>0.46527777777777801</v>
      </c>
      <c r="R9" s="28" t="str">
        <f>'14U GIRLS-9 TEAMS'!D18&amp;"-"&amp;'14U GIRLS-9 TEAMS'!I18&amp;"-"&amp;TEXT('14U GIRLS-9 TEAMS'!B18,"h:mm am/pm")</f>
        <v>14G04-C bracket silver 1st-3rd-11:10 AM</v>
      </c>
      <c r="S9" s="33" t="str">
        <f>'14U BOYS GOLD-16 TEAMS'!D14&amp;"-"&amp;'14U BOYS GOLD-16 TEAMS'!I14&amp;"-"&amp;TEXT('14U BOYS GOLD-16 TEAMS'!B14,"h:mm am/pm")</f>
        <v>14Bau05-W/L D1/D4-11:10 AM</v>
      </c>
      <c r="T9" s="33" t="str">
        <f>'14U BOYS GOLD-16 TEAMS'!D15&amp;"-"&amp;'14U BOYS GOLD-16 TEAMS'!I15&amp;"-"&amp;TEXT('14U BOYS GOLD-16 TEAMS'!B15,"h:mm am/pm")</f>
        <v>14Bau07-W/L B2/B3-11:10 AM</v>
      </c>
      <c r="U9" s="32" t="str">
        <f>'14U BOYS PLATINUM-10 TEAMS'!D14&amp;"-"&amp;'14U BOYS PLATINUM-10 TEAMS'!I14&amp;"-"&amp;TEXT('14U BOYS PLATINUM-10 TEAMS'!B14,"h:mm am/pm")</f>
        <v>14Bpt05-A bracket A2,A3-11:10 AM</v>
      </c>
      <c r="V9" s="36" t="str">
        <f>'14U BOYS SILVER-16 TEAMS'!D16&amp;"-"&amp;'14U BOYS SILVER-16 TEAMS'!I16&amp;"-"&amp;TEXT('14U BOYS SILVER-16 TEAMS'!B16,"h:mm am/pm")</f>
        <v>14Bag05-3rd/4thA-11:10 AM</v>
      </c>
    </row>
    <row r="10" spans="1:25">
      <c r="B10" s="38">
        <v>0.50694444444444398</v>
      </c>
      <c r="C10" s="21" t="str">
        <f>'10U BOYS &amp; COED PT-7 CUSTOM'!D14&amp;"-"&amp;'10U BOYS &amp; COED PT-7 CUSTOM'!I14&amp;"-"&amp;TEXT('10U BOYS &amp; COED PT-7 CUSTOM'!B14,"h:mm am/pm")</f>
        <v>10BCpt04-B bracket B2,B3 Boys 1st-4th-12:10 PM</v>
      </c>
      <c r="D10" s="20" t="str">
        <f>'10U GIRLS COED AU AG-12 TEAMS'!D17&amp;"-"&amp;'10U GIRLS COED AU AG-12 TEAMS'!I17&amp;"-"&amp;TEXT('10U GIRLS COED AU AG-12 TEAMS'!B17,"h:mm am/pm")</f>
        <v>10GCauag08-B bracket, B1/B3 coed silver 1st-4th-12:10 PM</v>
      </c>
      <c r="F10" s="38">
        <v>0.5</v>
      </c>
      <c r="G10" s="26" t="str">
        <f>'12U BOYS-16 TEAMS'!D35&amp;"-"&amp;'12U BOYS-16 TEAMS'!I35&amp;"-"&amp;TEXT('12U BOYS-16 TEAMS'!B35,"h:mm am/pm")</f>
        <v>12B14-3rd/4thD-12:00 PM</v>
      </c>
      <c r="H10" s="24" t="str">
        <f>'12U COED GIRLS-9 TEAMS CUSTOM'!D18&amp;"-"&amp;'12U COED GIRLS-9 TEAMS CUSTOM'!I18&amp;"-"&amp;TEXT('12U COED GIRLS-9 TEAMS CUSTOM'!B18,"h:mm am/pm")</f>
        <v>12GC05-B bracket B2,B3-12:00 PM</v>
      </c>
      <c r="I10" s="26" t="str">
        <f>'12U BOYS-16 TEAMS'!D26&amp;"-"&amp;'12U BOYS-16 TEAMS'!I26&amp;"-"&amp;TEXT('12U BOYS-16 TEAMS'!B26,"h:mm am/pm")</f>
        <v>12B06-E bracket E2,E3 silver 1st-3rd-12:00 PM</v>
      </c>
      <c r="K10" s="38">
        <v>0.54166666666666696</v>
      </c>
      <c r="L10" s="31" t="str">
        <f>'19U BOYS PLATINUM GOLD-11 TEAMS'!D19&amp;"-"&amp;'19U BOYS PLATINUM GOLD-11 TEAMS'!I19&amp;"-"&amp;TEXT('19U BOYS PLATINUM GOLD-11 TEAMS'!B19,"h:mm am/pm")</f>
        <v>19Bptau08-1st/2ndC-1:00 PM</v>
      </c>
      <c r="M10" s="31" t="str">
        <f>'19U BOYS PLATINUM GOLD-11 TEAMS'!D20&amp;"-"&amp;'19U BOYS PLATINUM GOLD-11 TEAMS'!I20&amp;"-"&amp;TEXT('19U BOYS PLATINUM GOLD-11 TEAMS'!B20,"h:mm am/pm")</f>
        <v>19Bptau10-3rd/4thB-1:00 PM</v>
      </c>
      <c r="N10" s="27" t="str">
        <f>'16U BOYS SILVER-8 TEAMS'!D15&amp;"-"&amp;'16U BOYS SILVER-8 TEAMS'!I15&amp;"-"&amp;TEXT('16U BOYS SILVER-8 TEAMS'!B15,"h:mm am/pm")</f>
        <v>16Bag06-bracket, B2/B4-1:00 PM</v>
      </c>
      <c r="O10" s="159" t="str">
        <f>'16U BOYS PLATINUM GOLD-10 TEAMS'!D16&amp;"-"&amp;'16U BOYS PLATINUM GOLD-10 TEAMS'!I16&amp;"-"&amp;TEXT('16U BOYS PLATINUM GOLD-10 TEAMS'!B16,"h:mm am/pm")</f>
        <v>16Bptau07-C bracket C1,C2-1:00 PM</v>
      </c>
      <c r="Q10" s="38">
        <v>0.5</v>
      </c>
      <c r="R10" s="28" t="str">
        <f>'14U GIRLS-9 TEAMS'!D19&amp;"-"&amp;'14U GIRLS-9 TEAMS'!I19&amp;"-"&amp;TEXT('14U GIRLS-9 TEAMS'!B19,"h:mm am/pm")</f>
        <v>14G05-B bracket gold 1st-3rd-12:00 PM</v>
      </c>
      <c r="S10" s="33" t="str">
        <f>'14U BOYS GOLD-16 TEAMS'!D16&amp;"-"&amp;'14U BOYS GOLD-16 TEAMS'!I16&amp;"-"&amp;TEXT('14U BOYS GOLD-16 TEAMS'!B16,"h:mm am/pm")</f>
        <v>14Bau06-W/L D2/D3-12:00 PM</v>
      </c>
      <c r="T10" s="33" t="str">
        <f>'14U BOYS GOLD-16 TEAMS'!D17&amp;"-"&amp;'14U BOYS GOLD-16 TEAMS'!I17&amp;"-"&amp;TEXT('14U BOYS GOLD-16 TEAMS'!B17,"h:mm am/pm")</f>
        <v>14Bau08-W/L B1/B4-12:00 PM</v>
      </c>
      <c r="U10" s="32" t="str">
        <f>'14U BOYS PLATINUM-10 TEAMS'!D15&amp;"-"&amp;'14U BOYS PLATINUM-10 TEAMS'!I15&amp;"-"&amp;TEXT('14U BOYS PLATINUM-10 TEAMS'!B15,"h:mm am/pm")</f>
        <v>14Bpt06-B bracket B2,B3-12:00 PM</v>
      </c>
      <c r="V10" s="36" t="str">
        <f>'14U BOYS SILVER-16 TEAMS'!D17&amp;"-"&amp;'14U BOYS SILVER-16 TEAMS'!I17&amp;"-"&amp;TEXT('14U BOYS SILVER-16 TEAMS'!B17,"h:mm am/pm")</f>
        <v>14Bag06-1st/2ndA-12:00 PM</v>
      </c>
    </row>
    <row r="11" spans="1:25">
      <c r="A11" s="1" t="s">
        <v>339</v>
      </c>
      <c r="B11" s="38">
        <v>0.54166666666666696</v>
      </c>
      <c r="C11" s="20" t="str">
        <f>'10U GIRLS COED AU AG-12 TEAMS'!D19&amp;"-"&amp;'10U GIRLS COED AU AG-12 TEAMS'!I19&amp;"-"&amp;TEXT('10U GIRLS COED AU AG-12 TEAMS'!B19,"h:mm am/pm")</f>
        <v>10GCauag11-C bracket  C1,C2 Girls 1st-4th-1:00 PM</v>
      </c>
      <c r="D11" s="20" t="str">
        <f>'10U GIRLS COED AU AG-12 TEAMS'!D18&amp;"-"&amp;'10U GIRLS COED AU AG-12 TEAMS'!I18&amp;"-"&amp;TEXT('10U GIRLS COED AU AG-12 TEAMS'!B18,"h:mm am/pm")</f>
        <v>10GCauag09-A bracket, A1/A3 coed gold 1st-4th-1:00 PM</v>
      </c>
      <c r="F11" s="40">
        <v>0.53472222222222199</v>
      </c>
      <c r="G11" s="26" t="str">
        <f>'12U BOYS-16 TEAMS'!D36&amp;"-"&amp;'12U BOYS-16 TEAMS'!I36&amp;"-"&amp;TEXT('12U BOYS-16 TEAMS'!B36,"h:mm am/pm")</f>
        <v>12B15-1st/2ndD-12:50 PM</v>
      </c>
      <c r="H11" s="24" t="str">
        <f>'12U COED GIRLS-9 TEAMS CUSTOM'!D19&amp;"-"&amp;'12U COED GIRLS-9 TEAMS CUSTOM'!I19&amp;"-"&amp;TEXT('12U COED GIRLS-9 TEAMS CUSTOM'!B19,"h:mm am/pm")</f>
        <v>12GC06-C bracket B2,B4 12U GIRLS 1st/2nd-12:50 PM</v>
      </c>
      <c r="I11" s="26" t="str">
        <f>'12U BOYS-16 TEAMS'!D27&amp;"-"&amp;'12U BOYS-16 TEAMS'!I27&amp;"-"&amp;TEXT('12U BOYS-16 TEAMS'!B27,"h:mm am/pm")</f>
        <v>12B07-A bracket A1,A2 platinum 1st-3rd-12:50 PM</v>
      </c>
      <c r="K11" s="38">
        <v>0.58333333333333304</v>
      </c>
      <c r="L11" s="31" t="str">
        <f>'19U BOYS PLATINUM GOLD-11 TEAMS'!D21&amp;"-"&amp;'19U BOYS PLATINUM GOLD-11 TEAMS'!I21&amp;"-"&amp;TEXT('19U BOYS PLATINUM GOLD-11 TEAMS'!B21,"h:mm am/pm")</f>
        <v>19Bptau09-A bracket A1,A2-2:00 PM</v>
      </c>
      <c r="M11" s="30" t="str">
        <f>'19U BOYS SILVER-5 TEAMS'!D17&amp;"-"&amp;'19U BOYS SILVER-5 TEAMS'!I17&amp;"-"&amp;TEXT('19U BOYS SILVER-5 TEAMS'!B17,"h:mm am/pm")</f>
        <v>19Bag05-A bracket 1/4-2:00 PM</v>
      </c>
      <c r="N11" s="27" t="str">
        <f>'16U BOYS SILVER-8 TEAMS'!D16&amp;"-"&amp;'16U BOYS SILVER-8 TEAMS'!I16&amp;"-"&amp;TEXT('16U BOYS SILVER-8 TEAMS'!B16,"h:mm am/pm")</f>
        <v>16Bag07-bracket, A2/A4-2:00 PM</v>
      </c>
      <c r="O11" s="159" t="str">
        <f>'16U BOYS PLATINUM GOLD-10 TEAMS'!D17&amp;"-"&amp;'16U BOYS PLATINUM GOLD-10 TEAMS'!I17&amp;"-"&amp;TEXT('16U BOYS PLATINUM GOLD-10 TEAMS'!B17,"h:mm am/pm")</f>
        <v>16Bptau08-C bracket C3,C4-2:00 PM</v>
      </c>
      <c r="Q11" s="38">
        <v>0.53472222222222199</v>
      </c>
      <c r="R11" s="28" t="str">
        <f>'14U GIRLS-9 TEAMS'!D20&amp;"-"&amp;'14U GIRLS-9 TEAMS'!I20&amp;"-"&amp;TEXT('14U GIRLS-9 TEAMS'!B20,"h:mm am/pm")</f>
        <v>14G06-A bracket platinum 1st-3rd-12:50 PM</v>
      </c>
      <c r="S11" s="33" t="str">
        <f>'14U BOYS GOLD-16 TEAMS'!D19&amp;"-"&amp;'14U BOYS GOLD-16 TEAMS'!I19&amp;"-"&amp;TEXT('14U BOYS GOLD-16 TEAMS'!B19,"h:mm am/pm")</f>
        <v>14Bau11-3rd/4thC-12:50 PM</v>
      </c>
      <c r="T11" s="33" t="str">
        <f>'14U BOYS GOLD-16 TEAMS'!D18&amp;"-"&amp;'14U BOYS GOLD-16 TEAMS'!I18&amp;"-"&amp;TEXT('14U BOYS GOLD-16 TEAMS'!B18,"h:mm am/pm")</f>
        <v>14Bau09-3rd/4thA (7-1 LAWP)-12:50 PM</v>
      </c>
      <c r="U11" s="32" t="str">
        <f>'14U BOYS PLATINUM-10 TEAMS'!D16&amp;"-"&amp;'14U BOYS PLATINUM-10 TEAMS'!I16&amp;"-"&amp;TEXT('14U BOYS PLATINUM-10 TEAMS'!B16,"h:mm am/pm")</f>
        <v>14Bpt07-C bracket C3,C4-12:50 PM</v>
      </c>
      <c r="V11" s="36" t="str">
        <f>'14U BOYS SILVER-16 TEAMS'!D18&amp;"-"&amp;'14U BOYS SILVER-16 TEAMS'!I18&amp;"-"&amp;TEXT('14U BOYS SILVER-16 TEAMS'!B18,"h:mm am/pm")</f>
        <v>14Bag11-W/L B2/B3-12:50 PM</v>
      </c>
    </row>
    <row r="12" spans="1:25">
      <c r="A12" s="1" t="s">
        <v>339</v>
      </c>
      <c r="B12" s="38">
        <v>0.57638888888888895</v>
      </c>
      <c r="C12" s="20" t="str">
        <f>'10U GIRLS COED AU AG-12 TEAMS'!D21&amp;"-"&amp;'10U GIRLS COED AU AG-12 TEAMS'!I21&amp;"-"&amp;TEXT('10U GIRLS COED AU AG-12 TEAMS'!B21,"h:mm am/pm")</f>
        <v>10GCauag12-C bracket  C3,C4 Girls 1st-4th-1:50 PM</v>
      </c>
      <c r="D12" s="20" t="str">
        <f>'10U GIRLS COED AU AG-12 TEAMS'!D20&amp;"-"&amp;'10U GIRLS COED AU AG-12 TEAMS'!I20&amp;"-"&amp;TEXT('10U GIRLS COED AU AG-12 TEAMS'!B20,"h:mm am/pm")</f>
        <v>10GCauag10-A bracket, A2/A4 coed gold 1st-4th-1:50 PM</v>
      </c>
      <c r="F12" s="38">
        <v>0.56944444444444497</v>
      </c>
      <c r="G12" s="26" t="str">
        <f>'12U BOYS-16 TEAMS'!D37&amp;"-"&amp;'12U BOYS-16 TEAMS'!I37&amp;"-"&amp;TEXT('12U BOYS-16 TEAMS'!B37,"h:mm am/pm")</f>
        <v>12B16-C bracket C1,C2-1:40 PM</v>
      </c>
      <c r="H12" s="24" t="str">
        <f>'12U COED GIRLS-9 TEAMS CUSTOM'!D20&amp;"-"&amp;'12U COED GIRLS-9 TEAMS CUSTOM'!I20&amp;"-"&amp;TEXT('12U COED GIRLS-9 TEAMS CUSTOM'!B20,"h:mm am/pm")</f>
        <v>12GC07-A bracket A1,A2-1:40 PM</v>
      </c>
      <c r="I12" s="26" t="str">
        <f>'12U BOYS-16 TEAMS'!D28&amp;"-"&amp;'12U BOYS-16 TEAMS'!I28&amp;"-"&amp;TEXT('12U BOYS-16 TEAMS'!B28,"h:mm am/pm")</f>
        <v>12B08-B bracket B1,B2-1:40 PM</v>
      </c>
      <c r="K12" s="38">
        <v>0.625</v>
      </c>
      <c r="L12" s="31" t="str">
        <f>'19U BOYS PLATINUM GOLD-11 TEAMS'!D22&amp;"-"&amp;'19U BOYS PLATINUM GOLD-11 TEAMS'!I22&amp;"-"&amp;TEXT('19U BOYS PLATINUM GOLD-11 TEAMS'!B22,"h:mm am/pm")</f>
        <v>19Bptau11-1st/2ndB-3:00 PM</v>
      </c>
      <c r="M12" s="27" t="str">
        <f>'16U BOYS SILVER-8 TEAMS'!D17&amp;"-"&amp;'16U BOYS SILVER-8 TEAMS'!I17&amp;"-"&amp;TEXT('16U BOYS SILVER-8 TEAMS'!B17,"h:mm am/pm")</f>
        <v>16Bag08-bracket, A1/A3-3:00 PM</v>
      </c>
      <c r="N12" s="36" t="str">
        <f>'14U BOYS SILVER-16 TEAMS'!D23&amp;"-"&amp;'14U BOYS SILVER-16 TEAMS'!I23&amp;"-"&amp;TEXT('14U BOYS SILVER-16 TEAMS'!B23,"h:mm am/pm")</f>
        <v>14Bag08-1st/2ndC-3:00 PM</v>
      </c>
      <c r="O12" s="159" t="str">
        <f>'16U BOYS PLATINUM GOLD-10 TEAMS'!D18&amp;"-"&amp;'16U BOYS PLATINUM GOLD-10 TEAMS'!I18&amp;"-"&amp;TEXT('16U BOYS PLATINUM GOLD-10 TEAMS'!B18,"h:mm am/pm")</f>
        <v>16Bptau09-A bracket A1,A3 platinum 1st-3rd-3:00 PM</v>
      </c>
      <c r="Q12" s="38">
        <v>0.56944444444444497</v>
      </c>
      <c r="R12" s="36" t="str">
        <f>'14U BOYS SILVER-16 TEAMS'!D20&amp;"-"&amp;'14U BOYS SILVER-16 TEAMS'!I20&amp;"-"&amp;TEXT('14U BOYS SILVER-16 TEAMS'!B20,"h:mm am/pm")</f>
        <v>14Bag13-3rd/4thD-1:40 PM</v>
      </c>
      <c r="S12" s="33" t="str">
        <f>'14U BOYS GOLD-16 TEAMS'!D21&amp;"-"&amp;'14U BOYS GOLD-16 TEAMS'!I21&amp;"-"&amp;TEXT('14U BOYS GOLD-16 TEAMS'!B21,"h:mm am/pm")</f>
        <v>14Bau12-1st/2ndC-1:40 PM</v>
      </c>
      <c r="T12" s="33" t="str">
        <f>'14U BOYS GOLD-16 TEAMS'!D20&amp;"-"&amp;'14U BOYS GOLD-16 TEAMS'!I20&amp;"-"&amp;TEXT('14U BOYS GOLD-16 TEAMS'!B20,"h:mm am/pm")</f>
        <v>14Bau10-1st/2ndA-1:40 PM</v>
      </c>
      <c r="U12" s="32" t="str">
        <f>'14U BOYS PLATINUM-10 TEAMS'!D17&amp;"-"&amp;'14U BOYS PLATINUM-10 TEAMS'!I17&amp;"-"&amp;TEXT('14U BOYS PLATINUM-10 TEAMS'!B17,"h:mm am/pm")</f>
        <v>14Bpt08-A bracket A1,A2-1:40 PM</v>
      </c>
      <c r="V12" s="36" t="str">
        <f>'14U BOYS SILVER-16 TEAMS'!D19&amp;"-"&amp;'14U BOYS SILVER-16 TEAMS'!I19&amp;"-"&amp;TEXT('14U BOYS SILVER-16 TEAMS'!B19,"h:mm am/pm")</f>
        <v>14Bag12-W/L B1/B4-1:40 PM</v>
      </c>
    </row>
    <row r="13" spans="1:25">
      <c r="B13" s="38">
        <v>0.61111111111111105</v>
      </c>
      <c r="C13" s="21" t="str">
        <f>'10U BOYS &amp; COED PT-7 CUSTOM'!D16&amp;"-"&amp;'10U BOYS &amp; COED PT-7 CUSTOM'!I16&amp;"-"&amp;TEXT('10U BOYS &amp; COED PT-7 CUSTOM'!B16,"h:mm am/pm")</f>
        <v>10BCpt05-A bracket A1,A2 Cpt 1st-3rd-2:40 PM</v>
      </c>
      <c r="D13" s="21" t="str">
        <f>'10U BOYS &amp; COED PT-7 CUSTOM'!D17&amp;"-"&amp;'10U BOYS &amp; COED PT-7 CUSTOM'!I17&amp;"-"&amp;TEXT('10U BOYS &amp; COED PT-7 CUSTOM'!B17,"h:mm am/pm")</f>
        <v>10BCpt06-B bracket B1,B3 Boys 1st-4th-2:40 PM</v>
      </c>
      <c r="F13" s="40">
        <v>0.60416666666666696</v>
      </c>
      <c r="G13" s="37"/>
      <c r="I13" s="26" t="str">
        <f>'12U BOYS-16 TEAMS'!D29&amp;"-"&amp;'12U BOYS-16 TEAMS'!I29&amp;"-"&amp;TEXT('12U BOYS-16 TEAMS'!B29,"h:mm am/pm")</f>
        <v>12B09-E bracket E1,E2 silver 1st-3rd-2:30 PM</v>
      </c>
      <c r="K13" s="38">
        <v>0.66666666666666696</v>
      </c>
      <c r="N13" s="151" t="str">
        <f>'14U BOYS SILVER-16 TEAMS'!D25&amp;"-"&amp;'14U BOYS SILVER-16 TEAMS'!I25&amp;"-"&amp;TEXT('14U BOYS SILVER-16 TEAMS'!B25,"h:mm am/pm")</f>
        <v>14Bag16-1st/2ndB-3:50 PM</v>
      </c>
      <c r="O13" s="159" t="str">
        <f>'16U BOYS PLATINUM GOLD-10 TEAMS'!D19&amp;"-"&amp;'16U BOYS PLATINUM GOLD-10 TEAMS'!I19&amp;"-"&amp;TEXT('16U BOYS PLATINUM GOLD-10 TEAMS'!B19,"h:mm am/pm")</f>
        <v>16Bptau10-B bracket B1,B3-4:00 PM</v>
      </c>
      <c r="Q13" s="38">
        <v>0.60416666666666696</v>
      </c>
      <c r="R13" s="36" t="str">
        <f>'14U BOYS SILVER-16 TEAMS'!D22&amp;"-"&amp;'14U BOYS SILVER-16 TEAMS'!I22&amp;"-"&amp;TEXT('14U BOYS SILVER-16 TEAMS'!B22,"h:mm am/pm")</f>
        <v>14Bag14-1st/2ndD-2:30 PM</v>
      </c>
      <c r="S13" s="33" t="str">
        <f>'14U BOYS GOLD-16 TEAMS'!D22&amp;"-"&amp;'14U BOYS GOLD-16 TEAMS'!I22&amp;"-"&amp;TEXT('14U BOYS GOLD-16 TEAMS'!B22,"h:mm am/pm")</f>
        <v>14Bau13-3rd/4thD-2:30 PM</v>
      </c>
      <c r="T13" s="33" t="str">
        <f>'14U BOYS GOLD-16 TEAMS'!D23&amp;"-"&amp;'14U BOYS GOLD-16 TEAMS'!I23&amp;"-"&amp;TEXT('14U BOYS GOLD-16 TEAMS'!B23,"h:mm am/pm")</f>
        <v>14Bau15-3rd/4thB-2:30 PM</v>
      </c>
      <c r="U13" s="32" t="str">
        <f>'14U BOYS PLATINUM-10 TEAMS'!D18&amp;"-"&amp;'14U BOYS PLATINUM-10 TEAMS'!I18&amp;"-"&amp;TEXT('14U BOYS PLATINUM-10 TEAMS'!B18,"h:mm am/pm")</f>
        <v>14Bpt09-B bracket B1,B2-2:30 PM</v>
      </c>
      <c r="V13" s="36" t="str">
        <f>'14U BOYS SILVER-16 TEAMS'!D21&amp;"-"&amp;'14U BOYS SILVER-16 TEAMS'!I21&amp;"-"&amp;TEXT('14U BOYS SILVER-16 TEAMS'!B21,"h:mm am/pm")</f>
        <v>14Bag07-3rd/4thC-2:30 PM</v>
      </c>
    </row>
    <row r="14" spans="1:25">
      <c r="A14" s="1" t="s">
        <v>339</v>
      </c>
      <c r="B14" s="38">
        <v>0.64583333333333304</v>
      </c>
      <c r="D14" s="21" t="str">
        <f>'10U BOYS &amp; COED PT-7 CUSTOM'!D18&amp;"-"&amp;'10U BOYS &amp; COED PT-7 CUSTOM'!I18&amp;"-"&amp;TEXT('10U BOYS &amp; COED PT-7 CUSTOM'!B18,"h:mm am/pm")</f>
        <v>10BCpt07-B bracket B2,B4 Boys 1st-4th-3:30 PM</v>
      </c>
      <c r="F14" s="182">
        <v>0.64583333333333337</v>
      </c>
      <c r="G14" s="24" t="str">
        <f>'12U COED GIRLS-9 TEAMS CUSTOM'!D22&amp;"-"&amp;'12U COED GIRLS-9 TEAMS CUSTOM'!I22&amp;"-"&amp;TEXT('12U COED GIRLS-9 TEAMS CUSTOM'!B22,"h:mm am/pm")</f>
        <v>12GC08-B bracket B1,B2-3:30 PM</v>
      </c>
      <c r="K14" s="38">
        <v>0.70833333333333404</v>
      </c>
      <c r="Q14" s="38">
        <v>0.63888888888888895</v>
      </c>
      <c r="R14" s="28" t="str">
        <f>'14U GIRLS-9 TEAMS'!D22&amp;"-"&amp;'14U GIRLS-9 TEAMS'!I14&amp;"-"&amp;TEXT('14U GIRLS-9 TEAMS'!B22,"h:mm am/pm")</f>
        <v>14G07-C bracket silver 1st-3rd-3:20 PM</v>
      </c>
      <c r="S14" s="33" t="str">
        <f>'14U BOYS GOLD-16 TEAMS'!D24&amp;"-"&amp;'14U BOYS GOLD-16 TEAMS'!I24&amp;"-"&amp;TEXT('14U BOYS GOLD-16 TEAMS'!B24,"h:mm am/pm")</f>
        <v>14Bau14-1st/2ndD-3:20 PM</v>
      </c>
      <c r="T14" s="33" t="str">
        <f>'14U BOYS GOLD-16 TEAMS'!D25&amp;"-"&amp;'14U BOYS GOLD-16 TEAMS'!I25&amp;"-"&amp;TEXT('14U BOYS GOLD-16 TEAMS'!B25,"h:mm am/pm")</f>
        <v>14Bau16-1st/2ndB-3:20 PM</v>
      </c>
      <c r="U14" s="32" t="str">
        <f>'14U BOYS PLATINUM-10 TEAMS'!D19&amp;"-"&amp;'14U BOYS PLATINUM-10 TEAMS'!I19&amp;"-"&amp;TEXT('14U BOYS PLATINUM-10 TEAMS'!B19,"h:mm am/pm")</f>
        <v>14Bpt10-C bracket C2,C3-3:20 PM</v>
      </c>
      <c r="V14" s="36" t="str">
        <f>'14U BOYS SILVER-16 TEAMS'!D24&amp;"-"&amp;'14U BOYS SILVER-16 TEAMS'!I24&amp;"-"&amp;TEXT('14U BOYS SILVER-16 TEAMS'!B24,"h:mm am/pm")</f>
        <v>14Bag15-3rd/4thB-3:20 PM</v>
      </c>
    </row>
    <row r="15" spans="1:25">
      <c r="A15" s="1" t="s">
        <v>339</v>
      </c>
      <c r="B15" s="38">
        <v>0.68055555555555602</v>
      </c>
      <c r="F15" s="182">
        <v>0.68055555555555558</v>
      </c>
      <c r="G15" s="24" t="str">
        <f>'12U COED GIRLS-9 TEAMS CUSTOM'!D23&amp;"-"&amp;'12U COED GIRLS-9 TEAMS CUSTOM'!I23&amp;"-"&amp;TEXT('12U COED GIRLS-9 TEAMS CUSTOM'!B23,"h:mm am/pm")</f>
        <v>12GC09-C bracket C1,C2-4:20 PM</v>
      </c>
      <c r="Q15" s="38">
        <v>0.67361111111111105</v>
      </c>
      <c r="R15" s="28" t="str">
        <f>'14U GIRLS-9 TEAMS'!D24&amp;"-"&amp;'14U GIRLS-9 TEAMS'!I24&amp;"-"&amp;TEXT('14U GIRLS-9 TEAMS'!B24,"h:mm am/pm")</f>
        <v>14G09-A bracket platinum 1st-3rd-4:10 PM</v>
      </c>
      <c r="S15" s="28" t="str">
        <f>'14U GIRLS-9 TEAMS'!D23&amp;"-"&amp;'14U GIRLS-9 TEAMS'!I23&amp;"-"&amp;TEXT('14U GIRLS-9 TEAMS'!B23,"h:mm am/pm")</f>
        <v>14G08-B bracket gold 1st-3rd-4:10 PM</v>
      </c>
    </row>
    <row r="16" spans="1:25">
      <c r="B16" s="38"/>
      <c r="F16" s="183" t="s">
        <v>340</v>
      </c>
      <c r="Q16" s="38">
        <v>0.70833333333333404</v>
      </c>
    </row>
    <row r="17" spans="2:25">
      <c r="B17" s="38"/>
      <c r="G17" s="37"/>
    </row>
    <row r="18" spans="2:25">
      <c r="B18" s="38"/>
    </row>
    <row r="19" spans="2:25">
      <c r="B19" s="38"/>
    </row>
    <row r="20" spans="2:25" ht="17.45" customHeight="1">
      <c r="B20" s="37"/>
    </row>
    <row r="21" spans="2:25" ht="17.45" customHeight="1">
      <c r="B21" s="37"/>
      <c r="C21" s="1">
        <f>COUNTA(C5:C20)</f>
        <v>9</v>
      </c>
      <c r="D21" s="1">
        <f>COUNTA(D4:D20)</f>
        <v>10</v>
      </c>
      <c r="G21" s="1">
        <f>COUNTA(G4:G20)</f>
        <v>9</v>
      </c>
      <c r="H21" s="1">
        <f>COUNTA(H4:H20)</f>
        <v>7</v>
      </c>
      <c r="I21" s="1">
        <f>COUNTA(I4:I20)</f>
        <v>9</v>
      </c>
      <c r="L21" s="1">
        <f>COUNTA(L4:L20)</f>
        <v>9</v>
      </c>
      <c r="M21" s="1">
        <f>COUNTA(M4:M20)</f>
        <v>8</v>
      </c>
      <c r="N21" s="1">
        <f>COUNTA(N4:N20)</f>
        <v>9</v>
      </c>
      <c r="O21" s="1">
        <f>COUNTA(O4:O20)</f>
        <v>10</v>
      </c>
      <c r="R21" s="1">
        <f>COUNTA(R4:R20)</f>
        <v>12</v>
      </c>
      <c r="S21" s="1">
        <f>COUNTA(S4:S20)</f>
        <v>11</v>
      </c>
      <c r="T21" s="1">
        <f>COUNTA(T4:T20)</f>
        <v>6</v>
      </c>
      <c r="U21" s="1">
        <f>COUNTA(U4:U20)</f>
        <v>10</v>
      </c>
      <c r="V21" s="1">
        <f>COUNTA(V5:V20)</f>
        <v>10</v>
      </c>
      <c r="Y21" s="1">
        <f>SUM(C21:X21)</f>
        <v>129</v>
      </c>
    </row>
    <row r="22" spans="2:25" ht="17.45" customHeight="1">
      <c r="N22" s="1" t="s">
        <v>341</v>
      </c>
    </row>
    <row r="23" spans="2:25" ht="17.45" customHeight="1"/>
    <row r="24" spans="2:25" ht="17.45" customHeight="1"/>
    <row r="26" spans="2:25">
      <c r="B26" s="2"/>
      <c r="C26" s="2"/>
      <c r="D26" s="2"/>
      <c r="E26" s="2"/>
      <c r="F26" s="39"/>
      <c r="G26" s="2"/>
      <c r="H26" s="2"/>
      <c r="I26" s="2"/>
      <c r="J26" s="2"/>
      <c r="K26" s="39"/>
      <c r="L26" s="2"/>
      <c r="M26" s="2"/>
      <c r="N26" s="2"/>
      <c r="O26" s="2"/>
      <c r="P26" s="2"/>
      <c r="Q26" s="39"/>
      <c r="R26" s="2"/>
      <c r="S26" s="2"/>
      <c r="T26" s="2"/>
      <c r="U26" s="2"/>
      <c r="V26" s="2"/>
      <c r="W26" s="2"/>
      <c r="X26" s="2"/>
      <c r="Y26" s="2"/>
    </row>
    <row r="27" spans="2:25">
      <c r="B27" s="32" t="s">
        <v>342</v>
      </c>
    </row>
    <row r="28" spans="2:25">
      <c r="B28" s="1" t="s">
        <v>343</v>
      </c>
      <c r="C28" s="1" t="s">
        <v>321</v>
      </c>
      <c r="D28" s="1" t="s">
        <v>321</v>
      </c>
      <c r="G28" s="1" t="s">
        <v>322</v>
      </c>
      <c r="H28" s="1" t="s">
        <v>322</v>
      </c>
      <c r="I28" s="1" t="s">
        <v>322</v>
      </c>
    </row>
    <row r="29" spans="2:25">
      <c r="C29" s="1" t="s">
        <v>325</v>
      </c>
      <c r="D29" s="1" t="s">
        <v>326</v>
      </c>
      <c r="G29" s="1" t="s">
        <v>327</v>
      </c>
      <c r="H29" s="1" t="s">
        <v>328</v>
      </c>
      <c r="I29" s="1" t="s">
        <v>329</v>
      </c>
      <c r="L29" s="1" t="s">
        <v>330</v>
      </c>
      <c r="M29" s="1" t="s">
        <v>331</v>
      </c>
      <c r="N29" s="1" t="s">
        <v>332</v>
      </c>
      <c r="O29" s="1" t="s">
        <v>333</v>
      </c>
      <c r="R29" s="1" t="s">
        <v>334</v>
      </c>
      <c r="S29" s="1" t="s">
        <v>335</v>
      </c>
      <c r="T29" s="1" t="s">
        <v>336</v>
      </c>
      <c r="U29" s="1" t="s">
        <v>337</v>
      </c>
      <c r="V29" s="1" t="s">
        <v>338</v>
      </c>
    </row>
    <row r="30" spans="2:25">
      <c r="B30" s="38"/>
      <c r="F30" s="38">
        <v>0.29166666666666669</v>
      </c>
      <c r="K30" s="38">
        <v>0.29166666666666669</v>
      </c>
      <c r="M30" s="2"/>
      <c r="N30" s="2"/>
      <c r="Q30" s="38">
        <v>0.29166666666666669</v>
      </c>
      <c r="V30" s="2"/>
    </row>
    <row r="31" spans="2:25">
      <c r="B31" s="38">
        <v>0.33333333333333331</v>
      </c>
      <c r="C31" s="21" t="str">
        <f>'10U BOYS &amp; COED PT-7 CUSTOM'!D22&amp;"-"&amp;'10U BOYS &amp; COED PT-7 CUSTOM'!I22&amp;"-"&amp;TEXT('10U BOYS &amp; COED PT-7 CUSTOM'!B22,"h:mm am/pm")</f>
        <v>10BCpt08-B bracket B3,B4 Boys 1st-4th-8:00 AM</v>
      </c>
      <c r="D31" s="20" t="str">
        <f>'10U GIRLS COED AU AG-12 TEAMS'!D25&amp;"-"&amp;'10U GIRLS COED AU AG-12 TEAMS'!I25&amp;"-"&amp;TEXT('10U GIRLS COED AU AG-12 TEAMS'!B25,"h:mm am/pm")</f>
        <v>10GCauag13-bracket, A1/A2 coed gold 1st-4th-8:00 AM</v>
      </c>
      <c r="E31" s="1" t="s">
        <v>344</v>
      </c>
      <c r="F31" s="38">
        <v>0.3263888888888889</v>
      </c>
      <c r="H31" s="24" t="str">
        <f>'12U COED GIRLS-9 TEAMS CUSTOM'!D27&amp;"-"&amp;'12U COED GIRLS-9 TEAMS CUSTOM'!I27&amp;"-"&amp;TEXT('12U COED GIRLS-9 TEAMS CUSTOM'!B27,"h:mm am/pm")</f>
        <v>12GC10-D bracket D1,D3 Coed 1st-3rd-7:50 AM</v>
      </c>
      <c r="I31" s="26" t="str">
        <f>'12U BOYS-16 TEAMS'!D49&amp;"-"&amp;'12U BOYS-16 TEAMS'!I49&amp;"-"&amp;TEXT('12U BOYS-16 TEAMS'!B49,"h:mm am/pm")</f>
        <v>12B19-cross-7:50 AM</v>
      </c>
      <c r="K31" s="38">
        <v>0.33333333333333298</v>
      </c>
      <c r="L31" s="31" t="str">
        <f>'19U BOYS PLATINUM GOLD-11 TEAMS'!D26&amp;"-"&amp;'19U BOYS PLATINUM GOLD-11 TEAMS'!I26&amp;"-"&amp;TEXT('19U BOYS PLATINUM GOLD-11 TEAMS'!B26,"h:mm am/pm")</f>
        <v>19Bptau12-F1,F2 7th-11th-8:00 AM</v>
      </c>
      <c r="M31" s="31" t="str">
        <f>'19U BOYS PLATINUM GOLD-11 TEAMS'!D27&amp;"-"&amp;'19U BOYS PLATINUM GOLD-11 TEAMS'!I27&amp;"-"&amp;TEXT('19U BOYS PLATINUM GOLD-11 TEAMS'!B27,"h:mm am/pm")</f>
        <v>19Bptau15-E1,E3 4th-6th-8:00 AM</v>
      </c>
      <c r="N31" s="27" t="str">
        <f>'16U BOYS SILVER-8 TEAMS'!D21&amp;"-"&amp;'16U BOYS SILVER-8 TEAMS'!I21&amp;"-"&amp;TEXT('16U BOYS SILVER-8 TEAMS'!B21,"h:mm am/pm")</f>
        <v>16Bag09-bracket, B3/B4-8:00 AM</v>
      </c>
      <c r="O31" s="159" t="str">
        <f>'16U BOYS PLATINUM GOLD-10 TEAMS'!D23&amp;"-"&amp;'16U BOYS PLATINUM GOLD-10 TEAMS'!I23&amp;"-"&amp;TEXT('16U BOYS PLATINUM GOLD-10 TEAMS'!B23,"h:mm am/pm")</f>
        <v>16Bptau11-C bracket C2,C4-8:00 AM</v>
      </c>
      <c r="Q31" s="38">
        <v>0.3263888888888889</v>
      </c>
      <c r="R31" s="28" t="str">
        <f>'14U GIRLS-9 TEAMS'!D28&amp;"-"&amp;'14U GIRLS-9 TEAMS'!I28&amp;"-"&amp;TEXT('14U GIRLS-9 TEAMS'!B28,"h:mm am/pm")</f>
        <v>14G10-plat-gold-silver D1,D3-7:50 AM</v>
      </c>
      <c r="S31" s="33" t="str">
        <f>'14U BOYS GOLD-16 TEAMS'!D29&amp;"-"&amp;'14U BOYS GOLD-16 TEAMS'!I29&amp;"-"&amp;TEXT('14U BOYS GOLD-16 TEAMS'!B29,"h:mm am/pm")</f>
        <v>14Bau27-9-12 semi 3A/3D-7:50 AM</v>
      </c>
      <c r="T31" s="33" t="str">
        <f>'14U BOYS GOLD-16 TEAMS'!D28&amp;"-"&amp;'14U BOYS GOLD-16 TEAMS'!I28&amp;"-"&amp;TEXT('14U BOYS GOLD-16 TEAMS'!B28,"h:mm am/pm")</f>
        <v>14Bau29-13-16 semi-7:50 AM</v>
      </c>
      <c r="U31" s="32" t="str">
        <f>'14U BOYS PLATINUM-10 TEAMS'!D23&amp;"-"&amp;'14U BOYS PLATINUM-10 TEAMS'!I23&amp;"-"&amp;TEXT('14U BOYS PLATINUM-10 TEAMS'!B23,"h:mm am/pm")</f>
        <v>14Bpt11-C bracket C2,C4-7:50 AM</v>
      </c>
      <c r="V31" s="36" t="str">
        <f>'14U BOYS SILVER-16 TEAMS'!D29&amp;"-"&amp;'14U BOYS SILVER-16 TEAMS'!I29&amp;"-"&amp;TEXT('14U BOYS SILVER-16 TEAMS'!B29,"h:mm am/pm")</f>
        <v>14Bag27-9-12 semi 3A/3D-7:50 AM</v>
      </c>
    </row>
    <row r="32" spans="2:25">
      <c r="B32" s="38">
        <v>0.36805555555555558</v>
      </c>
      <c r="C32" s="21" t="str">
        <f>'10U BOYS &amp; COED PT-7 CUSTOM'!D23&amp;"-"&amp;'10U BOYS &amp; COED PT-7 CUSTOM'!I23&amp;"-"&amp;TEXT('10U BOYS &amp; COED PT-7 CUSTOM'!B23,"h:mm am/pm")</f>
        <v>10BCpt09-B bracket B1,B2 Boys 1st-4th-8:50 AM</v>
      </c>
      <c r="D32" s="20" t="str">
        <f>'10U GIRLS COED AU AG-12 TEAMS'!D26&amp;"-"&amp;'10U GIRLS COED AU AG-12 TEAMS'!I26&amp;"-"&amp;TEXT('10U GIRLS COED AU AG-12 TEAMS'!B26,"h:mm am/pm")</f>
        <v>10GCauag14-bracket, A3/A4 coed gold 1st-4th-8:50 AM</v>
      </c>
      <c r="F32" s="38">
        <v>0.36111111111111099</v>
      </c>
      <c r="G32" s="26" t="str">
        <f>'12U BOYS-16 TEAMS'!D40&amp;"-"&amp;'12U BOYS-16 TEAMS'!I40&amp;"-"&amp;TEXT('12U BOYS-16 TEAMS'!B40,"h:mm am/pm")</f>
        <v>12B17-G bracket G1,G3 gold 4th-6th-8:40 AM</v>
      </c>
      <c r="H32" s="24" t="str">
        <f>'12U COED GIRLS-9 TEAMS CUSTOM'!D28&amp;"-"&amp;'12U COED GIRLS-9 TEAMS CUSTOM'!I28&amp;"-"&amp;TEXT('12U COED GIRLS-9 TEAMS CUSTOM'!B28,"h:mm am/pm")</f>
        <v>12GC11-E bracket E1,E3 cross-8:40 AM</v>
      </c>
      <c r="I32" s="26" t="str">
        <f>'12U BOYS-16 TEAMS'!D50&amp;"-"&amp;'12U BOYS-16 TEAMS'!I50&amp;"-"&amp;TEXT('12U BOYS-16 TEAMS'!B50,"h:mm am/pm")</f>
        <v>12B20-cross-8:40 AM</v>
      </c>
      <c r="K32" s="38">
        <v>0.375</v>
      </c>
      <c r="L32" s="31" t="str">
        <f>'19U BOYS PLATINUM GOLD-11 TEAMS'!D28&amp;"-"&amp;'19U BOYS PLATINUM GOLD-11 TEAMS'!I28&amp;"-"&amp;TEXT('19U BOYS PLATINUM GOLD-11 TEAMS'!B28,"h:mm am/pm")</f>
        <v>19Bptau13-F3,F5 7th-11th-9:00 AM</v>
      </c>
      <c r="M32" s="30" t="str">
        <f>'19U BOYS SILVER-5 TEAMS'!D21&amp;"-"&amp;'19U BOYS SILVER-5 TEAMS'!I21&amp;"-"&amp;TEXT('19U BOYS SILVER-5 TEAMS'!B21,"h:mm am/pm")</f>
        <v>19Bag06-A bracket 2/3-9:00 AM</v>
      </c>
      <c r="N32" s="27" t="str">
        <f>'16U BOYS SILVER-8 TEAMS'!D22&amp;"-"&amp;'16U BOYS SILVER-8 TEAMS'!I22&amp;"-"&amp;TEXT('16U BOYS SILVER-8 TEAMS'!B22,"h:mm am/pm")</f>
        <v>16Bag10-bracket, A3/A4-9:00 AM</v>
      </c>
      <c r="O32" s="159" t="str">
        <f>'16U BOYS PLATINUM GOLD-10 TEAMS'!D24&amp;"-"&amp;'16U BOYS PLATINUM GOLD-10 TEAMS'!I24&amp;"-"&amp;TEXT('16U BOYS PLATINUM GOLD-10 TEAMS'!B24,"h:mm am/pm")</f>
        <v>16Bptau12-C bracket C1,C3-9:00 AM</v>
      </c>
      <c r="Q32" s="38">
        <v>0.36111111111111099</v>
      </c>
      <c r="R32" s="28" t="str">
        <f>'14U GIRLS-9 TEAMS'!D29&amp;"-"&amp;'14U GIRLS-9 TEAMS'!I29&amp;"-"&amp;TEXT('14U GIRLS-9 TEAMS'!B29,"h:mm am/pm")</f>
        <v>14G11-plat-gold-silver E1,E3-8:40 AM</v>
      </c>
      <c r="S32" s="33" t="str">
        <f>'14U BOYS GOLD-16 TEAMS'!D31&amp;"-"&amp;'14U BOYS GOLD-16 TEAMS'!I31&amp;"-"&amp;TEXT('14U BOYS GOLD-16 TEAMS'!B31,"h:mm am/pm")</f>
        <v>14Bau28-9-12 semi 3B/3C-8:40 AM</v>
      </c>
      <c r="T32" s="33" t="str">
        <f>'14U BOYS GOLD-16 TEAMS'!D30&amp;"-"&amp;'14U BOYS GOLD-16 TEAMS'!I30&amp;"-"&amp;TEXT('14U BOYS GOLD-16 TEAMS'!B30,"h:mm am/pm")</f>
        <v>14Bau30-13-16 semi-8:40 AM</v>
      </c>
      <c r="U32" s="32" t="str">
        <f>'14U BOYS PLATINUM-10 TEAMS'!D24&amp;"-"&amp;'14U BOYS PLATINUM-10 TEAMS'!I24&amp;"-"&amp;TEXT('14U BOYS PLATINUM-10 TEAMS'!B24,"h:mm am/pm")</f>
        <v>14Bpt12-C bracket C1,C3-8:40 AM</v>
      </c>
      <c r="V32" s="36" t="str">
        <f>'14U BOYS SILVER-16 TEAMS'!D30&amp;"-"&amp;'14U BOYS SILVER-16 TEAMS'!I30&amp;"-"&amp;TEXT('14U BOYS SILVER-16 TEAMS'!B30,"h:mm am/pm")</f>
        <v>14Bag28-9-12 semi 3B/3C-8:40 AM</v>
      </c>
    </row>
    <row r="33" spans="1:22">
      <c r="A33" s="1" t="s">
        <v>339</v>
      </c>
      <c r="B33" s="38">
        <v>0.40277777777777801</v>
      </c>
      <c r="C33" s="20" t="str">
        <f>'10U GIRLS COED AU AG-12 TEAMS'!D27&amp;"-"&amp;'10U GIRLS COED AU AG-12 TEAMS'!I27&amp;"-"&amp;TEXT('10U GIRLS COED AU AG-12 TEAMS'!B27,"h:mm am/pm")</f>
        <v>10GCauag15-bracket, B1/B2 coed silver 1st-4th-9:40 AM</v>
      </c>
      <c r="D33" s="20" t="str">
        <f>'10U GIRLS COED AU AG-12 TEAMS'!D28&amp;"-"&amp;'10U GIRLS COED AU AG-12 TEAMS'!I28&amp;"-"&amp;TEXT('10U GIRLS COED AU AG-12 TEAMS'!B28,"h:mm am/pm")</f>
        <v>10GCauag16-bracket, B3/B4 coed silver 1st-4th-9:40 AM</v>
      </c>
      <c r="F33" s="38">
        <v>0.39583333333333398</v>
      </c>
      <c r="G33" s="26" t="str">
        <f>'12U BOYS-16 TEAMS'!D41&amp;"-"&amp;'12U BOYS-16 TEAMS'!I41&amp;"-"&amp;TEXT('12U BOYS-16 TEAMS'!B41,"h:mm am/pm")</f>
        <v>12B18-F bracket F1,F3 gold 1st-3rd-9:30 AM</v>
      </c>
      <c r="H33" s="24" t="str">
        <f>'12U COED GIRLS-9 TEAMS CUSTOM'!D29&amp;"-"&amp;'12U COED GIRLS-9 TEAMS CUSTOM'!I29&amp;"-"&amp;TEXT('12U COED GIRLS-9 TEAMS CUSTOM'!B29,"h:mm am/pm")</f>
        <v>12GC12-F bracket F1,F3 cross-9:30 AM</v>
      </c>
      <c r="I33" s="26" t="str">
        <f>'12U BOYS-16 TEAMS'!D51&amp;"-"&amp;'12U BOYS-16 TEAMS'!I51&amp;"-"&amp;TEXT('12U BOYS-16 TEAMS'!B51,"h:mm am/pm")</f>
        <v>12B23-cross-9:30 AM</v>
      </c>
      <c r="K33" s="38">
        <v>0.41666666666666702</v>
      </c>
      <c r="L33" s="31" t="str">
        <f>'19U BOYS PLATINUM GOLD-11 TEAMS'!D29&amp;"-"&amp;'19U BOYS PLATINUM GOLD-11 TEAMS'!I29&amp;"-"&amp;TEXT('19U BOYS PLATINUM GOLD-11 TEAMS'!B29,"h:mm am/pm")</f>
        <v>19Bptau14-D1,D3 1st-3rd-10:00 AM</v>
      </c>
      <c r="M33" s="30" t="str">
        <f>'19U BOYS SILVER-5 TEAMS'!D22&amp;"-"&amp;'19U BOYS SILVER-5 TEAMS'!I22&amp;"-"&amp;TEXT('19U BOYS SILVER-5 TEAMS'!B22,"h:mm am/pm")</f>
        <v>19Bag07-A bracket 4/5-10:00 AM</v>
      </c>
      <c r="N33" s="27" t="str">
        <f>'16U BOYS SILVER-8 TEAMS'!D23&amp;"-"&amp;'16U BOYS SILVER-8 TEAMS'!I23&amp;"-"&amp;TEXT('16U BOYS SILVER-8 TEAMS'!B23,"h:mm am/pm")</f>
        <v>16Bag11-bracket, B1/B2-10:00 AM</v>
      </c>
      <c r="O33" s="159" t="str">
        <f>'16U BOYS PLATINUM GOLD-10 TEAMS'!D25&amp;"-"&amp;'16U BOYS PLATINUM GOLD-10 TEAMS'!I25&amp;"-"&amp;TEXT('16U BOYS PLATINUM GOLD-10 TEAMS'!B25,"h:mm am/pm")</f>
        <v>16Bptau13-cross-10:00 AM</v>
      </c>
      <c r="Q33" s="38">
        <v>0.39583333333333398</v>
      </c>
      <c r="R33" s="28" t="str">
        <f>'14U GIRLS-9 TEAMS'!D30&amp;"-"&amp;'14U GIRLS-9 TEAMS'!I30&amp;"-"&amp;TEXT('14U GIRLS-9 TEAMS'!B30,"h:mm am/pm")</f>
        <v>14G12-plat-gold-silver F1,F3-9:30 AM</v>
      </c>
      <c r="S33" s="33" t="str">
        <f>'14U BOYS GOLD-16 TEAMS'!D32&amp;"-"&amp;'14U BOYS GOLD-16 TEAMS'!I32&amp;"-"&amp;TEXT('14U BOYS GOLD-16 TEAMS'!B32,"h:mm am/pm")</f>
        <v>14Bau21-5-8 semi 2D/2A-9:30 AM</v>
      </c>
      <c r="T33" s="36" t="str">
        <f>'14U BOYS SILVER-16 TEAMS'!D32&amp;"-"&amp;'14U BOYS SILVER-16 TEAMS'!I32&amp;"-"&amp;TEXT('14U BOYS SILVER-16 TEAMS'!B32,"h:mm am/pm")</f>
        <v>14Bag29-13-16 semi-9:30 AM</v>
      </c>
      <c r="U33" s="32" t="str">
        <f>'14U BOYS PLATINUM-10 TEAMS'!D25&amp;"-"&amp;'14U BOYS PLATINUM-10 TEAMS'!I25&amp;"-"&amp;TEXT('14U BOYS PLATINUM-10 TEAMS'!B25,"h:mm am/pm")</f>
        <v>14Bpt13-5th-10th 2A/3B-9:30 AM</v>
      </c>
      <c r="V33" s="36" t="str">
        <f>'14U BOYS SILVER-16 TEAMS'!D31&amp;"-"&amp;'14U BOYS SILVER-16 TEAMS'!I31&amp;"-"&amp;TEXT('14U BOYS SILVER-16 TEAMS'!B31,"h:mm am/pm")</f>
        <v>14Bag21-5-8 semi 2D/2A-9:30 AM</v>
      </c>
    </row>
    <row r="34" spans="1:22">
      <c r="A34" s="1" t="s">
        <v>339</v>
      </c>
      <c r="B34" s="38">
        <v>0.4375</v>
      </c>
      <c r="C34" s="21" t="str">
        <f>'10U BOYS &amp; COED PT-7 CUSTOM'!D25&amp;"-"&amp;'10U BOYS &amp; COED PT-7 CUSTOM'!I25&amp;"-"&amp;TEXT('10U BOYS &amp; COED PT-7 CUSTOM'!B25,"h:mm am/pm")</f>
        <v>10BCpt10-cross-10:30 AM</v>
      </c>
      <c r="D34" s="20" t="str">
        <f>'10U GIRLS COED AU AG-12 TEAMS'!D29&amp;"-"&amp;'10U GIRLS COED AU AG-12 TEAMS'!I29&amp;"-"&amp;TEXT('10U GIRLS COED AU AG-12 TEAMS'!B29,"h:mm am/pm")</f>
        <v>10GCauag17-cross-10:30 AM</v>
      </c>
      <c r="F34" s="38">
        <v>0.43055555555555602</v>
      </c>
      <c r="H34" s="24" t="str">
        <f>'12U COED GIRLS-9 TEAMS CUSTOM'!D30&amp;"-"&amp;'12U COED GIRLS-9 TEAMS CUSTOM'!I30&amp;"-"&amp;TEXT('12U COED GIRLS-9 TEAMS CUSTOM'!B30,"h:mm am/pm")</f>
        <v>12GC13-D bracket D2,D3 Coed 1st-3rd-10:20 AM</v>
      </c>
      <c r="I34" s="26" t="str">
        <f>'12U BOYS-16 TEAMS'!D52&amp;"-"&amp;'12U BOYS-16 TEAMS'!I52&amp;"-"&amp;TEXT('12U BOYS-16 TEAMS'!B52,"h:mm am/pm")</f>
        <v>12B24-cross-10:20 AM</v>
      </c>
      <c r="K34" s="38">
        <v>0.45833333333333298</v>
      </c>
      <c r="L34" s="31" t="str">
        <f>'19U BOYS PLATINUM GOLD-11 TEAMS'!D30&amp;"-"&amp;'19U BOYS PLATINUM GOLD-11 TEAMS'!I30&amp;"-"&amp;TEXT('19U BOYS PLATINUM GOLD-11 TEAMS'!B30,"h:mm am/pm")</f>
        <v>19Bptau16-F2,F4 7th-11th-11:00 AM</v>
      </c>
      <c r="M34" s="31" t="str">
        <f>'19U BOYS PLATINUM GOLD-11 TEAMS'!D31&amp;"-"&amp;'19U BOYS PLATINUM GOLD-11 TEAMS'!I31&amp;"-"&amp;TEXT('19U BOYS PLATINUM GOLD-11 TEAMS'!B31,"h:mm am/pm")</f>
        <v>19Bptau19-E2,E3 4th-6th-11:00 AM</v>
      </c>
      <c r="N34" s="27" t="str">
        <f>'16U BOYS SILVER-8 TEAMS'!D24&amp;"-"&amp;'16U BOYS SILVER-8 TEAMS'!I24&amp;"-"&amp;TEXT('16U BOYS SILVER-8 TEAMS'!B24,"h:mm am/pm")</f>
        <v>16Bag12-bracket, A1/A2-11:00 AM</v>
      </c>
      <c r="O34" s="159" t="str">
        <f>'16U BOYS PLATINUM GOLD-10 TEAMS'!D26&amp;"-"&amp;'16U BOYS PLATINUM GOLD-10 TEAMS'!I26&amp;"-"&amp;TEXT('16U BOYS PLATINUM GOLD-10 TEAMS'!B26,"h:mm am/pm")</f>
        <v>16Bptau14-cross-11:00 AM</v>
      </c>
      <c r="Q34" s="38">
        <v>0.43055555555555602</v>
      </c>
      <c r="R34" s="28" t="str">
        <f>'14U GIRLS-9 TEAMS'!D31&amp;"-"&amp;'14U GIRLS-9 TEAMS'!I31&amp;"-"&amp;TEXT('14U GIRLS-9 TEAMS'!B31,"h:mm am/pm")</f>
        <v>14G13-plat-gold-silver D2,D3-10:20 AM</v>
      </c>
      <c r="S34" s="33" t="str">
        <f>'14U BOYS GOLD-16 TEAMS'!D33&amp;"-"&amp;'14U BOYS GOLD-16 TEAMS'!I33&amp;"-"&amp;TEXT('14U BOYS GOLD-16 TEAMS'!B33,"h:mm am/pm")</f>
        <v>14Bau22-5-8 semi 2C/2B-10:20 AM</v>
      </c>
      <c r="T34" s="36" t="str">
        <f>'14U BOYS SILVER-16 TEAMS'!D33&amp;"-"&amp;'14U BOYS SILVER-16 TEAMS'!I33&amp;"-"&amp;TEXT('14U BOYS SILVER-16 TEAMS'!B33,"h:mm am/pm")</f>
        <v>14Bag30-13-16 semi-10:20 AM</v>
      </c>
      <c r="U34" s="32" t="str">
        <f>'14U BOYS PLATINUM-10 TEAMS'!D26&amp;"-"&amp;'14U BOYS PLATINUM-10 TEAMS'!I26&amp;"-"&amp;TEXT('14U BOYS PLATINUM-10 TEAMS'!B26,"h:mm am/pm")</f>
        <v>14Bpt14-5th-10th 3A/2B-10:20 AM</v>
      </c>
      <c r="V34" s="36" t="str">
        <f>'14U BOYS SILVER-16 TEAMS'!D34&amp;"-"&amp;'14U BOYS SILVER-16 TEAMS'!I34&amp;"-"&amp;TEXT('14U BOYS SILVER-16 TEAMS'!B34,"h:mm am/pm")</f>
        <v>14Bag22-5-8 semi 2C/2B-10:20 AM</v>
      </c>
    </row>
    <row r="35" spans="1:22">
      <c r="A35" s="1" t="s">
        <v>339</v>
      </c>
      <c r="B35" s="38">
        <v>0.47222222222222199</v>
      </c>
      <c r="C35" s="21" t="str">
        <f>'10U BOYS &amp; COED PT-7 CUSTOM'!D26&amp;"-"&amp;'10U BOYS &amp; COED PT-7 CUSTOM'!I26&amp;"-"&amp;TEXT('10U BOYS &amp; COED PT-7 CUSTOM'!B26,"h:mm am/pm")</f>
        <v>10BCpt11-cross-11:20 AM</v>
      </c>
      <c r="D35" s="20" t="str">
        <f>'10U GIRLS COED AU AG-12 TEAMS'!D30&amp;"-"&amp;'10U GIRLS COED AU AG-12 TEAMS'!I30&amp;"-"&amp;TEXT('10U GIRLS COED AU AG-12 TEAMS'!B30,"h:mm am/pm")</f>
        <v>10GCauag18-cross-11:20 AM</v>
      </c>
      <c r="F35" s="38">
        <v>0.46527777777777801</v>
      </c>
      <c r="G35" s="26" t="str">
        <f>'12U BOYS-16 TEAMS'!D43&amp;"-"&amp;'12U BOYS-16 TEAMS'!I43&amp;"-"&amp;TEXT('12U BOYS-16 TEAMS'!B43,"h:mm am/pm")</f>
        <v>12B21-G bracket G2,G3 gold 4th-6th-11:10 AM</v>
      </c>
      <c r="H35" s="24" t="str">
        <f>'12U COED GIRLS-9 TEAMS CUSTOM'!D31&amp;"-"&amp;'12U COED GIRLS-9 TEAMS CUSTOM'!I31&amp;"-"&amp;TEXT('12U COED GIRLS-9 TEAMS CUSTOM'!B31,"h:mm am/pm")</f>
        <v>12GC14-E bracket E2,E3 cross-11:10 AM</v>
      </c>
      <c r="I35" s="26" t="str">
        <f>'12U BOYS-16 TEAMS'!D53&amp;"-"&amp;'12U BOYS-16 TEAMS'!I53&amp;"-"&amp;TEXT('12U BOYS-16 TEAMS'!B53,"h:mm am/pm")</f>
        <v>12B27-cross-11:10 AM</v>
      </c>
      <c r="K35" s="38">
        <v>0.5</v>
      </c>
      <c r="L35" s="31" t="str">
        <f>'19U BOYS PLATINUM GOLD-11 TEAMS'!D32&amp;"-"&amp;'19U BOYS PLATINUM GOLD-11 TEAMS'!I32&amp;"-"&amp;TEXT('19U BOYS PLATINUM GOLD-11 TEAMS'!B32,"h:mm am/pm")</f>
        <v>19Bptau17-F1,F3 7th-11th-12:00 PM</v>
      </c>
      <c r="M35" s="30" t="str">
        <f>'19U BOYS SILVER-5 TEAMS'!D24&amp;"-"&amp;'19U BOYS SILVER-5 TEAMS'!I24&amp;"-"&amp;TEXT('19U BOYS SILVER-5 TEAMS'!B24,"h:mm am/pm")</f>
        <v>19Bag08-A bracket 1/2-12:00 PM</v>
      </c>
      <c r="N35" s="27" t="str">
        <f>'16U BOYS SILVER-8 TEAMS'!D25&amp;"-"&amp;'16U BOYS SILVER-8 TEAMS'!I25&amp;"-"&amp;TEXT('16U BOYS SILVER-8 TEAMS'!B25,"h:mm am/pm")</f>
        <v>16Bag13-7th-12:00 PM</v>
      </c>
      <c r="O35" s="159" t="str">
        <f>'16U BOYS PLATINUM GOLD-10 TEAMS'!D27&amp;"-"&amp;'16U BOYS PLATINUM GOLD-10 TEAMS'!I27&amp;"-"&amp;TEXT('16U BOYS PLATINUM GOLD-10 TEAMS'!B27,"h:mm am/pm")</f>
        <v>16Bptau15-Gold 3rd-12:00 PM</v>
      </c>
      <c r="Q35" s="38">
        <v>0.46527777777777801</v>
      </c>
      <c r="R35" s="28" t="str">
        <f>'14U GIRLS-9 TEAMS'!D32&amp;"-"&amp;'14U GIRLS-9 TEAMS'!I32&amp;"-"&amp;TEXT('14U GIRLS-9 TEAMS'!B32,"h:mm am/pm")</f>
        <v>14G14-plat-gold-silver E2,E3-11:10 AM</v>
      </c>
      <c r="S35" s="33" t="str">
        <f>'14U BOYS GOLD-16 TEAMS'!D34&amp;"-"&amp;'14U BOYS GOLD-16 TEAMS'!I34&amp;"-"&amp;TEXT('14U BOYS GOLD-16 TEAMS'!B34,"h:mm am/pm")</f>
        <v>14Bau19-1-4 semi 1A/1D-11:10 AM</v>
      </c>
      <c r="T35" s="33" t="str">
        <f>'14U BOYS GOLD-16 TEAMS'!D35&amp;"-"&amp;'14U BOYS GOLD-16 TEAMS'!I35&amp;"-"&amp;TEXT('14U BOYS GOLD-16 TEAMS'!B35,"h:mm am/pm")</f>
        <v>14Bau34-13th-11:10 AM</v>
      </c>
      <c r="U35" s="32" t="str">
        <f>'14U BOYS PLATINUM-10 TEAMS'!D27&amp;"-"&amp;'14U BOYS PLATINUM-10 TEAMS'!I27&amp;"-"&amp;TEXT('14U BOYS PLATINUM-10 TEAMS'!B27,"h:mm am/pm")</f>
        <v>14Bpt15-1-4 semi 1A/2C-11:10 AM</v>
      </c>
      <c r="V35" s="36" t="str">
        <f>'14U BOYS SILVER-16 TEAMS'!D35&amp;"-"&amp;'14U BOYS SILVER-16 TEAMS'!I35&amp;"-"&amp;TEXT('14U BOYS SILVER-16 TEAMS'!B35,"h:mm am/pm")</f>
        <v>14Bag19-1-4 semi 1A/1D-11:10 AM</v>
      </c>
    </row>
    <row r="36" spans="1:22">
      <c r="B36" s="38">
        <v>0.50694444444444398</v>
      </c>
      <c r="C36" s="21" t="str">
        <f>'10U BOYS &amp; COED PT-7 CUSTOM'!D27&amp;"-"&amp;'10U BOYS &amp; COED PT-7 CUSTOM'!I27&amp;"-"&amp;TEXT('10U BOYS &amp; COED PT-7 CUSTOM'!B27,"h:mm am/pm")</f>
        <v>10BCpt12-cross-12:10 PM</v>
      </c>
      <c r="D36" s="20" t="str">
        <f>'10U GIRLS COED AU AG-12 TEAMS'!D31&amp;"-"&amp;'10U GIRLS COED AU AG-12 TEAMS'!I31&amp;"-"&amp;TEXT('10U GIRLS COED AU AG-12 TEAMS'!B31,"h:mm am/pm")</f>
        <v>10GCauag19-cross-12:10 PM</v>
      </c>
      <c r="F36" s="38">
        <v>0.5</v>
      </c>
      <c r="G36" s="26" t="str">
        <f>'12U BOYS-16 TEAMS'!D44&amp;"-"&amp;'12U BOYS-16 TEAMS'!I44&amp;"-"&amp;TEXT('12U BOYS-16 TEAMS'!B44,"h:mm am/pm")</f>
        <v>12B22-F bracket F2,F3 gold 1st-3rd-12:00 PM</v>
      </c>
      <c r="H36" s="24" t="str">
        <f>'12U COED GIRLS-9 TEAMS CUSTOM'!D32&amp;"-"&amp;'12U COED GIRLS-9 TEAMS CUSTOM'!I32&amp;"-"&amp;TEXT('12U COED GIRLS-9 TEAMS CUSTOM'!B32,"h:mm am/pm")</f>
        <v>12GC15-F bracket F2,F3 cross-12:00 PM</v>
      </c>
      <c r="I36" s="26" t="str">
        <f>'12U BOYS-16 TEAMS'!D54&amp;"-"&amp;'12U BOYS-16 TEAMS'!I54&amp;"-"&amp;TEXT('12U BOYS-16 TEAMS'!B54,"h:mm am/pm")</f>
        <v>12B28-cross-12:00 PM</v>
      </c>
      <c r="K36" s="38">
        <v>0.54166666666666696</v>
      </c>
      <c r="L36" s="31" t="str">
        <f>'19U BOYS PLATINUM GOLD-11 TEAMS'!D33&amp;"-"&amp;'19U BOYS PLATINUM GOLD-11 TEAMS'!I33&amp;"-"&amp;TEXT('19U BOYS PLATINUM GOLD-11 TEAMS'!B33,"h:mm am/pm")</f>
        <v>19Bptau18-D2,D3 1st-3rd-1:00 PM</v>
      </c>
      <c r="M36" s="30" t="str">
        <f>'19U BOYS SILVER-5 TEAMS'!D25&amp;"-"&amp;'19U BOYS SILVER-5 TEAMS'!I25&amp;"-"&amp;TEXT('19U BOYS SILVER-5 TEAMS'!B25,"h:mm am/pm")</f>
        <v>19Bag09-A bracket 3/4-1:00 PM</v>
      </c>
      <c r="N36" s="27" t="str">
        <f>'16U BOYS SILVER-8 TEAMS'!D26&amp;"-"&amp;'16U BOYS SILVER-8 TEAMS'!I26&amp;"-"&amp;TEXT('16U BOYS SILVER-8 TEAMS'!B26,"h:mm am/pm")</f>
        <v>16Bag14-5th-1:00 PM</v>
      </c>
      <c r="O36" s="159" t="str">
        <f>'16U BOYS PLATINUM GOLD-10 TEAMS'!D28&amp;"-"&amp;'16U BOYS PLATINUM GOLD-10 TEAMS'!I28&amp;"-"&amp;TEXT('16U BOYS PLATINUM GOLD-10 TEAMS'!B28,"h:mm am/pm")</f>
        <v>16Bptau16-Gold 1st-1:00 PM</v>
      </c>
      <c r="Q36" s="38">
        <v>0.5</v>
      </c>
      <c r="R36" s="28" t="str">
        <f>'14U GIRLS-9 TEAMS'!D33&amp;"-"&amp;'14U GIRLS-9 TEAMS'!I33&amp;"-"&amp;TEXT('14U GIRLS-9 TEAMS'!B33,"h:mm am/pm")</f>
        <v>14G15-plat-gold-silver F2,F3-12:00 PM</v>
      </c>
      <c r="S36" s="33" t="str">
        <f>'14U BOYS GOLD-16 TEAMS'!D37&amp;"-"&amp;'14U BOYS GOLD-16 TEAMS'!I37&amp;"-"&amp;TEXT('14U BOYS GOLD-16 TEAMS'!B37,"h:mm am/pm")</f>
        <v>14Bau20-1-4 semi 1B/1C-12:00 PM</v>
      </c>
      <c r="T36" s="33" t="str">
        <f>'14U BOYS GOLD-16 TEAMS'!D36&amp;"-"&amp;'14U BOYS GOLD-16 TEAMS'!I36&amp;"-"&amp;TEXT('14U BOYS GOLD-16 TEAMS'!B36,"h:mm am/pm")</f>
        <v>14Bau33-15th-12:00 PM</v>
      </c>
      <c r="U36" s="32" t="str">
        <f>'14U BOYS PLATINUM-10 TEAMS'!D28&amp;"-"&amp;'14U BOYS PLATINUM-10 TEAMS'!I28&amp;"-"&amp;TEXT('14U BOYS PLATINUM-10 TEAMS'!B28,"h:mm am/pm")</f>
        <v>14Bpt16-1-4 semi 1B/1C-12:00 PM</v>
      </c>
      <c r="V36" s="36" t="str">
        <f>'14U BOYS SILVER-16 TEAMS'!D36&amp;"-"&amp;'14U BOYS SILVER-16 TEAMS'!I36&amp;"-"&amp;TEXT('14U BOYS SILVER-16 TEAMS'!B36,"h:mm am/pm")</f>
        <v>14Bag20-1-4 semi 1B/1C-12:00 PM</v>
      </c>
    </row>
    <row r="37" spans="1:22">
      <c r="B37" s="38">
        <v>0.54166666666666696</v>
      </c>
      <c r="C37" s="21" t="str">
        <f>'10U BOYS &amp; COED PT-7 CUSTOM'!D28&amp;"-"&amp;'10U BOYS &amp; COED PT-7 CUSTOM'!I28&amp;"-"&amp;TEXT('10U BOYS &amp; COED PT-7 CUSTOM'!B28,"h:mm am/pm")</f>
        <v>10BCpt13-cross-1:00 PM</v>
      </c>
      <c r="D37" s="20" t="str">
        <f>'10U GIRLS COED AU AG-12 TEAMS'!D32&amp;"-"&amp;'10U GIRLS COED AU AG-12 TEAMS'!I32&amp;"-"&amp;TEXT('10U GIRLS COED AU AG-12 TEAMS'!B32,"h:mm am/pm")</f>
        <v>10GCauag20-cross-1:00 PM</v>
      </c>
      <c r="F37" s="38">
        <v>0.53472222222222199</v>
      </c>
      <c r="H37" s="24" t="str">
        <f>'12U COED GIRLS-9 TEAMS CUSTOM'!D33&amp;"-"&amp;'12U COED GIRLS-9 TEAMS CUSTOM'!I33&amp;"-"&amp;TEXT('12U COED GIRLS-9 TEAMS CUSTOM'!B33,"h:mm am/pm")</f>
        <v>12GC16-D bracket D1,D2 Coed 1st-3rd-12:50 PM</v>
      </c>
      <c r="I37" s="26" t="str">
        <f>'12U BOYS-16 TEAMS'!D55&amp;"-"&amp;'12U BOYS-16 TEAMS'!I55&amp;"-"&amp;TEXT('12U BOYS-16 TEAMS'!B55,"h:mm am/pm")</f>
        <v>12B29-cross-12:50 PM</v>
      </c>
      <c r="K37" s="38">
        <v>0.58333333333333304</v>
      </c>
      <c r="L37" s="31" t="str">
        <f>'19U BOYS PLATINUM GOLD-11 TEAMS'!D34&amp;"-"&amp;'19U BOYS PLATINUM GOLD-11 TEAMS'!I34&amp;"-"&amp;TEXT('19U BOYS PLATINUM GOLD-11 TEAMS'!B34,"h:mm am/pm")</f>
        <v>19Bptau20-F4,F5 7th-11th-2:00 PM</v>
      </c>
      <c r="M37" s="31" t="str">
        <f>'19U BOYS PLATINUM GOLD-11 TEAMS'!D35&amp;"-"&amp;'19U BOYS PLATINUM GOLD-11 TEAMS'!I35&amp;"-"&amp;TEXT('19U BOYS PLATINUM GOLD-11 TEAMS'!B35,"h:mm am/pm")</f>
        <v>19Bptau22-E1,E2 4th-6th-2:00 PM</v>
      </c>
      <c r="N37" s="27" t="str">
        <f>'16U BOYS SILVER-8 TEAMS'!D27&amp;"-"&amp;'16U BOYS SILVER-8 TEAMS'!I27&amp;"-"&amp;TEXT('16U BOYS SILVER-8 TEAMS'!B27,"h:mm am/pm")</f>
        <v>16Bag15-3rd-2:00 PM</v>
      </c>
      <c r="O37" s="159" t="str">
        <f>'16U BOYS PLATINUM GOLD-10 TEAMS'!D29&amp;"-"&amp;'16U BOYS PLATINUM GOLD-10 TEAMS'!I29&amp;"-"&amp;TEXT('16U BOYS PLATINUM GOLD-10 TEAMS'!B29,"h:mm am/pm")</f>
        <v>16Bptau17-cross-2:00 PM</v>
      </c>
      <c r="Q37" s="38">
        <v>0.53472222222222199</v>
      </c>
      <c r="R37" s="33" t="str">
        <f>'14U BOYS GOLD-16 TEAMS'!D39&amp;"-"&amp;'14U BOYS GOLD-16 TEAMS'!I39&amp;"-"&amp;TEXT('14U BOYS GOLD-16 TEAMS'!B39,"h:mm am/pm")</f>
        <v>14Bau31-9th-12:50 PM</v>
      </c>
      <c r="S37" s="33" t="str">
        <f>'14U BOYS GOLD-16 TEAMS'!D38&amp;"-"&amp;'14U BOYS GOLD-16 TEAMS'!I38&amp;"-"&amp;TEXT('14U BOYS GOLD-16 TEAMS'!B38,"h:mm am/pm")</f>
        <v>14Bau25-5th-12:50 PM</v>
      </c>
      <c r="T37" s="36" t="str">
        <f>'14U BOYS SILVER-16 TEAMS'!D38&amp;"-"&amp;'14U BOYS SILVER-16 TEAMS'!I38&amp;"-"&amp;TEXT('14U BOYS SILVER-16 TEAMS'!B38,"h:mm am/pm")</f>
        <v>14Bag31-9th-12:50 PM</v>
      </c>
      <c r="U37" s="32" t="str">
        <f>'14U BOYS PLATINUM-10 TEAMS'!D29&amp;"-"&amp;'14U BOYS PLATINUM-10 TEAMS'!I29&amp;"-"&amp;TEXT('14U BOYS PLATINUM-10 TEAMS'!B29,"h:mm am/pm")</f>
        <v>14Bpt18-7th-10th-12:50 PM</v>
      </c>
      <c r="V37" s="36" t="str">
        <f>'14U BOYS SILVER-16 TEAMS'!D37&amp;"-"&amp;'14U BOYS SILVER-16 TEAMS'!I37&amp;"-"&amp;TEXT('14U BOYS SILVER-16 TEAMS'!B37,"h:mm am/pm")</f>
        <v>14Bag25-5th-12:50 PM</v>
      </c>
    </row>
    <row r="38" spans="1:22">
      <c r="A38" s="1" t="s">
        <v>339</v>
      </c>
      <c r="B38" s="38">
        <v>0.57638888888888895</v>
      </c>
      <c r="C38" s="21" t="str">
        <f>'10U BOYS &amp; COED PT-7 CUSTOM'!D29&amp;"-"&amp;'10U BOYS &amp; COED PT-7 CUSTOM'!I29&amp;"-"&amp;TEXT('10U BOYS &amp; COED PT-7 CUSTOM'!B29,"h:mm am/pm")</f>
        <v>10BCpt14-cross-1:50 PM</v>
      </c>
      <c r="D38" s="20" t="str">
        <f>'10U GIRLS COED AU AG-12 TEAMS'!D33&amp;"-"&amp;'10U GIRLS COED AU AG-12 TEAMS'!I33&amp;"-"&amp;TEXT('10U GIRLS COED AU AG-12 TEAMS'!B33,"h:mm am/pm")</f>
        <v>10GCauag21-cross-1:50 PM</v>
      </c>
      <c r="E38" s="1" t="s">
        <v>344</v>
      </c>
      <c r="F38" s="38">
        <v>0.56944444444444497</v>
      </c>
      <c r="G38" s="26" t="str">
        <f>'12U BOYS-16 TEAMS'!D46&amp;"-"&amp;'12U BOYS-16 TEAMS'!I46&amp;"-"&amp;TEXT('12U BOYS-16 TEAMS'!B46,"h:mm am/pm")</f>
        <v>12B25-G bracket G1,G2 gold 4th-6th-1:40 PM</v>
      </c>
      <c r="H38" s="24" t="str">
        <f>'12U COED GIRLS-9 TEAMS CUSTOM'!D34&amp;"-"&amp;'12U COED GIRLS-9 TEAMS CUSTOM'!I34&amp;"-"&amp;TEXT('12U COED GIRLS-9 TEAMS CUSTOM'!B34,"h:mm am/pm")</f>
        <v>12GC17-E bracket E1,E2 Coed 4th-1:40 PM</v>
      </c>
      <c r="I38" s="26" t="str">
        <f>'12U BOYS-16 TEAMS'!D56&amp;"-"&amp;'12U BOYS-16 TEAMS'!I56&amp;"-"&amp;TEXT('12U BOYS-16 TEAMS'!B56,"h:mm am/pm")</f>
        <v>12B30-cross-1:40 PM</v>
      </c>
      <c r="K38" s="38">
        <v>0.625</v>
      </c>
      <c r="L38" s="31" t="str">
        <f>'19U BOYS PLATINUM GOLD-11 TEAMS'!D36&amp;"-"&amp;'19U BOYS PLATINUM GOLD-11 TEAMS'!I36&amp;"-"&amp;TEXT('19U BOYS PLATINUM GOLD-11 TEAMS'!B36,"h:mm am/pm")</f>
        <v>19Bptau21-D1,D2 1st-3rd-3:00 PM</v>
      </c>
      <c r="M38" s="30" t="str">
        <f>'19U BOYS SILVER-5 TEAMS'!D27&amp;"-"&amp;'19U BOYS SILVER-5 TEAMS'!I27&amp;"-"&amp;TEXT('19U BOYS SILVER-5 TEAMS'!B27,"h:mm am/pm")</f>
        <v>19Bag10-A bracket 1/5-3:00 PM</v>
      </c>
      <c r="N38" s="27" t="str">
        <f>'16U BOYS SILVER-8 TEAMS'!D28&amp;"-"&amp;'16U BOYS SILVER-8 TEAMS'!I28&amp;"-"&amp;TEXT('16U BOYS SILVER-8 TEAMS'!B28,"h:mm am/pm")</f>
        <v>16Bag16-1st-3:00 PM</v>
      </c>
      <c r="O38" s="159" t="str">
        <f>'16U BOYS PLATINUM GOLD-10 TEAMS'!D30&amp;"-"&amp;'16U BOYS PLATINUM GOLD-10 TEAMS'!I30&amp;"-"&amp;TEXT('16U BOYS PLATINUM GOLD-10 TEAMS'!B30,"h:mm am/pm")</f>
        <v>16Bptau18-cross-3:00 PM</v>
      </c>
      <c r="Q38" s="38">
        <v>0.56944444444444497</v>
      </c>
      <c r="R38" s="33" t="str">
        <f>'14U BOYS GOLD-16 TEAMS'!D41&amp;"-"&amp;'14U BOYS GOLD-16 TEAMS'!I41&amp;"-"&amp;TEXT('14U BOYS GOLD-16 TEAMS'!B41,"h:mm am/pm")</f>
        <v>14Bau32-11th-1:40 PM</v>
      </c>
      <c r="S38" s="33" t="str">
        <f>'14U BOYS GOLD-16 TEAMS'!D40&amp;"-"&amp;'14U BOYS GOLD-16 TEAMS'!I40&amp;"-"&amp;TEXT('14U BOYS GOLD-16 TEAMS'!B40,"h:mm am/pm")</f>
        <v>14Bau26-7th-1:40 PM</v>
      </c>
      <c r="T38" s="36" t="str">
        <f>'14U BOYS SILVER-16 TEAMS'!D40&amp;"-"&amp;'14U BOYS SILVER-16 TEAMS'!I40&amp;"-"&amp;TEXT('14U BOYS SILVER-16 TEAMS'!B40,"h:mm am/pm")</f>
        <v>14Bag32-11th-1:40 PM</v>
      </c>
      <c r="U38" s="32" t="str">
        <f>'14U BOYS PLATINUM-10 TEAMS'!D30&amp;"-"&amp;'14U BOYS PLATINUM-10 TEAMS'!I30&amp;"-"&amp;TEXT('14U BOYS PLATINUM-10 TEAMS'!B30,"h:mm am/pm")</f>
        <v>14Bpt20-3rd-1:40 PM</v>
      </c>
      <c r="V38" s="36" t="str">
        <f>'14U BOYS SILVER-16 TEAMS'!D39&amp;"-"&amp;'14U BOYS SILVER-16 TEAMS'!I39&amp;"-"&amp;TEXT('14U BOYS SILVER-16 TEAMS'!B39,"h:mm am/pm")</f>
        <v>14Bag26-7th-1:40 PM</v>
      </c>
    </row>
    <row r="39" spans="1:22">
      <c r="A39" s="1" t="s">
        <v>339</v>
      </c>
      <c r="B39" s="38">
        <v>0.61111111111111105</v>
      </c>
      <c r="C39" s="21" t="str">
        <f>'10U BOYS &amp; COED PT-7 CUSTOM'!D30&amp;"-"&amp;'10U BOYS &amp; COED PT-7 CUSTOM'!I30&amp;"-"&amp;TEXT('10U BOYS &amp; COED PT-7 CUSTOM'!B30,"h:mm am/pm")</f>
        <v>10BCpt15-cross-2:40 PM</v>
      </c>
      <c r="D39" s="20" t="str">
        <f>'10U GIRLS COED AU AG-12 TEAMS'!D34&amp;"-"&amp;'10U GIRLS COED AU AG-12 TEAMS'!I34&amp;"-"&amp;TEXT('10U GIRLS COED AU AG-12 TEAMS'!B34,"h:mm am/pm")</f>
        <v>10GCauag22-cross-2:40 PM</v>
      </c>
      <c r="F39" s="38">
        <v>0.60416666666666696</v>
      </c>
      <c r="G39" s="26" t="str">
        <f>'12U BOYS-16 TEAMS'!D47&amp;"-"&amp;'12U BOYS-16 TEAMS'!I47&amp;"-"&amp;TEXT('12U BOYS-16 TEAMS'!B47,"h:mm am/pm")</f>
        <v>12B26-F bracket F1,F2 gold 1st-3rd-2:30 PM</v>
      </c>
      <c r="I39" s="26" t="str">
        <f>'12U BOYS-16 TEAMS'!D57&amp;"-"&amp;'12U BOYS-16 TEAMS'!I57&amp;"-"&amp;TEXT('12U BOYS-16 TEAMS'!B57,"h:mm am/pm")</f>
        <v>12B31-cross-2:30 PM</v>
      </c>
      <c r="K39" s="38">
        <v>0.66666666666666696</v>
      </c>
      <c r="L39" s="159" t="str">
        <f>'16U BOYS PLATINUM GOLD-10 TEAMS'!D32&amp;"-"&amp;'16U BOYS PLATINUM GOLD-10 TEAMS'!I32&amp;"-"&amp;TEXT('16U BOYS PLATINUM GOLD-10 TEAMS'!B32,"h:mm am/pm")</f>
        <v>16Bptau20-cross-4:00 PM</v>
      </c>
      <c r="O39" s="159" t="str">
        <f>'16U BOYS PLATINUM GOLD-10 TEAMS'!D31&amp;"-"&amp;'16U BOYS PLATINUM GOLD-10 TEAMS'!I31&amp;"-"&amp;TEXT('16U BOYS PLATINUM GOLD-10 TEAMS'!B31,"h:mm am/pm")</f>
        <v>16Bptau19-cross-4:00 PM</v>
      </c>
      <c r="Q39" s="38">
        <v>0.60416666666666696</v>
      </c>
      <c r="R39" s="28" t="str">
        <f>'14U GIRLS-9 TEAMS'!D35&amp;"-"&amp;'14U GIRLS-9 TEAMS'!I35&amp;"-"&amp;TEXT('14U GIRLS-9 TEAMS'!B35,"h:mm am/pm")</f>
        <v>14G16-plat-gold-silver D1,D2-2:30 PM</v>
      </c>
      <c r="S39" s="33" t="str">
        <f>'14U BOYS GOLD-16 TEAMS'!D42&amp;"-"&amp;'14U BOYS GOLD-16 TEAMS'!I42&amp;"-"&amp;TEXT('14U BOYS GOLD-16 TEAMS'!B42,"h:mm am/pm")</f>
        <v>14Bau23-3rd-2:30 PM</v>
      </c>
      <c r="T39" s="36" t="str">
        <f>'14U BOYS SILVER-16 TEAMS'!D41&amp;"-"&amp;'14U BOYS SILVER-16 TEAMS'!I41&amp;"-"&amp;TEXT('14U BOYS SILVER-16 TEAMS'!B41,"h:mm am/pm")</f>
        <v>14Bag34-13th-2:30 PM</v>
      </c>
      <c r="U39" s="32" t="str">
        <f>'14U BOYS PLATINUM-10 TEAMS'!D31&amp;"-"&amp;'14U BOYS PLATINUM-10 TEAMS'!I31&amp;"-"&amp;TEXT('14U BOYS PLATINUM-10 TEAMS'!B31,"h:mm am/pm")</f>
        <v>14Bpt21-1st-2:30 PM</v>
      </c>
      <c r="V39" s="36" t="str">
        <f>'14U BOYS SILVER-16 TEAMS'!D42&amp;"-"&amp;'14U BOYS SILVER-16 TEAMS'!I42&amp;"-"&amp;TEXT('14U BOYS SILVER-16 TEAMS'!B42,"h:mm am/pm")</f>
        <v>14Bag23-3rd-2:30 PM</v>
      </c>
    </row>
    <row r="40" spans="1:22">
      <c r="A40" s="1" t="s">
        <v>339</v>
      </c>
      <c r="B40" s="38">
        <v>0.64583333333333304</v>
      </c>
      <c r="D40" s="20" t="str">
        <f>'10U GIRLS COED AU AG-12 TEAMS'!D35&amp;"-"&amp;'10U GIRLS COED AU AG-12 TEAMS'!I35&amp;"-"&amp;TEXT('10U GIRLS COED AU AG-12 TEAMS'!B35,"h:mm am/pm")</f>
        <v>10GCauag23-cross-3:30 PM</v>
      </c>
      <c r="F40" s="182">
        <v>0.64583333333333337</v>
      </c>
      <c r="G40" s="24" t="str">
        <f>'12U COED GIRLS-9 TEAMS CUSTOM'!D36&amp;"-"&amp;'12U COED GIRLS-9 TEAMS CUSTOM'!I36&amp;"-"&amp;TEXT('12U COED GIRLS-9 TEAMS CUSTOM'!B36,"h:mm am/pm")</f>
        <v>12GC18-F bracket F1,F2 Coed 6th-3:30 PM</v>
      </c>
      <c r="I40" s="26" t="str">
        <f>'12U BOYS-16 TEAMS'!D58&amp;"-"&amp;'12U BOYS-16 TEAMS'!I58&amp;"-"&amp;TEXT('12U BOYS-16 TEAMS'!B58,"h:mm am/pm")</f>
        <v>12B32-cross-3:20 PM</v>
      </c>
      <c r="K40" s="38">
        <v>0.70833333333333404</v>
      </c>
      <c r="Q40" s="38">
        <v>0.63888888888888895</v>
      </c>
      <c r="R40" s="28" t="str">
        <f>'14U GIRLS-9 TEAMS'!D36&amp;"-"&amp;'14U GIRLS-9 TEAMS'!I36&amp;"-"&amp;TEXT('14U GIRLS-9 TEAMS'!B36,"h:mm am/pm")</f>
        <v>14G17-plat-gold-silver E1,E2-3:20 PM</v>
      </c>
      <c r="S40" s="33" t="str">
        <f>'14U BOYS GOLD-16 TEAMS'!D43&amp;"-"&amp;'14U BOYS GOLD-16 TEAMS'!I43&amp;"-"&amp;TEXT('14U BOYS GOLD-16 TEAMS'!B43,"h:mm am/pm")</f>
        <v>14Bau24-1st-3:20 PM</v>
      </c>
      <c r="T40" s="36" t="str">
        <f>'14U BOYS SILVER-16 TEAMS'!D43&amp;"-"&amp;'14U BOYS SILVER-16 TEAMS'!I43&amp;"-"&amp;TEXT('14U BOYS SILVER-16 TEAMS'!B43,"h:mm am/pm")</f>
        <v>14Bag33-15th-3:20 PM</v>
      </c>
      <c r="U40" s="32" t="str">
        <f>'14U BOYS PLATINUM-10 TEAMS'!D32&amp;"-"&amp;'14U BOYS PLATINUM-10 TEAMS'!I32&amp;"-"&amp;TEXT('14U BOYS PLATINUM-10 TEAMS'!B32,"h:mm am/pm")</f>
        <v>14Bpt17-5th-3:20 PM</v>
      </c>
      <c r="V40" s="36" t="str">
        <f>'14U BOYS SILVER-16 TEAMS'!D44&amp;"-"&amp;'14U BOYS SILVER-16 TEAMS'!I44&amp;"-"&amp;TEXT('14U BOYS SILVER-16 TEAMS'!B44,"h:mm am/pm")</f>
        <v>14Bag24-1st-3:20 PM</v>
      </c>
    </row>
    <row r="41" spans="1:22">
      <c r="B41" s="38">
        <v>0.68055555555555602</v>
      </c>
      <c r="D41" s="20" t="str">
        <f>'10U GIRLS COED AU AG-12 TEAMS'!D36&amp;"-"&amp;'10U GIRLS COED AU AG-12 TEAMS'!I36&amp;"-"&amp;TEXT('10U GIRLS COED AU AG-12 TEAMS'!B36,"h:mm am/pm")</f>
        <v>10GCauag24-cross-4:20 PM</v>
      </c>
      <c r="F41" s="182" t="s">
        <v>345</v>
      </c>
      <c r="Q41" s="38">
        <v>0.67361111111111105</v>
      </c>
      <c r="R41" s="28" t="str">
        <f>'14U GIRLS-9 TEAMS'!D37&amp;"-"&amp;'14U GIRLS-9 TEAMS'!I37&amp;"-"&amp;TEXT('14U GIRLS-9 TEAMS'!B37,"h:mm am/pm")</f>
        <v>14G18-plat-gold-silver F1,F2-4:10 PM</v>
      </c>
      <c r="U41" s="32" t="str">
        <f>'14U BOYS PLATINUM-10 TEAMS'!D33&amp;"-"&amp;'14U BOYS PLATINUM-10 TEAMS'!I33&amp;"-"&amp;TEXT('14U BOYS PLATINUM-10 TEAMS'!B33,"h:mm am/pm")</f>
        <v>14Bpt19-7th-10th-4:10 PM</v>
      </c>
    </row>
    <row r="42" spans="1:22">
      <c r="B42" s="37"/>
      <c r="Q42" s="38"/>
    </row>
    <row r="43" spans="1:22">
      <c r="B43" s="37"/>
    </row>
    <row r="49" spans="2:25">
      <c r="C49" s="1">
        <f>COUNTA(C30:C48)</f>
        <v>9</v>
      </c>
      <c r="D49" s="1">
        <f>COUNTA(D30:D48)</f>
        <v>11</v>
      </c>
      <c r="G49" s="1">
        <f>COUNTA(G30:G48)</f>
        <v>7</v>
      </c>
      <c r="H49" s="1">
        <f>COUNTA(H30:H48)</f>
        <v>8</v>
      </c>
      <c r="I49" s="1">
        <f>COUNTA(I30:I48)</f>
        <v>10</v>
      </c>
      <c r="L49" s="1">
        <f>COUNTA(L31:L48)</f>
        <v>9</v>
      </c>
      <c r="M49" s="1">
        <f>COUNTA(M30:M48)</f>
        <v>8</v>
      </c>
      <c r="N49" s="1">
        <f>COUNTA(N30:N48)</f>
        <v>8</v>
      </c>
      <c r="O49" s="1">
        <f>COUNTA(O30:O48)</f>
        <v>9</v>
      </c>
      <c r="R49" s="1">
        <f>COUNTA(R30:R48)</f>
        <v>11</v>
      </c>
      <c r="S49" s="1">
        <f>COUNTA(S30:S48)</f>
        <v>10</v>
      </c>
      <c r="T49" s="1">
        <f>COUNTA(T30:T48)</f>
        <v>10</v>
      </c>
      <c r="U49" s="1">
        <f>COUNTA(U30:U48)</f>
        <v>11</v>
      </c>
      <c r="V49" s="1">
        <f>COUNTA(V30:V48)</f>
        <v>10</v>
      </c>
      <c r="Y49" s="1">
        <f>SUM(C49:X49)</f>
        <v>131</v>
      </c>
    </row>
    <row r="52" spans="2:25">
      <c r="B52" s="2"/>
      <c r="C52" s="2"/>
      <c r="D52" s="2"/>
      <c r="E52" s="2"/>
      <c r="F52" s="39"/>
      <c r="G52" s="2"/>
      <c r="H52" s="2"/>
      <c r="I52" s="2"/>
      <c r="J52" s="2"/>
      <c r="K52" s="39"/>
      <c r="L52" s="2"/>
      <c r="M52" s="2"/>
      <c r="N52" s="2"/>
      <c r="O52" s="2"/>
      <c r="P52" s="2"/>
      <c r="Q52" s="39"/>
      <c r="R52" s="2"/>
      <c r="S52" s="2"/>
      <c r="T52" s="2"/>
      <c r="U52" s="2"/>
      <c r="V52" s="2"/>
      <c r="W52" s="2"/>
      <c r="X52" s="2"/>
      <c r="Y52" s="2"/>
    </row>
    <row r="53" spans="2:25">
      <c r="B53" s="1">
        <v>130</v>
      </c>
      <c r="C53" s="1">
        <f>B53/14</f>
        <v>9.2857142857142865</v>
      </c>
    </row>
    <row r="64" spans="2:25">
      <c r="L64" s="37"/>
    </row>
    <row r="65" spans="12:14">
      <c r="L65" s="37"/>
    </row>
    <row r="73" spans="12:14">
      <c r="N73" s="27"/>
    </row>
    <row r="77" spans="12:14">
      <c r="L77" s="37"/>
    </row>
    <row r="78" spans="12:14">
      <c r="L78" s="37"/>
    </row>
    <row r="79" spans="12:14">
      <c r="L79" s="37"/>
    </row>
    <row r="80" spans="12:14">
      <c r="L80" s="37"/>
    </row>
    <row r="81" spans="12:12">
      <c r="L81" s="37"/>
    </row>
    <row r="82" spans="12:12">
      <c r="L82" s="3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645D-9E69-4E4B-BEDE-CDEC79669E05}">
  <sheetPr>
    <pageSetUpPr fitToPage="1"/>
  </sheetPr>
  <dimension ref="A1:K261"/>
  <sheetViews>
    <sheetView workbookViewId="0">
      <selection activeCell="A73" sqref="A73"/>
    </sheetView>
  </sheetViews>
  <sheetFormatPr defaultColWidth="8.7109375" defaultRowHeight="18"/>
  <cols>
    <col min="1" max="1" width="10.140625" style="1" customWidth="1"/>
    <col min="2" max="2" width="12.5703125" style="1" customWidth="1"/>
    <col min="3" max="3" width="29" style="1" customWidth="1"/>
    <col min="4" max="4" width="16.42578125" style="1" customWidth="1"/>
    <col min="5" max="5" width="38" style="1" customWidth="1"/>
    <col min="6" max="6" width="6.140625" style="1" customWidth="1"/>
    <col min="7" max="7" width="39.140625" style="1" customWidth="1"/>
    <col min="8" max="8" width="6" style="1" customWidth="1"/>
    <col min="9" max="9" width="40.42578125" style="1" customWidth="1"/>
    <col min="10" max="10" width="38.28515625" style="1" customWidth="1"/>
    <col min="11" max="11" width="19.85546875" style="1" customWidth="1"/>
    <col min="12" max="16384" width="8.7109375" style="1"/>
  </cols>
  <sheetData>
    <row r="1" spans="1:11">
      <c r="A1" s="69" t="s">
        <v>346</v>
      </c>
      <c r="B1" s="70" t="s">
        <v>347</v>
      </c>
      <c r="C1" s="69" t="s">
        <v>348</v>
      </c>
      <c r="D1" s="69" t="s">
        <v>349</v>
      </c>
      <c r="E1" s="69" t="s">
        <v>350</v>
      </c>
      <c r="F1" s="69" t="s">
        <v>351</v>
      </c>
      <c r="G1" s="69" t="s">
        <v>352</v>
      </c>
      <c r="H1" s="69" t="s">
        <v>351</v>
      </c>
      <c r="I1" s="69" t="s">
        <v>353</v>
      </c>
      <c r="J1" s="69" t="s">
        <v>0</v>
      </c>
      <c r="K1" s="69" t="s">
        <v>354</v>
      </c>
    </row>
    <row r="2" spans="1:11">
      <c r="A2" s="67">
        <f>'10U GIRLS COED AU AG-12 TEAMS'!A10</f>
        <v>46088</v>
      </c>
      <c r="B2" s="66">
        <f>'10U GIRLS COED AU AG-12 TEAMS'!B10</f>
        <v>0.33333333333333331</v>
      </c>
      <c r="C2" s="20" t="str">
        <f>'10U GIRLS COED AU AG-12 TEAMS'!C10&amp;""</f>
        <v>EL TORO HS 2</v>
      </c>
      <c r="D2" s="20" t="str">
        <f>'10U GIRLS COED AU AG-12 TEAMS'!D10&amp;""</f>
        <v>10GCauag01</v>
      </c>
      <c r="E2" s="20" t="str">
        <f>'10U GIRLS COED AU AG-12 TEAMS'!E10&amp;""</f>
        <v>B1-SAN CLEMENTE GIRLS RED ag</v>
      </c>
      <c r="F2" s="20" t="str">
        <f>'10U GIRLS COED AU AG-12 TEAMS'!F10&amp;""</f>
        <v>6</v>
      </c>
      <c r="G2" s="20" t="str">
        <f>'10U GIRLS COED AU AG-12 TEAMS'!G10&amp;""</f>
        <v>B4-TROJAN NORTH ag</v>
      </c>
      <c r="H2" s="20" t="str">
        <f>'10U GIRLS COED AU AG-12 TEAMS'!H10&amp;""</f>
        <v>14</v>
      </c>
      <c r="I2" s="20" t="str">
        <f>'10U GIRLS COED AU AG-12 TEAMS'!I10&amp;""</f>
        <v>B bracket, B1/B4  coed silver 1st-4th</v>
      </c>
      <c r="J2" s="20" t="str">
        <f>'10U GIRLS COED AU AG-12 TEAMS'!J10&amp;""</f>
        <v>10U_GIRLS_COED_GOLD_SILVER</v>
      </c>
      <c r="K2" s="20" t="str">
        <f>TEXT(DATE(2026, MONTH(A2), DAY(A2)) + TIME(HOUR(B2), MINUTE(B2), 0), "yyyymmddhhmm")</f>
        <v>202603070800</v>
      </c>
    </row>
    <row r="3" spans="1:11">
      <c r="A3" s="67">
        <f>'10U GIRLS COED AU AG-12 TEAMS'!A11</f>
        <v>46088</v>
      </c>
      <c r="B3" s="66">
        <f>'10U GIRLS COED AU AG-12 TEAMS'!B11</f>
        <v>0.36805555555555558</v>
      </c>
      <c r="C3" s="20" t="str">
        <f>'10U GIRLS COED AU AG-12 TEAMS'!C11&amp;""</f>
        <v>EL TORO HS 2</v>
      </c>
      <c r="D3" s="20" t="str">
        <f>'10U GIRLS COED AU AG-12 TEAMS'!D11&amp;""</f>
        <v>10GCauag02</v>
      </c>
      <c r="E3" s="20" t="str">
        <f>'10U GIRLS COED AU AG-12 TEAMS'!E11&amp;""</f>
        <v>B2-CDM BOYS WHITE ag</v>
      </c>
      <c r="F3" s="20" t="str">
        <f>'10U GIRLS COED AU AG-12 TEAMS'!F11&amp;""</f>
        <v>8</v>
      </c>
      <c r="G3" s="20" t="str">
        <f>'10U GIRLS COED AU AG-12 TEAMS'!G11&amp;""</f>
        <v>B3-LAGUNA BEACH ag</v>
      </c>
      <c r="H3" s="20" t="str">
        <f>'10U GIRLS COED AU AG-12 TEAMS'!H11&amp;""</f>
        <v>10</v>
      </c>
      <c r="I3" s="20" t="str">
        <f>'10U GIRLS COED AU AG-12 TEAMS'!I11&amp;""</f>
        <v>B bracket, B2/B3 coed silver 1st-4th</v>
      </c>
      <c r="J3" s="20" t="str">
        <f>'10U GIRLS COED AU AG-12 TEAMS'!J11&amp;""</f>
        <v>10U_GIRLS_COED_GOLD_SILVER</v>
      </c>
      <c r="K3" s="20" t="str">
        <f t="shared" ref="K3:K66" si="0">TEXT(DATE(2026, MONTH(A3), DAY(A3)) + TIME(HOUR(B3), MINUTE(B3), 0), "yyyymmddhhmm")</f>
        <v>202603070850</v>
      </c>
    </row>
    <row r="4" spans="1:11">
      <c r="A4" s="67">
        <f>'10U GIRLS COED AU AG-12 TEAMS'!A12</f>
        <v>46088</v>
      </c>
      <c r="B4" s="66">
        <f>'10U GIRLS COED AU AG-12 TEAMS'!B12</f>
        <v>0.40277777777777779</v>
      </c>
      <c r="C4" s="20" t="str">
        <f>'10U GIRLS COED AU AG-12 TEAMS'!C12&amp;""</f>
        <v>EL TORO HS 2</v>
      </c>
      <c r="D4" s="20" t="str">
        <f>'10U GIRLS COED AU AG-12 TEAMS'!D12&amp;""</f>
        <v>10GCauag03</v>
      </c>
      <c r="E4" s="20" t="str">
        <f>'10U GIRLS COED AU AG-12 TEAMS'!E12&amp;""</f>
        <v>A1-TROJAN SOUTH au</v>
      </c>
      <c r="F4" s="20" t="str">
        <f>'10U GIRLS COED AU AG-12 TEAMS'!F12&amp;""</f>
        <v>3</v>
      </c>
      <c r="G4" s="20" t="str">
        <f>'10U GIRLS COED AU AG-12 TEAMS'!G12&amp;""</f>
        <v>A4-ORANGE COUNTY WPC B au</v>
      </c>
      <c r="H4" s="20" t="str">
        <f>'10U GIRLS COED AU AG-12 TEAMS'!H12&amp;""</f>
        <v>14</v>
      </c>
      <c r="I4" s="20" t="str">
        <f>'10U GIRLS COED AU AG-12 TEAMS'!I12&amp;""</f>
        <v>A bracket, A1/A4 coed gold 1st-4th</v>
      </c>
      <c r="J4" s="20" t="str">
        <f>'10U GIRLS COED AU AG-12 TEAMS'!J12&amp;""</f>
        <v>10U_GIRLS_COED_GOLD_SILVER</v>
      </c>
      <c r="K4" s="20" t="str">
        <f t="shared" si="0"/>
        <v>202603070940</v>
      </c>
    </row>
    <row r="5" spans="1:11">
      <c r="A5" s="67">
        <f>'10U GIRLS COED AU AG-12 TEAMS'!A13</f>
        <v>46088</v>
      </c>
      <c r="B5" s="66">
        <f>'10U GIRLS COED AU AG-12 TEAMS'!B13</f>
        <v>0.40277777777777779</v>
      </c>
      <c r="C5" s="20" t="str">
        <f>'10U GIRLS COED AU AG-12 TEAMS'!C13&amp;""</f>
        <v>WOOLLETT FAR LEFT</v>
      </c>
      <c r="D5" s="20" t="str">
        <f>'10U GIRLS COED AU AG-12 TEAMS'!D13&amp;""</f>
        <v>10GCauag05</v>
      </c>
      <c r="E5" s="20" t="str">
        <f>'10U GIRLS COED AU AG-12 TEAMS'!E13&amp;""</f>
        <v>C1-DEL MAR GIRLS BLUE</v>
      </c>
      <c r="F5" s="20" t="str">
        <f>'10U GIRLS COED AU AG-12 TEAMS'!F13&amp;""</f>
        <v>20</v>
      </c>
      <c r="G5" s="20" t="str">
        <f>'10U GIRLS COED AU AG-12 TEAMS'!G13&amp;""</f>
        <v>C4-NEWPORT BEACH GIRLS WHITE</v>
      </c>
      <c r="H5" s="20" t="str">
        <f>'10U GIRLS COED AU AG-12 TEAMS'!H13&amp;""</f>
        <v>0</v>
      </c>
      <c r="I5" s="20" t="str">
        <f>'10U GIRLS COED AU AG-12 TEAMS'!I13&amp;""</f>
        <v>C bracket  C1,C4 Girls 1st-4th</v>
      </c>
      <c r="J5" s="20" t="str">
        <f>'10U GIRLS COED AU AG-12 TEAMS'!J13&amp;""</f>
        <v>10U_GIRLS_COED_GOLD_SILVER</v>
      </c>
      <c r="K5" s="20" t="str">
        <f t="shared" si="0"/>
        <v>202603070940</v>
      </c>
    </row>
    <row r="6" spans="1:11">
      <c r="A6" s="67">
        <f>'10U GIRLS COED AU AG-12 TEAMS'!A14</f>
        <v>46088</v>
      </c>
      <c r="B6" s="66">
        <f>'10U GIRLS COED AU AG-12 TEAMS'!B14</f>
        <v>0.4375</v>
      </c>
      <c r="C6" s="20" t="str">
        <f>'10U GIRLS COED AU AG-12 TEAMS'!C14&amp;""</f>
        <v>EL TORO HS 2</v>
      </c>
      <c r="D6" s="20" t="str">
        <f>'10U GIRLS COED AU AG-12 TEAMS'!D14&amp;""</f>
        <v>10GCauag04</v>
      </c>
      <c r="E6" s="20" t="str">
        <f>'10U GIRLS COED AU AG-12 TEAMS'!E14&amp;""</f>
        <v>A2-VANGUARD BLUE au</v>
      </c>
      <c r="F6" s="20" t="str">
        <f>'10U GIRLS COED AU AG-12 TEAMS'!F14&amp;""</f>
        <v>17</v>
      </c>
      <c r="G6" s="20" t="str">
        <f>'10U GIRLS COED AU AG-12 TEAMS'!G14&amp;""</f>
        <v>A3-SAN CLEMENTE BLACK au</v>
      </c>
      <c r="H6" s="20" t="str">
        <f>'10U GIRLS COED AU AG-12 TEAMS'!H14&amp;""</f>
        <v>3</v>
      </c>
      <c r="I6" s="20" t="str">
        <f>'10U GIRLS COED AU AG-12 TEAMS'!I14&amp;""</f>
        <v>A bracket, A2/A3 coed gold 1st-4th</v>
      </c>
      <c r="J6" s="20" t="str">
        <f>'10U GIRLS COED AU AG-12 TEAMS'!J14&amp;""</f>
        <v>10U_GIRLS_COED_GOLD_SILVER</v>
      </c>
      <c r="K6" s="20" t="str">
        <f t="shared" si="0"/>
        <v>202603071030</v>
      </c>
    </row>
    <row r="7" spans="1:11">
      <c r="A7" s="67">
        <f>'10U GIRLS COED AU AG-12 TEAMS'!A15</f>
        <v>46088</v>
      </c>
      <c r="B7" s="66">
        <f>'10U GIRLS COED AU AG-12 TEAMS'!B15</f>
        <v>0.4375</v>
      </c>
      <c r="C7" s="20" t="str">
        <f>'10U GIRLS COED AU AG-12 TEAMS'!C15&amp;""</f>
        <v>WOOLLETT FAR LEFT</v>
      </c>
      <c r="D7" s="20" t="str">
        <f>'10U GIRLS COED AU AG-12 TEAMS'!D15&amp;""</f>
        <v>10GCauag06</v>
      </c>
      <c r="E7" s="20" t="str">
        <f>'10U GIRLS COED AU AG-12 TEAMS'!E15&amp;""</f>
        <v>C2-NEWPORT BEACH GIRLS BLUE</v>
      </c>
      <c r="F7" s="20" t="str">
        <f>'10U GIRLS COED AU AG-12 TEAMS'!F15&amp;""</f>
        <v>17</v>
      </c>
      <c r="G7" s="20" t="str">
        <f>'10U GIRLS COED AU AG-12 TEAMS'!G15&amp;""</f>
        <v>C3-DEL MAR GIRLS WHITE</v>
      </c>
      <c r="H7" s="20" t="str">
        <f>'10U GIRLS COED AU AG-12 TEAMS'!H15&amp;""</f>
        <v>1</v>
      </c>
      <c r="I7" s="20" t="str">
        <f>'10U GIRLS COED AU AG-12 TEAMS'!I15&amp;""</f>
        <v>C bracket  C2,C3 Girls 1st-4th</v>
      </c>
      <c r="J7" s="20" t="str">
        <f>'10U GIRLS COED AU AG-12 TEAMS'!J15&amp;""</f>
        <v>10U_GIRLS_COED_GOLD_SILVER</v>
      </c>
      <c r="K7" s="20" t="str">
        <f t="shared" si="0"/>
        <v>202603071030</v>
      </c>
    </row>
    <row r="8" spans="1:11">
      <c r="A8" s="67">
        <f>'10U GIRLS COED AU AG-12 TEAMS'!A16</f>
        <v>46088</v>
      </c>
      <c r="B8" s="66">
        <f>'10U GIRLS COED AU AG-12 TEAMS'!B16</f>
        <v>0.47222222222222199</v>
      </c>
      <c r="C8" s="20" t="str">
        <f>'10U GIRLS COED AU AG-12 TEAMS'!C16&amp;""</f>
        <v>EL TORO HS 2</v>
      </c>
      <c r="D8" s="20" t="str">
        <f>'10U GIRLS COED AU AG-12 TEAMS'!D16&amp;""</f>
        <v>10GCauag07</v>
      </c>
      <c r="E8" s="20" t="str">
        <f>'10U GIRLS COED AU AG-12 TEAMS'!E16&amp;""</f>
        <v>B2-CDM BOYS WHITE ag</v>
      </c>
      <c r="F8" s="20" t="str">
        <f>'10U GIRLS COED AU AG-12 TEAMS'!F16&amp;""</f>
        <v>4</v>
      </c>
      <c r="G8" s="20" t="str">
        <f>'10U GIRLS COED AU AG-12 TEAMS'!G16&amp;""</f>
        <v>B4-TROJAN NORTH ag</v>
      </c>
      <c r="H8" s="20" t="str">
        <f>'10U GIRLS COED AU AG-12 TEAMS'!H16&amp;""</f>
        <v>14</v>
      </c>
      <c r="I8" s="20" t="str">
        <f>'10U GIRLS COED AU AG-12 TEAMS'!I16&amp;""</f>
        <v>B bracket, B2/B4 coed silver 1st-4th</v>
      </c>
      <c r="J8" s="20" t="str">
        <f>'10U GIRLS COED AU AG-12 TEAMS'!J16&amp;""</f>
        <v>10U_GIRLS_COED_GOLD_SILVER</v>
      </c>
      <c r="K8" s="20" t="str">
        <f t="shared" si="0"/>
        <v>202603071120</v>
      </c>
    </row>
    <row r="9" spans="1:11">
      <c r="A9" s="67">
        <f>'10U GIRLS COED AU AG-12 TEAMS'!A17</f>
        <v>46088</v>
      </c>
      <c r="B9" s="66">
        <f>'10U GIRLS COED AU AG-12 TEAMS'!B17</f>
        <v>0.50694444444444398</v>
      </c>
      <c r="C9" s="20" t="str">
        <f>'10U GIRLS COED AU AG-12 TEAMS'!C17&amp;""</f>
        <v>EL TORO HS 2</v>
      </c>
      <c r="D9" s="20" t="str">
        <f>'10U GIRLS COED AU AG-12 TEAMS'!D17&amp;""</f>
        <v>10GCauag08</v>
      </c>
      <c r="E9" s="20" t="str">
        <f>'10U GIRLS COED AU AG-12 TEAMS'!E17&amp;""</f>
        <v>B1-SAN CLEMENTE GIRLS RED ag</v>
      </c>
      <c r="F9" s="20" t="str">
        <f>'10U GIRLS COED AU AG-12 TEAMS'!F17&amp;""</f>
        <v>9</v>
      </c>
      <c r="G9" s="20" t="str">
        <f>'10U GIRLS COED AU AG-12 TEAMS'!G17&amp;""</f>
        <v>B3-LAGUNA BEACH ag</v>
      </c>
      <c r="H9" s="20" t="str">
        <f>'10U GIRLS COED AU AG-12 TEAMS'!H17&amp;""</f>
        <v>10</v>
      </c>
      <c r="I9" s="20" t="str">
        <f>'10U GIRLS COED AU AG-12 TEAMS'!I17&amp;""</f>
        <v>B bracket, B1/B3 coed silver 1st-4th</v>
      </c>
      <c r="J9" s="20" t="str">
        <f>'10U GIRLS COED AU AG-12 TEAMS'!J17&amp;""</f>
        <v>10U_GIRLS_COED_GOLD_SILVER</v>
      </c>
      <c r="K9" s="20" t="str">
        <f t="shared" si="0"/>
        <v>202603071210</v>
      </c>
    </row>
    <row r="10" spans="1:11">
      <c r="A10" s="67">
        <f>'10U GIRLS COED AU AG-12 TEAMS'!A18</f>
        <v>46088</v>
      </c>
      <c r="B10" s="66">
        <f>'10U GIRLS COED AU AG-12 TEAMS'!B18</f>
        <v>0.54166666666666696</v>
      </c>
      <c r="C10" s="20" t="str">
        <f>'10U GIRLS COED AU AG-12 TEAMS'!C18&amp;""</f>
        <v>EL TORO HS 2</v>
      </c>
      <c r="D10" s="20" t="str">
        <f>'10U GIRLS COED AU AG-12 TEAMS'!D18&amp;""</f>
        <v>10GCauag09</v>
      </c>
      <c r="E10" s="20" t="str">
        <f>'10U GIRLS COED AU AG-12 TEAMS'!E18&amp;""</f>
        <v>A1-TROJAN SOUTH au</v>
      </c>
      <c r="F10" s="20" t="str">
        <f>'10U GIRLS COED AU AG-12 TEAMS'!F18&amp;""</f>
        <v>15</v>
      </c>
      <c r="G10" s="20" t="str">
        <f>'10U GIRLS COED AU AG-12 TEAMS'!G18&amp;""</f>
        <v>A3-SAN CLEMENTE BLACK au</v>
      </c>
      <c r="H10" s="20" t="str">
        <f>'10U GIRLS COED AU AG-12 TEAMS'!H18&amp;""</f>
        <v>6</v>
      </c>
      <c r="I10" s="20" t="str">
        <f>'10U GIRLS COED AU AG-12 TEAMS'!I18&amp;""</f>
        <v>A bracket, A1/A3 coed gold 1st-4th</v>
      </c>
      <c r="J10" s="20" t="str">
        <f>'10U GIRLS COED AU AG-12 TEAMS'!J18&amp;""</f>
        <v>10U_GIRLS_COED_GOLD_SILVER</v>
      </c>
      <c r="K10" s="20" t="str">
        <f t="shared" si="0"/>
        <v>202603071300</v>
      </c>
    </row>
    <row r="11" spans="1:11">
      <c r="A11" s="67">
        <f>'10U GIRLS COED AU AG-12 TEAMS'!A19</f>
        <v>46088</v>
      </c>
      <c r="B11" s="66">
        <f>'10U GIRLS COED AU AG-12 TEAMS'!B19</f>
        <v>0.54166666666666696</v>
      </c>
      <c r="C11" s="20" t="str">
        <f>'10U GIRLS COED AU AG-12 TEAMS'!C19&amp;""</f>
        <v>WOOLLETT FAR LEFT</v>
      </c>
      <c r="D11" s="20" t="str">
        <f>'10U GIRLS COED AU AG-12 TEAMS'!D19&amp;""</f>
        <v>10GCauag11</v>
      </c>
      <c r="E11" s="20" t="str">
        <f>'10U GIRLS COED AU AG-12 TEAMS'!E19&amp;""</f>
        <v>C1-DEL MAR GIRLS BLUE</v>
      </c>
      <c r="F11" s="20" t="str">
        <f>'10U GIRLS COED AU AG-12 TEAMS'!F19&amp;""</f>
        <v>7</v>
      </c>
      <c r="G11" s="20" t="str">
        <f>'10U GIRLS COED AU AG-12 TEAMS'!G19&amp;""</f>
        <v>C2-NEWPORT BEACH GIRLS BLUE</v>
      </c>
      <c r="H11" s="20" t="str">
        <f>'10U GIRLS COED AU AG-12 TEAMS'!H19&amp;""</f>
        <v>3</v>
      </c>
      <c r="I11" s="20" t="str">
        <f>'10U GIRLS COED AU AG-12 TEAMS'!I19&amp;""</f>
        <v>C bracket  C1,C2 Girls 1st-4th</v>
      </c>
      <c r="J11" s="20" t="str">
        <f>'10U GIRLS COED AU AG-12 TEAMS'!J19&amp;""</f>
        <v>10U_GIRLS_COED_GOLD_SILVER</v>
      </c>
      <c r="K11" s="20" t="str">
        <f t="shared" si="0"/>
        <v>202603071300</v>
      </c>
    </row>
    <row r="12" spans="1:11">
      <c r="A12" s="67">
        <f>'10U GIRLS COED AU AG-12 TEAMS'!A20</f>
        <v>46088</v>
      </c>
      <c r="B12" s="66">
        <f>'10U GIRLS COED AU AG-12 TEAMS'!B20</f>
        <v>0.57638888888888895</v>
      </c>
      <c r="C12" s="20" t="str">
        <f>'10U GIRLS COED AU AG-12 TEAMS'!C20&amp;""</f>
        <v>EL TORO HS 2</v>
      </c>
      <c r="D12" s="20" t="str">
        <f>'10U GIRLS COED AU AG-12 TEAMS'!D20&amp;""</f>
        <v>10GCauag10</v>
      </c>
      <c r="E12" s="20" t="str">
        <f>'10U GIRLS COED AU AG-12 TEAMS'!E20&amp;""</f>
        <v>A2-VANGUARD BLUE au</v>
      </c>
      <c r="F12" s="20" t="str">
        <f>'10U GIRLS COED AU AG-12 TEAMS'!F20&amp;""</f>
        <v>5</v>
      </c>
      <c r="G12" s="20" t="str">
        <f>'10U GIRLS COED AU AG-12 TEAMS'!G20&amp;""</f>
        <v>A4-ORANGE COUNTY WPC B au</v>
      </c>
      <c r="H12" s="20" t="str">
        <f>'10U GIRLS COED AU AG-12 TEAMS'!H20&amp;""</f>
        <v>11</v>
      </c>
      <c r="I12" s="20" t="str">
        <f>'10U GIRLS COED AU AG-12 TEAMS'!I20&amp;""</f>
        <v>A bracket, A2/A4 coed gold 1st-4th</v>
      </c>
      <c r="J12" s="20" t="str">
        <f>'10U GIRLS COED AU AG-12 TEAMS'!J20&amp;""</f>
        <v>10U_GIRLS_COED_GOLD_SILVER</v>
      </c>
      <c r="K12" s="20" t="str">
        <f t="shared" si="0"/>
        <v>202603071350</v>
      </c>
    </row>
    <row r="13" spans="1:11">
      <c r="A13" s="67">
        <f>'10U GIRLS COED AU AG-12 TEAMS'!A21</f>
        <v>46088</v>
      </c>
      <c r="B13" s="66">
        <f>'10U GIRLS COED AU AG-12 TEAMS'!B21</f>
        <v>0.57638888888888895</v>
      </c>
      <c r="C13" s="20" t="str">
        <f>'10U GIRLS COED AU AG-12 TEAMS'!C21&amp;""</f>
        <v>WOOLLETT FAR LEFT</v>
      </c>
      <c r="D13" s="20" t="str">
        <f>'10U GIRLS COED AU AG-12 TEAMS'!D21&amp;""</f>
        <v>10GCauag12</v>
      </c>
      <c r="E13" s="20" t="str">
        <f>'10U GIRLS COED AU AG-12 TEAMS'!E21&amp;""</f>
        <v>C3-DEL MAR GIRLS WHITE</v>
      </c>
      <c r="F13" s="20" t="str">
        <f>'10U GIRLS COED AU AG-12 TEAMS'!F21&amp;""</f>
        <v>16</v>
      </c>
      <c r="G13" s="20" t="str">
        <f>'10U GIRLS COED AU AG-12 TEAMS'!G21&amp;""</f>
        <v>C4-NEWPORT BEACH GIRLS WHITE</v>
      </c>
      <c r="H13" s="20" t="str">
        <f>'10U GIRLS COED AU AG-12 TEAMS'!H21&amp;""</f>
        <v>0</v>
      </c>
      <c r="I13" s="20" t="str">
        <f>'10U GIRLS COED AU AG-12 TEAMS'!I21&amp;""</f>
        <v>C bracket  C3,C4 Girls 1st-4th</v>
      </c>
      <c r="J13" s="20" t="str">
        <f>'10U GIRLS COED AU AG-12 TEAMS'!J21&amp;""</f>
        <v>10U_GIRLS_COED_GOLD_SILVER</v>
      </c>
      <c r="K13" s="20" t="str">
        <f t="shared" si="0"/>
        <v>202603071350</v>
      </c>
    </row>
    <row r="14" spans="1:11">
      <c r="A14" s="67">
        <f>'10U GIRLS COED AU AG-12 TEAMS'!A25</f>
        <v>46089</v>
      </c>
      <c r="B14" s="152">
        <f>'10U GIRLS COED AU AG-12 TEAMS'!B25</f>
        <v>0.33333333333333331</v>
      </c>
      <c r="C14" s="66" t="str">
        <f>'10U GIRLS COED AU AG-12 TEAMS'!C25&amp;""</f>
        <v>EL TORO HS 2</v>
      </c>
      <c r="D14" s="20" t="str">
        <f>'10U GIRLS COED AU AG-12 TEAMS'!D25&amp;""</f>
        <v>10GCauag13</v>
      </c>
      <c r="E14" s="20" t="str">
        <f>'10U GIRLS COED AU AG-12 TEAMS'!E25&amp;""</f>
        <v>A1-TROJAN SOUTH au</v>
      </c>
      <c r="F14" s="20" t="str">
        <f>'10U GIRLS COED AU AG-12 TEAMS'!F25&amp;""</f>
        <v>9</v>
      </c>
      <c r="G14" s="20" t="str">
        <f>'10U GIRLS COED AU AG-12 TEAMS'!G25&amp;""</f>
        <v>A2-VANGUARD BLUE au</v>
      </c>
      <c r="H14" s="20" t="str">
        <f>'10U GIRLS COED AU AG-12 TEAMS'!H25&amp;""</f>
        <v>15</v>
      </c>
      <c r="I14" s="20" t="str">
        <f>'10U GIRLS COED AU AG-12 TEAMS'!I25&amp;""</f>
        <v>bracket, A1/A2 coed gold 1st-4th</v>
      </c>
      <c r="J14" s="20" t="str">
        <f>'10U GIRLS COED AU AG-12 TEAMS'!J25&amp;""</f>
        <v>10U_GIRLS_COED_GOLD_SILVER</v>
      </c>
      <c r="K14" s="20" t="str">
        <f t="shared" si="0"/>
        <v>202603080800</v>
      </c>
    </row>
    <row r="15" spans="1:11">
      <c r="A15" s="67">
        <f>'10U GIRLS COED AU AG-12 TEAMS'!A26</f>
        <v>46089</v>
      </c>
      <c r="B15" s="152">
        <f>'10U GIRLS COED AU AG-12 TEAMS'!B26</f>
        <v>0.36805555555555558</v>
      </c>
      <c r="C15" s="66" t="str">
        <f>'10U GIRLS COED AU AG-12 TEAMS'!C26&amp;""</f>
        <v>EL TORO HS 2</v>
      </c>
      <c r="D15" s="20" t="str">
        <f>'10U GIRLS COED AU AG-12 TEAMS'!D26&amp;""</f>
        <v>10GCauag14</v>
      </c>
      <c r="E15" s="20" t="str">
        <f>'10U GIRLS COED AU AG-12 TEAMS'!E26&amp;""</f>
        <v>A3-SAN CLEMENTE BLACK au</v>
      </c>
      <c r="F15" s="20" t="str">
        <f>'10U GIRLS COED AU AG-12 TEAMS'!F26&amp;""</f>
        <v>3</v>
      </c>
      <c r="G15" s="20" t="str">
        <f>'10U GIRLS COED AU AG-12 TEAMS'!G26&amp;""</f>
        <v>A4-ORANGE COUNTY WPC B au</v>
      </c>
      <c r="H15" s="20" t="str">
        <f>'10U GIRLS COED AU AG-12 TEAMS'!H26&amp;""</f>
        <v>17</v>
      </c>
      <c r="I15" s="20" t="str">
        <f>'10U GIRLS COED AU AG-12 TEAMS'!I26&amp;""</f>
        <v>bracket, A3/A4 coed gold 1st-4th</v>
      </c>
      <c r="J15" s="20" t="str">
        <f>'10U GIRLS COED AU AG-12 TEAMS'!J26&amp;""</f>
        <v>10U_GIRLS_COED_GOLD_SILVER</v>
      </c>
      <c r="K15" s="20" t="str">
        <f t="shared" si="0"/>
        <v>202603080850</v>
      </c>
    </row>
    <row r="16" spans="1:11">
      <c r="A16" s="67">
        <f>'10U GIRLS COED AU AG-12 TEAMS'!A27</f>
        <v>46089</v>
      </c>
      <c r="B16" s="152">
        <f>'10U GIRLS COED AU AG-12 TEAMS'!B27</f>
        <v>0.40277777777777801</v>
      </c>
      <c r="C16" s="66" t="str">
        <f>'10U GIRLS COED AU AG-12 TEAMS'!C27&amp;""</f>
        <v>WOOLLETT FAR LEFT</v>
      </c>
      <c r="D16" s="20" t="str">
        <f>'10U GIRLS COED AU AG-12 TEAMS'!D27&amp;""</f>
        <v>10GCauag15</v>
      </c>
      <c r="E16" s="20" t="str">
        <f>'10U GIRLS COED AU AG-12 TEAMS'!E27&amp;""</f>
        <v>B1-SAN CLEMENTE GIRLS RED ag</v>
      </c>
      <c r="F16" s="20" t="str">
        <f>'10U GIRLS COED AU AG-12 TEAMS'!F27&amp;""</f>
        <v>10</v>
      </c>
      <c r="G16" s="20" t="str">
        <f>'10U GIRLS COED AU AG-12 TEAMS'!G27&amp;""</f>
        <v>B2-CDM BOYS WHITE ag</v>
      </c>
      <c r="H16" s="20" t="str">
        <f>'10U GIRLS COED AU AG-12 TEAMS'!H27&amp;""</f>
        <v>3</v>
      </c>
      <c r="I16" s="20" t="str">
        <f>'10U GIRLS COED AU AG-12 TEAMS'!I27&amp;""</f>
        <v>bracket, B1/B2 coed silver 1st-4th</v>
      </c>
      <c r="J16" s="20" t="str">
        <f>'10U GIRLS COED AU AG-12 TEAMS'!J27&amp;""</f>
        <v>10U_GIRLS_COED_GOLD_SILVER</v>
      </c>
      <c r="K16" s="20" t="str">
        <f t="shared" si="0"/>
        <v>202603080940</v>
      </c>
    </row>
    <row r="17" spans="1:11">
      <c r="A17" s="67">
        <f>'10U GIRLS COED AU AG-12 TEAMS'!A28</f>
        <v>46089</v>
      </c>
      <c r="B17" s="152">
        <f>'10U GIRLS COED AU AG-12 TEAMS'!B28</f>
        <v>0.40277777777777801</v>
      </c>
      <c r="C17" s="66" t="str">
        <f>'10U GIRLS COED AU AG-12 TEAMS'!C28&amp;""</f>
        <v>EL TORO HS 2</v>
      </c>
      <c r="D17" s="20" t="str">
        <f>'10U GIRLS COED AU AG-12 TEAMS'!D28&amp;""</f>
        <v>10GCauag16</v>
      </c>
      <c r="E17" s="20" t="str">
        <f>'10U GIRLS COED AU AG-12 TEAMS'!E28&amp;""</f>
        <v>B3-LAGUNA BEACH ag</v>
      </c>
      <c r="F17" s="20" t="str">
        <f>'10U GIRLS COED AU AG-12 TEAMS'!F28&amp;""</f>
        <v>4</v>
      </c>
      <c r="G17" s="20" t="str">
        <f>'10U GIRLS COED AU AG-12 TEAMS'!G28&amp;""</f>
        <v>B4-TROJAN NORTH ag</v>
      </c>
      <c r="H17" s="20" t="str">
        <f>'10U GIRLS COED AU AG-12 TEAMS'!H28&amp;""</f>
        <v>15</v>
      </c>
      <c r="I17" s="20" t="str">
        <f>'10U GIRLS COED AU AG-12 TEAMS'!I28&amp;""</f>
        <v>bracket, B3/B4 coed silver 1st-4th</v>
      </c>
      <c r="J17" s="20" t="str">
        <f>'10U GIRLS COED AU AG-12 TEAMS'!J28&amp;""</f>
        <v>10U_GIRLS_COED_GOLD_SILVER</v>
      </c>
      <c r="K17" s="20" t="str">
        <f t="shared" si="0"/>
        <v>202603080940</v>
      </c>
    </row>
    <row r="18" spans="1:11">
      <c r="A18" s="67">
        <f>'10U GIRLS COED AU AG-12 TEAMS'!A29</f>
        <v>46089</v>
      </c>
      <c r="B18" s="152">
        <f>'10U GIRLS COED AU AG-12 TEAMS'!B29</f>
        <v>0.4375</v>
      </c>
      <c r="C18" s="66" t="str">
        <f>'10U GIRLS COED AU AG-12 TEAMS'!C29&amp;""</f>
        <v>EL TORO HS 2</v>
      </c>
      <c r="D18" s="20" t="str">
        <f>'10U GIRLS COED AU AG-12 TEAMS'!D29&amp;""</f>
        <v>10GCauag17</v>
      </c>
      <c r="E18" s="20" t="str">
        <f>'10U GIRLS COED AU AG-12 TEAMS'!E29&amp;""</f>
        <v>1stA-ORANGE COUNTY WPC B au</v>
      </c>
      <c r="F18" s="20" t="str">
        <f>'10U GIRLS COED AU AG-12 TEAMS'!F29&amp;""</f>
        <v>7</v>
      </c>
      <c r="G18" s="20" t="str">
        <f>'10U GIRLS COED AU AG-12 TEAMS'!G29&amp;""</f>
        <v>C1-DEL MAR GIRLS BLUE</v>
      </c>
      <c r="H18" s="20" t="str">
        <f>'10U GIRLS COED AU AG-12 TEAMS'!H29&amp;""</f>
        <v>9</v>
      </c>
      <c r="I18" s="20" t="str">
        <f>'10U GIRLS COED AU AG-12 TEAMS'!I29&amp;""</f>
        <v>cross</v>
      </c>
      <c r="J18" s="20" t="str">
        <f>'10U GIRLS COED AU AG-12 TEAMS'!J29&amp;""</f>
        <v>10U_GIRLS_COED_GOLD_SILVER</v>
      </c>
      <c r="K18" s="20" t="str">
        <f t="shared" si="0"/>
        <v>202603081030</v>
      </c>
    </row>
    <row r="19" spans="1:11">
      <c r="A19" s="67">
        <f>'10U GIRLS COED AU AG-12 TEAMS'!A30</f>
        <v>46089</v>
      </c>
      <c r="B19" s="152">
        <f>'10U GIRLS COED AU AG-12 TEAMS'!B30</f>
        <v>0.47222222222222199</v>
      </c>
      <c r="C19" s="66" t="str">
        <f>'10U GIRLS COED AU AG-12 TEAMS'!C30&amp;""</f>
        <v>EL TORO HS 2</v>
      </c>
      <c r="D19" s="20" t="str">
        <f>'10U GIRLS COED AU AG-12 TEAMS'!D30&amp;""</f>
        <v>10GCauag18</v>
      </c>
      <c r="E19" s="20" t="str">
        <f>'10U GIRLS COED AU AG-12 TEAMS'!E30&amp;""</f>
        <v>3rdA-TROJAN SOUTH au</v>
      </c>
      <c r="F19" s="20" t="str">
        <f>'10U GIRLS COED AU AG-12 TEAMS'!F30&amp;""</f>
        <v>13</v>
      </c>
      <c r="G19" s="20" t="str">
        <f>'10U GIRLS COED AU AG-12 TEAMS'!G30&amp;""</f>
        <v>C3-DEL MAR GIRLS WHITE</v>
      </c>
      <c r="H19" s="20" t="str">
        <f>'10U GIRLS COED AU AG-12 TEAMS'!H30&amp;""</f>
        <v>7</v>
      </c>
      <c r="I19" s="20" t="str">
        <f>'10U GIRLS COED AU AG-12 TEAMS'!I30&amp;""</f>
        <v>cross</v>
      </c>
      <c r="J19" s="20" t="str">
        <f>'10U GIRLS COED AU AG-12 TEAMS'!J30&amp;""</f>
        <v>10U_GIRLS_COED_GOLD_SILVER</v>
      </c>
      <c r="K19" s="20" t="str">
        <f t="shared" si="0"/>
        <v>202603081120</v>
      </c>
    </row>
    <row r="20" spans="1:11">
      <c r="A20" s="67">
        <f>'10U GIRLS COED AU AG-12 TEAMS'!A31</f>
        <v>46089</v>
      </c>
      <c r="B20" s="152">
        <f>'10U GIRLS COED AU AG-12 TEAMS'!B31</f>
        <v>0.50694444444444398</v>
      </c>
      <c r="C20" s="66" t="str">
        <f>'10U GIRLS COED AU AG-12 TEAMS'!C31&amp;""</f>
        <v>EL TORO HS 2</v>
      </c>
      <c r="D20" s="20" t="str">
        <f>'10U GIRLS COED AU AG-12 TEAMS'!D31&amp;""</f>
        <v>10GCauag19</v>
      </c>
      <c r="E20" s="20" t="str">
        <f>'10U GIRLS COED AU AG-12 TEAMS'!E31&amp;""</f>
        <v>2ndA-VANGUARD BLUE au</v>
      </c>
      <c r="F20" s="20" t="str">
        <f>'10U GIRLS COED AU AG-12 TEAMS'!F31&amp;""</f>
        <v>7</v>
      </c>
      <c r="G20" s="20" t="str">
        <f>'10U GIRLS COED AU AG-12 TEAMS'!G31&amp;""</f>
        <v>C2-NEWPORT BEACH GIRLS BLUE</v>
      </c>
      <c r="H20" s="20" t="str">
        <f>'10U GIRLS COED AU AG-12 TEAMS'!H31&amp;""</f>
        <v>21</v>
      </c>
      <c r="I20" s="20" t="str">
        <f>'10U GIRLS COED AU AG-12 TEAMS'!I31&amp;""</f>
        <v>cross</v>
      </c>
      <c r="J20" s="20" t="str">
        <f>'10U GIRLS COED AU AG-12 TEAMS'!J31&amp;""</f>
        <v>10U_GIRLS_COED_GOLD_SILVER</v>
      </c>
      <c r="K20" s="20" t="str">
        <f t="shared" si="0"/>
        <v>202603081210</v>
      </c>
    </row>
    <row r="21" spans="1:11">
      <c r="A21" s="67">
        <f>'10U GIRLS COED AU AG-12 TEAMS'!A32</f>
        <v>46089</v>
      </c>
      <c r="B21" s="152">
        <f>'10U GIRLS COED AU AG-12 TEAMS'!B32</f>
        <v>0.54166666666666696</v>
      </c>
      <c r="C21" s="66" t="str">
        <f>'10U GIRLS COED AU AG-12 TEAMS'!C32&amp;""</f>
        <v>EL TORO HS 2</v>
      </c>
      <c r="D21" s="20" t="str">
        <f>'10U GIRLS COED AU AG-12 TEAMS'!D32&amp;""</f>
        <v>10GCauag20</v>
      </c>
      <c r="E21" s="20" t="str">
        <f>'10U GIRLS COED AU AG-12 TEAMS'!E32&amp;""</f>
        <v>4thA-SAN CLEMENTE BLACK au</v>
      </c>
      <c r="F21" s="20" t="str">
        <f>'10U GIRLS COED AU AG-12 TEAMS'!F32&amp;""</f>
        <v>14</v>
      </c>
      <c r="G21" s="20" t="str">
        <f>'10U GIRLS COED AU AG-12 TEAMS'!G32&amp;""</f>
        <v>C4-NEWPORT BEACH GIRLS WHITE</v>
      </c>
      <c r="H21" s="20" t="str">
        <f>'10U GIRLS COED AU AG-12 TEAMS'!H32&amp;""</f>
        <v>8</v>
      </c>
      <c r="I21" s="20" t="str">
        <f>'10U GIRLS COED AU AG-12 TEAMS'!I32&amp;""</f>
        <v>cross</v>
      </c>
      <c r="J21" s="20" t="str">
        <f>'10U GIRLS COED AU AG-12 TEAMS'!J32&amp;""</f>
        <v>10U_GIRLS_COED_GOLD_SILVER</v>
      </c>
      <c r="K21" s="20" t="str">
        <f t="shared" si="0"/>
        <v>202603081300</v>
      </c>
    </row>
    <row r="22" spans="1:11">
      <c r="A22" s="67">
        <f>'10U GIRLS COED AU AG-12 TEAMS'!A33</f>
        <v>46089</v>
      </c>
      <c r="B22" s="152">
        <f>'10U GIRLS COED AU AG-12 TEAMS'!B33</f>
        <v>0.57638888888888895</v>
      </c>
      <c r="C22" s="66" t="str">
        <f>'10U GIRLS COED AU AG-12 TEAMS'!C33&amp;""</f>
        <v>EL TORO HS 2</v>
      </c>
      <c r="D22" s="20" t="str">
        <f>'10U GIRLS COED AU AG-12 TEAMS'!D33&amp;""</f>
        <v>10GCauag21</v>
      </c>
      <c r="E22" s="162" t="str">
        <f>'10U GIRLS COED AU AG-12 TEAMS'!E33&amp;""</f>
        <v>1stB-TROJAN NORTH ag</v>
      </c>
      <c r="F22" s="20" t="str">
        <f>'10U GIRLS COED AU AG-12 TEAMS'!F33&amp;""</f>
        <v>4</v>
      </c>
      <c r="G22" s="20" t="str">
        <f>'10U GIRLS COED AU AG-12 TEAMS'!G33&amp;""</f>
        <v>C1-DEL MAR GIRLS BLUE</v>
      </c>
      <c r="H22" s="20" t="str">
        <f>'10U GIRLS COED AU AG-12 TEAMS'!H33&amp;""</f>
        <v>16</v>
      </c>
      <c r="I22" s="20" t="str">
        <f>'10U GIRLS COED AU AG-12 TEAMS'!I33&amp;""</f>
        <v>cross</v>
      </c>
      <c r="J22" s="20" t="str">
        <f>'10U GIRLS COED AU AG-12 TEAMS'!J33&amp;""</f>
        <v>10U_GIRLS_COED_GOLD_SILVER</v>
      </c>
      <c r="K22" s="20" t="str">
        <f t="shared" si="0"/>
        <v>202603081350</v>
      </c>
    </row>
    <row r="23" spans="1:11">
      <c r="A23" s="67">
        <f>'10U GIRLS COED AU AG-12 TEAMS'!A34</f>
        <v>46089</v>
      </c>
      <c r="B23" s="152">
        <f>'10U GIRLS COED AU AG-12 TEAMS'!B34</f>
        <v>0.61111111111111105</v>
      </c>
      <c r="C23" s="66" t="str">
        <f>'10U GIRLS COED AU AG-12 TEAMS'!C34&amp;""</f>
        <v>EL TORO HS 2</v>
      </c>
      <c r="D23" s="20" t="str">
        <f>'10U GIRLS COED AU AG-12 TEAMS'!D34&amp;""</f>
        <v>10GCauag22</v>
      </c>
      <c r="E23" s="162" t="str">
        <f>'10U GIRLS COED AU AG-12 TEAMS'!E34&amp;""</f>
        <v>3rdB-SAN CLEMENTE RED GIRLS ag</v>
      </c>
      <c r="F23" s="20" t="str">
        <f>'10U GIRLS COED AU AG-12 TEAMS'!F34&amp;""</f>
        <v>8</v>
      </c>
      <c r="G23" s="20" t="str">
        <f>'10U GIRLS COED AU AG-12 TEAMS'!G34&amp;""</f>
        <v>C3-DEL MAR GIRLS WHITE</v>
      </c>
      <c r="H23" s="20" t="str">
        <f>'10U GIRLS COED AU AG-12 TEAMS'!H34&amp;""</f>
        <v>6</v>
      </c>
      <c r="I23" s="20" t="str">
        <f>'10U GIRLS COED AU AG-12 TEAMS'!I34&amp;""</f>
        <v>cross</v>
      </c>
      <c r="J23" s="20" t="str">
        <f>'10U GIRLS COED AU AG-12 TEAMS'!J34&amp;""</f>
        <v>10U_GIRLS_COED_GOLD_SILVER</v>
      </c>
      <c r="K23" s="20" t="str">
        <f t="shared" si="0"/>
        <v>202603081440</v>
      </c>
    </row>
    <row r="24" spans="1:11">
      <c r="A24" s="67">
        <f>'10U GIRLS COED AU AG-12 TEAMS'!A35</f>
        <v>46089</v>
      </c>
      <c r="B24" s="152">
        <f>'10U GIRLS COED AU AG-12 TEAMS'!B35</f>
        <v>0.64583333333333304</v>
      </c>
      <c r="C24" s="66" t="str">
        <f>'10U GIRLS COED AU AG-12 TEAMS'!C35&amp;""</f>
        <v>EL TORO HS 2</v>
      </c>
      <c r="D24" s="20" t="str">
        <f>'10U GIRLS COED AU AG-12 TEAMS'!D35&amp;""</f>
        <v>10GCauag23</v>
      </c>
      <c r="E24" s="162" t="str">
        <f>'10U GIRLS COED AU AG-12 TEAMS'!E35&amp;""</f>
        <v>2ndB-LAGUNA BEACH ag</v>
      </c>
      <c r="F24" s="20" t="str">
        <f>'10U GIRLS COED AU AG-12 TEAMS'!F35&amp;""</f>
        <v>4</v>
      </c>
      <c r="G24" s="20" t="str">
        <f>'10U GIRLS COED AU AG-12 TEAMS'!G35&amp;""</f>
        <v>C2-NEWPORT BEACH GIRLS BLUE</v>
      </c>
      <c r="H24" s="20" t="str">
        <f>'10U GIRLS COED AU AG-12 TEAMS'!H35&amp;""</f>
        <v>19</v>
      </c>
      <c r="I24" s="20" t="str">
        <f>'10U GIRLS COED AU AG-12 TEAMS'!I35&amp;""</f>
        <v>cross</v>
      </c>
      <c r="J24" s="20" t="str">
        <f>'10U GIRLS COED AU AG-12 TEAMS'!J35&amp;""</f>
        <v>10U_GIRLS_COED_GOLD_SILVER</v>
      </c>
      <c r="K24" s="20" t="str">
        <f t="shared" si="0"/>
        <v>202603081530</v>
      </c>
    </row>
    <row r="25" spans="1:11">
      <c r="A25" s="67">
        <f>'10U GIRLS COED AU AG-12 TEAMS'!A36</f>
        <v>46089</v>
      </c>
      <c r="B25" s="152">
        <f>'10U GIRLS COED AU AG-12 TEAMS'!B36</f>
        <v>0.68055555555555602</v>
      </c>
      <c r="C25" s="66" t="str">
        <f>'10U GIRLS COED AU AG-12 TEAMS'!C36&amp;""</f>
        <v>EL TORO HS 2</v>
      </c>
      <c r="D25" s="20" t="str">
        <f>'10U GIRLS COED AU AG-12 TEAMS'!D36&amp;""</f>
        <v>10GCauag24</v>
      </c>
      <c r="E25" s="162" t="str">
        <f>'10U GIRLS COED AU AG-12 TEAMS'!E36&amp;""</f>
        <v>4thB-CDM BOYS WHITE ag</v>
      </c>
      <c r="F25" s="20" t="str">
        <f>'10U GIRLS COED AU AG-12 TEAMS'!F36&amp;""</f>
        <v>20</v>
      </c>
      <c r="G25" s="20" t="str">
        <f>'10U GIRLS COED AU AG-12 TEAMS'!G36&amp;""</f>
        <v>C4-NEWPORT BEACH GIRLS WHITE</v>
      </c>
      <c r="H25" s="20" t="str">
        <f>'10U GIRLS COED AU AG-12 TEAMS'!H36&amp;""</f>
        <v>2</v>
      </c>
      <c r="I25" s="20" t="str">
        <f>'10U GIRLS COED AU AG-12 TEAMS'!I36&amp;""</f>
        <v>cross</v>
      </c>
      <c r="J25" s="20" t="str">
        <f>'10U GIRLS COED AU AG-12 TEAMS'!J36&amp;""</f>
        <v>10U_GIRLS_COED_GOLD_SILVER</v>
      </c>
      <c r="K25" s="20" t="str">
        <f t="shared" si="0"/>
        <v>202603081620</v>
      </c>
    </row>
    <row r="26" spans="1:11">
      <c r="A26" s="153">
        <f>'10U BOYS &amp; COED PT-7 CUSTOM'!A10</f>
        <v>46088</v>
      </c>
      <c r="B26" s="54">
        <f>'10U BOYS &amp; COED PT-7 CUSTOM'!B10</f>
        <v>0.33333333333333331</v>
      </c>
      <c r="C26" s="21" t="str">
        <f>'10U BOYS &amp; COED PT-7 CUSTOM'!C10&amp;""</f>
        <v>WOOLLETT FAR LEFT</v>
      </c>
      <c r="D26" s="21" t="str">
        <f>'10U BOYS &amp; COED PT-7 CUSTOM'!D10&amp;""</f>
        <v>10BCpt01</v>
      </c>
      <c r="E26" s="21" t="str">
        <f>'10U BOYS &amp; COED PT-7 CUSTOM'!E10&amp;""</f>
        <v>A1-NORTH IRVINE BLACK</v>
      </c>
      <c r="F26" s="21" t="str">
        <f>'10U BOYS &amp; COED PT-7 CUSTOM'!F10&amp;""</f>
        <v>22</v>
      </c>
      <c r="G26" s="154" t="str">
        <f>'10U BOYS &amp; COED PT-7 CUSTOM'!G10&amp;""</f>
        <v>A3-VIKING</v>
      </c>
      <c r="H26" s="21" t="str">
        <f>'10U BOYS &amp; COED PT-7 CUSTOM'!H10&amp;""</f>
        <v>8</v>
      </c>
      <c r="I26" s="21" t="str">
        <f>'10U BOYS &amp; COED PT-7 CUSTOM'!I10&amp;""</f>
        <v>A bracket A1,A3 Cpt 1st-3rd</v>
      </c>
      <c r="J26" s="21" t="str">
        <f>'10U BOYS &amp; COED PT-7 CUSTOM'!J10&amp;""</f>
        <v>10U_BOYS_&amp;_COED_PLATINUM</v>
      </c>
      <c r="K26" s="21" t="str">
        <f t="shared" si="0"/>
        <v>202603070800</v>
      </c>
    </row>
    <row r="27" spans="1:11">
      <c r="A27" s="153">
        <f>'10U BOYS &amp; COED PT-7 CUSTOM'!A11</f>
        <v>46088</v>
      </c>
      <c r="B27" s="54">
        <f>'10U BOYS &amp; COED PT-7 CUSTOM'!B11</f>
        <v>0.36805555555555558</v>
      </c>
      <c r="C27" s="21" t="str">
        <f>'10U BOYS &amp; COED PT-7 CUSTOM'!C11&amp;""</f>
        <v>WOOLLETT FAR LEFT</v>
      </c>
      <c r="D27" s="21" t="str">
        <f>'10U BOYS &amp; COED PT-7 CUSTOM'!D11&amp;""</f>
        <v>10BCpt02</v>
      </c>
      <c r="E27" s="21" t="str">
        <f>'10U BOYS &amp; COED PT-7 CUSTOM'!E11&amp;""</f>
        <v>A2-SAN DIEGO DONS BLACK</v>
      </c>
      <c r="F27" s="21" t="str">
        <f>'10U BOYS &amp; COED PT-7 CUSTOM'!F11&amp;""</f>
        <v>15</v>
      </c>
      <c r="G27" s="160" t="str">
        <f>'10U BOYS &amp; COED PT-7 CUSTOM'!G11&amp;""</f>
        <v>A3-VIKING</v>
      </c>
      <c r="H27" s="21" t="str">
        <f>'10U BOYS &amp; COED PT-7 CUSTOM'!H11&amp;""</f>
        <v>7</v>
      </c>
      <c r="I27" s="21" t="str">
        <f>'10U BOYS &amp; COED PT-7 CUSTOM'!I11&amp;""</f>
        <v>A bracket A2,A3 Cpt 1st-3rd</v>
      </c>
      <c r="J27" s="21" t="str">
        <f>'10U BOYS &amp; COED PT-7 CUSTOM'!J11&amp;""</f>
        <v>10U_BOYS_&amp;_COED_PLATINUM</v>
      </c>
      <c r="K27" s="21" t="str">
        <f t="shared" si="0"/>
        <v>202603070850</v>
      </c>
    </row>
    <row r="28" spans="1:11">
      <c r="A28" s="153">
        <f>'10U BOYS &amp; COED PT-7 CUSTOM'!A13</f>
        <v>46088</v>
      </c>
      <c r="B28" s="54">
        <f>'10U BOYS &amp; COED PT-7 CUSTOM'!B13</f>
        <v>0.47222222222222199</v>
      </c>
      <c r="C28" s="21" t="str">
        <f>'10U BOYS &amp; COED PT-7 CUSTOM'!C13&amp;""</f>
        <v>WOOLLETT FAR LEFT</v>
      </c>
      <c r="D28" s="21" t="str">
        <f>'10U BOYS &amp; COED PT-7 CUSTOM'!D13&amp;""</f>
        <v>10BCpt03</v>
      </c>
      <c r="E28" s="21" t="str">
        <f>'10U BOYS &amp; COED PT-7 CUSTOM'!E13&amp;""</f>
        <v>B1-ORWP A</v>
      </c>
      <c r="F28" s="21" t="str">
        <f>'10U BOYS &amp; COED PT-7 CUSTOM'!F13&amp;""</f>
        <v>10</v>
      </c>
      <c r="G28" s="21" t="str">
        <f>'10U BOYS &amp; COED PT-7 CUSTOM'!G13&amp;""</f>
        <v>B4-NEWPORT BEACH WHITE</v>
      </c>
      <c r="H28" s="21" t="str">
        <f>'10U BOYS &amp; COED PT-7 CUSTOM'!H13&amp;""</f>
        <v>7</v>
      </c>
      <c r="I28" s="21" t="str">
        <f>'10U BOYS &amp; COED PT-7 CUSTOM'!I13&amp;""</f>
        <v>B bracket B1,B4 Boys 1st-4th</v>
      </c>
      <c r="J28" s="21" t="str">
        <f>'10U BOYS &amp; COED PT-7 CUSTOM'!J13&amp;""</f>
        <v>10U_BOYS_&amp;_COED_PLATINUM</v>
      </c>
      <c r="K28" s="21" t="str">
        <f t="shared" si="0"/>
        <v>202603071120</v>
      </c>
    </row>
    <row r="29" spans="1:11">
      <c r="A29" s="153">
        <f>'10U BOYS &amp; COED PT-7 CUSTOM'!A14</f>
        <v>46088</v>
      </c>
      <c r="B29" s="54">
        <f>'10U BOYS &amp; COED PT-7 CUSTOM'!B14</f>
        <v>0.50694444444444398</v>
      </c>
      <c r="C29" s="21" t="str">
        <f>'10U BOYS &amp; COED PT-7 CUSTOM'!C14&amp;""</f>
        <v>WOOLLETT FAR LEFT</v>
      </c>
      <c r="D29" s="21" t="str">
        <f>'10U BOYS &amp; COED PT-7 CUSTOM'!D14&amp;""</f>
        <v>10BCpt04</v>
      </c>
      <c r="E29" s="21" t="str">
        <f>'10U BOYS &amp; COED PT-7 CUSTOM'!E14&amp;""</f>
        <v>B2-CDM BLUE</v>
      </c>
      <c r="F29" s="21" t="str">
        <f>'10U BOYS &amp; COED PT-7 CUSTOM'!F14&amp;""</f>
        <v>11</v>
      </c>
      <c r="G29" s="21" t="str">
        <f>'10U BOYS &amp; COED PT-7 CUSTOM'!G14&amp;""</f>
        <v>B3-SAN CLEMENTE RED</v>
      </c>
      <c r="H29" s="21" t="str">
        <f>'10U BOYS &amp; COED PT-7 CUSTOM'!H14&amp;""</f>
        <v>14</v>
      </c>
      <c r="I29" s="21" t="str">
        <f>'10U BOYS &amp; COED PT-7 CUSTOM'!I14&amp;""</f>
        <v>B bracket B2,B3 Boys 1st-4th</v>
      </c>
      <c r="J29" s="21" t="str">
        <f>'10U BOYS &amp; COED PT-7 CUSTOM'!J14&amp;""</f>
        <v>10U_BOYS_&amp;_COED_PLATINUM</v>
      </c>
      <c r="K29" s="21" t="str">
        <f t="shared" si="0"/>
        <v>202603071210</v>
      </c>
    </row>
    <row r="30" spans="1:11">
      <c r="A30" s="153">
        <f>'10U BOYS &amp; COED PT-7 CUSTOM'!A16</f>
        <v>46088</v>
      </c>
      <c r="B30" s="54">
        <f>'10U BOYS &amp; COED PT-7 CUSTOM'!B16</f>
        <v>0.61111111111111105</v>
      </c>
      <c r="C30" s="21" t="str">
        <f>'10U BOYS &amp; COED PT-7 CUSTOM'!C16&amp;""</f>
        <v>WOOLLETT FAR LEFT</v>
      </c>
      <c r="D30" s="21" t="str">
        <f>'10U BOYS &amp; COED PT-7 CUSTOM'!D16&amp;""</f>
        <v>10BCpt05</v>
      </c>
      <c r="E30" s="21" t="str">
        <f>'10U BOYS &amp; COED PT-7 CUSTOM'!E16&amp;""</f>
        <v>A1-NORTH IRVINE BLACK</v>
      </c>
      <c r="F30" s="21" t="str">
        <f>'10U BOYS &amp; COED PT-7 CUSTOM'!F16&amp;""</f>
        <v>16</v>
      </c>
      <c r="G30" s="21" t="str">
        <f>'10U BOYS &amp; COED PT-7 CUSTOM'!G16&amp;""</f>
        <v>A2-SAN DIEGO DONS BLACK</v>
      </c>
      <c r="H30" s="21" t="str">
        <f>'10U BOYS &amp; COED PT-7 CUSTOM'!H16&amp;""</f>
        <v>5</v>
      </c>
      <c r="I30" s="21" t="str">
        <f>'10U BOYS &amp; COED PT-7 CUSTOM'!I16&amp;""</f>
        <v>A bracket A1,A2 Cpt 1st-3rd</v>
      </c>
      <c r="J30" s="21" t="str">
        <f>'10U BOYS &amp; COED PT-7 CUSTOM'!J16&amp;""</f>
        <v>10U_BOYS_&amp;_COED_PLATINUM</v>
      </c>
      <c r="K30" s="21" t="str">
        <f t="shared" si="0"/>
        <v>202603071440</v>
      </c>
    </row>
    <row r="31" spans="1:11">
      <c r="A31" s="153">
        <f>'10U BOYS &amp; COED PT-7 CUSTOM'!A17</f>
        <v>46088</v>
      </c>
      <c r="B31" s="54">
        <f>'10U BOYS &amp; COED PT-7 CUSTOM'!B17</f>
        <v>0.61111111111111105</v>
      </c>
      <c r="C31" s="21" t="str">
        <f>'10U BOYS &amp; COED PT-7 CUSTOM'!C17&amp;""</f>
        <v>EL TORO HS 2</v>
      </c>
      <c r="D31" s="21" t="str">
        <f>'10U BOYS &amp; COED PT-7 CUSTOM'!D17&amp;""</f>
        <v>10BCpt06</v>
      </c>
      <c r="E31" s="21" t="str">
        <f>'10U BOYS &amp; COED PT-7 CUSTOM'!E17&amp;""</f>
        <v>B1-ORWP A</v>
      </c>
      <c r="F31" s="21" t="str">
        <f>'10U BOYS &amp; COED PT-7 CUSTOM'!F17&amp;""</f>
        <v>9</v>
      </c>
      <c r="G31" s="21" t="str">
        <f>'10U BOYS &amp; COED PT-7 CUSTOM'!G17&amp;""</f>
        <v>B3-SAN CLEMENTE RED</v>
      </c>
      <c r="H31" s="21" t="str">
        <f>'10U BOYS &amp; COED PT-7 CUSTOM'!H17&amp;""</f>
        <v>8</v>
      </c>
      <c r="I31" s="21" t="str">
        <f>'10U BOYS &amp; COED PT-7 CUSTOM'!I17&amp;""</f>
        <v>B bracket B1,B3 Boys 1st-4th</v>
      </c>
      <c r="J31" s="21" t="str">
        <f>'10U BOYS &amp; COED PT-7 CUSTOM'!J17&amp;""</f>
        <v>10U_BOYS_&amp;_COED_PLATINUM</v>
      </c>
      <c r="K31" s="21" t="str">
        <f t="shared" si="0"/>
        <v>202603071440</v>
      </c>
    </row>
    <row r="32" spans="1:11">
      <c r="A32" s="153">
        <f>'10U BOYS &amp; COED PT-7 CUSTOM'!A18</f>
        <v>46088</v>
      </c>
      <c r="B32" s="54">
        <f>'10U BOYS &amp; COED PT-7 CUSTOM'!B18</f>
        <v>0.64583333333333304</v>
      </c>
      <c r="C32" s="21" t="str">
        <f>'10U BOYS &amp; COED PT-7 CUSTOM'!C18&amp;""</f>
        <v>EL TORO HS 2</v>
      </c>
      <c r="D32" s="21" t="str">
        <f>'10U BOYS &amp; COED PT-7 CUSTOM'!D18&amp;""</f>
        <v>10BCpt07</v>
      </c>
      <c r="E32" s="21" t="str">
        <f>'10U BOYS &amp; COED PT-7 CUSTOM'!E18&amp;""</f>
        <v>B2-CDM BLUE</v>
      </c>
      <c r="F32" s="21" t="str">
        <f>'10U BOYS &amp; COED PT-7 CUSTOM'!F18&amp;""</f>
        <v>13</v>
      </c>
      <c r="G32" s="21" t="str">
        <f>'10U BOYS &amp; COED PT-7 CUSTOM'!G18&amp;""</f>
        <v>B4-NEWPORT BEACH WHITE</v>
      </c>
      <c r="H32" s="21" t="str">
        <f>'10U BOYS &amp; COED PT-7 CUSTOM'!H18&amp;""</f>
        <v>10</v>
      </c>
      <c r="I32" s="21" t="str">
        <f>'10U BOYS &amp; COED PT-7 CUSTOM'!I18&amp;""</f>
        <v>B bracket B2,B4 Boys 1st-4th</v>
      </c>
      <c r="J32" s="21" t="str">
        <f>'10U BOYS &amp; COED PT-7 CUSTOM'!J18&amp;""</f>
        <v>10U_BOYS_&amp;_COED_PLATINUM</v>
      </c>
      <c r="K32" s="21" t="str">
        <f t="shared" si="0"/>
        <v>202603071530</v>
      </c>
    </row>
    <row r="33" spans="1:11">
      <c r="A33" s="153">
        <f>'10U BOYS &amp; COED PT-7 CUSTOM'!A22</f>
        <v>46089</v>
      </c>
      <c r="B33" s="54">
        <f>'10U BOYS &amp; COED PT-7 CUSTOM'!B22</f>
        <v>0.33333333333333331</v>
      </c>
      <c r="C33" s="21" t="str">
        <f>'10U BOYS &amp; COED PT-7 CUSTOM'!C22&amp;""</f>
        <v>WOOLLETT FAR LEFT</v>
      </c>
      <c r="D33" s="21" t="str">
        <f>'10U BOYS &amp; COED PT-7 CUSTOM'!D22&amp;""</f>
        <v>10BCpt08</v>
      </c>
      <c r="E33" s="21" t="str">
        <f>'10U BOYS &amp; COED PT-7 CUSTOM'!E22&amp;""</f>
        <v>B3-SAN CLEMENTE RED</v>
      </c>
      <c r="F33" s="21" t="str">
        <f>'10U BOYS &amp; COED PT-7 CUSTOM'!F22&amp;""</f>
        <v>17</v>
      </c>
      <c r="G33" s="21" t="str">
        <f>'10U BOYS &amp; COED PT-7 CUSTOM'!G22&amp;""</f>
        <v>B4-NEWPORT BEACH WHITE</v>
      </c>
      <c r="H33" s="21" t="str">
        <f>'10U BOYS &amp; COED PT-7 CUSTOM'!H22&amp;""</f>
        <v>4</v>
      </c>
      <c r="I33" s="21" t="str">
        <f>'10U BOYS &amp; COED PT-7 CUSTOM'!I22&amp;""</f>
        <v>B bracket B3,B4 Boys 1st-4th</v>
      </c>
      <c r="J33" s="21" t="str">
        <f>'10U BOYS &amp; COED PT-7 CUSTOM'!J22&amp;""</f>
        <v>10U_BOYS_&amp;_COED_PLATINUM</v>
      </c>
      <c r="K33" s="21" t="str">
        <f t="shared" si="0"/>
        <v>202603080800</v>
      </c>
    </row>
    <row r="34" spans="1:11">
      <c r="A34" s="153">
        <f>'10U BOYS &amp; COED PT-7 CUSTOM'!A23</f>
        <v>46089</v>
      </c>
      <c r="B34" s="54">
        <f>'10U BOYS &amp; COED PT-7 CUSTOM'!B23</f>
        <v>0.36805555555555558</v>
      </c>
      <c r="C34" s="21" t="str">
        <f>'10U BOYS &amp; COED PT-7 CUSTOM'!C23&amp;""</f>
        <v>WOOLLETT FAR LEFT</v>
      </c>
      <c r="D34" s="21" t="str">
        <f>'10U BOYS &amp; COED PT-7 CUSTOM'!D23&amp;""</f>
        <v>10BCpt09</v>
      </c>
      <c r="E34" s="21" t="str">
        <f>'10U BOYS &amp; COED PT-7 CUSTOM'!E23&amp;""</f>
        <v>B1-ORWP A</v>
      </c>
      <c r="F34" s="21" t="str">
        <f>'10U BOYS &amp; COED PT-7 CUSTOM'!F23&amp;""</f>
        <v>8</v>
      </c>
      <c r="G34" s="21" t="str">
        <f>'10U BOYS &amp; COED PT-7 CUSTOM'!G23&amp;""</f>
        <v>B2-CDM BLUE</v>
      </c>
      <c r="H34" s="21" t="str">
        <f>'10U BOYS &amp; COED PT-7 CUSTOM'!H23&amp;""</f>
        <v>7</v>
      </c>
      <c r="I34" s="21" t="str">
        <f>'10U BOYS &amp; COED PT-7 CUSTOM'!I23&amp;""</f>
        <v>B bracket B1,B2 Boys 1st-4th</v>
      </c>
      <c r="J34" s="21" t="str">
        <f>'10U BOYS &amp; COED PT-7 CUSTOM'!J23&amp;""</f>
        <v>10U_BOYS_&amp;_COED_PLATINUM</v>
      </c>
      <c r="K34" s="21" t="str">
        <f t="shared" si="0"/>
        <v>202603080850</v>
      </c>
    </row>
    <row r="35" spans="1:11">
      <c r="A35" s="153">
        <f>'10U BOYS &amp; COED PT-7 CUSTOM'!A25</f>
        <v>46089</v>
      </c>
      <c r="B35" s="54">
        <f>'10U BOYS &amp; COED PT-7 CUSTOM'!B25</f>
        <v>0.4375</v>
      </c>
      <c r="C35" s="21" t="str">
        <f>'10U BOYS &amp; COED PT-7 CUSTOM'!C25&amp;""</f>
        <v>WOOLLETT FAR LEFT</v>
      </c>
      <c r="D35" s="21" t="str">
        <f>'10U BOYS &amp; COED PT-7 CUSTOM'!D25&amp;""</f>
        <v>10BCpt10</v>
      </c>
      <c r="E35" s="21" t="str">
        <f>'10U BOYS &amp; COED PT-7 CUSTOM'!E25&amp;""</f>
        <v>3rdA-VIKING</v>
      </c>
      <c r="F35" s="21" t="str">
        <f>'10U BOYS &amp; COED PT-7 CUSTOM'!F25&amp;""</f>
        <v>4</v>
      </c>
      <c r="G35" s="21" t="str">
        <f>'10U BOYS &amp; COED PT-7 CUSTOM'!G25&amp;""</f>
        <v>4thB-NEWPORT BEACH WHITE</v>
      </c>
      <c r="H35" s="21" t="str">
        <f>'10U BOYS &amp; COED PT-7 CUSTOM'!H25&amp;""</f>
        <v>9</v>
      </c>
      <c r="I35" s="21" t="str">
        <f>'10U BOYS &amp; COED PT-7 CUSTOM'!I25&amp;""</f>
        <v>cross</v>
      </c>
      <c r="J35" s="21" t="str">
        <f>'10U BOYS &amp; COED PT-7 CUSTOM'!J25&amp;""</f>
        <v>10U_BOYS_&amp;_COED_PLATINUM</v>
      </c>
      <c r="K35" s="21" t="str">
        <f t="shared" si="0"/>
        <v>202603081030</v>
      </c>
    </row>
    <row r="36" spans="1:11">
      <c r="A36" s="153">
        <f>'10U BOYS &amp; COED PT-7 CUSTOM'!A26</f>
        <v>46089</v>
      </c>
      <c r="B36" s="54">
        <f>'10U BOYS &amp; COED PT-7 CUSTOM'!B26</f>
        <v>0.47222222222222199</v>
      </c>
      <c r="C36" s="21" t="str">
        <f>'10U BOYS &amp; COED PT-7 CUSTOM'!C26&amp;""</f>
        <v>WOOLLETT FAR LEFT</v>
      </c>
      <c r="D36" s="21" t="str">
        <f>'10U BOYS &amp; COED PT-7 CUSTOM'!D26&amp;""</f>
        <v>10BCpt11</v>
      </c>
      <c r="E36" s="21" t="str">
        <f>'10U BOYS &amp; COED PT-7 CUSTOM'!E26&amp;""</f>
        <v>1stA-NORTH IRVINE BLACK</v>
      </c>
      <c r="F36" s="21" t="str">
        <f>'10U BOYS &amp; COED PT-7 CUSTOM'!F26&amp;""</f>
        <v>12</v>
      </c>
      <c r="G36" s="21" t="str">
        <f>'10U BOYS &amp; COED PT-7 CUSTOM'!G26&amp;""</f>
        <v>2ndB-SAN CLEMENTE RED</v>
      </c>
      <c r="H36" s="21" t="str">
        <f>'10U BOYS &amp; COED PT-7 CUSTOM'!H26&amp;""</f>
        <v>9</v>
      </c>
      <c r="I36" s="21" t="str">
        <f>'10U BOYS &amp; COED PT-7 CUSTOM'!I26&amp;""</f>
        <v>cross</v>
      </c>
      <c r="J36" s="21" t="str">
        <f>'10U BOYS &amp; COED PT-7 CUSTOM'!J26&amp;""</f>
        <v>10U_BOYS_&amp;_COED_PLATINUM</v>
      </c>
      <c r="K36" s="21" t="str">
        <f t="shared" si="0"/>
        <v>202603081120</v>
      </c>
    </row>
    <row r="37" spans="1:11">
      <c r="A37" s="153">
        <f>'10U BOYS &amp; COED PT-7 CUSTOM'!A27</f>
        <v>46089</v>
      </c>
      <c r="B37" s="54">
        <f>'10U BOYS &amp; COED PT-7 CUSTOM'!B27</f>
        <v>0.50694444444444398</v>
      </c>
      <c r="C37" s="21" t="str">
        <f>'10U BOYS &amp; COED PT-7 CUSTOM'!C27&amp;""</f>
        <v>WOOLLETT FAR LEFT</v>
      </c>
      <c r="D37" s="21" t="str">
        <f>'10U BOYS &amp; COED PT-7 CUSTOM'!D27&amp;""</f>
        <v>10BCpt12</v>
      </c>
      <c r="E37" s="21" t="str">
        <f>'10U BOYS &amp; COED PT-7 CUSTOM'!E27&amp;""</f>
        <v>1stB-ORWP A</v>
      </c>
      <c r="F37" s="21" t="str">
        <f>'10U BOYS &amp; COED PT-7 CUSTOM'!F27&amp;""</f>
        <v>10</v>
      </c>
      <c r="G37" s="21" t="str">
        <f>'10U BOYS &amp; COED PT-7 CUSTOM'!G27&amp;""</f>
        <v>2ndA-SAN DIEGO DONS BLACK</v>
      </c>
      <c r="H37" s="21" t="str">
        <f>'10U BOYS &amp; COED PT-7 CUSTOM'!H27&amp;""</f>
        <v>6</v>
      </c>
      <c r="I37" s="21" t="str">
        <f>'10U BOYS &amp; COED PT-7 CUSTOM'!I27&amp;""</f>
        <v>cross</v>
      </c>
      <c r="J37" s="21" t="str">
        <f>'10U BOYS &amp; COED PT-7 CUSTOM'!J27&amp;""</f>
        <v>10U_BOYS_&amp;_COED_PLATINUM</v>
      </c>
      <c r="K37" s="21" t="str">
        <f t="shared" si="0"/>
        <v>202603081210</v>
      </c>
    </row>
    <row r="38" spans="1:11">
      <c r="A38" s="153">
        <f>'10U BOYS &amp; COED PT-7 CUSTOM'!A28</f>
        <v>46089</v>
      </c>
      <c r="B38" s="54">
        <f>'10U BOYS &amp; COED PT-7 CUSTOM'!B28</f>
        <v>0.54166666666666696</v>
      </c>
      <c r="C38" s="21" t="str">
        <f>'10U BOYS &amp; COED PT-7 CUSTOM'!C28&amp;""</f>
        <v>WOOLLETT FAR LEFT</v>
      </c>
      <c r="D38" s="21" t="str">
        <f>'10U BOYS &amp; COED PT-7 CUSTOM'!D28&amp;""</f>
        <v>10BCpt13</v>
      </c>
      <c r="E38" s="21" t="str">
        <f>'10U BOYS &amp; COED PT-7 CUSTOM'!E28&amp;""</f>
        <v>3rdA-VIKING</v>
      </c>
      <c r="F38" s="21" t="str">
        <f>'10U BOYS &amp; COED PT-7 CUSTOM'!F28&amp;""</f>
        <v>2</v>
      </c>
      <c r="G38" s="21" t="str">
        <f>'10U BOYS &amp; COED PT-7 CUSTOM'!G28&amp;""</f>
        <v>3rdB-CDM BLUE</v>
      </c>
      <c r="H38" s="21" t="str">
        <f>'10U BOYS &amp; COED PT-7 CUSTOM'!H28&amp;""</f>
        <v>7</v>
      </c>
      <c r="I38" s="21" t="str">
        <f>'10U BOYS &amp; COED PT-7 CUSTOM'!I28&amp;""</f>
        <v>cross</v>
      </c>
      <c r="J38" s="21" t="str">
        <f>'10U BOYS &amp; COED PT-7 CUSTOM'!J28&amp;""</f>
        <v>10U_BOYS_&amp;_COED_PLATINUM</v>
      </c>
      <c r="K38" s="21" t="str">
        <f t="shared" si="0"/>
        <v>202603081300</v>
      </c>
    </row>
    <row r="39" spans="1:11">
      <c r="A39" s="153">
        <f>'10U BOYS &amp; COED PT-7 CUSTOM'!A29</f>
        <v>46089</v>
      </c>
      <c r="B39" s="54">
        <f>'10U BOYS &amp; COED PT-7 CUSTOM'!B29</f>
        <v>0.57638888888888895</v>
      </c>
      <c r="C39" s="21" t="str">
        <f>'10U BOYS &amp; COED PT-7 CUSTOM'!C29&amp;""</f>
        <v>WOOLLETT FAR LEFT</v>
      </c>
      <c r="D39" s="21" t="str">
        <f>'10U BOYS &amp; COED PT-7 CUSTOM'!D29&amp;""</f>
        <v>10BCpt14</v>
      </c>
      <c r="E39" s="21" t="str">
        <f>'10U BOYS &amp; COED PT-7 CUSTOM'!E29&amp;""</f>
        <v>1stA-NORTH IRVINE BLACK</v>
      </c>
      <c r="F39" s="21" t="str">
        <f>'10U BOYS &amp; COED PT-7 CUSTOM'!F29&amp;""</f>
        <v>14</v>
      </c>
      <c r="G39" s="21" t="str">
        <f>'10U BOYS &amp; COED PT-7 CUSTOM'!G29&amp;""</f>
        <v>1stB-ORWP A</v>
      </c>
      <c r="H39" s="21" t="str">
        <f>'10U BOYS &amp; COED PT-7 CUSTOM'!H29&amp;""</f>
        <v>1</v>
      </c>
      <c r="I39" s="21" t="str">
        <f>'10U BOYS &amp; COED PT-7 CUSTOM'!I29&amp;""</f>
        <v>cross</v>
      </c>
      <c r="J39" s="21" t="str">
        <f>'10U BOYS &amp; COED PT-7 CUSTOM'!J29&amp;""</f>
        <v>10U_BOYS_&amp;_COED_PLATINUM</v>
      </c>
      <c r="K39" s="21" t="str">
        <f t="shared" si="0"/>
        <v>202603081350</v>
      </c>
    </row>
    <row r="40" spans="1:11">
      <c r="A40" s="153">
        <f>'10U BOYS &amp; COED PT-7 CUSTOM'!A30</f>
        <v>46089</v>
      </c>
      <c r="B40" s="54">
        <f>'10U BOYS &amp; COED PT-7 CUSTOM'!B30</f>
        <v>0.61111111111111105</v>
      </c>
      <c r="C40" s="21" t="str">
        <f>'10U BOYS &amp; COED PT-7 CUSTOM'!C30&amp;""</f>
        <v>WOOLLETT FAR LEFT</v>
      </c>
      <c r="D40" s="21" t="str">
        <f>'10U BOYS &amp; COED PT-7 CUSTOM'!D30&amp;""</f>
        <v>10BCpt15</v>
      </c>
      <c r="E40" s="21" t="str">
        <f>'10U BOYS &amp; COED PT-7 CUSTOM'!E30&amp;""</f>
        <v>2ndA-SAN DIEGO DONS BLACK</v>
      </c>
      <c r="F40" s="21" t="str">
        <f>'10U BOYS &amp; COED PT-7 CUSTOM'!F30&amp;""</f>
        <v>9</v>
      </c>
      <c r="G40" s="21" t="str">
        <f>'10U BOYS &amp; COED PT-7 CUSTOM'!G30&amp;""</f>
        <v>2ndB-SAN CLEMENTE RED</v>
      </c>
      <c r="H40" s="21" t="str">
        <f>'10U BOYS &amp; COED PT-7 CUSTOM'!H30&amp;""</f>
        <v>14</v>
      </c>
      <c r="I40" s="21" t="str">
        <f>'10U BOYS &amp; COED PT-7 CUSTOM'!I30&amp;""</f>
        <v>cross</v>
      </c>
      <c r="J40" s="21" t="str">
        <f>'10U BOYS &amp; COED PT-7 CUSTOM'!J30&amp;""</f>
        <v>10U_BOYS_&amp;_COED_PLATINUM</v>
      </c>
      <c r="K40" s="21" t="str">
        <f t="shared" si="0"/>
        <v>202603081440</v>
      </c>
    </row>
    <row r="41" spans="1:11">
      <c r="A41" s="77">
        <f>'12U BOYS-16 TEAMS'!A21</f>
        <v>46088</v>
      </c>
      <c r="B41" s="76">
        <f>'12U BOYS-16 TEAMS'!B21</f>
        <v>0.3263888888888889</v>
      </c>
      <c r="C41" s="76" t="str">
        <f>'12U BOYS-16 TEAMS'!C21&amp;""</f>
        <v>COSTA MESA HS 2</v>
      </c>
      <c r="D41" s="26" t="str">
        <f>'12U BOYS-16 TEAMS'!D21&amp;""</f>
        <v>12B01</v>
      </c>
      <c r="E41" s="26" t="str">
        <f>'12U BOYS-16 TEAMS'!E21&amp;""</f>
        <v>A1-LA PREMIER</v>
      </c>
      <c r="F41" s="26" t="str">
        <f>'12U BOYS-16 TEAMS'!F21&amp;""</f>
        <v>6</v>
      </c>
      <c r="G41" s="26" t="str">
        <f>'12U BOYS-16 TEAMS'!G21&amp;""</f>
        <v>A3-CMAC</v>
      </c>
      <c r="H41" s="26" t="str">
        <f>'12U BOYS-16 TEAMS'!H21&amp;""</f>
        <v>9</v>
      </c>
      <c r="I41" s="26" t="str">
        <f>'12U BOYS-16 TEAMS'!I21&amp;""</f>
        <v>A bracket A1,A3 platinum 1st-3rd</v>
      </c>
      <c r="J41" s="26" t="str">
        <f>'12U BOYS-16 TEAMS'!J21&amp;""</f>
        <v>12U_BOYS</v>
      </c>
      <c r="K41" s="26" t="str">
        <f t="shared" si="0"/>
        <v>202603070750</v>
      </c>
    </row>
    <row r="42" spans="1:11">
      <c r="A42" s="77">
        <f>'12U BOYS-16 TEAMS'!A22</f>
        <v>46088</v>
      </c>
      <c r="B42" s="76">
        <f>'12U BOYS-16 TEAMS'!B22</f>
        <v>0.36111111111111099</v>
      </c>
      <c r="C42" s="76" t="str">
        <f>'12U BOYS-16 TEAMS'!C22&amp;""</f>
        <v>COSTA MESA HS 2</v>
      </c>
      <c r="D42" s="26" t="str">
        <f>'12U BOYS-16 TEAMS'!D22&amp;""</f>
        <v>12B02</v>
      </c>
      <c r="E42" s="26" t="str">
        <f>'12U BOYS-16 TEAMS'!E22&amp;""</f>
        <v>B1-TROJAN</v>
      </c>
      <c r="F42" s="26" t="str">
        <f>'12U BOYS-16 TEAMS'!F22&amp;""</f>
        <v>12</v>
      </c>
      <c r="G42" s="26" t="str">
        <f>'12U BOYS-16 TEAMS'!G22&amp;""</f>
        <v>B3-LAGUNA BEACH</v>
      </c>
      <c r="H42" s="26" t="str">
        <f>'12U BOYS-16 TEAMS'!H22&amp;""</f>
        <v>6</v>
      </c>
      <c r="I42" s="26" t="str">
        <f>'12U BOYS-16 TEAMS'!I22&amp;""</f>
        <v>B bracket B1,B3</v>
      </c>
      <c r="J42" s="26" t="str">
        <f>'12U BOYS-16 TEAMS'!J22&amp;""</f>
        <v>12U_BOYS</v>
      </c>
      <c r="K42" s="26" t="str">
        <f t="shared" si="0"/>
        <v>202603070840</v>
      </c>
    </row>
    <row r="43" spans="1:11">
      <c r="A43" s="77">
        <f>'12U BOYS-16 TEAMS'!A23</f>
        <v>46088</v>
      </c>
      <c r="B43" s="76">
        <f>'12U BOYS-16 TEAMS'!B23</f>
        <v>0.39583333333333398</v>
      </c>
      <c r="C43" s="76" t="str">
        <f>'12U BOYS-16 TEAMS'!C23&amp;""</f>
        <v>COSTA MESA HS 2</v>
      </c>
      <c r="D43" s="26" t="str">
        <f>'12U BOYS-16 TEAMS'!D23&amp;""</f>
        <v>12B03</v>
      </c>
      <c r="E43" s="26" t="str">
        <f>'12U BOYS-16 TEAMS'!E23&amp;""</f>
        <v>E1-CDM</v>
      </c>
      <c r="F43" s="26" t="str">
        <f>'12U BOYS-16 TEAMS'!F23&amp;""</f>
        <v>7</v>
      </c>
      <c r="G43" s="26" t="str">
        <f>'12U BOYS-16 TEAMS'!G23&amp;""</f>
        <v>E3-ORANGE COUNTY WPC B</v>
      </c>
      <c r="H43" s="26" t="str">
        <f>'12U BOYS-16 TEAMS'!H23&amp;""</f>
        <v>11</v>
      </c>
      <c r="I43" s="26" t="str">
        <f>'12U BOYS-16 TEAMS'!I23&amp;""</f>
        <v>E bracket E1,E3 silver 1st-3rd</v>
      </c>
      <c r="J43" s="26" t="str">
        <f>'12U BOYS-16 TEAMS'!J23&amp;""</f>
        <v>12U_BOYS</v>
      </c>
      <c r="K43" s="26" t="str">
        <f t="shared" si="0"/>
        <v>202603070930</v>
      </c>
    </row>
    <row r="44" spans="1:11">
      <c r="A44" s="77">
        <f>'12U BOYS-16 TEAMS'!A24</f>
        <v>46088</v>
      </c>
      <c r="B44" s="76">
        <f>'12U BOYS-16 TEAMS'!B24</f>
        <v>0.43055555555555602</v>
      </c>
      <c r="C44" s="76" t="str">
        <f>'12U BOYS-16 TEAMS'!C24&amp;""</f>
        <v>COSTA MESA HS 2</v>
      </c>
      <c r="D44" s="26" t="str">
        <f>'12U BOYS-16 TEAMS'!D24&amp;""</f>
        <v>12B04</v>
      </c>
      <c r="E44" s="26" t="str">
        <f>'12U BOYS-16 TEAMS'!E24&amp;""</f>
        <v>A2-ORANGE COUNTY WPC A</v>
      </c>
      <c r="F44" s="26" t="str">
        <f>'12U BOYS-16 TEAMS'!F24&amp;""</f>
        <v>12</v>
      </c>
      <c r="G44" s="26" t="str">
        <f>'12U BOYS-16 TEAMS'!G24&amp;""</f>
        <v>A3-CMAC</v>
      </c>
      <c r="H44" s="26" t="str">
        <f>'12U BOYS-16 TEAMS'!H24&amp;""</f>
        <v>5</v>
      </c>
      <c r="I44" s="26" t="str">
        <f>'12U BOYS-16 TEAMS'!I24&amp;""</f>
        <v>A bracket A2,A3 platinum 1st-3rd</v>
      </c>
      <c r="J44" s="26" t="str">
        <f>'12U BOYS-16 TEAMS'!J24&amp;""</f>
        <v>12U_BOYS</v>
      </c>
      <c r="K44" s="26" t="str">
        <f t="shared" si="0"/>
        <v>202603071020</v>
      </c>
    </row>
    <row r="45" spans="1:11">
      <c r="A45" s="77">
        <f>'12U BOYS-16 TEAMS'!A25</f>
        <v>46088</v>
      </c>
      <c r="B45" s="76">
        <f>'12U BOYS-16 TEAMS'!B25</f>
        <v>0.46527777777777801</v>
      </c>
      <c r="C45" s="76" t="str">
        <f>'12U BOYS-16 TEAMS'!C25&amp;""</f>
        <v>COSTA MESA HS 2</v>
      </c>
      <c r="D45" s="26" t="str">
        <f>'12U BOYS-16 TEAMS'!D25&amp;""</f>
        <v>12B05</v>
      </c>
      <c r="E45" s="26" t="str">
        <f>'12U BOYS-16 TEAMS'!E25&amp;""</f>
        <v>B2-ROUTE 66</v>
      </c>
      <c r="F45" s="26" t="str">
        <f>'12U BOYS-16 TEAMS'!F25&amp;""</f>
        <v>12</v>
      </c>
      <c r="G45" s="26" t="str">
        <f>'12U BOYS-16 TEAMS'!G25&amp;""</f>
        <v>B3-LAGUNA BEACH</v>
      </c>
      <c r="H45" s="26" t="str">
        <f>'12U BOYS-16 TEAMS'!H25&amp;""</f>
        <v>5</v>
      </c>
      <c r="I45" s="26" t="str">
        <f>'12U BOYS-16 TEAMS'!I25&amp;""</f>
        <v>B bracket B2,B3</v>
      </c>
      <c r="J45" s="26" t="str">
        <f>'12U BOYS-16 TEAMS'!J25&amp;""</f>
        <v>12U_BOYS</v>
      </c>
      <c r="K45" s="26" t="str">
        <f t="shared" si="0"/>
        <v>202603071110</v>
      </c>
    </row>
    <row r="46" spans="1:11">
      <c r="A46" s="77">
        <f>'12U BOYS-16 TEAMS'!A26</f>
        <v>46088</v>
      </c>
      <c r="B46" s="76">
        <f>'12U BOYS-16 TEAMS'!B26</f>
        <v>0.5</v>
      </c>
      <c r="C46" s="76" t="str">
        <f>'12U BOYS-16 TEAMS'!C26&amp;""</f>
        <v>COSTA MESA HS 2</v>
      </c>
      <c r="D46" s="26" t="str">
        <f>'12U BOYS-16 TEAMS'!D26&amp;""</f>
        <v>12B06</v>
      </c>
      <c r="E46" s="26" t="str">
        <f>'12U BOYS-16 TEAMS'!E26&amp;""</f>
        <v>E2-ORWP B</v>
      </c>
      <c r="F46" s="26" t="str">
        <f>'12U BOYS-16 TEAMS'!F26&amp;""</f>
        <v>9.1</v>
      </c>
      <c r="G46" s="26" t="str">
        <f>'12U BOYS-16 TEAMS'!G26&amp;""</f>
        <v>E3-ORANGE COUNTY WPC B</v>
      </c>
      <c r="H46" s="26" t="str">
        <f>'12U BOYS-16 TEAMS'!H26&amp;""</f>
        <v>9.2</v>
      </c>
      <c r="I46" s="26" t="str">
        <f>'12U BOYS-16 TEAMS'!I26&amp;""</f>
        <v>E bracket E2,E3 silver 1st-3rd</v>
      </c>
      <c r="J46" s="26" t="str">
        <f>'12U BOYS-16 TEAMS'!J26&amp;""</f>
        <v>12U_BOYS</v>
      </c>
      <c r="K46" s="26" t="str">
        <f t="shared" si="0"/>
        <v>202603071200</v>
      </c>
    </row>
    <row r="47" spans="1:11">
      <c r="A47" s="77">
        <f>'12U BOYS-16 TEAMS'!A27</f>
        <v>46088</v>
      </c>
      <c r="B47" s="76">
        <f>'12U BOYS-16 TEAMS'!B27</f>
        <v>0.53472222222222199</v>
      </c>
      <c r="C47" s="76" t="str">
        <f>'12U BOYS-16 TEAMS'!C27&amp;""</f>
        <v>COSTA MESA HS 2</v>
      </c>
      <c r="D47" s="26" t="str">
        <f>'12U BOYS-16 TEAMS'!D27&amp;""</f>
        <v>12B07</v>
      </c>
      <c r="E47" s="26" t="str">
        <f>'12U BOYS-16 TEAMS'!E27&amp;""</f>
        <v>A1-LA PREMIER</v>
      </c>
      <c r="F47" s="26" t="str">
        <f>'12U BOYS-16 TEAMS'!F27&amp;""</f>
        <v>4</v>
      </c>
      <c r="G47" s="26" t="str">
        <f>'12U BOYS-16 TEAMS'!G27&amp;""</f>
        <v>A2-ORANGE COUNTY WPC A</v>
      </c>
      <c r="H47" s="26" t="str">
        <f>'12U BOYS-16 TEAMS'!H27&amp;""</f>
        <v>8</v>
      </c>
      <c r="I47" s="26" t="str">
        <f>'12U BOYS-16 TEAMS'!I27&amp;""</f>
        <v>A bracket A1,A2 platinum 1st-3rd</v>
      </c>
      <c r="J47" s="26" t="str">
        <f>'12U BOYS-16 TEAMS'!J27&amp;""</f>
        <v>12U_BOYS</v>
      </c>
      <c r="K47" s="26" t="str">
        <f t="shared" si="0"/>
        <v>202603071250</v>
      </c>
    </row>
    <row r="48" spans="1:11">
      <c r="A48" s="77">
        <f>'12U BOYS-16 TEAMS'!A28</f>
        <v>46088</v>
      </c>
      <c r="B48" s="76">
        <f>'12U BOYS-16 TEAMS'!B28</f>
        <v>0.56944444444444497</v>
      </c>
      <c r="C48" s="76" t="str">
        <f>'12U BOYS-16 TEAMS'!C28&amp;""</f>
        <v>COSTA MESA HS 2</v>
      </c>
      <c r="D48" s="26" t="str">
        <f>'12U BOYS-16 TEAMS'!D28&amp;""</f>
        <v>12B08</v>
      </c>
      <c r="E48" s="26" t="str">
        <f>'12U BOYS-16 TEAMS'!E28&amp;""</f>
        <v>B1-TROJAN</v>
      </c>
      <c r="F48" s="26" t="str">
        <f>'12U BOYS-16 TEAMS'!F28&amp;""</f>
        <v>5</v>
      </c>
      <c r="G48" s="26" t="str">
        <f>'12U BOYS-16 TEAMS'!G28&amp;""</f>
        <v>B2-ROUTE 66</v>
      </c>
      <c r="H48" s="26" t="str">
        <f>'12U BOYS-16 TEAMS'!H28&amp;""</f>
        <v>8</v>
      </c>
      <c r="I48" s="26" t="str">
        <f>'12U BOYS-16 TEAMS'!I28&amp;""</f>
        <v>B bracket B1,B2</v>
      </c>
      <c r="J48" s="26" t="str">
        <f>'12U BOYS-16 TEAMS'!J28&amp;""</f>
        <v>12U_BOYS</v>
      </c>
      <c r="K48" s="26" t="str">
        <f t="shared" si="0"/>
        <v>202603071340</v>
      </c>
    </row>
    <row r="49" spans="1:11">
      <c r="A49" s="77">
        <f>'12U BOYS-16 TEAMS'!A29</f>
        <v>46088</v>
      </c>
      <c r="B49" s="76">
        <f>'12U BOYS-16 TEAMS'!B29</f>
        <v>0.60416666666666696</v>
      </c>
      <c r="C49" s="76" t="str">
        <f>'12U BOYS-16 TEAMS'!C29&amp;""</f>
        <v>COSTA MESA HS 2</v>
      </c>
      <c r="D49" s="26" t="str">
        <f>'12U BOYS-16 TEAMS'!D29&amp;""</f>
        <v>12B09</v>
      </c>
      <c r="E49" s="26" t="str">
        <f>'12U BOYS-16 TEAMS'!E29&amp;""</f>
        <v>E1-CDM</v>
      </c>
      <c r="F49" s="26" t="str">
        <f>'12U BOYS-16 TEAMS'!F29&amp;""</f>
        <v>6</v>
      </c>
      <c r="G49" s="26" t="str">
        <f>'12U BOYS-16 TEAMS'!G29&amp;""</f>
        <v>E2-ORWP B</v>
      </c>
      <c r="H49" s="26" t="str">
        <f>'12U BOYS-16 TEAMS'!H29&amp;""</f>
        <v>11</v>
      </c>
      <c r="I49" s="26" t="str">
        <f>'12U BOYS-16 TEAMS'!I29&amp;""</f>
        <v>E bracket E1,E2 silver 1st-3rd</v>
      </c>
      <c r="J49" s="26" t="str">
        <f>'12U BOYS-16 TEAMS'!J29&amp;""</f>
        <v>12U_BOYS</v>
      </c>
      <c r="K49" s="26" t="str">
        <f t="shared" si="0"/>
        <v>202603071430</v>
      </c>
    </row>
    <row r="50" spans="1:11">
      <c r="A50" s="77">
        <f>'12U BOYS-16 TEAMS'!A31</f>
        <v>46088</v>
      </c>
      <c r="B50" s="76">
        <f>'12U BOYS-16 TEAMS'!B31</f>
        <v>0.36111111111111099</v>
      </c>
      <c r="C50" s="76" t="str">
        <f>'12U BOYS-16 TEAMS'!C31&amp;""</f>
        <v>WOOLLETT FAR RIGHT</v>
      </c>
      <c r="D50" s="26" t="str">
        <f>'12U BOYS-16 TEAMS'!D31&amp;""</f>
        <v>12B10</v>
      </c>
      <c r="E50" s="26" t="str">
        <f>'12U BOYS-16 TEAMS'!E31&amp;""</f>
        <v>C1-LAWPC</v>
      </c>
      <c r="F50" s="26" t="str">
        <f>'12U BOYS-16 TEAMS'!F31&amp;""</f>
        <v>8</v>
      </c>
      <c r="G50" s="26" t="str">
        <f>'12U BOYS-16 TEAMS'!G31&amp;""</f>
        <v>C3-NORTH IRVINE RED</v>
      </c>
      <c r="H50" s="26" t="str">
        <f>'12U BOYS-16 TEAMS'!H31&amp;""</f>
        <v>5</v>
      </c>
      <c r="I50" s="26" t="str">
        <f>'12U BOYS-16 TEAMS'!I31&amp;""</f>
        <v>C bracket C1,C3</v>
      </c>
      <c r="J50" s="26" t="str">
        <f>'12U BOYS-16 TEAMS'!J31&amp;""</f>
        <v>12U_BOYS</v>
      </c>
      <c r="K50" s="26" t="str">
        <f t="shared" si="0"/>
        <v>202603070840</v>
      </c>
    </row>
    <row r="51" spans="1:11">
      <c r="A51" s="77">
        <f>'12U BOYS-16 TEAMS'!A32</f>
        <v>46088</v>
      </c>
      <c r="B51" s="76">
        <f>'12U BOYS-16 TEAMS'!B32</f>
        <v>0.39583333333333398</v>
      </c>
      <c r="C51" s="76" t="str">
        <f>'12U BOYS-16 TEAMS'!C32&amp;""</f>
        <v>WOOLLETT FAR RIGHT</v>
      </c>
      <c r="D51" s="26" t="str">
        <f>'12U BOYS-16 TEAMS'!D32&amp;""</f>
        <v>12B11</v>
      </c>
      <c r="E51" s="26" t="str">
        <f>'12U BOYS-16 TEAMS'!E32&amp;""</f>
        <v>D1-PEGASUS WPA BLUE</v>
      </c>
      <c r="F51" s="26" t="str">
        <f>'12U BOYS-16 TEAMS'!F32&amp;""</f>
        <v>11</v>
      </c>
      <c r="G51" s="26" t="str">
        <f>'12U BOYS-16 TEAMS'!G32&amp;""</f>
        <v>D4-NEWPORT BEACH 10 BLUE</v>
      </c>
      <c r="H51" s="26" t="str">
        <f>'12U BOYS-16 TEAMS'!H32&amp;""</f>
        <v>7</v>
      </c>
      <c r="I51" s="26" t="str">
        <f>'12U BOYS-16 TEAMS'!I32&amp;""</f>
        <v>W/L D1/D4</v>
      </c>
      <c r="J51" s="26" t="str">
        <f>'12U BOYS-16 TEAMS'!J32&amp;""</f>
        <v>12U_BOYS</v>
      </c>
      <c r="K51" s="26" t="str">
        <f t="shared" si="0"/>
        <v>202603070930</v>
      </c>
    </row>
    <row r="52" spans="1:11">
      <c r="A52" s="77">
        <f>'12U BOYS-16 TEAMS'!A33</f>
        <v>46088</v>
      </c>
      <c r="B52" s="76">
        <f>'12U BOYS-16 TEAMS'!B33</f>
        <v>0.43055555555555602</v>
      </c>
      <c r="C52" s="76" t="str">
        <f>'12U BOYS-16 TEAMS'!C33&amp;""</f>
        <v>WOOLLETT FAR RIGHT</v>
      </c>
      <c r="D52" s="26" t="str">
        <f>'12U BOYS-16 TEAMS'!D33&amp;""</f>
        <v>12B12</v>
      </c>
      <c r="E52" s="26" t="str">
        <f>'12U BOYS-16 TEAMS'!E33&amp;""</f>
        <v>D2-VANGUARD SILVER</v>
      </c>
      <c r="F52" s="78" t="str">
        <f>'12U BOYS-16 TEAMS'!F33&amp;""</f>
        <v>8</v>
      </c>
      <c r="G52" s="26" t="str">
        <f>'12U BOYS-16 TEAMS'!G33&amp;""</f>
        <v>D3-SAN DIEGO DONS 10 RED</v>
      </c>
      <c r="H52" s="78" t="str">
        <f>'12U BOYS-16 TEAMS'!H33&amp;""</f>
        <v>10</v>
      </c>
      <c r="I52" s="26" t="str">
        <f>'12U BOYS-16 TEAMS'!I33&amp;""</f>
        <v>W/L D2/D3</v>
      </c>
      <c r="J52" s="26" t="str">
        <f>'12U BOYS-16 TEAMS'!J33&amp;""</f>
        <v>12U_BOYS</v>
      </c>
      <c r="K52" s="26" t="str">
        <f t="shared" si="0"/>
        <v>202603071020</v>
      </c>
    </row>
    <row r="53" spans="1:11">
      <c r="A53" s="77">
        <f>'12U BOYS-16 TEAMS'!A34</f>
        <v>46088</v>
      </c>
      <c r="B53" s="76">
        <f>'12U BOYS-16 TEAMS'!B34</f>
        <v>0.46527777777777801</v>
      </c>
      <c r="C53" s="76" t="str">
        <f>'12U BOYS-16 TEAMS'!C34&amp;""</f>
        <v>WOOLLETT FAR RIGHT</v>
      </c>
      <c r="D53" s="26" t="str">
        <f>'12U BOYS-16 TEAMS'!D34&amp;""</f>
        <v>12B13</v>
      </c>
      <c r="E53" s="26" t="str">
        <f>'12U BOYS-16 TEAMS'!E34&amp;""</f>
        <v>C2-MISSION B</v>
      </c>
      <c r="F53" s="26" t="str">
        <f>'12U BOYS-16 TEAMS'!F34&amp;""</f>
        <v>16</v>
      </c>
      <c r="G53" s="26" t="str">
        <f>'12U BOYS-16 TEAMS'!G34&amp;""</f>
        <v>C3-NORTH IRVINE RED</v>
      </c>
      <c r="H53" s="26" t="str">
        <f>'12U BOYS-16 TEAMS'!H34&amp;""</f>
        <v>2</v>
      </c>
      <c r="I53" s="26" t="str">
        <f>'12U BOYS-16 TEAMS'!I34&amp;""</f>
        <v>C bracket C2,C3</v>
      </c>
      <c r="J53" s="26" t="str">
        <f>'12U BOYS-16 TEAMS'!J34&amp;""</f>
        <v>12U_BOYS</v>
      </c>
      <c r="K53" s="26" t="str">
        <f t="shared" si="0"/>
        <v>202603071110</v>
      </c>
    </row>
    <row r="54" spans="1:11">
      <c r="A54" s="77">
        <f>'12U BOYS-16 TEAMS'!A35</f>
        <v>46088</v>
      </c>
      <c r="B54" s="76">
        <f>'12U BOYS-16 TEAMS'!B35</f>
        <v>0.5</v>
      </c>
      <c r="C54" s="76" t="str">
        <f>'12U BOYS-16 TEAMS'!C35&amp;""</f>
        <v>WOOLLETT FAR RIGHT</v>
      </c>
      <c r="D54" s="26" t="str">
        <f>'12U BOYS-16 TEAMS'!D35&amp;""</f>
        <v>12B14</v>
      </c>
      <c r="E54" s="26" t="str">
        <f>'12U BOYS-16 TEAMS'!E35&amp;""</f>
        <v>L#D1/D4-NEWPORT BEACH 10 BLUE</v>
      </c>
      <c r="F54" s="26" t="str">
        <f>'12U BOYS-16 TEAMS'!F35&amp;""</f>
        <v>7</v>
      </c>
      <c r="G54" s="26" t="str">
        <f>'12U BOYS-16 TEAMS'!G35&amp;""</f>
        <v>L#D2/D3-VANGUARD SILVER</v>
      </c>
      <c r="H54" s="26" t="str">
        <f>'12U BOYS-16 TEAMS'!H35&amp;""</f>
        <v>4</v>
      </c>
      <c r="I54" s="26" t="str">
        <f>'12U BOYS-16 TEAMS'!I35&amp;""</f>
        <v>3rd/4thD</v>
      </c>
      <c r="J54" s="26" t="str">
        <f>'12U BOYS-16 TEAMS'!J35&amp;""</f>
        <v>12U_BOYS</v>
      </c>
      <c r="K54" s="26" t="str">
        <f t="shared" si="0"/>
        <v>202603071200</v>
      </c>
    </row>
    <row r="55" spans="1:11">
      <c r="A55" s="77">
        <f>'12U BOYS-16 TEAMS'!A36</f>
        <v>46088</v>
      </c>
      <c r="B55" s="76">
        <f>'12U BOYS-16 TEAMS'!B36</f>
        <v>0.53472222222222199</v>
      </c>
      <c r="C55" s="76" t="str">
        <f>'12U BOYS-16 TEAMS'!C36&amp;""</f>
        <v>WOOLLETT FAR RIGHT</v>
      </c>
      <c r="D55" s="26" t="str">
        <f>'12U BOYS-16 TEAMS'!D36&amp;""</f>
        <v>12B15</v>
      </c>
      <c r="E55" s="26" t="str">
        <f>'12U BOYS-16 TEAMS'!E36&amp;""</f>
        <v>W#D1/D4-PEGASUS WPA BLUE</v>
      </c>
      <c r="F55" s="26" t="str">
        <f>'12U BOYS-16 TEAMS'!F36&amp;""</f>
        <v>14</v>
      </c>
      <c r="G55" s="26" t="str">
        <f>'12U BOYS-16 TEAMS'!G36&amp;""</f>
        <v>W#D2/D3-SAN DIEGO DONS 10 RED</v>
      </c>
      <c r="H55" s="26" t="str">
        <f>'12U BOYS-16 TEAMS'!H36&amp;""</f>
        <v>10</v>
      </c>
      <c r="I55" s="26" t="str">
        <f>'12U BOYS-16 TEAMS'!I36&amp;""</f>
        <v>1st/2ndD</v>
      </c>
      <c r="J55" s="26" t="str">
        <f>'12U BOYS-16 TEAMS'!J36&amp;""</f>
        <v>12U_BOYS</v>
      </c>
      <c r="K55" s="26" t="str">
        <f t="shared" si="0"/>
        <v>202603071250</v>
      </c>
    </row>
    <row r="56" spans="1:11">
      <c r="A56" s="77">
        <f>'12U BOYS-16 TEAMS'!A37</f>
        <v>46088</v>
      </c>
      <c r="B56" s="76">
        <f>'12U BOYS-16 TEAMS'!B37</f>
        <v>0.56944444444444497</v>
      </c>
      <c r="C56" s="76" t="str">
        <f>'12U BOYS-16 TEAMS'!C37&amp;""</f>
        <v>WOOLLETT FAR RIGHT</v>
      </c>
      <c r="D56" s="26" t="str">
        <f>'12U BOYS-16 TEAMS'!D37&amp;""</f>
        <v>12B16</v>
      </c>
      <c r="E56" s="26" t="str">
        <f>'12U BOYS-16 TEAMS'!E37&amp;""</f>
        <v>C1-LAWPC</v>
      </c>
      <c r="F56" s="26" t="str">
        <f>'12U BOYS-16 TEAMS'!F37&amp;""</f>
        <v>9</v>
      </c>
      <c r="G56" s="26" t="str">
        <f>'12U BOYS-16 TEAMS'!G37&amp;""</f>
        <v>C2-MISSION B</v>
      </c>
      <c r="H56" s="26" t="str">
        <f>'12U BOYS-16 TEAMS'!H37&amp;""</f>
        <v>14</v>
      </c>
      <c r="I56" s="26" t="str">
        <f>'12U BOYS-16 TEAMS'!I37&amp;""</f>
        <v>C bracket C1,C2</v>
      </c>
      <c r="J56" s="26" t="str">
        <f>'12U BOYS-16 TEAMS'!J37&amp;""</f>
        <v>12U_BOYS</v>
      </c>
      <c r="K56" s="26" t="str">
        <f t="shared" si="0"/>
        <v>202603071340</v>
      </c>
    </row>
    <row r="57" spans="1:11">
      <c r="A57" s="77">
        <f>'12U BOYS-16 TEAMS'!A40</f>
        <v>46089</v>
      </c>
      <c r="B57" s="76">
        <f>'12U BOYS-16 TEAMS'!B40</f>
        <v>0.36111111111111099</v>
      </c>
      <c r="C57" s="76" t="str">
        <f>'12U BOYS-16 TEAMS'!C40&amp;""</f>
        <v>WOOLLETT FAR RIGHT</v>
      </c>
      <c r="D57" s="26" t="str">
        <f>'12U BOYS-16 TEAMS'!D40&amp;""</f>
        <v>12B17</v>
      </c>
      <c r="E57" s="26" t="str">
        <f>'12U BOYS-16 TEAMS'!E40&amp;""</f>
        <v>G1(2ndB)-TROJAN</v>
      </c>
      <c r="F57" s="26" t="str">
        <f>'12U BOYS-16 TEAMS'!F40&amp;""</f>
        <v>5</v>
      </c>
      <c r="G57" s="26" t="str">
        <f>'12U BOYS-16 TEAMS'!G40&amp;""</f>
        <v>G3(2ndD)-SAN DIEGO DONS 10 RED</v>
      </c>
      <c r="H57" s="26" t="str">
        <f>'12U BOYS-16 TEAMS'!H40&amp;""</f>
        <v>12</v>
      </c>
      <c r="I57" s="26" t="str">
        <f>'12U BOYS-16 TEAMS'!I40&amp;""</f>
        <v>G bracket G1,G3 gold 4th-6th</v>
      </c>
      <c r="J57" s="26" t="str">
        <f>'12U BOYS-16 TEAMS'!J40&amp;""</f>
        <v>12U_BOYS</v>
      </c>
      <c r="K57" s="26" t="str">
        <f t="shared" si="0"/>
        <v>202603080840</v>
      </c>
    </row>
    <row r="58" spans="1:11">
      <c r="A58" s="77">
        <f>'12U BOYS-16 TEAMS'!A41</f>
        <v>46089</v>
      </c>
      <c r="B58" s="76">
        <f>'12U BOYS-16 TEAMS'!B41</f>
        <v>0.39583333333333398</v>
      </c>
      <c r="C58" s="76" t="str">
        <f>'12U BOYS-16 TEAMS'!C41&amp;""</f>
        <v>WOOLLETT FAR RIGHT</v>
      </c>
      <c r="D58" s="26" t="str">
        <f>'12U BOYS-16 TEAMS'!D41&amp;""</f>
        <v>12B18</v>
      </c>
      <c r="E58" s="26" t="str">
        <f>'12U BOYS-16 TEAMS'!E41&amp;""</f>
        <v>F1(1stB)-ROUTE 66</v>
      </c>
      <c r="F58" s="26" t="str">
        <f>'12U BOYS-16 TEAMS'!F41&amp;""</f>
        <v>8</v>
      </c>
      <c r="G58" s="26" t="str">
        <f>'12U BOYS-16 TEAMS'!G41&amp;""</f>
        <v>F3(1stD)-PEGASUS WPA BLUE</v>
      </c>
      <c r="H58" s="26" t="str">
        <f>'12U BOYS-16 TEAMS'!H41&amp;""</f>
        <v>11</v>
      </c>
      <c r="I58" s="26" t="str">
        <f>'12U BOYS-16 TEAMS'!I41&amp;""</f>
        <v>F bracket F1,F3 gold 1st-3rd</v>
      </c>
      <c r="J58" s="26" t="str">
        <f>'12U BOYS-16 TEAMS'!J41&amp;""</f>
        <v>12U_BOYS</v>
      </c>
      <c r="K58" s="26" t="str">
        <f t="shared" si="0"/>
        <v>202603080930</v>
      </c>
    </row>
    <row r="59" spans="1:11">
      <c r="A59" s="77">
        <f>'12U BOYS-16 TEAMS'!A43</f>
        <v>46089</v>
      </c>
      <c r="B59" s="76">
        <f>'12U BOYS-16 TEAMS'!B43</f>
        <v>0.46527777777777801</v>
      </c>
      <c r="C59" s="76" t="str">
        <f>'12U BOYS-16 TEAMS'!C43&amp;""</f>
        <v>WOOLLETT FAR RIGHT</v>
      </c>
      <c r="D59" s="26" t="str">
        <f>'12U BOYS-16 TEAMS'!D43&amp;""</f>
        <v>12B21</v>
      </c>
      <c r="E59" s="26" t="str">
        <f>'12U BOYS-16 TEAMS'!E43&amp;""</f>
        <v>G2(2ndC)-LAWPC</v>
      </c>
      <c r="F59" s="26" t="str">
        <f>'12U BOYS-16 TEAMS'!F43&amp;""</f>
        <v>9</v>
      </c>
      <c r="G59" s="26" t="str">
        <f>'12U BOYS-16 TEAMS'!G43&amp;""</f>
        <v>G3(2ndD)-SAN DIEGO DONS 10 RED</v>
      </c>
      <c r="H59" s="26" t="str">
        <f>'12U BOYS-16 TEAMS'!H43&amp;""</f>
        <v>10</v>
      </c>
      <c r="I59" s="26" t="str">
        <f>'12U BOYS-16 TEAMS'!I43&amp;""</f>
        <v>G bracket G2,G3 gold 4th-6th</v>
      </c>
      <c r="J59" s="26" t="str">
        <f>'12U BOYS-16 TEAMS'!J43&amp;""</f>
        <v>12U_BOYS</v>
      </c>
      <c r="K59" s="26" t="str">
        <f t="shared" si="0"/>
        <v>202603081110</v>
      </c>
    </row>
    <row r="60" spans="1:11">
      <c r="A60" s="77">
        <f>'12U BOYS-16 TEAMS'!A44</f>
        <v>46089</v>
      </c>
      <c r="B60" s="76">
        <f>'12U BOYS-16 TEAMS'!B44</f>
        <v>0.5</v>
      </c>
      <c r="C60" s="76" t="str">
        <f>'12U BOYS-16 TEAMS'!C44&amp;""</f>
        <v>WOOLLETT FAR RIGHT</v>
      </c>
      <c r="D60" s="26" t="str">
        <f>'12U BOYS-16 TEAMS'!D44&amp;""</f>
        <v>12B22</v>
      </c>
      <c r="E60" s="26" t="str">
        <f>'12U BOYS-16 TEAMS'!E44&amp;""</f>
        <v>F2(1stC)-MISSION B</v>
      </c>
      <c r="F60" s="26" t="str">
        <f>'12U BOYS-16 TEAMS'!F44&amp;""</f>
        <v>11</v>
      </c>
      <c r="G60" s="26" t="str">
        <f>'12U BOYS-16 TEAMS'!G44&amp;""</f>
        <v>F3(1stD)-PEGASUS WPA BLUE</v>
      </c>
      <c r="H60" s="26" t="str">
        <f>'12U BOYS-16 TEAMS'!H44&amp;""</f>
        <v>6</v>
      </c>
      <c r="I60" s="26" t="str">
        <f>'12U BOYS-16 TEAMS'!I44&amp;""</f>
        <v>F bracket F2,F3 gold 1st-3rd</v>
      </c>
      <c r="J60" s="26" t="str">
        <f>'12U BOYS-16 TEAMS'!J44&amp;""</f>
        <v>12U_BOYS</v>
      </c>
      <c r="K60" s="26" t="str">
        <f t="shared" si="0"/>
        <v>202603081200</v>
      </c>
    </row>
    <row r="61" spans="1:11">
      <c r="A61" s="77">
        <f>'12U BOYS-16 TEAMS'!A46</f>
        <v>46089</v>
      </c>
      <c r="B61" s="76">
        <f>'12U BOYS-16 TEAMS'!B46</f>
        <v>0.56944444444444497</v>
      </c>
      <c r="C61" s="76" t="str">
        <f>'12U BOYS-16 TEAMS'!C46&amp;""</f>
        <v>WOOLLETT FAR RIGHT</v>
      </c>
      <c r="D61" s="26" t="str">
        <f>'12U BOYS-16 TEAMS'!D46&amp;""</f>
        <v>12B25</v>
      </c>
      <c r="E61" s="26" t="str">
        <f>'12U BOYS-16 TEAMS'!E46&amp;""</f>
        <v>G1(2ndB)-TROJAN</v>
      </c>
      <c r="F61" s="26" t="str">
        <f>'12U BOYS-16 TEAMS'!F46&amp;""</f>
        <v>9</v>
      </c>
      <c r="G61" s="26" t="str">
        <f>'12U BOYS-16 TEAMS'!G46&amp;""</f>
        <v>G2(2ndC)-LAWPC</v>
      </c>
      <c r="H61" s="26" t="str">
        <f>'12U BOYS-16 TEAMS'!H46&amp;""</f>
        <v>14</v>
      </c>
      <c r="I61" s="26" t="str">
        <f>'12U BOYS-16 TEAMS'!I46&amp;""</f>
        <v>G bracket G1,G2 gold 4th-6th</v>
      </c>
      <c r="J61" s="26" t="str">
        <f>'12U BOYS-16 TEAMS'!J46&amp;""</f>
        <v>12U_BOYS</v>
      </c>
      <c r="K61" s="26" t="str">
        <f t="shared" si="0"/>
        <v>202603081340</v>
      </c>
    </row>
    <row r="62" spans="1:11">
      <c r="A62" s="77">
        <f>'12U BOYS-16 TEAMS'!A47</f>
        <v>46089</v>
      </c>
      <c r="B62" s="76">
        <f>'12U BOYS-16 TEAMS'!B47</f>
        <v>0.60416666666666696</v>
      </c>
      <c r="C62" s="76" t="str">
        <f>'12U BOYS-16 TEAMS'!C47&amp;""</f>
        <v>WOOLLETT FAR RIGHT</v>
      </c>
      <c r="D62" s="26" t="str">
        <f>'12U BOYS-16 TEAMS'!D47&amp;""</f>
        <v>12B26</v>
      </c>
      <c r="E62" s="26" t="str">
        <f>'12U BOYS-16 TEAMS'!E47&amp;""</f>
        <v>F1(1stB)-ROUTE 66</v>
      </c>
      <c r="F62" s="26" t="str">
        <f>'12U BOYS-16 TEAMS'!F47&amp;""</f>
        <v>5</v>
      </c>
      <c r="G62" s="26" t="str">
        <f>'12U BOYS-16 TEAMS'!G47&amp;""</f>
        <v>F2(1stC)-MISSION B</v>
      </c>
      <c r="H62" s="26" t="str">
        <f>'12U BOYS-16 TEAMS'!H47&amp;""</f>
        <v>14</v>
      </c>
      <c r="I62" s="26" t="str">
        <f>'12U BOYS-16 TEAMS'!I47&amp;""</f>
        <v>F bracket F1,F2 gold 1st-3rd</v>
      </c>
      <c r="J62" s="26" t="str">
        <f>'12U BOYS-16 TEAMS'!J47&amp;""</f>
        <v>12U_BOYS</v>
      </c>
      <c r="K62" s="26" t="str">
        <f t="shared" si="0"/>
        <v>202603081430</v>
      </c>
    </row>
    <row r="63" spans="1:11">
      <c r="A63" s="77">
        <f>'12U BOYS-16 TEAMS'!A49</f>
        <v>46089</v>
      </c>
      <c r="B63" s="76">
        <f>'12U BOYS-16 TEAMS'!B49</f>
        <v>0.3263888888888889</v>
      </c>
      <c r="C63" s="76" t="str">
        <f>'12U BOYS-16 TEAMS'!C49&amp;""</f>
        <v>COSTA MESA HS 2</v>
      </c>
      <c r="D63" s="26" t="str">
        <f>'12U BOYS-16 TEAMS'!D49&amp;""</f>
        <v>12B19</v>
      </c>
      <c r="E63" s="26" t="str">
        <f>'12U BOYS-16 TEAMS'!E49&amp;""</f>
        <v>2ndA-CMAC</v>
      </c>
      <c r="F63" s="26" t="str">
        <f>'12U BOYS-16 TEAMS'!F49&amp;""</f>
        <v>8</v>
      </c>
      <c r="G63" s="26" t="str">
        <f>'12U BOYS-16 TEAMS'!G49&amp;""</f>
        <v>3rdD-NEWPORT BEACH 10 BLUE</v>
      </c>
      <c r="H63" s="26" t="str">
        <f>'12U BOYS-16 TEAMS'!H49&amp;""</f>
        <v>6</v>
      </c>
      <c r="I63" s="26" t="str">
        <f>'12U BOYS-16 TEAMS'!I49&amp;""</f>
        <v>cross</v>
      </c>
      <c r="J63" s="26" t="str">
        <f>'12U BOYS-16 TEAMS'!J49&amp;""</f>
        <v>12U_BOYS</v>
      </c>
      <c r="K63" s="26" t="str">
        <f t="shared" si="0"/>
        <v>202603080750</v>
      </c>
    </row>
    <row r="64" spans="1:11">
      <c r="A64" s="77">
        <f>'12U BOYS-16 TEAMS'!A50</f>
        <v>46089</v>
      </c>
      <c r="B64" s="76">
        <f>'12U BOYS-16 TEAMS'!B50</f>
        <v>0.36111111111111099</v>
      </c>
      <c r="C64" s="76" t="str">
        <f>'12U BOYS-16 TEAMS'!C50&amp;""</f>
        <v>COSTA MESA HS 2</v>
      </c>
      <c r="D64" s="26" t="str">
        <f>'12U BOYS-16 TEAMS'!D50&amp;""</f>
        <v>12B20</v>
      </c>
      <c r="E64" s="26" t="str">
        <f>'12U BOYS-16 TEAMS'!E50&amp;""</f>
        <v>2ndE-ORWP B</v>
      </c>
      <c r="F64" s="26" t="str">
        <f>'12U BOYS-16 TEAMS'!F50&amp;""</f>
        <v>6</v>
      </c>
      <c r="G64" s="26" t="str">
        <f>'12U BOYS-16 TEAMS'!G50&amp;""</f>
        <v>4thD-VANGUARD SILVER</v>
      </c>
      <c r="H64" s="26" t="str">
        <f>'12U BOYS-16 TEAMS'!H50&amp;""</f>
        <v>16</v>
      </c>
      <c r="I64" s="26" t="str">
        <f>'12U BOYS-16 TEAMS'!I50&amp;""</f>
        <v>cross</v>
      </c>
      <c r="J64" s="26" t="str">
        <f>'12U BOYS-16 TEAMS'!J50&amp;""</f>
        <v>12U_BOYS</v>
      </c>
      <c r="K64" s="26" t="str">
        <f t="shared" si="0"/>
        <v>202603080840</v>
      </c>
    </row>
    <row r="65" spans="1:11">
      <c r="A65" s="77">
        <f>'12U BOYS-16 TEAMS'!A51</f>
        <v>46089</v>
      </c>
      <c r="B65" s="76">
        <f>'12U BOYS-16 TEAMS'!B51</f>
        <v>0.39583333333333398</v>
      </c>
      <c r="C65" s="76" t="str">
        <f>'12U BOYS-16 TEAMS'!C51&amp;""</f>
        <v>COSTA MESA HS 2</v>
      </c>
      <c r="D65" s="26" t="str">
        <f>'12U BOYS-16 TEAMS'!D51&amp;""</f>
        <v>12B23</v>
      </c>
      <c r="E65" s="26" t="str">
        <f>'12U BOYS-16 TEAMS'!E51&amp;""</f>
        <v>1stA-ORANGE COUNTY WPC A</v>
      </c>
      <c r="F65" s="26" t="str">
        <f>'12U BOYS-16 TEAMS'!F51&amp;""</f>
        <v>18</v>
      </c>
      <c r="G65" s="26" t="str">
        <f>'12U BOYS-16 TEAMS'!G51&amp;""</f>
        <v>3rdB-LAGUNA BEACH</v>
      </c>
      <c r="H65" s="26" t="str">
        <f>'12U BOYS-16 TEAMS'!H51&amp;""</f>
        <v>2</v>
      </c>
      <c r="I65" s="26" t="str">
        <f>'12U BOYS-16 TEAMS'!I51&amp;""</f>
        <v>cross</v>
      </c>
      <c r="J65" s="26" t="str">
        <f>'12U BOYS-16 TEAMS'!J51&amp;""</f>
        <v>12U_BOYS</v>
      </c>
      <c r="K65" s="26" t="str">
        <f t="shared" si="0"/>
        <v>202603080930</v>
      </c>
    </row>
    <row r="66" spans="1:11">
      <c r="A66" s="77">
        <f>'12U BOYS-16 TEAMS'!A52</f>
        <v>46089</v>
      </c>
      <c r="B66" s="76">
        <f>'12U BOYS-16 TEAMS'!B52</f>
        <v>0.43055555555555602</v>
      </c>
      <c r="C66" s="76" t="str">
        <f>'12U BOYS-16 TEAMS'!C52&amp;""</f>
        <v>COSTA MESA HS 2</v>
      </c>
      <c r="D66" s="26" t="str">
        <f>'12U BOYS-16 TEAMS'!D52&amp;""</f>
        <v>12B24</v>
      </c>
      <c r="E66" s="26" t="str">
        <f>'12U BOYS-16 TEAMS'!E52&amp;""</f>
        <v>2ndA-CMAC</v>
      </c>
      <c r="F66" s="26" t="str">
        <f>'12U BOYS-16 TEAMS'!F52&amp;""</f>
        <v>16</v>
      </c>
      <c r="G66" s="26" t="str">
        <f>'12U BOYS-16 TEAMS'!G52&amp;""</f>
        <v>1stE-ORANGE COUNTY WPC B</v>
      </c>
      <c r="H66" s="26" t="str">
        <f>'12U BOYS-16 TEAMS'!H52&amp;""</f>
        <v>6</v>
      </c>
      <c r="I66" s="26" t="str">
        <f>'12U BOYS-16 TEAMS'!I52&amp;""</f>
        <v>cross</v>
      </c>
      <c r="J66" s="26" t="str">
        <f>'12U BOYS-16 TEAMS'!J52&amp;""</f>
        <v>12U_BOYS</v>
      </c>
      <c r="K66" s="26" t="str">
        <f t="shared" si="0"/>
        <v>202603081020</v>
      </c>
    </row>
    <row r="67" spans="1:11">
      <c r="A67" s="77">
        <f>'12U BOYS-16 TEAMS'!A53</f>
        <v>46089</v>
      </c>
      <c r="B67" s="76">
        <f>'12U BOYS-16 TEAMS'!B53</f>
        <v>0.46527777777777801</v>
      </c>
      <c r="C67" s="76" t="str">
        <f>'12U BOYS-16 TEAMS'!C53&amp;""</f>
        <v>COSTA MESA HS 2</v>
      </c>
      <c r="D67" s="26" t="str">
        <f>'12U BOYS-16 TEAMS'!D53&amp;""</f>
        <v>12B27</v>
      </c>
      <c r="E67" s="26" t="str">
        <f>'12U BOYS-16 TEAMS'!E53&amp;""</f>
        <v>3rdE-CDM</v>
      </c>
      <c r="F67" s="26" t="str">
        <f>'12U BOYS-16 TEAMS'!F53&amp;""</f>
        <v>6</v>
      </c>
      <c r="G67" s="26" t="str">
        <f>'12U BOYS-16 TEAMS'!G53&amp;""</f>
        <v>4thD-VANGUARD SILVER</v>
      </c>
      <c r="H67" s="26" t="str">
        <f>'12U BOYS-16 TEAMS'!H53&amp;""</f>
        <v>11</v>
      </c>
      <c r="I67" s="26" t="str">
        <f>'12U BOYS-16 TEAMS'!I53&amp;""</f>
        <v>cross</v>
      </c>
      <c r="J67" s="26" t="str">
        <f>'12U BOYS-16 TEAMS'!J53&amp;""</f>
        <v>12U_BOYS</v>
      </c>
      <c r="K67" s="26" t="str">
        <f t="shared" ref="K67:K130" si="1">TEXT(DATE(2026, MONTH(A67), DAY(A67)) + TIME(HOUR(B67), MINUTE(B67), 0), "yyyymmddhhmm")</f>
        <v>202603081110</v>
      </c>
    </row>
    <row r="68" spans="1:11">
      <c r="A68" s="77">
        <f>'12U BOYS-16 TEAMS'!A54</f>
        <v>46089</v>
      </c>
      <c r="B68" s="76">
        <f>'12U BOYS-16 TEAMS'!B54</f>
        <v>0.5</v>
      </c>
      <c r="C68" s="76" t="str">
        <f>'12U BOYS-16 TEAMS'!C54&amp;""</f>
        <v>COSTA MESA HS 2</v>
      </c>
      <c r="D68" s="26" t="str">
        <f>'12U BOYS-16 TEAMS'!D54&amp;""</f>
        <v>12B28</v>
      </c>
      <c r="E68" s="26" t="str">
        <f>'12U BOYS-16 TEAMS'!E54&amp;""</f>
        <v>1stA-ORANGE COUNTY WPC A</v>
      </c>
      <c r="F68" s="26" t="str">
        <f>'12U BOYS-16 TEAMS'!F54&amp;""</f>
        <v>19</v>
      </c>
      <c r="G68" s="26" t="str">
        <f>'12U BOYS-16 TEAMS'!G54&amp;""</f>
        <v>3rdC-NORTH IRVINE RED</v>
      </c>
      <c r="H68" s="26" t="str">
        <f>'12U BOYS-16 TEAMS'!H54&amp;""</f>
        <v>2</v>
      </c>
      <c r="I68" s="26" t="str">
        <f>'12U BOYS-16 TEAMS'!I54&amp;""</f>
        <v>cross</v>
      </c>
      <c r="J68" s="26" t="str">
        <f>'12U BOYS-16 TEAMS'!J54&amp;""</f>
        <v>12U_BOYS</v>
      </c>
      <c r="K68" s="26" t="str">
        <f t="shared" si="1"/>
        <v>202603081200</v>
      </c>
    </row>
    <row r="69" spans="1:11">
      <c r="A69" s="77">
        <f>'12U BOYS-16 TEAMS'!A55</f>
        <v>46089</v>
      </c>
      <c r="B69" s="76">
        <f>'12U BOYS-16 TEAMS'!B55</f>
        <v>0.53472222222222199</v>
      </c>
      <c r="C69" s="76" t="str">
        <f>'12U BOYS-16 TEAMS'!C55&amp;""</f>
        <v>COSTA MESA HS 2</v>
      </c>
      <c r="D69" s="26" t="str">
        <f>'12U BOYS-16 TEAMS'!D55&amp;""</f>
        <v>12B29</v>
      </c>
      <c r="E69" s="26" t="str">
        <f>'12U BOYS-16 TEAMS'!E55&amp;""</f>
        <v>2ndE-ORWP B</v>
      </c>
      <c r="F69" s="26" t="str">
        <f>'12U BOYS-16 TEAMS'!F55&amp;""</f>
        <v>1</v>
      </c>
      <c r="G69" s="26" t="str">
        <f>'12U BOYS-16 TEAMS'!G55&amp;""</f>
        <v>3rdD-NEWPORT BEACH 10 BLUE</v>
      </c>
      <c r="H69" s="26" t="str">
        <f>'12U BOYS-16 TEAMS'!H55&amp;""</f>
        <v>14</v>
      </c>
      <c r="I69" s="26" t="str">
        <f>'12U BOYS-16 TEAMS'!I55&amp;""</f>
        <v>cross</v>
      </c>
      <c r="J69" s="26" t="str">
        <f>'12U BOYS-16 TEAMS'!J55&amp;""</f>
        <v>12U_BOYS</v>
      </c>
      <c r="K69" s="26" t="str">
        <f t="shared" si="1"/>
        <v>202603081250</v>
      </c>
    </row>
    <row r="70" spans="1:11">
      <c r="A70" s="77">
        <f>'12U BOYS-16 TEAMS'!A56</f>
        <v>46089</v>
      </c>
      <c r="B70" s="76">
        <f>'12U BOYS-16 TEAMS'!B56</f>
        <v>0.56944444444444497</v>
      </c>
      <c r="C70" s="76" t="str">
        <f>'12U BOYS-16 TEAMS'!C56&amp;""</f>
        <v>COSTA MESA HS 2</v>
      </c>
      <c r="D70" s="26" t="str">
        <f>'12U BOYS-16 TEAMS'!D56&amp;""</f>
        <v>12B30</v>
      </c>
      <c r="E70" s="26" t="str">
        <f>'12U BOYS-16 TEAMS'!E56&amp;""</f>
        <v>3rdA-LA PREMIER</v>
      </c>
      <c r="F70" s="26" t="str">
        <f>'12U BOYS-16 TEAMS'!F56&amp;""</f>
        <v>24</v>
      </c>
      <c r="G70" s="26" t="str">
        <f>'12U BOYS-16 TEAMS'!G56&amp;""</f>
        <v>1stE-ORANGE COUNTY WPC B</v>
      </c>
      <c r="H70" s="26" t="str">
        <f>'12U BOYS-16 TEAMS'!H56&amp;""</f>
        <v>0</v>
      </c>
      <c r="I70" s="26" t="str">
        <f>'12U BOYS-16 TEAMS'!I56&amp;""</f>
        <v>cross</v>
      </c>
      <c r="J70" s="26" t="str">
        <f>'12U BOYS-16 TEAMS'!J56&amp;""</f>
        <v>12U_BOYS</v>
      </c>
      <c r="K70" s="26" t="str">
        <f t="shared" si="1"/>
        <v>202603081340</v>
      </c>
    </row>
    <row r="71" spans="1:11">
      <c r="A71" s="77">
        <f>'12U BOYS-16 TEAMS'!A57</f>
        <v>46089</v>
      </c>
      <c r="B71" s="76">
        <f>'12U BOYS-16 TEAMS'!B57</f>
        <v>0.60416666666666696</v>
      </c>
      <c r="C71" s="76" t="str">
        <f>'12U BOYS-16 TEAMS'!C57&amp;""</f>
        <v>COSTA MESA HS 2</v>
      </c>
      <c r="D71" s="26" t="str">
        <f>'12U BOYS-16 TEAMS'!D57&amp;""</f>
        <v>12B31</v>
      </c>
      <c r="E71" s="26" t="str">
        <f>'12U BOYS-16 TEAMS'!E57&amp;""</f>
        <v>3rdB-LAGUNA BEACH</v>
      </c>
      <c r="F71" s="26" t="str">
        <f>'12U BOYS-16 TEAMS'!F57&amp;""</f>
        <v>0</v>
      </c>
      <c r="G71" s="26" t="str">
        <f>'12U BOYS-16 TEAMS'!G57&amp;""</f>
        <v>3rdC-NORTH IRVINE RED</v>
      </c>
      <c r="H71" s="26" t="str">
        <f>'12U BOYS-16 TEAMS'!H57&amp;""</f>
        <v>8</v>
      </c>
      <c r="I71" s="26" t="str">
        <f>'12U BOYS-16 TEAMS'!I57&amp;""</f>
        <v>cross</v>
      </c>
      <c r="J71" s="26" t="str">
        <f>'12U BOYS-16 TEAMS'!J57&amp;""</f>
        <v>12U_BOYS</v>
      </c>
      <c r="K71" s="26" t="str">
        <f t="shared" si="1"/>
        <v>202603081430</v>
      </c>
    </row>
    <row r="72" spans="1:11">
      <c r="A72" s="77">
        <f>'12U BOYS-16 TEAMS'!A58</f>
        <v>46089</v>
      </c>
      <c r="B72" s="76">
        <f>'12U BOYS-16 TEAMS'!B58</f>
        <v>0.63888888888888895</v>
      </c>
      <c r="C72" s="76" t="str">
        <f>'12U BOYS-16 TEAMS'!C58&amp;""</f>
        <v>COSTA MESA HS 2</v>
      </c>
      <c r="D72" s="26" t="str">
        <f>'12U BOYS-16 TEAMS'!D58&amp;""</f>
        <v>12B32</v>
      </c>
      <c r="E72" s="26" t="str">
        <f>'12U BOYS-16 TEAMS'!E58&amp;""</f>
        <v>3rdA-LA PREMIER</v>
      </c>
      <c r="F72" s="26" t="str">
        <f>'12U BOYS-16 TEAMS'!F58&amp;""</f>
        <v>6</v>
      </c>
      <c r="G72" s="26" t="str">
        <f>'12U BOYS-16 TEAMS'!G58&amp;""</f>
        <v>3rdE-CDM</v>
      </c>
      <c r="H72" s="26" t="str">
        <f>'12U BOYS-16 TEAMS'!H58&amp;""</f>
        <v>1</v>
      </c>
      <c r="I72" s="26" t="str">
        <f>'12U BOYS-16 TEAMS'!I58&amp;""</f>
        <v>cross</v>
      </c>
      <c r="J72" s="26" t="str">
        <f>'12U BOYS-16 TEAMS'!J58&amp;""</f>
        <v>12U_BOYS</v>
      </c>
      <c r="K72" s="26" t="str">
        <f t="shared" si="1"/>
        <v>202603081520</v>
      </c>
    </row>
    <row r="73" spans="1:11">
      <c r="A73" s="86">
        <f>'12U COED GIRLS-9 TEAMS CUSTOM'!A14</f>
        <v>46088</v>
      </c>
      <c r="B73" s="85">
        <f>'12U COED GIRLS-9 TEAMS CUSTOM'!B14</f>
        <v>0.36111111111111099</v>
      </c>
      <c r="C73" s="24" t="str">
        <f>'12U COED GIRLS-9 TEAMS CUSTOM'!C14&amp;""</f>
        <v>LAGUNA HILLS HS</v>
      </c>
      <c r="D73" s="24" t="str">
        <f>'12U COED GIRLS-9 TEAMS CUSTOM'!D14&amp;""</f>
        <v>12GC01</v>
      </c>
      <c r="E73" s="24" t="str">
        <f>'12U COED GIRLS-9 TEAMS CUSTOM'!E14&amp;""</f>
        <v>A1-HIELAND</v>
      </c>
      <c r="F73" s="24" t="str">
        <f>'12U COED GIRLS-9 TEAMS CUSTOM'!F14&amp;""</f>
        <v>2</v>
      </c>
      <c r="G73" s="24" t="str">
        <f>'12U COED GIRLS-9 TEAMS CUSTOM'!G14&amp;""</f>
        <v>A3-TRILOGY</v>
      </c>
      <c r="H73" s="24" t="str">
        <f>'12U COED GIRLS-9 TEAMS CUSTOM'!H14&amp;""</f>
        <v>7</v>
      </c>
      <c r="I73" s="24" t="str">
        <f>'12U COED GIRLS-9 TEAMS CUSTOM'!I14&amp;""</f>
        <v>A bracket A1,A3</v>
      </c>
      <c r="J73" s="24" t="str">
        <f>'12U COED GIRLS-9 TEAMS CUSTOM'!J14&amp;""</f>
        <v>12U_COED_GIRLS</v>
      </c>
      <c r="K73" s="24" t="str">
        <f t="shared" si="1"/>
        <v>202603070840</v>
      </c>
    </row>
    <row r="74" spans="1:11">
      <c r="A74" s="86">
        <f>'12U COED GIRLS-9 TEAMS CUSTOM'!A15</f>
        <v>46088</v>
      </c>
      <c r="B74" s="85">
        <f>'12U COED GIRLS-9 TEAMS CUSTOM'!B15</f>
        <v>0.39583333333333398</v>
      </c>
      <c r="C74" s="24" t="str">
        <f>'12U COED GIRLS-9 TEAMS CUSTOM'!C15&amp;""</f>
        <v>LAGUNA HILLS HS</v>
      </c>
      <c r="D74" s="24" t="str">
        <f>'12U COED GIRLS-9 TEAMS CUSTOM'!D15&amp;""</f>
        <v>12GC02</v>
      </c>
      <c r="E74" s="24" t="str">
        <f>'12U COED GIRLS-9 TEAMS CUSTOM'!E15&amp;""</f>
        <v>B1-ARROYO GRANDE</v>
      </c>
      <c r="F74" s="24" t="str">
        <f>'12U COED GIRLS-9 TEAMS CUSTOM'!F15&amp;""</f>
        <v>4</v>
      </c>
      <c r="G74" s="24" t="str">
        <f>'12U COED GIRLS-9 TEAMS CUSTOM'!G15&amp;""</f>
        <v>B3-VIKING</v>
      </c>
      <c r="H74" s="24" t="str">
        <f>'12U COED GIRLS-9 TEAMS CUSTOM'!H15&amp;""</f>
        <v>8</v>
      </c>
      <c r="I74" s="24" t="str">
        <f>'12U COED GIRLS-9 TEAMS CUSTOM'!I15&amp;""</f>
        <v>B bracket B1,B3</v>
      </c>
      <c r="J74" s="24" t="str">
        <f>'12U COED GIRLS-9 TEAMS CUSTOM'!J15&amp;""</f>
        <v>12U_COED_GIRLS</v>
      </c>
      <c r="K74" s="24" t="str">
        <f t="shared" si="1"/>
        <v>202603070930</v>
      </c>
    </row>
    <row r="75" spans="1:11">
      <c r="A75" s="86">
        <f>'12U COED GIRLS-9 TEAMS CUSTOM'!A16</f>
        <v>46088</v>
      </c>
      <c r="B75" s="85">
        <f>'12U COED GIRLS-9 TEAMS CUSTOM'!B16</f>
        <v>0.43055555555555602</v>
      </c>
      <c r="C75" s="24" t="str">
        <f>'12U COED GIRLS-9 TEAMS CUSTOM'!C16&amp;""</f>
        <v>LAGUNA HILLS HS</v>
      </c>
      <c r="D75" s="24" t="str">
        <f>'12U COED GIRLS-9 TEAMS CUSTOM'!D16&amp;""</f>
        <v>12GC03</v>
      </c>
      <c r="E75" s="85" t="str">
        <f>'12U COED GIRLS-9 TEAMS CUSTOM'!E16&amp;""</f>
        <v>C1-INNIS ARDEN</v>
      </c>
      <c r="F75" s="24" t="str">
        <f>'12U COED GIRLS-9 TEAMS CUSTOM'!F16&amp;""</f>
        <v>15</v>
      </c>
      <c r="G75" s="85" t="str">
        <f>'12U COED GIRLS-9 TEAMS CUSTOM'!G16&amp;""</f>
        <v>C3-LAGUNA BEACH GIRLS</v>
      </c>
      <c r="H75" s="24" t="str">
        <f>'12U COED GIRLS-9 TEAMS CUSTOM'!H16&amp;""</f>
        <v>5</v>
      </c>
      <c r="I75" s="24" t="str">
        <f>'12U COED GIRLS-9 TEAMS CUSTOM'!I16&amp;""</f>
        <v>C bracket C1,C3</v>
      </c>
      <c r="J75" s="24" t="str">
        <f>'12U COED GIRLS-9 TEAMS CUSTOM'!J16&amp;""</f>
        <v>12U_COED_GIRLS</v>
      </c>
      <c r="K75" s="24" t="str">
        <f t="shared" si="1"/>
        <v>202603071020</v>
      </c>
    </row>
    <row r="76" spans="1:11">
      <c r="A76" s="86">
        <f>'12U COED GIRLS-9 TEAMS CUSTOM'!A17</f>
        <v>46088</v>
      </c>
      <c r="B76" s="85">
        <f>'12U COED GIRLS-9 TEAMS CUSTOM'!B17</f>
        <v>0.46527777777777801</v>
      </c>
      <c r="C76" s="24" t="str">
        <f>'12U COED GIRLS-9 TEAMS CUSTOM'!C17&amp;""</f>
        <v>LAGUNA HILLS HS</v>
      </c>
      <c r="D76" s="24" t="str">
        <f>'12U COED GIRLS-9 TEAMS CUSTOM'!D17&amp;""</f>
        <v>12GC04</v>
      </c>
      <c r="E76" s="24" t="str">
        <f>'12U COED GIRLS-9 TEAMS CUSTOM'!E17&amp;""</f>
        <v>A2-PALOS VERDES</v>
      </c>
      <c r="F76" s="24" t="str">
        <f>'12U COED GIRLS-9 TEAMS CUSTOM'!F17&amp;""</f>
        <v>4</v>
      </c>
      <c r="G76" s="24" t="str">
        <f>'12U COED GIRLS-9 TEAMS CUSTOM'!G17&amp;""</f>
        <v>A3-TRILOGY</v>
      </c>
      <c r="H76" s="24" t="str">
        <f>'12U COED GIRLS-9 TEAMS CUSTOM'!H17&amp;""</f>
        <v>11</v>
      </c>
      <c r="I76" s="24" t="str">
        <f>'12U COED GIRLS-9 TEAMS CUSTOM'!I17&amp;""</f>
        <v>A bracket A2,A3</v>
      </c>
      <c r="J76" s="24" t="str">
        <f>'12U COED GIRLS-9 TEAMS CUSTOM'!J17&amp;""</f>
        <v>12U_COED_GIRLS</v>
      </c>
      <c r="K76" s="24" t="str">
        <f t="shared" si="1"/>
        <v>202603071110</v>
      </c>
    </row>
    <row r="77" spans="1:11">
      <c r="A77" s="86">
        <f>'12U COED GIRLS-9 TEAMS CUSTOM'!A18</f>
        <v>46088</v>
      </c>
      <c r="B77" s="85">
        <f>'12U COED GIRLS-9 TEAMS CUSTOM'!B18</f>
        <v>0.5</v>
      </c>
      <c r="C77" s="24" t="str">
        <f>'12U COED GIRLS-9 TEAMS CUSTOM'!C18&amp;""</f>
        <v>LAGUNA HILLS HS</v>
      </c>
      <c r="D77" s="24" t="str">
        <f>'12U COED GIRLS-9 TEAMS CUSTOM'!D18&amp;""</f>
        <v>12GC05</v>
      </c>
      <c r="E77" s="24" t="str">
        <f>'12U COED GIRLS-9 TEAMS CUSTOM'!E18&amp;""</f>
        <v>B2-SET</v>
      </c>
      <c r="F77" s="24" t="str">
        <f>'12U COED GIRLS-9 TEAMS CUSTOM'!F18&amp;""</f>
        <v>5</v>
      </c>
      <c r="G77" s="24" t="str">
        <f>'12U COED GIRLS-9 TEAMS CUSTOM'!G18&amp;""</f>
        <v>B3-VIKING</v>
      </c>
      <c r="H77" s="24" t="str">
        <f>'12U COED GIRLS-9 TEAMS CUSTOM'!H18&amp;""</f>
        <v>15</v>
      </c>
      <c r="I77" s="24" t="str">
        <f>'12U COED GIRLS-9 TEAMS CUSTOM'!I18&amp;""</f>
        <v>B bracket B2,B3</v>
      </c>
      <c r="J77" s="24" t="str">
        <f>'12U COED GIRLS-9 TEAMS CUSTOM'!J18&amp;""</f>
        <v>12U_COED_GIRLS</v>
      </c>
      <c r="K77" s="24" t="str">
        <f t="shared" si="1"/>
        <v>202603071200</v>
      </c>
    </row>
    <row r="78" spans="1:11">
      <c r="A78" s="86">
        <f>'12U COED GIRLS-9 TEAMS CUSTOM'!A19</f>
        <v>46088</v>
      </c>
      <c r="B78" s="85">
        <f>'12U COED GIRLS-9 TEAMS CUSTOM'!B19</f>
        <v>0.53472222222222199</v>
      </c>
      <c r="C78" s="24" t="str">
        <f>'12U COED GIRLS-9 TEAMS CUSTOM'!C19&amp;""</f>
        <v>LAGUNA HILLS HS</v>
      </c>
      <c r="D78" s="24" t="str">
        <f>'12U COED GIRLS-9 TEAMS CUSTOM'!D19&amp;""</f>
        <v>12GC06</v>
      </c>
      <c r="E78" s="85" t="str">
        <f>'12U COED GIRLS-9 TEAMS CUSTOM'!E19&amp;""</f>
        <v>C2-CMAC GIRLS</v>
      </c>
      <c r="F78" s="24" t="str">
        <f>'12U COED GIRLS-9 TEAMS CUSTOM'!F19&amp;""</f>
        <v>9</v>
      </c>
      <c r="G78" s="85" t="str">
        <f>'12U COED GIRLS-9 TEAMS CUSTOM'!G19&amp;""</f>
        <v>C3-LAGUNA BEACH GIRLS</v>
      </c>
      <c r="H78" s="24" t="str">
        <f>'12U COED GIRLS-9 TEAMS CUSTOM'!H19&amp;""</f>
        <v>10</v>
      </c>
      <c r="I78" s="24" t="str">
        <f>'12U COED GIRLS-9 TEAMS CUSTOM'!I19&amp;""</f>
        <v>C bracket B2,B4 12U GIRLS 1st/2nd</v>
      </c>
      <c r="J78" s="24" t="str">
        <f>'12U COED GIRLS-9 TEAMS CUSTOM'!J19&amp;""</f>
        <v>12U_COED_GIRLS</v>
      </c>
      <c r="K78" s="24" t="str">
        <f t="shared" si="1"/>
        <v>202603071250</v>
      </c>
    </row>
    <row r="79" spans="1:11">
      <c r="A79" s="86">
        <f>'12U COED GIRLS-9 TEAMS CUSTOM'!A20</f>
        <v>46088</v>
      </c>
      <c r="B79" s="85">
        <f>'12U COED GIRLS-9 TEAMS CUSTOM'!B20</f>
        <v>0.56944444444444497</v>
      </c>
      <c r="C79" s="24" t="str">
        <f>'12U COED GIRLS-9 TEAMS CUSTOM'!C20&amp;""</f>
        <v>LAGUNA HILLS HS</v>
      </c>
      <c r="D79" s="24" t="str">
        <f>'12U COED GIRLS-9 TEAMS CUSTOM'!D20&amp;""</f>
        <v>12GC07</v>
      </c>
      <c r="E79" s="24" t="str">
        <f>'12U COED GIRLS-9 TEAMS CUSTOM'!E20&amp;""</f>
        <v>A1-HIELAND</v>
      </c>
      <c r="F79" s="24" t="str">
        <f>'12U COED GIRLS-9 TEAMS CUSTOM'!F20&amp;""</f>
        <v>6</v>
      </c>
      <c r="G79" s="24" t="str">
        <f>'12U COED GIRLS-9 TEAMS CUSTOM'!G20&amp;""</f>
        <v>A2-PALOS VERDES</v>
      </c>
      <c r="H79" s="24" t="str">
        <f>'12U COED GIRLS-9 TEAMS CUSTOM'!H20&amp;""</f>
        <v>12</v>
      </c>
      <c r="I79" s="24" t="str">
        <f>'12U COED GIRLS-9 TEAMS CUSTOM'!I20&amp;""</f>
        <v>A bracket A1,A2</v>
      </c>
      <c r="J79" s="24" t="str">
        <f>'12U COED GIRLS-9 TEAMS CUSTOM'!J20&amp;""</f>
        <v>12U_COED_GIRLS</v>
      </c>
      <c r="K79" s="24" t="str">
        <f t="shared" si="1"/>
        <v>202603071340</v>
      </c>
    </row>
    <row r="80" spans="1:11">
      <c r="A80" s="86">
        <f>'12U COED GIRLS-9 TEAMS CUSTOM'!A22</f>
        <v>46088</v>
      </c>
      <c r="B80" s="85">
        <f>'12U COED GIRLS-9 TEAMS CUSTOM'!B22</f>
        <v>0.64583333333333304</v>
      </c>
      <c r="C80" s="24" t="str">
        <f>'12U COED GIRLS-9 TEAMS CUSTOM'!C22&amp;""</f>
        <v>WOOLLETT FAR RIGHT</v>
      </c>
      <c r="D80" s="24" t="str">
        <f>'12U COED GIRLS-9 TEAMS CUSTOM'!D22&amp;""</f>
        <v>12GC08</v>
      </c>
      <c r="E80" s="24" t="str">
        <f>'12U COED GIRLS-9 TEAMS CUSTOM'!E22&amp;""</f>
        <v>B1-ARROYO GRANDE</v>
      </c>
      <c r="F80" s="24" t="str">
        <f>'12U COED GIRLS-9 TEAMS CUSTOM'!F22&amp;""</f>
        <v>14</v>
      </c>
      <c r="G80" s="24" t="str">
        <f>'12U COED GIRLS-9 TEAMS CUSTOM'!G22&amp;""</f>
        <v>B2-SET</v>
      </c>
      <c r="H80" s="24" t="str">
        <f>'12U COED GIRLS-9 TEAMS CUSTOM'!H22&amp;""</f>
        <v>6</v>
      </c>
      <c r="I80" s="24" t="str">
        <f>'12U COED GIRLS-9 TEAMS CUSTOM'!I22&amp;""</f>
        <v>B bracket B1,B2</v>
      </c>
      <c r="J80" s="24" t="str">
        <f>'12U COED GIRLS-9 TEAMS CUSTOM'!J22&amp;""</f>
        <v>12U_COED_GIRLS</v>
      </c>
      <c r="K80" s="24" t="str">
        <f t="shared" si="1"/>
        <v>202603071530</v>
      </c>
    </row>
    <row r="81" spans="1:11">
      <c r="A81" s="86">
        <f>'12U COED GIRLS-9 TEAMS CUSTOM'!A23</f>
        <v>46088</v>
      </c>
      <c r="B81" s="85">
        <f>'12U COED GIRLS-9 TEAMS CUSTOM'!B23</f>
        <v>0.68055555555555602</v>
      </c>
      <c r="C81" s="24" t="str">
        <f>'12U COED GIRLS-9 TEAMS CUSTOM'!C23&amp;""</f>
        <v>WOOLLETT FAR RIGHT</v>
      </c>
      <c r="D81" s="24" t="str">
        <f>'12U COED GIRLS-9 TEAMS CUSTOM'!D23&amp;""</f>
        <v>12GC09</v>
      </c>
      <c r="E81" s="85" t="str">
        <f>'12U COED GIRLS-9 TEAMS CUSTOM'!E23&amp;""</f>
        <v>C1-INNIS ARDEN</v>
      </c>
      <c r="F81" s="24" t="str">
        <f>'12U COED GIRLS-9 TEAMS CUSTOM'!F23&amp;""</f>
        <v>12</v>
      </c>
      <c r="G81" s="85" t="str">
        <f>'12U COED GIRLS-9 TEAMS CUSTOM'!G23&amp;""</f>
        <v>C2-CMAC GIRLS</v>
      </c>
      <c r="H81" s="24" t="str">
        <f>'12U COED GIRLS-9 TEAMS CUSTOM'!H23&amp;""</f>
        <v>7</v>
      </c>
      <c r="I81" s="24" t="str">
        <f>'12U COED GIRLS-9 TEAMS CUSTOM'!I23&amp;""</f>
        <v>C bracket C1,C2</v>
      </c>
      <c r="J81" s="24" t="str">
        <f>'12U COED GIRLS-9 TEAMS CUSTOM'!J23&amp;""</f>
        <v>12U_COED_GIRLS</v>
      </c>
      <c r="K81" s="24" t="str">
        <f t="shared" si="1"/>
        <v>202603071620</v>
      </c>
    </row>
    <row r="82" spans="1:11">
      <c r="A82" s="86">
        <f>'12U COED GIRLS-9 TEAMS CUSTOM'!A27</f>
        <v>46089</v>
      </c>
      <c r="B82" s="85">
        <f>'12U COED GIRLS-9 TEAMS CUSTOM'!B27</f>
        <v>0.3263888888888889</v>
      </c>
      <c r="C82" s="24" t="str">
        <f>'12U COED GIRLS-9 TEAMS CUSTOM'!C27&amp;""</f>
        <v>LAGUNA HILLS HS</v>
      </c>
      <c r="D82" s="24" t="str">
        <f>'12U COED GIRLS-9 TEAMS CUSTOM'!D27&amp;""</f>
        <v>12GC10</v>
      </c>
      <c r="E82" s="24" t="str">
        <f>'12U COED GIRLS-9 TEAMS CUSTOM'!E27&amp;""</f>
        <v>D1(1stA)-TRILOGY</v>
      </c>
      <c r="F82" s="24" t="str">
        <f>'12U COED GIRLS-9 TEAMS CUSTOM'!F27&amp;""</f>
        <v>10</v>
      </c>
      <c r="G82" s="24" t="str">
        <f>'12U COED GIRLS-9 TEAMS CUSTOM'!G27&amp;""</f>
        <v>D3(1stC)-INNIS ARDEN</v>
      </c>
      <c r="H82" s="24" t="str">
        <f>'12U COED GIRLS-9 TEAMS CUSTOM'!H27&amp;""</f>
        <v>8</v>
      </c>
      <c r="I82" s="24" t="str">
        <f>'12U COED GIRLS-9 TEAMS CUSTOM'!I27&amp;""</f>
        <v>D bracket D1,D3 Coed 1st-3rd</v>
      </c>
      <c r="J82" s="24" t="str">
        <f>'12U COED GIRLS-9 TEAMS CUSTOM'!J27&amp;""</f>
        <v>12U_COED_GIRLS</v>
      </c>
      <c r="K82" s="24" t="str">
        <f t="shared" si="1"/>
        <v>202603080750</v>
      </c>
    </row>
    <row r="83" spans="1:11">
      <c r="A83" s="86">
        <f>'12U COED GIRLS-9 TEAMS CUSTOM'!A28</f>
        <v>46089</v>
      </c>
      <c r="B83" s="85">
        <f>'12U COED GIRLS-9 TEAMS CUSTOM'!B28</f>
        <v>0.36111111111111099</v>
      </c>
      <c r="C83" s="24" t="str">
        <f>'12U COED GIRLS-9 TEAMS CUSTOM'!C28&amp;""</f>
        <v>LAGUNA HILLS HS</v>
      </c>
      <c r="D83" s="24" t="str">
        <f>'12U COED GIRLS-9 TEAMS CUSTOM'!D28&amp;""</f>
        <v>12GC11</v>
      </c>
      <c r="E83" s="24" t="str">
        <f>'12U COED GIRLS-9 TEAMS CUSTOM'!E28&amp;""</f>
        <v>E1(2ndA)-PALOS VERDES</v>
      </c>
      <c r="F83" s="24" t="str">
        <f>'12U COED GIRLS-9 TEAMS CUSTOM'!F28&amp;""</f>
        <v>10</v>
      </c>
      <c r="G83" s="24" t="str">
        <f>'12U COED GIRLS-9 TEAMS CUSTOM'!G28&amp;""</f>
        <v>E3(2ndC)-LAGUNA BEACH GIRLS</v>
      </c>
      <c r="H83" s="24" t="str">
        <f>'12U COED GIRLS-9 TEAMS CUSTOM'!H28&amp;""</f>
        <v>3</v>
      </c>
      <c r="I83" s="24" t="str">
        <f>'12U COED GIRLS-9 TEAMS CUSTOM'!I28&amp;""</f>
        <v>E bracket E1,E3 cross</v>
      </c>
      <c r="J83" s="24" t="str">
        <f>'12U COED GIRLS-9 TEAMS CUSTOM'!J28&amp;""</f>
        <v>12U_COED_GIRLS</v>
      </c>
      <c r="K83" s="24" t="str">
        <f t="shared" si="1"/>
        <v>202603080840</v>
      </c>
    </row>
    <row r="84" spans="1:11">
      <c r="A84" s="86">
        <f>'12U COED GIRLS-9 TEAMS CUSTOM'!A29</f>
        <v>46089</v>
      </c>
      <c r="B84" s="85">
        <f>'12U COED GIRLS-9 TEAMS CUSTOM'!B29</f>
        <v>0.39583333333333398</v>
      </c>
      <c r="C84" s="24" t="str">
        <f>'12U COED GIRLS-9 TEAMS CUSTOM'!C29&amp;""</f>
        <v>LAGUNA HILLS HS</v>
      </c>
      <c r="D84" s="24" t="str">
        <f>'12U COED GIRLS-9 TEAMS CUSTOM'!D29&amp;""</f>
        <v>12GC12</v>
      </c>
      <c r="E84" s="24" t="str">
        <f>'12U COED GIRLS-9 TEAMS CUSTOM'!E29&amp;""</f>
        <v>F1(3rdA)-HEILAND</v>
      </c>
      <c r="F84" s="24" t="str">
        <f>'12U COED GIRLS-9 TEAMS CUSTOM'!F29&amp;""</f>
        <v>8</v>
      </c>
      <c r="G84" s="24" t="str">
        <f>'12U COED GIRLS-9 TEAMS CUSTOM'!G29&amp;""</f>
        <v>F3(3rdC)-CMAC GIRLS</v>
      </c>
      <c r="H84" s="24" t="str">
        <f>'12U COED GIRLS-9 TEAMS CUSTOM'!H29&amp;""</f>
        <v>5</v>
      </c>
      <c r="I84" s="24" t="str">
        <f>'12U COED GIRLS-9 TEAMS CUSTOM'!I29&amp;""</f>
        <v>F bracket F1,F3 cross</v>
      </c>
      <c r="J84" s="24" t="str">
        <f>'12U COED GIRLS-9 TEAMS CUSTOM'!J29&amp;""</f>
        <v>12U_COED_GIRLS</v>
      </c>
      <c r="K84" s="24" t="str">
        <f t="shared" si="1"/>
        <v>202603080930</v>
      </c>
    </row>
    <row r="85" spans="1:11">
      <c r="A85" s="86">
        <f>'12U COED GIRLS-9 TEAMS CUSTOM'!A30</f>
        <v>46089</v>
      </c>
      <c r="B85" s="85">
        <f>'12U COED GIRLS-9 TEAMS CUSTOM'!B30</f>
        <v>0.43055555555555602</v>
      </c>
      <c r="C85" s="24" t="str">
        <f>'12U COED GIRLS-9 TEAMS CUSTOM'!C30&amp;""</f>
        <v>LAGUNA HILLS HS</v>
      </c>
      <c r="D85" s="24" t="str">
        <f>'12U COED GIRLS-9 TEAMS CUSTOM'!D30&amp;""</f>
        <v>12GC13</v>
      </c>
      <c r="E85" s="24" t="str">
        <f>'12U COED GIRLS-9 TEAMS CUSTOM'!E30&amp;""</f>
        <v>D2(1stB)-VIKING</v>
      </c>
      <c r="F85" s="24" t="str">
        <f>'12U COED GIRLS-9 TEAMS CUSTOM'!F30&amp;""</f>
        <v>9</v>
      </c>
      <c r="G85" s="24" t="str">
        <f>'12U COED GIRLS-9 TEAMS CUSTOM'!G30&amp;""</f>
        <v>D3(1stC)-INNIS ARDEN</v>
      </c>
      <c r="H85" s="24" t="str">
        <f>'12U COED GIRLS-9 TEAMS CUSTOM'!H30&amp;""</f>
        <v>6</v>
      </c>
      <c r="I85" s="24" t="str">
        <f>'12U COED GIRLS-9 TEAMS CUSTOM'!I30&amp;""</f>
        <v>D bracket D2,D3 Coed 1st-3rd</v>
      </c>
      <c r="J85" s="24" t="str">
        <f>'12U COED GIRLS-9 TEAMS CUSTOM'!J30&amp;""</f>
        <v>12U_COED_GIRLS</v>
      </c>
      <c r="K85" s="24" t="str">
        <f t="shared" si="1"/>
        <v>202603081020</v>
      </c>
    </row>
    <row r="86" spans="1:11">
      <c r="A86" s="86">
        <f>'12U COED GIRLS-9 TEAMS CUSTOM'!A31</f>
        <v>46089</v>
      </c>
      <c r="B86" s="85">
        <f>'12U COED GIRLS-9 TEAMS CUSTOM'!B31</f>
        <v>0.46527777777777801</v>
      </c>
      <c r="C86" s="24" t="str">
        <f>'12U COED GIRLS-9 TEAMS CUSTOM'!C31&amp;""</f>
        <v>LAGUNA HILLS HS</v>
      </c>
      <c r="D86" s="24" t="str">
        <f>'12U COED GIRLS-9 TEAMS CUSTOM'!D31&amp;""</f>
        <v>12GC14</v>
      </c>
      <c r="E86" s="24" t="str">
        <f>'12U COED GIRLS-9 TEAMS CUSTOM'!E31&amp;""</f>
        <v>E2(2ndB)-ARROYO GRANDE</v>
      </c>
      <c r="F86" s="24" t="str">
        <f>'12U COED GIRLS-9 TEAMS CUSTOM'!F31&amp;""</f>
        <v>9</v>
      </c>
      <c r="G86" s="24" t="str">
        <f>'12U COED GIRLS-9 TEAMS CUSTOM'!G31&amp;""</f>
        <v>E3(2ndC)-LAGUNA BEACH GIRLS</v>
      </c>
      <c r="H86" s="24" t="str">
        <f>'12U COED GIRLS-9 TEAMS CUSTOM'!H31&amp;""</f>
        <v>10</v>
      </c>
      <c r="I86" s="24" t="str">
        <f>'12U COED GIRLS-9 TEAMS CUSTOM'!I31&amp;""</f>
        <v>E bracket E2,E3 cross</v>
      </c>
      <c r="J86" s="24" t="str">
        <f>'12U COED GIRLS-9 TEAMS CUSTOM'!J31&amp;""</f>
        <v>12U_COED_GIRLS</v>
      </c>
      <c r="K86" s="24" t="str">
        <f t="shared" si="1"/>
        <v>202603081110</v>
      </c>
    </row>
    <row r="87" spans="1:11">
      <c r="A87" s="86">
        <f>'12U COED GIRLS-9 TEAMS CUSTOM'!A32</f>
        <v>46089</v>
      </c>
      <c r="B87" s="85">
        <f>'12U COED GIRLS-9 TEAMS CUSTOM'!B32</f>
        <v>0.5</v>
      </c>
      <c r="C87" s="24" t="str">
        <f>'12U COED GIRLS-9 TEAMS CUSTOM'!C32&amp;""</f>
        <v>LAGUNA HILLS HS</v>
      </c>
      <c r="D87" s="24" t="str">
        <f>'12U COED GIRLS-9 TEAMS CUSTOM'!D32&amp;""</f>
        <v>12GC15</v>
      </c>
      <c r="E87" s="24" t="str">
        <f>'12U COED GIRLS-9 TEAMS CUSTOM'!E32&amp;""</f>
        <v>F2(3rdB)-SET</v>
      </c>
      <c r="F87" s="24" t="str">
        <f>'12U COED GIRLS-9 TEAMS CUSTOM'!F32&amp;""</f>
        <v>4</v>
      </c>
      <c r="G87" s="24" t="str">
        <f>'12U COED GIRLS-9 TEAMS CUSTOM'!G32&amp;""</f>
        <v>F3(3rdC)-CMAC GIRLS</v>
      </c>
      <c r="H87" s="24" t="str">
        <f>'12U COED GIRLS-9 TEAMS CUSTOM'!H32&amp;""</f>
        <v>9</v>
      </c>
      <c r="I87" s="24" t="str">
        <f>'12U COED GIRLS-9 TEAMS CUSTOM'!I32&amp;""</f>
        <v>F bracket F2,F3 cross</v>
      </c>
      <c r="J87" s="24" t="str">
        <f>'12U COED GIRLS-9 TEAMS CUSTOM'!J32&amp;""</f>
        <v>12U_COED_GIRLS</v>
      </c>
      <c r="K87" s="24" t="str">
        <f t="shared" si="1"/>
        <v>202603081200</v>
      </c>
    </row>
    <row r="88" spans="1:11">
      <c r="A88" s="86">
        <f>'12U COED GIRLS-9 TEAMS CUSTOM'!A33</f>
        <v>46089</v>
      </c>
      <c r="B88" s="85">
        <f>'12U COED GIRLS-9 TEAMS CUSTOM'!B33</f>
        <v>0.53472222222222199</v>
      </c>
      <c r="C88" s="24" t="str">
        <f>'12U COED GIRLS-9 TEAMS CUSTOM'!C33&amp;""</f>
        <v>LAGUNA HILLS HS</v>
      </c>
      <c r="D88" s="24" t="str">
        <f>'12U COED GIRLS-9 TEAMS CUSTOM'!D33&amp;""</f>
        <v>12GC16</v>
      </c>
      <c r="E88" s="24" t="str">
        <f>'12U COED GIRLS-9 TEAMS CUSTOM'!E33&amp;""</f>
        <v>D1(1stA)-TRILOGY</v>
      </c>
      <c r="F88" s="24" t="str">
        <f>'12U COED GIRLS-9 TEAMS CUSTOM'!F33&amp;""</f>
        <v>3</v>
      </c>
      <c r="G88" s="24" t="str">
        <f>'12U COED GIRLS-9 TEAMS CUSTOM'!G33&amp;""</f>
        <v>D2(1stB)-VIKING</v>
      </c>
      <c r="H88" s="24" t="str">
        <f>'12U COED GIRLS-9 TEAMS CUSTOM'!H33&amp;""</f>
        <v>4</v>
      </c>
      <c r="I88" s="24" t="str">
        <f>'12U COED GIRLS-9 TEAMS CUSTOM'!I33&amp;""</f>
        <v>D bracket D1,D2 Coed 1st-3rd</v>
      </c>
      <c r="J88" s="24" t="str">
        <f>'12U COED GIRLS-9 TEAMS CUSTOM'!J33&amp;""</f>
        <v>12U_COED_GIRLS</v>
      </c>
      <c r="K88" s="24" t="str">
        <f t="shared" si="1"/>
        <v>202603081250</v>
      </c>
    </row>
    <row r="89" spans="1:11">
      <c r="A89" s="86">
        <f>'12U COED GIRLS-9 TEAMS CUSTOM'!A34</f>
        <v>46089</v>
      </c>
      <c r="B89" s="85">
        <f>'12U COED GIRLS-9 TEAMS CUSTOM'!B34</f>
        <v>0.56944444444444497</v>
      </c>
      <c r="C89" s="24" t="str">
        <f>'12U COED GIRLS-9 TEAMS CUSTOM'!C34&amp;""</f>
        <v>LAGUNA HILLS HS</v>
      </c>
      <c r="D89" s="24" t="str">
        <f>'12U COED GIRLS-9 TEAMS CUSTOM'!D34&amp;""</f>
        <v>12GC17</v>
      </c>
      <c r="E89" s="24" t="str">
        <f>'12U COED GIRLS-9 TEAMS CUSTOM'!E34&amp;""</f>
        <v>E1(2ndA)-PALOS VERDES</v>
      </c>
      <c r="F89" s="24" t="str">
        <f>'12U COED GIRLS-9 TEAMS CUSTOM'!F34&amp;""</f>
        <v>12</v>
      </c>
      <c r="G89" s="24" t="str">
        <f>'12U COED GIRLS-9 TEAMS CUSTOM'!G34&amp;""</f>
        <v>E2(2ndB)-ARROYO GRANDE</v>
      </c>
      <c r="H89" s="24" t="str">
        <f>'12U COED GIRLS-9 TEAMS CUSTOM'!H34&amp;""</f>
        <v>10</v>
      </c>
      <c r="I89" s="24" t="str">
        <f>'12U COED GIRLS-9 TEAMS CUSTOM'!I34&amp;""</f>
        <v>E bracket E1,E2 Coed 4th</v>
      </c>
      <c r="J89" s="24" t="str">
        <f>'12U COED GIRLS-9 TEAMS CUSTOM'!J34&amp;""</f>
        <v>12U_COED_GIRLS</v>
      </c>
      <c r="K89" s="24" t="str">
        <f t="shared" si="1"/>
        <v>202603081340</v>
      </c>
    </row>
    <row r="90" spans="1:11">
      <c r="A90" s="86">
        <f>'12U COED GIRLS-9 TEAMS CUSTOM'!A36</f>
        <v>46089</v>
      </c>
      <c r="B90" s="85">
        <f>'12U COED GIRLS-9 TEAMS CUSTOM'!B36</f>
        <v>0.64583333333333304</v>
      </c>
      <c r="C90" s="24" t="str">
        <f>'12U COED GIRLS-9 TEAMS CUSTOM'!C36&amp;""</f>
        <v>WOOLLETT FAR RIGHT</v>
      </c>
      <c r="D90" s="24" t="str">
        <f>'12U COED GIRLS-9 TEAMS CUSTOM'!D36&amp;""</f>
        <v>12GC18</v>
      </c>
      <c r="E90" s="24" t="str">
        <f>'12U COED GIRLS-9 TEAMS CUSTOM'!E36&amp;""</f>
        <v>F1(3rdA)-HEILAND</v>
      </c>
      <c r="F90" s="24" t="str">
        <f>'12U COED GIRLS-9 TEAMS CUSTOM'!F36&amp;""</f>
        <v>5</v>
      </c>
      <c r="G90" s="24" t="str">
        <f>'12U COED GIRLS-9 TEAMS CUSTOM'!G36&amp;""</f>
        <v>F2(3rdB)-SET</v>
      </c>
      <c r="H90" s="24" t="str">
        <f>'12U COED GIRLS-9 TEAMS CUSTOM'!H36&amp;""</f>
        <v>7</v>
      </c>
      <c r="I90" s="24" t="str">
        <f>'12U COED GIRLS-9 TEAMS CUSTOM'!I36&amp;""</f>
        <v>F bracket F1,F2 Coed 6th</v>
      </c>
      <c r="J90" s="24" t="str">
        <f>'12U COED GIRLS-9 TEAMS CUSTOM'!J36&amp;""</f>
        <v>12U_COED_GIRLS</v>
      </c>
      <c r="K90" s="24" t="str">
        <f t="shared" si="1"/>
        <v>202603081530</v>
      </c>
    </row>
    <row r="91" spans="1:11">
      <c r="A91" s="88">
        <f>'14U BOYS SILVER-16 TEAMS'!A10</f>
        <v>46088</v>
      </c>
      <c r="B91" s="87">
        <f>'14U BOYS SILVER-16 TEAMS'!B10</f>
        <v>0.3263888888888889</v>
      </c>
      <c r="C91" s="87" t="str">
        <f>'14U BOYS SILVER-16 TEAMS'!C10&amp;""</f>
        <v>ESTANCIA HS 2</v>
      </c>
      <c r="D91" s="36" t="str">
        <f>'14U BOYS SILVER-16 TEAMS'!D10&amp;""</f>
        <v>14Bag01</v>
      </c>
      <c r="E91" s="36" t="str">
        <f>'14U BOYS SILVER-16 TEAMS'!E10&amp;""</f>
        <v>A2-BREA OLINDA GOLD</v>
      </c>
      <c r="F91" s="36" t="str">
        <f>'14U BOYS SILVER-16 TEAMS'!F10&amp;""</f>
        <v>18</v>
      </c>
      <c r="G91" s="36" t="str">
        <f>'14U BOYS SILVER-16 TEAMS'!G10&amp;""</f>
        <v>A3-TROJAN GOLD</v>
      </c>
      <c r="H91" s="36" t="str">
        <f>'14U BOYS SILVER-16 TEAMS'!H10&amp;""</f>
        <v>9</v>
      </c>
      <c r="I91" s="36" t="str">
        <f>'14U BOYS SILVER-16 TEAMS'!I10&amp;""</f>
        <v>W/L A2/A3</v>
      </c>
      <c r="J91" s="36" t="str">
        <f>'14U BOYS SILVER-16 TEAMS'!J10&amp;""</f>
        <v>14U_BOYS_SILVER</v>
      </c>
      <c r="K91" s="36" t="str">
        <f t="shared" si="1"/>
        <v>202603070750</v>
      </c>
    </row>
    <row r="92" spans="1:11">
      <c r="A92" s="88">
        <f>'14U BOYS SILVER-16 TEAMS'!A11</f>
        <v>46088</v>
      </c>
      <c r="B92" s="87">
        <f>'14U BOYS SILVER-16 TEAMS'!B11</f>
        <v>0.36111111111111099</v>
      </c>
      <c r="C92" s="87" t="str">
        <f>'14U BOYS SILVER-16 TEAMS'!C11&amp;""</f>
        <v>ESTANCIA HS 2</v>
      </c>
      <c r="D92" s="36" t="str">
        <f>'14U BOYS SILVER-16 TEAMS'!D11&amp;""</f>
        <v>14Bag02</v>
      </c>
      <c r="E92" s="36" t="str">
        <f>'14U BOYS SILVER-16 TEAMS'!E11&amp;""</f>
        <v>A1-SAND CANYON</v>
      </c>
      <c r="F92" s="36" t="str">
        <f>'14U BOYS SILVER-16 TEAMS'!F11&amp;""</f>
        <v>7</v>
      </c>
      <c r="G92" s="36" t="str">
        <f>'14U BOYS SILVER-16 TEAMS'!G11&amp;""</f>
        <v>A4-SAN DIEGO DONS 12 BLACK</v>
      </c>
      <c r="H92" s="36" t="str">
        <f>'14U BOYS SILVER-16 TEAMS'!H11&amp;""</f>
        <v>8</v>
      </c>
      <c r="I92" s="36" t="str">
        <f>'14U BOYS SILVER-16 TEAMS'!I11&amp;""</f>
        <v>W/L A1/A4</v>
      </c>
      <c r="J92" s="36" t="str">
        <f>'14U BOYS SILVER-16 TEAMS'!J11&amp;""</f>
        <v>14U_BOYS_SILVER</v>
      </c>
      <c r="K92" s="36" t="str">
        <f t="shared" si="1"/>
        <v>202603070840</v>
      </c>
    </row>
    <row r="93" spans="1:11">
      <c r="A93" s="88">
        <f>'14U BOYS SILVER-16 TEAMS'!A12</f>
        <v>46088</v>
      </c>
      <c r="B93" s="87">
        <f>'14U BOYS SILVER-16 TEAMS'!B12</f>
        <v>0.39583333333333398</v>
      </c>
      <c r="C93" s="87" t="str">
        <f>'14U BOYS SILVER-16 TEAMS'!C12&amp;""</f>
        <v>ESTANCIA HS 2</v>
      </c>
      <c r="D93" s="36" t="str">
        <f>'14U BOYS SILVER-16 TEAMS'!D12&amp;""</f>
        <v>14Bag03</v>
      </c>
      <c r="E93" s="36" t="str">
        <f>'14U BOYS SILVER-16 TEAMS'!E12&amp;""</f>
        <v>C2-GOLD COAST</v>
      </c>
      <c r="F93" s="36" t="str">
        <f>'14U BOYS SILVER-16 TEAMS'!F12&amp;""</f>
        <v>4</v>
      </c>
      <c r="G93" s="36" t="str">
        <f>'14U BOYS SILVER-16 TEAMS'!G12&amp;""</f>
        <v>C3-PALOS VERDES B</v>
      </c>
      <c r="H93" s="36" t="str">
        <f>'14U BOYS SILVER-16 TEAMS'!H12&amp;""</f>
        <v>7</v>
      </c>
      <c r="I93" s="36" t="str">
        <f>'14U BOYS SILVER-16 TEAMS'!I12&amp;""</f>
        <v>W/L C2/C3</v>
      </c>
      <c r="J93" s="36" t="str">
        <f>'14U BOYS SILVER-16 TEAMS'!J12&amp;""</f>
        <v>14U_BOYS_SILVER</v>
      </c>
      <c r="K93" s="36" t="str">
        <f t="shared" si="1"/>
        <v>202603070930</v>
      </c>
    </row>
    <row r="94" spans="1:11">
      <c r="A94" s="88">
        <f>'14U BOYS SILVER-16 TEAMS'!A13</f>
        <v>46088</v>
      </c>
      <c r="B94" s="87">
        <f>'14U BOYS SILVER-16 TEAMS'!B13</f>
        <v>0.39583333333333398</v>
      </c>
      <c r="C94" s="87" t="str">
        <f>'14U BOYS SILVER-16 TEAMS'!C13&amp;""</f>
        <v>EL TORO HS 1</v>
      </c>
      <c r="D94" s="36" t="str">
        <f>'14U BOYS SILVER-16 TEAMS'!D13&amp;""</f>
        <v>14Bag09</v>
      </c>
      <c r="E94" s="36" t="str">
        <f>'14U BOYS SILVER-16 TEAMS'!E13&amp;""</f>
        <v>D1-TITANS</v>
      </c>
      <c r="F94" s="36" t="str">
        <f>'14U BOYS SILVER-16 TEAMS'!F13&amp;""</f>
        <v>1</v>
      </c>
      <c r="G94" s="36" t="str">
        <f>'14U BOYS SILVER-16 TEAMS'!G13&amp;""</f>
        <v>D4-NEWPORT BEACH SILVER</v>
      </c>
      <c r="H94" s="36" t="str">
        <f>'14U BOYS SILVER-16 TEAMS'!H13&amp;""</f>
        <v>18</v>
      </c>
      <c r="I94" s="36" t="str">
        <f>'14U BOYS SILVER-16 TEAMS'!I13&amp;""</f>
        <v>W/L D1/D4</v>
      </c>
      <c r="J94" s="36" t="str">
        <f>'14U BOYS SILVER-16 TEAMS'!J13&amp;""</f>
        <v>14U_BOYS_SILVER</v>
      </c>
      <c r="K94" s="36" t="str">
        <f t="shared" si="1"/>
        <v>202603070930</v>
      </c>
    </row>
    <row r="95" spans="1:11">
      <c r="A95" s="88">
        <f>'14U BOYS SILVER-16 TEAMS'!A14</f>
        <v>46088</v>
      </c>
      <c r="B95" s="87">
        <f>'14U BOYS SILVER-16 TEAMS'!B14</f>
        <v>0.43055555555555602</v>
      </c>
      <c r="C95" s="87" t="str">
        <f>'14U BOYS SILVER-16 TEAMS'!C14&amp;""</f>
        <v>EL TORO HS 1</v>
      </c>
      <c r="D95" s="36" t="str">
        <f>'14U BOYS SILVER-16 TEAMS'!D14&amp;""</f>
        <v>14Bag10</v>
      </c>
      <c r="E95" s="36" t="str">
        <f>'14U BOYS SILVER-16 TEAMS'!E14&amp;""</f>
        <v>D2-SET</v>
      </c>
      <c r="F95" s="36" t="str">
        <f>'14U BOYS SILVER-16 TEAMS'!F14&amp;""</f>
        <v>5</v>
      </c>
      <c r="G95" s="36" t="str">
        <f>'14U BOYS SILVER-16 TEAMS'!G14&amp;""</f>
        <v>D3-ORWP B</v>
      </c>
      <c r="H95" s="36" t="str">
        <f>'14U BOYS SILVER-16 TEAMS'!H14&amp;""</f>
        <v>19</v>
      </c>
      <c r="I95" s="36" t="str">
        <f>'14U BOYS SILVER-16 TEAMS'!I14&amp;""</f>
        <v>W/L D2/D3</v>
      </c>
      <c r="J95" s="36" t="str">
        <f>'14U BOYS SILVER-16 TEAMS'!J14&amp;""</f>
        <v>14U_BOYS_SILVER</v>
      </c>
      <c r="K95" s="36" t="str">
        <f t="shared" si="1"/>
        <v>202603071020</v>
      </c>
    </row>
    <row r="96" spans="1:11">
      <c r="A96" s="88">
        <f>'14U BOYS SILVER-16 TEAMS'!A15</f>
        <v>46088</v>
      </c>
      <c r="B96" s="87">
        <f>'14U BOYS SILVER-16 TEAMS'!B15</f>
        <v>0.43055555555555602</v>
      </c>
      <c r="C96" s="87" t="str">
        <f>'14U BOYS SILVER-16 TEAMS'!C15&amp;""</f>
        <v>ESTANCIA HS 2</v>
      </c>
      <c r="D96" s="36" t="str">
        <f>'14U BOYS SILVER-16 TEAMS'!D15&amp;""</f>
        <v>14Bag04</v>
      </c>
      <c r="E96" s="36" t="str">
        <f>'14U BOYS SILVER-16 TEAMS'!E15&amp;""</f>
        <v>C1-TSM</v>
      </c>
      <c r="F96" s="90" t="str">
        <f>'14U BOYS SILVER-16 TEAMS'!F15&amp;""</f>
        <v>2</v>
      </c>
      <c r="G96" s="36" t="str">
        <f>'14U BOYS SILVER-16 TEAMS'!G15&amp;""</f>
        <v>C4-NORTH IRVINE 12 BLACK</v>
      </c>
      <c r="H96" s="90" t="str">
        <f>'14U BOYS SILVER-16 TEAMS'!H15&amp;""</f>
        <v>12</v>
      </c>
      <c r="I96" s="36" t="str">
        <f>'14U BOYS SILVER-16 TEAMS'!I15&amp;""</f>
        <v>W/L C1/C4</v>
      </c>
      <c r="J96" s="36" t="str">
        <f>'14U BOYS SILVER-16 TEAMS'!J15&amp;""</f>
        <v>14U_BOYS_SILVER</v>
      </c>
      <c r="K96" s="36" t="str">
        <f t="shared" si="1"/>
        <v>202603071020</v>
      </c>
    </row>
    <row r="97" spans="1:11">
      <c r="A97" s="88">
        <f>'14U BOYS SILVER-16 TEAMS'!A16</f>
        <v>46088</v>
      </c>
      <c r="B97" s="87">
        <f>'14U BOYS SILVER-16 TEAMS'!B16</f>
        <v>0.46527777777777801</v>
      </c>
      <c r="C97" s="87" t="str">
        <f>'14U BOYS SILVER-16 TEAMS'!C16&amp;""</f>
        <v>ESTANCIA HS 2</v>
      </c>
      <c r="D97" s="36" t="str">
        <f>'14U BOYS SILVER-16 TEAMS'!D16&amp;""</f>
        <v>14Bag05</v>
      </c>
      <c r="E97" s="36" t="str">
        <f>'14U BOYS SILVER-16 TEAMS'!E16&amp;""</f>
        <v>L#1-TROJAN GOLD</v>
      </c>
      <c r="F97" s="36" t="str">
        <f>'14U BOYS SILVER-16 TEAMS'!F16&amp;""</f>
        <v>9</v>
      </c>
      <c r="G97" s="36" t="str">
        <f>'14U BOYS SILVER-16 TEAMS'!G16&amp;""</f>
        <v>L#2-SAND CANYON</v>
      </c>
      <c r="H97" s="36" t="str">
        <f>'14U BOYS SILVER-16 TEAMS'!H16&amp;""</f>
        <v>18</v>
      </c>
      <c r="I97" s="36" t="str">
        <f>'14U BOYS SILVER-16 TEAMS'!I16&amp;""</f>
        <v>3rd/4thA</v>
      </c>
      <c r="J97" s="36" t="str">
        <f>'14U BOYS SILVER-16 TEAMS'!J16&amp;""</f>
        <v>14U_BOYS_SILVER</v>
      </c>
      <c r="K97" s="36" t="str">
        <f t="shared" si="1"/>
        <v>202603071110</v>
      </c>
    </row>
    <row r="98" spans="1:11">
      <c r="A98" s="88">
        <f>'14U BOYS SILVER-16 TEAMS'!A17</f>
        <v>46088</v>
      </c>
      <c r="B98" s="87">
        <f>'14U BOYS SILVER-16 TEAMS'!B17</f>
        <v>0.5</v>
      </c>
      <c r="C98" s="87" t="str">
        <f>'14U BOYS SILVER-16 TEAMS'!C17&amp;""</f>
        <v>ESTANCIA HS 2</v>
      </c>
      <c r="D98" s="36" t="str">
        <f>'14U BOYS SILVER-16 TEAMS'!D17&amp;""</f>
        <v>14Bag06</v>
      </c>
      <c r="E98" s="36" t="str">
        <f>'14U BOYS SILVER-16 TEAMS'!E17&amp;""</f>
        <v>W#1-BREA OLINDA GOLD</v>
      </c>
      <c r="F98" s="36" t="str">
        <f>'14U BOYS SILVER-16 TEAMS'!F17&amp;""</f>
        <v>17</v>
      </c>
      <c r="G98" s="36" t="str">
        <f>'14U BOYS SILVER-16 TEAMS'!G17&amp;""</f>
        <v>W#2-SAN DIEGO DONS 12 BLACK</v>
      </c>
      <c r="H98" s="36" t="str">
        <f>'14U BOYS SILVER-16 TEAMS'!H17&amp;""</f>
        <v>12</v>
      </c>
      <c r="I98" s="36" t="str">
        <f>'14U BOYS SILVER-16 TEAMS'!I17&amp;""</f>
        <v>1st/2ndA</v>
      </c>
      <c r="J98" s="36" t="str">
        <f>'14U BOYS SILVER-16 TEAMS'!J17&amp;""</f>
        <v>14U_BOYS_SILVER</v>
      </c>
      <c r="K98" s="36" t="str">
        <f t="shared" si="1"/>
        <v>202603071200</v>
      </c>
    </row>
    <row r="99" spans="1:11">
      <c r="A99" s="88">
        <f>'14U BOYS SILVER-16 TEAMS'!A18</f>
        <v>46088</v>
      </c>
      <c r="B99" s="87">
        <f>'14U BOYS SILVER-16 TEAMS'!B18</f>
        <v>0.53472222222222199</v>
      </c>
      <c r="C99" s="87" t="str">
        <f>'14U BOYS SILVER-16 TEAMS'!C18&amp;""</f>
        <v>ESTANCIA HS 2</v>
      </c>
      <c r="D99" s="36" t="str">
        <f>'14U BOYS SILVER-16 TEAMS'!D18&amp;""</f>
        <v>14Bag11</v>
      </c>
      <c r="E99" s="36" t="str">
        <f>'14U BOYS SILVER-16 TEAMS'!E18&amp;""</f>
        <v>B2-PASADENA AC ORANGE</v>
      </c>
      <c r="F99" s="36" t="str">
        <f>'14U BOYS SILVER-16 TEAMS'!F18&amp;""</f>
        <v>15</v>
      </c>
      <c r="G99" s="36" t="str">
        <f>'14U BOYS SILVER-16 TEAMS'!G18&amp;""</f>
        <v>B3-SAN CLEMENTE BLACK</v>
      </c>
      <c r="H99" s="36" t="str">
        <f>'14U BOYS SILVER-16 TEAMS'!H18&amp;""</f>
        <v>9</v>
      </c>
      <c r="I99" s="36" t="str">
        <f>'14U BOYS SILVER-16 TEAMS'!I18&amp;""</f>
        <v>W/L B2/B3</v>
      </c>
      <c r="J99" s="36" t="str">
        <f>'14U BOYS SILVER-16 TEAMS'!J18&amp;""</f>
        <v>14U_BOYS_SILVER</v>
      </c>
      <c r="K99" s="36" t="str">
        <f t="shared" si="1"/>
        <v>202603071250</v>
      </c>
    </row>
    <row r="100" spans="1:11">
      <c r="A100" s="88">
        <f>'14U BOYS SILVER-16 TEAMS'!A19</f>
        <v>46088</v>
      </c>
      <c r="B100" s="87">
        <f>'14U BOYS SILVER-16 TEAMS'!B19</f>
        <v>0.56944444444444497</v>
      </c>
      <c r="C100" s="87" t="str">
        <f>'14U BOYS SILVER-16 TEAMS'!C19&amp;""</f>
        <v>ESTANCIA HS 2</v>
      </c>
      <c r="D100" s="36" t="str">
        <f>'14U BOYS SILVER-16 TEAMS'!D19&amp;""</f>
        <v>14Bag12</v>
      </c>
      <c r="E100" s="36" t="str">
        <f>'14U BOYS SILVER-16 TEAMS'!E19&amp;""</f>
        <v>B1-RIVERSIDE</v>
      </c>
      <c r="F100" s="36" t="str">
        <f>'14U BOYS SILVER-16 TEAMS'!F19&amp;""</f>
        <v>8</v>
      </c>
      <c r="G100" s="36" t="str">
        <f>'14U BOYS SILVER-16 TEAMS'!G19&amp;""</f>
        <v>B4-RANCHO TSUNAMI 12 BLUE</v>
      </c>
      <c r="H100" s="36" t="str">
        <f>'14U BOYS SILVER-16 TEAMS'!H19&amp;""</f>
        <v>12</v>
      </c>
      <c r="I100" s="36" t="str">
        <f>'14U BOYS SILVER-16 TEAMS'!I19&amp;""</f>
        <v>W/L B1/B4</v>
      </c>
      <c r="J100" s="36" t="str">
        <f>'14U BOYS SILVER-16 TEAMS'!J19&amp;""</f>
        <v>14U_BOYS_SILVER</v>
      </c>
      <c r="K100" s="36" t="str">
        <f t="shared" si="1"/>
        <v>202603071340</v>
      </c>
    </row>
    <row r="101" spans="1:11">
      <c r="A101" s="88">
        <f>'14U BOYS SILVER-16 TEAMS'!A20</f>
        <v>46088</v>
      </c>
      <c r="B101" s="87">
        <f>'14U BOYS SILVER-16 TEAMS'!B20</f>
        <v>0.56944444444444497</v>
      </c>
      <c r="C101" s="87" t="str">
        <f>'14U BOYS SILVER-16 TEAMS'!C20&amp;""</f>
        <v>EL TORO HS 1</v>
      </c>
      <c r="D101" s="36" t="str">
        <f>'14U BOYS SILVER-16 TEAMS'!D20&amp;""</f>
        <v>14Bag13</v>
      </c>
      <c r="E101" s="36" t="str">
        <f>'14U BOYS SILVER-16 TEAMS'!E20&amp;""</f>
        <v>L#9-TITANS</v>
      </c>
      <c r="F101" s="36" t="str">
        <f>'14U BOYS SILVER-16 TEAMS'!F20&amp;""</f>
        <v>11</v>
      </c>
      <c r="G101" s="36" t="str">
        <f>'14U BOYS SILVER-16 TEAMS'!G20&amp;""</f>
        <v>L#10-SET</v>
      </c>
      <c r="H101" s="36" t="str">
        <f>'14U BOYS SILVER-16 TEAMS'!H20&amp;""</f>
        <v>10</v>
      </c>
      <c r="I101" s="36" t="str">
        <f>'14U BOYS SILVER-16 TEAMS'!I20&amp;""</f>
        <v>3rd/4thD</v>
      </c>
      <c r="J101" s="36" t="str">
        <f>'14U BOYS SILVER-16 TEAMS'!J20&amp;""</f>
        <v>14U_BOYS_SILVER</v>
      </c>
      <c r="K101" s="36" t="str">
        <f t="shared" si="1"/>
        <v>202603071340</v>
      </c>
    </row>
    <row r="102" spans="1:11">
      <c r="A102" s="88">
        <f>'14U BOYS SILVER-16 TEAMS'!A21</f>
        <v>46088</v>
      </c>
      <c r="B102" s="87">
        <f>'14U BOYS SILVER-16 TEAMS'!B21</f>
        <v>0.60416666666666696</v>
      </c>
      <c r="C102" s="87" t="str">
        <f>'14U BOYS SILVER-16 TEAMS'!C21&amp;""</f>
        <v>ESTANCIA HS 2</v>
      </c>
      <c r="D102" s="36" t="str">
        <f>'14U BOYS SILVER-16 TEAMS'!D21&amp;""</f>
        <v>14Bag07</v>
      </c>
      <c r="E102" s="36" t="str">
        <f>'14U BOYS SILVER-16 TEAMS'!E21&amp;""</f>
        <v>L#3-GOLD COAST</v>
      </c>
      <c r="F102" s="36" t="str">
        <f>'14U BOYS SILVER-16 TEAMS'!F21&amp;""</f>
        <v>17</v>
      </c>
      <c r="G102" s="36" t="str">
        <f>'14U BOYS SILVER-16 TEAMS'!G21&amp;""</f>
        <v>L#4-TSM</v>
      </c>
      <c r="H102" s="36" t="str">
        <f>'14U BOYS SILVER-16 TEAMS'!H21&amp;""</f>
        <v>3</v>
      </c>
      <c r="I102" s="36" t="str">
        <f>'14U BOYS SILVER-16 TEAMS'!I21&amp;""</f>
        <v>3rd/4thC</v>
      </c>
      <c r="J102" s="36" t="str">
        <f>'14U BOYS SILVER-16 TEAMS'!J21&amp;""</f>
        <v>14U_BOYS_SILVER</v>
      </c>
      <c r="K102" s="36" t="str">
        <f t="shared" si="1"/>
        <v>202603071430</v>
      </c>
    </row>
    <row r="103" spans="1:11">
      <c r="A103" s="88">
        <f>'14U BOYS SILVER-16 TEAMS'!A22</f>
        <v>46088</v>
      </c>
      <c r="B103" s="87">
        <f>'14U BOYS SILVER-16 TEAMS'!B22</f>
        <v>0.60416666666666696</v>
      </c>
      <c r="C103" s="87" t="str">
        <f>'14U BOYS SILVER-16 TEAMS'!C22&amp;""</f>
        <v>EL TORO HS 1</v>
      </c>
      <c r="D103" s="36" t="str">
        <f>'14U BOYS SILVER-16 TEAMS'!D22&amp;""</f>
        <v>14Bag14</v>
      </c>
      <c r="E103" s="36" t="str">
        <f>'14U BOYS SILVER-16 TEAMS'!E22&amp;""</f>
        <v>W#9-NEWPORT BEACH SILVER</v>
      </c>
      <c r="F103" s="36" t="str">
        <f>'14U BOYS SILVER-16 TEAMS'!F22&amp;""</f>
        <v>8</v>
      </c>
      <c r="G103" s="36" t="str">
        <f>'14U BOYS SILVER-16 TEAMS'!G22&amp;""</f>
        <v>W#10-ORWP B</v>
      </c>
      <c r="H103" s="36" t="str">
        <f>'14U BOYS SILVER-16 TEAMS'!H22&amp;""</f>
        <v>7</v>
      </c>
      <c r="I103" s="36" t="str">
        <f>'14U BOYS SILVER-16 TEAMS'!I22&amp;""</f>
        <v>1st/2ndD</v>
      </c>
      <c r="J103" s="36" t="str">
        <f>'14U BOYS SILVER-16 TEAMS'!J22&amp;""</f>
        <v>14U_BOYS_SILVER</v>
      </c>
      <c r="K103" s="36" t="str">
        <f t="shared" si="1"/>
        <v>202603071430</v>
      </c>
    </row>
    <row r="104" spans="1:11">
      <c r="A104" s="88">
        <f>'14U BOYS SILVER-16 TEAMS'!A23</f>
        <v>46088</v>
      </c>
      <c r="B104" s="87">
        <f>'14U BOYS SILVER-16 TEAMS'!B23</f>
        <v>0.625</v>
      </c>
      <c r="C104" s="87" t="str">
        <f>'14U BOYS SILVER-16 TEAMS'!C23&amp;""</f>
        <v>COSTA MESA HS 1</v>
      </c>
      <c r="D104" s="36" t="str">
        <f>'14U BOYS SILVER-16 TEAMS'!D23&amp;""</f>
        <v>14Bag08</v>
      </c>
      <c r="E104" s="36" t="str">
        <f>'14U BOYS SILVER-16 TEAMS'!E23&amp;""</f>
        <v>W#3-PALOS VERDES B</v>
      </c>
      <c r="F104" s="36" t="str">
        <f>'14U BOYS SILVER-16 TEAMS'!F23&amp;""</f>
        <v>13</v>
      </c>
      <c r="G104" s="36" t="str">
        <f>'14U BOYS SILVER-16 TEAMS'!G23&amp;""</f>
        <v>W#4-NORTH IRVINE 12 BLACK</v>
      </c>
      <c r="H104" s="36" t="str">
        <f>'14U BOYS SILVER-16 TEAMS'!H23&amp;""</f>
        <v>9</v>
      </c>
      <c r="I104" s="36" t="str">
        <f>'14U BOYS SILVER-16 TEAMS'!I23&amp;""</f>
        <v>1st/2ndC</v>
      </c>
      <c r="J104" s="36" t="str">
        <f>'14U BOYS SILVER-16 TEAMS'!J23&amp;""</f>
        <v>14U_BOYS_SILVER</v>
      </c>
      <c r="K104" s="36" t="str">
        <f t="shared" si="1"/>
        <v>202603071500</v>
      </c>
    </row>
    <row r="105" spans="1:11">
      <c r="A105" s="88">
        <f>'14U BOYS SILVER-16 TEAMS'!A24</f>
        <v>46088</v>
      </c>
      <c r="B105" s="87">
        <f>'14U BOYS SILVER-16 TEAMS'!B24</f>
        <v>0.63888888888888895</v>
      </c>
      <c r="C105" s="87" t="str">
        <f>'14U BOYS SILVER-16 TEAMS'!C24&amp;""</f>
        <v>ESTANCIA HS 2</v>
      </c>
      <c r="D105" s="36" t="str">
        <f>'14U BOYS SILVER-16 TEAMS'!D24&amp;""</f>
        <v>14Bag15</v>
      </c>
      <c r="E105" s="36" t="str">
        <f>'14U BOYS SILVER-16 TEAMS'!E24&amp;""</f>
        <v>L#11-SAN CLEMENTE BLACK</v>
      </c>
      <c r="F105" s="36" t="str">
        <f>'14U BOYS SILVER-16 TEAMS'!F24&amp;""</f>
        <v>16</v>
      </c>
      <c r="G105" s="36" t="str">
        <f>'14U BOYS SILVER-16 TEAMS'!G24&amp;""</f>
        <v>L#12-RIVERSIDE</v>
      </c>
      <c r="H105" s="36" t="str">
        <f>'14U BOYS SILVER-16 TEAMS'!H24&amp;""</f>
        <v>12</v>
      </c>
      <c r="I105" s="36" t="str">
        <f>'14U BOYS SILVER-16 TEAMS'!I24&amp;""</f>
        <v>3rd/4thB</v>
      </c>
      <c r="J105" s="36" t="str">
        <f>'14U BOYS SILVER-16 TEAMS'!J24&amp;""</f>
        <v>14U_BOYS_SILVER</v>
      </c>
      <c r="K105" s="36" t="str">
        <f t="shared" si="1"/>
        <v>202603071520</v>
      </c>
    </row>
    <row r="106" spans="1:11">
      <c r="A106" s="88">
        <f>'14U BOYS SILVER-16 TEAMS'!A25</f>
        <v>46088</v>
      </c>
      <c r="B106" s="150">
        <f>'14U BOYS SILVER-16 TEAMS'!B25</f>
        <v>0.65972222222222221</v>
      </c>
      <c r="C106" s="87" t="str">
        <f>'14U BOYS SILVER-16 TEAMS'!C25&amp;""</f>
        <v>COSTA MESA HS 1</v>
      </c>
      <c r="D106" s="36" t="str">
        <f>'14U BOYS SILVER-16 TEAMS'!D25&amp;""</f>
        <v>14Bag16</v>
      </c>
      <c r="E106" s="36" t="str">
        <f>'14U BOYS SILVER-16 TEAMS'!E25&amp;""</f>
        <v>W#11-PASADENA AC ORANGE</v>
      </c>
      <c r="F106" s="36" t="str">
        <f>'14U BOYS SILVER-16 TEAMS'!F25&amp;""</f>
        <v>10</v>
      </c>
      <c r="G106" s="36" t="str">
        <f>'14U BOYS SILVER-16 TEAMS'!G25&amp;""</f>
        <v>W#12-RANCHO TSUNAMI 12 BLUE</v>
      </c>
      <c r="H106" s="36" t="str">
        <f>'14U BOYS SILVER-16 TEAMS'!H25&amp;""</f>
        <v>13</v>
      </c>
      <c r="I106" s="36" t="str">
        <f>'14U BOYS SILVER-16 TEAMS'!I25&amp;""</f>
        <v>1st/2ndB</v>
      </c>
      <c r="J106" s="36" t="str">
        <f>'14U BOYS SILVER-16 TEAMS'!J25&amp;""</f>
        <v>14U_BOYS_SILVER</v>
      </c>
      <c r="K106" s="36" t="str">
        <f t="shared" si="1"/>
        <v>202603071550</v>
      </c>
    </row>
    <row r="107" spans="1:11">
      <c r="A107" s="88">
        <f>'14U BOYS SILVER-16 TEAMS'!A29</f>
        <v>46089</v>
      </c>
      <c r="B107" s="87">
        <f>'14U BOYS SILVER-16 TEAMS'!B29</f>
        <v>0.3263888888888889</v>
      </c>
      <c r="C107" s="87" t="str">
        <f>'14U BOYS SILVER-16 TEAMS'!C29&amp;""</f>
        <v>ESTANCIA HS 2</v>
      </c>
      <c r="D107" s="36" t="str">
        <f>'14U BOYS SILVER-16 TEAMS'!D29&amp;""</f>
        <v>14Bag27</v>
      </c>
      <c r="E107" s="36" t="str">
        <f>'14U BOYS SILVER-16 TEAMS'!E29&amp;""</f>
        <v>3rdA-SAND CANYON</v>
      </c>
      <c r="F107" s="36" t="str">
        <f>'14U BOYS SILVER-16 TEAMS'!F29&amp;""</f>
        <v>17</v>
      </c>
      <c r="G107" s="36" t="str">
        <f>'14U BOYS SILVER-16 TEAMS'!G29&amp;""</f>
        <v>3rdD-TITANS</v>
      </c>
      <c r="H107" s="36" t="str">
        <f>'14U BOYS SILVER-16 TEAMS'!H29&amp;""</f>
        <v>8</v>
      </c>
      <c r="I107" s="36" t="str">
        <f>'14U BOYS SILVER-16 TEAMS'!I29&amp;""</f>
        <v>9-12 semi 3A/3D</v>
      </c>
      <c r="J107" s="36" t="str">
        <f>'14U BOYS SILVER-16 TEAMS'!J29&amp;""</f>
        <v>14U_BOYS_SILVER</v>
      </c>
      <c r="K107" s="36" t="str">
        <f t="shared" si="1"/>
        <v>202603080750</v>
      </c>
    </row>
    <row r="108" spans="1:11">
      <c r="A108" s="88">
        <f>'14U BOYS SILVER-16 TEAMS'!A30</f>
        <v>46089</v>
      </c>
      <c r="B108" s="87">
        <f>'14U BOYS SILVER-16 TEAMS'!B30</f>
        <v>0.36111111111111099</v>
      </c>
      <c r="C108" s="87" t="str">
        <f>'14U BOYS SILVER-16 TEAMS'!C30&amp;""</f>
        <v>ESTANCIA HS 2</v>
      </c>
      <c r="D108" s="36" t="str">
        <f>'14U BOYS SILVER-16 TEAMS'!D30&amp;""</f>
        <v>14Bag28</v>
      </c>
      <c r="E108" s="36" t="str">
        <f>'14U BOYS SILVER-16 TEAMS'!E30&amp;""</f>
        <v>3rdB-SAN CLEMENTE BLACK</v>
      </c>
      <c r="F108" s="36" t="str">
        <f>'14U BOYS SILVER-16 TEAMS'!F30&amp;""</f>
        <v>10</v>
      </c>
      <c r="G108" s="36" t="str">
        <f>'14U BOYS SILVER-16 TEAMS'!G30&amp;""</f>
        <v>3rdC-GOLD COAST</v>
      </c>
      <c r="H108" s="36" t="str">
        <f>'14U BOYS SILVER-16 TEAMS'!H30&amp;""</f>
        <v>11</v>
      </c>
      <c r="I108" s="36" t="str">
        <f>'14U BOYS SILVER-16 TEAMS'!I30&amp;""</f>
        <v>9-12 semi 3B/3C</v>
      </c>
      <c r="J108" s="36" t="str">
        <f>'14U BOYS SILVER-16 TEAMS'!J30&amp;""</f>
        <v>14U_BOYS_SILVER</v>
      </c>
      <c r="K108" s="36" t="str">
        <f t="shared" si="1"/>
        <v>202603080840</v>
      </c>
    </row>
    <row r="109" spans="1:11">
      <c r="A109" s="88">
        <f>'14U BOYS SILVER-16 TEAMS'!A31</f>
        <v>46089</v>
      </c>
      <c r="B109" s="87">
        <f>'14U BOYS SILVER-16 TEAMS'!B31</f>
        <v>0.39583333333333398</v>
      </c>
      <c r="C109" s="87" t="str">
        <f>'14U BOYS SILVER-16 TEAMS'!C31&amp;""</f>
        <v>ESTANCIA HS 2</v>
      </c>
      <c r="D109" s="36" t="str">
        <f>'14U BOYS SILVER-16 TEAMS'!D31&amp;""</f>
        <v>14Bag21</v>
      </c>
      <c r="E109" s="36" t="str">
        <f>'14U BOYS SILVER-16 TEAMS'!E31&amp;""</f>
        <v>2ndD-ORWP B</v>
      </c>
      <c r="F109" s="36" t="str">
        <f>'14U BOYS SILVER-16 TEAMS'!F31&amp;""</f>
        <v>10</v>
      </c>
      <c r="G109" s="36" t="str">
        <f>'14U BOYS SILVER-16 TEAMS'!G31&amp;""</f>
        <v>2ndA-SAN DIEGO DONS 12 BLACK</v>
      </c>
      <c r="H109" s="36" t="str">
        <f>'14U BOYS SILVER-16 TEAMS'!H31&amp;""</f>
        <v>7</v>
      </c>
      <c r="I109" s="36" t="str">
        <f>'14U BOYS SILVER-16 TEAMS'!I31&amp;""</f>
        <v>5-8 semi 2D/2A</v>
      </c>
      <c r="J109" s="36" t="str">
        <f>'14U BOYS SILVER-16 TEAMS'!J31&amp;""</f>
        <v>14U_BOYS_SILVER</v>
      </c>
      <c r="K109" s="36" t="str">
        <f t="shared" si="1"/>
        <v>202603080930</v>
      </c>
    </row>
    <row r="110" spans="1:11">
      <c r="A110" s="88">
        <f>'14U BOYS SILVER-16 TEAMS'!A32</f>
        <v>46089</v>
      </c>
      <c r="B110" s="87">
        <f>'14U BOYS SILVER-16 TEAMS'!B32</f>
        <v>0.39583333333333398</v>
      </c>
      <c r="C110" s="87" t="str">
        <f>'14U BOYS SILVER-16 TEAMS'!C32&amp;""</f>
        <v>ALISO NIGUEL HS</v>
      </c>
      <c r="D110" s="36" t="str">
        <f>'14U BOYS SILVER-16 TEAMS'!D32&amp;""</f>
        <v>14Bag29</v>
      </c>
      <c r="E110" s="36" t="str">
        <f>'14U BOYS SILVER-16 TEAMS'!E32&amp;""</f>
        <v>4thD-SET</v>
      </c>
      <c r="F110" s="36" t="str">
        <f>'14U BOYS SILVER-16 TEAMS'!F32&amp;""</f>
        <v>3</v>
      </c>
      <c r="G110" s="36" t="str">
        <f>'14U BOYS SILVER-16 TEAMS'!G32&amp;""</f>
        <v>4thA-TROJAN GOLD</v>
      </c>
      <c r="H110" s="36" t="str">
        <f>'14U BOYS SILVER-16 TEAMS'!H32&amp;""</f>
        <v>15</v>
      </c>
      <c r="I110" s="36" t="str">
        <f>'14U BOYS SILVER-16 TEAMS'!I32&amp;""</f>
        <v>13-16 semi</v>
      </c>
      <c r="J110" s="36" t="str">
        <f>'14U BOYS SILVER-16 TEAMS'!J32&amp;""</f>
        <v>14U_BOYS_SILVER</v>
      </c>
      <c r="K110" s="36" t="str">
        <f t="shared" si="1"/>
        <v>202603080930</v>
      </c>
    </row>
    <row r="111" spans="1:11">
      <c r="A111" s="88">
        <f>'14U BOYS SILVER-16 TEAMS'!A33</f>
        <v>46089</v>
      </c>
      <c r="B111" s="87">
        <f>'14U BOYS SILVER-16 TEAMS'!B33</f>
        <v>0.43055555555555602</v>
      </c>
      <c r="C111" s="87" t="str">
        <f>'14U BOYS SILVER-16 TEAMS'!C33&amp;""</f>
        <v>ALISO NIGUEL HS</v>
      </c>
      <c r="D111" s="36" t="str">
        <f>'14U BOYS SILVER-16 TEAMS'!D33&amp;""</f>
        <v>14Bag30</v>
      </c>
      <c r="E111" s="36" t="str">
        <f>'14U BOYS SILVER-16 TEAMS'!E33&amp;""</f>
        <v>4thC-TSM</v>
      </c>
      <c r="F111" s="36" t="str">
        <f>'14U BOYS SILVER-16 TEAMS'!F33&amp;""</f>
        <v>7</v>
      </c>
      <c r="G111" s="36" t="str">
        <f>'14U BOYS SILVER-16 TEAMS'!G33&amp;""</f>
        <v>4thB-RIVERSIDE</v>
      </c>
      <c r="H111" s="36" t="str">
        <f>'14U BOYS SILVER-16 TEAMS'!H33&amp;""</f>
        <v>14</v>
      </c>
      <c r="I111" s="36" t="str">
        <f>'14U BOYS SILVER-16 TEAMS'!I33&amp;""</f>
        <v>13-16 semi</v>
      </c>
      <c r="J111" s="36" t="str">
        <f>'14U BOYS SILVER-16 TEAMS'!J33&amp;""</f>
        <v>14U_BOYS_SILVER</v>
      </c>
      <c r="K111" s="36" t="str">
        <f t="shared" si="1"/>
        <v>202603081020</v>
      </c>
    </row>
    <row r="112" spans="1:11">
      <c r="A112" s="88">
        <f>'14U BOYS SILVER-16 TEAMS'!A34</f>
        <v>46089</v>
      </c>
      <c r="B112" s="87">
        <f>'14U BOYS SILVER-16 TEAMS'!B34</f>
        <v>0.43055555555555602</v>
      </c>
      <c r="C112" s="87" t="str">
        <f>'14U BOYS SILVER-16 TEAMS'!C34&amp;""</f>
        <v>ESTANCIA HS 2</v>
      </c>
      <c r="D112" s="36" t="str">
        <f>'14U BOYS SILVER-16 TEAMS'!D34&amp;""</f>
        <v>14Bag22</v>
      </c>
      <c r="E112" s="36" t="str">
        <f>'14U BOYS SILVER-16 TEAMS'!E34&amp;""</f>
        <v>2ndC-NORTH IRVINE 12 BLACK</v>
      </c>
      <c r="F112" s="36" t="str">
        <f>'14U BOYS SILVER-16 TEAMS'!F34&amp;""</f>
        <v>5</v>
      </c>
      <c r="G112" s="36" t="str">
        <f>'14U BOYS SILVER-16 TEAMS'!G34&amp;""</f>
        <v>2ndB-PASADENA AC ORANGE</v>
      </c>
      <c r="H112" s="36" t="str">
        <f>'14U BOYS SILVER-16 TEAMS'!H34&amp;""</f>
        <v>8</v>
      </c>
      <c r="I112" s="36" t="str">
        <f>'14U BOYS SILVER-16 TEAMS'!I34&amp;""</f>
        <v>5-8 semi 2C/2B</v>
      </c>
      <c r="J112" s="36" t="str">
        <f>'14U BOYS SILVER-16 TEAMS'!J34&amp;""</f>
        <v>14U_BOYS_SILVER</v>
      </c>
      <c r="K112" s="36" t="str">
        <f t="shared" si="1"/>
        <v>202603081020</v>
      </c>
    </row>
    <row r="113" spans="1:11">
      <c r="A113" s="88">
        <f>'14U BOYS SILVER-16 TEAMS'!A35</f>
        <v>46089</v>
      </c>
      <c r="B113" s="87">
        <f>'14U BOYS SILVER-16 TEAMS'!B35</f>
        <v>0.46527777777777801</v>
      </c>
      <c r="C113" s="87" t="str">
        <f>'14U BOYS SILVER-16 TEAMS'!C35&amp;""</f>
        <v>ESTANCIA HS 2</v>
      </c>
      <c r="D113" s="36" t="str">
        <f>'14U BOYS SILVER-16 TEAMS'!D35&amp;""</f>
        <v>14Bag19</v>
      </c>
      <c r="E113" s="36" t="str">
        <f>'14U BOYS SILVER-16 TEAMS'!E35&amp;""</f>
        <v>1stA-BREA OLINDA GOLD</v>
      </c>
      <c r="F113" s="36" t="str">
        <f>'14U BOYS SILVER-16 TEAMS'!F35&amp;""</f>
        <v>9</v>
      </c>
      <c r="G113" s="36" t="str">
        <f>'14U BOYS SILVER-16 TEAMS'!G35&amp;""</f>
        <v>1stD-NEWPORT BEACH SILVER</v>
      </c>
      <c r="H113" s="36" t="str">
        <f>'14U BOYS SILVER-16 TEAMS'!H35&amp;""</f>
        <v>3</v>
      </c>
      <c r="I113" s="36" t="str">
        <f>'14U BOYS SILVER-16 TEAMS'!I35&amp;""</f>
        <v>1-4 semi 1A/1D</v>
      </c>
      <c r="J113" s="36" t="str">
        <f>'14U BOYS SILVER-16 TEAMS'!J35&amp;""</f>
        <v>14U_BOYS_SILVER</v>
      </c>
      <c r="K113" s="36" t="str">
        <f t="shared" si="1"/>
        <v>202603081110</v>
      </c>
    </row>
    <row r="114" spans="1:11">
      <c r="A114" s="88">
        <f>'14U BOYS SILVER-16 TEAMS'!A36</f>
        <v>46089</v>
      </c>
      <c r="B114" s="87">
        <f>'14U BOYS SILVER-16 TEAMS'!B36</f>
        <v>0.5</v>
      </c>
      <c r="C114" s="87" t="str">
        <f>'14U BOYS SILVER-16 TEAMS'!C36&amp;""</f>
        <v>ESTANCIA HS 2</v>
      </c>
      <c r="D114" s="36" t="str">
        <f>'14U BOYS SILVER-16 TEAMS'!D36&amp;""</f>
        <v>14Bag20</v>
      </c>
      <c r="E114" s="36" t="str">
        <f>'14U BOYS SILVER-16 TEAMS'!E36&amp;""</f>
        <v>1stB-RANCHO TSUNAMI 12 BLUE</v>
      </c>
      <c r="F114" s="36" t="str">
        <f>'14U BOYS SILVER-16 TEAMS'!F36&amp;""</f>
        <v>7</v>
      </c>
      <c r="G114" s="36" t="str">
        <f>'14U BOYS SILVER-16 TEAMS'!G36&amp;""</f>
        <v>1stC-PALOS VERDES B</v>
      </c>
      <c r="H114" s="36" t="str">
        <f>'14U BOYS SILVER-16 TEAMS'!H36&amp;""</f>
        <v>9</v>
      </c>
      <c r="I114" s="36" t="str">
        <f>'14U BOYS SILVER-16 TEAMS'!I36&amp;""</f>
        <v>1-4 semi 1B/1C</v>
      </c>
      <c r="J114" s="36" t="str">
        <f>'14U BOYS SILVER-16 TEAMS'!J36&amp;""</f>
        <v>14U_BOYS_SILVER</v>
      </c>
      <c r="K114" s="36" t="str">
        <f t="shared" si="1"/>
        <v>202603081200</v>
      </c>
    </row>
    <row r="115" spans="1:11">
      <c r="A115" s="88">
        <f>'14U BOYS SILVER-16 TEAMS'!A37</f>
        <v>46089</v>
      </c>
      <c r="B115" s="87">
        <f>'14U BOYS SILVER-16 TEAMS'!B37</f>
        <v>0.53472222222222199</v>
      </c>
      <c r="C115" s="87" t="str">
        <f>'14U BOYS SILVER-16 TEAMS'!C37&amp;""</f>
        <v>ESTANCIA HS 2</v>
      </c>
      <c r="D115" s="36" t="str">
        <f>'14U BOYS SILVER-16 TEAMS'!D37&amp;""</f>
        <v>14Bag25</v>
      </c>
      <c r="E115" s="36" t="str">
        <f>'14U BOYS SILVER-16 TEAMS'!E37&amp;""</f>
        <v>W#21-ORWP B</v>
      </c>
      <c r="F115" s="36" t="str">
        <f>'14U BOYS SILVER-16 TEAMS'!F37&amp;""</f>
        <v>7</v>
      </c>
      <c r="G115" s="36" t="str">
        <f>'14U BOYS SILVER-16 TEAMS'!G37&amp;""</f>
        <v>W#22-PASADENA AC ORANGE</v>
      </c>
      <c r="H115" s="36" t="str">
        <f>'14U BOYS SILVER-16 TEAMS'!H37&amp;""</f>
        <v>20</v>
      </c>
      <c r="I115" s="36" t="str">
        <f>'14U BOYS SILVER-16 TEAMS'!I37&amp;""</f>
        <v>5th</v>
      </c>
      <c r="J115" s="36" t="str">
        <f>'14U BOYS SILVER-16 TEAMS'!J37&amp;""</f>
        <v>14U_BOYS_SILVER</v>
      </c>
      <c r="K115" s="36" t="str">
        <f t="shared" si="1"/>
        <v>202603081250</v>
      </c>
    </row>
    <row r="116" spans="1:11">
      <c r="A116" s="88">
        <f>'14U BOYS SILVER-16 TEAMS'!A38</f>
        <v>46089</v>
      </c>
      <c r="B116" s="87">
        <f>'14U BOYS SILVER-16 TEAMS'!B38</f>
        <v>0.53472222222222199</v>
      </c>
      <c r="C116" s="87" t="str">
        <f>'14U BOYS SILVER-16 TEAMS'!C38&amp;""</f>
        <v>ALISO NIGUEL HS</v>
      </c>
      <c r="D116" s="36" t="str">
        <f>'14U BOYS SILVER-16 TEAMS'!D38&amp;""</f>
        <v>14Bag31</v>
      </c>
      <c r="E116" s="36" t="str">
        <f>'14U BOYS SILVER-16 TEAMS'!E38&amp;""</f>
        <v>W#27-SAND CANYON</v>
      </c>
      <c r="F116" s="36" t="str">
        <f>'14U BOYS SILVER-16 TEAMS'!F38&amp;""</f>
        <v>9</v>
      </c>
      <c r="G116" s="36" t="str">
        <f>'14U BOYS SILVER-16 TEAMS'!G38&amp;""</f>
        <v>W#28-GOLD COAST</v>
      </c>
      <c r="H116" s="36" t="str">
        <f>'14U BOYS SILVER-16 TEAMS'!H38&amp;""</f>
        <v>17</v>
      </c>
      <c r="I116" s="36" t="str">
        <f>'14U BOYS SILVER-16 TEAMS'!I38&amp;""</f>
        <v>9th</v>
      </c>
      <c r="J116" s="36" t="str">
        <f>'14U BOYS SILVER-16 TEAMS'!J38&amp;""</f>
        <v>14U_BOYS_SILVER</v>
      </c>
      <c r="K116" s="36" t="str">
        <f t="shared" si="1"/>
        <v>202603081250</v>
      </c>
    </row>
    <row r="117" spans="1:11">
      <c r="A117" s="88">
        <f>'14U BOYS SILVER-16 TEAMS'!A39</f>
        <v>46089</v>
      </c>
      <c r="B117" s="87">
        <f>'14U BOYS SILVER-16 TEAMS'!B39</f>
        <v>0.56944444444444497</v>
      </c>
      <c r="C117" s="87" t="str">
        <f>'14U BOYS SILVER-16 TEAMS'!C39&amp;""</f>
        <v>ESTANCIA HS 2</v>
      </c>
      <c r="D117" s="36" t="str">
        <f>'14U BOYS SILVER-16 TEAMS'!D39&amp;""</f>
        <v>14Bag26</v>
      </c>
      <c r="E117" s="36" t="str">
        <f>'14U BOYS SILVER-16 TEAMS'!E39&amp;""</f>
        <v>L#21-SAN DIEGO DONS 12 BLACK</v>
      </c>
      <c r="F117" s="36" t="str">
        <f>'14U BOYS SILVER-16 TEAMS'!F39&amp;""</f>
        <v>9</v>
      </c>
      <c r="G117" s="89" t="str">
        <f>'14U BOYS SILVER-16 TEAMS'!G39&amp;""</f>
        <v>L#22-NORTH IRVINE 12 BLACK</v>
      </c>
      <c r="H117" s="36" t="str">
        <f>'14U BOYS SILVER-16 TEAMS'!H39&amp;""</f>
        <v>15</v>
      </c>
      <c r="I117" s="36" t="str">
        <f>'14U BOYS SILVER-16 TEAMS'!I39&amp;""</f>
        <v>7th</v>
      </c>
      <c r="J117" s="36" t="str">
        <f>'14U BOYS SILVER-16 TEAMS'!J39&amp;""</f>
        <v>14U_BOYS_SILVER</v>
      </c>
      <c r="K117" s="36" t="str">
        <f t="shared" si="1"/>
        <v>202603081340</v>
      </c>
    </row>
    <row r="118" spans="1:11">
      <c r="A118" s="88">
        <f>'14U BOYS SILVER-16 TEAMS'!A40</f>
        <v>46089</v>
      </c>
      <c r="B118" s="87">
        <f>'14U BOYS SILVER-16 TEAMS'!B40</f>
        <v>0.56944444444444497</v>
      </c>
      <c r="C118" s="87" t="str">
        <f>'14U BOYS SILVER-16 TEAMS'!C40&amp;""</f>
        <v>ALISO NIGUEL HS</v>
      </c>
      <c r="D118" s="36" t="str">
        <f>'14U BOYS SILVER-16 TEAMS'!D40&amp;""</f>
        <v>14Bag32</v>
      </c>
      <c r="E118" s="36" t="str">
        <f>'14U BOYS SILVER-16 TEAMS'!E40&amp;""</f>
        <v>L#27-TITANS</v>
      </c>
      <c r="F118" s="36" t="str">
        <f>'14U BOYS SILVER-16 TEAMS'!F40&amp;""</f>
        <v>0</v>
      </c>
      <c r="G118" s="36" t="str">
        <f>'14U BOYS SILVER-16 TEAMS'!G40&amp;""</f>
        <v>L#28-SAN CLEMENTE BLACK</v>
      </c>
      <c r="H118" s="36" t="str">
        <f>'14U BOYS SILVER-16 TEAMS'!H40&amp;""</f>
        <v>14</v>
      </c>
      <c r="I118" s="36" t="str">
        <f>'14U BOYS SILVER-16 TEAMS'!I40&amp;""</f>
        <v>11th</v>
      </c>
      <c r="J118" s="36" t="str">
        <f>'14U BOYS SILVER-16 TEAMS'!J40&amp;""</f>
        <v>14U_BOYS_SILVER</v>
      </c>
      <c r="K118" s="36" t="str">
        <f t="shared" si="1"/>
        <v>202603081340</v>
      </c>
    </row>
    <row r="119" spans="1:11">
      <c r="A119" s="88">
        <f>'14U BOYS SILVER-16 TEAMS'!A41</f>
        <v>46089</v>
      </c>
      <c r="B119" s="87">
        <f>'14U BOYS SILVER-16 TEAMS'!B41</f>
        <v>0.60416666666666696</v>
      </c>
      <c r="C119" s="87" t="str">
        <f>'14U BOYS SILVER-16 TEAMS'!C41&amp;""</f>
        <v>ALISO NIGUEL HS</v>
      </c>
      <c r="D119" s="36" t="str">
        <f>'14U BOYS SILVER-16 TEAMS'!D41&amp;""</f>
        <v>14Bag34</v>
      </c>
      <c r="E119" s="36" t="str">
        <f>'14U BOYS SILVER-16 TEAMS'!E41&amp;""</f>
        <v>W#29-TROJAN GOLD</v>
      </c>
      <c r="F119" s="36" t="str">
        <f>'14U BOYS SILVER-16 TEAMS'!F41&amp;""</f>
        <v>12</v>
      </c>
      <c r="G119" s="36" t="str">
        <f>'14U BOYS SILVER-16 TEAMS'!G41&amp;""</f>
        <v>W#30-RIVERSIDE</v>
      </c>
      <c r="H119" s="36" t="str">
        <f>'14U BOYS SILVER-16 TEAMS'!H41&amp;""</f>
        <v>13</v>
      </c>
      <c r="I119" s="36" t="str">
        <f>'14U BOYS SILVER-16 TEAMS'!I41&amp;""</f>
        <v>13th</v>
      </c>
      <c r="J119" s="36" t="str">
        <f>'14U BOYS SILVER-16 TEAMS'!J41&amp;""</f>
        <v>14U_BOYS_SILVER</v>
      </c>
      <c r="K119" s="36" t="str">
        <f t="shared" si="1"/>
        <v>202603081430</v>
      </c>
    </row>
    <row r="120" spans="1:11">
      <c r="A120" s="88">
        <f>'14U BOYS SILVER-16 TEAMS'!A42</f>
        <v>46089</v>
      </c>
      <c r="B120" s="87">
        <f>'14U BOYS SILVER-16 TEAMS'!B42</f>
        <v>0.60416666666666696</v>
      </c>
      <c r="C120" s="87" t="str">
        <f>'14U BOYS SILVER-16 TEAMS'!C42&amp;""</f>
        <v>ESTANCIA HS 2</v>
      </c>
      <c r="D120" s="36" t="str">
        <f>'14U BOYS SILVER-16 TEAMS'!D42&amp;""</f>
        <v>14Bag23</v>
      </c>
      <c r="E120" s="36" t="str">
        <f>'14U BOYS SILVER-16 TEAMS'!E42&amp;""</f>
        <v>L#19-NEWPORT BEACH SILVER</v>
      </c>
      <c r="F120" s="36" t="str">
        <f>'14U BOYS SILVER-16 TEAMS'!F42&amp;""</f>
        <v>9</v>
      </c>
      <c r="G120" s="36" t="str">
        <f>'14U BOYS SILVER-16 TEAMS'!G42&amp;""</f>
        <v>L#20-RANCHO TSUNAMI 12 BLUE</v>
      </c>
      <c r="H120" s="36" t="str">
        <f>'14U BOYS SILVER-16 TEAMS'!H42&amp;""</f>
        <v>10</v>
      </c>
      <c r="I120" s="36" t="str">
        <f>'14U BOYS SILVER-16 TEAMS'!I42&amp;""</f>
        <v>3rd</v>
      </c>
      <c r="J120" s="36" t="str">
        <f>'14U BOYS SILVER-16 TEAMS'!J42&amp;""</f>
        <v>14U_BOYS_SILVER</v>
      </c>
      <c r="K120" s="36" t="str">
        <f t="shared" si="1"/>
        <v>202603081430</v>
      </c>
    </row>
    <row r="121" spans="1:11">
      <c r="A121" s="88">
        <f>'14U BOYS SILVER-16 TEAMS'!A43</f>
        <v>46089</v>
      </c>
      <c r="B121" s="87">
        <f>'14U BOYS SILVER-16 TEAMS'!B43</f>
        <v>0.63888888888888895</v>
      </c>
      <c r="C121" s="87" t="str">
        <f>'14U BOYS SILVER-16 TEAMS'!C43&amp;""</f>
        <v>ALISO NIGUEL HS</v>
      </c>
      <c r="D121" s="36" t="str">
        <f>'14U BOYS SILVER-16 TEAMS'!D43&amp;""</f>
        <v>14Bag33</v>
      </c>
      <c r="E121" s="36" t="str">
        <f>'14U BOYS SILVER-16 TEAMS'!E43&amp;""</f>
        <v>L#29-SET</v>
      </c>
      <c r="F121" s="36" t="str">
        <f>'14U BOYS SILVER-16 TEAMS'!F43&amp;""</f>
        <v>5</v>
      </c>
      <c r="G121" s="36" t="str">
        <f>'14U BOYS SILVER-16 TEAMS'!G43&amp;""</f>
        <v>L#30-TSM</v>
      </c>
      <c r="H121" s="36" t="str">
        <f>'14U BOYS SILVER-16 TEAMS'!H43&amp;""</f>
        <v>3</v>
      </c>
      <c r="I121" s="36" t="str">
        <f>'14U BOYS SILVER-16 TEAMS'!I43&amp;""</f>
        <v>15th</v>
      </c>
      <c r="J121" s="36" t="str">
        <f>'14U BOYS SILVER-16 TEAMS'!J43&amp;""</f>
        <v>14U_BOYS_SILVER</v>
      </c>
      <c r="K121" s="36" t="str">
        <f t="shared" si="1"/>
        <v>202603081520</v>
      </c>
    </row>
    <row r="122" spans="1:11">
      <c r="A122" s="88">
        <f>'14U BOYS SILVER-16 TEAMS'!A44</f>
        <v>46089</v>
      </c>
      <c r="B122" s="87">
        <f>'14U BOYS SILVER-16 TEAMS'!B44</f>
        <v>0.63888888888888895</v>
      </c>
      <c r="C122" s="87" t="str">
        <f>'14U BOYS SILVER-16 TEAMS'!C44&amp;""</f>
        <v>ESTANCIA HS 2</v>
      </c>
      <c r="D122" s="36" t="str">
        <f>'14U BOYS SILVER-16 TEAMS'!D44&amp;""</f>
        <v>14Bag24</v>
      </c>
      <c r="E122" s="36" t="str">
        <f>'14U BOYS SILVER-16 TEAMS'!E44&amp;""</f>
        <v>W#19-BREA OLINDA GOLD</v>
      </c>
      <c r="F122" s="36" t="str">
        <f>'14U BOYS SILVER-16 TEAMS'!F44&amp;""</f>
        <v>3</v>
      </c>
      <c r="G122" s="36" t="str">
        <f>'14U BOYS SILVER-16 TEAMS'!G44&amp;""</f>
        <v>W#20-PALOS VERDES B</v>
      </c>
      <c r="H122" s="36" t="str">
        <f>'14U BOYS SILVER-16 TEAMS'!H44&amp;""</f>
        <v>12</v>
      </c>
      <c r="I122" s="36" t="str">
        <f>'14U BOYS SILVER-16 TEAMS'!I44&amp;""</f>
        <v>1st</v>
      </c>
      <c r="J122" s="36" t="str">
        <f>'14U BOYS SILVER-16 TEAMS'!J44&amp;""</f>
        <v>14U_BOYS_SILVER</v>
      </c>
      <c r="K122" s="36" t="str">
        <f t="shared" si="1"/>
        <v>202603081520</v>
      </c>
    </row>
    <row r="123" spans="1:11">
      <c r="A123" s="91">
        <f>'14U BOYS GOLD-16 TEAMS'!A10</f>
        <v>46088</v>
      </c>
      <c r="B123" s="35">
        <f>'14U BOYS GOLD-16 TEAMS'!B10</f>
        <v>0.3263888888888889</v>
      </c>
      <c r="C123" s="35" t="str">
        <f>'14U BOYS GOLD-16 TEAMS'!C10&amp;""</f>
        <v>SAN JUAN HILLS HS</v>
      </c>
      <c r="D123" s="33" t="str">
        <f>'14U BOYS GOLD-16 TEAMS'!D10&amp;""</f>
        <v>14Bau01</v>
      </c>
      <c r="E123" s="33" t="str">
        <f>'14U BOYS GOLD-16 TEAMS'!E10&amp;""</f>
        <v>A2-TRILOGY BLACK</v>
      </c>
      <c r="F123" s="33" t="str">
        <f>'14U BOYS GOLD-16 TEAMS'!F10&amp;""</f>
        <v>2</v>
      </c>
      <c r="G123" s="33" t="str">
        <f>'14U BOYS GOLD-16 TEAMS'!G10&amp;""</f>
        <v>A3-SAN DIEGO DONS 14 BLACK</v>
      </c>
      <c r="H123" s="33" t="str">
        <f>'14U BOYS GOLD-16 TEAMS'!H10&amp;""</f>
        <v>8</v>
      </c>
      <c r="I123" s="33" t="str">
        <f>'14U BOYS GOLD-16 TEAMS'!I10&amp;""</f>
        <v>W/L A2/A3</v>
      </c>
      <c r="J123" s="33" t="str">
        <f>'14U BOYS GOLD-16 TEAMS'!J10&amp;""</f>
        <v>14U_BOYS_GOLD</v>
      </c>
      <c r="K123" s="33" t="str">
        <f t="shared" si="1"/>
        <v>202603070750</v>
      </c>
    </row>
    <row r="124" spans="1:11">
      <c r="A124" s="91">
        <f>'14U BOYS GOLD-16 TEAMS'!A11</f>
        <v>46088</v>
      </c>
      <c r="B124" s="35">
        <f>'14U BOYS GOLD-16 TEAMS'!B11</f>
        <v>0.36111111111111099</v>
      </c>
      <c r="C124" s="35" t="str">
        <f>'14U BOYS GOLD-16 TEAMS'!C11&amp;""</f>
        <v>SAN JUAN HILLS HS</v>
      </c>
      <c r="D124" s="33" t="str">
        <f>'14U BOYS GOLD-16 TEAMS'!D11&amp;""</f>
        <v>14Bau02</v>
      </c>
      <c r="E124" s="33" t="str">
        <f>'14U BOYS GOLD-16 TEAMS'!E11&amp;""</f>
        <v>A1-LAWPC</v>
      </c>
      <c r="F124" s="33" t="str">
        <f>'14U BOYS GOLD-16 TEAMS'!F11&amp;""</f>
        <v>6</v>
      </c>
      <c r="G124" s="33" t="str">
        <f>'14U BOYS GOLD-16 TEAMS'!G11&amp;""</f>
        <v>A4-NORTH IRVINE RED</v>
      </c>
      <c r="H124" s="33" t="str">
        <f>'14U BOYS GOLD-16 TEAMS'!H11&amp;""</f>
        <v>7</v>
      </c>
      <c r="I124" s="33" t="str">
        <f>'14U BOYS GOLD-16 TEAMS'!I11&amp;""</f>
        <v>W/L A1/A4</v>
      </c>
      <c r="J124" s="33" t="str">
        <f>'14U BOYS GOLD-16 TEAMS'!J11&amp;""</f>
        <v>14U_BOYS_GOLD</v>
      </c>
      <c r="K124" s="33" t="str">
        <f t="shared" si="1"/>
        <v>202603070840</v>
      </c>
    </row>
    <row r="125" spans="1:11">
      <c r="A125" s="91">
        <f>'14U BOYS GOLD-16 TEAMS'!A12</f>
        <v>46088</v>
      </c>
      <c r="B125" s="35">
        <f>'14U BOYS GOLD-16 TEAMS'!B12</f>
        <v>0.39583333333333398</v>
      </c>
      <c r="C125" s="35" t="str">
        <f>'14U BOYS GOLD-16 TEAMS'!C12&amp;""</f>
        <v>SAN JUAN HILLS HS</v>
      </c>
      <c r="D125" s="33" t="str">
        <f>'14U BOYS GOLD-16 TEAMS'!D12&amp;""</f>
        <v>14Bau03</v>
      </c>
      <c r="E125" s="33" t="str">
        <f>'14U BOYS GOLD-16 TEAMS'!E12&amp;""</f>
        <v>C2-VANGUARD SILVER</v>
      </c>
      <c r="F125" s="33" t="str">
        <f>'14U BOYS GOLD-16 TEAMS'!F12&amp;""</f>
        <v>10</v>
      </c>
      <c r="G125" s="33" t="str">
        <f>'14U BOYS GOLD-16 TEAMS'!G12&amp;""</f>
        <v>C3-NEWPORT BEACH WHITE</v>
      </c>
      <c r="H125" s="33" t="str">
        <f>'14U BOYS GOLD-16 TEAMS'!H12&amp;""</f>
        <v>6</v>
      </c>
      <c r="I125" s="33" t="str">
        <f>'14U BOYS GOLD-16 TEAMS'!I12&amp;""</f>
        <v>W/L C2/C3</v>
      </c>
      <c r="J125" s="33" t="str">
        <f>'14U BOYS GOLD-16 TEAMS'!J12&amp;""</f>
        <v>14U_BOYS_GOLD</v>
      </c>
      <c r="K125" s="33" t="str">
        <f t="shared" si="1"/>
        <v>202603070930</v>
      </c>
    </row>
    <row r="126" spans="1:11">
      <c r="A126" s="91">
        <f>'14U BOYS GOLD-16 TEAMS'!A13</f>
        <v>46088</v>
      </c>
      <c r="B126" s="35">
        <f>'14U BOYS GOLD-16 TEAMS'!B13</f>
        <v>0.43055555555555602</v>
      </c>
      <c r="C126" s="35" t="str">
        <f>'14U BOYS GOLD-16 TEAMS'!C13&amp;""</f>
        <v>SAN JUAN HILLS HS</v>
      </c>
      <c r="D126" s="33" t="str">
        <f>'14U BOYS GOLD-16 TEAMS'!D13&amp;""</f>
        <v>14Bau04</v>
      </c>
      <c r="E126" s="33" t="str">
        <f>'14U BOYS GOLD-16 TEAMS'!E13&amp;""</f>
        <v>C1-HIELAND</v>
      </c>
      <c r="F126" s="92" t="str">
        <f>'14U BOYS GOLD-16 TEAMS'!F13&amp;""</f>
        <v>7</v>
      </c>
      <c r="G126" s="33" t="str">
        <f>'14U BOYS GOLD-16 TEAMS'!G13&amp;""</f>
        <v>C4-SAN DIEGO DONS 12 RED</v>
      </c>
      <c r="H126" s="92" t="str">
        <f>'14U BOYS GOLD-16 TEAMS'!H13&amp;""</f>
        <v>5</v>
      </c>
      <c r="I126" s="33" t="str">
        <f>'14U BOYS GOLD-16 TEAMS'!I13&amp;""</f>
        <v>W/L C1/C4</v>
      </c>
      <c r="J126" s="33" t="str">
        <f>'14U BOYS GOLD-16 TEAMS'!J13&amp;""</f>
        <v>14U_BOYS_GOLD</v>
      </c>
      <c r="K126" s="33" t="str">
        <f t="shared" si="1"/>
        <v>202603071020</v>
      </c>
    </row>
    <row r="127" spans="1:11">
      <c r="A127" s="91">
        <f>'14U BOYS GOLD-16 TEAMS'!A14</f>
        <v>46088</v>
      </c>
      <c r="B127" s="35">
        <f>'14U BOYS GOLD-16 TEAMS'!B14</f>
        <v>0.46527777777777801</v>
      </c>
      <c r="C127" s="35" t="str">
        <f>'14U BOYS GOLD-16 TEAMS'!C14&amp;""</f>
        <v>SAN JUAN HILLS HS</v>
      </c>
      <c r="D127" s="33" t="str">
        <f>'14U BOYS GOLD-16 TEAMS'!D14&amp;""</f>
        <v>14Bau05</v>
      </c>
      <c r="E127" s="33" t="str">
        <f>'14U BOYS GOLD-16 TEAMS'!E14&amp;""</f>
        <v>D1-PRIDE RED</v>
      </c>
      <c r="F127" s="33" t="str">
        <f>'14U BOYS GOLD-16 TEAMS'!F14&amp;""</f>
        <v>5</v>
      </c>
      <c r="G127" s="33" t="str">
        <f>'14U BOYS GOLD-16 TEAMS'!G14&amp;""</f>
        <v>D4-MISSION 12A</v>
      </c>
      <c r="H127" s="33" t="str">
        <f>'14U BOYS GOLD-16 TEAMS'!H14&amp;""</f>
        <v>7</v>
      </c>
      <c r="I127" s="33" t="str">
        <f>'14U BOYS GOLD-16 TEAMS'!I14&amp;""</f>
        <v>W/L D1/D4</v>
      </c>
      <c r="J127" s="33" t="str">
        <f>'14U BOYS GOLD-16 TEAMS'!J14&amp;""</f>
        <v>14U_BOYS_GOLD</v>
      </c>
      <c r="K127" s="33" t="str">
        <f t="shared" si="1"/>
        <v>202603071110</v>
      </c>
    </row>
    <row r="128" spans="1:11">
      <c r="A128" s="91">
        <f>'14U BOYS GOLD-16 TEAMS'!A15</f>
        <v>46088</v>
      </c>
      <c r="B128" s="35">
        <f>'14U BOYS GOLD-16 TEAMS'!B15</f>
        <v>0.46527777777777801</v>
      </c>
      <c r="C128" s="35" t="str">
        <f>'14U BOYS GOLD-16 TEAMS'!C15&amp;""</f>
        <v>ALISO NIGUEL HS</v>
      </c>
      <c r="D128" s="33" t="str">
        <f>'14U BOYS GOLD-16 TEAMS'!D15&amp;""</f>
        <v>14Bau07</v>
      </c>
      <c r="E128" s="33" t="str">
        <f>'14U BOYS GOLD-16 TEAMS'!E15&amp;""</f>
        <v>B2-MISSION 14B</v>
      </c>
      <c r="F128" s="33" t="str">
        <f>'14U BOYS GOLD-16 TEAMS'!F15&amp;""</f>
        <v>5</v>
      </c>
      <c r="G128" s="33" t="str">
        <f>'14U BOYS GOLD-16 TEAMS'!G15&amp;""</f>
        <v>B3-ORANGE COUNTY WPC B</v>
      </c>
      <c r="H128" s="33" t="str">
        <f>'14U BOYS GOLD-16 TEAMS'!H15&amp;""</f>
        <v>11</v>
      </c>
      <c r="I128" s="33" t="str">
        <f>'14U BOYS GOLD-16 TEAMS'!I15&amp;""</f>
        <v>W/L B2/B3</v>
      </c>
      <c r="J128" s="33" t="str">
        <f>'14U BOYS GOLD-16 TEAMS'!J15&amp;""</f>
        <v>14U_BOYS_GOLD</v>
      </c>
      <c r="K128" s="33" t="str">
        <f t="shared" si="1"/>
        <v>202603071110</v>
      </c>
    </row>
    <row r="129" spans="1:11">
      <c r="A129" s="91">
        <f>'14U BOYS GOLD-16 TEAMS'!A16</f>
        <v>46088</v>
      </c>
      <c r="B129" s="35">
        <f>'14U BOYS GOLD-16 TEAMS'!B16</f>
        <v>0.5</v>
      </c>
      <c r="C129" s="35" t="str">
        <f>'14U BOYS GOLD-16 TEAMS'!C16&amp;""</f>
        <v>SAN JUAN HILLS HS</v>
      </c>
      <c r="D129" s="33" t="str">
        <f>'14U BOYS GOLD-16 TEAMS'!D16&amp;""</f>
        <v>14Bau06</v>
      </c>
      <c r="E129" s="33" t="str">
        <f>'14U BOYS GOLD-16 TEAMS'!E16&amp;""</f>
        <v>D2-ALAMEDA</v>
      </c>
      <c r="F129" s="33" t="str">
        <f>'14U BOYS GOLD-16 TEAMS'!F16&amp;""</f>
        <v>11</v>
      </c>
      <c r="G129" s="33" t="str">
        <f>'14U BOYS GOLD-16 TEAMS'!G16&amp;""</f>
        <v>D3-CDM B</v>
      </c>
      <c r="H129" s="33" t="str">
        <f>'14U BOYS GOLD-16 TEAMS'!H16&amp;""</f>
        <v>3</v>
      </c>
      <c r="I129" s="33" t="str">
        <f>'14U BOYS GOLD-16 TEAMS'!I16&amp;""</f>
        <v>W/L D2/D3</v>
      </c>
      <c r="J129" s="33" t="str">
        <f>'14U BOYS GOLD-16 TEAMS'!J16&amp;""</f>
        <v>14U_BOYS_GOLD</v>
      </c>
      <c r="K129" s="33" t="str">
        <f t="shared" si="1"/>
        <v>202603071200</v>
      </c>
    </row>
    <row r="130" spans="1:11">
      <c r="A130" s="91">
        <f>'14U BOYS GOLD-16 TEAMS'!A17</f>
        <v>46088</v>
      </c>
      <c r="B130" s="35">
        <f>'14U BOYS GOLD-16 TEAMS'!B17</f>
        <v>0.5</v>
      </c>
      <c r="C130" s="35" t="str">
        <f>'14U BOYS GOLD-16 TEAMS'!C17&amp;""</f>
        <v>ALISO NIGUEL HS</v>
      </c>
      <c r="D130" s="33" t="str">
        <f>'14U BOYS GOLD-16 TEAMS'!D17&amp;""</f>
        <v>14Bau08</v>
      </c>
      <c r="E130" s="33" t="str">
        <f>'14U BOYS GOLD-16 TEAMS'!E17&amp;""</f>
        <v>B1-SD ECA</v>
      </c>
      <c r="F130" s="33" t="str">
        <f>'14U BOYS GOLD-16 TEAMS'!F17&amp;""</f>
        <v>16</v>
      </c>
      <c r="G130" s="33" t="str">
        <f>'14U BOYS GOLD-16 TEAMS'!G17&amp;""</f>
        <v>B4-SOCAL 12 BLACK</v>
      </c>
      <c r="H130" s="33" t="str">
        <f>'14U BOYS GOLD-16 TEAMS'!H17&amp;""</f>
        <v>8</v>
      </c>
      <c r="I130" s="33" t="str">
        <f>'14U BOYS GOLD-16 TEAMS'!I17&amp;""</f>
        <v>W/L B1/B4</v>
      </c>
      <c r="J130" s="33" t="str">
        <f>'14U BOYS GOLD-16 TEAMS'!J17&amp;""</f>
        <v>14U_BOYS_GOLD</v>
      </c>
      <c r="K130" s="33" t="str">
        <f t="shared" si="1"/>
        <v>202603071200</v>
      </c>
    </row>
    <row r="131" spans="1:11">
      <c r="A131" s="91">
        <f>'14U BOYS GOLD-16 TEAMS'!A18</f>
        <v>46088</v>
      </c>
      <c r="B131" s="35">
        <f>'14U BOYS GOLD-16 TEAMS'!B18</f>
        <v>0.53472222222222199</v>
      </c>
      <c r="C131" s="35" t="str">
        <f>'14U BOYS GOLD-16 TEAMS'!C18&amp;""</f>
        <v>ALISO NIGUEL HS</v>
      </c>
      <c r="D131" s="33" t="str">
        <f>'14U BOYS GOLD-16 TEAMS'!D18&amp;""</f>
        <v>14Bau09</v>
      </c>
      <c r="E131" s="33" t="str">
        <f>'14U BOYS GOLD-16 TEAMS'!E18&amp;""</f>
        <v>L#1-TRILOGY BLACK</v>
      </c>
      <c r="F131" s="33" t="str">
        <f>'14U BOYS GOLD-16 TEAMS'!F18&amp;""</f>
        <v>5</v>
      </c>
      <c r="G131" s="33" t="str">
        <f>'14U BOYS GOLD-16 TEAMS'!G18&amp;""</f>
        <v>L#2-LAWPC</v>
      </c>
      <c r="H131" s="33" t="str">
        <f>'14U BOYS GOLD-16 TEAMS'!H18&amp;""</f>
        <v>0</v>
      </c>
      <c r="I131" s="33" t="str">
        <f>'14U BOYS GOLD-16 TEAMS'!I18&amp;""</f>
        <v>3rd/4thA (7-1 LAWP)</v>
      </c>
      <c r="J131" s="33" t="str">
        <f>'14U BOYS GOLD-16 TEAMS'!J18&amp;""</f>
        <v>14U_BOYS_GOLD</v>
      </c>
      <c r="K131" s="33" t="str">
        <f t="shared" ref="K131:K194" si="2">TEXT(DATE(2026, MONTH(A131), DAY(A131)) + TIME(HOUR(B131), MINUTE(B131), 0), "yyyymmddhhmm")</f>
        <v>202603071250</v>
      </c>
    </row>
    <row r="132" spans="1:11">
      <c r="A132" s="91">
        <f>'14U BOYS GOLD-16 TEAMS'!A19</f>
        <v>46088</v>
      </c>
      <c r="B132" s="35">
        <f>'14U BOYS GOLD-16 TEAMS'!B19</f>
        <v>0.53472222222222199</v>
      </c>
      <c r="C132" s="35" t="str">
        <f>'14U BOYS GOLD-16 TEAMS'!C19&amp;""</f>
        <v>SAN JUAN HILLS HS</v>
      </c>
      <c r="D132" s="33" t="str">
        <f>'14U BOYS GOLD-16 TEAMS'!D19&amp;""</f>
        <v>14Bau11</v>
      </c>
      <c r="E132" s="33" t="str">
        <f>'14U BOYS GOLD-16 TEAMS'!E19&amp;""</f>
        <v>L#3-NEWPORT BEACH WHITE</v>
      </c>
      <c r="F132" s="33" t="str">
        <f>'14U BOYS GOLD-16 TEAMS'!F19&amp;""</f>
        <v>7</v>
      </c>
      <c r="G132" s="33" t="str">
        <f>'14U BOYS GOLD-16 TEAMS'!G19&amp;""</f>
        <v>L#4-SAN DIEGO DONS 12 RED</v>
      </c>
      <c r="H132" s="33" t="str">
        <f>'14U BOYS GOLD-16 TEAMS'!H19&amp;""</f>
        <v>3</v>
      </c>
      <c r="I132" s="33" t="str">
        <f>'14U BOYS GOLD-16 TEAMS'!I19&amp;""</f>
        <v>3rd/4thC</v>
      </c>
      <c r="J132" s="33" t="str">
        <f>'14U BOYS GOLD-16 TEAMS'!J19&amp;""</f>
        <v>14U_BOYS_GOLD</v>
      </c>
      <c r="K132" s="33" t="str">
        <f t="shared" si="2"/>
        <v>202603071250</v>
      </c>
    </row>
    <row r="133" spans="1:11">
      <c r="A133" s="91">
        <f>'14U BOYS GOLD-16 TEAMS'!A20</f>
        <v>46088</v>
      </c>
      <c r="B133" s="35">
        <f>'14U BOYS GOLD-16 TEAMS'!B20</f>
        <v>0.56944444444444497</v>
      </c>
      <c r="C133" s="35" t="str">
        <f>'14U BOYS GOLD-16 TEAMS'!C20&amp;""</f>
        <v>ALISO NIGUEL HS</v>
      </c>
      <c r="D133" s="33" t="str">
        <f>'14U BOYS GOLD-16 TEAMS'!D20&amp;""</f>
        <v>14Bau10</v>
      </c>
      <c r="E133" s="33" t="str">
        <f>'14U BOYS GOLD-16 TEAMS'!E20&amp;""</f>
        <v>W#1-SAN DIEGO DONS 14 BLACK</v>
      </c>
      <c r="F133" s="33" t="str">
        <f>'14U BOYS GOLD-16 TEAMS'!F20&amp;""</f>
        <v>5</v>
      </c>
      <c r="G133" s="33" t="str">
        <f>'14U BOYS GOLD-16 TEAMS'!G20&amp;""</f>
        <v>W#2-NORTH IRVINE RED</v>
      </c>
      <c r="H133" s="33" t="str">
        <f>'14U BOYS GOLD-16 TEAMS'!H20&amp;""</f>
        <v>8</v>
      </c>
      <c r="I133" s="33" t="str">
        <f>'14U BOYS GOLD-16 TEAMS'!I20&amp;""</f>
        <v>1st/2ndA</v>
      </c>
      <c r="J133" s="33" t="str">
        <f>'14U BOYS GOLD-16 TEAMS'!J20&amp;""</f>
        <v>14U_BOYS_GOLD</v>
      </c>
      <c r="K133" s="33" t="str">
        <f t="shared" si="2"/>
        <v>202603071340</v>
      </c>
    </row>
    <row r="134" spans="1:11">
      <c r="A134" s="91">
        <f>'14U BOYS GOLD-16 TEAMS'!A21</f>
        <v>46088</v>
      </c>
      <c r="B134" s="35">
        <f>'14U BOYS GOLD-16 TEAMS'!B21</f>
        <v>0.56944444444444497</v>
      </c>
      <c r="C134" s="35" t="str">
        <f>'14U BOYS GOLD-16 TEAMS'!C21&amp;""</f>
        <v>SAN JUAN HILLS HS</v>
      </c>
      <c r="D134" s="33" t="str">
        <f>'14U BOYS GOLD-16 TEAMS'!D21&amp;""</f>
        <v>14Bau12</v>
      </c>
      <c r="E134" s="33" t="str">
        <f>'14U BOYS GOLD-16 TEAMS'!E21&amp;""</f>
        <v>W#3-VANGUARD SILVER</v>
      </c>
      <c r="F134" s="33" t="str">
        <f>'14U BOYS GOLD-16 TEAMS'!F21&amp;""</f>
        <v>7</v>
      </c>
      <c r="G134" s="33" t="str">
        <f>'14U BOYS GOLD-16 TEAMS'!G21&amp;""</f>
        <v>W#4-HIELAND</v>
      </c>
      <c r="H134" s="33" t="str">
        <f>'14U BOYS GOLD-16 TEAMS'!H21&amp;""</f>
        <v>4</v>
      </c>
      <c r="I134" s="33" t="str">
        <f>'14U BOYS GOLD-16 TEAMS'!I21&amp;""</f>
        <v>1st/2ndC</v>
      </c>
      <c r="J134" s="33" t="str">
        <f>'14U BOYS GOLD-16 TEAMS'!J21&amp;""</f>
        <v>14U_BOYS_GOLD</v>
      </c>
      <c r="K134" s="33" t="str">
        <f t="shared" si="2"/>
        <v>202603071340</v>
      </c>
    </row>
    <row r="135" spans="1:11">
      <c r="A135" s="91">
        <f>'14U BOYS GOLD-16 TEAMS'!A22</f>
        <v>46088</v>
      </c>
      <c r="B135" s="35">
        <f>'14U BOYS GOLD-16 TEAMS'!B22</f>
        <v>0.60416666666666696</v>
      </c>
      <c r="C135" s="35" t="str">
        <f>'14U BOYS GOLD-16 TEAMS'!C22&amp;""</f>
        <v>SAN JUAN HILLS HS</v>
      </c>
      <c r="D135" s="33" t="str">
        <f>'14U BOYS GOLD-16 TEAMS'!D22&amp;""</f>
        <v>14Bau13</v>
      </c>
      <c r="E135" s="33" t="str">
        <f>'14U BOYS GOLD-16 TEAMS'!E22&amp;""</f>
        <v>L#5-PRIDE RED</v>
      </c>
      <c r="F135" s="33" t="str">
        <f>'14U BOYS GOLD-16 TEAMS'!F22&amp;""</f>
        <v>9</v>
      </c>
      <c r="G135" s="33" t="str">
        <f>'14U BOYS GOLD-16 TEAMS'!G22&amp;""</f>
        <v>L#6-CDM B</v>
      </c>
      <c r="H135" s="33" t="str">
        <f>'14U BOYS GOLD-16 TEAMS'!H22&amp;""</f>
        <v>4</v>
      </c>
      <c r="I135" s="33" t="str">
        <f>'14U BOYS GOLD-16 TEAMS'!I22&amp;""</f>
        <v>3rd/4thD</v>
      </c>
      <c r="J135" s="33" t="str">
        <f>'14U BOYS GOLD-16 TEAMS'!J22&amp;""</f>
        <v>14U_BOYS_GOLD</v>
      </c>
      <c r="K135" s="33" t="str">
        <f t="shared" si="2"/>
        <v>202603071430</v>
      </c>
    </row>
    <row r="136" spans="1:11">
      <c r="A136" s="91">
        <f>'14U BOYS GOLD-16 TEAMS'!A23</f>
        <v>46088</v>
      </c>
      <c r="B136" s="35">
        <f>'14U BOYS GOLD-16 TEAMS'!B23</f>
        <v>0.60416666666666696</v>
      </c>
      <c r="C136" s="35" t="str">
        <f>'14U BOYS GOLD-16 TEAMS'!C23&amp;""</f>
        <v>ALISO NIGUEL HS</v>
      </c>
      <c r="D136" s="33" t="str">
        <f>'14U BOYS GOLD-16 TEAMS'!D23&amp;""</f>
        <v>14Bau15</v>
      </c>
      <c r="E136" s="33" t="str">
        <f>'14U BOYS GOLD-16 TEAMS'!E23&amp;""</f>
        <v>L#7-MISSION 14B</v>
      </c>
      <c r="F136" s="33" t="str">
        <f>'14U BOYS GOLD-16 TEAMS'!F23&amp;""</f>
        <v>8</v>
      </c>
      <c r="G136" s="33" t="str">
        <f>'14U BOYS GOLD-16 TEAMS'!G23&amp;""</f>
        <v>L#8-SOCAL 12 BLACK</v>
      </c>
      <c r="H136" s="33" t="str">
        <f>'14U BOYS GOLD-16 TEAMS'!H23&amp;""</f>
        <v>11</v>
      </c>
      <c r="I136" s="33" t="str">
        <f>'14U BOYS GOLD-16 TEAMS'!I23&amp;""</f>
        <v>3rd/4thB</v>
      </c>
      <c r="J136" s="33" t="str">
        <f>'14U BOYS GOLD-16 TEAMS'!J23&amp;""</f>
        <v>14U_BOYS_GOLD</v>
      </c>
      <c r="K136" s="33" t="str">
        <f t="shared" si="2"/>
        <v>202603071430</v>
      </c>
    </row>
    <row r="137" spans="1:11">
      <c r="A137" s="91">
        <f>'14U BOYS GOLD-16 TEAMS'!A24</f>
        <v>46088</v>
      </c>
      <c r="B137" s="35">
        <f>'14U BOYS GOLD-16 TEAMS'!B24</f>
        <v>0.63888888888888895</v>
      </c>
      <c r="C137" s="35" t="str">
        <f>'14U BOYS GOLD-16 TEAMS'!C24&amp;""</f>
        <v>SAN JUAN HILLS HS</v>
      </c>
      <c r="D137" s="33" t="str">
        <f>'14U BOYS GOLD-16 TEAMS'!D24&amp;""</f>
        <v>14Bau14</v>
      </c>
      <c r="E137" s="33" t="str">
        <f>'14U BOYS GOLD-16 TEAMS'!E24&amp;""</f>
        <v>W#5-MISSION 12A</v>
      </c>
      <c r="F137" s="33" t="str">
        <f>'14U BOYS GOLD-16 TEAMS'!F24&amp;""</f>
        <v>7</v>
      </c>
      <c r="G137" s="33" t="str">
        <f>'14U BOYS GOLD-16 TEAMS'!G24&amp;""</f>
        <v>W#6-ALAMEDA</v>
      </c>
      <c r="H137" s="33" t="str">
        <f>'14U BOYS GOLD-16 TEAMS'!H24&amp;""</f>
        <v>8</v>
      </c>
      <c r="I137" s="33" t="str">
        <f>'14U BOYS GOLD-16 TEAMS'!I24&amp;""</f>
        <v>1st/2ndD</v>
      </c>
      <c r="J137" s="33" t="str">
        <f>'14U BOYS GOLD-16 TEAMS'!J24&amp;""</f>
        <v>14U_BOYS_GOLD</v>
      </c>
      <c r="K137" s="33" t="str">
        <f t="shared" si="2"/>
        <v>202603071520</v>
      </c>
    </row>
    <row r="138" spans="1:11">
      <c r="A138" s="91">
        <f>'14U BOYS GOLD-16 TEAMS'!A25</f>
        <v>46088</v>
      </c>
      <c r="B138" s="35">
        <f>'14U BOYS GOLD-16 TEAMS'!B25</f>
        <v>0.63888888888888895</v>
      </c>
      <c r="C138" s="35" t="str">
        <f>'14U BOYS GOLD-16 TEAMS'!C25&amp;""</f>
        <v>ALISO NIGUEL HS</v>
      </c>
      <c r="D138" s="33" t="str">
        <f>'14U BOYS GOLD-16 TEAMS'!D25&amp;""</f>
        <v>14Bau16</v>
      </c>
      <c r="E138" s="33" t="str">
        <f>'14U BOYS GOLD-16 TEAMS'!E25&amp;""</f>
        <v>W#7-ORANGE COUNTY WPC B</v>
      </c>
      <c r="F138" s="33" t="str">
        <f>'14U BOYS GOLD-16 TEAMS'!F25&amp;""</f>
        <v>14</v>
      </c>
      <c r="G138" s="33" t="str">
        <f>'14U BOYS GOLD-16 TEAMS'!G25&amp;""</f>
        <v>W#8-SD ECA</v>
      </c>
      <c r="H138" s="33" t="str">
        <f>'14U BOYS GOLD-16 TEAMS'!H25&amp;""</f>
        <v>8</v>
      </c>
      <c r="I138" s="33" t="str">
        <f>'14U BOYS GOLD-16 TEAMS'!I25&amp;""</f>
        <v>1st/2ndB</v>
      </c>
      <c r="J138" s="33" t="str">
        <f>'14U BOYS GOLD-16 TEAMS'!J25&amp;""</f>
        <v>14U_BOYS_GOLD</v>
      </c>
      <c r="K138" s="33" t="str">
        <f t="shared" si="2"/>
        <v>202603071520</v>
      </c>
    </row>
    <row r="139" spans="1:11">
      <c r="A139" s="91">
        <f>'14U BOYS GOLD-16 TEAMS'!A28</f>
        <v>46089</v>
      </c>
      <c r="B139" s="35">
        <f>'14U BOYS GOLD-16 TEAMS'!B28</f>
        <v>0.3263888888888889</v>
      </c>
      <c r="C139" s="91" t="str">
        <f>'14U BOYS GOLD-16 TEAMS'!C28&amp;""</f>
        <v>ALISO NIGUEL HS</v>
      </c>
      <c r="D139" s="35" t="str">
        <f>'14U BOYS GOLD-16 TEAMS'!D28&amp;""</f>
        <v>14Bau29</v>
      </c>
      <c r="E139" s="35" t="str">
        <f>'14U BOYS GOLD-16 TEAMS'!E28&amp;""</f>
        <v>4thD-CDM B</v>
      </c>
      <c r="F139" s="33" t="str">
        <f>'14U BOYS GOLD-16 TEAMS'!F28&amp;""</f>
        <v>1</v>
      </c>
      <c r="G139" s="33" t="str">
        <f>'14U BOYS GOLD-16 TEAMS'!G28&amp;""</f>
        <v>4thA-LAWPC</v>
      </c>
      <c r="H139" s="33" t="str">
        <f>'14U BOYS GOLD-16 TEAMS'!H28&amp;""</f>
        <v>10</v>
      </c>
      <c r="I139" s="33" t="str">
        <f>'14U BOYS GOLD-16 TEAMS'!I28&amp;""</f>
        <v>13-16 semi</v>
      </c>
      <c r="J139" s="33" t="str">
        <f>'14U BOYS GOLD-16 TEAMS'!J28&amp;""</f>
        <v>14U_BOYS_GOLD</v>
      </c>
      <c r="K139" s="33" t="str">
        <f t="shared" si="2"/>
        <v>202603080750</v>
      </c>
    </row>
    <row r="140" spans="1:11">
      <c r="A140" s="91">
        <f>'14U BOYS GOLD-16 TEAMS'!A29</f>
        <v>46089</v>
      </c>
      <c r="B140" s="35">
        <f>'14U BOYS GOLD-16 TEAMS'!B29</f>
        <v>0.3263888888888889</v>
      </c>
      <c r="C140" s="91" t="str">
        <f>'14U BOYS GOLD-16 TEAMS'!C29&amp;""</f>
        <v>SAN JUAN HILLS HS</v>
      </c>
      <c r="D140" s="35" t="str">
        <f>'14U BOYS GOLD-16 TEAMS'!D29&amp;""</f>
        <v>14Bau27</v>
      </c>
      <c r="E140" s="35" t="str">
        <f>'14U BOYS GOLD-16 TEAMS'!E29&amp;""</f>
        <v>3rdA-TRILOGY BLACK</v>
      </c>
      <c r="F140" s="33" t="str">
        <f>'14U BOYS GOLD-16 TEAMS'!F29&amp;""</f>
        <v>4</v>
      </c>
      <c r="G140" s="33" t="str">
        <f>'14U BOYS GOLD-16 TEAMS'!G29&amp;""</f>
        <v>3rdD-PRIDE RED</v>
      </c>
      <c r="H140" s="33" t="str">
        <f>'14U BOYS GOLD-16 TEAMS'!H29&amp;""</f>
        <v>6</v>
      </c>
      <c r="I140" s="33" t="str">
        <f>'14U BOYS GOLD-16 TEAMS'!I29&amp;""</f>
        <v>9-12 semi 3A/3D</v>
      </c>
      <c r="J140" s="33" t="str">
        <f>'14U BOYS GOLD-16 TEAMS'!J29&amp;""</f>
        <v>14U_BOYS_GOLD</v>
      </c>
      <c r="K140" s="33" t="str">
        <f t="shared" si="2"/>
        <v>202603080750</v>
      </c>
    </row>
    <row r="141" spans="1:11">
      <c r="A141" s="91">
        <f>'14U BOYS GOLD-16 TEAMS'!A30</f>
        <v>46089</v>
      </c>
      <c r="B141" s="35">
        <f>'14U BOYS GOLD-16 TEAMS'!B30</f>
        <v>0.36111111111111099</v>
      </c>
      <c r="C141" s="91" t="str">
        <f>'14U BOYS GOLD-16 TEAMS'!C30&amp;""</f>
        <v>ALISO NIGUEL HS</v>
      </c>
      <c r="D141" s="35" t="str">
        <f>'14U BOYS GOLD-16 TEAMS'!D30&amp;""</f>
        <v>14Bau30</v>
      </c>
      <c r="E141" s="35" t="str">
        <f>'14U BOYS GOLD-16 TEAMS'!E30&amp;""</f>
        <v>4thC-SAN DIEGO DONS 12 RED</v>
      </c>
      <c r="F141" s="33" t="str">
        <f>'14U BOYS GOLD-16 TEAMS'!F30&amp;""</f>
        <v>3</v>
      </c>
      <c r="G141" s="33" t="str">
        <f>'14U BOYS GOLD-16 TEAMS'!G30&amp;""</f>
        <v>4thB-MISSION 14B</v>
      </c>
      <c r="H141" s="33" t="str">
        <f>'14U BOYS GOLD-16 TEAMS'!H30&amp;""</f>
        <v>7</v>
      </c>
      <c r="I141" s="33" t="str">
        <f>'14U BOYS GOLD-16 TEAMS'!I30&amp;""</f>
        <v>13-16 semi</v>
      </c>
      <c r="J141" s="33" t="str">
        <f>'14U BOYS GOLD-16 TEAMS'!J30&amp;""</f>
        <v>14U_BOYS_GOLD</v>
      </c>
      <c r="K141" s="33" t="str">
        <f t="shared" si="2"/>
        <v>202603080840</v>
      </c>
    </row>
    <row r="142" spans="1:11">
      <c r="A142" s="91">
        <f>'14U BOYS GOLD-16 TEAMS'!A31</f>
        <v>46089</v>
      </c>
      <c r="B142" s="35">
        <f>'14U BOYS GOLD-16 TEAMS'!B31</f>
        <v>0.36111111111111099</v>
      </c>
      <c r="C142" s="91" t="str">
        <f>'14U BOYS GOLD-16 TEAMS'!C31&amp;""</f>
        <v>SAN JUAN HILLS HS</v>
      </c>
      <c r="D142" s="35" t="str">
        <f>'14U BOYS GOLD-16 TEAMS'!D31&amp;""</f>
        <v>14Bau28</v>
      </c>
      <c r="E142" s="35" t="str">
        <f>'14U BOYS GOLD-16 TEAMS'!E31&amp;""</f>
        <v>3rdB-SOCAL 12 BLACK</v>
      </c>
      <c r="F142" s="33" t="str">
        <f>'14U BOYS GOLD-16 TEAMS'!F31&amp;""</f>
        <v>8</v>
      </c>
      <c r="G142" s="33" t="str">
        <f>'14U BOYS GOLD-16 TEAMS'!G31&amp;""</f>
        <v>3rdC-NEWPORT BEACH WHITE</v>
      </c>
      <c r="H142" s="33" t="str">
        <f>'14U BOYS GOLD-16 TEAMS'!H31&amp;""</f>
        <v>11</v>
      </c>
      <c r="I142" s="33" t="str">
        <f>'14U BOYS GOLD-16 TEAMS'!I31&amp;""</f>
        <v>9-12 semi 3B/3C</v>
      </c>
      <c r="J142" s="33" t="str">
        <f>'14U BOYS GOLD-16 TEAMS'!J31&amp;""</f>
        <v>14U_BOYS_GOLD</v>
      </c>
      <c r="K142" s="33" t="str">
        <f t="shared" si="2"/>
        <v>202603080840</v>
      </c>
    </row>
    <row r="143" spans="1:11">
      <c r="A143" s="91">
        <f>'14U BOYS GOLD-16 TEAMS'!A32</f>
        <v>46089</v>
      </c>
      <c r="B143" s="35">
        <f>'14U BOYS GOLD-16 TEAMS'!B32</f>
        <v>0.39583333333333398</v>
      </c>
      <c r="C143" s="91" t="str">
        <f>'14U BOYS GOLD-16 TEAMS'!C32&amp;""</f>
        <v>SAN JUAN HILLS HS</v>
      </c>
      <c r="D143" s="35" t="str">
        <f>'14U BOYS GOLD-16 TEAMS'!D32&amp;""</f>
        <v>14Bau21</v>
      </c>
      <c r="E143" s="35" t="str">
        <f>'14U BOYS GOLD-16 TEAMS'!E32&amp;""</f>
        <v>2ndD-MISSION 12A</v>
      </c>
      <c r="F143" s="33" t="str">
        <f>'14U BOYS GOLD-16 TEAMS'!F32&amp;""</f>
        <v>3</v>
      </c>
      <c r="G143" s="33" t="str">
        <f>'14U BOYS GOLD-16 TEAMS'!G32&amp;""</f>
        <v>2ndA-SAN DIEGO DONS 14 BLACK</v>
      </c>
      <c r="H143" s="33" t="str">
        <f>'14U BOYS GOLD-16 TEAMS'!H32&amp;""</f>
        <v>8</v>
      </c>
      <c r="I143" s="33" t="str">
        <f>'14U BOYS GOLD-16 TEAMS'!I32&amp;""</f>
        <v>5-8 semi 2D/2A</v>
      </c>
      <c r="J143" s="33" t="str">
        <f>'14U BOYS GOLD-16 TEAMS'!J32&amp;""</f>
        <v>14U_BOYS_GOLD</v>
      </c>
      <c r="K143" s="33" t="str">
        <f t="shared" si="2"/>
        <v>202603080930</v>
      </c>
    </row>
    <row r="144" spans="1:11">
      <c r="A144" s="91">
        <f>'14U BOYS GOLD-16 TEAMS'!A33</f>
        <v>46089</v>
      </c>
      <c r="B144" s="35">
        <f>'14U BOYS GOLD-16 TEAMS'!B33</f>
        <v>0.43055555555555602</v>
      </c>
      <c r="C144" s="91" t="str">
        <f>'14U BOYS GOLD-16 TEAMS'!C33&amp;""</f>
        <v>SAN JUAN HILLS HS</v>
      </c>
      <c r="D144" s="35" t="str">
        <f>'14U BOYS GOLD-16 TEAMS'!D33&amp;""</f>
        <v>14Bau22</v>
      </c>
      <c r="E144" s="35" t="str">
        <f>'14U BOYS GOLD-16 TEAMS'!E33&amp;""</f>
        <v>2ndC-HIELAND</v>
      </c>
      <c r="F144" s="33" t="str">
        <f>'14U BOYS GOLD-16 TEAMS'!F33&amp;""</f>
        <v>8</v>
      </c>
      <c r="G144" s="33" t="str">
        <f>'14U BOYS GOLD-16 TEAMS'!G33&amp;""</f>
        <v>2ndB-SD ECA</v>
      </c>
      <c r="H144" s="33" t="str">
        <f>'14U BOYS GOLD-16 TEAMS'!H33&amp;""</f>
        <v>10</v>
      </c>
      <c r="I144" s="33" t="str">
        <f>'14U BOYS GOLD-16 TEAMS'!I33&amp;""</f>
        <v>5-8 semi 2C/2B</v>
      </c>
      <c r="J144" s="33" t="str">
        <f>'14U BOYS GOLD-16 TEAMS'!J33&amp;""</f>
        <v>14U_BOYS_GOLD</v>
      </c>
      <c r="K144" s="33" t="str">
        <f t="shared" si="2"/>
        <v>202603081020</v>
      </c>
    </row>
    <row r="145" spans="1:11">
      <c r="A145" s="91">
        <f>'14U BOYS GOLD-16 TEAMS'!A34</f>
        <v>46089</v>
      </c>
      <c r="B145" s="35">
        <f>'14U BOYS GOLD-16 TEAMS'!B34</f>
        <v>0.46527777777777801</v>
      </c>
      <c r="C145" s="91" t="str">
        <f>'14U BOYS GOLD-16 TEAMS'!C34&amp;""</f>
        <v>SAN JUAN HILLS HS</v>
      </c>
      <c r="D145" s="35" t="str">
        <f>'14U BOYS GOLD-16 TEAMS'!D34&amp;""</f>
        <v>14Bau19</v>
      </c>
      <c r="E145" s="35" t="str">
        <f>'14U BOYS GOLD-16 TEAMS'!E34&amp;""</f>
        <v>1stA-NORTH IRVINE RED</v>
      </c>
      <c r="F145" s="33" t="str">
        <f>'14U BOYS GOLD-16 TEAMS'!F34&amp;""</f>
        <v>7</v>
      </c>
      <c r="G145" s="33" t="str">
        <f>'14U BOYS GOLD-16 TEAMS'!G34&amp;""</f>
        <v>1stD-ALAMEDA</v>
      </c>
      <c r="H145" s="33" t="str">
        <f>'14U BOYS GOLD-16 TEAMS'!H34&amp;""</f>
        <v>4</v>
      </c>
      <c r="I145" s="33" t="str">
        <f>'14U BOYS GOLD-16 TEAMS'!I34&amp;""</f>
        <v>1-4 semi 1A/1D</v>
      </c>
      <c r="J145" s="33" t="str">
        <f>'14U BOYS GOLD-16 TEAMS'!J34&amp;""</f>
        <v>14U_BOYS_GOLD</v>
      </c>
      <c r="K145" s="33" t="str">
        <f t="shared" si="2"/>
        <v>202603081110</v>
      </c>
    </row>
    <row r="146" spans="1:11">
      <c r="A146" s="91">
        <f>'14U BOYS GOLD-16 TEAMS'!A35</f>
        <v>46089</v>
      </c>
      <c r="B146" s="35">
        <f>'14U BOYS GOLD-16 TEAMS'!B35</f>
        <v>0.46527777777777801</v>
      </c>
      <c r="C146" s="91" t="str">
        <f>'14U BOYS GOLD-16 TEAMS'!C35&amp;""</f>
        <v>ALISO NIGUEL HS</v>
      </c>
      <c r="D146" s="35" t="str">
        <f>'14U BOYS GOLD-16 TEAMS'!D35&amp;""</f>
        <v>14Bau34</v>
      </c>
      <c r="E146" s="35" t="str">
        <f>'14U BOYS GOLD-16 TEAMS'!E35&amp;""</f>
        <v>W#29-LAWPC</v>
      </c>
      <c r="F146" s="33" t="str">
        <f>'14U BOYS GOLD-16 TEAMS'!F35&amp;""</f>
        <v>10</v>
      </c>
      <c r="G146" s="33" t="str">
        <f>'14U BOYS GOLD-16 TEAMS'!G35&amp;""</f>
        <v>W#30-MISSION 14B</v>
      </c>
      <c r="H146" s="33" t="str">
        <f>'14U BOYS GOLD-16 TEAMS'!H35&amp;""</f>
        <v>12</v>
      </c>
      <c r="I146" s="33" t="str">
        <f>'14U BOYS GOLD-16 TEAMS'!I35&amp;""</f>
        <v>13th</v>
      </c>
      <c r="J146" s="33" t="str">
        <f>'14U BOYS GOLD-16 TEAMS'!J35&amp;""</f>
        <v>14U_BOYS_GOLD</v>
      </c>
      <c r="K146" s="33" t="str">
        <f t="shared" si="2"/>
        <v>202603081110</v>
      </c>
    </row>
    <row r="147" spans="1:11">
      <c r="A147" s="91">
        <f>'14U BOYS GOLD-16 TEAMS'!A36</f>
        <v>46089</v>
      </c>
      <c r="B147" s="35">
        <f>'14U BOYS GOLD-16 TEAMS'!B36</f>
        <v>0.5</v>
      </c>
      <c r="C147" s="91" t="str">
        <f>'14U BOYS GOLD-16 TEAMS'!C36&amp;""</f>
        <v>ALISO NIGUEL HS</v>
      </c>
      <c r="D147" s="35" t="str">
        <f>'14U BOYS GOLD-16 TEAMS'!D36&amp;""</f>
        <v>14Bau33</v>
      </c>
      <c r="E147" s="35" t="str">
        <f>'14U BOYS GOLD-16 TEAMS'!E36&amp;""</f>
        <v>L#29-CDM B</v>
      </c>
      <c r="F147" s="33" t="str">
        <f>'14U BOYS GOLD-16 TEAMS'!F36&amp;""</f>
        <v>3</v>
      </c>
      <c r="G147" s="33" t="str">
        <f>'14U BOYS GOLD-16 TEAMS'!G36&amp;""</f>
        <v>L#30-SAN DIEGO DONS 12 RED</v>
      </c>
      <c r="H147" s="33" t="str">
        <f>'14U BOYS GOLD-16 TEAMS'!H36&amp;""</f>
        <v>13</v>
      </c>
      <c r="I147" s="33" t="str">
        <f>'14U BOYS GOLD-16 TEAMS'!I36&amp;""</f>
        <v>15th</v>
      </c>
      <c r="J147" s="33" t="str">
        <f>'14U BOYS GOLD-16 TEAMS'!J36&amp;""</f>
        <v>14U_BOYS_GOLD</v>
      </c>
      <c r="K147" s="33" t="str">
        <f t="shared" si="2"/>
        <v>202603081200</v>
      </c>
    </row>
    <row r="148" spans="1:11">
      <c r="A148" s="91">
        <f>'14U BOYS GOLD-16 TEAMS'!A37</f>
        <v>46089</v>
      </c>
      <c r="B148" s="35">
        <f>'14U BOYS GOLD-16 TEAMS'!B37</f>
        <v>0.5</v>
      </c>
      <c r="C148" s="91" t="str">
        <f>'14U BOYS GOLD-16 TEAMS'!C37&amp;""</f>
        <v>SAN JUAN HILLS HS</v>
      </c>
      <c r="D148" s="35" t="str">
        <f>'14U BOYS GOLD-16 TEAMS'!D37&amp;""</f>
        <v>14Bau20</v>
      </c>
      <c r="E148" s="35" t="str">
        <f>'14U BOYS GOLD-16 TEAMS'!E37&amp;""</f>
        <v>1stB-ORANGE COUNTY WPC B</v>
      </c>
      <c r="F148" s="33" t="str">
        <f>'14U BOYS GOLD-16 TEAMS'!F37&amp;""</f>
        <v>6</v>
      </c>
      <c r="G148" s="33" t="str">
        <f>'14U BOYS GOLD-16 TEAMS'!G37&amp;""</f>
        <v>1stC-VANGUARD SILVER</v>
      </c>
      <c r="H148" s="33" t="str">
        <f>'14U BOYS GOLD-16 TEAMS'!H37&amp;""</f>
        <v>3</v>
      </c>
      <c r="I148" s="33" t="str">
        <f>'14U BOYS GOLD-16 TEAMS'!I37&amp;""</f>
        <v>1-4 semi 1B/1C</v>
      </c>
      <c r="J148" s="33" t="str">
        <f>'14U BOYS GOLD-16 TEAMS'!J37&amp;""</f>
        <v>14U_BOYS_GOLD</v>
      </c>
      <c r="K148" s="33" t="str">
        <f t="shared" si="2"/>
        <v>202603081200</v>
      </c>
    </row>
    <row r="149" spans="1:11">
      <c r="A149" s="91">
        <f>'14U BOYS GOLD-16 TEAMS'!A38</f>
        <v>46089</v>
      </c>
      <c r="B149" s="35">
        <f>'14U BOYS GOLD-16 TEAMS'!B38</f>
        <v>0.53472222222222199</v>
      </c>
      <c r="C149" s="91" t="str">
        <f>'14U BOYS GOLD-16 TEAMS'!C38&amp;""</f>
        <v>SAN JUAN HILLS HS</v>
      </c>
      <c r="D149" s="35" t="str">
        <f>'14U BOYS GOLD-16 TEAMS'!D38&amp;""</f>
        <v>14Bau25</v>
      </c>
      <c r="E149" s="35" t="str">
        <f>'14U BOYS GOLD-16 TEAMS'!E38&amp;""</f>
        <v>W#21-SAN DIEGO DONS 14 BLACK</v>
      </c>
      <c r="F149" s="33" t="str">
        <f>'14U BOYS GOLD-16 TEAMS'!F38&amp;""</f>
        <v>10</v>
      </c>
      <c r="G149" s="33" t="str">
        <f>'14U BOYS GOLD-16 TEAMS'!G38&amp;""</f>
        <v>W#22-SD ECA</v>
      </c>
      <c r="H149" s="33" t="str">
        <f>'14U BOYS GOLD-16 TEAMS'!H38&amp;""</f>
        <v>5</v>
      </c>
      <c r="I149" s="33" t="str">
        <f>'14U BOYS GOLD-16 TEAMS'!I38&amp;""</f>
        <v>5th</v>
      </c>
      <c r="J149" s="33" t="str">
        <f>'14U BOYS GOLD-16 TEAMS'!J38&amp;""</f>
        <v>14U_BOYS_GOLD</v>
      </c>
      <c r="K149" s="33" t="str">
        <f t="shared" si="2"/>
        <v>202603081250</v>
      </c>
    </row>
    <row r="150" spans="1:11">
      <c r="A150" s="91">
        <f>'14U BOYS GOLD-16 TEAMS'!A39</f>
        <v>46089</v>
      </c>
      <c r="B150" s="35">
        <f>'14U BOYS GOLD-16 TEAMS'!B39</f>
        <v>0.53472222222222199</v>
      </c>
      <c r="C150" s="91" t="str">
        <f>'14U BOYS GOLD-16 TEAMS'!C39&amp;""</f>
        <v>EL TORO HS 1</v>
      </c>
      <c r="D150" s="35" t="str">
        <f>'14U BOYS GOLD-16 TEAMS'!D39&amp;""</f>
        <v>14Bau31</v>
      </c>
      <c r="E150" s="35" t="str">
        <f>'14U BOYS GOLD-16 TEAMS'!E39&amp;""</f>
        <v>W#27-PRIDE RED</v>
      </c>
      <c r="F150" s="33" t="str">
        <f>'14U BOYS GOLD-16 TEAMS'!F39&amp;""</f>
        <v>9</v>
      </c>
      <c r="G150" s="33" t="str">
        <f>'14U BOYS GOLD-16 TEAMS'!G39&amp;""</f>
        <v>W#28-NEWPORT BEACH WHITE</v>
      </c>
      <c r="H150" s="33" t="str">
        <f>'14U BOYS GOLD-16 TEAMS'!H39&amp;""</f>
        <v>11</v>
      </c>
      <c r="I150" s="33" t="str">
        <f>'14U BOYS GOLD-16 TEAMS'!I39&amp;""</f>
        <v>9th</v>
      </c>
      <c r="J150" s="33" t="str">
        <f>'14U BOYS GOLD-16 TEAMS'!J39&amp;""</f>
        <v>14U_BOYS_GOLD</v>
      </c>
      <c r="K150" s="33" t="str">
        <f t="shared" si="2"/>
        <v>202603081250</v>
      </c>
    </row>
    <row r="151" spans="1:11">
      <c r="A151" s="91">
        <f>'14U BOYS GOLD-16 TEAMS'!A40</f>
        <v>46089</v>
      </c>
      <c r="B151" s="35">
        <f>'14U BOYS GOLD-16 TEAMS'!B40</f>
        <v>0.56944444444444497</v>
      </c>
      <c r="C151" s="91" t="str">
        <f>'14U BOYS GOLD-16 TEAMS'!C40&amp;""</f>
        <v>SAN JUAN HILLS HS</v>
      </c>
      <c r="D151" s="35" t="str">
        <f>'14U BOYS GOLD-16 TEAMS'!D40&amp;""</f>
        <v>14Bau26</v>
      </c>
      <c r="E151" s="35" t="str">
        <f>'14U BOYS GOLD-16 TEAMS'!E40&amp;""</f>
        <v>L#21-MISSION 12A</v>
      </c>
      <c r="F151" s="33" t="str">
        <f>'14U BOYS GOLD-16 TEAMS'!F40&amp;""</f>
        <v>12</v>
      </c>
      <c r="G151" s="33" t="str">
        <f>'14U BOYS GOLD-16 TEAMS'!G40&amp;""</f>
        <v>L#22-HIELAND</v>
      </c>
      <c r="H151" s="33" t="str">
        <f>'14U BOYS GOLD-16 TEAMS'!H40&amp;""</f>
        <v>4</v>
      </c>
      <c r="I151" s="33" t="str">
        <f>'14U BOYS GOLD-16 TEAMS'!I40&amp;""</f>
        <v>7th</v>
      </c>
      <c r="J151" s="33" t="str">
        <f>'14U BOYS GOLD-16 TEAMS'!J40&amp;""</f>
        <v>14U_BOYS_GOLD</v>
      </c>
      <c r="K151" s="33" t="str">
        <f t="shared" si="2"/>
        <v>202603081340</v>
      </c>
    </row>
    <row r="152" spans="1:11">
      <c r="A152" s="91">
        <f>'14U BOYS GOLD-16 TEAMS'!A41</f>
        <v>46089</v>
      </c>
      <c r="B152" s="35">
        <f>'14U BOYS GOLD-16 TEAMS'!B41</f>
        <v>0.56944444444444497</v>
      </c>
      <c r="C152" s="91" t="str">
        <f>'14U BOYS GOLD-16 TEAMS'!C41&amp;""</f>
        <v>EL TORO HS 1</v>
      </c>
      <c r="D152" s="35" t="str">
        <f>'14U BOYS GOLD-16 TEAMS'!D41&amp;""</f>
        <v>14Bau32</v>
      </c>
      <c r="E152" s="35" t="str">
        <f>'14U BOYS GOLD-16 TEAMS'!E41&amp;""</f>
        <v>L#27-TRILOGY BLACK</v>
      </c>
      <c r="F152" s="33" t="str">
        <f>'14U BOYS GOLD-16 TEAMS'!F41&amp;""</f>
        <v>3</v>
      </c>
      <c r="G152" s="33" t="str">
        <f>'14U BOYS GOLD-16 TEAMS'!G41&amp;""</f>
        <v>L#28-SOCAL 12 BLACK</v>
      </c>
      <c r="H152" s="33" t="str">
        <f>'14U BOYS GOLD-16 TEAMS'!H41&amp;""</f>
        <v>7</v>
      </c>
      <c r="I152" s="33" t="str">
        <f>'14U BOYS GOLD-16 TEAMS'!I41&amp;""</f>
        <v>11th</v>
      </c>
      <c r="J152" s="33" t="str">
        <f>'14U BOYS GOLD-16 TEAMS'!J41&amp;""</f>
        <v>14U_BOYS_GOLD</v>
      </c>
      <c r="K152" s="33" t="str">
        <f t="shared" si="2"/>
        <v>202603081340</v>
      </c>
    </row>
    <row r="153" spans="1:11">
      <c r="A153" s="91">
        <f>'14U BOYS GOLD-16 TEAMS'!A42</f>
        <v>46089</v>
      </c>
      <c r="B153" s="35">
        <f>'14U BOYS GOLD-16 TEAMS'!B42</f>
        <v>0.60416666666666696</v>
      </c>
      <c r="C153" s="91" t="str">
        <f>'14U BOYS GOLD-16 TEAMS'!C42&amp;""</f>
        <v>SAN JUAN HILLS HS</v>
      </c>
      <c r="D153" s="35" t="str">
        <f>'14U BOYS GOLD-16 TEAMS'!D42&amp;""</f>
        <v>14Bau23</v>
      </c>
      <c r="E153" s="35" t="str">
        <f>'14U BOYS GOLD-16 TEAMS'!E42&amp;""</f>
        <v>L#19-ALAMEDA</v>
      </c>
      <c r="F153" s="33" t="str">
        <f>'14U BOYS GOLD-16 TEAMS'!F42&amp;""</f>
        <v>7</v>
      </c>
      <c r="G153" s="33" t="str">
        <f>'14U BOYS GOLD-16 TEAMS'!G42&amp;""</f>
        <v>L#20-VANGUARD SILVER</v>
      </c>
      <c r="H153" s="33" t="str">
        <f>'14U BOYS GOLD-16 TEAMS'!H42&amp;""</f>
        <v>8</v>
      </c>
      <c r="I153" s="33" t="str">
        <f>'14U BOYS GOLD-16 TEAMS'!I42&amp;""</f>
        <v>3rd</v>
      </c>
      <c r="J153" s="33" t="str">
        <f>'14U BOYS GOLD-16 TEAMS'!J42&amp;""</f>
        <v>14U_BOYS_GOLD</v>
      </c>
      <c r="K153" s="33" t="str">
        <f t="shared" si="2"/>
        <v>202603081430</v>
      </c>
    </row>
    <row r="154" spans="1:11">
      <c r="A154" s="91">
        <f>'14U BOYS GOLD-16 TEAMS'!A43</f>
        <v>46089</v>
      </c>
      <c r="B154" s="35">
        <f>'14U BOYS GOLD-16 TEAMS'!B43</f>
        <v>0.63888888888888895</v>
      </c>
      <c r="C154" s="91" t="str">
        <f>'14U BOYS GOLD-16 TEAMS'!C43&amp;""</f>
        <v>SAN JUAN HILLS HS</v>
      </c>
      <c r="D154" s="35" t="str">
        <f>'14U BOYS GOLD-16 TEAMS'!D43&amp;""</f>
        <v>14Bau24</v>
      </c>
      <c r="E154" s="35" t="str">
        <f>'14U BOYS GOLD-16 TEAMS'!E43&amp;""</f>
        <v>W#19-NORTH IRVINE RED</v>
      </c>
      <c r="F154" s="33" t="str">
        <f>'14U BOYS GOLD-16 TEAMS'!F43&amp;""</f>
        <v>7</v>
      </c>
      <c r="G154" s="33" t="str">
        <f>'14U BOYS GOLD-16 TEAMS'!G43&amp;""</f>
        <v>W#20-ORANGE COUNTY WPC B</v>
      </c>
      <c r="H154" s="33" t="str">
        <f>'14U BOYS GOLD-16 TEAMS'!H43&amp;""</f>
        <v>6</v>
      </c>
      <c r="I154" s="33" t="str">
        <f>'14U BOYS GOLD-16 TEAMS'!I43&amp;""</f>
        <v>1st</v>
      </c>
      <c r="J154" s="33" t="str">
        <f>'14U BOYS GOLD-16 TEAMS'!J43&amp;""</f>
        <v>14U_BOYS_GOLD</v>
      </c>
      <c r="K154" s="33" t="str">
        <f t="shared" si="2"/>
        <v>202603081520</v>
      </c>
    </row>
    <row r="155" spans="1:11">
      <c r="A155" s="94">
        <f>'14U BOYS PLATINUM-10 TEAMS'!A10</f>
        <v>46088</v>
      </c>
      <c r="B155" s="93">
        <f>'14U BOYS PLATINUM-10 TEAMS'!B10</f>
        <v>0.3263888888888889</v>
      </c>
      <c r="C155" s="93" t="str">
        <f>'14U BOYS PLATINUM-10 TEAMS'!C10&amp;""</f>
        <v>WESTMINSTER HS</v>
      </c>
      <c r="D155" s="32" t="str">
        <f>'14U BOYS PLATINUM-10 TEAMS'!D10&amp;""</f>
        <v>14Bpt01</v>
      </c>
      <c r="E155" s="155" t="str">
        <f>'14U BOYS PLATINUM-10 TEAMS'!E10&amp;""</f>
        <v>C1-SAN DIEGO DONS</v>
      </c>
      <c r="F155" s="32" t="str">
        <f>'14U BOYS PLATINUM-10 TEAMS'!F10&amp;""</f>
        <v>8.4</v>
      </c>
      <c r="G155" s="32" t="str">
        <f>'14U BOYS PLATINUM-10 TEAMS'!G10&amp;""</f>
        <v>C4-DEVILS GATE</v>
      </c>
      <c r="H155" s="32" t="str">
        <f>'14U BOYS PLATINUM-10 TEAMS'!H10&amp;""</f>
        <v>8.2</v>
      </c>
      <c r="I155" s="32" t="str">
        <f>'14U BOYS PLATINUM-10 TEAMS'!I10&amp;""</f>
        <v>C bracket C1,C4</v>
      </c>
      <c r="J155" s="32" t="str">
        <f>'14U BOYS PLATINUM-10 TEAMS'!J10&amp;""</f>
        <v>14U_BOYS_PLATINUM</v>
      </c>
      <c r="K155" s="32" t="str">
        <f t="shared" si="2"/>
        <v>202603070750</v>
      </c>
    </row>
    <row r="156" spans="1:11">
      <c r="A156" s="94">
        <f>'14U BOYS PLATINUM-10 TEAMS'!A11</f>
        <v>46088</v>
      </c>
      <c r="B156" s="93">
        <f>'14U BOYS PLATINUM-10 TEAMS'!B11</f>
        <v>0.36111111111111099</v>
      </c>
      <c r="C156" s="93" t="str">
        <f>'14U BOYS PLATINUM-10 TEAMS'!C11&amp;""</f>
        <v>WESTMINSTER HS</v>
      </c>
      <c r="D156" s="32" t="str">
        <f>'14U BOYS PLATINUM-10 TEAMS'!D11&amp;""</f>
        <v>14Bpt02</v>
      </c>
      <c r="E156" s="32" t="str">
        <f>'14U BOYS PLATINUM-10 TEAMS'!E11&amp;""</f>
        <v>A1-MISSION A</v>
      </c>
      <c r="F156" s="32" t="str">
        <f>'14U BOYS PLATINUM-10 TEAMS'!F11&amp;""</f>
        <v>13</v>
      </c>
      <c r="G156" s="32" t="str">
        <f>'14U BOYS PLATINUM-10 TEAMS'!G11&amp;""</f>
        <v>A3-ROUTE 66</v>
      </c>
      <c r="H156" s="32" t="str">
        <f>'14U BOYS PLATINUM-10 TEAMS'!H11&amp;""</f>
        <v>2</v>
      </c>
      <c r="I156" s="32" t="str">
        <f>'14U BOYS PLATINUM-10 TEAMS'!I11&amp;""</f>
        <v>A bracket A1,A3</v>
      </c>
      <c r="J156" s="32" t="str">
        <f>'14U BOYS PLATINUM-10 TEAMS'!J11&amp;""</f>
        <v>14U_BOYS_PLATINUM</v>
      </c>
      <c r="K156" s="32" t="str">
        <f t="shared" si="2"/>
        <v>202603070840</v>
      </c>
    </row>
    <row r="157" spans="1:11">
      <c r="A157" s="94">
        <f>'14U BOYS PLATINUM-10 TEAMS'!A12</f>
        <v>46088</v>
      </c>
      <c r="B157" s="93">
        <f>'14U BOYS PLATINUM-10 TEAMS'!B12</f>
        <v>0.39583333333333398</v>
      </c>
      <c r="C157" s="93" t="str">
        <f>'14U BOYS PLATINUM-10 TEAMS'!C12&amp;""</f>
        <v>WESTMINSTER HS</v>
      </c>
      <c r="D157" s="32" t="str">
        <f>'14U BOYS PLATINUM-10 TEAMS'!D12&amp;""</f>
        <v>14Bpt03</v>
      </c>
      <c r="E157" s="32" t="str">
        <f>'14U BOYS PLATINUM-10 TEAMS'!E12&amp;""</f>
        <v>B1-NEWPORT BEACH BLUE</v>
      </c>
      <c r="F157" s="32" t="str">
        <f>'14U BOYS PLATINUM-10 TEAMS'!F12&amp;""</f>
        <v>13</v>
      </c>
      <c r="G157" s="32" t="str">
        <f>'14U BOYS PLATINUM-10 TEAMS'!G12&amp;""</f>
        <v>B3-PATRIOT RED</v>
      </c>
      <c r="H157" s="32" t="str">
        <f>'14U BOYS PLATINUM-10 TEAMS'!H12&amp;""</f>
        <v>3</v>
      </c>
      <c r="I157" s="32" t="str">
        <f>'14U BOYS PLATINUM-10 TEAMS'!I12&amp;""</f>
        <v>B bracket B1,B3</v>
      </c>
      <c r="J157" s="32" t="str">
        <f>'14U BOYS PLATINUM-10 TEAMS'!J12&amp;""</f>
        <v>14U_BOYS_PLATINUM</v>
      </c>
      <c r="K157" s="32" t="str">
        <f t="shared" si="2"/>
        <v>202603070930</v>
      </c>
    </row>
    <row r="158" spans="1:11">
      <c r="A158" s="94">
        <f>'14U BOYS PLATINUM-10 TEAMS'!A13</f>
        <v>46088</v>
      </c>
      <c r="B158" s="93">
        <f>'14U BOYS PLATINUM-10 TEAMS'!B13</f>
        <v>0.43055555555555602</v>
      </c>
      <c r="C158" s="93" t="str">
        <f>'14U BOYS PLATINUM-10 TEAMS'!C13&amp;""</f>
        <v>WESTMINSTER HS</v>
      </c>
      <c r="D158" s="32" t="str">
        <f>'14U BOYS PLATINUM-10 TEAMS'!D13&amp;""</f>
        <v>14Bpt04</v>
      </c>
      <c r="E158" s="155" t="str">
        <f>'14U BOYS PLATINUM-10 TEAMS'!E13&amp;""</f>
        <v>C1-SAN DIEGO DONS</v>
      </c>
      <c r="F158" s="32" t="str">
        <f>'14U BOYS PLATINUM-10 TEAMS'!F13&amp;""</f>
        <v>7</v>
      </c>
      <c r="G158" s="32" t="str">
        <f>'14U BOYS PLATINUM-10 TEAMS'!G13&amp;""</f>
        <v>C2-VANGUARD BLUE</v>
      </c>
      <c r="H158" s="32" t="str">
        <f>'14U BOYS PLATINUM-10 TEAMS'!H13&amp;""</f>
        <v>8</v>
      </c>
      <c r="I158" s="32" t="str">
        <f>'14U BOYS PLATINUM-10 TEAMS'!I13&amp;""</f>
        <v>C bracket C1,C2</v>
      </c>
      <c r="J158" s="32" t="str">
        <f>'14U BOYS PLATINUM-10 TEAMS'!J13&amp;""</f>
        <v>14U_BOYS_PLATINUM</v>
      </c>
      <c r="K158" s="32" t="str">
        <f t="shared" si="2"/>
        <v>202603071020</v>
      </c>
    </row>
    <row r="159" spans="1:11">
      <c r="A159" s="94">
        <f>'14U BOYS PLATINUM-10 TEAMS'!A14</f>
        <v>46088</v>
      </c>
      <c r="B159" s="93">
        <f>'14U BOYS PLATINUM-10 TEAMS'!B14</f>
        <v>0.46527777777777801</v>
      </c>
      <c r="C159" s="93" t="str">
        <f>'14U BOYS PLATINUM-10 TEAMS'!C14&amp;""</f>
        <v>WESTMINSTER HS</v>
      </c>
      <c r="D159" s="32" t="str">
        <f>'14U BOYS PLATINUM-10 TEAMS'!D14&amp;""</f>
        <v>14Bpt05</v>
      </c>
      <c r="E159" s="32" t="str">
        <f>'14U BOYS PLATINUM-10 TEAMS'!E14&amp;""</f>
        <v>A2-ORWP A</v>
      </c>
      <c r="F159" s="32" t="str">
        <f>'14U BOYS PLATINUM-10 TEAMS'!F14&amp;""</f>
        <v>9.6</v>
      </c>
      <c r="G159" s="32" t="str">
        <f>'14U BOYS PLATINUM-10 TEAMS'!G14&amp;""</f>
        <v>A3-ROUTE 66</v>
      </c>
      <c r="H159" s="32" t="str">
        <f>'14U BOYS PLATINUM-10 TEAMS'!H14&amp;""</f>
        <v>9.5</v>
      </c>
      <c r="I159" s="32" t="str">
        <f>'14U BOYS PLATINUM-10 TEAMS'!I14&amp;""</f>
        <v>A bracket A2,A3</v>
      </c>
      <c r="J159" s="32" t="str">
        <f>'14U BOYS PLATINUM-10 TEAMS'!J14&amp;""</f>
        <v>14U_BOYS_PLATINUM</v>
      </c>
      <c r="K159" s="32" t="str">
        <f t="shared" si="2"/>
        <v>202603071110</v>
      </c>
    </row>
    <row r="160" spans="1:11">
      <c r="A160" s="94">
        <f>'14U BOYS PLATINUM-10 TEAMS'!A15</f>
        <v>46088</v>
      </c>
      <c r="B160" s="93">
        <f>'14U BOYS PLATINUM-10 TEAMS'!B15</f>
        <v>0.5</v>
      </c>
      <c r="C160" s="93" t="str">
        <f>'14U BOYS PLATINUM-10 TEAMS'!C15&amp;""</f>
        <v>WESTMINSTER HS</v>
      </c>
      <c r="D160" s="32" t="str">
        <f>'14U BOYS PLATINUM-10 TEAMS'!D15&amp;""</f>
        <v>14Bpt06</v>
      </c>
      <c r="E160" s="32" t="str">
        <f>'14U BOYS PLATINUM-10 TEAMS'!E15&amp;""</f>
        <v>B2-TROJAN CARDINAL</v>
      </c>
      <c r="F160" s="32" t="str">
        <f>'14U BOYS PLATINUM-10 TEAMS'!F15&amp;""</f>
        <v>5</v>
      </c>
      <c r="G160" s="32" t="str">
        <f>'14U BOYS PLATINUM-10 TEAMS'!G15&amp;""</f>
        <v>B3-PATRIOT RED</v>
      </c>
      <c r="H160" s="32" t="str">
        <f>'14U BOYS PLATINUM-10 TEAMS'!H15&amp;""</f>
        <v>12</v>
      </c>
      <c r="I160" s="32" t="str">
        <f>'14U BOYS PLATINUM-10 TEAMS'!I15&amp;""</f>
        <v>B bracket B2,B3</v>
      </c>
      <c r="J160" s="32" t="str">
        <f>'14U BOYS PLATINUM-10 TEAMS'!J15&amp;""</f>
        <v>14U_BOYS_PLATINUM</v>
      </c>
      <c r="K160" s="32" t="str">
        <f t="shared" si="2"/>
        <v>202603071200</v>
      </c>
    </row>
    <row r="161" spans="1:11">
      <c r="A161" s="94">
        <f>'14U BOYS PLATINUM-10 TEAMS'!A16</f>
        <v>46088</v>
      </c>
      <c r="B161" s="93">
        <f>'14U BOYS PLATINUM-10 TEAMS'!B16</f>
        <v>0.53472222222222199</v>
      </c>
      <c r="C161" s="93" t="str">
        <f>'14U BOYS PLATINUM-10 TEAMS'!C16&amp;""</f>
        <v>WESTMINSTER HS</v>
      </c>
      <c r="D161" s="32" t="str">
        <f>'14U BOYS PLATINUM-10 TEAMS'!D16&amp;""</f>
        <v>14Bpt07</v>
      </c>
      <c r="E161" s="32" t="str">
        <f>'14U BOYS PLATINUM-10 TEAMS'!E16&amp;""</f>
        <v>C3-RANCHO TSUNAMI BLUE</v>
      </c>
      <c r="F161" s="32" t="str">
        <f>'14U BOYS PLATINUM-10 TEAMS'!F16&amp;""</f>
        <v>9</v>
      </c>
      <c r="G161" s="32" t="str">
        <f>'14U BOYS PLATINUM-10 TEAMS'!G16&amp;""</f>
        <v>C4-DEVILS GATE</v>
      </c>
      <c r="H161" s="32" t="str">
        <f>'14U BOYS PLATINUM-10 TEAMS'!H16&amp;""</f>
        <v>8</v>
      </c>
      <c r="I161" s="32" t="str">
        <f>'14U BOYS PLATINUM-10 TEAMS'!I16&amp;""</f>
        <v>C bracket C3,C4</v>
      </c>
      <c r="J161" s="32" t="str">
        <f>'14U BOYS PLATINUM-10 TEAMS'!J16&amp;""</f>
        <v>14U_BOYS_PLATINUM</v>
      </c>
      <c r="K161" s="32" t="str">
        <f t="shared" si="2"/>
        <v>202603071250</v>
      </c>
    </row>
    <row r="162" spans="1:11">
      <c r="A162" s="94">
        <f>'14U BOYS PLATINUM-10 TEAMS'!A17</f>
        <v>46088</v>
      </c>
      <c r="B162" s="93">
        <f>'14U BOYS PLATINUM-10 TEAMS'!B17</f>
        <v>0.56944444444444497</v>
      </c>
      <c r="C162" s="93" t="str">
        <f>'14U BOYS PLATINUM-10 TEAMS'!C17&amp;""</f>
        <v>WESTMINSTER HS</v>
      </c>
      <c r="D162" s="32" t="str">
        <f>'14U BOYS PLATINUM-10 TEAMS'!D17&amp;""</f>
        <v>14Bpt08</v>
      </c>
      <c r="E162" s="32" t="str">
        <f>'14U BOYS PLATINUM-10 TEAMS'!E17&amp;""</f>
        <v>A1-MISSION A</v>
      </c>
      <c r="F162" s="32" t="str">
        <f>'14U BOYS PLATINUM-10 TEAMS'!F17&amp;""</f>
        <v>13</v>
      </c>
      <c r="G162" s="32" t="str">
        <f>'14U BOYS PLATINUM-10 TEAMS'!G17&amp;""</f>
        <v>A2-ORWP A</v>
      </c>
      <c r="H162" s="32" t="str">
        <f>'14U BOYS PLATINUM-10 TEAMS'!H17&amp;""</f>
        <v>10</v>
      </c>
      <c r="I162" s="32" t="str">
        <f>'14U BOYS PLATINUM-10 TEAMS'!I17&amp;""</f>
        <v>A bracket A1,A2</v>
      </c>
      <c r="J162" s="32" t="str">
        <f>'14U BOYS PLATINUM-10 TEAMS'!J17&amp;""</f>
        <v>14U_BOYS_PLATINUM</v>
      </c>
      <c r="K162" s="32" t="str">
        <f t="shared" si="2"/>
        <v>202603071340</v>
      </c>
    </row>
    <row r="163" spans="1:11">
      <c r="A163" s="94">
        <f>'14U BOYS PLATINUM-10 TEAMS'!A18</f>
        <v>46088</v>
      </c>
      <c r="B163" s="93">
        <f>'14U BOYS PLATINUM-10 TEAMS'!B18</f>
        <v>0.60416666666666696</v>
      </c>
      <c r="C163" s="93" t="str">
        <f>'14U BOYS PLATINUM-10 TEAMS'!C18&amp;""</f>
        <v>WESTMINSTER HS</v>
      </c>
      <c r="D163" s="32" t="str">
        <f>'14U BOYS PLATINUM-10 TEAMS'!D18&amp;""</f>
        <v>14Bpt09</v>
      </c>
      <c r="E163" s="32" t="str">
        <f>'14U BOYS PLATINUM-10 TEAMS'!E18&amp;""</f>
        <v>B1-NEWPORT BEACH BLUE</v>
      </c>
      <c r="F163" s="32" t="str">
        <f>'14U BOYS PLATINUM-10 TEAMS'!F18&amp;""</f>
        <v>15</v>
      </c>
      <c r="G163" s="32" t="str">
        <f>'14U BOYS PLATINUM-10 TEAMS'!G18&amp;""</f>
        <v>B2-TROJAN CARDINAL</v>
      </c>
      <c r="H163" s="32" t="str">
        <f>'14U BOYS PLATINUM-10 TEAMS'!H18&amp;""</f>
        <v>2</v>
      </c>
      <c r="I163" s="32" t="str">
        <f>'14U BOYS PLATINUM-10 TEAMS'!I18&amp;""</f>
        <v>B bracket B1,B2</v>
      </c>
      <c r="J163" s="32" t="str">
        <f>'14U BOYS PLATINUM-10 TEAMS'!J18&amp;""</f>
        <v>14U_BOYS_PLATINUM</v>
      </c>
      <c r="K163" s="32" t="str">
        <f t="shared" si="2"/>
        <v>202603071430</v>
      </c>
    </row>
    <row r="164" spans="1:11">
      <c r="A164" s="94">
        <f>'14U BOYS PLATINUM-10 TEAMS'!A19</f>
        <v>46088</v>
      </c>
      <c r="B164" s="93">
        <f>'14U BOYS PLATINUM-10 TEAMS'!B19</f>
        <v>0.63888888888888895</v>
      </c>
      <c r="C164" s="93" t="str">
        <f>'14U BOYS PLATINUM-10 TEAMS'!C19&amp;""</f>
        <v>WESTMINSTER HS</v>
      </c>
      <c r="D164" s="32" t="str">
        <f>'14U BOYS PLATINUM-10 TEAMS'!D19&amp;""</f>
        <v>14Bpt10</v>
      </c>
      <c r="E164" s="32" t="str">
        <f>'14U BOYS PLATINUM-10 TEAMS'!E19&amp;""</f>
        <v>C2-VANGUARD BLUE</v>
      </c>
      <c r="F164" s="32" t="str">
        <f>'14U BOYS PLATINUM-10 TEAMS'!F19&amp;""</f>
        <v>8</v>
      </c>
      <c r="G164" s="32" t="str">
        <f>'14U BOYS PLATINUM-10 TEAMS'!G19&amp;""</f>
        <v>C3-RANCHO TSUNAMI BLUE</v>
      </c>
      <c r="H164" s="32" t="str">
        <f>'14U BOYS PLATINUM-10 TEAMS'!H19&amp;""</f>
        <v>6</v>
      </c>
      <c r="I164" s="32" t="str">
        <f>'14U BOYS PLATINUM-10 TEAMS'!I19&amp;""</f>
        <v>C bracket C2,C3</v>
      </c>
      <c r="J164" s="32" t="str">
        <f>'14U BOYS PLATINUM-10 TEAMS'!J19&amp;""</f>
        <v>14U_BOYS_PLATINUM</v>
      </c>
      <c r="K164" s="32" t="str">
        <f t="shared" si="2"/>
        <v>202603071520</v>
      </c>
    </row>
    <row r="165" spans="1:11">
      <c r="A165" s="94">
        <f>'14U BOYS PLATINUM-10 TEAMS'!A23</f>
        <v>46089</v>
      </c>
      <c r="B165" s="93">
        <f>'14U BOYS PLATINUM-10 TEAMS'!B23</f>
        <v>0.3263888888888889</v>
      </c>
      <c r="C165" s="93" t="str">
        <f>'14U BOYS PLATINUM-10 TEAMS'!C23&amp;""</f>
        <v>WESTMINSTER HS</v>
      </c>
      <c r="D165" s="32" t="str">
        <f>'14U BOYS PLATINUM-10 TEAMS'!D23&amp;""</f>
        <v>14Bpt11</v>
      </c>
      <c r="E165" s="32" t="str">
        <f>'14U BOYS PLATINUM-10 TEAMS'!E23&amp;""</f>
        <v>C2-VANGUARD BLUE</v>
      </c>
      <c r="F165" s="32" t="str">
        <f>'14U BOYS PLATINUM-10 TEAMS'!F23&amp;""</f>
        <v>14</v>
      </c>
      <c r="G165" s="32" t="str">
        <f>'14U BOYS PLATINUM-10 TEAMS'!G23&amp;""</f>
        <v>C4-DEVILS GATE</v>
      </c>
      <c r="H165" s="32" t="str">
        <f>'14U BOYS PLATINUM-10 TEAMS'!H23&amp;""</f>
        <v>6</v>
      </c>
      <c r="I165" s="32" t="str">
        <f>'14U BOYS PLATINUM-10 TEAMS'!I23&amp;""</f>
        <v>C bracket C2,C4</v>
      </c>
      <c r="J165" s="32" t="str">
        <f>'14U BOYS PLATINUM-10 TEAMS'!J23&amp;""</f>
        <v>14U_BOYS_PLATINUM</v>
      </c>
      <c r="K165" s="32" t="str">
        <f t="shared" si="2"/>
        <v>202603080750</v>
      </c>
    </row>
    <row r="166" spans="1:11">
      <c r="A166" s="94">
        <f>'14U BOYS PLATINUM-10 TEAMS'!A24</f>
        <v>46089</v>
      </c>
      <c r="B166" s="93">
        <f>'14U BOYS PLATINUM-10 TEAMS'!B24</f>
        <v>0.36111111111111099</v>
      </c>
      <c r="C166" s="93" t="str">
        <f>'14U BOYS PLATINUM-10 TEAMS'!C24&amp;""</f>
        <v>WESTMINSTER HS</v>
      </c>
      <c r="D166" s="32" t="str">
        <f>'14U BOYS PLATINUM-10 TEAMS'!D24&amp;""</f>
        <v>14Bpt12</v>
      </c>
      <c r="E166" s="32" t="str">
        <f>'14U BOYS PLATINUM-10 TEAMS'!E24&amp;""</f>
        <v>C1-SAN DIEGO DONS</v>
      </c>
      <c r="F166" s="32" t="str">
        <f>'14U BOYS PLATINUM-10 TEAMS'!F24&amp;""</f>
        <v>8</v>
      </c>
      <c r="G166" s="32" t="str">
        <f>'14U BOYS PLATINUM-10 TEAMS'!G24&amp;""</f>
        <v>C3-RANCHO TSUNAMI BLUE</v>
      </c>
      <c r="H166" s="32" t="str">
        <f>'14U BOYS PLATINUM-10 TEAMS'!H24&amp;""</f>
        <v>5</v>
      </c>
      <c r="I166" s="32" t="str">
        <f>'14U BOYS PLATINUM-10 TEAMS'!I24&amp;""</f>
        <v>C bracket C1,C3</v>
      </c>
      <c r="J166" s="32" t="str">
        <f>'14U BOYS PLATINUM-10 TEAMS'!J24&amp;""</f>
        <v>14U_BOYS_PLATINUM</v>
      </c>
      <c r="K166" s="32" t="str">
        <f t="shared" si="2"/>
        <v>202603080840</v>
      </c>
    </row>
    <row r="167" spans="1:11">
      <c r="A167" s="94">
        <f>'14U BOYS PLATINUM-10 TEAMS'!A25</f>
        <v>46089</v>
      </c>
      <c r="B167" s="93">
        <f>'14U BOYS PLATINUM-10 TEAMS'!B25</f>
        <v>0.39583333333333398</v>
      </c>
      <c r="C167" s="93" t="str">
        <f>'14U BOYS PLATINUM-10 TEAMS'!C25&amp;""</f>
        <v>WESTMINSTER HS</v>
      </c>
      <c r="D167" s="32" t="str">
        <f>'14U BOYS PLATINUM-10 TEAMS'!D25&amp;""</f>
        <v>14Bpt13</v>
      </c>
      <c r="E167" s="32" t="str">
        <f>'14U BOYS PLATINUM-10 TEAMS'!E25&amp;""</f>
        <v>2ndA-ORWP A</v>
      </c>
      <c r="F167" s="32" t="str">
        <f>'14U BOYS PLATINUM-10 TEAMS'!F25&amp;""</f>
        <v>12</v>
      </c>
      <c r="G167" s="32" t="str">
        <f>'14U BOYS PLATINUM-10 TEAMS'!G25&amp;""</f>
        <v>3rdB-TROJAN CARDINAL</v>
      </c>
      <c r="H167" s="32" t="str">
        <f>'14U BOYS PLATINUM-10 TEAMS'!H25&amp;""</f>
        <v>7</v>
      </c>
      <c r="I167" s="32" t="str">
        <f>'14U BOYS PLATINUM-10 TEAMS'!I25&amp;""</f>
        <v>5th-10th 2A/3B</v>
      </c>
      <c r="J167" s="32" t="str">
        <f>'14U BOYS PLATINUM-10 TEAMS'!J25&amp;""</f>
        <v>14U_BOYS_PLATINUM</v>
      </c>
      <c r="K167" s="32" t="str">
        <f t="shared" si="2"/>
        <v>202603080930</v>
      </c>
    </row>
    <row r="168" spans="1:11">
      <c r="A168" s="94">
        <f>'14U BOYS PLATINUM-10 TEAMS'!A26</f>
        <v>46089</v>
      </c>
      <c r="B168" s="93">
        <f>'14U BOYS PLATINUM-10 TEAMS'!B26</f>
        <v>0.43055555555555602</v>
      </c>
      <c r="C168" s="93" t="str">
        <f>'14U BOYS PLATINUM-10 TEAMS'!C26&amp;""</f>
        <v>WESTMINSTER HS</v>
      </c>
      <c r="D168" s="32" t="str">
        <f>'14U BOYS PLATINUM-10 TEAMS'!D26&amp;""</f>
        <v>14Bpt14</v>
      </c>
      <c r="E168" s="32" t="str">
        <f>'14U BOYS PLATINUM-10 TEAMS'!E26&amp;""</f>
        <v>3rdA-ROUTE 66</v>
      </c>
      <c r="F168" s="32" t="str">
        <f>'14U BOYS PLATINUM-10 TEAMS'!F26&amp;""</f>
        <v>4</v>
      </c>
      <c r="G168" s="32" t="str">
        <f>'14U BOYS PLATINUM-10 TEAMS'!G26&amp;""</f>
        <v>2ndB-PATRIOT RED</v>
      </c>
      <c r="H168" s="32" t="str">
        <f>'14U BOYS PLATINUM-10 TEAMS'!H26&amp;""</f>
        <v>5</v>
      </c>
      <c r="I168" s="32" t="str">
        <f>'14U BOYS PLATINUM-10 TEAMS'!I26&amp;""</f>
        <v>5th-10th 3A/2B</v>
      </c>
      <c r="J168" s="32" t="str">
        <f>'14U BOYS PLATINUM-10 TEAMS'!J26&amp;""</f>
        <v>14U_BOYS_PLATINUM</v>
      </c>
      <c r="K168" s="32" t="str">
        <f t="shared" si="2"/>
        <v>202603081020</v>
      </c>
    </row>
    <row r="169" spans="1:11">
      <c r="A169" s="94">
        <f>'14U BOYS PLATINUM-10 TEAMS'!A27</f>
        <v>46089</v>
      </c>
      <c r="B169" s="93">
        <f>'14U BOYS PLATINUM-10 TEAMS'!B27</f>
        <v>0.46527777777777801</v>
      </c>
      <c r="C169" s="93" t="str">
        <f>'14U BOYS PLATINUM-10 TEAMS'!C27&amp;""</f>
        <v>WESTMINSTER HS</v>
      </c>
      <c r="D169" s="32" t="str">
        <f>'14U BOYS PLATINUM-10 TEAMS'!D27&amp;""</f>
        <v>14Bpt15</v>
      </c>
      <c r="E169" s="32" t="str">
        <f>'14U BOYS PLATINUM-10 TEAMS'!E27&amp;""</f>
        <v>1stA-MISSION A</v>
      </c>
      <c r="F169" s="32" t="str">
        <f>'14U BOYS PLATINUM-10 TEAMS'!F27&amp;""</f>
        <v>6</v>
      </c>
      <c r="G169" s="32" t="str">
        <f>'14U BOYS PLATINUM-10 TEAMS'!G27&amp;""</f>
        <v>2ndC-SAN DIEGO DONS</v>
      </c>
      <c r="H169" s="32" t="str">
        <f>'14U BOYS PLATINUM-10 TEAMS'!H27&amp;""</f>
        <v>10</v>
      </c>
      <c r="I169" s="32" t="str">
        <f>'14U BOYS PLATINUM-10 TEAMS'!I27&amp;""</f>
        <v>1-4 semi 1A/2C</v>
      </c>
      <c r="J169" s="32" t="str">
        <f>'14U BOYS PLATINUM-10 TEAMS'!J27&amp;""</f>
        <v>14U_BOYS_PLATINUM</v>
      </c>
      <c r="K169" s="32" t="str">
        <f t="shared" si="2"/>
        <v>202603081110</v>
      </c>
    </row>
    <row r="170" spans="1:11">
      <c r="A170" s="94">
        <f>'14U BOYS PLATINUM-10 TEAMS'!A28</f>
        <v>46089</v>
      </c>
      <c r="B170" s="93">
        <f>'14U BOYS PLATINUM-10 TEAMS'!B28</f>
        <v>0.5</v>
      </c>
      <c r="C170" s="93" t="str">
        <f>'14U BOYS PLATINUM-10 TEAMS'!C28&amp;""</f>
        <v>WESTMINSTER HS</v>
      </c>
      <c r="D170" s="32" t="str">
        <f>'14U BOYS PLATINUM-10 TEAMS'!D28&amp;""</f>
        <v>14Bpt16</v>
      </c>
      <c r="E170" s="32" t="str">
        <f>'14U BOYS PLATINUM-10 TEAMS'!E28&amp;""</f>
        <v>1stB-NEWPORT BEACH BLUE</v>
      </c>
      <c r="F170" s="32" t="str">
        <f>'14U BOYS PLATINUM-10 TEAMS'!F28&amp;""</f>
        <v>12</v>
      </c>
      <c r="G170" s="32" t="str">
        <f>'14U BOYS PLATINUM-10 TEAMS'!G28&amp;""</f>
        <v>1stC-VANGUARD BLUE</v>
      </c>
      <c r="H170" s="32" t="str">
        <f>'14U BOYS PLATINUM-10 TEAMS'!H28&amp;""</f>
        <v>6</v>
      </c>
      <c r="I170" s="32" t="str">
        <f>'14U BOYS PLATINUM-10 TEAMS'!I28&amp;""</f>
        <v>1-4 semi 1B/1C</v>
      </c>
      <c r="J170" s="32" t="str">
        <f>'14U BOYS PLATINUM-10 TEAMS'!J28&amp;""</f>
        <v>14U_BOYS_PLATINUM</v>
      </c>
      <c r="K170" s="32" t="str">
        <f t="shared" si="2"/>
        <v>202603081200</v>
      </c>
    </row>
    <row r="171" spans="1:11">
      <c r="A171" s="94">
        <f>'14U BOYS PLATINUM-10 TEAMS'!A29</f>
        <v>46089</v>
      </c>
      <c r="B171" s="93">
        <f>'14U BOYS PLATINUM-10 TEAMS'!B29</f>
        <v>0.53472222222222199</v>
      </c>
      <c r="C171" s="93" t="str">
        <f>'14U BOYS PLATINUM-10 TEAMS'!C29&amp;""</f>
        <v>WESTMINSTER HS</v>
      </c>
      <c r="D171" s="32" t="str">
        <f>'14U BOYS PLATINUM-10 TEAMS'!D29&amp;""</f>
        <v>14Bpt18</v>
      </c>
      <c r="E171" s="32" t="str">
        <f>'14U BOYS PLATINUM-10 TEAMS'!E29&amp;""</f>
        <v>L#13-TROJAN CARDINAL</v>
      </c>
      <c r="F171" s="32" t="str">
        <f>'14U BOYS PLATINUM-10 TEAMS'!F29&amp;""</f>
        <v>5</v>
      </c>
      <c r="G171" s="32" t="str">
        <f>'14U BOYS PLATINUM-10 TEAMS'!G29&amp;""</f>
        <v>3rdC-RANCHO TSUNAMI BLUE</v>
      </c>
      <c r="H171" s="32" t="str">
        <f>'14U BOYS PLATINUM-10 TEAMS'!H29&amp;""</f>
        <v>13</v>
      </c>
      <c r="I171" s="32" t="str">
        <f>'14U BOYS PLATINUM-10 TEAMS'!I29&amp;""</f>
        <v>7th-10th</v>
      </c>
      <c r="J171" s="32" t="str">
        <f>'14U BOYS PLATINUM-10 TEAMS'!J29&amp;""</f>
        <v>14U_BOYS_PLATINUM</v>
      </c>
      <c r="K171" s="32" t="str">
        <f t="shared" si="2"/>
        <v>202603081250</v>
      </c>
    </row>
    <row r="172" spans="1:11">
      <c r="A172" s="94">
        <f>'14U BOYS PLATINUM-10 TEAMS'!A30</f>
        <v>46089</v>
      </c>
      <c r="B172" s="93">
        <f>'14U BOYS PLATINUM-10 TEAMS'!B30</f>
        <v>0.56944444444444497</v>
      </c>
      <c r="C172" s="93" t="str">
        <f>'14U BOYS PLATINUM-10 TEAMS'!C30&amp;""</f>
        <v>WESTMINSTER HS</v>
      </c>
      <c r="D172" s="32" t="str">
        <f>'14U BOYS PLATINUM-10 TEAMS'!D30&amp;""</f>
        <v>14Bpt20</v>
      </c>
      <c r="E172" s="32" t="str">
        <f>'14U BOYS PLATINUM-10 TEAMS'!E30&amp;""</f>
        <v>L#15-MISSION A</v>
      </c>
      <c r="F172" s="32" t="str">
        <f>'14U BOYS PLATINUM-10 TEAMS'!F30&amp;""</f>
        <v>8</v>
      </c>
      <c r="G172" s="32" t="str">
        <f>'14U BOYS PLATINUM-10 TEAMS'!G30&amp;""</f>
        <v>L#16-VANGUARD BLUE</v>
      </c>
      <c r="H172" s="32" t="str">
        <f>'14U BOYS PLATINUM-10 TEAMS'!H30&amp;""</f>
        <v>7</v>
      </c>
      <c r="I172" s="32" t="str">
        <f>'14U BOYS PLATINUM-10 TEAMS'!I30&amp;""</f>
        <v>3rd</v>
      </c>
      <c r="J172" s="32" t="str">
        <f>'14U BOYS PLATINUM-10 TEAMS'!J30&amp;""</f>
        <v>14U_BOYS_PLATINUM</v>
      </c>
      <c r="K172" s="32" t="str">
        <f t="shared" si="2"/>
        <v>202603081340</v>
      </c>
    </row>
    <row r="173" spans="1:11">
      <c r="A173" s="94">
        <f>'14U BOYS PLATINUM-10 TEAMS'!A31</f>
        <v>46089</v>
      </c>
      <c r="B173" s="93">
        <f>'14U BOYS PLATINUM-10 TEAMS'!B31</f>
        <v>0.60416666666666696</v>
      </c>
      <c r="C173" s="93" t="str">
        <f>'14U BOYS PLATINUM-10 TEAMS'!C31&amp;""</f>
        <v>WESTMINSTER HS</v>
      </c>
      <c r="D173" s="32" t="str">
        <f>'14U BOYS PLATINUM-10 TEAMS'!D31&amp;""</f>
        <v>14Bpt21</v>
      </c>
      <c r="E173" s="32" t="str">
        <f>'14U BOYS PLATINUM-10 TEAMS'!E31&amp;""</f>
        <v>W#15-SAN DIEGO DONS</v>
      </c>
      <c r="F173" s="32" t="str">
        <f>'14U BOYS PLATINUM-10 TEAMS'!F31&amp;""</f>
        <v>13</v>
      </c>
      <c r="G173" s="32" t="str">
        <f>'14U BOYS PLATINUM-10 TEAMS'!G31&amp;""</f>
        <v>W#16-NEWPORT BEACH BLUE</v>
      </c>
      <c r="H173" s="32" t="str">
        <f>'14U BOYS PLATINUM-10 TEAMS'!H31&amp;""</f>
        <v>15</v>
      </c>
      <c r="I173" s="32" t="str">
        <f>'14U BOYS PLATINUM-10 TEAMS'!I31&amp;""</f>
        <v>1st</v>
      </c>
      <c r="J173" s="32" t="str">
        <f>'14U BOYS PLATINUM-10 TEAMS'!J31&amp;""</f>
        <v>14U_BOYS_PLATINUM</v>
      </c>
      <c r="K173" s="32" t="str">
        <f t="shared" si="2"/>
        <v>202603081430</v>
      </c>
    </row>
    <row r="174" spans="1:11">
      <c r="A174" s="94">
        <f>'14U BOYS PLATINUM-10 TEAMS'!A32</f>
        <v>46089</v>
      </c>
      <c r="B174" s="93">
        <f>'14U BOYS PLATINUM-10 TEAMS'!B32</f>
        <v>0.63888888888888895</v>
      </c>
      <c r="C174" s="93" t="str">
        <f>'14U BOYS PLATINUM-10 TEAMS'!C32&amp;""</f>
        <v>WESTMINSTER HS</v>
      </c>
      <c r="D174" s="32" t="str">
        <f>'14U BOYS PLATINUM-10 TEAMS'!D32&amp;""</f>
        <v>14Bpt17</v>
      </c>
      <c r="E174" s="32" t="str">
        <f>'14U BOYS PLATINUM-10 TEAMS'!E32&amp;""</f>
        <v>W#13-ORWP A</v>
      </c>
      <c r="F174" s="32" t="str">
        <f>'14U BOYS PLATINUM-10 TEAMS'!F32&amp;""</f>
        <v>9</v>
      </c>
      <c r="G174" s="32" t="str">
        <f>'14U BOYS PLATINUM-10 TEAMS'!G32&amp;""</f>
        <v>W#14-PATRIOT RED</v>
      </c>
      <c r="H174" s="32" t="str">
        <f>'14U BOYS PLATINUM-10 TEAMS'!H32&amp;""</f>
        <v>8</v>
      </c>
      <c r="I174" s="32" t="str">
        <f>'14U BOYS PLATINUM-10 TEAMS'!I32&amp;""</f>
        <v>5th</v>
      </c>
      <c r="J174" s="32" t="str">
        <f>'14U BOYS PLATINUM-10 TEAMS'!J32&amp;""</f>
        <v>14U_BOYS_PLATINUM</v>
      </c>
      <c r="K174" s="32" t="str">
        <f t="shared" si="2"/>
        <v>202603081520</v>
      </c>
    </row>
    <row r="175" spans="1:11">
      <c r="A175" s="94">
        <f>'14U BOYS PLATINUM-10 TEAMS'!A33</f>
        <v>46089</v>
      </c>
      <c r="B175" s="93">
        <f>'14U BOYS PLATINUM-10 TEAMS'!B33</f>
        <v>0.67361111111111105</v>
      </c>
      <c r="C175" s="93" t="str">
        <f>'14U BOYS PLATINUM-10 TEAMS'!C33&amp;""</f>
        <v>WESTMINSTER HS</v>
      </c>
      <c r="D175" s="32" t="str">
        <f>'14U BOYS PLATINUM-10 TEAMS'!D33&amp;""</f>
        <v>14Bpt19</v>
      </c>
      <c r="E175" s="32" t="str">
        <f>'14U BOYS PLATINUM-10 TEAMS'!E33&amp;""</f>
        <v>L#14-ROUTE 66</v>
      </c>
      <c r="F175" s="32" t="str">
        <f>'14U BOYS PLATINUM-10 TEAMS'!F33&amp;""</f>
        <v>8</v>
      </c>
      <c r="G175" s="32" t="str">
        <f>'14U BOYS PLATINUM-10 TEAMS'!G33&amp;""</f>
        <v>4thC-DEVILS GATE</v>
      </c>
      <c r="H175" s="32" t="str">
        <f>'14U BOYS PLATINUM-10 TEAMS'!H33&amp;""</f>
        <v>11</v>
      </c>
      <c r="I175" s="32" t="str">
        <f>'14U BOYS PLATINUM-10 TEAMS'!I33&amp;""</f>
        <v>7th-10th</v>
      </c>
      <c r="J175" s="32" t="str">
        <f>'14U BOYS PLATINUM-10 TEAMS'!J33&amp;""</f>
        <v>14U_BOYS_PLATINUM</v>
      </c>
      <c r="K175" s="32" t="str">
        <f t="shared" si="2"/>
        <v>202603081610</v>
      </c>
    </row>
    <row r="176" spans="1:11">
      <c r="A176" s="107">
        <f>'14U GIRLS-9 TEAMS'!A14</f>
        <v>46088</v>
      </c>
      <c r="B176" s="106">
        <f>'14U GIRLS-9 TEAMS'!B14</f>
        <v>0.29166666666666669</v>
      </c>
      <c r="C176" s="105" t="str">
        <f>'14U GIRLS-9 TEAMS'!C14&amp;""</f>
        <v>EL TORO HS 1</v>
      </c>
      <c r="D176" s="28" t="str">
        <f>'14U GIRLS-9 TEAMS'!D14&amp;""</f>
        <v>14G01</v>
      </c>
      <c r="E176" s="28" t="str">
        <f>'14U GIRLS-9 TEAMS'!E14&amp;""</f>
        <v>C1-CV PREMIER</v>
      </c>
      <c r="F176" s="28" t="str">
        <f>'14U GIRLS-9 TEAMS'!F14&amp;""</f>
        <v>6</v>
      </c>
      <c r="G176" s="28" t="str">
        <f>'14U GIRLS-9 TEAMS'!G14&amp;""</f>
        <v>C2-INNIS ARDEN</v>
      </c>
      <c r="H176" s="28" t="str">
        <f>'14U GIRLS-9 TEAMS'!H14&amp;""</f>
        <v>16</v>
      </c>
      <c r="I176" s="28" t="str">
        <f>'14U GIRLS-9 TEAMS'!I14&amp;""</f>
        <v>C bracket silver 1st-3rd</v>
      </c>
      <c r="J176" s="28" t="str">
        <f>'14U GIRLS-9 TEAMS'!J14&amp;""</f>
        <v>14U_GIRLS</v>
      </c>
      <c r="K176" s="28" t="str">
        <f t="shared" si="2"/>
        <v>202603070700</v>
      </c>
    </row>
    <row r="177" spans="1:11">
      <c r="A177" s="107">
        <f>'14U GIRLS-9 TEAMS'!A15</f>
        <v>46088</v>
      </c>
      <c r="B177" s="106">
        <f>'14U GIRLS-9 TEAMS'!B15</f>
        <v>0.3263888888888889</v>
      </c>
      <c r="C177" s="105" t="str">
        <f>'14U GIRLS-9 TEAMS'!C15&amp;""</f>
        <v>EL TORO HS 1</v>
      </c>
      <c r="D177" s="28" t="str">
        <f>'14U GIRLS-9 TEAMS'!D15&amp;""</f>
        <v>14G02</v>
      </c>
      <c r="E177" s="28" t="str">
        <f>'14U GIRLS-9 TEAMS'!E15&amp;""</f>
        <v>B1-SET</v>
      </c>
      <c r="F177" s="28" t="str">
        <f>'14U GIRLS-9 TEAMS'!F15&amp;""</f>
        <v>5</v>
      </c>
      <c r="G177" s="28" t="str">
        <f>'14U GIRLS-9 TEAMS'!G15&amp;""</f>
        <v>B3-ELITE</v>
      </c>
      <c r="H177" s="28" t="str">
        <f>'14U GIRLS-9 TEAMS'!H15&amp;""</f>
        <v>4</v>
      </c>
      <c r="I177" s="28" t="str">
        <f>'14U GIRLS-9 TEAMS'!I15&amp;""</f>
        <v>B bracket gold 1st-3rd</v>
      </c>
      <c r="J177" s="28" t="str">
        <f>'14U GIRLS-9 TEAMS'!J15&amp;""</f>
        <v>14U_GIRLS</v>
      </c>
      <c r="K177" s="28" t="str">
        <f t="shared" si="2"/>
        <v>202603070750</v>
      </c>
    </row>
    <row r="178" spans="1:11">
      <c r="A178" s="107">
        <f>'14U GIRLS-9 TEAMS'!A16</f>
        <v>46088</v>
      </c>
      <c r="B178" s="106">
        <f>'14U GIRLS-9 TEAMS'!B16</f>
        <v>0.36111111111111099</v>
      </c>
      <c r="C178" s="105" t="str">
        <f>'14U GIRLS-9 TEAMS'!C16&amp;""</f>
        <v>EL TORO HS 1</v>
      </c>
      <c r="D178" s="28" t="str">
        <f>'14U GIRLS-9 TEAMS'!D16&amp;""</f>
        <v>14G03</v>
      </c>
      <c r="E178" s="28" t="str">
        <f>'14U GIRLS-9 TEAMS'!E16&amp;""</f>
        <v>A2-ROGUE 619</v>
      </c>
      <c r="F178" s="28" t="str">
        <f>'14U GIRLS-9 TEAMS'!F16&amp;""</f>
        <v>17</v>
      </c>
      <c r="G178" s="28" t="str">
        <f>'14U GIRLS-9 TEAMS'!G16&amp;""</f>
        <v>A3-NORTH IRVINE</v>
      </c>
      <c r="H178" s="28" t="str">
        <f>'14U GIRLS-9 TEAMS'!H16&amp;""</f>
        <v>5</v>
      </c>
      <c r="I178" s="28" t="str">
        <f>'14U GIRLS-9 TEAMS'!I16&amp;""</f>
        <v>A bracket platinum 1st-3rd</v>
      </c>
      <c r="J178" s="28" t="str">
        <f>'14U GIRLS-9 TEAMS'!J16&amp;""</f>
        <v>14U_GIRLS</v>
      </c>
      <c r="K178" s="28" t="str">
        <f t="shared" si="2"/>
        <v>202603070840</v>
      </c>
    </row>
    <row r="179" spans="1:11">
      <c r="A179" s="107">
        <f>'14U GIRLS-9 TEAMS'!A18</f>
        <v>46088</v>
      </c>
      <c r="B179" s="106">
        <f>'14U GIRLS-9 TEAMS'!B18</f>
        <v>0.46527777777777801</v>
      </c>
      <c r="C179" s="105" t="str">
        <f>'14U GIRLS-9 TEAMS'!C18&amp;""</f>
        <v>EL TORO HS 1</v>
      </c>
      <c r="D179" s="28" t="str">
        <f>'14U GIRLS-9 TEAMS'!D18&amp;""</f>
        <v>14G04</v>
      </c>
      <c r="E179" s="28" t="str">
        <f>'14U GIRLS-9 TEAMS'!E18&amp;""</f>
        <v>C1-CV PREMIER</v>
      </c>
      <c r="F179" s="28" t="str">
        <f>'14U GIRLS-9 TEAMS'!F18&amp;""</f>
        <v>10</v>
      </c>
      <c r="G179" s="149" t="str">
        <f>'14U GIRLS-9 TEAMS'!G18&amp;""</f>
        <v>C3-TROJAN</v>
      </c>
      <c r="H179" s="28" t="str">
        <f>'14U GIRLS-9 TEAMS'!H18&amp;""</f>
        <v>5</v>
      </c>
      <c r="I179" s="28" t="str">
        <f>'14U GIRLS-9 TEAMS'!I18&amp;""</f>
        <v>C bracket silver 1st-3rd</v>
      </c>
      <c r="J179" s="28" t="str">
        <f>'14U GIRLS-9 TEAMS'!J18&amp;""</f>
        <v>14U_GIRLS</v>
      </c>
      <c r="K179" s="28" t="str">
        <f t="shared" si="2"/>
        <v>202603071110</v>
      </c>
    </row>
    <row r="180" spans="1:11">
      <c r="A180" s="107">
        <f>'14U GIRLS-9 TEAMS'!A19</f>
        <v>46088</v>
      </c>
      <c r="B180" s="106">
        <f>'14U GIRLS-9 TEAMS'!B19</f>
        <v>0.5</v>
      </c>
      <c r="C180" s="105" t="str">
        <f>'14U GIRLS-9 TEAMS'!C19&amp;""</f>
        <v>EL TORO HS 1</v>
      </c>
      <c r="D180" s="28" t="str">
        <f>'14U GIRLS-9 TEAMS'!D19&amp;""</f>
        <v>14G05</v>
      </c>
      <c r="E180" s="28" t="str">
        <f>'14U GIRLS-9 TEAMS'!E19&amp;""</f>
        <v>B1-SET</v>
      </c>
      <c r="F180" s="28" t="str">
        <f>'14U GIRLS-9 TEAMS'!F19&amp;""</f>
        <v>4</v>
      </c>
      <c r="G180" s="28" t="str">
        <f>'14U GIRLS-9 TEAMS'!G19&amp;""</f>
        <v>B2-PALOS VERDES BLACK</v>
      </c>
      <c r="H180" s="28" t="str">
        <f>'14U GIRLS-9 TEAMS'!H19&amp;""</f>
        <v>9</v>
      </c>
      <c r="I180" s="28" t="str">
        <f>'14U GIRLS-9 TEAMS'!I19&amp;""</f>
        <v>B bracket gold 1st-3rd</v>
      </c>
      <c r="J180" s="28" t="str">
        <f>'14U GIRLS-9 TEAMS'!J19&amp;""</f>
        <v>14U_GIRLS</v>
      </c>
      <c r="K180" s="28" t="str">
        <f t="shared" si="2"/>
        <v>202603071200</v>
      </c>
    </row>
    <row r="181" spans="1:11">
      <c r="A181" s="107">
        <f>'14U GIRLS-9 TEAMS'!A20</f>
        <v>46088</v>
      </c>
      <c r="B181" s="106">
        <f>'14U GIRLS-9 TEAMS'!B20</f>
        <v>0.53472222222222199</v>
      </c>
      <c r="C181" s="105" t="str">
        <f>'14U GIRLS-9 TEAMS'!C20&amp;""</f>
        <v>EL TORO HS 1</v>
      </c>
      <c r="D181" s="28" t="str">
        <f>'14U GIRLS-9 TEAMS'!D20&amp;""</f>
        <v>14G06</v>
      </c>
      <c r="E181" s="28" t="str">
        <f>'14U GIRLS-9 TEAMS'!E20&amp;""</f>
        <v>A1-VIKING</v>
      </c>
      <c r="F181" s="28" t="str">
        <f>'14U GIRLS-9 TEAMS'!F20&amp;""</f>
        <v>17</v>
      </c>
      <c r="G181" s="28" t="str">
        <f>'14U GIRLS-9 TEAMS'!G20&amp;""</f>
        <v>A3-NORTH IRVINE</v>
      </c>
      <c r="H181" s="28" t="str">
        <f>'14U GIRLS-9 TEAMS'!H20&amp;""</f>
        <v>8</v>
      </c>
      <c r="I181" s="28" t="str">
        <f>'14U GIRLS-9 TEAMS'!I20&amp;""</f>
        <v>A bracket platinum 1st-3rd</v>
      </c>
      <c r="J181" s="28" t="str">
        <f>'14U GIRLS-9 TEAMS'!J20&amp;""</f>
        <v>14U_GIRLS</v>
      </c>
      <c r="K181" s="28" t="str">
        <f t="shared" si="2"/>
        <v>202603071250</v>
      </c>
    </row>
    <row r="182" spans="1:11">
      <c r="A182" s="107">
        <f>'14U GIRLS-9 TEAMS'!A22</f>
        <v>46088</v>
      </c>
      <c r="B182" s="106">
        <f>'14U GIRLS-9 TEAMS'!B22</f>
        <v>0.63888888888888895</v>
      </c>
      <c r="C182" s="105" t="str">
        <f>'14U GIRLS-9 TEAMS'!C22&amp;""</f>
        <v>EL TORO HS 1</v>
      </c>
      <c r="D182" s="28" t="str">
        <f>'14U GIRLS-9 TEAMS'!D22&amp;""</f>
        <v>14G07</v>
      </c>
      <c r="E182" s="28" t="str">
        <f>'14U GIRLS-9 TEAMS'!E22&amp;""</f>
        <v>C2-INNIS ARDEN</v>
      </c>
      <c r="F182" s="28" t="str">
        <f>'14U GIRLS-9 TEAMS'!F22&amp;""</f>
        <v>17</v>
      </c>
      <c r="G182" s="28" t="str">
        <f>'14U GIRLS-9 TEAMS'!G22&amp;""</f>
        <v>C3-TROJAN</v>
      </c>
      <c r="H182" s="28" t="str">
        <f>'14U GIRLS-9 TEAMS'!H22&amp;""</f>
        <v>4</v>
      </c>
      <c r="I182" s="28" t="str">
        <f>'14U GIRLS-9 TEAMS'!I22&amp;""</f>
        <v>C bracket silver 1st-3rd</v>
      </c>
      <c r="J182" s="28" t="str">
        <f>'14U GIRLS-9 TEAMS'!J22&amp;""</f>
        <v>14U_GIRLS</v>
      </c>
      <c r="K182" s="28" t="str">
        <f t="shared" si="2"/>
        <v>202603071520</v>
      </c>
    </row>
    <row r="183" spans="1:11">
      <c r="A183" s="107">
        <f>'14U GIRLS-9 TEAMS'!A23</f>
        <v>46088</v>
      </c>
      <c r="B183" s="106">
        <f>'14U GIRLS-9 TEAMS'!B23</f>
        <v>0.67361111111111105</v>
      </c>
      <c r="C183" s="105" t="str">
        <f>'14U GIRLS-9 TEAMS'!C23&amp;""</f>
        <v>SAN JUAN HILLS HS</v>
      </c>
      <c r="D183" s="28" t="str">
        <f>'14U GIRLS-9 TEAMS'!D23&amp;""</f>
        <v>14G08</v>
      </c>
      <c r="E183" s="28" t="str">
        <f>'14U GIRLS-9 TEAMS'!E23&amp;""</f>
        <v>B2-PALOS VERDES BLACK</v>
      </c>
      <c r="F183" s="28" t="str">
        <f>'14U GIRLS-9 TEAMS'!F23&amp;""</f>
        <v>5</v>
      </c>
      <c r="G183" s="28" t="str">
        <f>'14U GIRLS-9 TEAMS'!G23&amp;""</f>
        <v>B3-ELITE</v>
      </c>
      <c r="H183" s="28" t="str">
        <f>'14U GIRLS-9 TEAMS'!H23&amp;""</f>
        <v>6</v>
      </c>
      <c r="I183" s="28" t="str">
        <f>'14U GIRLS-9 TEAMS'!I23&amp;""</f>
        <v>B bracket gold 1st-3rd</v>
      </c>
      <c r="J183" s="28" t="str">
        <f>'14U GIRLS-9 TEAMS'!J23&amp;""</f>
        <v>14U_GIRLS</v>
      </c>
      <c r="K183" s="28" t="str">
        <f t="shared" si="2"/>
        <v>202603071610</v>
      </c>
    </row>
    <row r="184" spans="1:11">
      <c r="A184" s="107">
        <f>'14U GIRLS-9 TEAMS'!A24</f>
        <v>46088</v>
      </c>
      <c r="B184" s="106">
        <f>'14U GIRLS-9 TEAMS'!B24</f>
        <v>0.67361111111111105</v>
      </c>
      <c r="C184" s="105" t="str">
        <f>'14U GIRLS-9 TEAMS'!C24&amp;""</f>
        <v>EL TORO HS 1</v>
      </c>
      <c r="D184" s="28" t="str">
        <f>'14U GIRLS-9 TEAMS'!D24&amp;""</f>
        <v>14G09</v>
      </c>
      <c r="E184" s="28" t="str">
        <f>'14U GIRLS-9 TEAMS'!E24&amp;""</f>
        <v>A1-VIKING</v>
      </c>
      <c r="F184" s="28" t="str">
        <f>'14U GIRLS-9 TEAMS'!F24&amp;""</f>
        <v>5</v>
      </c>
      <c r="G184" s="28" t="str">
        <f>'14U GIRLS-9 TEAMS'!G24&amp;""</f>
        <v>A2-ROGUE 619</v>
      </c>
      <c r="H184" s="28" t="str">
        <f>'14U GIRLS-9 TEAMS'!H24&amp;""</f>
        <v>9</v>
      </c>
      <c r="I184" s="28" t="str">
        <f>'14U GIRLS-9 TEAMS'!I24&amp;""</f>
        <v>A bracket platinum 1st-3rd</v>
      </c>
      <c r="J184" s="28" t="str">
        <f>'14U GIRLS-9 TEAMS'!J24&amp;""</f>
        <v>14U_GIRLS</v>
      </c>
      <c r="K184" s="28" t="str">
        <f t="shared" si="2"/>
        <v>202603071610</v>
      </c>
    </row>
    <row r="185" spans="1:11">
      <c r="A185" s="107">
        <f>'14U GIRLS-9 TEAMS'!A28</f>
        <v>46089</v>
      </c>
      <c r="B185" s="106">
        <f>'14U GIRLS-9 TEAMS'!B28</f>
        <v>0.3263888888888889</v>
      </c>
      <c r="C185" s="105" t="str">
        <f>'14U GIRLS-9 TEAMS'!C28&amp;""</f>
        <v>EL TORO HS 1</v>
      </c>
      <c r="D185" s="28" t="str">
        <f>'14U GIRLS-9 TEAMS'!D28&amp;""</f>
        <v>14G10</v>
      </c>
      <c r="E185" s="28" t="str">
        <f>'14U GIRLS-9 TEAMS'!E28&amp;""</f>
        <v>D1(3rdA)-NORTH IRVINE</v>
      </c>
      <c r="F185" s="28" t="str">
        <f>'14U GIRLS-9 TEAMS'!F28&amp;""</f>
        <v>16</v>
      </c>
      <c r="G185" s="28" t="str">
        <f>'14U GIRLS-9 TEAMS'!G28&amp;""</f>
        <v>D3(3rdC)-TROJAN</v>
      </c>
      <c r="H185" s="28" t="str">
        <f>'14U GIRLS-9 TEAMS'!H28&amp;""</f>
        <v>3</v>
      </c>
      <c r="I185" s="28" t="str">
        <f>'14U GIRLS-9 TEAMS'!I28&amp;""</f>
        <v>plat-gold-silver D1,D3</v>
      </c>
      <c r="J185" s="28" t="str">
        <f>'14U GIRLS-9 TEAMS'!J28&amp;""</f>
        <v>14U_GIRLS</v>
      </c>
      <c r="K185" s="28" t="str">
        <f t="shared" si="2"/>
        <v>202603080750</v>
      </c>
    </row>
    <row r="186" spans="1:11">
      <c r="A186" s="107">
        <f>'14U GIRLS-9 TEAMS'!A29</f>
        <v>46089</v>
      </c>
      <c r="B186" s="106">
        <f>'14U GIRLS-9 TEAMS'!B29</f>
        <v>0.36111111111111099</v>
      </c>
      <c r="C186" s="105" t="str">
        <f>'14U GIRLS-9 TEAMS'!C29&amp;""</f>
        <v>EL TORO HS 1</v>
      </c>
      <c r="D186" s="28" t="str">
        <f>'14U GIRLS-9 TEAMS'!D29&amp;""</f>
        <v>14G11</v>
      </c>
      <c r="E186" s="28" t="str">
        <f>'14U GIRLS-9 TEAMS'!E29&amp;""</f>
        <v>E1(2ndA)-VIKING</v>
      </c>
      <c r="F186" s="28" t="str">
        <f>'14U GIRLS-9 TEAMS'!F29&amp;""</f>
        <v>10</v>
      </c>
      <c r="G186" s="28" t="str">
        <f>'14U GIRLS-9 TEAMS'!G29&amp;""</f>
        <v>E3(2ndC)-CV PREMIER</v>
      </c>
      <c r="H186" s="28" t="str">
        <f>'14U GIRLS-9 TEAMS'!H29&amp;""</f>
        <v>3</v>
      </c>
      <c r="I186" s="28" t="str">
        <f>'14U GIRLS-9 TEAMS'!I29&amp;""</f>
        <v>plat-gold-silver E1,E3</v>
      </c>
      <c r="J186" s="28" t="str">
        <f>'14U GIRLS-9 TEAMS'!J29&amp;""</f>
        <v>14U_GIRLS</v>
      </c>
      <c r="K186" s="28" t="str">
        <f t="shared" si="2"/>
        <v>202603080840</v>
      </c>
    </row>
    <row r="187" spans="1:11">
      <c r="A187" s="107">
        <f>'14U GIRLS-9 TEAMS'!A30</f>
        <v>46089</v>
      </c>
      <c r="B187" s="106">
        <f>'14U GIRLS-9 TEAMS'!B30</f>
        <v>0.39583333333333398</v>
      </c>
      <c r="C187" s="105" t="str">
        <f>'14U GIRLS-9 TEAMS'!C30&amp;""</f>
        <v>EL TORO HS 1</v>
      </c>
      <c r="D187" s="28" t="str">
        <f>'14U GIRLS-9 TEAMS'!D30&amp;""</f>
        <v>14G12</v>
      </c>
      <c r="E187" s="28" t="str">
        <f>'14U GIRLS-9 TEAMS'!E30&amp;""</f>
        <v>F1(1stA)-ROGUE 619</v>
      </c>
      <c r="F187" s="28" t="str">
        <f>'14U GIRLS-9 TEAMS'!F30&amp;""</f>
        <v>11</v>
      </c>
      <c r="G187" s="28" t="str">
        <f>'14U GIRLS-9 TEAMS'!G30&amp;""</f>
        <v>F3(1stC)-INNIS ARDEN</v>
      </c>
      <c r="H187" s="28" t="str">
        <f>'14U GIRLS-9 TEAMS'!H30&amp;""</f>
        <v>5</v>
      </c>
      <c r="I187" s="28" t="str">
        <f>'14U GIRLS-9 TEAMS'!I30&amp;""</f>
        <v>plat-gold-silver F1,F3</v>
      </c>
      <c r="J187" s="28" t="str">
        <f>'14U GIRLS-9 TEAMS'!J30&amp;""</f>
        <v>14U_GIRLS</v>
      </c>
      <c r="K187" s="28" t="str">
        <f t="shared" si="2"/>
        <v>202603080930</v>
      </c>
    </row>
    <row r="188" spans="1:11">
      <c r="A188" s="107">
        <f>'14U GIRLS-9 TEAMS'!A31</f>
        <v>46089</v>
      </c>
      <c r="B188" s="106">
        <f>'14U GIRLS-9 TEAMS'!B31</f>
        <v>0.43055555555555602</v>
      </c>
      <c r="C188" s="105" t="str">
        <f>'14U GIRLS-9 TEAMS'!C31&amp;""</f>
        <v>EL TORO HS 1</v>
      </c>
      <c r="D188" s="28" t="str">
        <f>'14U GIRLS-9 TEAMS'!D31&amp;""</f>
        <v>14G13</v>
      </c>
      <c r="E188" s="28" t="str">
        <f>'14U GIRLS-9 TEAMS'!E31&amp;""</f>
        <v>D2(3rdB)-ELITE</v>
      </c>
      <c r="F188" s="28" t="str">
        <f>'14U GIRLS-9 TEAMS'!F31&amp;""</f>
        <v>18</v>
      </c>
      <c r="G188" s="28" t="str">
        <f>'14U GIRLS-9 TEAMS'!G31&amp;""</f>
        <v>D3(3rdC)-TROJAN</v>
      </c>
      <c r="H188" s="28" t="str">
        <f>'14U GIRLS-9 TEAMS'!H31&amp;""</f>
        <v>3</v>
      </c>
      <c r="I188" s="28" t="str">
        <f>'14U GIRLS-9 TEAMS'!I31&amp;""</f>
        <v>plat-gold-silver D2,D3</v>
      </c>
      <c r="J188" s="28" t="str">
        <f>'14U GIRLS-9 TEAMS'!J31&amp;""</f>
        <v>14U_GIRLS</v>
      </c>
      <c r="K188" s="28" t="str">
        <f t="shared" si="2"/>
        <v>202603081020</v>
      </c>
    </row>
    <row r="189" spans="1:11">
      <c r="A189" s="107">
        <f>'14U GIRLS-9 TEAMS'!A32</f>
        <v>46089</v>
      </c>
      <c r="B189" s="106">
        <f>'14U GIRLS-9 TEAMS'!B32</f>
        <v>0.46527777777777801</v>
      </c>
      <c r="C189" s="105" t="str">
        <f>'14U GIRLS-9 TEAMS'!C32&amp;""</f>
        <v>EL TORO HS 1</v>
      </c>
      <c r="D189" s="28" t="str">
        <f>'14U GIRLS-9 TEAMS'!D32&amp;""</f>
        <v>14G14</v>
      </c>
      <c r="E189" s="28" t="str">
        <f>'14U GIRLS-9 TEAMS'!E32&amp;""</f>
        <v>E2(2ndB)-SET</v>
      </c>
      <c r="F189" s="28" t="str">
        <f>'14U GIRLS-9 TEAMS'!F32&amp;""</f>
        <v>11</v>
      </c>
      <c r="G189" s="28" t="str">
        <f>'14U GIRLS-9 TEAMS'!G32&amp;""</f>
        <v>E3(2ndC)-CV PREMIER</v>
      </c>
      <c r="H189" s="28" t="str">
        <f>'14U GIRLS-9 TEAMS'!H32&amp;""</f>
        <v>5</v>
      </c>
      <c r="I189" s="28" t="str">
        <f>'14U GIRLS-9 TEAMS'!I32&amp;""</f>
        <v>plat-gold-silver E2,E3</v>
      </c>
      <c r="J189" s="28" t="str">
        <f>'14U GIRLS-9 TEAMS'!J32&amp;""</f>
        <v>14U_GIRLS</v>
      </c>
      <c r="K189" s="28" t="str">
        <f t="shared" si="2"/>
        <v>202603081110</v>
      </c>
    </row>
    <row r="190" spans="1:11">
      <c r="A190" s="107">
        <f>'14U GIRLS-9 TEAMS'!A33</f>
        <v>46089</v>
      </c>
      <c r="B190" s="106">
        <f>'14U GIRLS-9 TEAMS'!B33</f>
        <v>0.5</v>
      </c>
      <c r="C190" s="105" t="str">
        <f>'14U GIRLS-9 TEAMS'!C33&amp;""</f>
        <v>EL TORO HS 1</v>
      </c>
      <c r="D190" s="28" t="str">
        <f>'14U GIRLS-9 TEAMS'!D33&amp;""</f>
        <v>14G15</v>
      </c>
      <c r="E190" s="28" t="str">
        <f>'14U GIRLS-9 TEAMS'!E33&amp;""</f>
        <v>F2(1stB)-PALOS VERDES BLACK</v>
      </c>
      <c r="F190" s="28" t="str">
        <f>'14U GIRLS-9 TEAMS'!F33&amp;""</f>
        <v>10</v>
      </c>
      <c r="G190" s="28" t="str">
        <f>'14U GIRLS-9 TEAMS'!G33&amp;""</f>
        <v>F3(1stC)-INNIS ARDEN</v>
      </c>
      <c r="H190" s="28" t="str">
        <f>'14U GIRLS-9 TEAMS'!H33&amp;""</f>
        <v>7</v>
      </c>
      <c r="I190" s="28" t="str">
        <f>'14U GIRLS-9 TEAMS'!I33&amp;""</f>
        <v>plat-gold-silver F2,F3</v>
      </c>
      <c r="J190" s="28" t="str">
        <f>'14U GIRLS-9 TEAMS'!J33&amp;""</f>
        <v>14U_GIRLS</v>
      </c>
      <c r="K190" s="28" t="str">
        <f t="shared" si="2"/>
        <v>202603081200</v>
      </c>
    </row>
    <row r="191" spans="1:11">
      <c r="A191" s="107">
        <f>'14U GIRLS-9 TEAMS'!A35</f>
        <v>46089</v>
      </c>
      <c r="B191" s="106">
        <f>'14U GIRLS-9 TEAMS'!B35</f>
        <v>0.60416666666666696</v>
      </c>
      <c r="C191" s="105" t="str">
        <f>'14U GIRLS-9 TEAMS'!C35&amp;""</f>
        <v>EL TORO HS 1</v>
      </c>
      <c r="D191" s="28" t="str">
        <f>'14U GIRLS-9 TEAMS'!D35&amp;""</f>
        <v>14G16</v>
      </c>
      <c r="E191" s="28" t="str">
        <f>'14U GIRLS-9 TEAMS'!E35&amp;""</f>
        <v>D1(3rdA)-NORTH IRVINE</v>
      </c>
      <c r="F191" s="28" t="str">
        <f>'14U GIRLS-9 TEAMS'!F35&amp;""</f>
        <v>6</v>
      </c>
      <c r="G191" s="28" t="str">
        <f>'14U GIRLS-9 TEAMS'!G35&amp;""</f>
        <v>D2(3rdB)-ELITE</v>
      </c>
      <c r="H191" s="28" t="str">
        <f>'14U GIRLS-9 TEAMS'!H35&amp;""</f>
        <v>11</v>
      </c>
      <c r="I191" s="28" t="str">
        <f>'14U GIRLS-9 TEAMS'!I35&amp;""</f>
        <v>plat-gold-silver D1,D2</v>
      </c>
      <c r="J191" s="28" t="str">
        <f>'14U GIRLS-9 TEAMS'!J35&amp;""</f>
        <v>14U_GIRLS</v>
      </c>
      <c r="K191" s="28" t="str">
        <f t="shared" si="2"/>
        <v>202603081430</v>
      </c>
    </row>
    <row r="192" spans="1:11">
      <c r="A192" s="107">
        <f>'14U GIRLS-9 TEAMS'!A36</f>
        <v>46089</v>
      </c>
      <c r="B192" s="106">
        <f>'14U GIRLS-9 TEAMS'!B36</f>
        <v>0.63888888888888895</v>
      </c>
      <c r="C192" s="105" t="str">
        <f>'14U GIRLS-9 TEAMS'!C36&amp;""</f>
        <v>EL TORO HS 1</v>
      </c>
      <c r="D192" s="28" t="str">
        <f>'14U GIRLS-9 TEAMS'!D36&amp;""</f>
        <v>14G17</v>
      </c>
      <c r="E192" s="28" t="str">
        <f>'14U GIRLS-9 TEAMS'!E36&amp;""</f>
        <v>E1(2ndA)-VIKING</v>
      </c>
      <c r="F192" s="28" t="str">
        <f>'14U GIRLS-9 TEAMS'!F36&amp;""</f>
        <v>11</v>
      </c>
      <c r="G192" s="28" t="str">
        <f>'14U GIRLS-9 TEAMS'!G36&amp;""</f>
        <v>E2(2ndB)-SET</v>
      </c>
      <c r="H192" s="28" t="str">
        <f>'14U GIRLS-9 TEAMS'!H36&amp;""</f>
        <v>6</v>
      </c>
      <c r="I192" s="28" t="str">
        <f>'14U GIRLS-9 TEAMS'!I36&amp;""</f>
        <v>plat-gold-silver E1,E2</v>
      </c>
      <c r="J192" s="28" t="str">
        <f>'14U GIRLS-9 TEAMS'!J36&amp;""</f>
        <v>14U_GIRLS</v>
      </c>
      <c r="K192" s="28" t="str">
        <f t="shared" si="2"/>
        <v>202603081520</v>
      </c>
    </row>
    <row r="193" spans="1:11">
      <c r="A193" s="107">
        <f>'14U GIRLS-9 TEAMS'!A37</f>
        <v>46089</v>
      </c>
      <c r="B193" s="106">
        <f>'14U GIRLS-9 TEAMS'!B37</f>
        <v>0.67361111111111105</v>
      </c>
      <c r="C193" s="105" t="str">
        <f>'14U GIRLS-9 TEAMS'!C37&amp;""</f>
        <v>EL TORO HS 1</v>
      </c>
      <c r="D193" s="28" t="str">
        <f>'14U GIRLS-9 TEAMS'!D37&amp;""</f>
        <v>14G18</v>
      </c>
      <c r="E193" s="28" t="str">
        <f>'14U GIRLS-9 TEAMS'!E37&amp;""</f>
        <v>F1(1stA)-ROGUE 619</v>
      </c>
      <c r="F193" s="28" t="str">
        <f>'14U GIRLS-9 TEAMS'!F37&amp;""</f>
        <v>10</v>
      </c>
      <c r="G193" s="28" t="str">
        <f>'14U GIRLS-9 TEAMS'!G37&amp;""</f>
        <v>F2(1stB)-PALOS VERDES BLACK</v>
      </c>
      <c r="H193" s="28" t="str">
        <f>'14U GIRLS-9 TEAMS'!H37&amp;""</f>
        <v>9</v>
      </c>
      <c r="I193" s="28" t="str">
        <f>'14U GIRLS-9 TEAMS'!I37&amp;""</f>
        <v>plat-gold-silver F1,F2</v>
      </c>
      <c r="J193" s="28" t="str">
        <f>'14U GIRLS-9 TEAMS'!J37&amp;""</f>
        <v>14U_GIRLS</v>
      </c>
      <c r="K193" s="28" t="str">
        <f t="shared" si="2"/>
        <v>202603081610</v>
      </c>
    </row>
    <row r="194" spans="1:11">
      <c r="A194" s="113">
        <f>'16U BOYS SILVER-8 TEAMS'!A10</f>
        <v>46088</v>
      </c>
      <c r="B194" s="112">
        <f>'16U BOYS SILVER-8 TEAMS'!B10</f>
        <v>0.33333333333333298</v>
      </c>
      <c r="C194" s="27" t="str">
        <f>'16U BOYS SILVER-8 TEAMS'!C10&amp;""</f>
        <v>COSTA MESA HS 1</v>
      </c>
      <c r="D194" s="27" t="str">
        <f>'16U BOYS SILVER-8 TEAMS'!D10&amp;""</f>
        <v>16Bag01</v>
      </c>
      <c r="E194" s="27" t="str">
        <f>'16U BOYS SILVER-8 TEAMS'!E10&amp;""</f>
        <v>B1-TITANS</v>
      </c>
      <c r="F194" s="27" t="str">
        <f>'16U BOYS SILVER-8 TEAMS'!F10&amp;""</f>
        <v>9</v>
      </c>
      <c r="G194" s="27" t="str">
        <f>'16U BOYS SILVER-8 TEAMS'!G10&amp;""</f>
        <v>B4-NORTH IRVINE 14 BLACK</v>
      </c>
      <c r="H194" s="27" t="str">
        <f>'16U BOYS SILVER-8 TEAMS'!H10&amp;""</f>
        <v>20</v>
      </c>
      <c r="I194" s="27" t="str">
        <f>'16U BOYS SILVER-8 TEAMS'!I10&amp;""</f>
        <v>bracket, B1/B4</v>
      </c>
      <c r="J194" s="27" t="str">
        <f>'16U BOYS SILVER-8 TEAMS'!J10&amp;""</f>
        <v>16U_BOYS_SILVER</v>
      </c>
      <c r="K194" s="27" t="str">
        <f t="shared" si="2"/>
        <v>202603070800</v>
      </c>
    </row>
    <row r="195" spans="1:11">
      <c r="A195" s="113">
        <f>'16U BOYS SILVER-8 TEAMS'!A11</f>
        <v>46088</v>
      </c>
      <c r="B195" s="112">
        <f>'16U BOYS SILVER-8 TEAMS'!B11</f>
        <v>0.375</v>
      </c>
      <c r="C195" s="27" t="str">
        <f>'16U BOYS SILVER-8 TEAMS'!C11&amp;""</f>
        <v>COSTA MESA HS 1</v>
      </c>
      <c r="D195" s="27" t="str">
        <f>'16U BOYS SILVER-8 TEAMS'!D11&amp;""</f>
        <v>16Bag02</v>
      </c>
      <c r="E195" s="27" t="str">
        <f>'16U BOYS SILVER-8 TEAMS'!E11&amp;""</f>
        <v>B2-TRILOGY WHITE</v>
      </c>
      <c r="F195" s="27" t="str">
        <f>'16U BOYS SILVER-8 TEAMS'!F11&amp;""</f>
        <v>12</v>
      </c>
      <c r="G195" s="27" t="str">
        <f>'16U BOYS SILVER-8 TEAMS'!G11&amp;""</f>
        <v>B3-SAN CLEMENTE BLACK</v>
      </c>
      <c r="H195" s="27" t="str">
        <f>'16U BOYS SILVER-8 TEAMS'!H11&amp;""</f>
        <v>14</v>
      </c>
      <c r="I195" s="27" t="str">
        <f>'16U BOYS SILVER-8 TEAMS'!I11&amp;""</f>
        <v>bracket, B2/B3</v>
      </c>
      <c r="J195" s="27" t="str">
        <f>'16U BOYS SILVER-8 TEAMS'!J11&amp;""</f>
        <v>16U_BOYS_SILVER</v>
      </c>
      <c r="K195" s="27" t="str">
        <f t="shared" ref="K195:K258" si="3">TEXT(DATE(2026, MONTH(A195), DAY(A195)) + TIME(HOUR(B195), MINUTE(B195), 0), "yyyymmddhhmm")</f>
        <v>202603070900</v>
      </c>
    </row>
    <row r="196" spans="1:11">
      <c r="A196" s="113">
        <f>'16U BOYS SILVER-8 TEAMS'!A12</f>
        <v>46088</v>
      </c>
      <c r="B196" s="112">
        <f>'16U BOYS SILVER-8 TEAMS'!B12</f>
        <v>0.41666666666666702</v>
      </c>
      <c r="C196" s="27" t="str">
        <f>'16U BOYS SILVER-8 TEAMS'!C12&amp;""</f>
        <v>COSTA MESA HS 1</v>
      </c>
      <c r="D196" s="27" t="str">
        <f>'16U BOYS SILVER-8 TEAMS'!D12&amp;""</f>
        <v>16Bag03</v>
      </c>
      <c r="E196" s="27" t="str">
        <f>'16U BOYS SILVER-8 TEAMS'!E12&amp;""</f>
        <v>A2-CMAC</v>
      </c>
      <c r="F196" s="27" t="str">
        <f>'16U BOYS SILVER-8 TEAMS'!F12&amp;""</f>
        <v>10</v>
      </c>
      <c r="G196" s="27" t="str">
        <f>'16U BOYS SILVER-8 TEAMS'!G12&amp;""</f>
        <v>A3-PALOS VERDES BLUE</v>
      </c>
      <c r="H196" s="27" t="str">
        <f>'16U BOYS SILVER-8 TEAMS'!H12&amp;""</f>
        <v>6</v>
      </c>
      <c r="I196" s="27" t="str">
        <f>'16U BOYS SILVER-8 TEAMS'!I12&amp;""</f>
        <v>bracket, A2/A3</v>
      </c>
      <c r="J196" s="27" t="str">
        <f>'16U BOYS SILVER-8 TEAMS'!J12&amp;""</f>
        <v>16U_BOYS_SILVER</v>
      </c>
      <c r="K196" s="27" t="str">
        <f t="shared" si="3"/>
        <v>202603071000</v>
      </c>
    </row>
    <row r="197" spans="1:11">
      <c r="A197" s="113">
        <f>'16U BOYS SILVER-8 TEAMS'!A13</f>
        <v>46088</v>
      </c>
      <c r="B197" s="112">
        <f>'16U BOYS SILVER-8 TEAMS'!B13</f>
        <v>0.45833333333333298</v>
      </c>
      <c r="C197" s="27" t="str">
        <f>'16U BOYS SILVER-8 TEAMS'!C13&amp;""</f>
        <v>COSTA MESA HS 1</v>
      </c>
      <c r="D197" s="27" t="str">
        <f>'16U BOYS SILVER-8 TEAMS'!D13&amp;""</f>
        <v>16Bag04</v>
      </c>
      <c r="E197" s="27" t="str">
        <f>'16U BOYS SILVER-8 TEAMS'!E13&amp;""</f>
        <v>A1-HIELAND</v>
      </c>
      <c r="F197" s="27" t="str">
        <f>'16U BOYS SILVER-8 TEAMS'!F13&amp;""</f>
        <v>9</v>
      </c>
      <c r="G197" s="27" t="str">
        <f>'16U BOYS SILVER-8 TEAMS'!G13&amp;""</f>
        <v>A4-SUPREME</v>
      </c>
      <c r="H197" s="27" t="str">
        <f>'16U BOYS SILVER-8 TEAMS'!H13&amp;""</f>
        <v>10</v>
      </c>
      <c r="I197" s="27" t="str">
        <f>'16U BOYS SILVER-8 TEAMS'!I13&amp;""</f>
        <v>bracket, A1/A4</v>
      </c>
      <c r="J197" s="27" t="str">
        <f>'16U BOYS SILVER-8 TEAMS'!J13&amp;""</f>
        <v>16U_BOYS_SILVER</v>
      </c>
      <c r="K197" s="27" t="str">
        <f t="shared" si="3"/>
        <v>202603071100</v>
      </c>
    </row>
    <row r="198" spans="1:11">
      <c r="A198" s="113">
        <f>'16U BOYS SILVER-8 TEAMS'!A14</f>
        <v>46088</v>
      </c>
      <c r="B198" s="112">
        <f>'16U BOYS SILVER-8 TEAMS'!B14</f>
        <v>0.5</v>
      </c>
      <c r="C198" s="27" t="str">
        <f>'16U BOYS SILVER-8 TEAMS'!C14&amp;""</f>
        <v>COSTA MESA HS 1</v>
      </c>
      <c r="D198" s="27" t="str">
        <f>'16U BOYS SILVER-8 TEAMS'!D14&amp;""</f>
        <v>16Bag05</v>
      </c>
      <c r="E198" s="27" t="str">
        <f>'16U BOYS SILVER-8 TEAMS'!E14&amp;""</f>
        <v>B1-TITANS</v>
      </c>
      <c r="F198" s="27" t="str">
        <f>'16U BOYS SILVER-8 TEAMS'!F14&amp;""</f>
        <v>8</v>
      </c>
      <c r="G198" s="27" t="str">
        <f>'16U BOYS SILVER-8 TEAMS'!G14&amp;""</f>
        <v>B3-SAN CLEMENTE BLACK</v>
      </c>
      <c r="H198" s="27" t="str">
        <f>'16U BOYS SILVER-8 TEAMS'!H14&amp;""</f>
        <v>15</v>
      </c>
      <c r="I198" s="27" t="str">
        <f>'16U BOYS SILVER-8 TEAMS'!I14&amp;""</f>
        <v>bracket, B1/B3</v>
      </c>
      <c r="J198" s="27" t="str">
        <f>'16U BOYS SILVER-8 TEAMS'!J14&amp;""</f>
        <v>16U_BOYS_SILVER</v>
      </c>
      <c r="K198" s="27" t="str">
        <f t="shared" si="3"/>
        <v>202603071200</v>
      </c>
    </row>
    <row r="199" spans="1:11">
      <c r="A199" s="113">
        <f>'16U BOYS SILVER-8 TEAMS'!A15</f>
        <v>46088</v>
      </c>
      <c r="B199" s="112">
        <f>'16U BOYS SILVER-8 TEAMS'!B15</f>
        <v>0.54166666666666696</v>
      </c>
      <c r="C199" s="27" t="str">
        <f>'16U BOYS SILVER-8 TEAMS'!C15&amp;""</f>
        <v>COSTA MESA HS 1</v>
      </c>
      <c r="D199" s="27" t="str">
        <f>'16U BOYS SILVER-8 TEAMS'!D15&amp;""</f>
        <v>16Bag06</v>
      </c>
      <c r="E199" s="27" t="str">
        <f>'16U BOYS SILVER-8 TEAMS'!E15&amp;""</f>
        <v>B2-TRILOGY WHITE</v>
      </c>
      <c r="F199" s="27" t="str">
        <f>'16U BOYS SILVER-8 TEAMS'!F15&amp;""</f>
        <v>11</v>
      </c>
      <c r="G199" s="27" t="str">
        <f>'16U BOYS SILVER-8 TEAMS'!G15&amp;""</f>
        <v>B4-NORTH IRVINE 14 BLACK</v>
      </c>
      <c r="H199" s="27" t="str">
        <f>'16U BOYS SILVER-8 TEAMS'!H15&amp;""</f>
        <v>6</v>
      </c>
      <c r="I199" s="27" t="str">
        <f>'16U BOYS SILVER-8 TEAMS'!I15&amp;""</f>
        <v>bracket, B2/B4</v>
      </c>
      <c r="J199" s="27" t="str">
        <f>'16U BOYS SILVER-8 TEAMS'!J15&amp;""</f>
        <v>16U_BOYS_SILVER</v>
      </c>
      <c r="K199" s="27" t="str">
        <f t="shared" si="3"/>
        <v>202603071300</v>
      </c>
    </row>
    <row r="200" spans="1:11">
      <c r="A200" s="113">
        <f>'16U BOYS SILVER-8 TEAMS'!A16</f>
        <v>46088</v>
      </c>
      <c r="B200" s="112">
        <f>'16U BOYS SILVER-8 TEAMS'!B16</f>
        <v>0.58333333333333304</v>
      </c>
      <c r="C200" s="27" t="str">
        <f>'16U BOYS SILVER-8 TEAMS'!C16&amp;""</f>
        <v>COSTA MESA HS 1</v>
      </c>
      <c r="D200" s="27" t="str">
        <f>'16U BOYS SILVER-8 TEAMS'!D16&amp;""</f>
        <v>16Bag07</v>
      </c>
      <c r="E200" s="27" t="str">
        <f>'16U BOYS SILVER-8 TEAMS'!E16&amp;""</f>
        <v>A2-CMAC</v>
      </c>
      <c r="F200" s="27" t="str">
        <f>'16U BOYS SILVER-8 TEAMS'!F16&amp;""</f>
        <v>11</v>
      </c>
      <c r="G200" s="27" t="str">
        <f>'16U BOYS SILVER-8 TEAMS'!G16&amp;""</f>
        <v>A4-SUPREME</v>
      </c>
      <c r="H200" s="27" t="str">
        <f>'16U BOYS SILVER-8 TEAMS'!H16&amp;""</f>
        <v>6</v>
      </c>
      <c r="I200" s="27" t="str">
        <f>'16U BOYS SILVER-8 TEAMS'!I16&amp;""</f>
        <v>bracket, A2/A4</v>
      </c>
      <c r="J200" s="27" t="str">
        <f>'16U BOYS SILVER-8 TEAMS'!J16&amp;""</f>
        <v>16U_BOYS_SILVER</v>
      </c>
      <c r="K200" s="27" t="str">
        <f t="shared" si="3"/>
        <v>202603071400</v>
      </c>
    </row>
    <row r="201" spans="1:11">
      <c r="A201" s="113">
        <f>'16U BOYS SILVER-8 TEAMS'!A17</f>
        <v>46088</v>
      </c>
      <c r="B201" s="112">
        <f>'16U BOYS SILVER-8 TEAMS'!B17</f>
        <v>0.625</v>
      </c>
      <c r="C201" s="27" t="str">
        <f>'16U BOYS SILVER-8 TEAMS'!C17&amp;""</f>
        <v>ESTANCIA HS 1</v>
      </c>
      <c r="D201" s="27" t="str">
        <f>'16U BOYS SILVER-8 TEAMS'!D17&amp;""</f>
        <v>16Bag08</v>
      </c>
      <c r="E201" s="27" t="str">
        <f>'16U BOYS SILVER-8 TEAMS'!E17&amp;""</f>
        <v>A1-HIELAND</v>
      </c>
      <c r="F201" s="27" t="str">
        <f>'16U BOYS SILVER-8 TEAMS'!F17&amp;""</f>
        <v>17</v>
      </c>
      <c r="G201" s="27" t="str">
        <f>'16U BOYS SILVER-8 TEAMS'!G17&amp;""</f>
        <v>A3-PALOS VERDES BLUE</v>
      </c>
      <c r="H201" s="27" t="str">
        <f>'16U BOYS SILVER-8 TEAMS'!H17&amp;""</f>
        <v>2</v>
      </c>
      <c r="I201" s="27" t="str">
        <f>'16U BOYS SILVER-8 TEAMS'!I17&amp;""</f>
        <v>bracket, A1/A3</v>
      </c>
      <c r="J201" s="27" t="str">
        <f>'16U BOYS SILVER-8 TEAMS'!J17&amp;""</f>
        <v>16U_BOYS_SILVER</v>
      </c>
      <c r="K201" s="27" t="str">
        <f t="shared" si="3"/>
        <v>202603071500</v>
      </c>
    </row>
    <row r="202" spans="1:11">
      <c r="A202" s="113">
        <f>'16U BOYS SILVER-8 TEAMS'!A21</f>
        <v>46089</v>
      </c>
      <c r="B202" s="112">
        <f>'16U BOYS SILVER-8 TEAMS'!B21</f>
        <v>0.33333333333333298</v>
      </c>
      <c r="C202" s="27" t="str">
        <f>'16U BOYS SILVER-8 TEAMS'!C21&amp;""</f>
        <v>COSTA MESA HS 1</v>
      </c>
      <c r="D202" s="27" t="str">
        <f>'16U BOYS SILVER-8 TEAMS'!D21&amp;""</f>
        <v>16Bag09</v>
      </c>
      <c r="E202" s="27" t="str">
        <f>'16U BOYS SILVER-8 TEAMS'!E21&amp;""</f>
        <v>B3-SAN CLEMENTE BLACK</v>
      </c>
      <c r="F202" s="27" t="str">
        <f>'16U BOYS SILVER-8 TEAMS'!F21&amp;""</f>
        <v>16</v>
      </c>
      <c r="G202" s="27" t="str">
        <f>'16U BOYS SILVER-8 TEAMS'!G21&amp;""</f>
        <v>B4-NORTH IRVINE 14 BLACK</v>
      </c>
      <c r="H202" s="27" t="str">
        <f>'16U BOYS SILVER-8 TEAMS'!H21&amp;""</f>
        <v>17</v>
      </c>
      <c r="I202" s="27" t="str">
        <f>'16U BOYS SILVER-8 TEAMS'!I21&amp;""</f>
        <v>bracket, B3/B4</v>
      </c>
      <c r="J202" s="27" t="str">
        <f>'16U BOYS SILVER-8 TEAMS'!J21&amp;""</f>
        <v>16U_BOYS_SILVER</v>
      </c>
      <c r="K202" s="27" t="str">
        <f t="shared" si="3"/>
        <v>202603080800</v>
      </c>
    </row>
    <row r="203" spans="1:11">
      <c r="A203" s="113">
        <f>'16U BOYS SILVER-8 TEAMS'!A22</f>
        <v>46089</v>
      </c>
      <c r="B203" s="112">
        <f>'16U BOYS SILVER-8 TEAMS'!B22</f>
        <v>0.375</v>
      </c>
      <c r="C203" s="27" t="str">
        <f>'16U BOYS SILVER-8 TEAMS'!C22&amp;""</f>
        <v>COSTA MESA HS 1</v>
      </c>
      <c r="D203" s="27" t="str">
        <f>'16U BOYS SILVER-8 TEAMS'!D22&amp;""</f>
        <v>16Bag10</v>
      </c>
      <c r="E203" s="27" t="str">
        <f>'16U BOYS SILVER-8 TEAMS'!E22&amp;""</f>
        <v>A3-PALOS VERDES BLUE</v>
      </c>
      <c r="F203" s="27" t="str">
        <f>'16U BOYS SILVER-8 TEAMS'!F22&amp;""</f>
        <v>7</v>
      </c>
      <c r="G203" s="27" t="str">
        <f>'16U BOYS SILVER-8 TEAMS'!G22&amp;""</f>
        <v>A4-SUPREME</v>
      </c>
      <c r="H203" s="27" t="str">
        <f>'16U BOYS SILVER-8 TEAMS'!H22&amp;""</f>
        <v>6</v>
      </c>
      <c r="I203" s="27" t="str">
        <f>'16U BOYS SILVER-8 TEAMS'!I22&amp;""</f>
        <v>bracket, A3/A4</v>
      </c>
      <c r="J203" s="27" t="str">
        <f>'16U BOYS SILVER-8 TEAMS'!J22&amp;""</f>
        <v>16U_BOYS_SILVER</v>
      </c>
      <c r="K203" s="27" t="str">
        <f t="shared" si="3"/>
        <v>202603080900</v>
      </c>
    </row>
    <row r="204" spans="1:11">
      <c r="A204" s="113">
        <f>'16U BOYS SILVER-8 TEAMS'!A23</f>
        <v>46089</v>
      </c>
      <c r="B204" s="112">
        <f>'16U BOYS SILVER-8 TEAMS'!B23</f>
        <v>0.41666666666666702</v>
      </c>
      <c r="C204" s="27" t="str">
        <f>'16U BOYS SILVER-8 TEAMS'!C23&amp;""</f>
        <v>COSTA MESA HS 1</v>
      </c>
      <c r="D204" s="27" t="str">
        <f>'16U BOYS SILVER-8 TEAMS'!D23&amp;""</f>
        <v>16Bag11</v>
      </c>
      <c r="E204" s="27" t="str">
        <f>'16U BOYS SILVER-8 TEAMS'!E23&amp;""</f>
        <v>B1-TITANS</v>
      </c>
      <c r="F204" s="27" t="str">
        <f>'16U BOYS SILVER-8 TEAMS'!F23&amp;""</f>
        <v>10</v>
      </c>
      <c r="G204" s="27" t="str">
        <f>'16U BOYS SILVER-8 TEAMS'!G23&amp;""</f>
        <v>B2-TRILOGY WHITE</v>
      </c>
      <c r="H204" s="27" t="str">
        <f>'16U BOYS SILVER-8 TEAMS'!H23&amp;""</f>
        <v>16</v>
      </c>
      <c r="I204" s="27" t="str">
        <f>'16U BOYS SILVER-8 TEAMS'!I23&amp;""</f>
        <v>bracket, B1/B2</v>
      </c>
      <c r="J204" s="27" t="str">
        <f>'16U BOYS SILVER-8 TEAMS'!J23&amp;""</f>
        <v>16U_BOYS_SILVER</v>
      </c>
      <c r="K204" s="27" t="str">
        <f t="shared" si="3"/>
        <v>202603081000</v>
      </c>
    </row>
    <row r="205" spans="1:11">
      <c r="A205" s="113">
        <f>'16U BOYS SILVER-8 TEAMS'!A24</f>
        <v>46089</v>
      </c>
      <c r="B205" s="112">
        <f>'16U BOYS SILVER-8 TEAMS'!B24</f>
        <v>0.45833333333333298</v>
      </c>
      <c r="C205" s="27" t="str">
        <f>'16U BOYS SILVER-8 TEAMS'!C24&amp;""</f>
        <v>COSTA MESA HS 1</v>
      </c>
      <c r="D205" s="27" t="str">
        <f>'16U BOYS SILVER-8 TEAMS'!D24&amp;""</f>
        <v>16Bag12</v>
      </c>
      <c r="E205" s="27" t="str">
        <f>'16U BOYS SILVER-8 TEAMS'!E24&amp;""</f>
        <v>A1-HIELAND</v>
      </c>
      <c r="F205" s="27" t="str">
        <f>'16U BOYS SILVER-8 TEAMS'!F24&amp;""</f>
        <v>7</v>
      </c>
      <c r="G205" s="27" t="str">
        <f>'16U BOYS SILVER-8 TEAMS'!G24&amp;""</f>
        <v>A2-CMAC</v>
      </c>
      <c r="H205" s="27" t="str">
        <f>'16U BOYS SILVER-8 TEAMS'!H24&amp;""</f>
        <v>9</v>
      </c>
      <c r="I205" s="27" t="str">
        <f>'16U BOYS SILVER-8 TEAMS'!I24&amp;""</f>
        <v>bracket, A1/A2</v>
      </c>
      <c r="J205" s="27" t="str">
        <f>'16U BOYS SILVER-8 TEAMS'!J24&amp;""</f>
        <v>16U_BOYS_SILVER</v>
      </c>
      <c r="K205" s="27" t="str">
        <f t="shared" si="3"/>
        <v>202603081100</v>
      </c>
    </row>
    <row r="206" spans="1:11">
      <c r="A206" s="113">
        <f>'16U BOYS SILVER-8 TEAMS'!A25</f>
        <v>46089</v>
      </c>
      <c r="B206" s="112">
        <f>'16U BOYS SILVER-8 TEAMS'!B25</f>
        <v>0.5</v>
      </c>
      <c r="C206" s="27" t="str">
        <f>'16U BOYS SILVER-8 TEAMS'!C25&amp;""</f>
        <v>COSTA MESA HS 1</v>
      </c>
      <c r="D206" s="27" t="str">
        <f>'16U BOYS SILVER-8 TEAMS'!D25&amp;""</f>
        <v>16Bag13</v>
      </c>
      <c r="E206" s="27" t="str">
        <f>'16U BOYS SILVER-8 TEAMS'!E25&amp;""</f>
        <v>4thA-PALOS VERDES BLUE</v>
      </c>
      <c r="F206" s="27" t="str">
        <f>'16U BOYS SILVER-8 TEAMS'!F25&amp;""</f>
        <v>14</v>
      </c>
      <c r="G206" s="27" t="str">
        <f>'16U BOYS SILVER-8 TEAMS'!G25&amp;""</f>
        <v>4thB-TITANS</v>
      </c>
      <c r="H206" s="27" t="str">
        <f>'16U BOYS SILVER-8 TEAMS'!H25&amp;""</f>
        <v>7</v>
      </c>
      <c r="I206" s="27" t="str">
        <f>'16U BOYS SILVER-8 TEAMS'!I25&amp;""</f>
        <v>7th</v>
      </c>
      <c r="J206" s="27" t="str">
        <f>'16U BOYS SILVER-8 TEAMS'!J25&amp;""</f>
        <v>16U_BOYS_SILVER</v>
      </c>
      <c r="K206" s="27" t="str">
        <f t="shared" si="3"/>
        <v>202603081200</v>
      </c>
    </row>
    <row r="207" spans="1:11">
      <c r="A207" s="113">
        <f>'16U BOYS SILVER-8 TEAMS'!A26</f>
        <v>46089</v>
      </c>
      <c r="B207" s="112">
        <f>'16U BOYS SILVER-8 TEAMS'!B26</f>
        <v>0.54166666666666696</v>
      </c>
      <c r="C207" s="27" t="str">
        <f>'16U BOYS SILVER-8 TEAMS'!C26&amp;""</f>
        <v>COSTA MESA HS 1</v>
      </c>
      <c r="D207" s="27" t="str">
        <f>'16U BOYS SILVER-8 TEAMS'!D26&amp;""</f>
        <v>16Bag14</v>
      </c>
      <c r="E207" s="27" t="str">
        <f>'16U BOYS SILVER-8 TEAMS'!E26&amp;""</f>
        <v>3rdA-SUPREME</v>
      </c>
      <c r="F207" s="27" t="str">
        <f>'16U BOYS SILVER-8 TEAMS'!F26&amp;""</f>
        <v>5</v>
      </c>
      <c r="G207" s="27" t="str">
        <f>'16U BOYS SILVER-8 TEAMS'!G26&amp;""</f>
        <v>3rdB-SAN CLEMENTE BLACK</v>
      </c>
      <c r="H207" s="27" t="str">
        <f>'16U BOYS SILVER-8 TEAMS'!H26&amp;""</f>
        <v>6</v>
      </c>
      <c r="I207" s="27" t="str">
        <f>'16U BOYS SILVER-8 TEAMS'!I26&amp;""</f>
        <v>5th</v>
      </c>
      <c r="J207" s="27" t="str">
        <f>'16U BOYS SILVER-8 TEAMS'!J26&amp;""</f>
        <v>16U_BOYS_SILVER</v>
      </c>
      <c r="K207" s="27" t="str">
        <f t="shared" si="3"/>
        <v>202603081300</v>
      </c>
    </row>
    <row r="208" spans="1:11">
      <c r="A208" s="113">
        <f>'16U BOYS SILVER-8 TEAMS'!A27</f>
        <v>46089</v>
      </c>
      <c r="B208" s="112">
        <f>'16U BOYS SILVER-8 TEAMS'!B27</f>
        <v>0.58333333333333304</v>
      </c>
      <c r="C208" s="27" t="str">
        <f>'16U BOYS SILVER-8 TEAMS'!C27&amp;""</f>
        <v>COSTA MESA HS 1</v>
      </c>
      <c r="D208" s="27" t="str">
        <f>'16U BOYS SILVER-8 TEAMS'!D27&amp;""</f>
        <v>16Bag15</v>
      </c>
      <c r="E208" s="27" t="str">
        <f>'16U BOYS SILVER-8 TEAMS'!E27&amp;""</f>
        <v>2ndA-HIELAND</v>
      </c>
      <c r="F208" s="27" t="str">
        <f>'16U BOYS SILVER-8 TEAMS'!F27&amp;""</f>
        <v>16</v>
      </c>
      <c r="G208" s="27" t="str">
        <f>'16U BOYS SILVER-8 TEAMS'!G27&amp;""</f>
        <v>2ndB-NORTH IRVINE 14 BLACK</v>
      </c>
      <c r="H208" s="27" t="str">
        <f>'16U BOYS SILVER-8 TEAMS'!H27&amp;""</f>
        <v>7</v>
      </c>
      <c r="I208" s="27" t="str">
        <f>'16U BOYS SILVER-8 TEAMS'!I27&amp;""</f>
        <v>3rd</v>
      </c>
      <c r="J208" s="27" t="str">
        <f>'16U BOYS SILVER-8 TEAMS'!J27&amp;""</f>
        <v>16U_BOYS_SILVER</v>
      </c>
      <c r="K208" s="27" t="str">
        <f t="shared" si="3"/>
        <v>202603081400</v>
      </c>
    </row>
    <row r="209" spans="1:11">
      <c r="A209" s="113">
        <f>'16U BOYS SILVER-8 TEAMS'!A28</f>
        <v>46089</v>
      </c>
      <c r="B209" s="112">
        <f>'16U BOYS SILVER-8 TEAMS'!B28</f>
        <v>0.625</v>
      </c>
      <c r="C209" s="156" t="str">
        <f>'16U BOYS SILVER-8 TEAMS'!C28&amp;""</f>
        <v>COSTA MESA HS 1</v>
      </c>
      <c r="D209" s="27" t="str">
        <f>'16U BOYS SILVER-8 TEAMS'!D28&amp;""</f>
        <v>16Bag16</v>
      </c>
      <c r="E209" s="27" t="str">
        <f>'16U BOYS SILVER-8 TEAMS'!E28&amp;""</f>
        <v>1stA-CMAC</v>
      </c>
      <c r="F209" s="27" t="str">
        <f>'16U BOYS SILVER-8 TEAMS'!F28&amp;""</f>
        <v>13</v>
      </c>
      <c r="G209" s="27" t="str">
        <f>'16U BOYS SILVER-8 TEAMS'!G28&amp;""</f>
        <v>1stB-TRILOGY WHITE</v>
      </c>
      <c r="H209" s="27" t="str">
        <f>'16U BOYS SILVER-8 TEAMS'!H28&amp;""</f>
        <v>9</v>
      </c>
      <c r="I209" s="27" t="str">
        <f>'16U BOYS SILVER-8 TEAMS'!I28&amp;""</f>
        <v>1st</v>
      </c>
      <c r="J209" s="27" t="str">
        <f>'16U BOYS SILVER-8 TEAMS'!J28&amp;""</f>
        <v>16U_BOYS_SILVER</v>
      </c>
      <c r="K209" s="27" t="str">
        <f t="shared" si="3"/>
        <v>202603081500</v>
      </c>
    </row>
    <row r="210" spans="1:11">
      <c r="A210" s="157">
        <f>'16U BOYS PLATINUM GOLD-10 TEAMS'!A10</f>
        <v>46088</v>
      </c>
      <c r="B210" s="158">
        <f>'16U BOYS PLATINUM GOLD-10 TEAMS'!B10</f>
        <v>0.29166666666666669</v>
      </c>
      <c r="C210" s="158" t="str">
        <f>'16U BOYS PLATINUM GOLD-10 TEAMS'!C10&amp;""</f>
        <v>WOOLLETT NEAR RIGHT</v>
      </c>
      <c r="D210" s="159" t="str">
        <f>'16U BOYS PLATINUM GOLD-10 TEAMS'!D10&amp;""</f>
        <v>16Bptau01</v>
      </c>
      <c r="E210" s="158" t="str">
        <f>'16U BOYS PLATINUM GOLD-10 TEAMS'!E10&amp;""</f>
        <v>A1-ORWP A</v>
      </c>
      <c r="F210" s="158" t="str">
        <f>'16U BOYS PLATINUM GOLD-10 TEAMS'!F10&amp;""</f>
        <v>15</v>
      </c>
      <c r="G210" s="159" t="str">
        <f>'16U BOYS PLATINUM GOLD-10 TEAMS'!G10&amp;""</f>
        <v>A2-DEVILS GATE</v>
      </c>
      <c r="H210" s="159" t="str">
        <f>'16U BOYS PLATINUM GOLD-10 TEAMS'!H10&amp;""</f>
        <v>6</v>
      </c>
      <c r="I210" s="159" t="str">
        <f>'16U BOYS PLATINUM GOLD-10 TEAMS'!I10&amp;""</f>
        <v>A bracket A1,A2 platinum 1st-3rd</v>
      </c>
      <c r="J210" s="159" t="str">
        <f>'16U BOYS PLATINUM GOLD-10 TEAMS'!J10&amp;""</f>
        <v>16U_BOYS_PLATINUM_GOLD</v>
      </c>
      <c r="K210" s="159" t="str">
        <f t="shared" si="3"/>
        <v>202603070700</v>
      </c>
    </row>
    <row r="211" spans="1:11">
      <c r="A211" s="157">
        <f>'16U BOYS PLATINUM GOLD-10 TEAMS'!A11</f>
        <v>46088</v>
      </c>
      <c r="B211" s="158">
        <f>'16U BOYS PLATINUM GOLD-10 TEAMS'!B11</f>
        <v>0.33333333333333298</v>
      </c>
      <c r="C211" s="158" t="str">
        <f>'16U BOYS PLATINUM GOLD-10 TEAMS'!C11&amp;""</f>
        <v>WOOLLETT NEAR RIGHT</v>
      </c>
      <c r="D211" s="159" t="str">
        <f>'16U BOYS PLATINUM GOLD-10 TEAMS'!D11&amp;""</f>
        <v>16Bptau02</v>
      </c>
      <c r="E211" s="159" t="str">
        <f>'16U BOYS PLATINUM GOLD-10 TEAMS'!E11&amp;""</f>
        <v>B1-ALAMEDA</v>
      </c>
      <c r="F211" s="159" t="str">
        <f>'16U BOYS PLATINUM GOLD-10 TEAMS'!F11&amp;""</f>
        <v>15</v>
      </c>
      <c r="G211" s="159" t="str">
        <f>'16U BOYS PLATINUM GOLD-10 TEAMS'!G11&amp;""</f>
        <v>B2-INNIS ARDEN</v>
      </c>
      <c r="H211" s="159" t="str">
        <f>'16U BOYS PLATINUM GOLD-10 TEAMS'!H11&amp;""</f>
        <v>8</v>
      </c>
      <c r="I211" s="159" t="str">
        <f>'16U BOYS PLATINUM GOLD-10 TEAMS'!I11&amp;""</f>
        <v>B bracket B1,B2</v>
      </c>
      <c r="J211" s="159" t="str">
        <f>'16U BOYS PLATINUM GOLD-10 TEAMS'!J11&amp;""</f>
        <v>16U_BOYS_PLATINUM_GOLD</v>
      </c>
      <c r="K211" s="159" t="str">
        <f t="shared" si="3"/>
        <v>202603070800</v>
      </c>
    </row>
    <row r="212" spans="1:11">
      <c r="A212" s="157">
        <f>'16U BOYS PLATINUM GOLD-10 TEAMS'!A12</f>
        <v>46088</v>
      </c>
      <c r="B212" s="158">
        <f>'16U BOYS PLATINUM GOLD-10 TEAMS'!B12</f>
        <v>0.375</v>
      </c>
      <c r="C212" s="158" t="str">
        <f>'16U BOYS PLATINUM GOLD-10 TEAMS'!C12&amp;""</f>
        <v>WOOLLETT NEAR RIGHT</v>
      </c>
      <c r="D212" s="159" t="str">
        <f>'16U BOYS PLATINUM GOLD-10 TEAMS'!D12&amp;""</f>
        <v>16Bptau03</v>
      </c>
      <c r="E212" s="159" t="str">
        <f>'16U BOYS PLATINUM GOLD-10 TEAMS'!E12&amp;""</f>
        <v>C1-VANGUARD SILVER</v>
      </c>
      <c r="F212" s="159" t="str">
        <f>'16U BOYS PLATINUM GOLD-10 TEAMS'!F12&amp;""</f>
        <v>22</v>
      </c>
      <c r="G212" s="159" t="str">
        <f>'16U BOYS PLATINUM GOLD-10 TEAMS'!G12&amp;""</f>
        <v>C4-ELITE</v>
      </c>
      <c r="H212" s="159" t="str">
        <f>'16U BOYS PLATINUM GOLD-10 TEAMS'!H12&amp;""</f>
        <v>5</v>
      </c>
      <c r="I212" s="159" t="str">
        <f>'16U BOYS PLATINUM GOLD-10 TEAMS'!I12&amp;""</f>
        <v>C bracket C1,C4</v>
      </c>
      <c r="J212" s="159" t="str">
        <f>'16U BOYS PLATINUM GOLD-10 TEAMS'!J12&amp;""</f>
        <v>16U_BOYS_PLATINUM_GOLD</v>
      </c>
      <c r="K212" s="159" t="str">
        <f t="shared" si="3"/>
        <v>202603070900</v>
      </c>
    </row>
    <row r="213" spans="1:11">
      <c r="A213" s="157">
        <f>'16U BOYS PLATINUM GOLD-10 TEAMS'!A13</f>
        <v>46088</v>
      </c>
      <c r="B213" s="158">
        <f>'16U BOYS PLATINUM GOLD-10 TEAMS'!B13</f>
        <v>0.41666666666666702</v>
      </c>
      <c r="C213" s="158" t="str">
        <f>'16U BOYS PLATINUM GOLD-10 TEAMS'!C13&amp;""</f>
        <v>WOOLLETT NEAR RIGHT</v>
      </c>
      <c r="D213" s="159" t="str">
        <f>'16U BOYS PLATINUM GOLD-10 TEAMS'!D13&amp;""</f>
        <v>16Bptau04</v>
      </c>
      <c r="E213" s="159" t="str">
        <f>'16U BOYS PLATINUM GOLD-10 TEAMS'!E13&amp;""</f>
        <v>C2-TRILOGY BLACK</v>
      </c>
      <c r="F213" s="159" t="str">
        <f>'16U BOYS PLATINUM GOLD-10 TEAMS'!F13&amp;""</f>
        <v>9</v>
      </c>
      <c r="G213" s="159" t="str">
        <f>'16U BOYS PLATINUM GOLD-10 TEAMS'!G13&amp;""</f>
        <v>C3-BREA OLINDA</v>
      </c>
      <c r="H213" s="159" t="str">
        <f>'16U BOYS PLATINUM GOLD-10 TEAMS'!H13&amp;""</f>
        <v>11</v>
      </c>
      <c r="I213" s="159" t="str">
        <f>'16U BOYS PLATINUM GOLD-10 TEAMS'!I13&amp;""</f>
        <v>C bracket C2,C3</v>
      </c>
      <c r="J213" s="159" t="str">
        <f>'16U BOYS PLATINUM GOLD-10 TEAMS'!J13&amp;""</f>
        <v>16U_BOYS_PLATINUM_GOLD</v>
      </c>
      <c r="K213" s="159" t="str">
        <f t="shared" si="3"/>
        <v>202603071000</v>
      </c>
    </row>
    <row r="214" spans="1:11">
      <c r="A214" s="157">
        <f>'16U BOYS PLATINUM GOLD-10 TEAMS'!A14</f>
        <v>46088</v>
      </c>
      <c r="B214" s="158">
        <f>'16U BOYS PLATINUM GOLD-10 TEAMS'!B14</f>
        <v>0.45833333333333298</v>
      </c>
      <c r="C214" s="158" t="str">
        <f>'16U BOYS PLATINUM GOLD-10 TEAMS'!C14&amp;""</f>
        <v>WOOLLETT NEAR RIGHT</v>
      </c>
      <c r="D214" s="157" t="str">
        <f>'16U BOYS PLATINUM GOLD-10 TEAMS'!D14&amp;""</f>
        <v>16Bptau05</v>
      </c>
      <c r="E214" s="158" t="str">
        <f>'16U BOYS PLATINUM GOLD-10 TEAMS'!E14&amp;""</f>
        <v>A2-DEVILS GATE</v>
      </c>
      <c r="F214" s="158" t="str">
        <f>'16U BOYS PLATINUM GOLD-10 TEAMS'!F14&amp;""</f>
        <v>10</v>
      </c>
      <c r="G214" s="159" t="str">
        <f>'16U BOYS PLATINUM GOLD-10 TEAMS'!G14&amp;""</f>
        <v>A3-CHANNEL ISLANDS UNITED BLUE</v>
      </c>
      <c r="H214" s="159" t="str">
        <f>'16U BOYS PLATINUM GOLD-10 TEAMS'!H14&amp;""</f>
        <v>11</v>
      </c>
      <c r="I214" s="159" t="str">
        <f>'16U BOYS PLATINUM GOLD-10 TEAMS'!I14&amp;""</f>
        <v>A bracket A2,A3 platinum 1st-3rd</v>
      </c>
      <c r="J214" s="159" t="str">
        <f>'16U BOYS PLATINUM GOLD-10 TEAMS'!J14&amp;""</f>
        <v>16U_BOYS_PLATINUM_GOLD</v>
      </c>
      <c r="K214" s="159" t="str">
        <f t="shared" si="3"/>
        <v>202603071100</v>
      </c>
    </row>
    <row r="215" spans="1:11">
      <c r="A215" s="157">
        <f>'16U BOYS PLATINUM GOLD-10 TEAMS'!A15</f>
        <v>46088</v>
      </c>
      <c r="B215" s="158">
        <f>'16U BOYS PLATINUM GOLD-10 TEAMS'!B15</f>
        <v>0.5</v>
      </c>
      <c r="C215" s="158" t="str">
        <f>'16U BOYS PLATINUM GOLD-10 TEAMS'!C15&amp;""</f>
        <v>WOOLLETT NEAR RIGHT</v>
      </c>
      <c r="D215" s="157" t="str">
        <f>'16U BOYS PLATINUM GOLD-10 TEAMS'!D15&amp;""</f>
        <v>16Bptau06</v>
      </c>
      <c r="E215" s="158" t="str">
        <f>'16U BOYS PLATINUM GOLD-10 TEAMS'!E15&amp;""</f>
        <v>B2-INNIS ARDEN</v>
      </c>
      <c r="F215" s="158" t="str">
        <f>'16U BOYS PLATINUM GOLD-10 TEAMS'!F15&amp;""</f>
        <v>5</v>
      </c>
      <c r="G215" s="159" t="str">
        <f>'16U BOYS PLATINUM GOLD-10 TEAMS'!G15&amp;""</f>
        <v>B3-TROJAN GOLD</v>
      </c>
      <c r="H215" s="159" t="str">
        <f>'16U BOYS PLATINUM GOLD-10 TEAMS'!H15&amp;""</f>
        <v>14</v>
      </c>
      <c r="I215" s="159" t="str">
        <f>'16U BOYS PLATINUM GOLD-10 TEAMS'!I15&amp;""</f>
        <v>B bracket B2,B3</v>
      </c>
      <c r="J215" s="159" t="str">
        <f>'16U BOYS PLATINUM GOLD-10 TEAMS'!J15&amp;""</f>
        <v>16U_BOYS_PLATINUM_GOLD</v>
      </c>
      <c r="K215" s="159" t="str">
        <f t="shared" si="3"/>
        <v>202603071200</v>
      </c>
    </row>
    <row r="216" spans="1:11">
      <c r="A216" s="157">
        <f>'16U BOYS PLATINUM GOLD-10 TEAMS'!A16</f>
        <v>46088</v>
      </c>
      <c r="B216" s="158">
        <f>'16U BOYS PLATINUM GOLD-10 TEAMS'!B16</f>
        <v>0.54166666666666696</v>
      </c>
      <c r="C216" s="158" t="str">
        <f>'16U BOYS PLATINUM GOLD-10 TEAMS'!C16&amp;""</f>
        <v>WOOLLETT NEAR RIGHT</v>
      </c>
      <c r="D216" s="157" t="str">
        <f>'16U BOYS PLATINUM GOLD-10 TEAMS'!D16&amp;""</f>
        <v>16Bptau07</v>
      </c>
      <c r="E216" s="158" t="str">
        <f>'16U BOYS PLATINUM GOLD-10 TEAMS'!E16&amp;""</f>
        <v>C1-VANGUARD SILVER</v>
      </c>
      <c r="F216" s="158" t="str">
        <f>'16U BOYS PLATINUM GOLD-10 TEAMS'!F16&amp;""</f>
        <v>15</v>
      </c>
      <c r="G216" s="159" t="str">
        <f>'16U BOYS PLATINUM GOLD-10 TEAMS'!G16&amp;""</f>
        <v>C2-TRILOGY BLACK</v>
      </c>
      <c r="H216" s="159" t="str">
        <f>'16U BOYS PLATINUM GOLD-10 TEAMS'!H16&amp;""</f>
        <v>4</v>
      </c>
      <c r="I216" s="159" t="str">
        <f>'16U BOYS PLATINUM GOLD-10 TEAMS'!I16&amp;""</f>
        <v>C bracket C1,C2</v>
      </c>
      <c r="J216" s="159" t="str">
        <f>'16U BOYS PLATINUM GOLD-10 TEAMS'!J16&amp;""</f>
        <v>16U_BOYS_PLATINUM_GOLD</v>
      </c>
      <c r="K216" s="159" t="str">
        <f t="shared" si="3"/>
        <v>202603071300</v>
      </c>
    </row>
    <row r="217" spans="1:11">
      <c r="A217" s="157">
        <f>'16U BOYS PLATINUM GOLD-10 TEAMS'!A17</f>
        <v>46088</v>
      </c>
      <c r="B217" s="158">
        <f>'16U BOYS PLATINUM GOLD-10 TEAMS'!B17</f>
        <v>0.58333333333333304</v>
      </c>
      <c r="C217" s="158" t="str">
        <f>'16U BOYS PLATINUM GOLD-10 TEAMS'!C17&amp;""</f>
        <v>WOOLLETT NEAR RIGHT</v>
      </c>
      <c r="D217" s="157" t="str">
        <f>'16U BOYS PLATINUM GOLD-10 TEAMS'!D17&amp;""</f>
        <v>16Bptau08</v>
      </c>
      <c r="E217" s="158" t="str">
        <f>'16U BOYS PLATINUM GOLD-10 TEAMS'!E17&amp;""</f>
        <v>C3-BREA OLINDA</v>
      </c>
      <c r="F217" s="158" t="str">
        <f>'16U BOYS PLATINUM GOLD-10 TEAMS'!F17&amp;""</f>
        <v>11.4</v>
      </c>
      <c r="G217" s="159" t="str">
        <f>'16U BOYS PLATINUM GOLD-10 TEAMS'!G17&amp;""</f>
        <v>C4-ELITE</v>
      </c>
      <c r="H217" s="159" t="str">
        <f>'16U BOYS PLATINUM GOLD-10 TEAMS'!H17&amp;""</f>
        <v>11.5</v>
      </c>
      <c r="I217" s="159" t="str">
        <f>'16U BOYS PLATINUM GOLD-10 TEAMS'!I17&amp;""</f>
        <v>C bracket C3,C4</v>
      </c>
      <c r="J217" s="159" t="str">
        <f>'16U BOYS PLATINUM GOLD-10 TEAMS'!J17&amp;""</f>
        <v>16U_BOYS_PLATINUM_GOLD</v>
      </c>
      <c r="K217" s="159" t="str">
        <f t="shared" si="3"/>
        <v>202603071400</v>
      </c>
    </row>
    <row r="218" spans="1:11">
      <c r="A218" s="157">
        <f>'16U BOYS PLATINUM GOLD-10 TEAMS'!A18</f>
        <v>46088</v>
      </c>
      <c r="B218" s="158">
        <f>'16U BOYS PLATINUM GOLD-10 TEAMS'!B18</f>
        <v>0.625</v>
      </c>
      <c r="C218" s="158" t="str">
        <f>'16U BOYS PLATINUM GOLD-10 TEAMS'!C18&amp;""</f>
        <v>WOOLLETT NEAR RIGHT</v>
      </c>
      <c r="D218" s="157" t="str">
        <f>'16U BOYS PLATINUM GOLD-10 TEAMS'!D18&amp;""</f>
        <v>16Bptau09</v>
      </c>
      <c r="E218" s="159" t="str">
        <f>'16U BOYS PLATINUM GOLD-10 TEAMS'!E18&amp;""</f>
        <v>A1-ORWP A</v>
      </c>
      <c r="F218" s="159" t="str">
        <f>'16U BOYS PLATINUM GOLD-10 TEAMS'!F18&amp;""</f>
        <v>10</v>
      </c>
      <c r="G218" s="159" t="str">
        <f>'16U BOYS PLATINUM GOLD-10 TEAMS'!G18&amp;""</f>
        <v>A3-CHANNEL ISLANDS UNITED BLUE</v>
      </c>
      <c r="H218" s="159" t="str">
        <f>'16U BOYS PLATINUM GOLD-10 TEAMS'!H18&amp;""</f>
        <v>6</v>
      </c>
      <c r="I218" s="159" t="str">
        <f>'16U BOYS PLATINUM GOLD-10 TEAMS'!I18&amp;""</f>
        <v>A bracket A1,A3 platinum 1st-3rd</v>
      </c>
      <c r="J218" s="159" t="str">
        <f>'16U BOYS PLATINUM GOLD-10 TEAMS'!J18&amp;""</f>
        <v>16U_BOYS_PLATINUM_GOLD</v>
      </c>
      <c r="K218" s="159" t="str">
        <f t="shared" si="3"/>
        <v>202603071500</v>
      </c>
    </row>
    <row r="219" spans="1:11">
      <c r="A219" s="157">
        <f>'16U BOYS PLATINUM GOLD-10 TEAMS'!A19</f>
        <v>46088</v>
      </c>
      <c r="B219" s="158">
        <f>'16U BOYS PLATINUM GOLD-10 TEAMS'!B19</f>
        <v>0.66666666666666696</v>
      </c>
      <c r="C219" s="158" t="str">
        <f>'16U BOYS PLATINUM GOLD-10 TEAMS'!C19&amp;""</f>
        <v>WOOLLETT NEAR RIGHT</v>
      </c>
      <c r="D219" s="157" t="str">
        <f>'16U BOYS PLATINUM GOLD-10 TEAMS'!D19&amp;""</f>
        <v>16Bptau10</v>
      </c>
      <c r="E219" s="158" t="str">
        <f>'16U BOYS PLATINUM GOLD-10 TEAMS'!E19&amp;""</f>
        <v>B1-ALAMEDA</v>
      </c>
      <c r="F219" s="158" t="str">
        <f>'16U BOYS PLATINUM GOLD-10 TEAMS'!F19&amp;""</f>
        <v>7</v>
      </c>
      <c r="G219" s="159" t="str">
        <f>'16U BOYS PLATINUM GOLD-10 TEAMS'!G19&amp;""</f>
        <v>B3-TROJAN GOLD</v>
      </c>
      <c r="H219" s="159" t="str">
        <f>'16U BOYS PLATINUM GOLD-10 TEAMS'!H19&amp;""</f>
        <v>4</v>
      </c>
      <c r="I219" s="159" t="str">
        <f>'16U BOYS PLATINUM GOLD-10 TEAMS'!I19&amp;""</f>
        <v>B bracket B1,B3</v>
      </c>
      <c r="J219" s="159" t="str">
        <f>'16U BOYS PLATINUM GOLD-10 TEAMS'!J19&amp;""</f>
        <v>16U_BOYS_PLATINUM_GOLD</v>
      </c>
      <c r="K219" s="159" t="str">
        <f t="shared" si="3"/>
        <v>202603071600</v>
      </c>
    </row>
    <row r="220" spans="1:11">
      <c r="A220" s="157">
        <f>'16U BOYS PLATINUM GOLD-10 TEAMS'!A23</f>
        <v>46089</v>
      </c>
      <c r="B220" s="158">
        <f>'16U BOYS PLATINUM GOLD-10 TEAMS'!B23</f>
        <v>0.33333333333333298</v>
      </c>
      <c r="C220" s="158" t="str">
        <f>'16U BOYS PLATINUM GOLD-10 TEAMS'!C23&amp;""</f>
        <v>WOOLLETT NEAR RIGHT</v>
      </c>
      <c r="D220" s="157" t="str">
        <f>'16U BOYS PLATINUM GOLD-10 TEAMS'!D23&amp;""</f>
        <v>16Bptau11</v>
      </c>
      <c r="E220" s="158" t="str">
        <f>'16U BOYS PLATINUM GOLD-10 TEAMS'!E23&amp;""</f>
        <v>C2-TRILOGY BLACK</v>
      </c>
      <c r="F220" s="158" t="str">
        <f>'16U BOYS PLATINUM GOLD-10 TEAMS'!F23&amp;""</f>
        <v>14</v>
      </c>
      <c r="G220" s="159" t="str">
        <f>'16U BOYS PLATINUM GOLD-10 TEAMS'!G23&amp;""</f>
        <v>C4-ELITE</v>
      </c>
      <c r="H220" s="159" t="str">
        <f>'16U BOYS PLATINUM GOLD-10 TEAMS'!H23&amp;""</f>
        <v>6</v>
      </c>
      <c r="I220" s="159" t="str">
        <f>'16U BOYS PLATINUM GOLD-10 TEAMS'!I23&amp;""</f>
        <v>C bracket C2,C4</v>
      </c>
      <c r="J220" s="159" t="str">
        <f>'16U BOYS PLATINUM GOLD-10 TEAMS'!J23&amp;""</f>
        <v>16U_BOYS_PLATINUM_GOLD</v>
      </c>
      <c r="K220" s="159" t="str">
        <f t="shared" si="3"/>
        <v>202603080800</v>
      </c>
    </row>
    <row r="221" spans="1:11">
      <c r="A221" s="157">
        <f>'16U BOYS PLATINUM GOLD-10 TEAMS'!A24</f>
        <v>46089</v>
      </c>
      <c r="B221" s="158">
        <f>'16U BOYS PLATINUM GOLD-10 TEAMS'!B24</f>
        <v>0.375</v>
      </c>
      <c r="C221" s="158" t="str">
        <f>'16U BOYS PLATINUM GOLD-10 TEAMS'!C24&amp;""</f>
        <v>WOOLLETT NEAR RIGHT</v>
      </c>
      <c r="D221" s="157" t="str">
        <f>'16U BOYS PLATINUM GOLD-10 TEAMS'!D24&amp;""</f>
        <v>16Bptau12</v>
      </c>
      <c r="E221" s="158" t="str">
        <f>'16U BOYS PLATINUM GOLD-10 TEAMS'!E24&amp;""</f>
        <v>C1-VANGUARD SILVER</v>
      </c>
      <c r="F221" s="158" t="str">
        <f>'16U BOYS PLATINUM GOLD-10 TEAMS'!F24&amp;""</f>
        <v>13</v>
      </c>
      <c r="G221" s="159" t="str">
        <f>'16U BOYS PLATINUM GOLD-10 TEAMS'!G24&amp;""</f>
        <v>C3-BREA OLINDA</v>
      </c>
      <c r="H221" s="159" t="str">
        <f>'16U BOYS PLATINUM GOLD-10 TEAMS'!H24&amp;""</f>
        <v>4</v>
      </c>
      <c r="I221" s="159" t="str">
        <f>'16U BOYS PLATINUM GOLD-10 TEAMS'!I24&amp;""</f>
        <v>C bracket C1,C3</v>
      </c>
      <c r="J221" s="159" t="str">
        <f>'16U BOYS PLATINUM GOLD-10 TEAMS'!J24&amp;""</f>
        <v>16U_BOYS_PLATINUM_GOLD</v>
      </c>
      <c r="K221" s="159" t="str">
        <f t="shared" si="3"/>
        <v>202603080900</v>
      </c>
    </row>
    <row r="222" spans="1:11">
      <c r="A222" s="157">
        <f>'16U BOYS PLATINUM GOLD-10 TEAMS'!A25</f>
        <v>46089</v>
      </c>
      <c r="B222" s="158">
        <f>'16U BOYS PLATINUM GOLD-10 TEAMS'!B25</f>
        <v>0.41666666666666702</v>
      </c>
      <c r="C222" s="158" t="str">
        <f>'16U BOYS PLATINUM GOLD-10 TEAMS'!C25&amp;""</f>
        <v>WOOLLETT NEAR RIGHT</v>
      </c>
      <c r="D222" s="157" t="str">
        <f>'16U BOYS PLATINUM GOLD-10 TEAMS'!D25&amp;""</f>
        <v>16Bptau13</v>
      </c>
      <c r="E222" s="158" t="str">
        <f>'16U BOYS PLATINUM GOLD-10 TEAMS'!E25&amp;""</f>
        <v>2ndA-CHANNEL ISLANDS UNITED BLUE</v>
      </c>
      <c r="F222" s="158" t="str">
        <f>'16U BOYS PLATINUM GOLD-10 TEAMS'!F25&amp;""</f>
        <v>13</v>
      </c>
      <c r="G222" s="159" t="str">
        <f>'16U BOYS PLATINUM GOLD-10 TEAMS'!G25&amp;""</f>
        <v>3rdB-INNIS ARDEN</v>
      </c>
      <c r="H222" s="159" t="str">
        <f>'16U BOYS PLATINUM GOLD-10 TEAMS'!H25&amp;""</f>
        <v>3</v>
      </c>
      <c r="I222" s="159" t="str">
        <f>'16U BOYS PLATINUM GOLD-10 TEAMS'!I25&amp;""</f>
        <v>cross</v>
      </c>
      <c r="J222" s="159" t="str">
        <f>'16U BOYS PLATINUM GOLD-10 TEAMS'!J25&amp;""</f>
        <v>16U_BOYS_PLATINUM_GOLD</v>
      </c>
      <c r="K222" s="159" t="str">
        <f t="shared" si="3"/>
        <v>202603081000</v>
      </c>
    </row>
    <row r="223" spans="1:11">
      <c r="A223" s="157">
        <f>'16U BOYS PLATINUM GOLD-10 TEAMS'!A26</f>
        <v>46089</v>
      </c>
      <c r="B223" s="158">
        <f>'16U BOYS PLATINUM GOLD-10 TEAMS'!B26</f>
        <v>0.45833333333333298</v>
      </c>
      <c r="C223" s="158" t="str">
        <f>'16U BOYS PLATINUM GOLD-10 TEAMS'!C26&amp;""</f>
        <v>WOOLLETT NEAR RIGHT</v>
      </c>
      <c r="D223" s="157" t="str">
        <f>'16U BOYS PLATINUM GOLD-10 TEAMS'!D26&amp;""</f>
        <v>16Bptau14</v>
      </c>
      <c r="E223" s="158" t="str">
        <f>'16U BOYS PLATINUM GOLD-10 TEAMS'!E26&amp;""</f>
        <v>3rdA-DEVILS GATE</v>
      </c>
      <c r="F223" s="158" t="str">
        <f>'16U BOYS PLATINUM GOLD-10 TEAMS'!F26&amp;""</f>
        <v>17</v>
      </c>
      <c r="G223" s="159" t="str">
        <f>'16U BOYS PLATINUM GOLD-10 TEAMS'!G26&amp;""</f>
        <v>3rdC-TRILOGY BLACK</v>
      </c>
      <c r="H223" s="159" t="str">
        <f>'16U BOYS PLATINUM GOLD-10 TEAMS'!H26&amp;""</f>
        <v>15</v>
      </c>
      <c r="I223" s="159" t="str">
        <f>'16U BOYS PLATINUM GOLD-10 TEAMS'!I26&amp;""</f>
        <v>cross</v>
      </c>
      <c r="J223" s="159" t="str">
        <f>'16U BOYS PLATINUM GOLD-10 TEAMS'!J26&amp;""</f>
        <v>16U_BOYS_PLATINUM_GOLD</v>
      </c>
      <c r="K223" s="159" t="str">
        <f t="shared" si="3"/>
        <v>202603081100</v>
      </c>
    </row>
    <row r="224" spans="1:11">
      <c r="A224" s="157">
        <f>'16U BOYS PLATINUM GOLD-10 TEAMS'!A27</f>
        <v>46089</v>
      </c>
      <c r="B224" s="158">
        <f>'16U BOYS PLATINUM GOLD-10 TEAMS'!B27</f>
        <v>0.5</v>
      </c>
      <c r="C224" s="158" t="str">
        <f>'16U BOYS PLATINUM GOLD-10 TEAMS'!C27&amp;""</f>
        <v>WOOLLETT NEAR RIGHT</v>
      </c>
      <c r="D224" s="157" t="str">
        <f>'16U BOYS PLATINUM GOLD-10 TEAMS'!D27&amp;""</f>
        <v>16Bptau15</v>
      </c>
      <c r="E224" s="158" t="str">
        <f>'16U BOYS PLATINUM GOLD-10 TEAMS'!E27&amp;""</f>
        <v>2ndB-TROJAN GOLD</v>
      </c>
      <c r="F224" s="158" t="str">
        <f>'16U BOYS PLATINUM GOLD-10 TEAMS'!F27&amp;""</f>
        <v>13</v>
      </c>
      <c r="G224" s="159" t="str">
        <f>'16U BOYS PLATINUM GOLD-10 TEAMS'!G27&amp;""</f>
        <v>2ndC-BREA OLINDA</v>
      </c>
      <c r="H224" s="159" t="str">
        <f>'16U BOYS PLATINUM GOLD-10 TEAMS'!H27&amp;""</f>
        <v>6</v>
      </c>
      <c r="I224" s="159" t="str">
        <f>'16U BOYS PLATINUM GOLD-10 TEAMS'!I27&amp;""</f>
        <v>Gold 3rd</v>
      </c>
      <c r="J224" s="159" t="str">
        <f>'16U BOYS PLATINUM GOLD-10 TEAMS'!J27&amp;""</f>
        <v>16U_BOYS_PLATINUM_GOLD</v>
      </c>
      <c r="K224" s="159" t="str">
        <f t="shared" si="3"/>
        <v>202603081200</v>
      </c>
    </row>
    <row r="225" spans="1:11">
      <c r="A225" s="157">
        <f>'16U BOYS PLATINUM GOLD-10 TEAMS'!A28</f>
        <v>46089</v>
      </c>
      <c r="B225" s="158">
        <f>'16U BOYS PLATINUM GOLD-10 TEAMS'!B28</f>
        <v>0.54166666666666696</v>
      </c>
      <c r="C225" s="158" t="str">
        <f>'16U BOYS PLATINUM GOLD-10 TEAMS'!C28&amp;""</f>
        <v>WOOLLETT NEAR RIGHT</v>
      </c>
      <c r="D225" s="157" t="str">
        <f>'16U BOYS PLATINUM GOLD-10 TEAMS'!D28&amp;""</f>
        <v>16Bptau16</v>
      </c>
      <c r="E225" s="158" t="str">
        <f>'16U BOYS PLATINUM GOLD-10 TEAMS'!E28&amp;""</f>
        <v>1stB-ALAMEDA</v>
      </c>
      <c r="F225" s="158" t="str">
        <f>'16U BOYS PLATINUM GOLD-10 TEAMS'!F28&amp;""</f>
        <v>9</v>
      </c>
      <c r="G225" s="159" t="str">
        <f>'16U BOYS PLATINUM GOLD-10 TEAMS'!G28&amp;""</f>
        <v>1stC-VANGUARD SILVER</v>
      </c>
      <c r="H225" s="159" t="str">
        <f>'16U BOYS PLATINUM GOLD-10 TEAMS'!H28&amp;""</f>
        <v>7</v>
      </c>
      <c r="I225" s="159" t="str">
        <f>'16U BOYS PLATINUM GOLD-10 TEAMS'!I28&amp;""</f>
        <v>Gold 1st</v>
      </c>
      <c r="J225" s="159" t="str">
        <f>'16U BOYS PLATINUM GOLD-10 TEAMS'!J28&amp;""</f>
        <v>16U_BOYS_PLATINUM_GOLD</v>
      </c>
      <c r="K225" s="159" t="str">
        <f t="shared" si="3"/>
        <v>202603081300</v>
      </c>
    </row>
    <row r="226" spans="1:11">
      <c r="A226" s="157">
        <f>'16U BOYS PLATINUM GOLD-10 TEAMS'!A29</f>
        <v>46089</v>
      </c>
      <c r="B226" s="158">
        <f>'16U BOYS PLATINUM GOLD-10 TEAMS'!B29</f>
        <v>0.58333333333333304</v>
      </c>
      <c r="C226" s="158" t="str">
        <f>'16U BOYS PLATINUM GOLD-10 TEAMS'!C29&amp;""</f>
        <v>WOOLLETT NEAR RIGHT</v>
      </c>
      <c r="D226" s="157" t="str">
        <f>'16U BOYS PLATINUM GOLD-10 TEAMS'!D29&amp;""</f>
        <v>16Bptau17</v>
      </c>
      <c r="E226" s="158" t="str">
        <f>'16U BOYS PLATINUM GOLD-10 TEAMS'!E29&amp;""</f>
        <v>1stA-ORWP A</v>
      </c>
      <c r="F226" s="158" t="str">
        <f>'16U BOYS PLATINUM GOLD-10 TEAMS'!F29&amp;""</f>
        <v>10</v>
      </c>
      <c r="G226" s="159" t="str">
        <f>'16U BOYS PLATINUM GOLD-10 TEAMS'!G29&amp;""</f>
        <v>3rdB-INNIS ARDEN</v>
      </c>
      <c r="H226" s="159" t="str">
        <f>'16U BOYS PLATINUM GOLD-10 TEAMS'!H29&amp;""</f>
        <v>2</v>
      </c>
      <c r="I226" s="159" t="str">
        <f>'16U BOYS PLATINUM GOLD-10 TEAMS'!I29&amp;""</f>
        <v>cross</v>
      </c>
      <c r="J226" s="159" t="str">
        <f>'16U BOYS PLATINUM GOLD-10 TEAMS'!J29&amp;""</f>
        <v>16U_BOYS_PLATINUM_GOLD</v>
      </c>
      <c r="K226" s="159" t="str">
        <f t="shared" si="3"/>
        <v>202603081400</v>
      </c>
    </row>
    <row r="227" spans="1:11">
      <c r="A227" s="157">
        <f>'16U BOYS PLATINUM GOLD-10 TEAMS'!A30</f>
        <v>46089</v>
      </c>
      <c r="B227" s="158">
        <f>'16U BOYS PLATINUM GOLD-10 TEAMS'!B30</f>
        <v>0.625</v>
      </c>
      <c r="C227" s="158" t="str">
        <f>'16U BOYS PLATINUM GOLD-10 TEAMS'!C30&amp;""</f>
        <v>WOOLLETT NEAR RIGHT</v>
      </c>
      <c r="D227" s="157" t="str">
        <f>'16U BOYS PLATINUM GOLD-10 TEAMS'!D30&amp;""</f>
        <v>16Bptau18</v>
      </c>
      <c r="E227" s="158" t="str">
        <f>'16U BOYS PLATINUM GOLD-10 TEAMS'!E30&amp;""</f>
        <v>3rdA-DEVILS GATE</v>
      </c>
      <c r="F227" s="158" t="str">
        <f>'16U BOYS PLATINUM GOLD-10 TEAMS'!F30&amp;""</f>
        <v>14</v>
      </c>
      <c r="G227" s="159" t="str">
        <f>'16U BOYS PLATINUM GOLD-10 TEAMS'!G30&amp;""</f>
        <v>4thC-ELITE</v>
      </c>
      <c r="H227" s="159" t="str">
        <f>'16U BOYS PLATINUM GOLD-10 TEAMS'!H30&amp;""</f>
        <v>9</v>
      </c>
      <c r="I227" s="159" t="str">
        <f>'16U BOYS PLATINUM GOLD-10 TEAMS'!I30&amp;""</f>
        <v>cross</v>
      </c>
      <c r="J227" s="159" t="str">
        <f>'16U BOYS PLATINUM GOLD-10 TEAMS'!J30&amp;""</f>
        <v>16U_BOYS_PLATINUM_GOLD</v>
      </c>
      <c r="K227" s="159" t="str">
        <f t="shared" si="3"/>
        <v>202603081500</v>
      </c>
    </row>
    <row r="228" spans="1:11">
      <c r="A228" s="157">
        <f>'16U BOYS PLATINUM GOLD-10 TEAMS'!A31</f>
        <v>46089</v>
      </c>
      <c r="B228" s="158">
        <f>'16U BOYS PLATINUM GOLD-10 TEAMS'!B31</f>
        <v>0.66666666666666696</v>
      </c>
      <c r="C228" s="158" t="str">
        <f>'16U BOYS PLATINUM GOLD-10 TEAMS'!C31&amp;""</f>
        <v>WOOLLETT NEAR RIGHT</v>
      </c>
      <c r="D228" s="157" t="str">
        <f>'16U BOYS PLATINUM GOLD-10 TEAMS'!D31&amp;""</f>
        <v>16Bptau19</v>
      </c>
      <c r="E228" s="158" t="str">
        <f>'16U BOYS PLATINUM GOLD-10 TEAMS'!E31&amp;""</f>
        <v>2ndA-CHANNEL ISLANDS UNITED BLUE</v>
      </c>
      <c r="F228" s="158" t="str">
        <f>'16U BOYS PLATINUM GOLD-10 TEAMS'!F31&amp;""</f>
        <v>5</v>
      </c>
      <c r="G228" s="159" t="str">
        <f>'16U BOYS PLATINUM GOLD-10 TEAMS'!G31&amp;""</f>
        <v>2ndB-TROJAN GOLD</v>
      </c>
      <c r="H228" s="159" t="str">
        <f>'16U BOYS PLATINUM GOLD-10 TEAMS'!H31&amp;""</f>
        <v>8</v>
      </c>
      <c r="I228" s="159" t="str">
        <f>'16U BOYS PLATINUM GOLD-10 TEAMS'!I31&amp;""</f>
        <v>cross</v>
      </c>
      <c r="J228" s="159" t="str">
        <f>'16U BOYS PLATINUM GOLD-10 TEAMS'!J31&amp;""</f>
        <v>16U_BOYS_PLATINUM_GOLD</v>
      </c>
      <c r="K228" s="159" t="str">
        <f t="shared" si="3"/>
        <v>202603081600</v>
      </c>
    </row>
    <row r="229" spans="1:11">
      <c r="A229" s="157">
        <f>'16U BOYS PLATINUM GOLD-10 TEAMS'!A32</f>
        <v>46089</v>
      </c>
      <c r="B229" s="158">
        <f>'16U BOYS PLATINUM GOLD-10 TEAMS'!B32</f>
        <v>0.66666666666666696</v>
      </c>
      <c r="C229" s="158" t="str">
        <f>'16U BOYS PLATINUM GOLD-10 TEAMS'!C32&amp;""</f>
        <v>WOOLLETT NEAR LEFT</v>
      </c>
      <c r="D229" s="157" t="str">
        <f>'16U BOYS PLATINUM GOLD-10 TEAMS'!D32&amp;""</f>
        <v>16Bptau20</v>
      </c>
      <c r="E229" s="158" t="str">
        <f>'16U BOYS PLATINUM GOLD-10 TEAMS'!E32&amp;""</f>
        <v>1stA-ORWP A</v>
      </c>
      <c r="F229" s="158" t="str">
        <f>'16U BOYS PLATINUM GOLD-10 TEAMS'!F32&amp;""</f>
        <v>4</v>
      </c>
      <c r="G229" s="159" t="str">
        <f>'16U BOYS PLATINUM GOLD-10 TEAMS'!G32&amp;""</f>
        <v>1stB-ALAMEDA</v>
      </c>
      <c r="H229" s="159" t="str">
        <f>'16U BOYS PLATINUM GOLD-10 TEAMS'!H32&amp;""</f>
        <v>8</v>
      </c>
      <c r="I229" s="159" t="str">
        <f>'16U BOYS PLATINUM GOLD-10 TEAMS'!I32&amp;""</f>
        <v>cross</v>
      </c>
      <c r="J229" s="159" t="str">
        <f>'16U BOYS PLATINUM GOLD-10 TEAMS'!J32&amp;""</f>
        <v>16U_BOYS_PLATINUM_GOLD</v>
      </c>
      <c r="K229" s="159" t="str">
        <f t="shared" si="3"/>
        <v>202603081600</v>
      </c>
    </row>
    <row r="230" spans="1:11">
      <c r="A230" s="127">
        <f>'19U BOYS SILVER-5 TEAMS'!A11</f>
        <v>46088</v>
      </c>
      <c r="B230" s="126">
        <f>'19U BOYS SILVER-5 TEAMS'!B11</f>
        <v>0.33333333333333298</v>
      </c>
      <c r="C230" s="126" t="str">
        <f>'19U BOYS SILVER-5 TEAMS'!C11&amp;""</f>
        <v>ESTANCIA HS 1</v>
      </c>
      <c r="D230" s="30" t="str">
        <f>'19U BOYS SILVER-5 TEAMS'!D11&amp;""</f>
        <v>19Bag01</v>
      </c>
      <c r="E230" s="30" t="str">
        <f>'19U BOYS SILVER-5 TEAMS'!E11&amp;""</f>
        <v>A2-SOUTH COUNTY AQUATICS</v>
      </c>
      <c r="F230" s="30" t="str">
        <f>'19U BOYS SILVER-5 TEAMS'!F11&amp;""</f>
        <v>4</v>
      </c>
      <c r="G230" s="30" t="str">
        <f>'19U BOYS SILVER-5 TEAMS'!G11&amp;""</f>
        <v>A5-OHANA</v>
      </c>
      <c r="H230" s="30" t="str">
        <f>'19U BOYS SILVER-5 TEAMS'!H11&amp;""</f>
        <v>12</v>
      </c>
      <c r="I230" s="30" t="str">
        <f>'19U BOYS SILVER-5 TEAMS'!I11&amp;""</f>
        <v>A bracket 2/5</v>
      </c>
      <c r="J230" s="30" t="str">
        <f>'19U BOYS SILVER-5 TEAMS'!J11&amp;""</f>
        <v>19U_BOYS_SILVER</v>
      </c>
      <c r="K230" s="30" t="str">
        <f t="shared" si="3"/>
        <v>202603070800</v>
      </c>
    </row>
    <row r="231" spans="1:11">
      <c r="A231" s="127">
        <f>'19U BOYS SILVER-5 TEAMS'!A12</f>
        <v>46088</v>
      </c>
      <c r="B231" s="126">
        <f>'19U BOYS SILVER-5 TEAMS'!B12</f>
        <v>0.375</v>
      </c>
      <c r="C231" s="126" t="str">
        <f>'19U BOYS SILVER-5 TEAMS'!C12&amp;""</f>
        <v>ESTANCIA HS 1</v>
      </c>
      <c r="D231" s="30" t="str">
        <f>'19U BOYS SILVER-5 TEAMS'!D12&amp;""</f>
        <v>19Bag02</v>
      </c>
      <c r="E231" s="30" t="str">
        <f>'19U BOYS SILVER-5 TEAMS'!E12&amp;""</f>
        <v>A1-SET</v>
      </c>
      <c r="F231" s="30" t="str">
        <f>'19U BOYS SILVER-5 TEAMS'!F12&amp;""</f>
        <v>6</v>
      </c>
      <c r="G231" s="30" t="str">
        <f>'19U BOYS SILVER-5 TEAMS'!G12&amp;""</f>
        <v>A3-PASADENA AC ORANGE</v>
      </c>
      <c r="H231" s="30" t="str">
        <f>'19U BOYS SILVER-5 TEAMS'!H12&amp;""</f>
        <v>15</v>
      </c>
      <c r="I231" s="30" t="str">
        <f>'19U BOYS SILVER-5 TEAMS'!I12&amp;""</f>
        <v>A bracket 1/3</v>
      </c>
      <c r="J231" s="30" t="str">
        <f>'19U BOYS SILVER-5 TEAMS'!J12&amp;""</f>
        <v>19U_BOYS_SILVER</v>
      </c>
      <c r="K231" s="30" t="str">
        <f t="shared" si="3"/>
        <v>202603070900</v>
      </c>
    </row>
    <row r="232" spans="1:11">
      <c r="A232" s="127">
        <f>'19U BOYS SILVER-5 TEAMS'!A14</f>
        <v>46088</v>
      </c>
      <c r="B232" s="126">
        <f>'19U BOYS SILVER-5 TEAMS'!B14</f>
        <v>0.45833333333333298</v>
      </c>
      <c r="C232" s="126" t="str">
        <f>'19U BOYS SILVER-5 TEAMS'!C14&amp;""</f>
        <v>ESTANCIA HS 1</v>
      </c>
      <c r="D232" s="30" t="str">
        <f>'19U BOYS SILVER-5 TEAMS'!D14&amp;""</f>
        <v>19Bag03</v>
      </c>
      <c r="E232" s="30" t="str">
        <f>'19U BOYS SILVER-5 TEAMS'!E14&amp;""</f>
        <v>A2-SOUTH COUNTY AQUATICS</v>
      </c>
      <c r="F232" s="30" t="str">
        <f>'19U BOYS SILVER-5 TEAMS'!F14&amp;""</f>
        <v>8</v>
      </c>
      <c r="G232" s="30" t="str">
        <f>'19U BOYS SILVER-5 TEAMS'!G14&amp;""</f>
        <v>A4-SFV</v>
      </c>
      <c r="H232" s="30" t="str">
        <f>'19U BOYS SILVER-5 TEAMS'!H14&amp;""</f>
        <v>9</v>
      </c>
      <c r="I232" s="30" t="str">
        <f>'19U BOYS SILVER-5 TEAMS'!I14&amp;""</f>
        <v>A bracket 2/4</v>
      </c>
      <c r="J232" s="30" t="str">
        <f>'19U BOYS SILVER-5 TEAMS'!J14&amp;""</f>
        <v>19U_BOYS_SILVER</v>
      </c>
      <c r="K232" s="30" t="str">
        <f t="shared" si="3"/>
        <v>202603071100</v>
      </c>
    </row>
    <row r="233" spans="1:11">
      <c r="A233" s="127">
        <f>'19U BOYS SILVER-5 TEAMS'!A15</f>
        <v>46088</v>
      </c>
      <c r="B233" s="126">
        <f>'19U BOYS SILVER-5 TEAMS'!B15</f>
        <v>0.5</v>
      </c>
      <c r="C233" s="126" t="str">
        <f>'19U BOYS SILVER-5 TEAMS'!C15&amp;""</f>
        <v>ESTANCIA HS 1</v>
      </c>
      <c r="D233" s="30" t="str">
        <f>'19U BOYS SILVER-5 TEAMS'!D15&amp;""</f>
        <v>19Bag04</v>
      </c>
      <c r="E233" s="30" t="str">
        <f>'19U BOYS SILVER-5 TEAMS'!E15&amp;""</f>
        <v>A3-PASADENA AC ORANGE</v>
      </c>
      <c r="F233" s="30" t="str">
        <f>'19U BOYS SILVER-5 TEAMS'!F15&amp;""</f>
        <v>19</v>
      </c>
      <c r="G233" s="30" t="str">
        <f>'19U BOYS SILVER-5 TEAMS'!G15&amp;""</f>
        <v>A5-OHANA</v>
      </c>
      <c r="H233" s="30" t="str">
        <f>'19U BOYS SILVER-5 TEAMS'!H15&amp;""</f>
        <v>3</v>
      </c>
      <c r="I233" s="30" t="str">
        <f>'19U BOYS SILVER-5 TEAMS'!I15&amp;""</f>
        <v>A bracket 3/5</v>
      </c>
      <c r="J233" s="30" t="str">
        <f>'19U BOYS SILVER-5 TEAMS'!J15&amp;""</f>
        <v>19U_BOYS_SILVER</v>
      </c>
      <c r="K233" s="30" t="str">
        <f t="shared" si="3"/>
        <v>202603071200</v>
      </c>
    </row>
    <row r="234" spans="1:11">
      <c r="A234" s="127">
        <f>'19U BOYS SILVER-5 TEAMS'!A17</f>
        <v>46088</v>
      </c>
      <c r="B234" s="126">
        <f>'19U BOYS SILVER-5 TEAMS'!B17</f>
        <v>0.58333333333333304</v>
      </c>
      <c r="C234" s="126" t="str">
        <f>'19U BOYS SILVER-5 TEAMS'!C17&amp;""</f>
        <v>ESTANCIA HS 1</v>
      </c>
      <c r="D234" s="30" t="str">
        <f>'19U BOYS SILVER-5 TEAMS'!D17&amp;""</f>
        <v>19Bag05</v>
      </c>
      <c r="E234" s="30" t="str">
        <f>'19U BOYS SILVER-5 TEAMS'!E17&amp;""</f>
        <v>A1-SET</v>
      </c>
      <c r="F234" s="30" t="str">
        <f>'19U BOYS SILVER-5 TEAMS'!F17&amp;""</f>
        <v>15</v>
      </c>
      <c r="G234" s="30" t="str">
        <f>'19U BOYS SILVER-5 TEAMS'!G17&amp;""</f>
        <v>A4-SFV</v>
      </c>
      <c r="H234" s="30" t="str">
        <f>'19U BOYS SILVER-5 TEAMS'!H17&amp;""</f>
        <v>13</v>
      </c>
      <c r="I234" s="30" t="str">
        <f>'19U BOYS SILVER-5 TEAMS'!I17&amp;""</f>
        <v>A bracket 1/4</v>
      </c>
      <c r="J234" s="30" t="str">
        <f>'19U BOYS SILVER-5 TEAMS'!J17&amp;""</f>
        <v>19U_BOYS_SILVER</v>
      </c>
      <c r="K234" s="30" t="str">
        <f t="shared" si="3"/>
        <v>202603071400</v>
      </c>
    </row>
    <row r="235" spans="1:11">
      <c r="A235" s="127">
        <f>'19U BOYS SILVER-5 TEAMS'!A21</f>
        <v>46089</v>
      </c>
      <c r="B235" s="126">
        <f>'19U BOYS SILVER-5 TEAMS'!B21</f>
        <v>0.375</v>
      </c>
      <c r="C235" s="126" t="str">
        <f>'19U BOYS SILVER-5 TEAMS'!C21&amp;""</f>
        <v>ESTANCIA HS 1</v>
      </c>
      <c r="D235" s="30" t="str">
        <f>'19U BOYS SILVER-5 TEAMS'!D21&amp;""</f>
        <v>19Bag06</v>
      </c>
      <c r="E235" s="30" t="str">
        <f>'19U BOYS SILVER-5 TEAMS'!E21&amp;""</f>
        <v>A2-SOUTH COUNTY AQUATICS</v>
      </c>
      <c r="F235" s="30" t="str">
        <f>'19U BOYS SILVER-5 TEAMS'!F21&amp;""</f>
        <v>5</v>
      </c>
      <c r="G235" s="30" t="str">
        <f>'19U BOYS SILVER-5 TEAMS'!G21&amp;""</f>
        <v>A3-PASADENA AC ORANGE</v>
      </c>
      <c r="H235" s="30" t="str">
        <f>'19U BOYS SILVER-5 TEAMS'!H21&amp;""</f>
        <v>15</v>
      </c>
      <c r="I235" s="30" t="str">
        <f>'19U BOYS SILVER-5 TEAMS'!I21&amp;""</f>
        <v>A bracket 2/3</v>
      </c>
      <c r="J235" s="30" t="str">
        <f>'19U BOYS SILVER-5 TEAMS'!J21&amp;""</f>
        <v>19U_BOYS_SILVER</v>
      </c>
      <c r="K235" s="30" t="str">
        <f t="shared" si="3"/>
        <v>202603080900</v>
      </c>
    </row>
    <row r="236" spans="1:11">
      <c r="A236" s="127">
        <f>'19U BOYS SILVER-5 TEAMS'!A22</f>
        <v>46089</v>
      </c>
      <c r="B236" s="126">
        <f>'19U BOYS SILVER-5 TEAMS'!B22</f>
        <v>0.41666666666666702</v>
      </c>
      <c r="C236" s="126" t="str">
        <f>'19U BOYS SILVER-5 TEAMS'!C22&amp;""</f>
        <v>ESTANCIA HS 1</v>
      </c>
      <c r="D236" s="30" t="str">
        <f>'19U BOYS SILVER-5 TEAMS'!D22&amp;""</f>
        <v>19Bag07</v>
      </c>
      <c r="E236" s="30" t="str">
        <f>'19U BOYS SILVER-5 TEAMS'!E22&amp;""</f>
        <v>A4-SFV</v>
      </c>
      <c r="F236" s="30" t="str">
        <f>'19U BOYS SILVER-5 TEAMS'!F22&amp;""</f>
        <v>8</v>
      </c>
      <c r="G236" s="30" t="str">
        <f>'19U BOYS SILVER-5 TEAMS'!G22&amp;""</f>
        <v>A5-OHANA</v>
      </c>
      <c r="H236" s="30" t="str">
        <f>'19U BOYS SILVER-5 TEAMS'!H22&amp;""</f>
        <v>19</v>
      </c>
      <c r="I236" s="30" t="str">
        <f>'19U BOYS SILVER-5 TEAMS'!I22&amp;""</f>
        <v>A bracket 4/5</v>
      </c>
      <c r="J236" s="30" t="str">
        <f>'19U BOYS SILVER-5 TEAMS'!J22&amp;""</f>
        <v>19U_BOYS_SILVER</v>
      </c>
      <c r="K236" s="30" t="str">
        <f t="shared" si="3"/>
        <v>202603081000</v>
      </c>
    </row>
    <row r="237" spans="1:11">
      <c r="A237" s="127">
        <f>'19U BOYS SILVER-5 TEAMS'!A24</f>
        <v>46089</v>
      </c>
      <c r="B237" s="126">
        <f>'19U BOYS SILVER-5 TEAMS'!B24</f>
        <v>0.5</v>
      </c>
      <c r="C237" s="126" t="str">
        <f>'19U BOYS SILVER-5 TEAMS'!C24&amp;""</f>
        <v>ESTANCIA HS 1</v>
      </c>
      <c r="D237" s="30" t="str">
        <f>'19U BOYS SILVER-5 TEAMS'!D24&amp;""</f>
        <v>19Bag08</v>
      </c>
      <c r="E237" s="30" t="str">
        <f>'19U BOYS SILVER-5 TEAMS'!E24&amp;""</f>
        <v>A1-SET</v>
      </c>
      <c r="F237" s="30" t="str">
        <f>'19U BOYS SILVER-5 TEAMS'!F24&amp;""</f>
        <v>6</v>
      </c>
      <c r="G237" s="30" t="str">
        <f>'19U BOYS SILVER-5 TEAMS'!G24&amp;""</f>
        <v>A2-SOUTH COUNTY AQUATICS</v>
      </c>
      <c r="H237" s="30" t="str">
        <f>'19U BOYS SILVER-5 TEAMS'!H24&amp;""</f>
        <v>12</v>
      </c>
      <c r="I237" s="30" t="str">
        <f>'19U BOYS SILVER-5 TEAMS'!I24&amp;""</f>
        <v>A bracket 1/2</v>
      </c>
      <c r="J237" s="30" t="str">
        <f>'19U BOYS SILVER-5 TEAMS'!J24&amp;""</f>
        <v>19U_BOYS_SILVER</v>
      </c>
      <c r="K237" s="30" t="str">
        <f t="shared" si="3"/>
        <v>202603081200</v>
      </c>
    </row>
    <row r="238" spans="1:11">
      <c r="A238" s="127">
        <f>'19U BOYS SILVER-5 TEAMS'!A25</f>
        <v>46089</v>
      </c>
      <c r="B238" s="126">
        <f>'19U BOYS SILVER-5 TEAMS'!B25</f>
        <v>0.54166666666666696</v>
      </c>
      <c r="C238" s="126" t="str">
        <f>'19U BOYS SILVER-5 TEAMS'!C25&amp;""</f>
        <v>ESTANCIA HS 1</v>
      </c>
      <c r="D238" s="30" t="str">
        <f>'19U BOYS SILVER-5 TEAMS'!D25&amp;""</f>
        <v>19Bag09</v>
      </c>
      <c r="E238" s="30" t="str">
        <f>'19U BOYS SILVER-5 TEAMS'!E25&amp;""</f>
        <v>A3-PASADENA AC ORANGE</v>
      </c>
      <c r="F238" s="30" t="str">
        <f>'19U BOYS SILVER-5 TEAMS'!F25&amp;""</f>
        <v>20</v>
      </c>
      <c r="G238" s="30" t="str">
        <f>'19U BOYS SILVER-5 TEAMS'!G25&amp;""</f>
        <v>A4-SFV</v>
      </c>
      <c r="H238" s="30" t="str">
        <f>'19U BOYS SILVER-5 TEAMS'!H25&amp;""</f>
        <v>9</v>
      </c>
      <c r="I238" s="30" t="str">
        <f>'19U BOYS SILVER-5 TEAMS'!I25&amp;""</f>
        <v>A bracket 3/4</v>
      </c>
      <c r="J238" s="30" t="str">
        <f>'19U BOYS SILVER-5 TEAMS'!J25&amp;""</f>
        <v>19U_BOYS_SILVER</v>
      </c>
      <c r="K238" s="30" t="str">
        <f t="shared" si="3"/>
        <v>202603081300</v>
      </c>
    </row>
    <row r="239" spans="1:11">
      <c r="A239" s="127">
        <f>'19U BOYS SILVER-5 TEAMS'!A27</f>
        <v>46089</v>
      </c>
      <c r="B239" s="126">
        <f>'19U BOYS SILVER-5 TEAMS'!B27</f>
        <v>0.625</v>
      </c>
      <c r="C239" s="126" t="str">
        <f>'19U BOYS SILVER-5 TEAMS'!C27&amp;""</f>
        <v>ESTANCIA HS 1</v>
      </c>
      <c r="D239" s="30" t="str">
        <f>'19U BOYS SILVER-5 TEAMS'!D27&amp;""</f>
        <v>19Bag10</v>
      </c>
      <c r="E239" s="30" t="str">
        <f>'19U BOYS SILVER-5 TEAMS'!E27&amp;""</f>
        <v>A1-SET</v>
      </c>
      <c r="F239" s="30" t="str">
        <f>'19U BOYS SILVER-5 TEAMS'!F27&amp;""</f>
        <v>10</v>
      </c>
      <c r="G239" s="30" t="str">
        <f>'19U BOYS SILVER-5 TEAMS'!G27&amp;""</f>
        <v>A5-OHANA</v>
      </c>
      <c r="H239" s="30" t="str">
        <f>'19U BOYS SILVER-5 TEAMS'!H27&amp;""</f>
        <v>17</v>
      </c>
      <c r="I239" s="30" t="str">
        <f>'19U BOYS SILVER-5 TEAMS'!I27&amp;""</f>
        <v>A bracket 1/5</v>
      </c>
      <c r="J239" s="30" t="str">
        <f>'19U BOYS SILVER-5 TEAMS'!J27&amp;""</f>
        <v>19U_BOYS_SILVER</v>
      </c>
      <c r="K239" s="30" t="str">
        <f t="shared" si="3"/>
        <v>202603081500</v>
      </c>
    </row>
    <row r="240" spans="1:11">
      <c r="A240" s="142">
        <f>'19U BOYS PLATINUM GOLD-11 TEAMS'!A12</f>
        <v>46088</v>
      </c>
      <c r="B240" s="143">
        <f>'19U BOYS PLATINUM GOLD-11 TEAMS'!B12</f>
        <v>0.29166666666666669</v>
      </c>
      <c r="C240" s="142" t="str">
        <f>'19U BOYS PLATINUM GOLD-11 TEAMS'!C12&amp;""</f>
        <v>WOOLLETT NEAR LEFT</v>
      </c>
      <c r="D240" s="31" t="str">
        <f>'19U BOYS PLATINUM GOLD-11 TEAMS'!D12&amp;""</f>
        <v>19Bptau01</v>
      </c>
      <c r="E240" s="142" t="str">
        <f>'19U BOYS PLATINUM GOLD-11 TEAMS'!E12&amp;""</f>
        <v>C1-TROJAN  16 CARDINAL pt</v>
      </c>
      <c r="F240" s="31" t="str">
        <f>'19U BOYS PLATINUM GOLD-11 TEAMS'!F12&amp;""</f>
        <v>13</v>
      </c>
      <c r="G240" s="142" t="str">
        <f>'19U BOYS PLATINUM GOLD-11 TEAMS'!G12&amp;""</f>
        <v>C4-ROUTE 66</v>
      </c>
      <c r="H240" s="31" t="str">
        <f>'19U BOYS PLATINUM GOLD-11 TEAMS'!H12&amp;""</f>
        <v>9</v>
      </c>
      <c r="I240" s="31" t="str">
        <f>'19U BOYS PLATINUM GOLD-11 TEAMS'!I12&amp;""</f>
        <v>W/L C1/C4</v>
      </c>
      <c r="J240" s="31" t="str">
        <f>'19U BOYS PLATINUM GOLD-11 TEAMS'!J12&amp;""</f>
        <v>19U_BOYS_PLATINUM_GOLD</v>
      </c>
      <c r="K240" s="31" t="str">
        <f t="shared" si="3"/>
        <v>202603070700</v>
      </c>
    </row>
    <row r="241" spans="1:11">
      <c r="A241" s="142">
        <f>'19U BOYS PLATINUM GOLD-11 TEAMS'!A13</f>
        <v>46088</v>
      </c>
      <c r="B241" s="143">
        <f>'19U BOYS PLATINUM GOLD-11 TEAMS'!B13</f>
        <v>0.33333333333333298</v>
      </c>
      <c r="C241" s="142" t="str">
        <f>'19U BOYS PLATINUM GOLD-11 TEAMS'!C13&amp;""</f>
        <v>WOOLLETT NEAR LEFT</v>
      </c>
      <c r="D241" s="31" t="str">
        <f>'19U BOYS PLATINUM GOLD-11 TEAMS'!D13&amp;""</f>
        <v>19Bptau02</v>
      </c>
      <c r="E241" s="142" t="str">
        <f>'19U BOYS PLATINUM GOLD-11 TEAMS'!E13&amp;""</f>
        <v>C2-PEAK POLO BOLTZ pt</v>
      </c>
      <c r="F241" s="31" t="str">
        <f>'19U BOYS PLATINUM GOLD-11 TEAMS'!F13&amp;""</f>
        <v>18</v>
      </c>
      <c r="G241" s="142" t="str">
        <f>'19U BOYS PLATINUM GOLD-11 TEAMS'!G13&amp;""</f>
        <v>C3-SOUTH VALLEY</v>
      </c>
      <c r="H241" s="31" t="str">
        <f>'19U BOYS PLATINUM GOLD-11 TEAMS'!H13&amp;""</f>
        <v>3</v>
      </c>
      <c r="I241" s="31" t="str">
        <f>'19U BOYS PLATINUM GOLD-11 TEAMS'!I13&amp;""</f>
        <v>W/L C2/C3</v>
      </c>
      <c r="J241" s="31" t="str">
        <f>'19U BOYS PLATINUM GOLD-11 TEAMS'!J13&amp;""</f>
        <v>19U_BOYS_PLATINUM_GOLD</v>
      </c>
      <c r="K241" s="31" t="str">
        <f t="shared" si="3"/>
        <v>202603070800</v>
      </c>
    </row>
    <row r="242" spans="1:11">
      <c r="A242" s="142">
        <f>'19U BOYS PLATINUM GOLD-11 TEAMS'!A14</f>
        <v>46088</v>
      </c>
      <c r="B242" s="143">
        <f>'19U BOYS PLATINUM GOLD-11 TEAMS'!B14</f>
        <v>0.375</v>
      </c>
      <c r="C242" s="142" t="str">
        <f>'19U BOYS PLATINUM GOLD-11 TEAMS'!C14&amp;""</f>
        <v>WOOLLETT NEAR LEFT</v>
      </c>
      <c r="D242" s="31" t="str">
        <f>'19U BOYS PLATINUM GOLD-11 TEAMS'!D14&amp;""</f>
        <v>19Bptau03</v>
      </c>
      <c r="E242" s="142" t="str">
        <f>'19U BOYS PLATINUM GOLD-11 TEAMS'!E14&amp;""</f>
        <v>A1-SAND CANYON BLACK pt</v>
      </c>
      <c r="F242" s="31" t="str">
        <f>'19U BOYS PLATINUM GOLD-11 TEAMS'!F14&amp;""</f>
        <v>15</v>
      </c>
      <c r="G242" s="142" t="str">
        <f>'19U BOYS PLATINUM GOLD-11 TEAMS'!G14&amp;""</f>
        <v>A3-TSM B</v>
      </c>
      <c r="H242" s="31" t="str">
        <f>'19U BOYS PLATINUM GOLD-11 TEAMS'!H14&amp;""</f>
        <v>4</v>
      </c>
      <c r="I242" s="31" t="str">
        <f>'19U BOYS PLATINUM GOLD-11 TEAMS'!I14&amp;""</f>
        <v>A bracket A1,A3</v>
      </c>
      <c r="J242" s="31" t="str">
        <f>'19U BOYS PLATINUM GOLD-11 TEAMS'!J14&amp;""</f>
        <v>19U_BOYS_PLATINUM_GOLD</v>
      </c>
      <c r="K242" s="31" t="str">
        <f t="shared" si="3"/>
        <v>202603070900</v>
      </c>
    </row>
    <row r="243" spans="1:11">
      <c r="A243" s="142">
        <f>'19U BOYS PLATINUM GOLD-11 TEAMS'!A15</f>
        <v>46088</v>
      </c>
      <c r="B243" s="143">
        <f>'19U BOYS PLATINUM GOLD-11 TEAMS'!B15</f>
        <v>0.41666666666666702</v>
      </c>
      <c r="C243" s="142" t="str">
        <f>'19U BOYS PLATINUM GOLD-11 TEAMS'!C15&amp;""</f>
        <v>WOOLLETT NEAR LEFT</v>
      </c>
      <c r="D243" s="31" t="str">
        <f>'19U BOYS PLATINUM GOLD-11 TEAMS'!D15&amp;""</f>
        <v>19Bptau04</v>
      </c>
      <c r="E243" s="142" t="str">
        <f>'19U BOYS PLATINUM GOLD-11 TEAMS'!E15&amp;""</f>
        <v>B1-PEAK POLO LIGHTNING pt</v>
      </c>
      <c r="F243" s="31" t="str">
        <f>'19U BOYS PLATINUM GOLD-11 TEAMS'!F15&amp;""</f>
        <v>19</v>
      </c>
      <c r="G243" s="142" t="str">
        <f>'19U BOYS PLATINUM GOLD-11 TEAMS'!G15&amp;""</f>
        <v>B4-SAND CANYON RED</v>
      </c>
      <c r="H243" s="31" t="str">
        <f>'19U BOYS PLATINUM GOLD-11 TEAMS'!H15&amp;""</f>
        <v>4</v>
      </c>
      <c r="I243" s="31" t="str">
        <f>'19U BOYS PLATINUM GOLD-11 TEAMS'!I15&amp;""</f>
        <v>W/L B1/B4</v>
      </c>
      <c r="J243" s="31" t="str">
        <f>'19U BOYS PLATINUM GOLD-11 TEAMS'!J15&amp;""</f>
        <v>19U_BOYS_PLATINUM_GOLD</v>
      </c>
      <c r="K243" s="31" t="str">
        <f t="shared" si="3"/>
        <v>202603071000</v>
      </c>
    </row>
    <row r="244" spans="1:11">
      <c r="A244" s="142">
        <f>'19U BOYS PLATINUM GOLD-11 TEAMS'!A16</f>
        <v>46088</v>
      </c>
      <c r="B244" s="143">
        <f>'19U BOYS PLATINUM GOLD-11 TEAMS'!B16</f>
        <v>0.41666666666666702</v>
      </c>
      <c r="C244" s="142" t="str">
        <f>'19U BOYS PLATINUM GOLD-11 TEAMS'!C16&amp;""</f>
        <v>ESTANCIA HS 1</v>
      </c>
      <c r="D244" s="31" t="str">
        <f>'19U BOYS PLATINUM GOLD-11 TEAMS'!D16&amp;""</f>
        <v>19Bptau05</v>
      </c>
      <c r="E244" s="142" t="str">
        <f>'19U BOYS PLATINUM GOLD-11 TEAMS'!E16&amp;""</f>
        <v>B2-ALAMEDA</v>
      </c>
      <c r="F244" s="31" t="str">
        <f>'19U BOYS PLATINUM GOLD-11 TEAMS'!F16&amp;""</f>
        <v>10</v>
      </c>
      <c r="G244" s="142" t="str">
        <f>'19U BOYS PLATINUM GOLD-11 TEAMS'!G16&amp;""</f>
        <v>B3-HIELAND</v>
      </c>
      <c r="H244" s="31" t="str">
        <f>'19U BOYS PLATINUM GOLD-11 TEAMS'!H16&amp;""</f>
        <v>7</v>
      </c>
      <c r="I244" s="31" t="str">
        <f>'19U BOYS PLATINUM GOLD-11 TEAMS'!I16&amp;""</f>
        <v>W/L B2/B3</v>
      </c>
      <c r="J244" s="31" t="str">
        <f>'19U BOYS PLATINUM GOLD-11 TEAMS'!J16&amp;""</f>
        <v>19U_BOYS_PLATINUM_GOLD</v>
      </c>
      <c r="K244" s="31" t="str">
        <f t="shared" si="3"/>
        <v>202603071000</v>
      </c>
    </row>
    <row r="245" spans="1:11">
      <c r="A245" s="142">
        <f>'19U BOYS PLATINUM GOLD-11 TEAMS'!A17</f>
        <v>46088</v>
      </c>
      <c r="B245" s="143">
        <f>'19U BOYS PLATINUM GOLD-11 TEAMS'!B17</f>
        <v>0.45833333333333298</v>
      </c>
      <c r="C245" s="142" t="str">
        <f>'19U BOYS PLATINUM GOLD-11 TEAMS'!C17&amp;""</f>
        <v>WOOLLETT NEAR LEFT</v>
      </c>
      <c r="D245" s="31" t="str">
        <f>'19U BOYS PLATINUM GOLD-11 TEAMS'!D17&amp;""</f>
        <v>19Bptau06</v>
      </c>
      <c r="E245" s="142" t="str">
        <f>'19U BOYS PLATINUM GOLD-11 TEAMS'!E17&amp;""</f>
        <v>A2-VANGUARD SILVER</v>
      </c>
      <c r="F245" s="31" t="str">
        <f>'19U BOYS PLATINUM GOLD-11 TEAMS'!F17&amp;""</f>
        <v>11</v>
      </c>
      <c r="G245" s="142" t="str">
        <f>'19U BOYS PLATINUM GOLD-11 TEAMS'!G17&amp;""</f>
        <v>A3-TSM B</v>
      </c>
      <c r="H245" s="31" t="str">
        <f>'19U BOYS PLATINUM GOLD-11 TEAMS'!H17&amp;""</f>
        <v>10</v>
      </c>
      <c r="I245" s="31" t="str">
        <f>'19U BOYS PLATINUM GOLD-11 TEAMS'!I17&amp;""</f>
        <v>A bracket A2,A3</v>
      </c>
      <c r="J245" s="31" t="str">
        <f>'19U BOYS PLATINUM GOLD-11 TEAMS'!J17&amp;""</f>
        <v>19U_BOYS_PLATINUM_GOLD</v>
      </c>
      <c r="K245" s="31" t="str">
        <f t="shared" si="3"/>
        <v>202603071100</v>
      </c>
    </row>
    <row r="246" spans="1:11">
      <c r="A246" s="142">
        <f>'19U BOYS PLATINUM GOLD-11 TEAMS'!A18</f>
        <v>46088</v>
      </c>
      <c r="B246" s="143">
        <f>'19U BOYS PLATINUM GOLD-11 TEAMS'!B18</f>
        <v>0.5</v>
      </c>
      <c r="C246" s="142" t="str">
        <f>'19U BOYS PLATINUM GOLD-11 TEAMS'!C18&amp;""</f>
        <v>WOOLLETT NEAR LEFT</v>
      </c>
      <c r="D246" s="31" t="str">
        <f>'19U BOYS PLATINUM GOLD-11 TEAMS'!D18&amp;""</f>
        <v>19Bptau07</v>
      </c>
      <c r="E246" s="142" t="str">
        <f>'19U BOYS PLATINUM GOLD-11 TEAMS'!E18&amp;""</f>
        <v>L#C1/C4-ROUTE 66</v>
      </c>
      <c r="F246" s="31" t="str">
        <f>'19U BOYS PLATINUM GOLD-11 TEAMS'!F18&amp;""</f>
        <v>12</v>
      </c>
      <c r="G246" s="142" t="str">
        <f>'19U BOYS PLATINUM GOLD-11 TEAMS'!G18&amp;""</f>
        <v>L#C2/C3-SOUTH VALLEY</v>
      </c>
      <c r="H246" s="31" t="str">
        <f>'19U BOYS PLATINUM GOLD-11 TEAMS'!H18&amp;""</f>
        <v>15</v>
      </c>
      <c r="I246" s="31" t="str">
        <f>'19U BOYS PLATINUM GOLD-11 TEAMS'!I18&amp;""</f>
        <v>3rd/4thC</v>
      </c>
      <c r="J246" s="31" t="str">
        <f>'19U BOYS PLATINUM GOLD-11 TEAMS'!J18&amp;""</f>
        <v>19U_BOYS_PLATINUM_GOLD</v>
      </c>
      <c r="K246" s="31" t="str">
        <f t="shared" si="3"/>
        <v>202603071200</v>
      </c>
    </row>
    <row r="247" spans="1:11">
      <c r="A247" s="142">
        <f>'19U BOYS PLATINUM GOLD-11 TEAMS'!A19</f>
        <v>46088</v>
      </c>
      <c r="B247" s="143">
        <f>'19U BOYS PLATINUM GOLD-11 TEAMS'!B19</f>
        <v>0.54166666666666696</v>
      </c>
      <c r="C247" s="142" t="str">
        <f>'19U BOYS PLATINUM GOLD-11 TEAMS'!C19&amp;""</f>
        <v>WOOLLETT NEAR LEFT</v>
      </c>
      <c r="D247" s="31" t="str">
        <f>'19U BOYS PLATINUM GOLD-11 TEAMS'!D19&amp;""</f>
        <v>19Bptau08</v>
      </c>
      <c r="E247" s="142" t="str">
        <f>'19U BOYS PLATINUM GOLD-11 TEAMS'!E19&amp;""</f>
        <v>W#C1/C4-TROJAN  16 CARDINAL pt</v>
      </c>
      <c r="F247" s="31" t="str">
        <f>'19U BOYS PLATINUM GOLD-11 TEAMS'!F19&amp;""</f>
        <v>7</v>
      </c>
      <c r="G247" s="142" t="str">
        <f>'19U BOYS PLATINUM GOLD-11 TEAMS'!G19&amp;""</f>
        <v>W#C2/C3-PEAK POLO BOLTZ pt</v>
      </c>
      <c r="H247" s="31" t="str">
        <f>'19U BOYS PLATINUM GOLD-11 TEAMS'!H19&amp;""</f>
        <v>17</v>
      </c>
      <c r="I247" s="31" t="str">
        <f>'19U BOYS PLATINUM GOLD-11 TEAMS'!I19&amp;""</f>
        <v>1st/2ndC</v>
      </c>
      <c r="J247" s="31" t="str">
        <f>'19U BOYS PLATINUM GOLD-11 TEAMS'!J19&amp;""</f>
        <v>19U_BOYS_PLATINUM_GOLD</v>
      </c>
      <c r="K247" s="31" t="str">
        <f t="shared" si="3"/>
        <v>202603071300</v>
      </c>
    </row>
    <row r="248" spans="1:11">
      <c r="A248" s="142">
        <f>'19U BOYS PLATINUM GOLD-11 TEAMS'!A20</f>
        <v>46088</v>
      </c>
      <c r="B248" s="143">
        <f>'19U BOYS PLATINUM GOLD-11 TEAMS'!B20</f>
        <v>0.54166666666666696</v>
      </c>
      <c r="C248" s="142" t="str">
        <f>'19U BOYS PLATINUM GOLD-11 TEAMS'!C20&amp;""</f>
        <v>ESTANCIA HS 1</v>
      </c>
      <c r="D248" s="31" t="str">
        <f>'19U BOYS PLATINUM GOLD-11 TEAMS'!D20&amp;""</f>
        <v>19Bptau10</v>
      </c>
      <c r="E248" s="142" t="str">
        <f>'19U BOYS PLATINUM GOLD-11 TEAMS'!E20&amp;""</f>
        <v>L#B1/B4-SAND CANYON RED</v>
      </c>
      <c r="F248" s="31" t="str">
        <f>'19U BOYS PLATINUM GOLD-11 TEAMS'!F20&amp;""</f>
        <v>5</v>
      </c>
      <c r="G248" s="142" t="str">
        <f>'19U BOYS PLATINUM GOLD-11 TEAMS'!G20&amp;""</f>
        <v>L#B2/B3-HIELAND</v>
      </c>
      <c r="H248" s="31" t="str">
        <f>'19U BOYS PLATINUM GOLD-11 TEAMS'!H20&amp;""</f>
        <v>17</v>
      </c>
      <c r="I248" s="31" t="str">
        <f>'19U BOYS PLATINUM GOLD-11 TEAMS'!I20&amp;""</f>
        <v>3rd/4thB</v>
      </c>
      <c r="J248" s="31" t="str">
        <f>'19U BOYS PLATINUM GOLD-11 TEAMS'!J20&amp;""</f>
        <v>19U_BOYS_PLATINUM_GOLD</v>
      </c>
      <c r="K248" s="31" t="str">
        <f t="shared" si="3"/>
        <v>202603071300</v>
      </c>
    </row>
    <row r="249" spans="1:11">
      <c r="A249" s="142">
        <f>'19U BOYS PLATINUM GOLD-11 TEAMS'!A21</f>
        <v>46088</v>
      </c>
      <c r="B249" s="143">
        <f>'19U BOYS PLATINUM GOLD-11 TEAMS'!B21</f>
        <v>0.58333333333333304</v>
      </c>
      <c r="C249" s="142" t="str">
        <f>'19U BOYS PLATINUM GOLD-11 TEAMS'!C21&amp;""</f>
        <v>WOOLLETT NEAR LEFT</v>
      </c>
      <c r="D249" s="31" t="str">
        <f>'19U BOYS PLATINUM GOLD-11 TEAMS'!D21&amp;""</f>
        <v>19Bptau09</v>
      </c>
      <c r="E249" s="142" t="str">
        <f>'19U BOYS PLATINUM GOLD-11 TEAMS'!E21&amp;""</f>
        <v>A1-SAND CANYON BLACK pt</v>
      </c>
      <c r="F249" s="31" t="str">
        <f>'19U BOYS PLATINUM GOLD-11 TEAMS'!F21&amp;""</f>
        <v>19</v>
      </c>
      <c r="G249" s="142" t="str">
        <f>'19U BOYS PLATINUM GOLD-11 TEAMS'!G21&amp;""</f>
        <v>A2-VANGUARD SILVER</v>
      </c>
      <c r="H249" s="31" t="str">
        <f>'19U BOYS PLATINUM GOLD-11 TEAMS'!H21&amp;""</f>
        <v>2</v>
      </c>
      <c r="I249" s="31" t="str">
        <f>'19U BOYS PLATINUM GOLD-11 TEAMS'!I21&amp;""</f>
        <v>A bracket A1,A2</v>
      </c>
      <c r="J249" s="31" t="str">
        <f>'19U BOYS PLATINUM GOLD-11 TEAMS'!J21&amp;""</f>
        <v>19U_BOYS_PLATINUM_GOLD</v>
      </c>
      <c r="K249" s="31" t="str">
        <f t="shared" si="3"/>
        <v>202603071400</v>
      </c>
    </row>
    <row r="250" spans="1:11">
      <c r="A250" s="142">
        <f>'19U BOYS PLATINUM GOLD-11 TEAMS'!A22</f>
        <v>46088</v>
      </c>
      <c r="B250" s="143">
        <f>'19U BOYS PLATINUM GOLD-11 TEAMS'!B22</f>
        <v>0.625</v>
      </c>
      <c r="C250" s="142" t="str">
        <f>'19U BOYS PLATINUM GOLD-11 TEAMS'!C22&amp;""</f>
        <v>WOOLLETT NEAR LEFT</v>
      </c>
      <c r="D250" s="31" t="str">
        <f>'19U BOYS PLATINUM GOLD-11 TEAMS'!D22&amp;""</f>
        <v>19Bptau11</v>
      </c>
      <c r="E250" s="142" t="str">
        <f>'19U BOYS PLATINUM GOLD-11 TEAMS'!E22&amp;""</f>
        <v>W#B1/B4-PEAK POLO LIGHTNING pt</v>
      </c>
      <c r="F250" s="31" t="str">
        <f>'19U BOYS PLATINUM GOLD-11 TEAMS'!F22&amp;""</f>
        <v>18</v>
      </c>
      <c r="G250" s="142" t="str">
        <f>'19U BOYS PLATINUM GOLD-11 TEAMS'!G22&amp;""</f>
        <v>W#B2/B3-ALAMEDA</v>
      </c>
      <c r="H250" s="31" t="str">
        <f>'19U BOYS PLATINUM GOLD-11 TEAMS'!H22&amp;""</f>
        <v>1</v>
      </c>
      <c r="I250" s="31" t="str">
        <f>'19U BOYS PLATINUM GOLD-11 TEAMS'!I22&amp;""</f>
        <v>1st/2ndB</v>
      </c>
      <c r="J250" s="31" t="str">
        <f>'19U BOYS PLATINUM GOLD-11 TEAMS'!J22&amp;""</f>
        <v>19U_BOYS_PLATINUM_GOLD</v>
      </c>
      <c r="K250" s="31" t="str">
        <f t="shared" si="3"/>
        <v>202603071500</v>
      </c>
    </row>
    <row r="251" spans="1:11">
      <c r="A251" s="142">
        <f>'19U BOYS PLATINUM GOLD-11 TEAMS'!A26</f>
        <v>46089</v>
      </c>
      <c r="B251" s="143">
        <f>'19U BOYS PLATINUM GOLD-11 TEAMS'!B26</f>
        <v>0.33333333333333298</v>
      </c>
      <c r="C251" s="142" t="str">
        <f>'19U BOYS PLATINUM GOLD-11 TEAMS'!C26&amp;""</f>
        <v>WOOLLETT NEAR LEFT</v>
      </c>
      <c r="D251" s="31" t="str">
        <f>'19U BOYS PLATINUM GOLD-11 TEAMS'!D26&amp;""</f>
        <v>19Bptau12</v>
      </c>
      <c r="E251" s="142" t="str">
        <f>'19U BOYS PLATINUM GOLD-11 TEAMS'!E26&amp;""</f>
        <v>F1(3rdA)-TSM B</v>
      </c>
      <c r="F251" s="31" t="str">
        <f>'19U BOYS PLATINUM GOLD-11 TEAMS'!F26&amp;""</f>
        <v>11</v>
      </c>
      <c r="G251" s="142" t="str">
        <f>'19U BOYS PLATINUM GOLD-11 TEAMS'!G26&amp;""</f>
        <v>F2(3rdB)-HIELAND</v>
      </c>
      <c r="H251" s="31" t="str">
        <f>'19U BOYS PLATINUM GOLD-11 TEAMS'!H26&amp;""</f>
        <v>17</v>
      </c>
      <c r="I251" s="31" t="str">
        <f>'19U BOYS PLATINUM GOLD-11 TEAMS'!I26&amp;""</f>
        <v>F1,F2 7th-11th</v>
      </c>
      <c r="J251" s="31" t="str">
        <f>'19U BOYS PLATINUM GOLD-11 TEAMS'!J26&amp;""</f>
        <v>19U_BOYS_PLATINUM_GOLD</v>
      </c>
      <c r="K251" s="31" t="str">
        <f t="shared" si="3"/>
        <v>202603080800</v>
      </c>
    </row>
    <row r="252" spans="1:11">
      <c r="A252" s="142">
        <f>'19U BOYS PLATINUM GOLD-11 TEAMS'!A27</f>
        <v>46089</v>
      </c>
      <c r="B252" s="143">
        <f>'19U BOYS PLATINUM GOLD-11 TEAMS'!B27</f>
        <v>0.33333333333333298</v>
      </c>
      <c r="C252" s="142" t="str">
        <f>'19U BOYS PLATINUM GOLD-11 TEAMS'!C27&amp;""</f>
        <v>ESTANCIA HS 1</v>
      </c>
      <c r="D252" s="31" t="str">
        <f>'19U BOYS PLATINUM GOLD-11 TEAMS'!D27&amp;""</f>
        <v>19Bptau15</v>
      </c>
      <c r="E252" s="142" t="str">
        <f>'19U BOYS PLATINUM GOLD-11 TEAMS'!E27&amp;""</f>
        <v>E1(2ndA)-VANGUARD SILVER</v>
      </c>
      <c r="F252" s="31" t="str">
        <f>'19U BOYS PLATINUM GOLD-11 TEAMS'!F27&amp;""</f>
        <v>10</v>
      </c>
      <c r="G252" s="142" t="str">
        <f>'19U BOYS PLATINUM GOLD-11 TEAMS'!G27&amp;""</f>
        <v>E3(2ndC)-TROJAN  16 CARDINAL pt</v>
      </c>
      <c r="H252" s="31" t="str">
        <f>'19U BOYS PLATINUM GOLD-11 TEAMS'!H27&amp;""</f>
        <v>9</v>
      </c>
      <c r="I252" s="31" t="str">
        <f>'19U BOYS PLATINUM GOLD-11 TEAMS'!I27&amp;""</f>
        <v>E1,E3 4th-6th</v>
      </c>
      <c r="J252" s="31" t="str">
        <f>'19U BOYS PLATINUM GOLD-11 TEAMS'!J27&amp;""</f>
        <v>19U_BOYS_PLATINUM_GOLD</v>
      </c>
      <c r="K252" s="31" t="str">
        <f t="shared" si="3"/>
        <v>202603080800</v>
      </c>
    </row>
    <row r="253" spans="1:11">
      <c r="A253" s="142">
        <f>'19U BOYS PLATINUM GOLD-11 TEAMS'!A28</f>
        <v>46089</v>
      </c>
      <c r="B253" s="143">
        <f>'19U BOYS PLATINUM GOLD-11 TEAMS'!B28</f>
        <v>0.375</v>
      </c>
      <c r="C253" s="142" t="str">
        <f>'19U BOYS PLATINUM GOLD-11 TEAMS'!C28&amp;""</f>
        <v>WOOLLETT NEAR LEFT</v>
      </c>
      <c r="D253" s="31" t="str">
        <f>'19U BOYS PLATINUM GOLD-11 TEAMS'!D28&amp;""</f>
        <v>19Bptau13</v>
      </c>
      <c r="E253" s="142" t="str">
        <f>'19U BOYS PLATINUM GOLD-11 TEAMS'!E28&amp;""</f>
        <v>F3(3rdC)-SOUTH VALLEY</v>
      </c>
      <c r="F253" s="31" t="str">
        <f>'19U BOYS PLATINUM GOLD-11 TEAMS'!F28&amp;""</f>
        <v>9</v>
      </c>
      <c r="G253" s="142" t="str">
        <f>'19U BOYS PLATINUM GOLD-11 TEAMS'!G28&amp;""</f>
        <v>F5(4thB)-SAND CANYON RED</v>
      </c>
      <c r="H253" s="31" t="str">
        <f>'19U BOYS PLATINUM GOLD-11 TEAMS'!H28&amp;""</f>
        <v>12</v>
      </c>
      <c r="I253" s="31" t="str">
        <f>'19U BOYS PLATINUM GOLD-11 TEAMS'!I28&amp;""</f>
        <v>F3,F5 7th-11th</v>
      </c>
      <c r="J253" s="31" t="str">
        <f>'19U BOYS PLATINUM GOLD-11 TEAMS'!J28&amp;""</f>
        <v>19U_BOYS_PLATINUM_GOLD</v>
      </c>
      <c r="K253" s="31" t="str">
        <f t="shared" si="3"/>
        <v>202603080900</v>
      </c>
    </row>
    <row r="254" spans="1:11">
      <c r="A254" s="142">
        <f>'19U BOYS PLATINUM GOLD-11 TEAMS'!A29</f>
        <v>46089</v>
      </c>
      <c r="B254" s="143">
        <f>'19U BOYS PLATINUM GOLD-11 TEAMS'!B29</f>
        <v>0.41666666666666702</v>
      </c>
      <c r="C254" s="142" t="str">
        <f>'19U BOYS PLATINUM GOLD-11 TEAMS'!C29&amp;""</f>
        <v>WOOLLETT NEAR LEFT</v>
      </c>
      <c r="D254" s="31" t="str">
        <f>'19U BOYS PLATINUM GOLD-11 TEAMS'!D29&amp;""</f>
        <v>19Bptau14</v>
      </c>
      <c r="E254" s="142" t="str">
        <f>'19U BOYS PLATINUM GOLD-11 TEAMS'!E29&amp;""</f>
        <v>D1(1stA)-SAND CANYON BLACK pt</v>
      </c>
      <c r="F254" s="31" t="str">
        <f>'19U BOYS PLATINUM GOLD-11 TEAMS'!F29&amp;""</f>
        <v>7</v>
      </c>
      <c r="G254" s="142" t="str">
        <f>'19U BOYS PLATINUM GOLD-11 TEAMS'!G29&amp;""</f>
        <v>D3(1stC)-PEAK POLO BOLTZ pt</v>
      </c>
      <c r="H254" s="31" t="str">
        <f>'19U BOYS PLATINUM GOLD-11 TEAMS'!H29&amp;""</f>
        <v>9</v>
      </c>
      <c r="I254" s="31" t="str">
        <f>'19U BOYS PLATINUM GOLD-11 TEAMS'!I29&amp;""</f>
        <v>D1,D3 1st-3rd</v>
      </c>
      <c r="J254" s="31" t="str">
        <f>'19U BOYS PLATINUM GOLD-11 TEAMS'!J29&amp;""</f>
        <v>19U_BOYS_PLATINUM_GOLD</v>
      </c>
      <c r="K254" s="31" t="str">
        <f t="shared" si="3"/>
        <v>202603081000</v>
      </c>
    </row>
    <row r="255" spans="1:11">
      <c r="A255" s="142">
        <f>'19U BOYS PLATINUM GOLD-11 TEAMS'!A30</f>
        <v>46089</v>
      </c>
      <c r="B255" s="143">
        <f>'19U BOYS PLATINUM GOLD-11 TEAMS'!B30</f>
        <v>0.45833333333333298</v>
      </c>
      <c r="C255" s="142" t="str">
        <f>'19U BOYS PLATINUM GOLD-11 TEAMS'!C30&amp;""</f>
        <v>WOOLLETT NEAR LEFT</v>
      </c>
      <c r="D255" s="31" t="str">
        <f>'19U BOYS PLATINUM GOLD-11 TEAMS'!D30&amp;""</f>
        <v>19Bptau16</v>
      </c>
      <c r="E255" s="142" t="str">
        <f>'19U BOYS PLATINUM GOLD-11 TEAMS'!E30&amp;""</f>
        <v>F2(3rdB)-HIELAND</v>
      </c>
      <c r="F255" s="31" t="str">
        <f>'19U BOYS PLATINUM GOLD-11 TEAMS'!F30&amp;""</f>
        <v>14</v>
      </c>
      <c r="G255" s="142" t="str">
        <f>'19U BOYS PLATINUM GOLD-11 TEAMS'!G30&amp;""</f>
        <v>F4(4thC)-ROUTE 66</v>
      </c>
      <c r="H255" s="31" t="str">
        <f>'19U BOYS PLATINUM GOLD-11 TEAMS'!H30&amp;""</f>
        <v>3</v>
      </c>
      <c r="I255" s="31" t="str">
        <f>'19U BOYS PLATINUM GOLD-11 TEAMS'!I30&amp;""</f>
        <v>F2,F4 7th-11th</v>
      </c>
      <c r="J255" s="31" t="str">
        <f>'19U BOYS PLATINUM GOLD-11 TEAMS'!J30&amp;""</f>
        <v>19U_BOYS_PLATINUM_GOLD</v>
      </c>
      <c r="K255" s="31" t="str">
        <f t="shared" si="3"/>
        <v>202603081100</v>
      </c>
    </row>
    <row r="256" spans="1:11">
      <c r="A256" s="142">
        <f>'19U BOYS PLATINUM GOLD-11 TEAMS'!A31</f>
        <v>46089</v>
      </c>
      <c r="B256" s="143">
        <f>'19U BOYS PLATINUM GOLD-11 TEAMS'!B31</f>
        <v>0.45833333333333298</v>
      </c>
      <c r="C256" s="142" t="str">
        <f>'19U BOYS PLATINUM GOLD-11 TEAMS'!C31&amp;""</f>
        <v>ESTANCIA HS 1</v>
      </c>
      <c r="D256" s="31" t="str">
        <f>'19U BOYS PLATINUM GOLD-11 TEAMS'!D31&amp;""</f>
        <v>19Bptau19</v>
      </c>
      <c r="E256" s="142" t="str">
        <f>'19U BOYS PLATINUM GOLD-11 TEAMS'!E31&amp;""</f>
        <v>E2(2ndB)-ALAMEDA</v>
      </c>
      <c r="F256" s="31" t="str">
        <f>'19U BOYS PLATINUM GOLD-11 TEAMS'!F31&amp;""</f>
        <v>10</v>
      </c>
      <c r="G256" s="142" t="str">
        <f>'19U BOYS PLATINUM GOLD-11 TEAMS'!G31&amp;""</f>
        <v>E3(2ndC)-TROJAN  16 CARDINAL pt</v>
      </c>
      <c r="H256" s="31" t="str">
        <f>'19U BOYS PLATINUM GOLD-11 TEAMS'!H31&amp;""</f>
        <v>9</v>
      </c>
      <c r="I256" s="31" t="str">
        <f>'19U BOYS PLATINUM GOLD-11 TEAMS'!I31&amp;""</f>
        <v>E2,E3 4th-6th</v>
      </c>
      <c r="J256" s="31" t="str">
        <f>'19U BOYS PLATINUM GOLD-11 TEAMS'!J31&amp;""</f>
        <v>19U_BOYS_PLATINUM_GOLD</v>
      </c>
      <c r="K256" s="31" t="str">
        <f t="shared" si="3"/>
        <v>202603081100</v>
      </c>
    </row>
    <row r="257" spans="1:11">
      <c r="A257" s="142">
        <f>'19U BOYS PLATINUM GOLD-11 TEAMS'!A32</f>
        <v>46089</v>
      </c>
      <c r="B257" s="143">
        <f>'19U BOYS PLATINUM GOLD-11 TEAMS'!B32</f>
        <v>0.5</v>
      </c>
      <c r="C257" s="142" t="str">
        <f>'19U BOYS PLATINUM GOLD-11 TEAMS'!C32&amp;""</f>
        <v>WOOLLETT NEAR LEFT</v>
      </c>
      <c r="D257" s="31" t="str">
        <f>'19U BOYS PLATINUM GOLD-11 TEAMS'!D32&amp;""</f>
        <v>19Bptau17</v>
      </c>
      <c r="E257" s="142" t="str">
        <f>'19U BOYS PLATINUM GOLD-11 TEAMS'!E32&amp;""</f>
        <v>F1(3rdA)-TSM B</v>
      </c>
      <c r="F257" s="31" t="str">
        <f>'19U BOYS PLATINUM GOLD-11 TEAMS'!F32&amp;""</f>
        <v>11</v>
      </c>
      <c r="G257" s="142" t="str">
        <f>'19U BOYS PLATINUM GOLD-11 TEAMS'!G32&amp;""</f>
        <v>F3(3rdC)-SOUTH VALLEY</v>
      </c>
      <c r="H257" s="31" t="str">
        <f>'19U BOYS PLATINUM GOLD-11 TEAMS'!H32&amp;""</f>
        <v>9</v>
      </c>
      <c r="I257" s="31" t="str">
        <f>'19U BOYS PLATINUM GOLD-11 TEAMS'!I32&amp;""</f>
        <v>F1,F3 7th-11th</v>
      </c>
      <c r="J257" s="31" t="str">
        <f>'19U BOYS PLATINUM GOLD-11 TEAMS'!J32&amp;""</f>
        <v>19U_BOYS_PLATINUM_GOLD</v>
      </c>
      <c r="K257" s="31" t="str">
        <f t="shared" si="3"/>
        <v>202603081200</v>
      </c>
    </row>
    <row r="258" spans="1:11">
      <c r="A258" s="142">
        <f>'19U BOYS PLATINUM GOLD-11 TEAMS'!A33</f>
        <v>46089</v>
      </c>
      <c r="B258" s="143">
        <f>'19U BOYS PLATINUM GOLD-11 TEAMS'!B33</f>
        <v>0.54166666666666696</v>
      </c>
      <c r="C258" s="142" t="str">
        <f>'19U BOYS PLATINUM GOLD-11 TEAMS'!C33&amp;""</f>
        <v>WOOLLETT NEAR LEFT</v>
      </c>
      <c r="D258" s="31" t="str">
        <f>'19U BOYS PLATINUM GOLD-11 TEAMS'!D33&amp;""</f>
        <v>19Bptau18</v>
      </c>
      <c r="E258" s="142" t="str">
        <f>'19U BOYS PLATINUM GOLD-11 TEAMS'!E33&amp;""</f>
        <v>D2(1stB)-PEAK POLO LIGHTNING pt</v>
      </c>
      <c r="F258" s="31" t="str">
        <f>'19U BOYS PLATINUM GOLD-11 TEAMS'!F33&amp;""</f>
        <v>14</v>
      </c>
      <c r="G258" s="142" t="str">
        <f>'19U BOYS PLATINUM GOLD-11 TEAMS'!G33&amp;""</f>
        <v>D3(1stC)-PEAK POLO BOLTZ pt</v>
      </c>
      <c r="H258" s="31" t="str">
        <f>'19U BOYS PLATINUM GOLD-11 TEAMS'!H33&amp;""</f>
        <v>7</v>
      </c>
      <c r="I258" s="31" t="str">
        <f>'19U BOYS PLATINUM GOLD-11 TEAMS'!I33&amp;""</f>
        <v>D2,D3 1st-3rd</v>
      </c>
      <c r="J258" s="31" t="str">
        <f>'19U BOYS PLATINUM GOLD-11 TEAMS'!J33&amp;""</f>
        <v>19U_BOYS_PLATINUM_GOLD</v>
      </c>
      <c r="K258" s="31" t="str">
        <f t="shared" si="3"/>
        <v>202603081300</v>
      </c>
    </row>
    <row r="259" spans="1:11">
      <c r="A259" s="142">
        <f>'19U BOYS PLATINUM GOLD-11 TEAMS'!A34</f>
        <v>46089</v>
      </c>
      <c r="B259" s="143">
        <f>'19U BOYS PLATINUM GOLD-11 TEAMS'!B34</f>
        <v>0.58333333333333304</v>
      </c>
      <c r="C259" s="142" t="str">
        <f>'19U BOYS PLATINUM GOLD-11 TEAMS'!C34&amp;""</f>
        <v>WOOLLETT NEAR LEFT</v>
      </c>
      <c r="D259" s="31" t="str">
        <f>'19U BOYS PLATINUM GOLD-11 TEAMS'!D34&amp;""</f>
        <v>19Bptau20</v>
      </c>
      <c r="E259" s="142" t="str">
        <f>'19U BOYS PLATINUM GOLD-11 TEAMS'!E34&amp;""</f>
        <v>F4(4thC)-ROUTE 66</v>
      </c>
      <c r="F259" s="31" t="str">
        <f>'19U BOYS PLATINUM GOLD-11 TEAMS'!F34&amp;""</f>
        <v>9</v>
      </c>
      <c r="G259" s="142" t="str">
        <f>'19U BOYS PLATINUM GOLD-11 TEAMS'!G34&amp;""</f>
        <v>F5(4thB)-SAND CANYON RED</v>
      </c>
      <c r="H259" s="31" t="str">
        <f>'19U BOYS PLATINUM GOLD-11 TEAMS'!H34&amp;""</f>
        <v>6</v>
      </c>
      <c r="I259" s="31" t="str">
        <f>'19U BOYS PLATINUM GOLD-11 TEAMS'!I34&amp;""</f>
        <v>F4,F5 7th-11th</v>
      </c>
      <c r="J259" s="31" t="str">
        <f>'19U BOYS PLATINUM GOLD-11 TEAMS'!J34&amp;""</f>
        <v>19U_BOYS_PLATINUM_GOLD</v>
      </c>
      <c r="K259" s="31" t="str">
        <f t="shared" ref="K259:K261" si="4">TEXT(DATE(2026, MONTH(A259), DAY(A259)) + TIME(HOUR(B259), MINUTE(B259), 0), "yyyymmddhhmm")</f>
        <v>202603081400</v>
      </c>
    </row>
    <row r="260" spans="1:11">
      <c r="A260" s="142">
        <f>'19U BOYS PLATINUM GOLD-11 TEAMS'!A35</f>
        <v>46089</v>
      </c>
      <c r="B260" s="143">
        <f>'19U BOYS PLATINUM GOLD-11 TEAMS'!B35</f>
        <v>0.58333333333333304</v>
      </c>
      <c r="C260" s="142" t="str">
        <f>'19U BOYS PLATINUM GOLD-11 TEAMS'!C35&amp;""</f>
        <v>ESTANCIA HS 1</v>
      </c>
      <c r="D260" s="31" t="str">
        <f>'19U BOYS PLATINUM GOLD-11 TEAMS'!D35&amp;""</f>
        <v>19Bptau22</v>
      </c>
      <c r="E260" s="142" t="str">
        <f>'19U BOYS PLATINUM GOLD-11 TEAMS'!E35&amp;""</f>
        <v>E1(2ndA)-VANGUARD SILVER</v>
      </c>
      <c r="F260" s="31" t="str">
        <f>'19U BOYS PLATINUM GOLD-11 TEAMS'!F35&amp;""</f>
        <v>11</v>
      </c>
      <c r="G260" s="142" t="str">
        <f>'19U BOYS PLATINUM GOLD-11 TEAMS'!G35&amp;""</f>
        <v>E2(2ndB)-ALAMEDA</v>
      </c>
      <c r="H260" s="31" t="str">
        <f>'19U BOYS PLATINUM GOLD-11 TEAMS'!H35&amp;""</f>
        <v>13</v>
      </c>
      <c r="I260" s="31" t="str">
        <f>'19U BOYS PLATINUM GOLD-11 TEAMS'!I35&amp;""</f>
        <v>E1,E2 4th-6th</v>
      </c>
      <c r="J260" s="31" t="str">
        <f>'19U BOYS PLATINUM GOLD-11 TEAMS'!J35&amp;""</f>
        <v>19U_BOYS_PLATINUM_GOLD</v>
      </c>
      <c r="K260" s="31" t="str">
        <f t="shared" si="4"/>
        <v>202603081400</v>
      </c>
    </row>
    <row r="261" spans="1:11">
      <c r="A261" s="142">
        <f>'19U BOYS PLATINUM GOLD-11 TEAMS'!A36</f>
        <v>46089</v>
      </c>
      <c r="B261" s="143">
        <f>'19U BOYS PLATINUM GOLD-11 TEAMS'!B36</f>
        <v>0.625</v>
      </c>
      <c r="C261" s="142" t="str">
        <f>'19U BOYS PLATINUM GOLD-11 TEAMS'!C36&amp;""</f>
        <v>WOOLLETT NEAR LEFT</v>
      </c>
      <c r="D261" s="31" t="str">
        <f>'19U BOYS PLATINUM GOLD-11 TEAMS'!D36&amp;""</f>
        <v>19Bptau21</v>
      </c>
      <c r="E261" s="142" t="str">
        <f>'19U BOYS PLATINUM GOLD-11 TEAMS'!E36&amp;""</f>
        <v>D1(1stA)-SAND CANYON BLACK pt</v>
      </c>
      <c r="F261" s="31" t="str">
        <f>'19U BOYS PLATINUM GOLD-11 TEAMS'!F36&amp;""</f>
        <v>12</v>
      </c>
      <c r="G261" s="142" t="str">
        <f>'19U BOYS PLATINUM GOLD-11 TEAMS'!G36&amp;""</f>
        <v>D2(1stB)-PEAK POLO LIGHTNING pt</v>
      </c>
      <c r="H261" s="31" t="str">
        <f>'19U BOYS PLATINUM GOLD-11 TEAMS'!H36&amp;""</f>
        <v>9</v>
      </c>
      <c r="I261" s="31" t="str">
        <f>'19U BOYS PLATINUM GOLD-11 TEAMS'!I36&amp;""</f>
        <v>D1,D2 1st-3rd</v>
      </c>
      <c r="J261" s="31" t="str">
        <f>'19U BOYS PLATINUM GOLD-11 TEAMS'!J36&amp;""</f>
        <v>19U_BOYS_PLATINUM_GOLD</v>
      </c>
      <c r="K261" s="31" t="str">
        <f t="shared" si="4"/>
        <v>202603081500</v>
      </c>
    </row>
  </sheetData>
  <pageMargins left="0.7" right="0.7" top="0.75" bottom="0.75" header="0.3" footer="0.3"/>
  <pageSetup scale="4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270D-9AA6-4A7F-B583-EC55714DFA83}">
  <sheetPr>
    <pageSetUpPr fitToPage="1"/>
  </sheetPr>
  <dimension ref="A1:K261"/>
  <sheetViews>
    <sheetView topLeftCell="A192" zoomScaleNormal="100" workbookViewId="0"/>
  </sheetViews>
  <sheetFormatPr defaultColWidth="8.7109375" defaultRowHeight="18"/>
  <cols>
    <col min="1" max="1" width="10.140625" style="1" customWidth="1"/>
    <col min="2" max="2" width="12.5703125" style="1" customWidth="1"/>
    <col min="3" max="3" width="29" style="1" customWidth="1"/>
    <col min="4" max="4" width="16.42578125" style="1" customWidth="1"/>
    <col min="5" max="5" width="38" style="1" customWidth="1"/>
    <col min="6" max="6" width="4.7109375" style="1" customWidth="1"/>
    <col min="7" max="7" width="39.140625" style="1" customWidth="1"/>
    <col min="8" max="8" width="4.28515625" style="1" customWidth="1"/>
    <col min="9" max="9" width="39.140625" style="1" customWidth="1"/>
    <col min="10" max="10" width="38.28515625" style="1" customWidth="1"/>
    <col min="11" max="11" width="19.85546875" style="1" customWidth="1"/>
    <col min="12" max="16384" width="8.7109375" style="1"/>
  </cols>
  <sheetData>
    <row r="1" spans="1:11">
      <c r="A1" s="69" t="s">
        <v>346</v>
      </c>
      <c r="B1" s="70" t="s">
        <v>347</v>
      </c>
      <c r="C1" s="69" t="s">
        <v>348</v>
      </c>
      <c r="D1" s="69" t="s">
        <v>349</v>
      </c>
      <c r="E1" s="69" t="s">
        <v>350</v>
      </c>
      <c r="F1" s="69" t="s">
        <v>351</v>
      </c>
      <c r="G1" s="69" t="s">
        <v>352</v>
      </c>
      <c r="H1" s="69" t="s">
        <v>351</v>
      </c>
      <c r="I1" s="69" t="s">
        <v>353</v>
      </c>
      <c r="J1" s="69" t="s">
        <v>0</v>
      </c>
      <c r="K1" s="69" t="s">
        <v>354</v>
      </c>
    </row>
    <row r="2" spans="1:11">
      <c r="A2" s="91">
        <f>'14U BOYS GOLD-16 TEAMS'!A15</f>
        <v>46088</v>
      </c>
      <c r="B2" s="35">
        <f>'14U BOYS GOLD-16 TEAMS'!B15</f>
        <v>0.46527777777777801</v>
      </c>
      <c r="C2" s="35" t="str">
        <f>'14U BOYS GOLD-16 TEAMS'!C15&amp;""</f>
        <v>ALISO NIGUEL HS</v>
      </c>
      <c r="D2" s="33" t="str">
        <f>'14U BOYS GOLD-16 TEAMS'!D15&amp;""</f>
        <v>14Bau07</v>
      </c>
      <c r="E2" s="33" t="str">
        <f>'14U BOYS GOLD-16 TEAMS'!E15&amp;""</f>
        <v>B2-MISSION 14B</v>
      </c>
      <c r="F2" s="33" t="str">
        <f>'14U BOYS GOLD-16 TEAMS'!F15&amp;""</f>
        <v>5</v>
      </c>
      <c r="G2" s="33" t="str">
        <f>'14U BOYS GOLD-16 TEAMS'!G15&amp;""</f>
        <v>B3-ORANGE COUNTY WPC B</v>
      </c>
      <c r="H2" s="33" t="str">
        <f>'14U BOYS GOLD-16 TEAMS'!H15&amp;""</f>
        <v>11</v>
      </c>
      <c r="I2" s="33" t="str">
        <f>'14U BOYS GOLD-16 TEAMS'!I15&amp;""</f>
        <v>W/L B2/B3</v>
      </c>
      <c r="J2" s="33" t="str">
        <f>'14U BOYS GOLD-16 TEAMS'!J15&amp;""</f>
        <v>14U_BOYS_GOLD</v>
      </c>
      <c r="K2" s="33" t="str">
        <f t="shared" ref="K2:K65" si="0">TEXT(DATE(2026, MONTH(A2), DAY(A2)) + TIME(HOUR(B2), MINUTE(B2), 0), "yyyymmddhhmm")</f>
        <v>202603071110</v>
      </c>
    </row>
    <row r="3" spans="1:11">
      <c r="A3" s="91">
        <f>'14U BOYS GOLD-16 TEAMS'!A17</f>
        <v>46088</v>
      </c>
      <c r="B3" s="35">
        <f>'14U BOYS GOLD-16 TEAMS'!B17</f>
        <v>0.5</v>
      </c>
      <c r="C3" s="35" t="str">
        <f>'14U BOYS GOLD-16 TEAMS'!C17&amp;""</f>
        <v>ALISO NIGUEL HS</v>
      </c>
      <c r="D3" s="33" t="str">
        <f>'14U BOYS GOLD-16 TEAMS'!D17&amp;""</f>
        <v>14Bau08</v>
      </c>
      <c r="E3" s="33" t="str">
        <f>'14U BOYS GOLD-16 TEAMS'!E17&amp;""</f>
        <v>B1-SD ECA</v>
      </c>
      <c r="F3" s="33" t="str">
        <f>'14U BOYS GOLD-16 TEAMS'!F17&amp;""</f>
        <v>16</v>
      </c>
      <c r="G3" s="33" t="str">
        <f>'14U BOYS GOLD-16 TEAMS'!G17&amp;""</f>
        <v>B4-SOCAL 12 BLACK</v>
      </c>
      <c r="H3" s="33" t="str">
        <f>'14U BOYS GOLD-16 TEAMS'!H17&amp;""</f>
        <v>8</v>
      </c>
      <c r="I3" s="33" t="str">
        <f>'14U BOYS GOLD-16 TEAMS'!I17&amp;""</f>
        <v>W/L B1/B4</v>
      </c>
      <c r="J3" s="33" t="str">
        <f>'14U BOYS GOLD-16 TEAMS'!J17&amp;""</f>
        <v>14U_BOYS_GOLD</v>
      </c>
      <c r="K3" s="33" t="str">
        <f t="shared" si="0"/>
        <v>202603071200</v>
      </c>
    </row>
    <row r="4" spans="1:11">
      <c r="A4" s="91">
        <f>'14U BOYS GOLD-16 TEAMS'!A18</f>
        <v>46088</v>
      </c>
      <c r="B4" s="35">
        <f>'14U BOYS GOLD-16 TEAMS'!B18</f>
        <v>0.53472222222222199</v>
      </c>
      <c r="C4" s="35" t="str">
        <f>'14U BOYS GOLD-16 TEAMS'!C18&amp;""</f>
        <v>ALISO NIGUEL HS</v>
      </c>
      <c r="D4" s="33" t="str">
        <f>'14U BOYS GOLD-16 TEAMS'!D18&amp;""</f>
        <v>14Bau09</v>
      </c>
      <c r="E4" s="33" t="str">
        <f>'14U BOYS GOLD-16 TEAMS'!E18&amp;""</f>
        <v>L#1-TRILOGY BLACK</v>
      </c>
      <c r="F4" s="33" t="str">
        <f>'14U BOYS GOLD-16 TEAMS'!F18&amp;""</f>
        <v>5</v>
      </c>
      <c r="G4" s="33" t="str">
        <f>'14U BOYS GOLD-16 TEAMS'!G18&amp;""</f>
        <v>L#2-LAWPC</v>
      </c>
      <c r="H4" s="33" t="str">
        <f>'14U BOYS GOLD-16 TEAMS'!H18&amp;""</f>
        <v>0</v>
      </c>
      <c r="I4" s="33" t="str">
        <f>'14U BOYS GOLD-16 TEAMS'!I18&amp;""</f>
        <v>3rd/4thA (7-1 LAWP)</v>
      </c>
      <c r="J4" s="33" t="str">
        <f>'14U BOYS GOLD-16 TEAMS'!J18&amp;""</f>
        <v>14U_BOYS_GOLD</v>
      </c>
      <c r="K4" s="33" t="str">
        <f t="shared" si="0"/>
        <v>202603071250</v>
      </c>
    </row>
    <row r="5" spans="1:11">
      <c r="A5" s="91">
        <f>'14U BOYS GOLD-16 TEAMS'!A20</f>
        <v>46088</v>
      </c>
      <c r="B5" s="35">
        <f>'14U BOYS GOLD-16 TEAMS'!B20</f>
        <v>0.56944444444444497</v>
      </c>
      <c r="C5" s="35" t="str">
        <f>'14U BOYS GOLD-16 TEAMS'!C20&amp;""</f>
        <v>ALISO NIGUEL HS</v>
      </c>
      <c r="D5" s="33" t="str">
        <f>'14U BOYS GOLD-16 TEAMS'!D20&amp;""</f>
        <v>14Bau10</v>
      </c>
      <c r="E5" s="33" t="str">
        <f>'14U BOYS GOLD-16 TEAMS'!E20&amp;""</f>
        <v>W#1-SAN DIEGO DONS 14 BLACK</v>
      </c>
      <c r="F5" s="33" t="str">
        <f>'14U BOYS GOLD-16 TEAMS'!F20&amp;""</f>
        <v>5</v>
      </c>
      <c r="G5" s="33" t="str">
        <f>'14U BOYS GOLD-16 TEAMS'!G20&amp;""</f>
        <v>W#2-NORTH IRVINE RED</v>
      </c>
      <c r="H5" s="33" t="str">
        <f>'14U BOYS GOLD-16 TEAMS'!H20&amp;""</f>
        <v>8</v>
      </c>
      <c r="I5" s="33" t="str">
        <f>'14U BOYS GOLD-16 TEAMS'!I20&amp;""</f>
        <v>1st/2ndA</v>
      </c>
      <c r="J5" s="33" t="str">
        <f>'14U BOYS GOLD-16 TEAMS'!J20&amp;""</f>
        <v>14U_BOYS_GOLD</v>
      </c>
      <c r="K5" s="33" t="str">
        <f t="shared" si="0"/>
        <v>202603071340</v>
      </c>
    </row>
    <row r="6" spans="1:11">
      <c r="A6" s="91">
        <f>'14U BOYS GOLD-16 TEAMS'!A23</f>
        <v>46088</v>
      </c>
      <c r="B6" s="35">
        <f>'14U BOYS GOLD-16 TEAMS'!B23</f>
        <v>0.60416666666666696</v>
      </c>
      <c r="C6" s="35" t="str">
        <f>'14U BOYS GOLD-16 TEAMS'!C23&amp;""</f>
        <v>ALISO NIGUEL HS</v>
      </c>
      <c r="D6" s="33" t="str">
        <f>'14U BOYS GOLD-16 TEAMS'!D23&amp;""</f>
        <v>14Bau15</v>
      </c>
      <c r="E6" s="33" t="str">
        <f>'14U BOYS GOLD-16 TEAMS'!E23&amp;""</f>
        <v>L#7-MISSION 14B</v>
      </c>
      <c r="F6" s="33" t="str">
        <f>'14U BOYS GOLD-16 TEAMS'!F23&amp;""</f>
        <v>8</v>
      </c>
      <c r="G6" s="33" t="str">
        <f>'14U BOYS GOLD-16 TEAMS'!G23&amp;""</f>
        <v>L#8-SOCAL 12 BLACK</v>
      </c>
      <c r="H6" s="33" t="str">
        <f>'14U BOYS GOLD-16 TEAMS'!H23&amp;""</f>
        <v>11</v>
      </c>
      <c r="I6" s="33" t="str">
        <f>'14U BOYS GOLD-16 TEAMS'!I23&amp;""</f>
        <v>3rd/4thB</v>
      </c>
      <c r="J6" s="33" t="str">
        <f>'14U BOYS GOLD-16 TEAMS'!J23&amp;""</f>
        <v>14U_BOYS_GOLD</v>
      </c>
      <c r="K6" s="33" t="str">
        <f t="shared" si="0"/>
        <v>202603071430</v>
      </c>
    </row>
    <row r="7" spans="1:11">
      <c r="A7" s="91">
        <f>'14U BOYS GOLD-16 TEAMS'!A25</f>
        <v>46088</v>
      </c>
      <c r="B7" s="35">
        <f>'14U BOYS GOLD-16 TEAMS'!B25</f>
        <v>0.63888888888888895</v>
      </c>
      <c r="C7" s="35" t="str">
        <f>'14U BOYS GOLD-16 TEAMS'!C25&amp;""</f>
        <v>ALISO NIGUEL HS</v>
      </c>
      <c r="D7" s="33" t="str">
        <f>'14U BOYS GOLD-16 TEAMS'!D25&amp;""</f>
        <v>14Bau16</v>
      </c>
      <c r="E7" s="33" t="str">
        <f>'14U BOYS GOLD-16 TEAMS'!E25&amp;""</f>
        <v>W#7-ORANGE COUNTY WPC B</v>
      </c>
      <c r="F7" s="33" t="str">
        <f>'14U BOYS GOLD-16 TEAMS'!F25&amp;""</f>
        <v>14</v>
      </c>
      <c r="G7" s="33" t="str">
        <f>'14U BOYS GOLD-16 TEAMS'!G25&amp;""</f>
        <v>W#8-SD ECA</v>
      </c>
      <c r="H7" s="33" t="str">
        <f>'14U BOYS GOLD-16 TEAMS'!H25&amp;""</f>
        <v>8</v>
      </c>
      <c r="I7" s="33" t="str">
        <f>'14U BOYS GOLD-16 TEAMS'!I25&amp;""</f>
        <v>1st/2ndB</v>
      </c>
      <c r="J7" s="33" t="str">
        <f>'14U BOYS GOLD-16 TEAMS'!J25&amp;""</f>
        <v>14U_BOYS_GOLD</v>
      </c>
      <c r="K7" s="33" t="str">
        <f t="shared" si="0"/>
        <v>202603071520</v>
      </c>
    </row>
    <row r="8" spans="1:11">
      <c r="A8" s="91">
        <f>'14U BOYS GOLD-16 TEAMS'!A28</f>
        <v>46089</v>
      </c>
      <c r="B8" s="35">
        <f>'14U BOYS GOLD-16 TEAMS'!B28</f>
        <v>0.3263888888888889</v>
      </c>
      <c r="C8" s="91" t="str">
        <f>'14U BOYS GOLD-16 TEAMS'!C28&amp;""</f>
        <v>ALISO NIGUEL HS</v>
      </c>
      <c r="D8" s="35" t="str">
        <f>'14U BOYS GOLD-16 TEAMS'!D28&amp;""</f>
        <v>14Bau29</v>
      </c>
      <c r="E8" s="35" t="str">
        <f>'14U BOYS GOLD-16 TEAMS'!E28&amp;""</f>
        <v>4thD-CDM B</v>
      </c>
      <c r="F8" s="33" t="str">
        <f>'14U BOYS GOLD-16 TEAMS'!F28&amp;""</f>
        <v>1</v>
      </c>
      <c r="G8" s="33" t="str">
        <f>'14U BOYS GOLD-16 TEAMS'!G28&amp;""</f>
        <v>4thA-LAWPC</v>
      </c>
      <c r="H8" s="33" t="str">
        <f>'14U BOYS GOLD-16 TEAMS'!H28&amp;""</f>
        <v>10</v>
      </c>
      <c r="I8" s="33" t="str">
        <f>'14U BOYS GOLD-16 TEAMS'!I28&amp;""</f>
        <v>13-16 semi</v>
      </c>
      <c r="J8" s="33" t="str">
        <f>'14U BOYS GOLD-16 TEAMS'!J28&amp;""</f>
        <v>14U_BOYS_GOLD</v>
      </c>
      <c r="K8" s="33" t="str">
        <f t="shared" si="0"/>
        <v>202603080750</v>
      </c>
    </row>
    <row r="9" spans="1:11">
      <c r="A9" s="91">
        <f>'14U BOYS GOLD-16 TEAMS'!A30</f>
        <v>46089</v>
      </c>
      <c r="B9" s="35">
        <f>'14U BOYS GOLD-16 TEAMS'!B30</f>
        <v>0.36111111111111099</v>
      </c>
      <c r="C9" s="91" t="str">
        <f>'14U BOYS GOLD-16 TEAMS'!C30&amp;""</f>
        <v>ALISO NIGUEL HS</v>
      </c>
      <c r="D9" s="35" t="str">
        <f>'14U BOYS GOLD-16 TEAMS'!D30&amp;""</f>
        <v>14Bau30</v>
      </c>
      <c r="E9" s="35" t="str">
        <f>'14U BOYS GOLD-16 TEAMS'!E30&amp;""</f>
        <v>4thC-SAN DIEGO DONS 12 RED</v>
      </c>
      <c r="F9" s="33" t="str">
        <f>'14U BOYS GOLD-16 TEAMS'!F30&amp;""</f>
        <v>3</v>
      </c>
      <c r="G9" s="33" t="str">
        <f>'14U BOYS GOLD-16 TEAMS'!G30&amp;""</f>
        <v>4thB-MISSION 14B</v>
      </c>
      <c r="H9" s="33" t="str">
        <f>'14U BOYS GOLD-16 TEAMS'!H30&amp;""</f>
        <v>7</v>
      </c>
      <c r="I9" s="33" t="str">
        <f>'14U BOYS GOLD-16 TEAMS'!I30&amp;""</f>
        <v>13-16 semi</v>
      </c>
      <c r="J9" s="33" t="str">
        <f>'14U BOYS GOLD-16 TEAMS'!J30&amp;""</f>
        <v>14U_BOYS_GOLD</v>
      </c>
      <c r="K9" s="33" t="str">
        <f t="shared" si="0"/>
        <v>202603080840</v>
      </c>
    </row>
    <row r="10" spans="1:11">
      <c r="A10" s="88">
        <f>'14U BOYS SILVER-16 TEAMS'!A32</f>
        <v>46089</v>
      </c>
      <c r="B10" s="87">
        <f>'14U BOYS SILVER-16 TEAMS'!B32</f>
        <v>0.39583333333333398</v>
      </c>
      <c r="C10" s="87" t="str">
        <f>'14U BOYS SILVER-16 TEAMS'!C32&amp;""</f>
        <v>ALISO NIGUEL HS</v>
      </c>
      <c r="D10" s="36" t="str">
        <f>'14U BOYS SILVER-16 TEAMS'!D32&amp;""</f>
        <v>14Bag29</v>
      </c>
      <c r="E10" s="36" t="str">
        <f>'14U BOYS SILVER-16 TEAMS'!E32&amp;""</f>
        <v>4thD-SET</v>
      </c>
      <c r="F10" s="36" t="str">
        <f>'14U BOYS SILVER-16 TEAMS'!F32&amp;""</f>
        <v>3</v>
      </c>
      <c r="G10" s="36" t="str">
        <f>'14U BOYS SILVER-16 TEAMS'!G32&amp;""</f>
        <v>4thA-TROJAN GOLD</v>
      </c>
      <c r="H10" s="36" t="str">
        <f>'14U BOYS SILVER-16 TEAMS'!H32&amp;""</f>
        <v>15</v>
      </c>
      <c r="I10" s="36" t="str">
        <f>'14U BOYS SILVER-16 TEAMS'!I32&amp;""</f>
        <v>13-16 semi</v>
      </c>
      <c r="J10" s="36" t="str">
        <f>'14U BOYS SILVER-16 TEAMS'!J32&amp;""</f>
        <v>14U_BOYS_SILVER</v>
      </c>
      <c r="K10" s="36" t="str">
        <f t="shared" si="0"/>
        <v>202603080930</v>
      </c>
    </row>
    <row r="11" spans="1:11">
      <c r="A11" s="88">
        <f>'14U BOYS SILVER-16 TEAMS'!A33</f>
        <v>46089</v>
      </c>
      <c r="B11" s="87">
        <f>'14U BOYS SILVER-16 TEAMS'!B33</f>
        <v>0.43055555555555602</v>
      </c>
      <c r="C11" s="87" t="str">
        <f>'14U BOYS SILVER-16 TEAMS'!C33&amp;""</f>
        <v>ALISO NIGUEL HS</v>
      </c>
      <c r="D11" s="36" t="str">
        <f>'14U BOYS SILVER-16 TEAMS'!D33&amp;""</f>
        <v>14Bag30</v>
      </c>
      <c r="E11" s="36" t="str">
        <f>'14U BOYS SILVER-16 TEAMS'!E33&amp;""</f>
        <v>4thC-TSM</v>
      </c>
      <c r="F11" s="36" t="str">
        <f>'14U BOYS SILVER-16 TEAMS'!F33&amp;""</f>
        <v>7</v>
      </c>
      <c r="G11" s="36" t="str">
        <f>'14U BOYS SILVER-16 TEAMS'!G33&amp;""</f>
        <v>4thB-RIVERSIDE</v>
      </c>
      <c r="H11" s="36" t="str">
        <f>'14U BOYS SILVER-16 TEAMS'!H33&amp;""</f>
        <v>14</v>
      </c>
      <c r="I11" s="36" t="str">
        <f>'14U BOYS SILVER-16 TEAMS'!I33&amp;""</f>
        <v>13-16 semi</v>
      </c>
      <c r="J11" s="36" t="str">
        <f>'14U BOYS SILVER-16 TEAMS'!J33&amp;""</f>
        <v>14U_BOYS_SILVER</v>
      </c>
      <c r="K11" s="36" t="str">
        <f t="shared" si="0"/>
        <v>202603081020</v>
      </c>
    </row>
    <row r="12" spans="1:11">
      <c r="A12" s="91">
        <f>'14U BOYS GOLD-16 TEAMS'!A35</f>
        <v>46089</v>
      </c>
      <c r="B12" s="35">
        <f>'14U BOYS GOLD-16 TEAMS'!B35</f>
        <v>0.46527777777777801</v>
      </c>
      <c r="C12" s="91" t="str">
        <f>'14U BOYS GOLD-16 TEAMS'!C35&amp;""</f>
        <v>ALISO NIGUEL HS</v>
      </c>
      <c r="D12" s="35" t="str">
        <f>'14U BOYS GOLD-16 TEAMS'!D35&amp;""</f>
        <v>14Bau34</v>
      </c>
      <c r="E12" s="35" t="str">
        <f>'14U BOYS GOLD-16 TEAMS'!E35&amp;""</f>
        <v>W#29-LAWPC</v>
      </c>
      <c r="F12" s="33" t="str">
        <f>'14U BOYS GOLD-16 TEAMS'!F35&amp;""</f>
        <v>10</v>
      </c>
      <c r="G12" s="33" t="str">
        <f>'14U BOYS GOLD-16 TEAMS'!G35&amp;""</f>
        <v>W#30-MISSION 14B</v>
      </c>
      <c r="H12" s="33" t="str">
        <f>'14U BOYS GOLD-16 TEAMS'!H35&amp;""</f>
        <v>12</v>
      </c>
      <c r="I12" s="33" t="str">
        <f>'14U BOYS GOLD-16 TEAMS'!I35&amp;""</f>
        <v>13th</v>
      </c>
      <c r="J12" s="33" t="str">
        <f>'14U BOYS GOLD-16 TEAMS'!J35&amp;""</f>
        <v>14U_BOYS_GOLD</v>
      </c>
      <c r="K12" s="33" t="str">
        <f t="shared" si="0"/>
        <v>202603081110</v>
      </c>
    </row>
    <row r="13" spans="1:11">
      <c r="A13" s="91">
        <f>'14U BOYS GOLD-16 TEAMS'!A36</f>
        <v>46089</v>
      </c>
      <c r="B13" s="35">
        <f>'14U BOYS GOLD-16 TEAMS'!B36</f>
        <v>0.5</v>
      </c>
      <c r="C13" s="91" t="str">
        <f>'14U BOYS GOLD-16 TEAMS'!C36&amp;""</f>
        <v>ALISO NIGUEL HS</v>
      </c>
      <c r="D13" s="35" t="str">
        <f>'14U BOYS GOLD-16 TEAMS'!D36&amp;""</f>
        <v>14Bau33</v>
      </c>
      <c r="E13" s="35" t="str">
        <f>'14U BOYS GOLD-16 TEAMS'!E36&amp;""</f>
        <v>L#29-CDM B</v>
      </c>
      <c r="F13" s="33" t="str">
        <f>'14U BOYS GOLD-16 TEAMS'!F36&amp;""</f>
        <v>3</v>
      </c>
      <c r="G13" s="33" t="str">
        <f>'14U BOYS GOLD-16 TEAMS'!G36&amp;""</f>
        <v>L#30-SAN DIEGO DONS 12 RED</v>
      </c>
      <c r="H13" s="33" t="str">
        <f>'14U BOYS GOLD-16 TEAMS'!H36&amp;""</f>
        <v>13</v>
      </c>
      <c r="I13" s="33" t="str">
        <f>'14U BOYS GOLD-16 TEAMS'!I36&amp;""</f>
        <v>15th</v>
      </c>
      <c r="J13" s="33" t="str">
        <f>'14U BOYS GOLD-16 TEAMS'!J36&amp;""</f>
        <v>14U_BOYS_GOLD</v>
      </c>
      <c r="K13" s="33" t="str">
        <f t="shared" si="0"/>
        <v>202603081200</v>
      </c>
    </row>
    <row r="14" spans="1:11">
      <c r="A14" s="88">
        <f>'14U BOYS SILVER-16 TEAMS'!A38</f>
        <v>46089</v>
      </c>
      <c r="B14" s="87">
        <f>'14U BOYS SILVER-16 TEAMS'!B38</f>
        <v>0.53472222222222199</v>
      </c>
      <c r="C14" s="87" t="str">
        <f>'14U BOYS SILVER-16 TEAMS'!C38&amp;""</f>
        <v>ALISO NIGUEL HS</v>
      </c>
      <c r="D14" s="36" t="str">
        <f>'14U BOYS SILVER-16 TEAMS'!D38&amp;""</f>
        <v>14Bag31</v>
      </c>
      <c r="E14" s="36" t="str">
        <f>'14U BOYS SILVER-16 TEAMS'!E38&amp;""</f>
        <v>W#27-SAND CANYON</v>
      </c>
      <c r="F14" s="36" t="str">
        <f>'14U BOYS SILVER-16 TEAMS'!F38&amp;""</f>
        <v>9</v>
      </c>
      <c r="G14" s="36" t="str">
        <f>'14U BOYS SILVER-16 TEAMS'!G38&amp;""</f>
        <v>W#28-GOLD COAST</v>
      </c>
      <c r="H14" s="36" t="str">
        <f>'14U BOYS SILVER-16 TEAMS'!H38&amp;""</f>
        <v>17</v>
      </c>
      <c r="I14" s="36" t="str">
        <f>'14U BOYS SILVER-16 TEAMS'!I38&amp;""</f>
        <v>9th</v>
      </c>
      <c r="J14" s="36" t="str">
        <f>'14U BOYS SILVER-16 TEAMS'!J38&amp;""</f>
        <v>14U_BOYS_SILVER</v>
      </c>
      <c r="K14" s="36" t="str">
        <f t="shared" si="0"/>
        <v>202603081250</v>
      </c>
    </row>
    <row r="15" spans="1:11">
      <c r="A15" s="88">
        <f>'14U BOYS SILVER-16 TEAMS'!A40</f>
        <v>46089</v>
      </c>
      <c r="B15" s="87">
        <f>'14U BOYS SILVER-16 TEAMS'!B40</f>
        <v>0.56944444444444497</v>
      </c>
      <c r="C15" s="87" t="str">
        <f>'14U BOYS SILVER-16 TEAMS'!C40&amp;""</f>
        <v>ALISO NIGUEL HS</v>
      </c>
      <c r="D15" s="36" t="str">
        <f>'14U BOYS SILVER-16 TEAMS'!D40&amp;""</f>
        <v>14Bag32</v>
      </c>
      <c r="E15" s="36" t="str">
        <f>'14U BOYS SILVER-16 TEAMS'!E40&amp;""</f>
        <v>L#27-TITANS</v>
      </c>
      <c r="F15" s="36" t="str">
        <f>'14U BOYS SILVER-16 TEAMS'!F40&amp;""</f>
        <v>0</v>
      </c>
      <c r="G15" s="36" t="str">
        <f>'14U BOYS SILVER-16 TEAMS'!G40&amp;""</f>
        <v>L#28-SAN CLEMENTE BLACK</v>
      </c>
      <c r="H15" s="36" t="str">
        <f>'14U BOYS SILVER-16 TEAMS'!H40&amp;""</f>
        <v>14</v>
      </c>
      <c r="I15" s="36" t="str">
        <f>'14U BOYS SILVER-16 TEAMS'!I40&amp;""</f>
        <v>11th</v>
      </c>
      <c r="J15" s="36" t="str">
        <f>'14U BOYS SILVER-16 TEAMS'!J40&amp;""</f>
        <v>14U_BOYS_SILVER</v>
      </c>
      <c r="K15" s="36" t="str">
        <f t="shared" si="0"/>
        <v>202603081340</v>
      </c>
    </row>
    <row r="16" spans="1:11">
      <c r="A16" s="88">
        <f>'14U BOYS SILVER-16 TEAMS'!A41</f>
        <v>46089</v>
      </c>
      <c r="B16" s="87">
        <f>'14U BOYS SILVER-16 TEAMS'!B41</f>
        <v>0.60416666666666696</v>
      </c>
      <c r="C16" s="87" t="str">
        <f>'14U BOYS SILVER-16 TEAMS'!C41&amp;""</f>
        <v>ALISO NIGUEL HS</v>
      </c>
      <c r="D16" s="36" t="str">
        <f>'14U BOYS SILVER-16 TEAMS'!D41&amp;""</f>
        <v>14Bag34</v>
      </c>
      <c r="E16" s="36" t="str">
        <f>'14U BOYS SILVER-16 TEAMS'!E41&amp;""</f>
        <v>W#29-TROJAN GOLD</v>
      </c>
      <c r="F16" s="36" t="str">
        <f>'14U BOYS SILVER-16 TEAMS'!F41&amp;""</f>
        <v>12</v>
      </c>
      <c r="G16" s="36" t="str">
        <f>'14U BOYS SILVER-16 TEAMS'!G41&amp;""</f>
        <v>W#30-RIVERSIDE</v>
      </c>
      <c r="H16" s="36" t="str">
        <f>'14U BOYS SILVER-16 TEAMS'!H41&amp;""</f>
        <v>13</v>
      </c>
      <c r="I16" s="36" t="str">
        <f>'14U BOYS SILVER-16 TEAMS'!I41&amp;""</f>
        <v>13th</v>
      </c>
      <c r="J16" s="36" t="str">
        <f>'14U BOYS SILVER-16 TEAMS'!J41&amp;""</f>
        <v>14U_BOYS_SILVER</v>
      </c>
      <c r="K16" s="36" t="str">
        <f t="shared" si="0"/>
        <v>202603081430</v>
      </c>
    </row>
    <row r="17" spans="1:11">
      <c r="A17" s="88">
        <f>'14U BOYS SILVER-16 TEAMS'!A43</f>
        <v>46089</v>
      </c>
      <c r="B17" s="87">
        <f>'14U BOYS SILVER-16 TEAMS'!B43</f>
        <v>0.63888888888888895</v>
      </c>
      <c r="C17" s="87" t="str">
        <f>'14U BOYS SILVER-16 TEAMS'!C43&amp;""</f>
        <v>ALISO NIGUEL HS</v>
      </c>
      <c r="D17" s="36" t="str">
        <f>'14U BOYS SILVER-16 TEAMS'!D43&amp;""</f>
        <v>14Bag33</v>
      </c>
      <c r="E17" s="36" t="str">
        <f>'14U BOYS SILVER-16 TEAMS'!E43&amp;""</f>
        <v>L#29-SET</v>
      </c>
      <c r="F17" s="36" t="str">
        <f>'14U BOYS SILVER-16 TEAMS'!F43&amp;""</f>
        <v>5</v>
      </c>
      <c r="G17" s="36" t="str">
        <f>'14U BOYS SILVER-16 TEAMS'!G43&amp;""</f>
        <v>L#30-TSM</v>
      </c>
      <c r="H17" s="36" t="str">
        <f>'14U BOYS SILVER-16 TEAMS'!H43&amp;""</f>
        <v>3</v>
      </c>
      <c r="I17" s="36" t="str">
        <f>'14U BOYS SILVER-16 TEAMS'!I43&amp;""</f>
        <v>15th</v>
      </c>
      <c r="J17" s="36" t="str">
        <f>'14U BOYS SILVER-16 TEAMS'!J43&amp;""</f>
        <v>14U_BOYS_SILVER</v>
      </c>
      <c r="K17" s="36" t="str">
        <f t="shared" si="0"/>
        <v>202603081520</v>
      </c>
    </row>
    <row r="18" spans="1:11">
      <c r="A18" s="113">
        <f>'16U BOYS SILVER-8 TEAMS'!A10</f>
        <v>46088</v>
      </c>
      <c r="B18" s="112">
        <f>'16U BOYS SILVER-8 TEAMS'!B10</f>
        <v>0.33333333333333298</v>
      </c>
      <c r="C18" s="27" t="str">
        <f>'16U BOYS SILVER-8 TEAMS'!C10&amp;""</f>
        <v>COSTA MESA HS 1</v>
      </c>
      <c r="D18" s="27" t="str">
        <f>'16U BOYS SILVER-8 TEAMS'!D10&amp;""</f>
        <v>16Bag01</v>
      </c>
      <c r="E18" s="27" t="str">
        <f>'16U BOYS SILVER-8 TEAMS'!E10&amp;""</f>
        <v>B1-TITANS</v>
      </c>
      <c r="F18" s="27" t="str">
        <f>'16U BOYS SILVER-8 TEAMS'!F10&amp;""</f>
        <v>9</v>
      </c>
      <c r="G18" s="27" t="str">
        <f>'16U BOYS SILVER-8 TEAMS'!G10&amp;""</f>
        <v>B4-NORTH IRVINE 14 BLACK</v>
      </c>
      <c r="H18" s="27" t="str">
        <f>'16U BOYS SILVER-8 TEAMS'!H10&amp;""</f>
        <v>20</v>
      </c>
      <c r="I18" s="27" t="str">
        <f>'16U BOYS SILVER-8 TEAMS'!I10&amp;""</f>
        <v>bracket, B1/B4</v>
      </c>
      <c r="J18" s="27" t="str">
        <f>'16U BOYS SILVER-8 TEAMS'!J10&amp;""</f>
        <v>16U_BOYS_SILVER</v>
      </c>
      <c r="K18" s="27" t="str">
        <f t="shared" si="0"/>
        <v>202603070800</v>
      </c>
    </row>
    <row r="19" spans="1:11">
      <c r="A19" s="113">
        <f>'16U BOYS SILVER-8 TEAMS'!A11</f>
        <v>46088</v>
      </c>
      <c r="B19" s="112">
        <f>'16U BOYS SILVER-8 TEAMS'!B11</f>
        <v>0.375</v>
      </c>
      <c r="C19" s="27" t="str">
        <f>'16U BOYS SILVER-8 TEAMS'!C11&amp;""</f>
        <v>COSTA MESA HS 1</v>
      </c>
      <c r="D19" s="27" t="str">
        <f>'16U BOYS SILVER-8 TEAMS'!D11&amp;""</f>
        <v>16Bag02</v>
      </c>
      <c r="E19" s="27" t="str">
        <f>'16U BOYS SILVER-8 TEAMS'!E11&amp;""</f>
        <v>B2-TRILOGY WHITE</v>
      </c>
      <c r="F19" s="27" t="str">
        <f>'16U BOYS SILVER-8 TEAMS'!F11&amp;""</f>
        <v>12</v>
      </c>
      <c r="G19" s="27" t="str">
        <f>'16U BOYS SILVER-8 TEAMS'!G11&amp;""</f>
        <v>B3-SAN CLEMENTE BLACK</v>
      </c>
      <c r="H19" s="27" t="str">
        <f>'16U BOYS SILVER-8 TEAMS'!H11&amp;""</f>
        <v>14</v>
      </c>
      <c r="I19" s="27" t="str">
        <f>'16U BOYS SILVER-8 TEAMS'!I11&amp;""</f>
        <v>bracket, B2/B3</v>
      </c>
      <c r="J19" s="27" t="str">
        <f>'16U BOYS SILVER-8 TEAMS'!J11&amp;""</f>
        <v>16U_BOYS_SILVER</v>
      </c>
      <c r="K19" s="27" t="str">
        <f t="shared" si="0"/>
        <v>202603070900</v>
      </c>
    </row>
    <row r="20" spans="1:11">
      <c r="A20" s="113">
        <f>'16U BOYS SILVER-8 TEAMS'!A12</f>
        <v>46088</v>
      </c>
      <c r="B20" s="112">
        <f>'16U BOYS SILVER-8 TEAMS'!B12</f>
        <v>0.41666666666666702</v>
      </c>
      <c r="C20" s="27" t="str">
        <f>'16U BOYS SILVER-8 TEAMS'!C12&amp;""</f>
        <v>COSTA MESA HS 1</v>
      </c>
      <c r="D20" s="27" t="str">
        <f>'16U BOYS SILVER-8 TEAMS'!D12&amp;""</f>
        <v>16Bag03</v>
      </c>
      <c r="E20" s="27" t="str">
        <f>'16U BOYS SILVER-8 TEAMS'!E12&amp;""</f>
        <v>A2-CMAC</v>
      </c>
      <c r="F20" s="27" t="str">
        <f>'16U BOYS SILVER-8 TEAMS'!F12&amp;""</f>
        <v>10</v>
      </c>
      <c r="G20" s="27" t="str">
        <f>'16U BOYS SILVER-8 TEAMS'!G12&amp;""</f>
        <v>A3-PALOS VERDES BLUE</v>
      </c>
      <c r="H20" s="27" t="str">
        <f>'16U BOYS SILVER-8 TEAMS'!H12&amp;""</f>
        <v>6</v>
      </c>
      <c r="I20" s="27" t="str">
        <f>'16U BOYS SILVER-8 TEAMS'!I12&amp;""</f>
        <v>bracket, A2/A3</v>
      </c>
      <c r="J20" s="27" t="str">
        <f>'16U BOYS SILVER-8 TEAMS'!J12&amp;""</f>
        <v>16U_BOYS_SILVER</v>
      </c>
      <c r="K20" s="27" t="str">
        <f t="shared" si="0"/>
        <v>202603071000</v>
      </c>
    </row>
    <row r="21" spans="1:11">
      <c r="A21" s="113">
        <f>'16U BOYS SILVER-8 TEAMS'!A13</f>
        <v>46088</v>
      </c>
      <c r="B21" s="112">
        <f>'16U BOYS SILVER-8 TEAMS'!B13</f>
        <v>0.45833333333333298</v>
      </c>
      <c r="C21" s="27" t="str">
        <f>'16U BOYS SILVER-8 TEAMS'!C13&amp;""</f>
        <v>COSTA MESA HS 1</v>
      </c>
      <c r="D21" s="27" t="str">
        <f>'16U BOYS SILVER-8 TEAMS'!D13&amp;""</f>
        <v>16Bag04</v>
      </c>
      <c r="E21" s="27" t="str">
        <f>'16U BOYS SILVER-8 TEAMS'!E13&amp;""</f>
        <v>A1-HIELAND</v>
      </c>
      <c r="F21" s="27" t="str">
        <f>'16U BOYS SILVER-8 TEAMS'!F13&amp;""</f>
        <v>9</v>
      </c>
      <c r="G21" s="27" t="str">
        <f>'16U BOYS SILVER-8 TEAMS'!G13&amp;""</f>
        <v>A4-SUPREME</v>
      </c>
      <c r="H21" s="27" t="str">
        <f>'16U BOYS SILVER-8 TEAMS'!H13&amp;""</f>
        <v>10</v>
      </c>
      <c r="I21" s="27" t="str">
        <f>'16U BOYS SILVER-8 TEAMS'!I13&amp;""</f>
        <v>bracket, A1/A4</v>
      </c>
      <c r="J21" s="27" t="str">
        <f>'16U BOYS SILVER-8 TEAMS'!J13&amp;""</f>
        <v>16U_BOYS_SILVER</v>
      </c>
      <c r="K21" s="27" t="str">
        <f t="shared" si="0"/>
        <v>202603071100</v>
      </c>
    </row>
    <row r="22" spans="1:11">
      <c r="A22" s="113">
        <f>'16U BOYS SILVER-8 TEAMS'!A14</f>
        <v>46088</v>
      </c>
      <c r="B22" s="112">
        <f>'16U BOYS SILVER-8 TEAMS'!B14</f>
        <v>0.5</v>
      </c>
      <c r="C22" s="27" t="str">
        <f>'16U BOYS SILVER-8 TEAMS'!C14&amp;""</f>
        <v>COSTA MESA HS 1</v>
      </c>
      <c r="D22" s="27" t="str">
        <f>'16U BOYS SILVER-8 TEAMS'!D14&amp;""</f>
        <v>16Bag05</v>
      </c>
      <c r="E22" s="163" t="str">
        <f>'16U BOYS SILVER-8 TEAMS'!E14&amp;""</f>
        <v>B1-TITANS</v>
      </c>
      <c r="F22" s="27" t="str">
        <f>'16U BOYS SILVER-8 TEAMS'!F14&amp;""</f>
        <v>8</v>
      </c>
      <c r="G22" s="27" t="str">
        <f>'16U BOYS SILVER-8 TEAMS'!G14&amp;""</f>
        <v>B3-SAN CLEMENTE BLACK</v>
      </c>
      <c r="H22" s="27" t="str">
        <f>'16U BOYS SILVER-8 TEAMS'!H14&amp;""</f>
        <v>15</v>
      </c>
      <c r="I22" s="27" t="str">
        <f>'16U BOYS SILVER-8 TEAMS'!I14&amp;""</f>
        <v>bracket, B1/B3</v>
      </c>
      <c r="J22" s="27" t="str">
        <f>'16U BOYS SILVER-8 TEAMS'!J14&amp;""</f>
        <v>16U_BOYS_SILVER</v>
      </c>
      <c r="K22" s="27" t="str">
        <f t="shared" si="0"/>
        <v>202603071200</v>
      </c>
    </row>
    <row r="23" spans="1:11">
      <c r="A23" s="113">
        <f>'16U BOYS SILVER-8 TEAMS'!A15</f>
        <v>46088</v>
      </c>
      <c r="B23" s="112">
        <f>'16U BOYS SILVER-8 TEAMS'!B15</f>
        <v>0.54166666666666696</v>
      </c>
      <c r="C23" s="27" t="str">
        <f>'16U BOYS SILVER-8 TEAMS'!C15&amp;""</f>
        <v>COSTA MESA HS 1</v>
      </c>
      <c r="D23" s="27" t="str">
        <f>'16U BOYS SILVER-8 TEAMS'!D15&amp;""</f>
        <v>16Bag06</v>
      </c>
      <c r="E23" s="163" t="str">
        <f>'16U BOYS SILVER-8 TEAMS'!E15&amp;""</f>
        <v>B2-TRILOGY WHITE</v>
      </c>
      <c r="F23" s="27" t="str">
        <f>'16U BOYS SILVER-8 TEAMS'!F15&amp;""</f>
        <v>11</v>
      </c>
      <c r="G23" s="27" t="str">
        <f>'16U BOYS SILVER-8 TEAMS'!G15&amp;""</f>
        <v>B4-NORTH IRVINE 14 BLACK</v>
      </c>
      <c r="H23" s="27" t="str">
        <f>'16U BOYS SILVER-8 TEAMS'!H15&amp;""</f>
        <v>6</v>
      </c>
      <c r="I23" s="27" t="str">
        <f>'16U BOYS SILVER-8 TEAMS'!I15&amp;""</f>
        <v>bracket, B2/B4</v>
      </c>
      <c r="J23" s="27" t="str">
        <f>'16U BOYS SILVER-8 TEAMS'!J15&amp;""</f>
        <v>16U_BOYS_SILVER</v>
      </c>
      <c r="K23" s="27" t="str">
        <f t="shared" si="0"/>
        <v>202603071300</v>
      </c>
    </row>
    <row r="24" spans="1:11">
      <c r="A24" s="113">
        <f>'16U BOYS SILVER-8 TEAMS'!A16</f>
        <v>46088</v>
      </c>
      <c r="B24" s="112">
        <f>'16U BOYS SILVER-8 TEAMS'!B16</f>
        <v>0.58333333333333304</v>
      </c>
      <c r="C24" s="27" t="str">
        <f>'16U BOYS SILVER-8 TEAMS'!C16&amp;""</f>
        <v>COSTA MESA HS 1</v>
      </c>
      <c r="D24" s="27" t="str">
        <f>'16U BOYS SILVER-8 TEAMS'!D16&amp;""</f>
        <v>16Bag07</v>
      </c>
      <c r="E24" s="163" t="str">
        <f>'16U BOYS SILVER-8 TEAMS'!E16&amp;""</f>
        <v>A2-CMAC</v>
      </c>
      <c r="F24" s="27" t="str">
        <f>'16U BOYS SILVER-8 TEAMS'!F16&amp;""</f>
        <v>11</v>
      </c>
      <c r="G24" s="27" t="str">
        <f>'16U BOYS SILVER-8 TEAMS'!G16&amp;""</f>
        <v>A4-SUPREME</v>
      </c>
      <c r="H24" s="27" t="str">
        <f>'16U BOYS SILVER-8 TEAMS'!H16&amp;""</f>
        <v>6</v>
      </c>
      <c r="I24" s="27" t="str">
        <f>'16U BOYS SILVER-8 TEAMS'!I16&amp;""</f>
        <v>bracket, A2/A4</v>
      </c>
      <c r="J24" s="27" t="str">
        <f>'16U BOYS SILVER-8 TEAMS'!J16&amp;""</f>
        <v>16U_BOYS_SILVER</v>
      </c>
      <c r="K24" s="27" t="str">
        <f t="shared" si="0"/>
        <v>202603071400</v>
      </c>
    </row>
    <row r="25" spans="1:11">
      <c r="A25" s="88">
        <f>'14U BOYS SILVER-16 TEAMS'!A23</f>
        <v>46088</v>
      </c>
      <c r="B25" s="87">
        <f>'14U BOYS SILVER-16 TEAMS'!B23</f>
        <v>0.625</v>
      </c>
      <c r="C25" s="87" t="str">
        <f>'14U BOYS SILVER-16 TEAMS'!C23&amp;""</f>
        <v>COSTA MESA HS 1</v>
      </c>
      <c r="D25" s="36" t="str">
        <f>'14U BOYS SILVER-16 TEAMS'!D23&amp;""</f>
        <v>14Bag08</v>
      </c>
      <c r="E25" s="165" t="str">
        <f>'14U BOYS SILVER-16 TEAMS'!E23&amp;""</f>
        <v>W#3-PALOS VERDES B</v>
      </c>
      <c r="F25" s="36" t="str">
        <f>'14U BOYS SILVER-16 TEAMS'!F23&amp;""</f>
        <v>13</v>
      </c>
      <c r="G25" s="36" t="str">
        <f>'14U BOYS SILVER-16 TEAMS'!G23&amp;""</f>
        <v>W#4-NORTH IRVINE 12 BLACK</v>
      </c>
      <c r="H25" s="36" t="str">
        <f>'14U BOYS SILVER-16 TEAMS'!H23&amp;""</f>
        <v>9</v>
      </c>
      <c r="I25" s="36" t="str">
        <f>'14U BOYS SILVER-16 TEAMS'!I23&amp;""</f>
        <v>1st/2ndC</v>
      </c>
      <c r="J25" s="36" t="str">
        <f>'14U BOYS SILVER-16 TEAMS'!J23&amp;""</f>
        <v>14U_BOYS_SILVER</v>
      </c>
      <c r="K25" s="36" t="str">
        <f t="shared" si="0"/>
        <v>202603071500</v>
      </c>
    </row>
    <row r="26" spans="1:11">
      <c r="A26" s="88">
        <f>'14U BOYS SILVER-16 TEAMS'!A25</f>
        <v>46088</v>
      </c>
      <c r="B26" s="150">
        <f>'14U BOYS SILVER-16 TEAMS'!B25</f>
        <v>0.65972222222222221</v>
      </c>
      <c r="C26" s="87" t="str">
        <f>'14U BOYS SILVER-16 TEAMS'!C25&amp;""</f>
        <v>COSTA MESA HS 1</v>
      </c>
      <c r="D26" s="36" t="str">
        <f>'14U BOYS SILVER-16 TEAMS'!D25&amp;""</f>
        <v>14Bag16</v>
      </c>
      <c r="E26" s="36" t="str">
        <f>'14U BOYS SILVER-16 TEAMS'!E25&amp;""</f>
        <v>W#11-PASADENA AC ORANGE</v>
      </c>
      <c r="F26" s="36" t="str">
        <f>'14U BOYS SILVER-16 TEAMS'!F25&amp;""</f>
        <v>10</v>
      </c>
      <c r="G26" s="36" t="str">
        <f>'14U BOYS SILVER-16 TEAMS'!G25&amp;""</f>
        <v>W#12-RANCHO TSUNAMI 12 BLUE</v>
      </c>
      <c r="H26" s="36" t="str">
        <f>'14U BOYS SILVER-16 TEAMS'!H25&amp;""</f>
        <v>13</v>
      </c>
      <c r="I26" s="36" t="str">
        <f>'14U BOYS SILVER-16 TEAMS'!I25&amp;""</f>
        <v>1st/2ndB</v>
      </c>
      <c r="J26" s="36" t="str">
        <f>'14U BOYS SILVER-16 TEAMS'!J25&amp;""</f>
        <v>14U_BOYS_SILVER</v>
      </c>
      <c r="K26" s="36" t="str">
        <f t="shared" si="0"/>
        <v>202603071550</v>
      </c>
    </row>
    <row r="27" spans="1:11">
      <c r="A27" s="113">
        <f>'16U BOYS SILVER-8 TEAMS'!A21</f>
        <v>46089</v>
      </c>
      <c r="B27" s="112">
        <f>'16U BOYS SILVER-8 TEAMS'!B21</f>
        <v>0.33333333333333298</v>
      </c>
      <c r="C27" s="27" t="str">
        <f>'16U BOYS SILVER-8 TEAMS'!C21&amp;""</f>
        <v>COSTA MESA HS 1</v>
      </c>
      <c r="D27" s="27" t="str">
        <f>'16U BOYS SILVER-8 TEAMS'!D21&amp;""</f>
        <v>16Bag09</v>
      </c>
      <c r="E27" s="27" t="str">
        <f>'16U BOYS SILVER-8 TEAMS'!E21&amp;""</f>
        <v>B3-SAN CLEMENTE BLACK</v>
      </c>
      <c r="F27" s="27" t="str">
        <f>'16U BOYS SILVER-8 TEAMS'!F21&amp;""</f>
        <v>16</v>
      </c>
      <c r="G27" s="27" t="str">
        <f>'16U BOYS SILVER-8 TEAMS'!G21&amp;""</f>
        <v>B4-NORTH IRVINE 14 BLACK</v>
      </c>
      <c r="H27" s="27" t="str">
        <f>'16U BOYS SILVER-8 TEAMS'!H21&amp;""</f>
        <v>17</v>
      </c>
      <c r="I27" s="27" t="str">
        <f>'16U BOYS SILVER-8 TEAMS'!I21&amp;""</f>
        <v>bracket, B3/B4</v>
      </c>
      <c r="J27" s="27" t="str">
        <f>'16U BOYS SILVER-8 TEAMS'!J21&amp;""</f>
        <v>16U_BOYS_SILVER</v>
      </c>
      <c r="K27" s="27" t="str">
        <f t="shared" si="0"/>
        <v>202603080800</v>
      </c>
    </row>
    <row r="28" spans="1:11">
      <c r="A28" s="113">
        <f>'16U BOYS SILVER-8 TEAMS'!A22</f>
        <v>46089</v>
      </c>
      <c r="B28" s="112">
        <f>'16U BOYS SILVER-8 TEAMS'!B22</f>
        <v>0.375</v>
      </c>
      <c r="C28" s="27" t="str">
        <f>'16U BOYS SILVER-8 TEAMS'!C22&amp;""</f>
        <v>COSTA MESA HS 1</v>
      </c>
      <c r="D28" s="27" t="str">
        <f>'16U BOYS SILVER-8 TEAMS'!D22&amp;""</f>
        <v>16Bag10</v>
      </c>
      <c r="E28" s="27" t="str">
        <f>'16U BOYS SILVER-8 TEAMS'!E22&amp;""</f>
        <v>A3-PALOS VERDES BLUE</v>
      </c>
      <c r="F28" s="27" t="str">
        <f>'16U BOYS SILVER-8 TEAMS'!F22&amp;""</f>
        <v>7</v>
      </c>
      <c r="G28" s="27" t="str">
        <f>'16U BOYS SILVER-8 TEAMS'!G22&amp;""</f>
        <v>A4-SUPREME</v>
      </c>
      <c r="H28" s="27" t="str">
        <f>'16U BOYS SILVER-8 TEAMS'!H22&amp;""</f>
        <v>6</v>
      </c>
      <c r="I28" s="27" t="str">
        <f>'16U BOYS SILVER-8 TEAMS'!I22&amp;""</f>
        <v>bracket, A3/A4</v>
      </c>
      <c r="J28" s="27" t="str">
        <f>'16U BOYS SILVER-8 TEAMS'!J22&amp;""</f>
        <v>16U_BOYS_SILVER</v>
      </c>
      <c r="K28" s="27" t="str">
        <f t="shared" si="0"/>
        <v>202603080900</v>
      </c>
    </row>
    <row r="29" spans="1:11">
      <c r="A29" s="113">
        <f>'16U BOYS SILVER-8 TEAMS'!A23</f>
        <v>46089</v>
      </c>
      <c r="B29" s="112">
        <f>'16U BOYS SILVER-8 TEAMS'!B23</f>
        <v>0.41666666666666702</v>
      </c>
      <c r="C29" s="27" t="str">
        <f>'16U BOYS SILVER-8 TEAMS'!C23&amp;""</f>
        <v>COSTA MESA HS 1</v>
      </c>
      <c r="D29" s="27" t="str">
        <f>'16U BOYS SILVER-8 TEAMS'!D23&amp;""</f>
        <v>16Bag11</v>
      </c>
      <c r="E29" s="27" t="str">
        <f>'16U BOYS SILVER-8 TEAMS'!E23&amp;""</f>
        <v>B1-TITANS</v>
      </c>
      <c r="F29" s="27" t="str">
        <f>'16U BOYS SILVER-8 TEAMS'!F23&amp;""</f>
        <v>10</v>
      </c>
      <c r="G29" s="27" t="str">
        <f>'16U BOYS SILVER-8 TEAMS'!G23&amp;""</f>
        <v>B2-TRILOGY WHITE</v>
      </c>
      <c r="H29" s="27" t="str">
        <f>'16U BOYS SILVER-8 TEAMS'!H23&amp;""</f>
        <v>16</v>
      </c>
      <c r="I29" s="27" t="str">
        <f>'16U BOYS SILVER-8 TEAMS'!I23&amp;""</f>
        <v>bracket, B1/B2</v>
      </c>
      <c r="J29" s="27" t="str">
        <f>'16U BOYS SILVER-8 TEAMS'!J23&amp;""</f>
        <v>16U_BOYS_SILVER</v>
      </c>
      <c r="K29" s="27" t="str">
        <f t="shared" si="0"/>
        <v>202603081000</v>
      </c>
    </row>
    <row r="30" spans="1:11">
      <c r="A30" s="113">
        <f>'16U BOYS SILVER-8 TEAMS'!A24</f>
        <v>46089</v>
      </c>
      <c r="B30" s="112">
        <f>'16U BOYS SILVER-8 TEAMS'!B24</f>
        <v>0.45833333333333298</v>
      </c>
      <c r="C30" s="27" t="str">
        <f>'16U BOYS SILVER-8 TEAMS'!C24&amp;""</f>
        <v>COSTA MESA HS 1</v>
      </c>
      <c r="D30" s="27" t="str">
        <f>'16U BOYS SILVER-8 TEAMS'!D24&amp;""</f>
        <v>16Bag12</v>
      </c>
      <c r="E30" s="27" t="str">
        <f>'16U BOYS SILVER-8 TEAMS'!E24&amp;""</f>
        <v>A1-HIELAND</v>
      </c>
      <c r="F30" s="27" t="str">
        <f>'16U BOYS SILVER-8 TEAMS'!F24&amp;""</f>
        <v>7</v>
      </c>
      <c r="G30" s="27" t="str">
        <f>'16U BOYS SILVER-8 TEAMS'!G24&amp;""</f>
        <v>A2-CMAC</v>
      </c>
      <c r="H30" s="27" t="str">
        <f>'16U BOYS SILVER-8 TEAMS'!H24&amp;""</f>
        <v>9</v>
      </c>
      <c r="I30" s="27" t="str">
        <f>'16U BOYS SILVER-8 TEAMS'!I24&amp;""</f>
        <v>bracket, A1/A2</v>
      </c>
      <c r="J30" s="27" t="str">
        <f>'16U BOYS SILVER-8 TEAMS'!J24&amp;""</f>
        <v>16U_BOYS_SILVER</v>
      </c>
      <c r="K30" s="27" t="str">
        <f t="shared" si="0"/>
        <v>202603081100</v>
      </c>
    </row>
    <row r="31" spans="1:11">
      <c r="A31" s="113">
        <f>'16U BOYS SILVER-8 TEAMS'!A25</f>
        <v>46089</v>
      </c>
      <c r="B31" s="112">
        <f>'16U BOYS SILVER-8 TEAMS'!B25</f>
        <v>0.5</v>
      </c>
      <c r="C31" s="27" t="str">
        <f>'16U BOYS SILVER-8 TEAMS'!C25&amp;""</f>
        <v>COSTA MESA HS 1</v>
      </c>
      <c r="D31" s="27" t="str">
        <f>'16U BOYS SILVER-8 TEAMS'!D25&amp;""</f>
        <v>16Bag13</v>
      </c>
      <c r="E31" s="27" t="str">
        <f>'16U BOYS SILVER-8 TEAMS'!E25&amp;""</f>
        <v>4thA-PALOS VERDES BLUE</v>
      </c>
      <c r="F31" s="27" t="str">
        <f>'16U BOYS SILVER-8 TEAMS'!F25&amp;""</f>
        <v>14</v>
      </c>
      <c r="G31" s="27" t="str">
        <f>'16U BOYS SILVER-8 TEAMS'!G25&amp;""</f>
        <v>4thB-TITANS</v>
      </c>
      <c r="H31" s="27" t="str">
        <f>'16U BOYS SILVER-8 TEAMS'!H25&amp;""</f>
        <v>7</v>
      </c>
      <c r="I31" s="27" t="str">
        <f>'16U BOYS SILVER-8 TEAMS'!I25&amp;""</f>
        <v>7th</v>
      </c>
      <c r="J31" s="27" t="str">
        <f>'16U BOYS SILVER-8 TEAMS'!J25&amp;""</f>
        <v>16U_BOYS_SILVER</v>
      </c>
      <c r="K31" s="27" t="str">
        <f t="shared" si="0"/>
        <v>202603081200</v>
      </c>
    </row>
    <row r="32" spans="1:11">
      <c r="A32" s="113">
        <f>'16U BOYS SILVER-8 TEAMS'!A26</f>
        <v>46089</v>
      </c>
      <c r="B32" s="112">
        <f>'16U BOYS SILVER-8 TEAMS'!B26</f>
        <v>0.54166666666666696</v>
      </c>
      <c r="C32" s="27" t="str">
        <f>'16U BOYS SILVER-8 TEAMS'!C26&amp;""</f>
        <v>COSTA MESA HS 1</v>
      </c>
      <c r="D32" s="27" t="str">
        <f>'16U BOYS SILVER-8 TEAMS'!D26&amp;""</f>
        <v>16Bag14</v>
      </c>
      <c r="E32" s="27" t="str">
        <f>'16U BOYS SILVER-8 TEAMS'!E26&amp;""</f>
        <v>3rdA-SUPREME</v>
      </c>
      <c r="F32" s="27" t="str">
        <f>'16U BOYS SILVER-8 TEAMS'!F26&amp;""</f>
        <v>5</v>
      </c>
      <c r="G32" s="27" t="str">
        <f>'16U BOYS SILVER-8 TEAMS'!G26&amp;""</f>
        <v>3rdB-SAN CLEMENTE BLACK</v>
      </c>
      <c r="H32" s="27" t="str">
        <f>'16U BOYS SILVER-8 TEAMS'!H26&amp;""</f>
        <v>6</v>
      </c>
      <c r="I32" s="27" t="str">
        <f>'16U BOYS SILVER-8 TEAMS'!I26&amp;""</f>
        <v>5th</v>
      </c>
      <c r="J32" s="27" t="str">
        <f>'16U BOYS SILVER-8 TEAMS'!J26&amp;""</f>
        <v>16U_BOYS_SILVER</v>
      </c>
      <c r="K32" s="27" t="str">
        <f t="shared" si="0"/>
        <v>202603081300</v>
      </c>
    </row>
    <row r="33" spans="1:11">
      <c r="A33" s="113">
        <f>'16U BOYS SILVER-8 TEAMS'!A27</f>
        <v>46089</v>
      </c>
      <c r="B33" s="112">
        <f>'16U BOYS SILVER-8 TEAMS'!B27</f>
        <v>0.58333333333333304</v>
      </c>
      <c r="C33" s="27" t="str">
        <f>'16U BOYS SILVER-8 TEAMS'!C27&amp;""</f>
        <v>COSTA MESA HS 1</v>
      </c>
      <c r="D33" s="27" t="str">
        <f>'16U BOYS SILVER-8 TEAMS'!D27&amp;""</f>
        <v>16Bag15</v>
      </c>
      <c r="E33" s="27" t="str">
        <f>'16U BOYS SILVER-8 TEAMS'!E27&amp;""</f>
        <v>2ndA-HIELAND</v>
      </c>
      <c r="F33" s="27" t="str">
        <f>'16U BOYS SILVER-8 TEAMS'!F27&amp;""</f>
        <v>16</v>
      </c>
      <c r="G33" s="27" t="str">
        <f>'16U BOYS SILVER-8 TEAMS'!G27&amp;""</f>
        <v>2ndB-NORTH IRVINE 14 BLACK</v>
      </c>
      <c r="H33" s="27" t="str">
        <f>'16U BOYS SILVER-8 TEAMS'!H27&amp;""</f>
        <v>7</v>
      </c>
      <c r="I33" s="27" t="str">
        <f>'16U BOYS SILVER-8 TEAMS'!I27&amp;""</f>
        <v>3rd</v>
      </c>
      <c r="J33" s="27" t="str">
        <f>'16U BOYS SILVER-8 TEAMS'!J27&amp;""</f>
        <v>16U_BOYS_SILVER</v>
      </c>
      <c r="K33" s="27" t="str">
        <f t="shared" si="0"/>
        <v>202603081400</v>
      </c>
    </row>
    <row r="34" spans="1:11">
      <c r="A34" s="113">
        <f>'16U BOYS SILVER-8 TEAMS'!A28</f>
        <v>46089</v>
      </c>
      <c r="B34" s="112">
        <f>'16U BOYS SILVER-8 TEAMS'!B28</f>
        <v>0.625</v>
      </c>
      <c r="C34" s="156" t="str">
        <f>'16U BOYS SILVER-8 TEAMS'!C28&amp;""</f>
        <v>COSTA MESA HS 1</v>
      </c>
      <c r="D34" s="27" t="str">
        <f>'16U BOYS SILVER-8 TEAMS'!D28&amp;""</f>
        <v>16Bag16</v>
      </c>
      <c r="E34" s="27" t="str">
        <f>'16U BOYS SILVER-8 TEAMS'!E28&amp;""</f>
        <v>1stA-CMAC</v>
      </c>
      <c r="F34" s="27" t="str">
        <f>'16U BOYS SILVER-8 TEAMS'!F28&amp;""</f>
        <v>13</v>
      </c>
      <c r="G34" s="27" t="str">
        <f>'16U BOYS SILVER-8 TEAMS'!G28&amp;""</f>
        <v>1stB-TRILOGY WHITE</v>
      </c>
      <c r="H34" s="27" t="str">
        <f>'16U BOYS SILVER-8 TEAMS'!H28&amp;""</f>
        <v>9</v>
      </c>
      <c r="I34" s="27" t="str">
        <f>'16U BOYS SILVER-8 TEAMS'!I28&amp;""</f>
        <v>1st</v>
      </c>
      <c r="J34" s="27" t="str">
        <f>'16U BOYS SILVER-8 TEAMS'!J28&amp;""</f>
        <v>16U_BOYS_SILVER</v>
      </c>
      <c r="K34" s="27" t="str">
        <f t="shared" si="0"/>
        <v>202603081500</v>
      </c>
    </row>
    <row r="35" spans="1:11">
      <c r="A35" s="77">
        <f>'12U BOYS-16 TEAMS'!A21</f>
        <v>46088</v>
      </c>
      <c r="B35" s="76">
        <f>'12U BOYS-16 TEAMS'!B21</f>
        <v>0.3263888888888889</v>
      </c>
      <c r="C35" s="76" t="str">
        <f>'12U BOYS-16 TEAMS'!C21&amp;""</f>
        <v>COSTA MESA HS 2</v>
      </c>
      <c r="D35" s="26" t="str">
        <f>'12U BOYS-16 TEAMS'!D21&amp;""</f>
        <v>12B01</v>
      </c>
      <c r="E35" s="26" t="str">
        <f>'12U BOYS-16 TEAMS'!E21&amp;""</f>
        <v>A1-LA PREMIER</v>
      </c>
      <c r="F35" s="26" t="str">
        <f>'12U BOYS-16 TEAMS'!F21&amp;""</f>
        <v>6</v>
      </c>
      <c r="G35" s="26" t="str">
        <f>'12U BOYS-16 TEAMS'!G21&amp;""</f>
        <v>A3-CMAC</v>
      </c>
      <c r="H35" s="26" t="str">
        <f>'12U BOYS-16 TEAMS'!H21&amp;""</f>
        <v>9</v>
      </c>
      <c r="I35" s="26" t="str">
        <f>'12U BOYS-16 TEAMS'!I21&amp;""</f>
        <v>A bracket A1,A3 platinum 1st-3rd</v>
      </c>
      <c r="J35" s="26" t="str">
        <f>'12U BOYS-16 TEAMS'!J21&amp;""</f>
        <v>12U_BOYS</v>
      </c>
      <c r="K35" s="26" t="str">
        <f t="shared" si="0"/>
        <v>202603070750</v>
      </c>
    </row>
    <row r="36" spans="1:11">
      <c r="A36" s="77">
        <f>'12U BOYS-16 TEAMS'!A22</f>
        <v>46088</v>
      </c>
      <c r="B36" s="76">
        <f>'12U BOYS-16 TEAMS'!B22</f>
        <v>0.36111111111111099</v>
      </c>
      <c r="C36" s="76" t="str">
        <f>'12U BOYS-16 TEAMS'!C22&amp;""</f>
        <v>COSTA MESA HS 2</v>
      </c>
      <c r="D36" s="26" t="str">
        <f>'12U BOYS-16 TEAMS'!D22&amp;""</f>
        <v>12B02</v>
      </c>
      <c r="E36" s="26" t="str">
        <f>'12U BOYS-16 TEAMS'!E22&amp;""</f>
        <v>B1-TROJAN</v>
      </c>
      <c r="F36" s="26" t="str">
        <f>'12U BOYS-16 TEAMS'!F22&amp;""</f>
        <v>12</v>
      </c>
      <c r="G36" s="26" t="str">
        <f>'12U BOYS-16 TEAMS'!G22&amp;""</f>
        <v>B3-LAGUNA BEACH</v>
      </c>
      <c r="H36" s="26" t="str">
        <f>'12U BOYS-16 TEAMS'!H22&amp;""</f>
        <v>6</v>
      </c>
      <c r="I36" s="26" t="str">
        <f>'12U BOYS-16 TEAMS'!I22&amp;""</f>
        <v>B bracket B1,B3</v>
      </c>
      <c r="J36" s="26" t="str">
        <f>'12U BOYS-16 TEAMS'!J22&amp;""</f>
        <v>12U_BOYS</v>
      </c>
      <c r="K36" s="26" t="str">
        <f t="shared" si="0"/>
        <v>202603070840</v>
      </c>
    </row>
    <row r="37" spans="1:11">
      <c r="A37" s="77">
        <f>'12U BOYS-16 TEAMS'!A23</f>
        <v>46088</v>
      </c>
      <c r="B37" s="76">
        <f>'12U BOYS-16 TEAMS'!B23</f>
        <v>0.39583333333333398</v>
      </c>
      <c r="C37" s="76" t="str">
        <f>'12U BOYS-16 TEAMS'!C23&amp;""</f>
        <v>COSTA MESA HS 2</v>
      </c>
      <c r="D37" s="26" t="str">
        <f>'12U BOYS-16 TEAMS'!D23&amp;""</f>
        <v>12B03</v>
      </c>
      <c r="E37" s="26" t="str">
        <f>'12U BOYS-16 TEAMS'!E23&amp;""</f>
        <v>E1-CDM</v>
      </c>
      <c r="F37" s="26" t="str">
        <f>'12U BOYS-16 TEAMS'!F23&amp;""</f>
        <v>7</v>
      </c>
      <c r="G37" s="26" t="str">
        <f>'12U BOYS-16 TEAMS'!G23&amp;""</f>
        <v>E3-ORANGE COUNTY WPC B</v>
      </c>
      <c r="H37" s="26" t="str">
        <f>'12U BOYS-16 TEAMS'!H23&amp;""</f>
        <v>11</v>
      </c>
      <c r="I37" s="26" t="str">
        <f>'12U BOYS-16 TEAMS'!I23&amp;""</f>
        <v>E bracket E1,E3 silver 1st-3rd</v>
      </c>
      <c r="J37" s="26" t="str">
        <f>'12U BOYS-16 TEAMS'!J23&amp;""</f>
        <v>12U_BOYS</v>
      </c>
      <c r="K37" s="26" t="str">
        <f t="shared" si="0"/>
        <v>202603070930</v>
      </c>
    </row>
    <row r="38" spans="1:11">
      <c r="A38" s="77">
        <f>'12U BOYS-16 TEAMS'!A24</f>
        <v>46088</v>
      </c>
      <c r="B38" s="76">
        <f>'12U BOYS-16 TEAMS'!B24</f>
        <v>0.43055555555555602</v>
      </c>
      <c r="C38" s="76" t="str">
        <f>'12U BOYS-16 TEAMS'!C24&amp;""</f>
        <v>COSTA MESA HS 2</v>
      </c>
      <c r="D38" s="26" t="str">
        <f>'12U BOYS-16 TEAMS'!D24&amp;""</f>
        <v>12B04</v>
      </c>
      <c r="E38" s="26" t="str">
        <f>'12U BOYS-16 TEAMS'!E24&amp;""</f>
        <v>A2-ORANGE COUNTY WPC A</v>
      </c>
      <c r="F38" s="26" t="str">
        <f>'12U BOYS-16 TEAMS'!F24&amp;""</f>
        <v>12</v>
      </c>
      <c r="G38" s="26" t="str">
        <f>'12U BOYS-16 TEAMS'!G24&amp;""</f>
        <v>A3-CMAC</v>
      </c>
      <c r="H38" s="26" t="str">
        <f>'12U BOYS-16 TEAMS'!H24&amp;""</f>
        <v>5</v>
      </c>
      <c r="I38" s="26" t="str">
        <f>'12U BOYS-16 TEAMS'!I24&amp;""</f>
        <v>A bracket A2,A3 platinum 1st-3rd</v>
      </c>
      <c r="J38" s="26" t="str">
        <f>'12U BOYS-16 TEAMS'!J24&amp;""</f>
        <v>12U_BOYS</v>
      </c>
      <c r="K38" s="26" t="str">
        <f t="shared" si="0"/>
        <v>202603071020</v>
      </c>
    </row>
    <row r="39" spans="1:11">
      <c r="A39" s="77">
        <f>'12U BOYS-16 TEAMS'!A25</f>
        <v>46088</v>
      </c>
      <c r="B39" s="76">
        <f>'12U BOYS-16 TEAMS'!B25</f>
        <v>0.46527777777777801</v>
      </c>
      <c r="C39" s="76" t="str">
        <f>'12U BOYS-16 TEAMS'!C25&amp;""</f>
        <v>COSTA MESA HS 2</v>
      </c>
      <c r="D39" s="26" t="str">
        <f>'12U BOYS-16 TEAMS'!D25&amp;""</f>
        <v>12B05</v>
      </c>
      <c r="E39" s="26" t="str">
        <f>'12U BOYS-16 TEAMS'!E25&amp;""</f>
        <v>B2-ROUTE 66</v>
      </c>
      <c r="F39" s="26" t="str">
        <f>'12U BOYS-16 TEAMS'!F25&amp;""</f>
        <v>12</v>
      </c>
      <c r="G39" s="26" t="str">
        <f>'12U BOYS-16 TEAMS'!G25&amp;""</f>
        <v>B3-LAGUNA BEACH</v>
      </c>
      <c r="H39" s="26" t="str">
        <f>'12U BOYS-16 TEAMS'!H25&amp;""</f>
        <v>5</v>
      </c>
      <c r="I39" s="26" t="str">
        <f>'12U BOYS-16 TEAMS'!I25&amp;""</f>
        <v>B bracket B2,B3</v>
      </c>
      <c r="J39" s="26" t="str">
        <f>'12U BOYS-16 TEAMS'!J25&amp;""</f>
        <v>12U_BOYS</v>
      </c>
      <c r="K39" s="26" t="str">
        <f t="shared" si="0"/>
        <v>202603071110</v>
      </c>
    </row>
    <row r="40" spans="1:11">
      <c r="A40" s="77">
        <f>'12U BOYS-16 TEAMS'!A26</f>
        <v>46088</v>
      </c>
      <c r="B40" s="76">
        <f>'12U BOYS-16 TEAMS'!B26</f>
        <v>0.5</v>
      </c>
      <c r="C40" s="76" t="str">
        <f>'12U BOYS-16 TEAMS'!C26&amp;""</f>
        <v>COSTA MESA HS 2</v>
      </c>
      <c r="D40" s="26" t="str">
        <f>'12U BOYS-16 TEAMS'!D26&amp;""</f>
        <v>12B06</v>
      </c>
      <c r="E40" s="26" t="str">
        <f>'12U BOYS-16 TEAMS'!E26&amp;""</f>
        <v>E2-ORWP B</v>
      </c>
      <c r="F40" s="26" t="str">
        <f>'12U BOYS-16 TEAMS'!F26&amp;""</f>
        <v>9.1</v>
      </c>
      <c r="G40" s="26" t="str">
        <f>'12U BOYS-16 TEAMS'!G26&amp;""</f>
        <v>E3-ORANGE COUNTY WPC B</v>
      </c>
      <c r="H40" s="26" t="str">
        <f>'12U BOYS-16 TEAMS'!H26&amp;""</f>
        <v>9.2</v>
      </c>
      <c r="I40" s="26" t="str">
        <f>'12U BOYS-16 TEAMS'!I26&amp;""</f>
        <v>E bracket E2,E3 silver 1st-3rd</v>
      </c>
      <c r="J40" s="26" t="str">
        <f>'12U BOYS-16 TEAMS'!J26&amp;""</f>
        <v>12U_BOYS</v>
      </c>
      <c r="K40" s="26" t="str">
        <f t="shared" si="0"/>
        <v>202603071200</v>
      </c>
    </row>
    <row r="41" spans="1:11">
      <c r="A41" s="77">
        <f>'12U BOYS-16 TEAMS'!A27</f>
        <v>46088</v>
      </c>
      <c r="B41" s="76">
        <f>'12U BOYS-16 TEAMS'!B27</f>
        <v>0.53472222222222199</v>
      </c>
      <c r="C41" s="76" t="str">
        <f>'12U BOYS-16 TEAMS'!C27&amp;""</f>
        <v>COSTA MESA HS 2</v>
      </c>
      <c r="D41" s="26" t="str">
        <f>'12U BOYS-16 TEAMS'!D27&amp;""</f>
        <v>12B07</v>
      </c>
      <c r="E41" s="26" t="str">
        <f>'12U BOYS-16 TEAMS'!E27&amp;""</f>
        <v>A1-LA PREMIER</v>
      </c>
      <c r="F41" s="26" t="str">
        <f>'12U BOYS-16 TEAMS'!F27&amp;""</f>
        <v>4</v>
      </c>
      <c r="G41" s="26" t="str">
        <f>'12U BOYS-16 TEAMS'!G27&amp;""</f>
        <v>A2-ORANGE COUNTY WPC A</v>
      </c>
      <c r="H41" s="26" t="str">
        <f>'12U BOYS-16 TEAMS'!H27&amp;""</f>
        <v>8</v>
      </c>
      <c r="I41" s="26" t="str">
        <f>'12U BOYS-16 TEAMS'!I27&amp;""</f>
        <v>A bracket A1,A2 platinum 1st-3rd</v>
      </c>
      <c r="J41" s="26" t="str">
        <f>'12U BOYS-16 TEAMS'!J27&amp;""</f>
        <v>12U_BOYS</v>
      </c>
      <c r="K41" s="26" t="str">
        <f t="shared" si="0"/>
        <v>202603071250</v>
      </c>
    </row>
    <row r="42" spans="1:11">
      <c r="A42" s="77">
        <f>'12U BOYS-16 TEAMS'!A28</f>
        <v>46088</v>
      </c>
      <c r="B42" s="76">
        <f>'12U BOYS-16 TEAMS'!B28</f>
        <v>0.56944444444444497</v>
      </c>
      <c r="C42" s="76" t="str">
        <f>'12U BOYS-16 TEAMS'!C28&amp;""</f>
        <v>COSTA MESA HS 2</v>
      </c>
      <c r="D42" s="26" t="str">
        <f>'12U BOYS-16 TEAMS'!D28&amp;""</f>
        <v>12B08</v>
      </c>
      <c r="E42" s="26" t="str">
        <f>'12U BOYS-16 TEAMS'!E28&amp;""</f>
        <v>B1-TROJAN</v>
      </c>
      <c r="F42" s="26" t="str">
        <f>'12U BOYS-16 TEAMS'!F28&amp;""</f>
        <v>5</v>
      </c>
      <c r="G42" s="26" t="str">
        <f>'12U BOYS-16 TEAMS'!G28&amp;""</f>
        <v>B2-ROUTE 66</v>
      </c>
      <c r="H42" s="26" t="str">
        <f>'12U BOYS-16 TEAMS'!H28&amp;""</f>
        <v>8</v>
      </c>
      <c r="I42" s="26" t="str">
        <f>'12U BOYS-16 TEAMS'!I28&amp;""</f>
        <v>B bracket B1,B2</v>
      </c>
      <c r="J42" s="26" t="str">
        <f>'12U BOYS-16 TEAMS'!J28&amp;""</f>
        <v>12U_BOYS</v>
      </c>
      <c r="K42" s="26" t="str">
        <f t="shared" si="0"/>
        <v>202603071340</v>
      </c>
    </row>
    <row r="43" spans="1:11">
      <c r="A43" s="77">
        <f>'12U BOYS-16 TEAMS'!A29</f>
        <v>46088</v>
      </c>
      <c r="B43" s="76">
        <f>'12U BOYS-16 TEAMS'!B29</f>
        <v>0.60416666666666696</v>
      </c>
      <c r="C43" s="76" t="str">
        <f>'12U BOYS-16 TEAMS'!C29&amp;""</f>
        <v>COSTA MESA HS 2</v>
      </c>
      <c r="D43" s="26" t="str">
        <f>'12U BOYS-16 TEAMS'!D29&amp;""</f>
        <v>12B09</v>
      </c>
      <c r="E43" s="26" t="str">
        <f>'12U BOYS-16 TEAMS'!E29&amp;""</f>
        <v>E1-CDM</v>
      </c>
      <c r="F43" s="26" t="str">
        <f>'12U BOYS-16 TEAMS'!F29&amp;""</f>
        <v>6</v>
      </c>
      <c r="G43" s="26" t="str">
        <f>'12U BOYS-16 TEAMS'!G29&amp;""</f>
        <v>E2-ORWP B</v>
      </c>
      <c r="H43" s="26" t="str">
        <f>'12U BOYS-16 TEAMS'!H29&amp;""</f>
        <v>11</v>
      </c>
      <c r="I43" s="26" t="str">
        <f>'12U BOYS-16 TEAMS'!I29&amp;""</f>
        <v>E bracket E1,E2 silver 1st-3rd</v>
      </c>
      <c r="J43" s="26" t="str">
        <f>'12U BOYS-16 TEAMS'!J29&amp;""</f>
        <v>12U_BOYS</v>
      </c>
      <c r="K43" s="26" t="str">
        <f t="shared" si="0"/>
        <v>202603071430</v>
      </c>
    </row>
    <row r="44" spans="1:11">
      <c r="A44" s="77">
        <f>'12U BOYS-16 TEAMS'!A49</f>
        <v>46089</v>
      </c>
      <c r="B44" s="76">
        <f>'12U BOYS-16 TEAMS'!B49</f>
        <v>0.3263888888888889</v>
      </c>
      <c r="C44" s="76" t="str">
        <f>'12U BOYS-16 TEAMS'!C49&amp;""</f>
        <v>COSTA MESA HS 2</v>
      </c>
      <c r="D44" s="26" t="str">
        <f>'12U BOYS-16 TEAMS'!D49&amp;""</f>
        <v>12B19</v>
      </c>
      <c r="E44" s="26" t="str">
        <f>'12U BOYS-16 TEAMS'!E49&amp;""</f>
        <v>2ndA-CMAC</v>
      </c>
      <c r="F44" s="26" t="str">
        <f>'12U BOYS-16 TEAMS'!F49&amp;""</f>
        <v>8</v>
      </c>
      <c r="G44" s="26" t="str">
        <f>'12U BOYS-16 TEAMS'!G49&amp;""</f>
        <v>3rdD-NEWPORT BEACH 10 BLUE</v>
      </c>
      <c r="H44" s="26" t="str">
        <f>'12U BOYS-16 TEAMS'!H49&amp;""</f>
        <v>6</v>
      </c>
      <c r="I44" s="26" t="str">
        <f>'12U BOYS-16 TEAMS'!I49&amp;""</f>
        <v>cross</v>
      </c>
      <c r="J44" s="26" t="str">
        <f>'12U BOYS-16 TEAMS'!J49&amp;""</f>
        <v>12U_BOYS</v>
      </c>
      <c r="K44" s="26" t="str">
        <f t="shared" si="0"/>
        <v>202603080750</v>
      </c>
    </row>
    <row r="45" spans="1:11">
      <c r="A45" s="77">
        <f>'12U BOYS-16 TEAMS'!A50</f>
        <v>46089</v>
      </c>
      <c r="B45" s="76">
        <f>'12U BOYS-16 TEAMS'!B50</f>
        <v>0.36111111111111099</v>
      </c>
      <c r="C45" s="76" t="str">
        <f>'12U BOYS-16 TEAMS'!C50&amp;""</f>
        <v>COSTA MESA HS 2</v>
      </c>
      <c r="D45" s="26" t="str">
        <f>'12U BOYS-16 TEAMS'!D50&amp;""</f>
        <v>12B20</v>
      </c>
      <c r="E45" s="26" t="str">
        <f>'12U BOYS-16 TEAMS'!E50&amp;""</f>
        <v>2ndE-ORWP B</v>
      </c>
      <c r="F45" s="26" t="str">
        <f>'12U BOYS-16 TEAMS'!F50&amp;""</f>
        <v>6</v>
      </c>
      <c r="G45" s="26" t="str">
        <f>'12U BOYS-16 TEAMS'!G50&amp;""</f>
        <v>4thD-VANGUARD SILVER</v>
      </c>
      <c r="H45" s="26" t="str">
        <f>'12U BOYS-16 TEAMS'!H50&amp;""</f>
        <v>16</v>
      </c>
      <c r="I45" s="26" t="str">
        <f>'12U BOYS-16 TEAMS'!I50&amp;""</f>
        <v>cross</v>
      </c>
      <c r="J45" s="26" t="str">
        <f>'12U BOYS-16 TEAMS'!J50&amp;""</f>
        <v>12U_BOYS</v>
      </c>
      <c r="K45" s="26" t="str">
        <f t="shared" si="0"/>
        <v>202603080840</v>
      </c>
    </row>
    <row r="46" spans="1:11">
      <c r="A46" s="77">
        <f>'12U BOYS-16 TEAMS'!A51</f>
        <v>46089</v>
      </c>
      <c r="B46" s="76">
        <f>'12U BOYS-16 TEAMS'!B51</f>
        <v>0.39583333333333398</v>
      </c>
      <c r="C46" s="76" t="str">
        <f>'12U BOYS-16 TEAMS'!C51&amp;""</f>
        <v>COSTA MESA HS 2</v>
      </c>
      <c r="D46" s="26" t="str">
        <f>'12U BOYS-16 TEAMS'!D51&amp;""</f>
        <v>12B23</v>
      </c>
      <c r="E46" s="26" t="str">
        <f>'12U BOYS-16 TEAMS'!E51&amp;""</f>
        <v>1stA-ORANGE COUNTY WPC A</v>
      </c>
      <c r="F46" s="26" t="str">
        <f>'12U BOYS-16 TEAMS'!F51&amp;""</f>
        <v>18</v>
      </c>
      <c r="G46" s="26" t="str">
        <f>'12U BOYS-16 TEAMS'!G51&amp;""</f>
        <v>3rdB-LAGUNA BEACH</v>
      </c>
      <c r="H46" s="26" t="str">
        <f>'12U BOYS-16 TEAMS'!H51&amp;""</f>
        <v>2</v>
      </c>
      <c r="I46" s="26" t="str">
        <f>'12U BOYS-16 TEAMS'!I51&amp;""</f>
        <v>cross</v>
      </c>
      <c r="J46" s="26" t="str">
        <f>'12U BOYS-16 TEAMS'!J51&amp;""</f>
        <v>12U_BOYS</v>
      </c>
      <c r="K46" s="26" t="str">
        <f t="shared" si="0"/>
        <v>202603080930</v>
      </c>
    </row>
    <row r="47" spans="1:11">
      <c r="A47" s="77">
        <f>'12U BOYS-16 TEAMS'!A52</f>
        <v>46089</v>
      </c>
      <c r="B47" s="76">
        <f>'12U BOYS-16 TEAMS'!B52</f>
        <v>0.43055555555555602</v>
      </c>
      <c r="C47" s="76" t="str">
        <f>'12U BOYS-16 TEAMS'!C52&amp;""</f>
        <v>COSTA MESA HS 2</v>
      </c>
      <c r="D47" s="26" t="str">
        <f>'12U BOYS-16 TEAMS'!D52&amp;""</f>
        <v>12B24</v>
      </c>
      <c r="E47" s="26" t="str">
        <f>'12U BOYS-16 TEAMS'!E52&amp;""</f>
        <v>2ndA-CMAC</v>
      </c>
      <c r="F47" s="26" t="str">
        <f>'12U BOYS-16 TEAMS'!F52&amp;""</f>
        <v>16</v>
      </c>
      <c r="G47" s="26" t="str">
        <f>'12U BOYS-16 TEAMS'!G52&amp;""</f>
        <v>1stE-ORANGE COUNTY WPC B</v>
      </c>
      <c r="H47" s="26" t="str">
        <f>'12U BOYS-16 TEAMS'!H52&amp;""</f>
        <v>6</v>
      </c>
      <c r="I47" s="26" t="str">
        <f>'12U BOYS-16 TEAMS'!I52&amp;""</f>
        <v>cross</v>
      </c>
      <c r="J47" s="26" t="str">
        <f>'12U BOYS-16 TEAMS'!J52&amp;""</f>
        <v>12U_BOYS</v>
      </c>
      <c r="K47" s="26" t="str">
        <f t="shared" si="0"/>
        <v>202603081020</v>
      </c>
    </row>
    <row r="48" spans="1:11">
      <c r="A48" s="77">
        <f>'12U BOYS-16 TEAMS'!A53</f>
        <v>46089</v>
      </c>
      <c r="B48" s="76">
        <f>'12U BOYS-16 TEAMS'!B53</f>
        <v>0.46527777777777801</v>
      </c>
      <c r="C48" s="76" t="str">
        <f>'12U BOYS-16 TEAMS'!C53&amp;""</f>
        <v>COSTA MESA HS 2</v>
      </c>
      <c r="D48" s="26" t="str">
        <f>'12U BOYS-16 TEAMS'!D53&amp;""</f>
        <v>12B27</v>
      </c>
      <c r="E48" s="26" t="str">
        <f>'12U BOYS-16 TEAMS'!E53&amp;""</f>
        <v>3rdE-CDM</v>
      </c>
      <c r="F48" s="26" t="str">
        <f>'12U BOYS-16 TEAMS'!F53&amp;""</f>
        <v>6</v>
      </c>
      <c r="G48" s="26" t="str">
        <f>'12U BOYS-16 TEAMS'!G53&amp;""</f>
        <v>4thD-VANGUARD SILVER</v>
      </c>
      <c r="H48" s="26" t="str">
        <f>'12U BOYS-16 TEAMS'!H53&amp;""</f>
        <v>11</v>
      </c>
      <c r="I48" s="26" t="str">
        <f>'12U BOYS-16 TEAMS'!I53&amp;""</f>
        <v>cross</v>
      </c>
      <c r="J48" s="26" t="str">
        <f>'12U BOYS-16 TEAMS'!J53&amp;""</f>
        <v>12U_BOYS</v>
      </c>
      <c r="K48" s="26" t="str">
        <f t="shared" si="0"/>
        <v>202603081110</v>
      </c>
    </row>
    <row r="49" spans="1:11">
      <c r="A49" s="77">
        <f>'12U BOYS-16 TEAMS'!A54</f>
        <v>46089</v>
      </c>
      <c r="B49" s="76">
        <f>'12U BOYS-16 TEAMS'!B54</f>
        <v>0.5</v>
      </c>
      <c r="C49" s="76" t="str">
        <f>'12U BOYS-16 TEAMS'!C54&amp;""</f>
        <v>COSTA MESA HS 2</v>
      </c>
      <c r="D49" s="26" t="str">
        <f>'12U BOYS-16 TEAMS'!D54&amp;""</f>
        <v>12B28</v>
      </c>
      <c r="E49" s="26" t="str">
        <f>'12U BOYS-16 TEAMS'!E54&amp;""</f>
        <v>1stA-ORANGE COUNTY WPC A</v>
      </c>
      <c r="F49" s="26" t="str">
        <f>'12U BOYS-16 TEAMS'!F54&amp;""</f>
        <v>19</v>
      </c>
      <c r="G49" s="26" t="str">
        <f>'12U BOYS-16 TEAMS'!G54&amp;""</f>
        <v>3rdC-NORTH IRVINE RED</v>
      </c>
      <c r="H49" s="26" t="str">
        <f>'12U BOYS-16 TEAMS'!H54&amp;""</f>
        <v>2</v>
      </c>
      <c r="I49" s="26" t="str">
        <f>'12U BOYS-16 TEAMS'!I54&amp;""</f>
        <v>cross</v>
      </c>
      <c r="J49" s="26" t="str">
        <f>'12U BOYS-16 TEAMS'!J54&amp;""</f>
        <v>12U_BOYS</v>
      </c>
      <c r="K49" s="26" t="str">
        <f t="shared" si="0"/>
        <v>202603081200</v>
      </c>
    </row>
    <row r="50" spans="1:11">
      <c r="A50" s="77">
        <f>'12U BOYS-16 TEAMS'!A55</f>
        <v>46089</v>
      </c>
      <c r="B50" s="76">
        <f>'12U BOYS-16 TEAMS'!B55</f>
        <v>0.53472222222222199</v>
      </c>
      <c r="C50" s="76" t="str">
        <f>'12U BOYS-16 TEAMS'!C55&amp;""</f>
        <v>COSTA MESA HS 2</v>
      </c>
      <c r="D50" s="26" t="str">
        <f>'12U BOYS-16 TEAMS'!D55&amp;""</f>
        <v>12B29</v>
      </c>
      <c r="E50" s="26" t="str">
        <f>'12U BOYS-16 TEAMS'!E55&amp;""</f>
        <v>2ndE-ORWP B</v>
      </c>
      <c r="F50" s="26" t="str">
        <f>'12U BOYS-16 TEAMS'!F55&amp;""</f>
        <v>1</v>
      </c>
      <c r="G50" s="26" t="str">
        <f>'12U BOYS-16 TEAMS'!G55&amp;""</f>
        <v>3rdD-NEWPORT BEACH 10 BLUE</v>
      </c>
      <c r="H50" s="26" t="str">
        <f>'12U BOYS-16 TEAMS'!H55&amp;""</f>
        <v>14</v>
      </c>
      <c r="I50" s="26" t="str">
        <f>'12U BOYS-16 TEAMS'!I55&amp;""</f>
        <v>cross</v>
      </c>
      <c r="J50" s="26" t="str">
        <f>'12U BOYS-16 TEAMS'!J55&amp;""</f>
        <v>12U_BOYS</v>
      </c>
      <c r="K50" s="26" t="str">
        <f t="shared" si="0"/>
        <v>202603081250</v>
      </c>
    </row>
    <row r="51" spans="1:11">
      <c r="A51" s="77">
        <f>'12U BOYS-16 TEAMS'!A56</f>
        <v>46089</v>
      </c>
      <c r="B51" s="76">
        <f>'12U BOYS-16 TEAMS'!B56</f>
        <v>0.56944444444444497</v>
      </c>
      <c r="C51" s="76" t="str">
        <f>'12U BOYS-16 TEAMS'!C56&amp;""</f>
        <v>COSTA MESA HS 2</v>
      </c>
      <c r="D51" s="26" t="str">
        <f>'12U BOYS-16 TEAMS'!D56&amp;""</f>
        <v>12B30</v>
      </c>
      <c r="E51" s="26" t="str">
        <f>'12U BOYS-16 TEAMS'!E56&amp;""</f>
        <v>3rdA-LA PREMIER</v>
      </c>
      <c r="F51" s="26" t="str">
        <f>'12U BOYS-16 TEAMS'!F56&amp;""</f>
        <v>24</v>
      </c>
      <c r="G51" s="26" t="str">
        <f>'12U BOYS-16 TEAMS'!G56&amp;""</f>
        <v>1stE-ORANGE COUNTY WPC B</v>
      </c>
      <c r="H51" s="26" t="str">
        <f>'12U BOYS-16 TEAMS'!H56&amp;""</f>
        <v>0</v>
      </c>
      <c r="I51" s="26" t="str">
        <f>'12U BOYS-16 TEAMS'!I56&amp;""</f>
        <v>cross</v>
      </c>
      <c r="J51" s="26" t="str">
        <f>'12U BOYS-16 TEAMS'!J56&amp;""</f>
        <v>12U_BOYS</v>
      </c>
      <c r="K51" s="26" t="str">
        <f t="shared" si="0"/>
        <v>202603081340</v>
      </c>
    </row>
    <row r="52" spans="1:11">
      <c r="A52" s="77">
        <f>'12U BOYS-16 TEAMS'!A57</f>
        <v>46089</v>
      </c>
      <c r="B52" s="76">
        <f>'12U BOYS-16 TEAMS'!B57</f>
        <v>0.60416666666666696</v>
      </c>
      <c r="C52" s="76" t="str">
        <f>'12U BOYS-16 TEAMS'!C57&amp;""</f>
        <v>COSTA MESA HS 2</v>
      </c>
      <c r="D52" s="26" t="str">
        <f>'12U BOYS-16 TEAMS'!D57&amp;""</f>
        <v>12B31</v>
      </c>
      <c r="E52" s="26" t="str">
        <f>'12U BOYS-16 TEAMS'!E57&amp;""</f>
        <v>3rdB-LAGUNA BEACH</v>
      </c>
      <c r="F52" s="26" t="str">
        <f>'12U BOYS-16 TEAMS'!F57&amp;""</f>
        <v>0</v>
      </c>
      <c r="G52" s="26" t="str">
        <f>'12U BOYS-16 TEAMS'!G57&amp;""</f>
        <v>3rdC-NORTH IRVINE RED</v>
      </c>
      <c r="H52" s="26" t="str">
        <f>'12U BOYS-16 TEAMS'!H57&amp;""</f>
        <v>8</v>
      </c>
      <c r="I52" s="26" t="str">
        <f>'12U BOYS-16 TEAMS'!I57&amp;""</f>
        <v>cross</v>
      </c>
      <c r="J52" s="26" t="str">
        <f>'12U BOYS-16 TEAMS'!J57&amp;""</f>
        <v>12U_BOYS</v>
      </c>
      <c r="K52" s="26" t="str">
        <f t="shared" si="0"/>
        <v>202603081430</v>
      </c>
    </row>
    <row r="53" spans="1:11">
      <c r="A53" s="77">
        <f>'12U BOYS-16 TEAMS'!A58</f>
        <v>46089</v>
      </c>
      <c r="B53" s="76">
        <f>'12U BOYS-16 TEAMS'!B58</f>
        <v>0.63888888888888895</v>
      </c>
      <c r="C53" s="76" t="str">
        <f>'12U BOYS-16 TEAMS'!C58&amp;""</f>
        <v>COSTA MESA HS 2</v>
      </c>
      <c r="D53" s="26" t="str">
        <f>'12U BOYS-16 TEAMS'!D58&amp;""</f>
        <v>12B32</v>
      </c>
      <c r="E53" s="26" t="str">
        <f>'12U BOYS-16 TEAMS'!E58&amp;""</f>
        <v>3rdA-LA PREMIER</v>
      </c>
      <c r="F53" s="26" t="str">
        <f>'12U BOYS-16 TEAMS'!F58&amp;""</f>
        <v>6</v>
      </c>
      <c r="G53" s="26" t="str">
        <f>'12U BOYS-16 TEAMS'!G58&amp;""</f>
        <v>3rdE-CDM</v>
      </c>
      <c r="H53" s="26" t="str">
        <f>'12U BOYS-16 TEAMS'!H58&amp;""</f>
        <v>1</v>
      </c>
      <c r="I53" s="26" t="str">
        <f>'12U BOYS-16 TEAMS'!I58&amp;""</f>
        <v>cross</v>
      </c>
      <c r="J53" s="26" t="str">
        <f>'12U BOYS-16 TEAMS'!J58&amp;""</f>
        <v>12U_BOYS</v>
      </c>
      <c r="K53" s="26" t="str">
        <f t="shared" si="0"/>
        <v>202603081520</v>
      </c>
    </row>
    <row r="54" spans="1:11">
      <c r="A54" s="107">
        <f>'14U GIRLS-9 TEAMS'!A14</f>
        <v>46088</v>
      </c>
      <c r="B54" s="106">
        <f>'14U GIRLS-9 TEAMS'!B14</f>
        <v>0.29166666666666669</v>
      </c>
      <c r="C54" s="105" t="str">
        <f>'14U GIRLS-9 TEAMS'!C14&amp;""</f>
        <v>EL TORO HS 1</v>
      </c>
      <c r="D54" s="28" t="str">
        <f>'14U GIRLS-9 TEAMS'!D14&amp;""</f>
        <v>14G01</v>
      </c>
      <c r="E54" s="28" t="str">
        <f>'14U GIRLS-9 TEAMS'!E14&amp;""</f>
        <v>C1-CV PREMIER</v>
      </c>
      <c r="F54" s="28" t="str">
        <f>'14U GIRLS-9 TEAMS'!F14&amp;""</f>
        <v>6</v>
      </c>
      <c r="G54" s="28" t="str">
        <f>'14U GIRLS-9 TEAMS'!G14&amp;""</f>
        <v>C2-INNIS ARDEN</v>
      </c>
      <c r="H54" s="28" t="str">
        <f>'14U GIRLS-9 TEAMS'!H14&amp;""</f>
        <v>16</v>
      </c>
      <c r="I54" s="28" t="str">
        <f>'14U GIRLS-9 TEAMS'!I14&amp;""</f>
        <v>C bracket silver 1st-3rd</v>
      </c>
      <c r="J54" s="28" t="str">
        <f>'14U GIRLS-9 TEAMS'!J14&amp;""</f>
        <v>14U_GIRLS</v>
      </c>
      <c r="K54" s="28" t="str">
        <f t="shared" si="0"/>
        <v>202603070700</v>
      </c>
    </row>
    <row r="55" spans="1:11">
      <c r="A55" s="107">
        <f>'14U GIRLS-9 TEAMS'!A15</f>
        <v>46088</v>
      </c>
      <c r="B55" s="106">
        <f>'14U GIRLS-9 TEAMS'!B15</f>
        <v>0.3263888888888889</v>
      </c>
      <c r="C55" s="105" t="str">
        <f>'14U GIRLS-9 TEAMS'!C15&amp;""</f>
        <v>EL TORO HS 1</v>
      </c>
      <c r="D55" s="28" t="str">
        <f>'14U GIRLS-9 TEAMS'!D15&amp;""</f>
        <v>14G02</v>
      </c>
      <c r="E55" s="28" t="str">
        <f>'14U GIRLS-9 TEAMS'!E15&amp;""</f>
        <v>B1-SET</v>
      </c>
      <c r="F55" s="28" t="str">
        <f>'14U GIRLS-9 TEAMS'!F15&amp;""</f>
        <v>5</v>
      </c>
      <c r="G55" s="28" t="str">
        <f>'14U GIRLS-9 TEAMS'!G15&amp;""</f>
        <v>B3-ELITE</v>
      </c>
      <c r="H55" s="28" t="str">
        <f>'14U GIRLS-9 TEAMS'!H15&amp;""</f>
        <v>4</v>
      </c>
      <c r="I55" s="28" t="str">
        <f>'14U GIRLS-9 TEAMS'!I15&amp;""</f>
        <v>B bracket gold 1st-3rd</v>
      </c>
      <c r="J55" s="28" t="str">
        <f>'14U GIRLS-9 TEAMS'!J15&amp;""</f>
        <v>14U_GIRLS</v>
      </c>
      <c r="K55" s="28" t="str">
        <f t="shared" si="0"/>
        <v>202603070750</v>
      </c>
    </row>
    <row r="56" spans="1:11">
      <c r="A56" s="107">
        <f>'14U GIRLS-9 TEAMS'!A16</f>
        <v>46088</v>
      </c>
      <c r="B56" s="106">
        <f>'14U GIRLS-9 TEAMS'!B16</f>
        <v>0.36111111111111099</v>
      </c>
      <c r="C56" s="105" t="str">
        <f>'14U GIRLS-9 TEAMS'!C16&amp;""</f>
        <v>EL TORO HS 1</v>
      </c>
      <c r="D56" s="28" t="str">
        <f>'14U GIRLS-9 TEAMS'!D16&amp;""</f>
        <v>14G03</v>
      </c>
      <c r="E56" s="28" t="str">
        <f>'14U GIRLS-9 TEAMS'!E16&amp;""</f>
        <v>A2-ROGUE 619</v>
      </c>
      <c r="F56" s="28" t="str">
        <f>'14U GIRLS-9 TEAMS'!F16&amp;""</f>
        <v>17</v>
      </c>
      <c r="G56" s="28" t="str">
        <f>'14U GIRLS-9 TEAMS'!G16&amp;""</f>
        <v>A3-NORTH IRVINE</v>
      </c>
      <c r="H56" s="28" t="str">
        <f>'14U GIRLS-9 TEAMS'!H16&amp;""</f>
        <v>5</v>
      </c>
      <c r="I56" s="28" t="str">
        <f>'14U GIRLS-9 TEAMS'!I16&amp;""</f>
        <v>A bracket platinum 1st-3rd</v>
      </c>
      <c r="J56" s="28" t="str">
        <f>'14U GIRLS-9 TEAMS'!J16&amp;""</f>
        <v>14U_GIRLS</v>
      </c>
      <c r="K56" s="28" t="str">
        <f t="shared" si="0"/>
        <v>202603070840</v>
      </c>
    </row>
    <row r="57" spans="1:11">
      <c r="A57" s="88">
        <f>'14U BOYS SILVER-16 TEAMS'!A13</f>
        <v>46088</v>
      </c>
      <c r="B57" s="87">
        <f>'14U BOYS SILVER-16 TEAMS'!B13</f>
        <v>0.39583333333333398</v>
      </c>
      <c r="C57" s="87" t="str">
        <f>'14U BOYS SILVER-16 TEAMS'!C13&amp;""</f>
        <v>EL TORO HS 1</v>
      </c>
      <c r="D57" s="36" t="str">
        <f>'14U BOYS SILVER-16 TEAMS'!D13&amp;""</f>
        <v>14Bag09</v>
      </c>
      <c r="E57" s="36" t="str">
        <f>'14U BOYS SILVER-16 TEAMS'!E13&amp;""</f>
        <v>D1-TITANS</v>
      </c>
      <c r="F57" s="36" t="str">
        <f>'14U BOYS SILVER-16 TEAMS'!F13&amp;""</f>
        <v>1</v>
      </c>
      <c r="G57" s="36" t="str">
        <f>'14U BOYS SILVER-16 TEAMS'!G13&amp;""</f>
        <v>D4-NEWPORT BEACH SILVER</v>
      </c>
      <c r="H57" s="36" t="str">
        <f>'14U BOYS SILVER-16 TEAMS'!H13&amp;""</f>
        <v>18</v>
      </c>
      <c r="I57" s="36" t="str">
        <f>'14U BOYS SILVER-16 TEAMS'!I13&amp;""</f>
        <v>W/L D1/D4</v>
      </c>
      <c r="J57" s="36" t="str">
        <f>'14U BOYS SILVER-16 TEAMS'!J13&amp;""</f>
        <v>14U_BOYS_SILVER</v>
      </c>
      <c r="K57" s="36" t="str">
        <f t="shared" si="0"/>
        <v>202603070930</v>
      </c>
    </row>
    <row r="58" spans="1:11">
      <c r="A58" s="88">
        <f>'14U BOYS SILVER-16 TEAMS'!A14</f>
        <v>46088</v>
      </c>
      <c r="B58" s="87">
        <f>'14U BOYS SILVER-16 TEAMS'!B14</f>
        <v>0.43055555555555602</v>
      </c>
      <c r="C58" s="87" t="str">
        <f>'14U BOYS SILVER-16 TEAMS'!C14&amp;""</f>
        <v>EL TORO HS 1</v>
      </c>
      <c r="D58" s="36" t="str">
        <f>'14U BOYS SILVER-16 TEAMS'!D14&amp;""</f>
        <v>14Bag10</v>
      </c>
      <c r="E58" s="36" t="str">
        <f>'14U BOYS SILVER-16 TEAMS'!E14&amp;""</f>
        <v>D2-SET</v>
      </c>
      <c r="F58" s="36" t="str">
        <f>'14U BOYS SILVER-16 TEAMS'!F14&amp;""</f>
        <v>5</v>
      </c>
      <c r="G58" s="36" t="str">
        <f>'14U BOYS SILVER-16 TEAMS'!G14&amp;""</f>
        <v>D3-ORWP B</v>
      </c>
      <c r="H58" s="36" t="str">
        <f>'14U BOYS SILVER-16 TEAMS'!H14&amp;""</f>
        <v>19</v>
      </c>
      <c r="I58" s="36" t="str">
        <f>'14U BOYS SILVER-16 TEAMS'!I14&amp;""</f>
        <v>W/L D2/D3</v>
      </c>
      <c r="J58" s="36" t="str">
        <f>'14U BOYS SILVER-16 TEAMS'!J14&amp;""</f>
        <v>14U_BOYS_SILVER</v>
      </c>
      <c r="K58" s="36" t="str">
        <f t="shared" si="0"/>
        <v>202603071020</v>
      </c>
    </row>
    <row r="59" spans="1:11">
      <c r="A59" s="107">
        <f>'14U GIRLS-9 TEAMS'!A18</f>
        <v>46088</v>
      </c>
      <c r="B59" s="106">
        <f>'14U GIRLS-9 TEAMS'!B18</f>
        <v>0.46527777777777801</v>
      </c>
      <c r="C59" s="105" t="str">
        <f>'14U GIRLS-9 TEAMS'!C18&amp;""</f>
        <v>EL TORO HS 1</v>
      </c>
      <c r="D59" s="28" t="str">
        <f>'14U GIRLS-9 TEAMS'!D18&amp;""</f>
        <v>14G04</v>
      </c>
      <c r="E59" s="28" t="str">
        <f>'14U GIRLS-9 TEAMS'!E18&amp;""</f>
        <v>C1-CV PREMIER</v>
      </c>
      <c r="F59" s="28" t="str">
        <f>'14U GIRLS-9 TEAMS'!F18&amp;""</f>
        <v>10</v>
      </c>
      <c r="G59" s="149" t="str">
        <f>'14U GIRLS-9 TEAMS'!G18&amp;""</f>
        <v>C3-TROJAN</v>
      </c>
      <c r="H59" s="28" t="str">
        <f>'14U GIRLS-9 TEAMS'!H18&amp;""</f>
        <v>5</v>
      </c>
      <c r="I59" s="28" t="str">
        <f>'14U GIRLS-9 TEAMS'!I18&amp;""</f>
        <v>C bracket silver 1st-3rd</v>
      </c>
      <c r="J59" s="28" t="str">
        <f>'14U GIRLS-9 TEAMS'!J18&amp;""</f>
        <v>14U_GIRLS</v>
      </c>
      <c r="K59" s="28" t="str">
        <f t="shared" si="0"/>
        <v>202603071110</v>
      </c>
    </row>
    <row r="60" spans="1:11">
      <c r="A60" s="107">
        <f>'14U GIRLS-9 TEAMS'!A19</f>
        <v>46088</v>
      </c>
      <c r="B60" s="106">
        <f>'14U GIRLS-9 TEAMS'!B19</f>
        <v>0.5</v>
      </c>
      <c r="C60" s="105" t="str">
        <f>'14U GIRLS-9 TEAMS'!C19&amp;""</f>
        <v>EL TORO HS 1</v>
      </c>
      <c r="D60" s="28" t="str">
        <f>'14U GIRLS-9 TEAMS'!D19&amp;""</f>
        <v>14G05</v>
      </c>
      <c r="E60" s="28" t="str">
        <f>'14U GIRLS-9 TEAMS'!E19&amp;""</f>
        <v>B1-SET</v>
      </c>
      <c r="F60" s="28" t="str">
        <f>'14U GIRLS-9 TEAMS'!F19&amp;""</f>
        <v>4</v>
      </c>
      <c r="G60" s="28" t="str">
        <f>'14U GIRLS-9 TEAMS'!G19&amp;""</f>
        <v>B2-PALOS VERDES BLACK</v>
      </c>
      <c r="H60" s="28" t="str">
        <f>'14U GIRLS-9 TEAMS'!H19&amp;""</f>
        <v>9</v>
      </c>
      <c r="I60" s="28" t="str">
        <f>'14U GIRLS-9 TEAMS'!I19&amp;""</f>
        <v>B bracket gold 1st-3rd</v>
      </c>
      <c r="J60" s="28" t="str">
        <f>'14U GIRLS-9 TEAMS'!J19&amp;""</f>
        <v>14U_GIRLS</v>
      </c>
      <c r="K60" s="28" t="str">
        <f t="shared" si="0"/>
        <v>202603071200</v>
      </c>
    </row>
    <row r="61" spans="1:11">
      <c r="A61" s="107">
        <f>'14U GIRLS-9 TEAMS'!A20</f>
        <v>46088</v>
      </c>
      <c r="B61" s="106">
        <f>'14U GIRLS-9 TEAMS'!B20</f>
        <v>0.53472222222222199</v>
      </c>
      <c r="C61" s="105" t="str">
        <f>'14U GIRLS-9 TEAMS'!C20&amp;""</f>
        <v>EL TORO HS 1</v>
      </c>
      <c r="D61" s="28" t="str">
        <f>'14U GIRLS-9 TEAMS'!D20&amp;""</f>
        <v>14G06</v>
      </c>
      <c r="E61" s="28" t="str">
        <f>'14U GIRLS-9 TEAMS'!E20&amp;""</f>
        <v>A1-VIKING</v>
      </c>
      <c r="F61" s="28" t="str">
        <f>'14U GIRLS-9 TEAMS'!F20&amp;""</f>
        <v>17</v>
      </c>
      <c r="G61" s="28" t="str">
        <f>'14U GIRLS-9 TEAMS'!G20&amp;""</f>
        <v>A3-NORTH IRVINE</v>
      </c>
      <c r="H61" s="28" t="str">
        <f>'14U GIRLS-9 TEAMS'!H20&amp;""</f>
        <v>8</v>
      </c>
      <c r="I61" s="28" t="str">
        <f>'14U GIRLS-9 TEAMS'!I20&amp;""</f>
        <v>A bracket platinum 1st-3rd</v>
      </c>
      <c r="J61" s="28" t="str">
        <f>'14U GIRLS-9 TEAMS'!J20&amp;""</f>
        <v>14U_GIRLS</v>
      </c>
      <c r="K61" s="28" t="str">
        <f t="shared" si="0"/>
        <v>202603071250</v>
      </c>
    </row>
    <row r="62" spans="1:11">
      <c r="A62" s="88">
        <f>'14U BOYS SILVER-16 TEAMS'!A20</f>
        <v>46088</v>
      </c>
      <c r="B62" s="87">
        <f>'14U BOYS SILVER-16 TEAMS'!B20</f>
        <v>0.56944444444444497</v>
      </c>
      <c r="C62" s="87" t="str">
        <f>'14U BOYS SILVER-16 TEAMS'!C20&amp;""</f>
        <v>EL TORO HS 1</v>
      </c>
      <c r="D62" s="36" t="str">
        <f>'14U BOYS SILVER-16 TEAMS'!D20&amp;""</f>
        <v>14Bag13</v>
      </c>
      <c r="E62" s="36" t="str">
        <f>'14U BOYS SILVER-16 TEAMS'!E20&amp;""</f>
        <v>L#9-TITANS</v>
      </c>
      <c r="F62" s="36" t="str">
        <f>'14U BOYS SILVER-16 TEAMS'!F20&amp;""</f>
        <v>11</v>
      </c>
      <c r="G62" s="36" t="str">
        <f>'14U BOYS SILVER-16 TEAMS'!G20&amp;""</f>
        <v>L#10-SET</v>
      </c>
      <c r="H62" s="36" t="str">
        <f>'14U BOYS SILVER-16 TEAMS'!H20&amp;""</f>
        <v>10</v>
      </c>
      <c r="I62" s="36" t="str">
        <f>'14U BOYS SILVER-16 TEAMS'!I20&amp;""</f>
        <v>3rd/4thD</v>
      </c>
      <c r="J62" s="36" t="str">
        <f>'14U BOYS SILVER-16 TEAMS'!J20&amp;""</f>
        <v>14U_BOYS_SILVER</v>
      </c>
      <c r="K62" s="36" t="str">
        <f t="shared" si="0"/>
        <v>202603071340</v>
      </c>
    </row>
    <row r="63" spans="1:11">
      <c r="A63" s="88">
        <f>'14U BOYS SILVER-16 TEAMS'!A22</f>
        <v>46088</v>
      </c>
      <c r="B63" s="87">
        <f>'14U BOYS SILVER-16 TEAMS'!B22</f>
        <v>0.60416666666666696</v>
      </c>
      <c r="C63" s="87" t="str">
        <f>'14U BOYS SILVER-16 TEAMS'!C22&amp;""</f>
        <v>EL TORO HS 1</v>
      </c>
      <c r="D63" s="36" t="str">
        <f>'14U BOYS SILVER-16 TEAMS'!D22&amp;""</f>
        <v>14Bag14</v>
      </c>
      <c r="E63" s="36" t="str">
        <f>'14U BOYS SILVER-16 TEAMS'!E22&amp;""</f>
        <v>W#9-NEWPORT BEACH SILVER</v>
      </c>
      <c r="F63" s="36" t="str">
        <f>'14U BOYS SILVER-16 TEAMS'!F22&amp;""</f>
        <v>8</v>
      </c>
      <c r="G63" s="36" t="str">
        <f>'14U BOYS SILVER-16 TEAMS'!G22&amp;""</f>
        <v>W#10-ORWP B</v>
      </c>
      <c r="H63" s="36" t="str">
        <f>'14U BOYS SILVER-16 TEAMS'!H22&amp;""</f>
        <v>7</v>
      </c>
      <c r="I63" s="36" t="str">
        <f>'14U BOYS SILVER-16 TEAMS'!I22&amp;""</f>
        <v>1st/2ndD</v>
      </c>
      <c r="J63" s="36" t="str">
        <f>'14U BOYS SILVER-16 TEAMS'!J22&amp;""</f>
        <v>14U_BOYS_SILVER</v>
      </c>
      <c r="K63" s="36" t="str">
        <f t="shared" si="0"/>
        <v>202603071430</v>
      </c>
    </row>
    <row r="64" spans="1:11">
      <c r="A64" s="107">
        <f>'14U GIRLS-9 TEAMS'!A22</f>
        <v>46088</v>
      </c>
      <c r="B64" s="106">
        <f>'14U GIRLS-9 TEAMS'!B22</f>
        <v>0.63888888888888895</v>
      </c>
      <c r="C64" s="105" t="str">
        <f>'14U GIRLS-9 TEAMS'!C22&amp;""</f>
        <v>EL TORO HS 1</v>
      </c>
      <c r="D64" s="28" t="str">
        <f>'14U GIRLS-9 TEAMS'!D22&amp;""</f>
        <v>14G07</v>
      </c>
      <c r="E64" s="28" t="str">
        <f>'14U GIRLS-9 TEAMS'!E22&amp;""</f>
        <v>C2-INNIS ARDEN</v>
      </c>
      <c r="F64" s="28" t="str">
        <f>'14U GIRLS-9 TEAMS'!F22&amp;""</f>
        <v>17</v>
      </c>
      <c r="G64" s="28" t="str">
        <f>'14U GIRLS-9 TEAMS'!G22&amp;""</f>
        <v>C3-TROJAN</v>
      </c>
      <c r="H64" s="28" t="str">
        <f>'14U GIRLS-9 TEAMS'!H22&amp;""</f>
        <v>4</v>
      </c>
      <c r="I64" s="28" t="str">
        <f>'14U GIRLS-9 TEAMS'!I22&amp;""</f>
        <v>C bracket silver 1st-3rd</v>
      </c>
      <c r="J64" s="28" t="str">
        <f>'14U GIRLS-9 TEAMS'!J22&amp;""</f>
        <v>14U_GIRLS</v>
      </c>
      <c r="K64" s="28" t="str">
        <f t="shared" si="0"/>
        <v>202603071520</v>
      </c>
    </row>
    <row r="65" spans="1:11">
      <c r="A65" s="107">
        <f>'14U GIRLS-9 TEAMS'!A24</f>
        <v>46088</v>
      </c>
      <c r="B65" s="106">
        <f>'14U GIRLS-9 TEAMS'!B24</f>
        <v>0.67361111111111105</v>
      </c>
      <c r="C65" s="105" t="str">
        <f>'14U GIRLS-9 TEAMS'!C24&amp;""</f>
        <v>EL TORO HS 1</v>
      </c>
      <c r="D65" s="28" t="str">
        <f>'14U GIRLS-9 TEAMS'!D24&amp;""</f>
        <v>14G09</v>
      </c>
      <c r="E65" s="28" t="str">
        <f>'14U GIRLS-9 TEAMS'!E24&amp;""</f>
        <v>A1-VIKING</v>
      </c>
      <c r="F65" s="28" t="str">
        <f>'14U GIRLS-9 TEAMS'!F24&amp;""</f>
        <v>5</v>
      </c>
      <c r="G65" s="28" t="str">
        <f>'14U GIRLS-9 TEAMS'!G24&amp;""</f>
        <v>A2-ROGUE 619</v>
      </c>
      <c r="H65" s="28" t="str">
        <f>'14U GIRLS-9 TEAMS'!H24&amp;""</f>
        <v>9</v>
      </c>
      <c r="I65" s="28" t="str">
        <f>'14U GIRLS-9 TEAMS'!I24&amp;""</f>
        <v>A bracket platinum 1st-3rd</v>
      </c>
      <c r="J65" s="28" t="str">
        <f>'14U GIRLS-9 TEAMS'!J24&amp;""</f>
        <v>14U_GIRLS</v>
      </c>
      <c r="K65" s="28" t="str">
        <f t="shared" si="0"/>
        <v>202603071610</v>
      </c>
    </row>
    <row r="66" spans="1:11">
      <c r="A66" s="107">
        <f>'14U GIRLS-9 TEAMS'!A28</f>
        <v>46089</v>
      </c>
      <c r="B66" s="106">
        <f>'14U GIRLS-9 TEAMS'!B28</f>
        <v>0.3263888888888889</v>
      </c>
      <c r="C66" s="105" t="str">
        <f>'14U GIRLS-9 TEAMS'!C28&amp;""</f>
        <v>EL TORO HS 1</v>
      </c>
      <c r="D66" s="28" t="str">
        <f>'14U GIRLS-9 TEAMS'!D28&amp;""</f>
        <v>14G10</v>
      </c>
      <c r="E66" s="28" t="str">
        <f>'14U GIRLS-9 TEAMS'!E28&amp;""</f>
        <v>D1(3rdA)-NORTH IRVINE</v>
      </c>
      <c r="F66" s="28" t="str">
        <f>'14U GIRLS-9 TEAMS'!F28&amp;""</f>
        <v>16</v>
      </c>
      <c r="G66" s="28" t="str">
        <f>'14U GIRLS-9 TEAMS'!G28&amp;""</f>
        <v>D3(3rdC)-TROJAN</v>
      </c>
      <c r="H66" s="28" t="str">
        <f>'14U GIRLS-9 TEAMS'!H28&amp;""</f>
        <v>3</v>
      </c>
      <c r="I66" s="28" t="str">
        <f>'14U GIRLS-9 TEAMS'!I28&amp;""</f>
        <v>plat-gold-silver D1,D3</v>
      </c>
      <c r="J66" s="28" t="str">
        <f>'14U GIRLS-9 TEAMS'!J28&amp;""</f>
        <v>14U_GIRLS</v>
      </c>
      <c r="K66" s="28" t="str">
        <f t="shared" ref="K66:K129" si="1">TEXT(DATE(2026, MONTH(A66), DAY(A66)) + TIME(HOUR(B66), MINUTE(B66), 0), "yyyymmddhhmm")</f>
        <v>202603080750</v>
      </c>
    </row>
    <row r="67" spans="1:11">
      <c r="A67" s="107">
        <f>'14U GIRLS-9 TEAMS'!A29</f>
        <v>46089</v>
      </c>
      <c r="B67" s="106">
        <f>'14U GIRLS-9 TEAMS'!B29</f>
        <v>0.36111111111111099</v>
      </c>
      <c r="C67" s="105" t="str">
        <f>'14U GIRLS-9 TEAMS'!C29&amp;""</f>
        <v>EL TORO HS 1</v>
      </c>
      <c r="D67" s="28" t="str">
        <f>'14U GIRLS-9 TEAMS'!D29&amp;""</f>
        <v>14G11</v>
      </c>
      <c r="E67" s="28" t="str">
        <f>'14U GIRLS-9 TEAMS'!E29&amp;""</f>
        <v>E1(2ndA)-VIKING</v>
      </c>
      <c r="F67" s="28" t="str">
        <f>'14U GIRLS-9 TEAMS'!F29&amp;""</f>
        <v>10</v>
      </c>
      <c r="G67" s="28" t="str">
        <f>'14U GIRLS-9 TEAMS'!G29&amp;""</f>
        <v>E3(2ndC)-CV PREMIER</v>
      </c>
      <c r="H67" s="28" t="str">
        <f>'14U GIRLS-9 TEAMS'!H29&amp;""</f>
        <v>3</v>
      </c>
      <c r="I67" s="28" t="str">
        <f>'14U GIRLS-9 TEAMS'!I29&amp;""</f>
        <v>plat-gold-silver E1,E3</v>
      </c>
      <c r="J67" s="28" t="str">
        <f>'14U GIRLS-9 TEAMS'!J29&amp;""</f>
        <v>14U_GIRLS</v>
      </c>
      <c r="K67" s="28" t="str">
        <f t="shared" si="1"/>
        <v>202603080840</v>
      </c>
    </row>
    <row r="68" spans="1:11">
      <c r="A68" s="107">
        <f>'14U GIRLS-9 TEAMS'!A30</f>
        <v>46089</v>
      </c>
      <c r="B68" s="106">
        <f>'14U GIRLS-9 TEAMS'!B30</f>
        <v>0.39583333333333398</v>
      </c>
      <c r="C68" s="105" t="str">
        <f>'14U GIRLS-9 TEAMS'!C30&amp;""</f>
        <v>EL TORO HS 1</v>
      </c>
      <c r="D68" s="28" t="str">
        <f>'14U GIRLS-9 TEAMS'!D30&amp;""</f>
        <v>14G12</v>
      </c>
      <c r="E68" s="28" t="str">
        <f>'14U GIRLS-9 TEAMS'!E30&amp;""</f>
        <v>F1(1stA)-ROGUE 619</v>
      </c>
      <c r="F68" s="28" t="str">
        <f>'14U GIRLS-9 TEAMS'!F30&amp;""</f>
        <v>11</v>
      </c>
      <c r="G68" s="28" t="str">
        <f>'14U GIRLS-9 TEAMS'!G30&amp;""</f>
        <v>F3(1stC)-INNIS ARDEN</v>
      </c>
      <c r="H68" s="28" t="str">
        <f>'14U GIRLS-9 TEAMS'!H30&amp;""</f>
        <v>5</v>
      </c>
      <c r="I68" s="28" t="str">
        <f>'14U GIRLS-9 TEAMS'!I30&amp;""</f>
        <v>plat-gold-silver F1,F3</v>
      </c>
      <c r="J68" s="28" t="str">
        <f>'14U GIRLS-9 TEAMS'!J30&amp;""</f>
        <v>14U_GIRLS</v>
      </c>
      <c r="K68" s="28" t="str">
        <f t="shared" si="1"/>
        <v>202603080930</v>
      </c>
    </row>
    <row r="69" spans="1:11">
      <c r="A69" s="107">
        <f>'14U GIRLS-9 TEAMS'!A31</f>
        <v>46089</v>
      </c>
      <c r="B69" s="106">
        <f>'14U GIRLS-9 TEAMS'!B31</f>
        <v>0.43055555555555602</v>
      </c>
      <c r="C69" s="105" t="str">
        <f>'14U GIRLS-9 TEAMS'!C31&amp;""</f>
        <v>EL TORO HS 1</v>
      </c>
      <c r="D69" s="28" t="str">
        <f>'14U GIRLS-9 TEAMS'!D31&amp;""</f>
        <v>14G13</v>
      </c>
      <c r="E69" s="28" t="str">
        <f>'14U GIRLS-9 TEAMS'!E31&amp;""</f>
        <v>D2(3rdB)-ELITE</v>
      </c>
      <c r="F69" s="28" t="str">
        <f>'14U GIRLS-9 TEAMS'!F31&amp;""</f>
        <v>18</v>
      </c>
      <c r="G69" s="28" t="str">
        <f>'14U GIRLS-9 TEAMS'!G31&amp;""</f>
        <v>D3(3rdC)-TROJAN</v>
      </c>
      <c r="H69" s="28" t="str">
        <f>'14U GIRLS-9 TEAMS'!H31&amp;""</f>
        <v>3</v>
      </c>
      <c r="I69" s="28" t="str">
        <f>'14U GIRLS-9 TEAMS'!I31&amp;""</f>
        <v>plat-gold-silver D2,D3</v>
      </c>
      <c r="J69" s="28" t="str">
        <f>'14U GIRLS-9 TEAMS'!J31&amp;""</f>
        <v>14U_GIRLS</v>
      </c>
      <c r="K69" s="28" t="str">
        <f t="shared" si="1"/>
        <v>202603081020</v>
      </c>
    </row>
    <row r="70" spans="1:11">
      <c r="A70" s="107">
        <f>'14U GIRLS-9 TEAMS'!A32</f>
        <v>46089</v>
      </c>
      <c r="B70" s="106">
        <f>'14U GIRLS-9 TEAMS'!B32</f>
        <v>0.46527777777777801</v>
      </c>
      <c r="C70" s="105" t="str">
        <f>'14U GIRLS-9 TEAMS'!C32&amp;""</f>
        <v>EL TORO HS 1</v>
      </c>
      <c r="D70" s="28" t="str">
        <f>'14U GIRLS-9 TEAMS'!D32&amp;""</f>
        <v>14G14</v>
      </c>
      <c r="E70" s="28" t="str">
        <f>'14U GIRLS-9 TEAMS'!E32&amp;""</f>
        <v>E2(2ndB)-SET</v>
      </c>
      <c r="F70" s="28" t="str">
        <f>'14U GIRLS-9 TEAMS'!F32&amp;""</f>
        <v>11</v>
      </c>
      <c r="G70" s="28" t="str">
        <f>'14U GIRLS-9 TEAMS'!G32&amp;""</f>
        <v>E3(2ndC)-CV PREMIER</v>
      </c>
      <c r="H70" s="28" t="str">
        <f>'14U GIRLS-9 TEAMS'!H32&amp;""</f>
        <v>5</v>
      </c>
      <c r="I70" s="28" t="str">
        <f>'14U GIRLS-9 TEAMS'!I32&amp;""</f>
        <v>plat-gold-silver E2,E3</v>
      </c>
      <c r="J70" s="28" t="str">
        <f>'14U GIRLS-9 TEAMS'!J32&amp;""</f>
        <v>14U_GIRLS</v>
      </c>
      <c r="K70" s="28" t="str">
        <f t="shared" si="1"/>
        <v>202603081110</v>
      </c>
    </row>
    <row r="71" spans="1:11">
      <c r="A71" s="107">
        <f>'14U GIRLS-9 TEAMS'!A33</f>
        <v>46089</v>
      </c>
      <c r="B71" s="106">
        <f>'14U GIRLS-9 TEAMS'!B33</f>
        <v>0.5</v>
      </c>
      <c r="C71" s="105" t="str">
        <f>'14U GIRLS-9 TEAMS'!C33&amp;""</f>
        <v>EL TORO HS 1</v>
      </c>
      <c r="D71" s="28" t="str">
        <f>'14U GIRLS-9 TEAMS'!D33&amp;""</f>
        <v>14G15</v>
      </c>
      <c r="E71" s="28" t="str">
        <f>'14U GIRLS-9 TEAMS'!E33&amp;""</f>
        <v>F2(1stB)-PALOS VERDES BLACK</v>
      </c>
      <c r="F71" s="28" t="str">
        <f>'14U GIRLS-9 TEAMS'!F33&amp;""</f>
        <v>10</v>
      </c>
      <c r="G71" s="28" t="str">
        <f>'14U GIRLS-9 TEAMS'!G33&amp;""</f>
        <v>F3(1stC)-INNIS ARDEN</v>
      </c>
      <c r="H71" s="28" t="str">
        <f>'14U GIRLS-9 TEAMS'!H33&amp;""</f>
        <v>7</v>
      </c>
      <c r="I71" s="28" t="str">
        <f>'14U GIRLS-9 TEAMS'!I33&amp;""</f>
        <v>plat-gold-silver F2,F3</v>
      </c>
      <c r="J71" s="28" t="str">
        <f>'14U GIRLS-9 TEAMS'!J33&amp;""</f>
        <v>14U_GIRLS</v>
      </c>
      <c r="K71" s="28" t="str">
        <f t="shared" si="1"/>
        <v>202603081200</v>
      </c>
    </row>
    <row r="72" spans="1:11">
      <c r="A72" s="91">
        <f>'14U BOYS GOLD-16 TEAMS'!A39</f>
        <v>46089</v>
      </c>
      <c r="B72" s="35">
        <f>'14U BOYS GOLD-16 TEAMS'!B39</f>
        <v>0.53472222222222199</v>
      </c>
      <c r="C72" s="91" t="str">
        <f>'14U BOYS GOLD-16 TEAMS'!C39&amp;""</f>
        <v>EL TORO HS 1</v>
      </c>
      <c r="D72" s="35" t="str">
        <f>'14U BOYS GOLD-16 TEAMS'!D39&amp;""</f>
        <v>14Bau31</v>
      </c>
      <c r="E72" s="35" t="str">
        <f>'14U BOYS GOLD-16 TEAMS'!E39&amp;""</f>
        <v>W#27-PRIDE RED</v>
      </c>
      <c r="F72" s="33" t="str">
        <f>'14U BOYS GOLD-16 TEAMS'!F39&amp;""</f>
        <v>9</v>
      </c>
      <c r="G72" s="33" t="str">
        <f>'14U BOYS GOLD-16 TEAMS'!G39&amp;""</f>
        <v>W#28-NEWPORT BEACH WHITE</v>
      </c>
      <c r="H72" s="33" t="str">
        <f>'14U BOYS GOLD-16 TEAMS'!H39&amp;""</f>
        <v>11</v>
      </c>
      <c r="I72" s="33" t="str">
        <f>'14U BOYS GOLD-16 TEAMS'!I39&amp;""</f>
        <v>9th</v>
      </c>
      <c r="J72" s="33" t="str">
        <f>'14U BOYS GOLD-16 TEAMS'!J39&amp;""</f>
        <v>14U_BOYS_GOLD</v>
      </c>
      <c r="K72" s="33" t="str">
        <f t="shared" si="1"/>
        <v>202603081250</v>
      </c>
    </row>
    <row r="73" spans="1:11">
      <c r="A73" s="91">
        <f>'14U BOYS GOLD-16 TEAMS'!A41</f>
        <v>46089</v>
      </c>
      <c r="B73" s="35">
        <f>'14U BOYS GOLD-16 TEAMS'!B41</f>
        <v>0.56944444444444497</v>
      </c>
      <c r="C73" s="91" t="str">
        <f>'14U BOYS GOLD-16 TEAMS'!C41&amp;""</f>
        <v>EL TORO HS 1</v>
      </c>
      <c r="D73" s="35" t="str">
        <f>'14U BOYS GOLD-16 TEAMS'!D41&amp;""</f>
        <v>14Bau32</v>
      </c>
      <c r="E73" s="35" t="str">
        <f>'14U BOYS GOLD-16 TEAMS'!E41&amp;""</f>
        <v>L#27-TRILOGY BLACK</v>
      </c>
      <c r="F73" s="33" t="str">
        <f>'14U BOYS GOLD-16 TEAMS'!F41&amp;""</f>
        <v>3</v>
      </c>
      <c r="G73" s="33" t="str">
        <f>'14U BOYS GOLD-16 TEAMS'!G41&amp;""</f>
        <v>L#28-SOCAL 12 BLACK</v>
      </c>
      <c r="H73" s="33" t="str">
        <f>'14U BOYS GOLD-16 TEAMS'!H41&amp;""</f>
        <v>7</v>
      </c>
      <c r="I73" s="33" t="str">
        <f>'14U BOYS GOLD-16 TEAMS'!I41&amp;""</f>
        <v>11th</v>
      </c>
      <c r="J73" s="33" t="str">
        <f>'14U BOYS GOLD-16 TEAMS'!J41&amp;""</f>
        <v>14U_BOYS_GOLD</v>
      </c>
      <c r="K73" s="33" t="str">
        <f t="shared" si="1"/>
        <v>202603081340</v>
      </c>
    </row>
    <row r="74" spans="1:11">
      <c r="A74" s="107">
        <f>'14U GIRLS-9 TEAMS'!A35</f>
        <v>46089</v>
      </c>
      <c r="B74" s="106">
        <f>'14U GIRLS-9 TEAMS'!B35</f>
        <v>0.60416666666666696</v>
      </c>
      <c r="C74" s="105" t="str">
        <f>'14U GIRLS-9 TEAMS'!C35&amp;""</f>
        <v>EL TORO HS 1</v>
      </c>
      <c r="D74" s="28" t="str">
        <f>'14U GIRLS-9 TEAMS'!D35&amp;""</f>
        <v>14G16</v>
      </c>
      <c r="E74" s="28" t="str">
        <f>'14U GIRLS-9 TEAMS'!E35&amp;""</f>
        <v>D1(3rdA)-NORTH IRVINE</v>
      </c>
      <c r="F74" s="28" t="str">
        <f>'14U GIRLS-9 TEAMS'!F35&amp;""</f>
        <v>6</v>
      </c>
      <c r="G74" s="28" t="str">
        <f>'14U GIRLS-9 TEAMS'!G35&amp;""</f>
        <v>D2(3rdB)-ELITE</v>
      </c>
      <c r="H74" s="28" t="str">
        <f>'14U GIRLS-9 TEAMS'!H35&amp;""</f>
        <v>11</v>
      </c>
      <c r="I74" s="28" t="str">
        <f>'14U GIRLS-9 TEAMS'!I35&amp;""</f>
        <v>plat-gold-silver D1,D2</v>
      </c>
      <c r="J74" s="28" t="str">
        <f>'14U GIRLS-9 TEAMS'!J35&amp;""</f>
        <v>14U_GIRLS</v>
      </c>
      <c r="K74" s="28" t="str">
        <f t="shared" si="1"/>
        <v>202603081430</v>
      </c>
    </row>
    <row r="75" spans="1:11">
      <c r="A75" s="107">
        <f>'14U GIRLS-9 TEAMS'!A36</f>
        <v>46089</v>
      </c>
      <c r="B75" s="106">
        <f>'14U GIRLS-9 TEAMS'!B36</f>
        <v>0.63888888888888895</v>
      </c>
      <c r="C75" s="105" t="str">
        <f>'14U GIRLS-9 TEAMS'!C36&amp;""</f>
        <v>EL TORO HS 1</v>
      </c>
      <c r="D75" s="28" t="str">
        <f>'14U GIRLS-9 TEAMS'!D36&amp;""</f>
        <v>14G17</v>
      </c>
      <c r="E75" s="28" t="str">
        <f>'14U GIRLS-9 TEAMS'!E36&amp;""</f>
        <v>E1(2ndA)-VIKING</v>
      </c>
      <c r="F75" s="28" t="str">
        <f>'14U GIRLS-9 TEAMS'!F36&amp;""</f>
        <v>11</v>
      </c>
      <c r="G75" s="28" t="str">
        <f>'14U GIRLS-9 TEAMS'!G36&amp;""</f>
        <v>E2(2ndB)-SET</v>
      </c>
      <c r="H75" s="28" t="str">
        <f>'14U GIRLS-9 TEAMS'!H36&amp;""</f>
        <v>6</v>
      </c>
      <c r="I75" s="28" t="str">
        <f>'14U GIRLS-9 TEAMS'!I36&amp;""</f>
        <v>plat-gold-silver E1,E2</v>
      </c>
      <c r="J75" s="28" t="str">
        <f>'14U GIRLS-9 TEAMS'!J36&amp;""</f>
        <v>14U_GIRLS</v>
      </c>
      <c r="K75" s="28" t="str">
        <f t="shared" si="1"/>
        <v>202603081520</v>
      </c>
    </row>
    <row r="76" spans="1:11">
      <c r="A76" s="107">
        <f>'14U GIRLS-9 TEAMS'!A37</f>
        <v>46089</v>
      </c>
      <c r="B76" s="106">
        <f>'14U GIRLS-9 TEAMS'!B37</f>
        <v>0.67361111111111105</v>
      </c>
      <c r="C76" s="105" t="str">
        <f>'14U GIRLS-9 TEAMS'!C37&amp;""</f>
        <v>EL TORO HS 1</v>
      </c>
      <c r="D76" s="28" t="str">
        <f>'14U GIRLS-9 TEAMS'!D37&amp;""</f>
        <v>14G18</v>
      </c>
      <c r="E76" s="28" t="str">
        <f>'14U GIRLS-9 TEAMS'!E37&amp;""</f>
        <v>F1(1stA)-ROGUE 619</v>
      </c>
      <c r="F76" s="28" t="str">
        <f>'14U GIRLS-9 TEAMS'!F37&amp;""</f>
        <v>10</v>
      </c>
      <c r="G76" s="28" t="str">
        <f>'14U GIRLS-9 TEAMS'!G37&amp;""</f>
        <v>F2(1stB)-PALOS VERDES BLACK</v>
      </c>
      <c r="H76" s="28" t="str">
        <f>'14U GIRLS-9 TEAMS'!H37&amp;""</f>
        <v>9</v>
      </c>
      <c r="I76" s="28" t="str">
        <f>'14U GIRLS-9 TEAMS'!I37&amp;""</f>
        <v>plat-gold-silver F1,F2</v>
      </c>
      <c r="J76" s="28" t="str">
        <f>'14U GIRLS-9 TEAMS'!J37&amp;""</f>
        <v>14U_GIRLS</v>
      </c>
      <c r="K76" s="28" t="str">
        <f t="shared" si="1"/>
        <v>202603081610</v>
      </c>
    </row>
    <row r="77" spans="1:11">
      <c r="A77" s="67">
        <f>'10U GIRLS COED AU AG-12 TEAMS'!A10</f>
        <v>46088</v>
      </c>
      <c r="B77" s="66">
        <f>'10U GIRLS COED AU AG-12 TEAMS'!B10</f>
        <v>0.33333333333333331</v>
      </c>
      <c r="C77" s="20" t="str">
        <f>'10U GIRLS COED AU AG-12 TEAMS'!C10&amp;""</f>
        <v>EL TORO HS 2</v>
      </c>
      <c r="D77" s="20" t="str">
        <f>'10U GIRLS COED AU AG-12 TEAMS'!D10&amp;""</f>
        <v>10GCauag01</v>
      </c>
      <c r="E77" s="20" t="str">
        <f>'10U GIRLS COED AU AG-12 TEAMS'!E10&amp;""</f>
        <v>B1-SAN CLEMENTE GIRLS RED ag</v>
      </c>
      <c r="F77" s="20" t="str">
        <f>'10U GIRLS COED AU AG-12 TEAMS'!F10&amp;""</f>
        <v>6</v>
      </c>
      <c r="G77" s="20" t="str">
        <f>'10U GIRLS COED AU AG-12 TEAMS'!G10&amp;""</f>
        <v>B4-TROJAN NORTH ag</v>
      </c>
      <c r="H77" s="20" t="str">
        <f>'10U GIRLS COED AU AG-12 TEAMS'!H10&amp;""</f>
        <v>14</v>
      </c>
      <c r="I77" s="20" t="str">
        <f>'10U GIRLS COED AU AG-12 TEAMS'!I10&amp;""</f>
        <v>B bracket, B1/B4  coed silver 1st-4th</v>
      </c>
      <c r="J77" s="20" t="str">
        <f>'10U GIRLS COED AU AG-12 TEAMS'!J10&amp;""</f>
        <v>10U_GIRLS_COED_GOLD_SILVER</v>
      </c>
      <c r="K77" s="20" t="str">
        <f t="shared" si="1"/>
        <v>202603070800</v>
      </c>
    </row>
    <row r="78" spans="1:11">
      <c r="A78" s="67">
        <f>'10U GIRLS COED AU AG-12 TEAMS'!A11</f>
        <v>46088</v>
      </c>
      <c r="B78" s="66">
        <f>'10U GIRLS COED AU AG-12 TEAMS'!B11</f>
        <v>0.36805555555555558</v>
      </c>
      <c r="C78" s="20" t="str">
        <f>'10U GIRLS COED AU AG-12 TEAMS'!C11&amp;""</f>
        <v>EL TORO HS 2</v>
      </c>
      <c r="D78" s="20" t="str">
        <f>'10U GIRLS COED AU AG-12 TEAMS'!D11&amp;""</f>
        <v>10GCauag02</v>
      </c>
      <c r="E78" s="20" t="str">
        <f>'10U GIRLS COED AU AG-12 TEAMS'!E11&amp;""</f>
        <v>B2-CDM BOYS WHITE ag</v>
      </c>
      <c r="F78" s="20" t="str">
        <f>'10U GIRLS COED AU AG-12 TEAMS'!F11&amp;""</f>
        <v>8</v>
      </c>
      <c r="G78" s="20" t="str">
        <f>'10U GIRLS COED AU AG-12 TEAMS'!G11&amp;""</f>
        <v>B3-LAGUNA BEACH ag</v>
      </c>
      <c r="H78" s="20" t="str">
        <f>'10U GIRLS COED AU AG-12 TEAMS'!H11&amp;""</f>
        <v>10</v>
      </c>
      <c r="I78" s="20" t="str">
        <f>'10U GIRLS COED AU AG-12 TEAMS'!I11&amp;""</f>
        <v>B bracket, B2/B3 coed silver 1st-4th</v>
      </c>
      <c r="J78" s="20" t="str">
        <f>'10U GIRLS COED AU AG-12 TEAMS'!J11&amp;""</f>
        <v>10U_GIRLS_COED_GOLD_SILVER</v>
      </c>
      <c r="K78" s="20" t="str">
        <f t="shared" si="1"/>
        <v>202603070850</v>
      </c>
    </row>
    <row r="79" spans="1:11">
      <c r="A79" s="67">
        <f>'10U GIRLS COED AU AG-12 TEAMS'!A12</f>
        <v>46088</v>
      </c>
      <c r="B79" s="66">
        <f>'10U GIRLS COED AU AG-12 TEAMS'!B12</f>
        <v>0.40277777777777779</v>
      </c>
      <c r="C79" s="20" t="str">
        <f>'10U GIRLS COED AU AG-12 TEAMS'!C12&amp;""</f>
        <v>EL TORO HS 2</v>
      </c>
      <c r="D79" s="20" t="str">
        <f>'10U GIRLS COED AU AG-12 TEAMS'!D12&amp;""</f>
        <v>10GCauag03</v>
      </c>
      <c r="E79" s="20" t="str">
        <f>'10U GIRLS COED AU AG-12 TEAMS'!E12&amp;""</f>
        <v>A1-TROJAN SOUTH au</v>
      </c>
      <c r="F79" s="20" t="str">
        <f>'10U GIRLS COED AU AG-12 TEAMS'!F12&amp;""</f>
        <v>3</v>
      </c>
      <c r="G79" s="20" t="str">
        <f>'10U GIRLS COED AU AG-12 TEAMS'!G12&amp;""</f>
        <v>A4-ORANGE COUNTY WPC B au</v>
      </c>
      <c r="H79" s="20" t="str">
        <f>'10U GIRLS COED AU AG-12 TEAMS'!H12&amp;""</f>
        <v>14</v>
      </c>
      <c r="I79" s="20" t="str">
        <f>'10U GIRLS COED AU AG-12 TEAMS'!I12&amp;""</f>
        <v>A bracket, A1/A4 coed gold 1st-4th</v>
      </c>
      <c r="J79" s="20" t="str">
        <f>'10U GIRLS COED AU AG-12 TEAMS'!J12&amp;""</f>
        <v>10U_GIRLS_COED_GOLD_SILVER</v>
      </c>
      <c r="K79" s="20" t="str">
        <f t="shared" si="1"/>
        <v>202603070940</v>
      </c>
    </row>
    <row r="80" spans="1:11">
      <c r="A80" s="67">
        <f>'10U GIRLS COED AU AG-12 TEAMS'!A14</f>
        <v>46088</v>
      </c>
      <c r="B80" s="66">
        <f>'10U GIRLS COED AU AG-12 TEAMS'!B14</f>
        <v>0.4375</v>
      </c>
      <c r="C80" s="20" t="str">
        <f>'10U GIRLS COED AU AG-12 TEAMS'!C14&amp;""</f>
        <v>EL TORO HS 2</v>
      </c>
      <c r="D80" s="20" t="str">
        <f>'10U GIRLS COED AU AG-12 TEAMS'!D14&amp;""</f>
        <v>10GCauag04</v>
      </c>
      <c r="E80" s="20" t="str">
        <f>'10U GIRLS COED AU AG-12 TEAMS'!E14&amp;""</f>
        <v>A2-VANGUARD BLUE au</v>
      </c>
      <c r="F80" s="20" t="str">
        <f>'10U GIRLS COED AU AG-12 TEAMS'!F14&amp;""</f>
        <v>17</v>
      </c>
      <c r="G80" s="20" t="str">
        <f>'10U GIRLS COED AU AG-12 TEAMS'!G14&amp;""</f>
        <v>A3-SAN CLEMENTE BLACK au</v>
      </c>
      <c r="H80" s="20" t="str">
        <f>'10U GIRLS COED AU AG-12 TEAMS'!H14&amp;""</f>
        <v>3</v>
      </c>
      <c r="I80" s="20" t="str">
        <f>'10U GIRLS COED AU AG-12 TEAMS'!I14&amp;""</f>
        <v>A bracket, A2/A3 coed gold 1st-4th</v>
      </c>
      <c r="J80" s="20" t="str">
        <f>'10U GIRLS COED AU AG-12 TEAMS'!J14&amp;""</f>
        <v>10U_GIRLS_COED_GOLD_SILVER</v>
      </c>
      <c r="K80" s="20" t="str">
        <f t="shared" si="1"/>
        <v>202603071030</v>
      </c>
    </row>
    <row r="81" spans="1:11">
      <c r="A81" s="67">
        <f>'10U GIRLS COED AU AG-12 TEAMS'!A16</f>
        <v>46088</v>
      </c>
      <c r="B81" s="66">
        <f>'10U GIRLS COED AU AG-12 TEAMS'!B16</f>
        <v>0.47222222222222199</v>
      </c>
      <c r="C81" s="20" t="str">
        <f>'10U GIRLS COED AU AG-12 TEAMS'!C16&amp;""</f>
        <v>EL TORO HS 2</v>
      </c>
      <c r="D81" s="20" t="str">
        <f>'10U GIRLS COED AU AG-12 TEAMS'!D16&amp;""</f>
        <v>10GCauag07</v>
      </c>
      <c r="E81" s="20" t="str">
        <f>'10U GIRLS COED AU AG-12 TEAMS'!E16&amp;""</f>
        <v>B2-CDM BOYS WHITE ag</v>
      </c>
      <c r="F81" s="20" t="str">
        <f>'10U GIRLS COED AU AG-12 TEAMS'!F16&amp;""</f>
        <v>4</v>
      </c>
      <c r="G81" s="20" t="str">
        <f>'10U GIRLS COED AU AG-12 TEAMS'!G16&amp;""</f>
        <v>B4-TROJAN NORTH ag</v>
      </c>
      <c r="H81" s="20" t="str">
        <f>'10U GIRLS COED AU AG-12 TEAMS'!H16&amp;""</f>
        <v>14</v>
      </c>
      <c r="I81" s="20" t="str">
        <f>'10U GIRLS COED AU AG-12 TEAMS'!I16&amp;""</f>
        <v>B bracket, B2/B4 coed silver 1st-4th</v>
      </c>
      <c r="J81" s="20" t="str">
        <f>'10U GIRLS COED AU AG-12 TEAMS'!J16&amp;""</f>
        <v>10U_GIRLS_COED_GOLD_SILVER</v>
      </c>
      <c r="K81" s="20" t="str">
        <f t="shared" si="1"/>
        <v>202603071120</v>
      </c>
    </row>
    <row r="82" spans="1:11">
      <c r="A82" s="67">
        <f>'10U GIRLS COED AU AG-12 TEAMS'!A17</f>
        <v>46088</v>
      </c>
      <c r="B82" s="66">
        <f>'10U GIRLS COED AU AG-12 TEAMS'!B17</f>
        <v>0.50694444444444398</v>
      </c>
      <c r="C82" s="20" t="str">
        <f>'10U GIRLS COED AU AG-12 TEAMS'!C17&amp;""</f>
        <v>EL TORO HS 2</v>
      </c>
      <c r="D82" s="20" t="str">
        <f>'10U GIRLS COED AU AG-12 TEAMS'!D17&amp;""</f>
        <v>10GCauag08</v>
      </c>
      <c r="E82" s="20" t="str">
        <f>'10U GIRLS COED AU AG-12 TEAMS'!E17&amp;""</f>
        <v>B1-SAN CLEMENTE GIRLS RED ag</v>
      </c>
      <c r="F82" s="20" t="str">
        <f>'10U GIRLS COED AU AG-12 TEAMS'!F17&amp;""</f>
        <v>9</v>
      </c>
      <c r="G82" s="20" t="str">
        <f>'10U GIRLS COED AU AG-12 TEAMS'!G17&amp;""</f>
        <v>B3-LAGUNA BEACH ag</v>
      </c>
      <c r="H82" s="20" t="str">
        <f>'10U GIRLS COED AU AG-12 TEAMS'!H17&amp;""</f>
        <v>10</v>
      </c>
      <c r="I82" s="20" t="str">
        <f>'10U GIRLS COED AU AG-12 TEAMS'!I17&amp;""</f>
        <v>B bracket, B1/B3 coed silver 1st-4th</v>
      </c>
      <c r="J82" s="20" t="str">
        <f>'10U GIRLS COED AU AG-12 TEAMS'!J17&amp;""</f>
        <v>10U_GIRLS_COED_GOLD_SILVER</v>
      </c>
      <c r="K82" s="20" t="str">
        <f t="shared" si="1"/>
        <v>202603071210</v>
      </c>
    </row>
    <row r="83" spans="1:11">
      <c r="A83" s="67">
        <f>'10U GIRLS COED AU AG-12 TEAMS'!A18</f>
        <v>46088</v>
      </c>
      <c r="B83" s="66">
        <f>'10U GIRLS COED AU AG-12 TEAMS'!B18</f>
        <v>0.54166666666666696</v>
      </c>
      <c r="C83" s="20" t="str">
        <f>'10U GIRLS COED AU AG-12 TEAMS'!C18&amp;""</f>
        <v>EL TORO HS 2</v>
      </c>
      <c r="D83" s="20" t="str">
        <f>'10U GIRLS COED AU AG-12 TEAMS'!D18&amp;""</f>
        <v>10GCauag09</v>
      </c>
      <c r="E83" s="20" t="str">
        <f>'10U GIRLS COED AU AG-12 TEAMS'!E18&amp;""</f>
        <v>A1-TROJAN SOUTH au</v>
      </c>
      <c r="F83" s="20" t="str">
        <f>'10U GIRLS COED AU AG-12 TEAMS'!F18&amp;""</f>
        <v>15</v>
      </c>
      <c r="G83" s="20" t="str">
        <f>'10U GIRLS COED AU AG-12 TEAMS'!G18&amp;""</f>
        <v>A3-SAN CLEMENTE BLACK au</v>
      </c>
      <c r="H83" s="20" t="str">
        <f>'10U GIRLS COED AU AG-12 TEAMS'!H18&amp;""</f>
        <v>6</v>
      </c>
      <c r="I83" s="20" t="str">
        <f>'10U GIRLS COED AU AG-12 TEAMS'!I18&amp;""</f>
        <v>A bracket, A1/A3 coed gold 1st-4th</v>
      </c>
      <c r="J83" s="20" t="str">
        <f>'10U GIRLS COED AU AG-12 TEAMS'!J18&amp;""</f>
        <v>10U_GIRLS_COED_GOLD_SILVER</v>
      </c>
      <c r="K83" s="20" t="str">
        <f t="shared" si="1"/>
        <v>202603071300</v>
      </c>
    </row>
    <row r="84" spans="1:11">
      <c r="A84" s="67">
        <f>'10U GIRLS COED AU AG-12 TEAMS'!A20</f>
        <v>46088</v>
      </c>
      <c r="B84" s="66">
        <f>'10U GIRLS COED AU AG-12 TEAMS'!B20</f>
        <v>0.57638888888888895</v>
      </c>
      <c r="C84" s="20" t="str">
        <f>'10U GIRLS COED AU AG-12 TEAMS'!C20&amp;""</f>
        <v>EL TORO HS 2</v>
      </c>
      <c r="D84" s="20" t="str">
        <f>'10U GIRLS COED AU AG-12 TEAMS'!D20&amp;""</f>
        <v>10GCauag10</v>
      </c>
      <c r="E84" s="20" t="str">
        <f>'10U GIRLS COED AU AG-12 TEAMS'!E20&amp;""</f>
        <v>A2-VANGUARD BLUE au</v>
      </c>
      <c r="F84" s="20" t="str">
        <f>'10U GIRLS COED AU AG-12 TEAMS'!F20&amp;""</f>
        <v>5</v>
      </c>
      <c r="G84" s="20" t="str">
        <f>'10U GIRLS COED AU AG-12 TEAMS'!G20&amp;""</f>
        <v>A4-ORANGE COUNTY WPC B au</v>
      </c>
      <c r="H84" s="20" t="str">
        <f>'10U GIRLS COED AU AG-12 TEAMS'!H20&amp;""</f>
        <v>11</v>
      </c>
      <c r="I84" s="20" t="str">
        <f>'10U GIRLS COED AU AG-12 TEAMS'!I20&amp;""</f>
        <v>A bracket, A2/A4 coed gold 1st-4th</v>
      </c>
      <c r="J84" s="20" t="str">
        <f>'10U GIRLS COED AU AG-12 TEAMS'!J20&amp;""</f>
        <v>10U_GIRLS_COED_GOLD_SILVER</v>
      </c>
      <c r="K84" s="20" t="str">
        <f t="shared" si="1"/>
        <v>202603071350</v>
      </c>
    </row>
    <row r="85" spans="1:11">
      <c r="A85" s="153">
        <f>'10U BOYS &amp; COED PT-7 CUSTOM'!A17</f>
        <v>46088</v>
      </c>
      <c r="B85" s="54">
        <f>'10U BOYS &amp; COED PT-7 CUSTOM'!B17</f>
        <v>0.61111111111111105</v>
      </c>
      <c r="C85" s="21" t="str">
        <f>'10U BOYS &amp; COED PT-7 CUSTOM'!C17&amp;""</f>
        <v>EL TORO HS 2</v>
      </c>
      <c r="D85" s="21" t="str">
        <f>'10U BOYS &amp; COED PT-7 CUSTOM'!D17&amp;""</f>
        <v>10BCpt06</v>
      </c>
      <c r="E85" s="21" t="str">
        <f>'10U BOYS &amp; COED PT-7 CUSTOM'!E17&amp;""</f>
        <v>B1-ORWP A</v>
      </c>
      <c r="F85" s="21" t="str">
        <f>'10U BOYS &amp; COED PT-7 CUSTOM'!F17&amp;""</f>
        <v>9</v>
      </c>
      <c r="G85" s="21" t="str">
        <f>'10U BOYS &amp; COED PT-7 CUSTOM'!G17&amp;""</f>
        <v>B3-SAN CLEMENTE RED</v>
      </c>
      <c r="H85" s="21" t="str">
        <f>'10U BOYS &amp; COED PT-7 CUSTOM'!H17&amp;""</f>
        <v>8</v>
      </c>
      <c r="I85" s="21" t="str">
        <f>'10U BOYS &amp; COED PT-7 CUSTOM'!I17&amp;""</f>
        <v>B bracket B1,B3 Boys 1st-4th</v>
      </c>
      <c r="J85" s="21" t="str">
        <f>'10U BOYS &amp; COED PT-7 CUSTOM'!J17&amp;""</f>
        <v>10U_BOYS_&amp;_COED_PLATINUM</v>
      </c>
      <c r="K85" s="21" t="str">
        <f t="shared" si="1"/>
        <v>202603071440</v>
      </c>
    </row>
    <row r="86" spans="1:11">
      <c r="A86" s="153">
        <f>'10U BOYS &amp; COED PT-7 CUSTOM'!A18</f>
        <v>46088</v>
      </c>
      <c r="B86" s="54">
        <f>'10U BOYS &amp; COED PT-7 CUSTOM'!B18</f>
        <v>0.64583333333333304</v>
      </c>
      <c r="C86" s="21" t="str">
        <f>'10U BOYS &amp; COED PT-7 CUSTOM'!C18&amp;""</f>
        <v>EL TORO HS 2</v>
      </c>
      <c r="D86" s="21" t="str">
        <f>'10U BOYS &amp; COED PT-7 CUSTOM'!D18&amp;""</f>
        <v>10BCpt07</v>
      </c>
      <c r="E86" s="21" t="str">
        <f>'10U BOYS &amp; COED PT-7 CUSTOM'!E18&amp;""</f>
        <v>B2-CDM BLUE</v>
      </c>
      <c r="F86" s="21" t="str">
        <f>'10U BOYS &amp; COED PT-7 CUSTOM'!F18&amp;""</f>
        <v>13</v>
      </c>
      <c r="G86" s="21" t="str">
        <f>'10U BOYS &amp; COED PT-7 CUSTOM'!G18&amp;""</f>
        <v>B4-NEWPORT BEACH WHITE</v>
      </c>
      <c r="H86" s="21" t="str">
        <f>'10U BOYS &amp; COED PT-7 CUSTOM'!H18&amp;""</f>
        <v>10</v>
      </c>
      <c r="I86" s="21" t="str">
        <f>'10U BOYS &amp; COED PT-7 CUSTOM'!I18&amp;""</f>
        <v>B bracket B2,B4 Boys 1st-4th</v>
      </c>
      <c r="J86" s="21" t="str">
        <f>'10U BOYS &amp; COED PT-7 CUSTOM'!J18&amp;""</f>
        <v>10U_BOYS_&amp;_COED_PLATINUM</v>
      </c>
      <c r="K86" s="21" t="str">
        <f t="shared" si="1"/>
        <v>202603071530</v>
      </c>
    </row>
    <row r="87" spans="1:11">
      <c r="A87" s="67">
        <f>'10U GIRLS COED AU AG-12 TEAMS'!A25</f>
        <v>46089</v>
      </c>
      <c r="B87" s="152">
        <f>'10U GIRLS COED AU AG-12 TEAMS'!B25</f>
        <v>0.33333333333333331</v>
      </c>
      <c r="C87" s="66" t="str">
        <f>'10U GIRLS COED AU AG-12 TEAMS'!C25&amp;""</f>
        <v>EL TORO HS 2</v>
      </c>
      <c r="D87" s="20" t="str">
        <f>'10U GIRLS COED AU AG-12 TEAMS'!D25&amp;""</f>
        <v>10GCauag13</v>
      </c>
      <c r="E87" s="20" t="str">
        <f>'10U GIRLS COED AU AG-12 TEAMS'!E25&amp;""</f>
        <v>A1-TROJAN SOUTH au</v>
      </c>
      <c r="F87" s="20" t="str">
        <f>'10U GIRLS COED AU AG-12 TEAMS'!F25&amp;""</f>
        <v>9</v>
      </c>
      <c r="G87" s="20" t="str">
        <f>'10U GIRLS COED AU AG-12 TEAMS'!G25&amp;""</f>
        <v>A2-VANGUARD BLUE au</v>
      </c>
      <c r="H87" s="20" t="str">
        <f>'10U GIRLS COED AU AG-12 TEAMS'!H25&amp;""</f>
        <v>15</v>
      </c>
      <c r="I87" s="20" t="str">
        <f>'10U GIRLS COED AU AG-12 TEAMS'!I25&amp;""</f>
        <v>bracket, A1/A2 coed gold 1st-4th</v>
      </c>
      <c r="J87" s="20" t="str">
        <f>'10U GIRLS COED AU AG-12 TEAMS'!J25&amp;""</f>
        <v>10U_GIRLS_COED_GOLD_SILVER</v>
      </c>
      <c r="K87" s="20" t="str">
        <f t="shared" si="1"/>
        <v>202603080800</v>
      </c>
    </row>
    <row r="88" spans="1:11">
      <c r="A88" s="67">
        <f>'10U GIRLS COED AU AG-12 TEAMS'!A26</f>
        <v>46089</v>
      </c>
      <c r="B88" s="152">
        <f>'10U GIRLS COED AU AG-12 TEAMS'!B26</f>
        <v>0.36805555555555558</v>
      </c>
      <c r="C88" s="66" t="str">
        <f>'10U GIRLS COED AU AG-12 TEAMS'!C26&amp;""</f>
        <v>EL TORO HS 2</v>
      </c>
      <c r="D88" s="20" t="str">
        <f>'10U GIRLS COED AU AG-12 TEAMS'!D26&amp;""</f>
        <v>10GCauag14</v>
      </c>
      <c r="E88" s="20" t="str">
        <f>'10U GIRLS COED AU AG-12 TEAMS'!E26&amp;""</f>
        <v>A3-SAN CLEMENTE BLACK au</v>
      </c>
      <c r="F88" s="20" t="str">
        <f>'10U GIRLS COED AU AG-12 TEAMS'!F26&amp;""</f>
        <v>3</v>
      </c>
      <c r="G88" s="20" t="str">
        <f>'10U GIRLS COED AU AG-12 TEAMS'!G26&amp;""</f>
        <v>A4-ORANGE COUNTY WPC B au</v>
      </c>
      <c r="H88" s="20" t="str">
        <f>'10U GIRLS COED AU AG-12 TEAMS'!H26&amp;""</f>
        <v>17</v>
      </c>
      <c r="I88" s="20" t="str">
        <f>'10U GIRLS COED AU AG-12 TEAMS'!I26&amp;""</f>
        <v>bracket, A3/A4 coed gold 1st-4th</v>
      </c>
      <c r="J88" s="20" t="str">
        <f>'10U GIRLS COED AU AG-12 TEAMS'!J26&amp;""</f>
        <v>10U_GIRLS_COED_GOLD_SILVER</v>
      </c>
      <c r="K88" s="20" t="str">
        <f t="shared" si="1"/>
        <v>202603080850</v>
      </c>
    </row>
    <row r="89" spans="1:11">
      <c r="A89" s="67">
        <f>'10U GIRLS COED AU AG-12 TEAMS'!A28</f>
        <v>46089</v>
      </c>
      <c r="B89" s="152">
        <f>'10U GIRLS COED AU AG-12 TEAMS'!B28</f>
        <v>0.40277777777777801</v>
      </c>
      <c r="C89" s="66" t="str">
        <f>'10U GIRLS COED AU AG-12 TEAMS'!C28&amp;""</f>
        <v>EL TORO HS 2</v>
      </c>
      <c r="D89" s="20" t="str">
        <f>'10U GIRLS COED AU AG-12 TEAMS'!D28&amp;""</f>
        <v>10GCauag16</v>
      </c>
      <c r="E89" s="20" t="str">
        <f>'10U GIRLS COED AU AG-12 TEAMS'!E28&amp;""</f>
        <v>B3-LAGUNA BEACH ag</v>
      </c>
      <c r="F89" s="20" t="str">
        <f>'10U GIRLS COED AU AG-12 TEAMS'!F28&amp;""</f>
        <v>4</v>
      </c>
      <c r="G89" s="20" t="str">
        <f>'10U GIRLS COED AU AG-12 TEAMS'!G28&amp;""</f>
        <v>B4-TROJAN NORTH ag</v>
      </c>
      <c r="H89" s="20" t="str">
        <f>'10U GIRLS COED AU AG-12 TEAMS'!H28&amp;""</f>
        <v>15</v>
      </c>
      <c r="I89" s="20" t="str">
        <f>'10U GIRLS COED AU AG-12 TEAMS'!I28&amp;""</f>
        <v>bracket, B3/B4 coed silver 1st-4th</v>
      </c>
      <c r="J89" s="20" t="str">
        <f>'10U GIRLS COED AU AG-12 TEAMS'!J28&amp;""</f>
        <v>10U_GIRLS_COED_GOLD_SILVER</v>
      </c>
      <c r="K89" s="20" t="str">
        <f t="shared" si="1"/>
        <v>202603080940</v>
      </c>
    </row>
    <row r="90" spans="1:11">
      <c r="A90" s="67">
        <f>'10U GIRLS COED AU AG-12 TEAMS'!A29</f>
        <v>46089</v>
      </c>
      <c r="B90" s="152">
        <f>'10U GIRLS COED AU AG-12 TEAMS'!B29</f>
        <v>0.4375</v>
      </c>
      <c r="C90" s="66" t="str">
        <f>'10U GIRLS COED AU AG-12 TEAMS'!C29&amp;""</f>
        <v>EL TORO HS 2</v>
      </c>
      <c r="D90" s="20" t="str">
        <f>'10U GIRLS COED AU AG-12 TEAMS'!D29&amp;""</f>
        <v>10GCauag17</v>
      </c>
      <c r="E90" s="20" t="str">
        <f>'10U GIRLS COED AU AG-12 TEAMS'!E29&amp;""</f>
        <v>1stA-ORANGE COUNTY WPC B au</v>
      </c>
      <c r="F90" s="20" t="str">
        <f>'10U GIRLS COED AU AG-12 TEAMS'!F29&amp;""</f>
        <v>7</v>
      </c>
      <c r="G90" s="20" t="str">
        <f>'10U GIRLS COED AU AG-12 TEAMS'!G29&amp;""</f>
        <v>C1-DEL MAR GIRLS BLUE</v>
      </c>
      <c r="H90" s="20" t="str">
        <f>'10U GIRLS COED AU AG-12 TEAMS'!H29&amp;""</f>
        <v>9</v>
      </c>
      <c r="I90" s="20" t="str">
        <f>'10U GIRLS COED AU AG-12 TEAMS'!I29&amp;""</f>
        <v>cross</v>
      </c>
      <c r="J90" s="20" t="str">
        <f>'10U GIRLS COED AU AG-12 TEAMS'!J29&amp;""</f>
        <v>10U_GIRLS_COED_GOLD_SILVER</v>
      </c>
      <c r="K90" s="20" t="str">
        <f t="shared" si="1"/>
        <v>202603081030</v>
      </c>
    </row>
    <row r="91" spans="1:11">
      <c r="A91" s="67">
        <f>'10U GIRLS COED AU AG-12 TEAMS'!A30</f>
        <v>46089</v>
      </c>
      <c r="B91" s="152">
        <f>'10U GIRLS COED AU AG-12 TEAMS'!B30</f>
        <v>0.47222222222222199</v>
      </c>
      <c r="C91" s="66" t="str">
        <f>'10U GIRLS COED AU AG-12 TEAMS'!C30&amp;""</f>
        <v>EL TORO HS 2</v>
      </c>
      <c r="D91" s="20" t="str">
        <f>'10U GIRLS COED AU AG-12 TEAMS'!D30&amp;""</f>
        <v>10GCauag18</v>
      </c>
      <c r="E91" s="20" t="str">
        <f>'10U GIRLS COED AU AG-12 TEAMS'!E30&amp;""</f>
        <v>3rdA-TROJAN SOUTH au</v>
      </c>
      <c r="F91" s="20" t="str">
        <f>'10U GIRLS COED AU AG-12 TEAMS'!F30&amp;""</f>
        <v>13</v>
      </c>
      <c r="G91" s="20" t="str">
        <f>'10U GIRLS COED AU AG-12 TEAMS'!G30&amp;""</f>
        <v>C3-DEL MAR GIRLS WHITE</v>
      </c>
      <c r="H91" s="20" t="str">
        <f>'10U GIRLS COED AU AG-12 TEAMS'!H30&amp;""</f>
        <v>7</v>
      </c>
      <c r="I91" s="20" t="str">
        <f>'10U GIRLS COED AU AG-12 TEAMS'!I30&amp;""</f>
        <v>cross</v>
      </c>
      <c r="J91" s="20" t="str">
        <f>'10U GIRLS COED AU AG-12 TEAMS'!J30&amp;""</f>
        <v>10U_GIRLS_COED_GOLD_SILVER</v>
      </c>
      <c r="K91" s="20" t="str">
        <f t="shared" si="1"/>
        <v>202603081120</v>
      </c>
    </row>
    <row r="92" spans="1:11">
      <c r="A92" s="67">
        <f>'10U GIRLS COED AU AG-12 TEAMS'!A31</f>
        <v>46089</v>
      </c>
      <c r="B92" s="152">
        <f>'10U GIRLS COED AU AG-12 TEAMS'!B31</f>
        <v>0.50694444444444398</v>
      </c>
      <c r="C92" s="66" t="str">
        <f>'10U GIRLS COED AU AG-12 TEAMS'!C31&amp;""</f>
        <v>EL TORO HS 2</v>
      </c>
      <c r="D92" s="20" t="str">
        <f>'10U GIRLS COED AU AG-12 TEAMS'!D31&amp;""</f>
        <v>10GCauag19</v>
      </c>
      <c r="E92" s="20" t="str">
        <f>'10U GIRLS COED AU AG-12 TEAMS'!E31&amp;""</f>
        <v>2ndA-VANGUARD BLUE au</v>
      </c>
      <c r="F92" s="20" t="str">
        <f>'10U GIRLS COED AU AG-12 TEAMS'!F31&amp;""</f>
        <v>7</v>
      </c>
      <c r="G92" s="20" t="str">
        <f>'10U GIRLS COED AU AG-12 TEAMS'!G31&amp;""</f>
        <v>C2-NEWPORT BEACH GIRLS BLUE</v>
      </c>
      <c r="H92" s="20" t="str">
        <f>'10U GIRLS COED AU AG-12 TEAMS'!H31&amp;""</f>
        <v>21</v>
      </c>
      <c r="I92" s="20" t="str">
        <f>'10U GIRLS COED AU AG-12 TEAMS'!I31&amp;""</f>
        <v>cross</v>
      </c>
      <c r="J92" s="20" t="str">
        <f>'10U GIRLS COED AU AG-12 TEAMS'!J31&amp;""</f>
        <v>10U_GIRLS_COED_GOLD_SILVER</v>
      </c>
      <c r="K92" s="20" t="str">
        <f t="shared" si="1"/>
        <v>202603081210</v>
      </c>
    </row>
    <row r="93" spans="1:11">
      <c r="A93" s="67">
        <f>'10U GIRLS COED AU AG-12 TEAMS'!A32</f>
        <v>46089</v>
      </c>
      <c r="B93" s="152">
        <f>'10U GIRLS COED AU AG-12 TEAMS'!B32</f>
        <v>0.54166666666666696</v>
      </c>
      <c r="C93" s="66" t="str">
        <f>'10U GIRLS COED AU AG-12 TEAMS'!C32&amp;""</f>
        <v>EL TORO HS 2</v>
      </c>
      <c r="D93" s="20" t="str">
        <f>'10U GIRLS COED AU AG-12 TEAMS'!D32&amp;""</f>
        <v>10GCauag20</v>
      </c>
      <c r="E93" s="20" t="str">
        <f>'10U GIRLS COED AU AG-12 TEAMS'!E32&amp;""</f>
        <v>4thA-SAN CLEMENTE BLACK au</v>
      </c>
      <c r="F93" s="20" t="str">
        <f>'10U GIRLS COED AU AG-12 TEAMS'!F32&amp;""</f>
        <v>14</v>
      </c>
      <c r="G93" s="20" t="str">
        <f>'10U GIRLS COED AU AG-12 TEAMS'!G32&amp;""</f>
        <v>C4-NEWPORT BEACH GIRLS WHITE</v>
      </c>
      <c r="H93" s="20" t="str">
        <f>'10U GIRLS COED AU AG-12 TEAMS'!H32&amp;""</f>
        <v>8</v>
      </c>
      <c r="I93" s="20" t="str">
        <f>'10U GIRLS COED AU AG-12 TEAMS'!I32&amp;""</f>
        <v>cross</v>
      </c>
      <c r="J93" s="20" t="str">
        <f>'10U GIRLS COED AU AG-12 TEAMS'!J32&amp;""</f>
        <v>10U_GIRLS_COED_GOLD_SILVER</v>
      </c>
      <c r="K93" s="20" t="str">
        <f t="shared" si="1"/>
        <v>202603081300</v>
      </c>
    </row>
    <row r="94" spans="1:11">
      <c r="A94" s="67">
        <f>'10U GIRLS COED AU AG-12 TEAMS'!A33</f>
        <v>46089</v>
      </c>
      <c r="B94" s="152">
        <f>'10U GIRLS COED AU AG-12 TEAMS'!B33</f>
        <v>0.57638888888888895</v>
      </c>
      <c r="C94" s="66" t="str">
        <f>'10U GIRLS COED AU AG-12 TEAMS'!C33&amp;""</f>
        <v>EL TORO HS 2</v>
      </c>
      <c r="D94" s="20" t="str">
        <f>'10U GIRLS COED AU AG-12 TEAMS'!D33&amp;""</f>
        <v>10GCauag21</v>
      </c>
      <c r="E94" s="20" t="str">
        <f>'10U GIRLS COED AU AG-12 TEAMS'!E33&amp;""</f>
        <v>1stB-TROJAN NORTH ag</v>
      </c>
      <c r="F94" s="20" t="str">
        <f>'10U GIRLS COED AU AG-12 TEAMS'!F33&amp;""</f>
        <v>4</v>
      </c>
      <c r="G94" s="20" t="str">
        <f>'10U GIRLS COED AU AG-12 TEAMS'!G33&amp;""</f>
        <v>C1-DEL MAR GIRLS BLUE</v>
      </c>
      <c r="H94" s="20" t="str">
        <f>'10U GIRLS COED AU AG-12 TEAMS'!H33&amp;""</f>
        <v>16</v>
      </c>
      <c r="I94" s="20" t="str">
        <f>'10U GIRLS COED AU AG-12 TEAMS'!I33&amp;""</f>
        <v>cross</v>
      </c>
      <c r="J94" s="20" t="str">
        <f>'10U GIRLS COED AU AG-12 TEAMS'!J33&amp;""</f>
        <v>10U_GIRLS_COED_GOLD_SILVER</v>
      </c>
      <c r="K94" s="20" t="str">
        <f t="shared" si="1"/>
        <v>202603081350</v>
      </c>
    </row>
    <row r="95" spans="1:11">
      <c r="A95" s="67">
        <f>'10U GIRLS COED AU AG-12 TEAMS'!A34</f>
        <v>46089</v>
      </c>
      <c r="B95" s="152">
        <f>'10U GIRLS COED AU AG-12 TEAMS'!B34</f>
        <v>0.61111111111111105</v>
      </c>
      <c r="C95" s="66" t="str">
        <f>'10U GIRLS COED AU AG-12 TEAMS'!C34&amp;""</f>
        <v>EL TORO HS 2</v>
      </c>
      <c r="D95" s="20" t="str">
        <f>'10U GIRLS COED AU AG-12 TEAMS'!D34&amp;""</f>
        <v>10GCauag22</v>
      </c>
      <c r="E95" s="20" t="str">
        <f>'10U GIRLS COED AU AG-12 TEAMS'!E34&amp;""</f>
        <v>3rdB-SAN CLEMENTE RED GIRLS ag</v>
      </c>
      <c r="F95" s="20" t="str">
        <f>'10U GIRLS COED AU AG-12 TEAMS'!F34&amp;""</f>
        <v>8</v>
      </c>
      <c r="G95" s="20" t="str">
        <f>'10U GIRLS COED AU AG-12 TEAMS'!G34&amp;""</f>
        <v>C3-DEL MAR GIRLS WHITE</v>
      </c>
      <c r="H95" s="20" t="str">
        <f>'10U GIRLS COED AU AG-12 TEAMS'!H34&amp;""</f>
        <v>6</v>
      </c>
      <c r="I95" s="20" t="str">
        <f>'10U GIRLS COED AU AG-12 TEAMS'!I34&amp;""</f>
        <v>cross</v>
      </c>
      <c r="J95" s="20" t="str">
        <f>'10U GIRLS COED AU AG-12 TEAMS'!J34&amp;""</f>
        <v>10U_GIRLS_COED_GOLD_SILVER</v>
      </c>
      <c r="K95" s="20" t="str">
        <f t="shared" si="1"/>
        <v>202603081440</v>
      </c>
    </row>
    <row r="96" spans="1:11">
      <c r="A96" s="67">
        <f>'10U GIRLS COED AU AG-12 TEAMS'!A35</f>
        <v>46089</v>
      </c>
      <c r="B96" s="152">
        <f>'10U GIRLS COED AU AG-12 TEAMS'!B35</f>
        <v>0.64583333333333304</v>
      </c>
      <c r="C96" s="66" t="str">
        <f>'10U GIRLS COED AU AG-12 TEAMS'!C35&amp;""</f>
        <v>EL TORO HS 2</v>
      </c>
      <c r="D96" s="20" t="str">
        <f>'10U GIRLS COED AU AG-12 TEAMS'!D35&amp;""</f>
        <v>10GCauag23</v>
      </c>
      <c r="E96" s="20" t="str">
        <f>'10U GIRLS COED AU AG-12 TEAMS'!E35&amp;""</f>
        <v>2ndB-LAGUNA BEACH ag</v>
      </c>
      <c r="F96" s="20" t="str">
        <f>'10U GIRLS COED AU AG-12 TEAMS'!F35&amp;""</f>
        <v>4</v>
      </c>
      <c r="G96" s="20" t="str">
        <f>'10U GIRLS COED AU AG-12 TEAMS'!G35&amp;""</f>
        <v>C2-NEWPORT BEACH GIRLS BLUE</v>
      </c>
      <c r="H96" s="20" t="str">
        <f>'10U GIRLS COED AU AG-12 TEAMS'!H35&amp;""</f>
        <v>19</v>
      </c>
      <c r="I96" s="20" t="str">
        <f>'10U GIRLS COED AU AG-12 TEAMS'!I35&amp;""</f>
        <v>cross</v>
      </c>
      <c r="J96" s="20" t="str">
        <f>'10U GIRLS COED AU AG-12 TEAMS'!J35&amp;""</f>
        <v>10U_GIRLS_COED_GOLD_SILVER</v>
      </c>
      <c r="K96" s="20" t="str">
        <f t="shared" si="1"/>
        <v>202603081530</v>
      </c>
    </row>
    <row r="97" spans="1:11">
      <c r="A97" s="67">
        <f>'10U GIRLS COED AU AG-12 TEAMS'!A36</f>
        <v>46089</v>
      </c>
      <c r="B97" s="152">
        <f>'10U GIRLS COED AU AG-12 TEAMS'!B36</f>
        <v>0.68055555555555602</v>
      </c>
      <c r="C97" s="66" t="str">
        <f>'10U GIRLS COED AU AG-12 TEAMS'!C36&amp;""</f>
        <v>EL TORO HS 2</v>
      </c>
      <c r="D97" s="20" t="str">
        <f>'10U GIRLS COED AU AG-12 TEAMS'!D36&amp;""</f>
        <v>10GCauag24</v>
      </c>
      <c r="E97" s="20" t="str">
        <f>'10U GIRLS COED AU AG-12 TEAMS'!E36&amp;""</f>
        <v>4thB-CDM BOYS WHITE ag</v>
      </c>
      <c r="F97" s="20" t="str">
        <f>'10U GIRLS COED AU AG-12 TEAMS'!F36&amp;""</f>
        <v>20</v>
      </c>
      <c r="G97" s="20" t="str">
        <f>'10U GIRLS COED AU AG-12 TEAMS'!G36&amp;""</f>
        <v>C4-NEWPORT BEACH GIRLS WHITE</v>
      </c>
      <c r="H97" s="20" t="str">
        <f>'10U GIRLS COED AU AG-12 TEAMS'!H36&amp;""</f>
        <v>2</v>
      </c>
      <c r="I97" s="20" t="str">
        <f>'10U GIRLS COED AU AG-12 TEAMS'!I36&amp;""</f>
        <v>cross</v>
      </c>
      <c r="J97" s="20" t="str">
        <f>'10U GIRLS COED AU AG-12 TEAMS'!J36&amp;""</f>
        <v>10U_GIRLS_COED_GOLD_SILVER</v>
      </c>
      <c r="K97" s="20" t="str">
        <f t="shared" si="1"/>
        <v>202603081620</v>
      </c>
    </row>
    <row r="98" spans="1:11">
      <c r="A98" s="127">
        <f>'19U BOYS SILVER-5 TEAMS'!A11</f>
        <v>46088</v>
      </c>
      <c r="B98" s="126">
        <f>'19U BOYS SILVER-5 TEAMS'!B11</f>
        <v>0.33333333333333298</v>
      </c>
      <c r="C98" s="126" t="str">
        <f>'19U BOYS SILVER-5 TEAMS'!C11&amp;""</f>
        <v>ESTANCIA HS 1</v>
      </c>
      <c r="D98" s="30" t="str">
        <f>'19U BOYS SILVER-5 TEAMS'!D11&amp;""</f>
        <v>19Bag01</v>
      </c>
      <c r="E98" s="30" t="str">
        <f>'19U BOYS SILVER-5 TEAMS'!E11&amp;""</f>
        <v>A2-SOUTH COUNTY AQUATICS</v>
      </c>
      <c r="F98" s="30" t="str">
        <f>'19U BOYS SILVER-5 TEAMS'!F11&amp;""</f>
        <v>4</v>
      </c>
      <c r="G98" s="30" t="str">
        <f>'19U BOYS SILVER-5 TEAMS'!G11&amp;""</f>
        <v>A5-OHANA</v>
      </c>
      <c r="H98" s="30" t="str">
        <f>'19U BOYS SILVER-5 TEAMS'!H11&amp;""</f>
        <v>12</v>
      </c>
      <c r="I98" s="30" t="str">
        <f>'19U BOYS SILVER-5 TEAMS'!I11&amp;""</f>
        <v>A bracket 2/5</v>
      </c>
      <c r="J98" s="30" t="str">
        <f>'19U BOYS SILVER-5 TEAMS'!J11&amp;""</f>
        <v>19U_BOYS_SILVER</v>
      </c>
      <c r="K98" s="30" t="str">
        <f t="shared" si="1"/>
        <v>202603070800</v>
      </c>
    </row>
    <row r="99" spans="1:11">
      <c r="A99" s="127">
        <f>'19U BOYS SILVER-5 TEAMS'!A12</f>
        <v>46088</v>
      </c>
      <c r="B99" s="126">
        <f>'19U BOYS SILVER-5 TEAMS'!B12</f>
        <v>0.375</v>
      </c>
      <c r="C99" s="126" t="str">
        <f>'19U BOYS SILVER-5 TEAMS'!C12&amp;""</f>
        <v>ESTANCIA HS 1</v>
      </c>
      <c r="D99" s="30" t="str">
        <f>'19U BOYS SILVER-5 TEAMS'!D12&amp;""</f>
        <v>19Bag02</v>
      </c>
      <c r="E99" s="30" t="str">
        <f>'19U BOYS SILVER-5 TEAMS'!E12&amp;""</f>
        <v>A1-SET</v>
      </c>
      <c r="F99" s="30" t="str">
        <f>'19U BOYS SILVER-5 TEAMS'!F12&amp;""</f>
        <v>6</v>
      </c>
      <c r="G99" s="30" t="str">
        <f>'19U BOYS SILVER-5 TEAMS'!G12&amp;""</f>
        <v>A3-PASADENA AC ORANGE</v>
      </c>
      <c r="H99" s="30" t="str">
        <f>'19U BOYS SILVER-5 TEAMS'!H12&amp;""</f>
        <v>15</v>
      </c>
      <c r="I99" s="30" t="str">
        <f>'19U BOYS SILVER-5 TEAMS'!I12&amp;""</f>
        <v>A bracket 1/3</v>
      </c>
      <c r="J99" s="30" t="str">
        <f>'19U BOYS SILVER-5 TEAMS'!J12&amp;""</f>
        <v>19U_BOYS_SILVER</v>
      </c>
      <c r="K99" s="30" t="str">
        <f t="shared" si="1"/>
        <v>202603070900</v>
      </c>
    </row>
    <row r="100" spans="1:11">
      <c r="A100" s="142">
        <f>'19U BOYS PLATINUM GOLD-11 TEAMS'!A16</f>
        <v>46088</v>
      </c>
      <c r="B100" s="143">
        <f>'19U BOYS PLATINUM GOLD-11 TEAMS'!B16</f>
        <v>0.41666666666666702</v>
      </c>
      <c r="C100" s="142" t="str">
        <f>'19U BOYS PLATINUM GOLD-11 TEAMS'!C16&amp;""</f>
        <v>ESTANCIA HS 1</v>
      </c>
      <c r="D100" s="31" t="str">
        <f>'19U BOYS PLATINUM GOLD-11 TEAMS'!D16&amp;""</f>
        <v>19Bptau05</v>
      </c>
      <c r="E100" s="142" t="str">
        <f>'19U BOYS PLATINUM GOLD-11 TEAMS'!E16&amp;""</f>
        <v>B2-ALAMEDA</v>
      </c>
      <c r="F100" s="31" t="str">
        <f>'19U BOYS PLATINUM GOLD-11 TEAMS'!F16&amp;""</f>
        <v>10</v>
      </c>
      <c r="G100" s="142" t="str">
        <f>'19U BOYS PLATINUM GOLD-11 TEAMS'!G16&amp;""</f>
        <v>B3-HIELAND</v>
      </c>
      <c r="H100" s="31" t="str">
        <f>'19U BOYS PLATINUM GOLD-11 TEAMS'!H16&amp;""</f>
        <v>7</v>
      </c>
      <c r="I100" s="31" t="str">
        <f>'19U BOYS PLATINUM GOLD-11 TEAMS'!I16&amp;""</f>
        <v>W/L B2/B3</v>
      </c>
      <c r="J100" s="31" t="str">
        <f>'19U BOYS PLATINUM GOLD-11 TEAMS'!J16&amp;""</f>
        <v>19U_BOYS_PLATINUM_GOLD</v>
      </c>
      <c r="K100" s="31" t="str">
        <f t="shared" si="1"/>
        <v>202603071000</v>
      </c>
    </row>
    <row r="101" spans="1:11">
      <c r="A101" s="127">
        <f>'19U BOYS SILVER-5 TEAMS'!A14</f>
        <v>46088</v>
      </c>
      <c r="B101" s="126">
        <f>'19U BOYS SILVER-5 TEAMS'!B14</f>
        <v>0.45833333333333298</v>
      </c>
      <c r="C101" s="126" t="str">
        <f>'19U BOYS SILVER-5 TEAMS'!C14&amp;""</f>
        <v>ESTANCIA HS 1</v>
      </c>
      <c r="D101" s="30" t="str">
        <f>'19U BOYS SILVER-5 TEAMS'!D14&amp;""</f>
        <v>19Bag03</v>
      </c>
      <c r="E101" s="30" t="str">
        <f>'19U BOYS SILVER-5 TEAMS'!E14&amp;""</f>
        <v>A2-SOUTH COUNTY AQUATICS</v>
      </c>
      <c r="F101" s="30" t="str">
        <f>'19U BOYS SILVER-5 TEAMS'!F14&amp;""</f>
        <v>8</v>
      </c>
      <c r="G101" s="30" t="str">
        <f>'19U BOYS SILVER-5 TEAMS'!G14&amp;""</f>
        <v>A4-SFV</v>
      </c>
      <c r="H101" s="30" t="str">
        <f>'19U BOYS SILVER-5 TEAMS'!H14&amp;""</f>
        <v>9</v>
      </c>
      <c r="I101" s="30" t="str">
        <f>'19U BOYS SILVER-5 TEAMS'!I14&amp;""</f>
        <v>A bracket 2/4</v>
      </c>
      <c r="J101" s="30" t="str">
        <f>'19U BOYS SILVER-5 TEAMS'!J14&amp;""</f>
        <v>19U_BOYS_SILVER</v>
      </c>
      <c r="K101" s="30" t="str">
        <f t="shared" si="1"/>
        <v>202603071100</v>
      </c>
    </row>
    <row r="102" spans="1:11">
      <c r="A102" s="127">
        <f>'19U BOYS SILVER-5 TEAMS'!A15</f>
        <v>46088</v>
      </c>
      <c r="B102" s="126">
        <f>'19U BOYS SILVER-5 TEAMS'!B15</f>
        <v>0.5</v>
      </c>
      <c r="C102" s="126" t="str">
        <f>'19U BOYS SILVER-5 TEAMS'!C15&amp;""</f>
        <v>ESTANCIA HS 1</v>
      </c>
      <c r="D102" s="30" t="str">
        <f>'19U BOYS SILVER-5 TEAMS'!D15&amp;""</f>
        <v>19Bag04</v>
      </c>
      <c r="E102" s="30" t="str">
        <f>'19U BOYS SILVER-5 TEAMS'!E15&amp;""</f>
        <v>A3-PASADENA AC ORANGE</v>
      </c>
      <c r="F102" s="30" t="str">
        <f>'19U BOYS SILVER-5 TEAMS'!F15&amp;""</f>
        <v>19</v>
      </c>
      <c r="G102" s="30" t="str">
        <f>'19U BOYS SILVER-5 TEAMS'!G15&amp;""</f>
        <v>A5-OHANA</v>
      </c>
      <c r="H102" s="30" t="str">
        <f>'19U BOYS SILVER-5 TEAMS'!H15&amp;""</f>
        <v>3</v>
      </c>
      <c r="I102" s="30" t="str">
        <f>'19U BOYS SILVER-5 TEAMS'!I15&amp;""</f>
        <v>A bracket 3/5</v>
      </c>
      <c r="J102" s="30" t="str">
        <f>'19U BOYS SILVER-5 TEAMS'!J15&amp;""</f>
        <v>19U_BOYS_SILVER</v>
      </c>
      <c r="K102" s="30" t="str">
        <f t="shared" si="1"/>
        <v>202603071200</v>
      </c>
    </row>
    <row r="103" spans="1:11">
      <c r="A103" s="142">
        <f>'19U BOYS PLATINUM GOLD-11 TEAMS'!A20</f>
        <v>46088</v>
      </c>
      <c r="B103" s="143">
        <f>'19U BOYS PLATINUM GOLD-11 TEAMS'!B20</f>
        <v>0.54166666666666696</v>
      </c>
      <c r="C103" s="142" t="str">
        <f>'19U BOYS PLATINUM GOLD-11 TEAMS'!C20&amp;""</f>
        <v>ESTANCIA HS 1</v>
      </c>
      <c r="D103" s="31" t="str">
        <f>'19U BOYS PLATINUM GOLD-11 TEAMS'!D20&amp;""</f>
        <v>19Bptau10</v>
      </c>
      <c r="E103" s="142" t="str">
        <f>'19U BOYS PLATINUM GOLD-11 TEAMS'!E20&amp;""</f>
        <v>L#B1/B4-SAND CANYON RED</v>
      </c>
      <c r="F103" s="31" t="str">
        <f>'19U BOYS PLATINUM GOLD-11 TEAMS'!F20&amp;""</f>
        <v>5</v>
      </c>
      <c r="G103" s="142" t="str">
        <f>'19U BOYS PLATINUM GOLD-11 TEAMS'!G20&amp;""</f>
        <v>L#B2/B3-HIELAND</v>
      </c>
      <c r="H103" s="31" t="str">
        <f>'19U BOYS PLATINUM GOLD-11 TEAMS'!H20&amp;""</f>
        <v>17</v>
      </c>
      <c r="I103" s="31" t="str">
        <f>'19U BOYS PLATINUM GOLD-11 TEAMS'!I20&amp;""</f>
        <v>3rd/4thB</v>
      </c>
      <c r="J103" s="31" t="str">
        <f>'19U BOYS PLATINUM GOLD-11 TEAMS'!J20&amp;""</f>
        <v>19U_BOYS_PLATINUM_GOLD</v>
      </c>
      <c r="K103" s="31" t="str">
        <f t="shared" si="1"/>
        <v>202603071300</v>
      </c>
    </row>
    <row r="104" spans="1:11">
      <c r="A104" s="127">
        <f>'19U BOYS SILVER-5 TEAMS'!A17</f>
        <v>46088</v>
      </c>
      <c r="B104" s="126">
        <f>'19U BOYS SILVER-5 TEAMS'!B17</f>
        <v>0.58333333333333304</v>
      </c>
      <c r="C104" s="126" t="str">
        <f>'19U BOYS SILVER-5 TEAMS'!C17&amp;""</f>
        <v>ESTANCIA HS 1</v>
      </c>
      <c r="D104" s="30" t="str">
        <f>'19U BOYS SILVER-5 TEAMS'!D17&amp;""</f>
        <v>19Bag05</v>
      </c>
      <c r="E104" s="30" t="str">
        <f>'19U BOYS SILVER-5 TEAMS'!E17&amp;""</f>
        <v>A1-SET</v>
      </c>
      <c r="F104" s="30" t="str">
        <f>'19U BOYS SILVER-5 TEAMS'!F17&amp;""</f>
        <v>15</v>
      </c>
      <c r="G104" s="30" t="str">
        <f>'19U BOYS SILVER-5 TEAMS'!G17&amp;""</f>
        <v>A4-SFV</v>
      </c>
      <c r="H104" s="30" t="str">
        <f>'19U BOYS SILVER-5 TEAMS'!H17&amp;""</f>
        <v>13</v>
      </c>
      <c r="I104" s="30" t="str">
        <f>'19U BOYS SILVER-5 TEAMS'!I17&amp;""</f>
        <v>A bracket 1/4</v>
      </c>
      <c r="J104" s="30" t="str">
        <f>'19U BOYS SILVER-5 TEAMS'!J17&amp;""</f>
        <v>19U_BOYS_SILVER</v>
      </c>
      <c r="K104" s="30" t="str">
        <f t="shared" si="1"/>
        <v>202603071400</v>
      </c>
    </row>
    <row r="105" spans="1:11">
      <c r="A105" s="113">
        <f>'16U BOYS SILVER-8 TEAMS'!A17</f>
        <v>46088</v>
      </c>
      <c r="B105" s="112">
        <f>'16U BOYS SILVER-8 TEAMS'!B17</f>
        <v>0.625</v>
      </c>
      <c r="C105" s="27" t="str">
        <f>'16U BOYS SILVER-8 TEAMS'!C17&amp;""</f>
        <v>ESTANCIA HS 1</v>
      </c>
      <c r="D105" s="27" t="str">
        <f>'16U BOYS SILVER-8 TEAMS'!D17&amp;""</f>
        <v>16Bag08</v>
      </c>
      <c r="E105" s="27" t="str">
        <f>'16U BOYS SILVER-8 TEAMS'!E17&amp;""</f>
        <v>A1-HIELAND</v>
      </c>
      <c r="F105" s="27" t="str">
        <f>'16U BOYS SILVER-8 TEAMS'!F17&amp;""</f>
        <v>17</v>
      </c>
      <c r="G105" s="27" t="str">
        <f>'16U BOYS SILVER-8 TEAMS'!G17&amp;""</f>
        <v>A3-PALOS VERDES BLUE</v>
      </c>
      <c r="H105" s="27" t="str">
        <f>'16U BOYS SILVER-8 TEAMS'!H17&amp;""</f>
        <v>2</v>
      </c>
      <c r="I105" s="27" t="str">
        <f>'16U BOYS SILVER-8 TEAMS'!I17&amp;""</f>
        <v>bracket, A1/A3</v>
      </c>
      <c r="J105" s="27" t="str">
        <f>'16U BOYS SILVER-8 TEAMS'!J17&amp;""</f>
        <v>16U_BOYS_SILVER</v>
      </c>
      <c r="K105" s="27" t="str">
        <f t="shared" si="1"/>
        <v>202603071500</v>
      </c>
    </row>
    <row r="106" spans="1:11">
      <c r="A106" s="142">
        <f>'19U BOYS PLATINUM GOLD-11 TEAMS'!A27</f>
        <v>46089</v>
      </c>
      <c r="B106" s="143">
        <f>'19U BOYS PLATINUM GOLD-11 TEAMS'!B27</f>
        <v>0.33333333333333298</v>
      </c>
      <c r="C106" s="142" t="str">
        <f>'19U BOYS PLATINUM GOLD-11 TEAMS'!C27&amp;""</f>
        <v>ESTANCIA HS 1</v>
      </c>
      <c r="D106" s="31" t="str">
        <f>'19U BOYS PLATINUM GOLD-11 TEAMS'!D27&amp;""</f>
        <v>19Bptau15</v>
      </c>
      <c r="E106" s="142" t="str">
        <f>'19U BOYS PLATINUM GOLD-11 TEAMS'!E27&amp;""</f>
        <v>E1(2ndA)-VANGUARD SILVER</v>
      </c>
      <c r="F106" s="31" t="str">
        <f>'19U BOYS PLATINUM GOLD-11 TEAMS'!F27&amp;""</f>
        <v>10</v>
      </c>
      <c r="G106" s="142" t="str">
        <f>'19U BOYS PLATINUM GOLD-11 TEAMS'!G27&amp;""</f>
        <v>E3(2ndC)-TROJAN  16 CARDINAL pt</v>
      </c>
      <c r="H106" s="31" t="str">
        <f>'19U BOYS PLATINUM GOLD-11 TEAMS'!H27&amp;""</f>
        <v>9</v>
      </c>
      <c r="I106" s="31" t="str">
        <f>'19U BOYS PLATINUM GOLD-11 TEAMS'!I27&amp;""</f>
        <v>E1,E3 4th-6th</v>
      </c>
      <c r="J106" s="31" t="str">
        <f>'19U BOYS PLATINUM GOLD-11 TEAMS'!J27&amp;""</f>
        <v>19U_BOYS_PLATINUM_GOLD</v>
      </c>
      <c r="K106" s="31" t="str">
        <f t="shared" si="1"/>
        <v>202603080800</v>
      </c>
    </row>
    <row r="107" spans="1:11">
      <c r="A107" s="127">
        <f>'19U BOYS SILVER-5 TEAMS'!A21</f>
        <v>46089</v>
      </c>
      <c r="B107" s="126">
        <f>'19U BOYS SILVER-5 TEAMS'!B21</f>
        <v>0.375</v>
      </c>
      <c r="C107" s="126" t="str">
        <f>'19U BOYS SILVER-5 TEAMS'!C21&amp;""</f>
        <v>ESTANCIA HS 1</v>
      </c>
      <c r="D107" s="30" t="str">
        <f>'19U BOYS SILVER-5 TEAMS'!D21&amp;""</f>
        <v>19Bag06</v>
      </c>
      <c r="E107" s="30" t="str">
        <f>'19U BOYS SILVER-5 TEAMS'!E21&amp;""</f>
        <v>A2-SOUTH COUNTY AQUATICS</v>
      </c>
      <c r="F107" s="30" t="str">
        <f>'19U BOYS SILVER-5 TEAMS'!F21&amp;""</f>
        <v>5</v>
      </c>
      <c r="G107" s="30" t="str">
        <f>'19U BOYS SILVER-5 TEAMS'!G21&amp;""</f>
        <v>A3-PASADENA AC ORANGE</v>
      </c>
      <c r="H107" s="30" t="str">
        <f>'19U BOYS SILVER-5 TEAMS'!H21&amp;""</f>
        <v>15</v>
      </c>
      <c r="I107" s="30" t="str">
        <f>'19U BOYS SILVER-5 TEAMS'!I21&amp;""</f>
        <v>A bracket 2/3</v>
      </c>
      <c r="J107" s="30" t="str">
        <f>'19U BOYS SILVER-5 TEAMS'!J21&amp;""</f>
        <v>19U_BOYS_SILVER</v>
      </c>
      <c r="K107" s="30" t="str">
        <f t="shared" si="1"/>
        <v>202603080900</v>
      </c>
    </row>
    <row r="108" spans="1:11">
      <c r="A108" s="127">
        <f>'19U BOYS SILVER-5 TEAMS'!A22</f>
        <v>46089</v>
      </c>
      <c r="B108" s="126">
        <f>'19U BOYS SILVER-5 TEAMS'!B22</f>
        <v>0.41666666666666702</v>
      </c>
      <c r="C108" s="126" t="str">
        <f>'19U BOYS SILVER-5 TEAMS'!C22&amp;""</f>
        <v>ESTANCIA HS 1</v>
      </c>
      <c r="D108" s="30" t="str">
        <f>'19U BOYS SILVER-5 TEAMS'!D22&amp;""</f>
        <v>19Bag07</v>
      </c>
      <c r="E108" s="30" t="str">
        <f>'19U BOYS SILVER-5 TEAMS'!E22&amp;""</f>
        <v>A4-SFV</v>
      </c>
      <c r="F108" s="30" t="str">
        <f>'19U BOYS SILVER-5 TEAMS'!F22&amp;""</f>
        <v>8</v>
      </c>
      <c r="G108" s="30" t="str">
        <f>'19U BOYS SILVER-5 TEAMS'!G22&amp;""</f>
        <v>A5-OHANA</v>
      </c>
      <c r="H108" s="30" t="str">
        <f>'19U BOYS SILVER-5 TEAMS'!H22&amp;""</f>
        <v>19</v>
      </c>
      <c r="I108" s="30" t="str">
        <f>'19U BOYS SILVER-5 TEAMS'!I22&amp;""</f>
        <v>A bracket 4/5</v>
      </c>
      <c r="J108" s="30" t="str">
        <f>'19U BOYS SILVER-5 TEAMS'!J22&amp;""</f>
        <v>19U_BOYS_SILVER</v>
      </c>
      <c r="K108" s="30" t="str">
        <f t="shared" si="1"/>
        <v>202603081000</v>
      </c>
    </row>
    <row r="109" spans="1:11">
      <c r="A109" s="142">
        <f>'19U BOYS PLATINUM GOLD-11 TEAMS'!A31</f>
        <v>46089</v>
      </c>
      <c r="B109" s="143">
        <f>'19U BOYS PLATINUM GOLD-11 TEAMS'!B31</f>
        <v>0.45833333333333298</v>
      </c>
      <c r="C109" s="142" t="str">
        <f>'19U BOYS PLATINUM GOLD-11 TEAMS'!C31&amp;""</f>
        <v>ESTANCIA HS 1</v>
      </c>
      <c r="D109" s="31" t="str">
        <f>'19U BOYS PLATINUM GOLD-11 TEAMS'!D31&amp;""</f>
        <v>19Bptau19</v>
      </c>
      <c r="E109" s="142" t="str">
        <f>'19U BOYS PLATINUM GOLD-11 TEAMS'!E31&amp;""</f>
        <v>E2(2ndB)-ALAMEDA</v>
      </c>
      <c r="F109" s="31" t="str">
        <f>'19U BOYS PLATINUM GOLD-11 TEAMS'!F31&amp;""</f>
        <v>10</v>
      </c>
      <c r="G109" s="142" t="str">
        <f>'19U BOYS PLATINUM GOLD-11 TEAMS'!G31&amp;""</f>
        <v>E3(2ndC)-TROJAN  16 CARDINAL pt</v>
      </c>
      <c r="H109" s="31" t="str">
        <f>'19U BOYS PLATINUM GOLD-11 TEAMS'!H31&amp;""</f>
        <v>9</v>
      </c>
      <c r="I109" s="31" t="str">
        <f>'19U BOYS PLATINUM GOLD-11 TEAMS'!I31&amp;""</f>
        <v>E2,E3 4th-6th</v>
      </c>
      <c r="J109" s="31" t="str">
        <f>'19U BOYS PLATINUM GOLD-11 TEAMS'!J31&amp;""</f>
        <v>19U_BOYS_PLATINUM_GOLD</v>
      </c>
      <c r="K109" s="31" t="str">
        <f t="shared" si="1"/>
        <v>202603081100</v>
      </c>
    </row>
    <row r="110" spans="1:11">
      <c r="A110" s="127">
        <f>'19U BOYS SILVER-5 TEAMS'!A24</f>
        <v>46089</v>
      </c>
      <c r="B110" s="126">
        <f>'19U BOYS SILVER-5 TEAMS'!B24</f>
        <v>0.5</v>
      </c>
      <c r="C110" s="126" t="str">
        <f>'19U BOYS SILVER-5 TEAMS'!C24&amp;""</f>
        <v>ESTANCIA HS 1</v>
      </c>
      <c r="D110" s="30" t="str">
        <f>'19U BOYS SILVER-5 TEAMS'!D24&amp;""</f>
        <v>19Bag08</v>
      </c>
      <c r="E110" s="30" t="str">
        <f>'19U BOYS SILVER-5 TEAMS'!E24&amp;""</f>
        <v>A1-SET</v>
      </c>
      <c r="F110" s="30" t="str">
        <f>'19U BOYS SILVER-5 TEAMS'!F24&amp;""</f>
        <v>6</v>
      </c>
      <c r="G110" s="30" t="str">
        <f>'19U BOYS SILVER-5 TEAMS'!G24&amp;""</f>
        <v>A2-SOUTH COUNTY AQUATICS</v>
      </c>
      <c r="H110" s="30" t="str">
        <f>'19U BOYS SILVER-5 TEAMS'!H24&amp;""</f>
        <v>12</v>
      </c>
      <c r="I110" s="30" t="str">
        <f>'19U BOYS SILVER-5 TEAMS'!I24&amp;""</f>
        <v>A bracket 1/2</v>
      </c>
      <c r="J110" s="30" t="str">
        <f>'19U BOYS SILVER-5 TEAMS'!J24&amp;""</f>
        <v>19U_BOYS_SILVER</v>
      </c>
      <c r="K110" s="30" t="str">
        <f t="shared" si="1"/>
        <v>202603081200</v>
      </c>
    </row>
    <row r="111" spans="1:11">
      <c r="A111" s="127">
        <f>'19U BOYS SILVER-5 TEAMS'!A25</f>
        <v>46089</v>
      </c>
      <c r="B111" s="126">
        <f>'19U BOYS SILVER-5 TEAMS'!B25</f>
        <v>0.54166666666666696</v>
      </c>
      <c r="C111" s="126" t="str">
        <f>'19U BOYS SILVER-5 TEAMS'!C25&amp;""</f>
        <v>ESTANCIA HS 1</v>
      </c>
      <c r="D111" s="30" t="str">
        <f>'19U BOYS SILVER-5 TEAMS'!D25&amp;""</f>
        <v>19Bag09</v>
      </c>
      <c r="E111" s="30" t="str">
        <f>'19U BOYS SILVER-5 TEAMS'!E25&amp;""</f>
        <v>A3-PASADENA AC ORANGE</v>
      </c>
      <c r="F111" s="30" t="str">
        <f>'19U BOYS SILVER-5 TEAMS'!F25&amp;""</f>
        <v>20</v>
      </c>
      <c r="G111" s="30" t="str">
        <f>'19U BOYS SILVER-5 TEAMS'!G25&amp;""</f>
        <v>A4-SFV</v>
      </c>
      <c r="H111" s="30" t="str">
        <f>'19U BOYS SILVER-5 TEAMS'!H25&amp;""</f>
        <v>9</v>
      </c>
      <c r="I111" s="30" t="str">
        <f>'19U BOYS SILVER-5 TEAMS'!I25&amp;""</f>
        <v>A bracket 3/4</v>
      </c>
      <c r="J111" s="30" t="str">
        <f>'19U BOYS SILVER-5 TEAMS'!J25&amp;""</f>
        <v>19U_BOYS_SILVER</v>
      </c>
      <c r="K111" s="30" t="str">
        <f t="shared" si="1"/>
        <v>202603081300</v>
      </c>
    </row>
    <row r="112" spans="1:11">
      <c r="A112" s="142">
        <f>'19U BOYS PLATINUM GOLD-11 TEAMS'!A35</f>
        <v>46089</v>
      </c>
      <c r="B112" s="143">
        <f>'19U BOYS PLATINUM GOLD-11 TEAMS'!B35</f>
        <v>0.58333333333333304</v>
      </c>
      <c r="C112" s="142" t="str">
        <f>'19U BOYS PLATINUM GOLD-11 TEAMS'!C35&amp;""</f>
        <v>ESTANCIA HS 1</v>
      </c>
      <c r="D112" s="31" t="str">
        <f>'19U BOYS PLATINUM GOLD-11 TEAMS'!D35&amp;""</f>
        <v>19Bptau22</v>
      </c>
      <c r="E112" s="142" t="str">
        <f>'19U BOYS PLATINUM GOLD-11 TEAMS'!E35&amp;""</f>
        <v>E1(2ndA)-VANGUARD SILVER</v>
      </c>
      <c r="F112" s="31" t="str">
        <f>'19U BOYS PLATINUM GOLD-11 TEAMS'!F35&amp;""</f>
        <v>11</v>
      </c>
      <c r="G112" s="142" t="str">
        <f>'19U BOYS PLATINUM GOLD-11 TEAMS'!G35&amp;""</f>
        <v>E2(2ndB)-ALAMEDA</v>
      </c>
      <c r="H112" s="31" t="str">
        <f>'19U BOYS PLATINUM GOLD-11 TEAMS'!H35&amp;""</f>
        <v>13</v>
      </c>
      <c r="I112" s="31" t="str">
        <f>'19U BOYS PLATINUM GOLD-11 TEAMS'!I35&amp;""</f>
        <v>E1,E2 4th-6th</v>
      </c>
      <c r="J112" s="31" t="str">
        <f>'19U BOYS PLATINUM GOLD-11 TEAMS'!J35&amp;""</f>
        <v>19U_BOYS_PLATINUM_GOLD</v>
      </c>
      <c r="K112" s="31" t="str">
        <f t="shared" si="1"/>
        <v>202603081400</v>
      </c>
    </row>
    <row r="113" spans="1:11">
      <c r="A113" s="127">
        <f>'19U BOYS SILVER-5 TEAMS'!A27</f>
        <v>46089</v>
      </c>
      <c r="B113" s="126">
        <f>'19U BOYS SILVER-5 TEAMS'!B27</f>
        <v>0.625</v>
      </c>
      <c r="C113" s="126" t="str">
        <f>'19U BOYS SILVER-5 TEAMS'!C27&amp;""</f>
        <v>ESTANCIA HS 1</v>
      </c>
      <c r="D113" s="30" t="str">
        <f>'19U BOYS SILVER-5 TEAMS'!D27&amp;""</f>
        <v>19Bag10</v>
      </c>
      <c r="E113" s="30" t="str">
        <f>'19U BOYS SILVER-5 TEAMS'!E27&amp;""</f>
        <v>A1-SET</v>
      </c>
      <c r="F113" s="30" t="str">
        <f>'19U BOYS SILVER-5 TEAMS'!F27&amp;""</f>
        <v>10</v>
      </c>
      <c r="G113" s="30" t="str">
        <f>'19U BOYS SILVER-5 TEAMS'!G27&amp;""</f>
        <v>A5-OHANA</v>
      </c>
      <c r="H113" s="30" t="str">
        <f>'19U BOYS SILVER-5 TEAMS'!H27&amp;""</f>
        <v>17</v>
      </c>
      <c r="I113" s="30" t="str">
        <f>'19U BOYS SILVER-5 TEAMS'!I27&amp;""</f>
        <v>A bracket 1/5</v>
      </c>
      <c r="J113" s="30" t="str">
        <f>'19U BOYS SILVER-5 TEAMS'!J27&amp;""</f>
        <v>19U_BOYS_SILVER</v>
      </c>
      <c r="K113" s="30" t="str">
        <f t="shared" si="1"/>
        <v>202603081500</v>
      </c>
    </row>
    <row r="114" spans="1:11">
      <c r="A114" s="88">
        <f>'14U BOYS SILVER-16 TEAMS'!A10</f>
        <v>46088</v>
      </c>
      <c r="B114" s="87">
        <f>'14U BOYS SILVER-16 TEAMS'!B10</f>
        <v>0.3263888888888889</v>
      </c>
      <c r="C114" s="87" t="str">
        <f>'14U BOYS SILVER-16 TEAMS'!C10&amp;""</f>
        <v>ESTANCIA HS 2</v>
      </c>
      <c r="D114" s="36" t="str">
        <f>'14U BOYS SILVER-16 TEAMS'!D10&amp;""</f>
        <v>14Bag01</v>
      </c>
      <c r="E114" s="36" t="str">
        <f>'14U BOYS SILVER-16 TEAMS'!E10&amp;""</f>
        <v>A2-BREA OLINDA GOLD</v>
      </c>
      <c r="F114" s="36" t="str">
        <f>'14U BOYS SILVER-16 TEAMS'!F10&amp;""</f>
        <v>18</v>
      </c>
      <c r="G114" s="36" t="str">
        <f>'14U BOYS SILVER-16 TEAMS'!G10&amp;""</f>
        <v>A3-TROJAN GOLD</v>
      </c>
      <c r="H114" s="36" t="str">
        <f>'14U BOYS SILVER-16 TEAMS'!H10&amp;""</f>
        <v>9</v>
      </c>
      <c r="I114" s="36" t="str">
        <f>'14U BOYS SILVER-16 TEAMS'!I10&amp;""</f>
        <v>W/L A2/A3</v>
      </c>
      <c r="J114" s="36" t="str">
        <f>'14U BOYS SILVER-16 TEAMS'!J10&amp;""</f>
        <v>14U_BOYS_SILVER</v>
      </c>
      <c r="K114" s="36" t="str">
        <f t="shared" si="1"/>
        <v>202603070750</v>
      </c>
    </row>
    <row r="115" spans="1:11">
      <c r="A115" s="88">
        <f>'14U BOYS SILVER-16 TEAMS'!A11</f>
        <v>46088</v>
      </c>
      <c r="B115" s="87">
        <f>'14U BOYS SILVER-16 TEAMS'!B11</f>
        <v>0.36111111111111099</v>
      </c>
      <c r="C115" s="87" t="str">
        <f>'14U BOYS SILVER-16 TEAMS'!C11&amp;""</f>
        <v>ESTANCIA HS 2</v>
      </c>
      <c r="D115" s="36" t="str">
        <f>'14U BOYS SILVER-16 TEAMS'!D11&amp;""</f>
        <v>14Bag02</v>
      </c>
      <c r="E115" s="36" t="str">
        <f>'14U BOYS SILVER-16 TEAMS'!E11&amp;""</f>
        <v>A1-SAND CANYON</v>
      </c>
      <c r="F115" s="36" t="str">
        <f>'14U BOYS SILVER-16 TEAMS'!F11&amp;""</f>
        <v>7</v>
      </c>
      <c r="G115" s="36" t="str">
        <f>'14U BOYS SILVER-16 TEAMS'!G11&amp;""</f>
        <v>A4-SAN DIEGO DONS 12 BLACK</v>
      </c>
      <c r="H115" s="36" t="str">
        <f>'14U BOYS SILVER-16 TEAMS'!H11&amp;""</f>
        <v>8</v>
      </c>
      <c r="I115" s="36" t="str">
        <f>'14U BOYS SILVER-16 TEAMS'!I11&amp;""</f>
        <v>W/L A1/A4</v>
      </c>
      <c r="J115" s="36" t="str">
        <f>'14U BOYS SILVER-16 TEAMS'!J11&amp;""</f>
        <v>14U_BOYS_SILVER</v>
      </c>
      <c r="K115" s="36" t="str">
        <f t="shared" si="1"/>
        <v>202603070840</v>
      </c>
    </row>
    <row r="116" spans="1:11">
      <c r="A116" s="88">
        <f>'14U BOYS SILVER-16 TEAMS'!A12</f>
        <v>46088</v>
      </c>
      <c r="B116" s="87">
        <f>'14U BOYS SILVER-16 TEAMS'!B12</f>
        <v>0.39583333333333398</v>
      </c>
      <c r="C116" s="87" t="str">
        <f>'14U BOYS SILVER-16 TEAMS'!C12&amp;""</f>
        <v>ESTANCIA HS 2</v>
      </c>
      <c r="D116" s="36" t="str">
        <f>'14U BOYS SILVER-16 TEAMS'!D12&amp;""</f>
        <v>14Bag03</v>
      </c>
      <c r="E116" s="36" t="str">
        <f>'14U BOYS SILVER-16 TEAMS'!E12&amp;""</f>
        <v>C2-GOLD COAST</v>
      </c>
      <c r="F116" s="36" t="str">
        <f>'14U BOYS SILVER-16 TEAMS'!F12&amp;""</f>
        <v>4</v>
      </c>
      <c r="G116" s="36" t="str">
        <f>'14U BOYS SILVER-16 TEAMS'!G12&amp;""</f>
        <v>C3-PALOS VERDES B</v>
      </c>
      <c r="H116" s="36" t="str">
        <f>'14U BOYS SILVER-16 TEAMS'!H12&amp;""</f>
        <v>7</v>
      </c>
      <c r="I116" s="36" t="str">
        <f>'14U BOYS SILVER-16 TEAMS'!I12&amp;""</f>
        <v>W/L C2/C3</v>
      </c>
      <c r="J116" s="36" t="str">
        <f>'14U BOYS SILVER-16 TEAMS'!J12&amp;""</f>
        <v>14U_BOYS_SILVER</v>
      </c>
      <c r="K116" s="36" t="str">
        <f t="shared" si="1"/>
        <v>202603070930</v>
      </c>
    </row>
    <row r="117" spans="1:11">
      <c r="A117" s="88">
        <f>'14U BOYS SILVER-16 TEAMS'!A15</f>
        <v>46088</v>
      </c>
      <c r="B117" s="87">
        <f>'14U BOYS SILVER-16 TEAMS'!B15</f>
        <v>0.43055555555555602</v>
      </c>
      <c r="C117" s="87" t="str">
        <f>'14U BOYS SILVER-16 TEAMS'!C15&amp;""</f>
        <v>ESTANCIA HS 2</v>
      </c>
      <c r="D117" s="36" t="str">
        <f>'14U BOYS SILVER-16 TEAMS'!D15&amp;""</f>
        <v>14Bag04</v>
      </c>
      <c r="E117" s="36" t="str">
        <f>'14U BOYS SILVER-16 TEAMS'!E15&amp;""</f>
        <v>C1-TSM</v>
      </c>
      <c r="F117" s="90" t="str">
        <f>'14U BOYS SILVER-16 TEAMS'!F15&amp;""</f>
        <v>2</v>
      </c>
      <c r="G117" s="36" t="str">
        <f>'14U BOYS SILVER-16 TEAMS'!G15&amp;""</f>
        <v>C4-NORTH IRVINE 12 BLACK</v>
      </c>
      <c r="H117" s="90" t="str">
        <f>'14U BOYS SILVER-16 TEAMS'!H15&amp;""</f>
        <v>12</v>
      </c>
      <c r="I117" s="36" t="str">
        <f>'14U BOYS SILVER-16 TEAMS'!I15&amp;""</f>
        <v>W/L C1/C4</v>
      </c>
      <c r="J117" s="36" t="str">
        <f>'14U BOYS SILVER-16 TEAMS'!J15&amp;""</f>
        <v>14U_BOYS_SILVER</v>
      </c>
      <c r="K117" s="36" t="str">
        <f t="shared" si="1"/>
        <v>202603071020</v>
      </c>
    </row>
    <row r="118" spans="1:11">
      <c r="A118" s="88">
        <f>'14U BOYS SILVER-16 TEAMS'!A16</f>
        <v>46088</v>
      </c>
      <c r="B118" s="87">
        <f>'14U BOYS SILVER-16 TEAMS'!B16</f>
        <v>0.46527777777777801</v>
      </c>
      <c r="C118" s="87" t="str">
        <f>'14U BOYS SILVER-16 TEAMS'!C16&amp;""</f>
        <v>ESTANCIA HS 2</v>
      </c>
      <c r="D118" s="36" t="str">
        <f>'14U BOYS SILVER-16 TEAMS'!D16&amp;""</f>
        <v>14Bag05</v>
      </c>
      <c r="E118" s="36" t="str">
        <f>'14U BOYS SILVER-16 TEAMS'!E16&amp;""</f>
        <v>L#1-TROJAN GOLD</v>
      </c>
      <c r="F118" s="36" t="str">
        <f>'14U BOYS SILVER-16 TEAMS'!F16&amp;""</f>
        <v>9</v>
      </c>
      <c r="G118" s="36" t="str">
        <f>'14U BOYS SILVER-16 TEAMS'!G16&amp;""</f>
        <v>L#2-SAND CANYON</v>
      </c>
      <c r="H118" s="36" t="str">
        <f>'14U BOYS SILVER-16 TEAMS'!H16&amp;""</f>
        <v>18</v>
      </c>
      <c r="I118" s="36" t="str">
        <f>'14U BOYS SILVER-16 TEAMS'!I16&amp;""</f>
        <v>3rd/4thA</v>
      </c>
      <c r="J118" s="36" t="str">
        <f>'14U BOYS SILVER-16 TEAMS'!J16&amp;""</f>
        <v>14U_BOYS_SILVER</v>
      </c>
      <c r="K118" s="36" t="str">
        <f t="shared" si="1"/>
        <v>202603071110</v>
      </c>
    </row>
    <row r="119" spans="1:11">
      <c r="A119" s="88">
        <f>'14U BOYS SILVER-16 TEAMS'!A17</f>
        <v>46088</v>
      </c>
      <c r="B119" s="87">
        <f>'14U BOYS SILVER-16 TEAMS'!B17</f>
        <v>0.5</v>
      </c>
      <c r="C119" s="87" t="str">
        <f>'14U BOYS SILVER-16 TEAMS'!C17&amp;""</f>
        <v>ESTANCIA HS 2</v>
      </c>
      <c r="D119" s="36" t="str">
        <f>'14U BOYS SILVER-16 TEAMS'!D17&amp;""</f>
        <v>14Bag06</v>
      </c>
      <c r="E119" s="36" t="str">
        <f>'14U BOYS SILVER-16 TEAMS'!E17&amp;""</f>
        <v>W#1-BREA OLINDA GOLD</v>
      </c>
      <c r="F119" s="36" t="str">
        <f>'14U BOYS SILVER-16 TEAMS'!F17&amp;""</f>
        <v>17</v>
      </c>
      <c r="G119" s="36" t="str">
        <f>'14U BOYS SILVER-16 TEAMS'!G17&amp;""</f>
        <v>W#2-SAN DIEGO DONS 12 BLACK</v>
      </c>
      <c r="H119" s="36" t="str">
        <f>'14U BOYS SILVER-16 TEAMS'!H17&amp;""</f>
        <v>12</v>
      </c>
      <c r="I119" s="36" t="str">
        <f>'14U BOYS SILVER-16 TEAMS'!I17&amp;""</f>
        <v>1st/2ndA</v>
      </c>
      <c r="J119" s="36" t="str">
        <f>'14U BOYS SILVER-16 TEAMS'!J17&amp;""</f>
        <v>14U_BOYS_SILVER</v>
      </c>
      <c r="K119" s="36" t="str">
        <f t="shared" si="1"/>
        <v>202603071200</v>
      </c>
    </row>
    <row r="120" spans="1:11">
      <c r="A120" s="88">
        <f>'14U BOYS SILVER-16 TEAMS'!A18</f>
        <v>46088</v>
      </c>
      <c r="B120" s="87">
        <f>'14U BOYS SILVER-16 TEAMS'!B18</f>
        <v>0.53472222222222199</v>
      </c>
      <c r="C120" s="87" t="str">
        <f>'14U BOYS SILVER-16 TEAMS'!C18&amp;""</f>
        <v>ESTANCIA HS 2</v>
      </c>
      <c r="D120" s="36" t="str">
        <f>'14U BOYS SILVER-16 TEAMS'!D18&amp;""</f>
        <v>14Bag11</v>
      </c>
      <c r="E120" s="36" t="str">
        <f>'14U BOYS SILVER-16 TEAMS'!E18&amp;""</f>
        <v>B2-PASADENA AC ORANGE</v>
      </c>
      <c r="F120" s="36" t="str">
        <f>'14U BOYS SILVER-16 TEAMS'!F18&amp;""</f>
        <v>15</v>
      </c>
      <c r="G120" s="36" t="str">
        <f>'14U BOYS SILVER-16 TEAMS'!G18&amp;""</f>
        <v>B3-SAN CLEMENTE BLACK</v>
      </c>
      <c r="H120" s="36" t="str">
        <f>'14U BOYS SILVER-16 TEAMS'!H18&amp;""</f>
        <v>9</v>
      </c>
      <c r="I120" s="36" t="str">
        <f>'14U BOYS SILVER-16 TEAMS'!I18&amp;""</f>
        <v>W/L B2/B3</v>
      </c>
      <c r="J120" s="36" t="str">
        <f>'14U BOYS SILVER-16 TEAMS'!J18&amp;""</f>
        <v>14U_BOYS_SILVER</v>
      </c>
      <c r="K120" s="36" t="str">
        <f t="shared" si="1"/>
        <v>202603071250</v>
      </c>
    </row>
    <row r="121" spans="1:11">
      <c r="A121" s="88">
        <f>'14U BOYS SILVER-16 TEAMS'!A19</f>
        <v>46088</v>
      </c>
      <c r="B121" s="87">
        <f>'14U BOYS SILVER-16 TEAMS'!B19</f>
        <v>0.56944444444444497</v>
      </c>
      <c r="C121" s="87" t="str">
        <f>'14U BOYS SILVER-16 TEAMS'!C19&amp;""</f>
        <v>ESTANCIA HS 2</v>
      </c>
      <c r="D121" s="36" t="str">
        <f>'14U BOYS SILVER-16 TEAMS'!D19&amp;""</f>
        <v>14Bag12</v>
      </c>
      <c r="E121" s="36" t="str">
        <f>'14U BOYS SILVER-16 TEAMS'!E19&amp;""</f>
        <v>B1-RIVERSIDE</v>
      </c>
      <c r="F121" s="36" t="str">
        <f>'14U BOYS SILVER-16 TEAMS'!F19&amp;""</f>
        <v>8</v>
      </c>
      <c r="G121" s="36" t="str">
        <f>'14U BOYS SILVER-16 TEAMS'!G19&amp;""</f>
        <v>B4-RANCHO TSUNAMI 12 BLUE</v>
      </c>
      <c r="H121" s="36" t="str">
        <f>'14U BOYS SILVER-16 TEAMS'!H19&amp;""</f>
        <v>12</v>
      </c>
      <c r="I121" s="36" t="str">
        <f>'14U BOYS SILVER-16 TEAMS'!I19&amp;""</f>
        <v>W/L B1/B4</v>
      </c>
      <c r="J121" s="36" t="str">
        <f>'14U BOYS SILVER-16 TEAMS'!J19&amp;""</f>
        <v>14U_BOYS_SILVER</v>
      </c>
      <c r="K121" s="36" t="str">
        <f t="shared" si="1"/>
        <v>202603071340</v>
      </c>
    </row>
    <row r="122" spans="1:11">
      <c r="A122" s="88">
        <f>'14U BOYS SILVER-16 TEAMS'!A21</f>
        <v>46088</v>
      </c>
      <c r="B122" s="87">
        <f>'14U BOYS SILVER-16 TEAMS'!B21</f>
        <v>0.60416666666666696</v>
      </c>
      <c r="C122" s="87" t="str">
        <f>'14U BOYS SILVER-16 TEAMS'!C21&amp;""</f>
        <v>ESTANCIA HS 2</v>
      </c>
      <c r="D122" s="36" t="str">
        <f>'14U BOYS SILVER-16 TEAMS'!D21&amp;""</f>
        <v>14Bag07</v>
      </c>
      <c r="E122" s="36" t="str">
        <f>'14U BOYS SILVER-16 TEAMS'!E21&amp;""</f>
        <v>L#3-GOLD COAST</v>
      </c>
      <c r="F122" s="36" t="str">
        <f>'14U BOYS SILVER-16 TEAMS'!F21&amp;""</f>
        <v>17</v>
      </c>
      <c r="G122" s="36" t="str">
        <f>'14U BOYS SILVER-16 TEAMS'!G21&amp;""</f>
        <v>L#4-TSM</v>
      </c>
      <c r="H122" s="36" t="str">
        <f>'14U BOYS SILVER-16 TEAMS'!H21&amp;""</f>
        <v>3</v>
      </c>
      <c r="I122" s="36" t="str">
        <f>'14U BOYS SILVER-16 TEAMS'!I21&amp;""</f>
        <v>3rd/4thC</v>
      </c>
      <c r="J122" s="36" t="str">
        <f>'14U BOYS SILVER-16 TEAMS'!J21&amp;""</f>
        <v>14U_BOYS_SILVER</v>
      </c>
      <c r="K122" s="36" t="str">
        <f t="shared" si="1"/>
        <v>202603071430</v>
      </c>
    </row>
    <row r="123" spans="1:11">
      <c r="A123" s="88">
        <f>'14U BOYS SILVER-16 TEAMS'!A24</f>
        <v>46088</v>
      </c>
      <c r="B123" s="87">
        <f>'14U BOYS SILVER-16 TEAMS'!B24</f>
        <v>0.63888888888888895</v>
      </c>
      <c r="C123" s="87" t="str">
        <f>'14U BOYS SILVER-16 TEAMS'!C24&amp;""</f>
        <v>ESTANCIA HS 2</v>
      </c>
      <c r="D123" s="36" t="str">
        <f>'14U BOYS SILVER-16 TEAMS'!D24&amp;""</f>
        <v>14Bag15</v>
      </c>
      <c r="E123" s="36" t="str">
        <f>'14U BOYS SILVER-16 TEAMS'!E24&amp;""</f>
        <v>L#11-SAN CLEMENTE BLACK</v>
      </c>
      <c r="F123" s="36" t="str">
        <f>'14U BOYS SILVER-16 TEAMS'!F24&amp;""</f>
        <v>16</v>
      </c>
      <c r="G123" s="36" t="str">
        <f>'14U BOYS SILVER-16 TEAMS'!G24&amp;""</f>
        <v>L#12-RIVERSIDE</v>
      </c>
      <c r="H123" s="36" t="str">
        <f>'14U BOYS SILVER-16 TEAMS'!H24&amp;""</f>
        <v>12</v>
      </c>
      <c r="I123" s="36" t="str">
        <f>'14U BOYS SILVER-16 TEAMS'!I24&amp;""</f>
        <v>3rd/4thB</v>
      </c>
      <c r="J123" s="36" t="str">
        <f>'14U BOYS SILVER-16 TEAMS'!J24&amp;""</f>
        <v>14U_BOYS_SILVER</v>
      </c>
      <c r="K123" s="36" t="str">
        <f t="shared" si="1"/>
        <v>202603071520</v>
      </c>
    </row>
    <row r="124" spans="1:11">
      <c r="A124" s="88">
        <f>'14U BOYS SILVER-16 TEAMS'!A29</f>
        <v>46089</v>
      </c>
      <c r="B124" s="87">
        <f>'14U BOYS SILVER-16 TEAMS'!B29</f>
        <v>0.3263888888888889</v>
      </c>
      <c r="C124" s="87" t="str">
        <f>'14U BOYS SILVER-16 TEAMS'!C29&amp;""</f>
        <v>ESTANCIA HS 2</v>
      </c>
      <c r="D124" s="36" t="str">
        <f>'14U BOYS SILVER-16 TEAMS'!D29&amp;""</f>
        <v>14Bag27</v>
      </c>
      <c r="E124" s="36" t="str">
        <f>'14U BOYS SILVER-16 TEAMS'!E29&amp;""</f>
        <v>3rdA-SAND CANYON</v>
      </c>
      <c r="F124" s="36" t="str">
        <f>'14U BOYS SILVER-16 TEAMS'!F29&amp;""</f>
        <v>17</v>
      </c>
      <c r="G124" s="36" t="str">
        <f>'14U BOYS SILVER-16 TEAMS'!G29&amp;""</f>
        <v>3rdD-TITANS</v>
      </c>
      <c r="H124" s="36" t="str">
        <f>'14U BOYS SILVER-16 TEAMS'!H29&amp;""</f>
        <v>8</v>
      </c>
      <c r="I124" s="36" t="str">
        <f>'14U BOYS SILVER-16 TEAMS'!I29&amp;""</f>
        <v>9-12 semi 3A/3D</v>
      </c>
      <c r="J124" s="36" t="str">
        <f>'14U BOYS SILVER-16 TEAMS'!J29&amp;""</f>
        <v>14U_BOYS_SILVER</v>
      </c>
      <c r="K124" s="36" t="str">
        <f t="shared" si="1"/>
        <v>202603080750</v>
      </c>
    </row>
    <row r="125" spans="1:11">
      <c r="A125" s="88">
        <f>'14U BOYS SILVER-16 TEAMS'!A30</f>
        <v>46089</v>
      </c>
      <c r="B125" s="87">
        <f>'14U BOYS SILVER-16 TEAMS'!B30</f>
        <v>0.36111111111111099</v>
      </c>
      <c r="C125" s="87" t="str">
        <f>'14U BOYS SILVER-16 TEAMS'!C30&amp;""</f>
        <v>ESTANCIA HS 2</v>
      </c>
      <c r="D125" s="36" t="str">
        <f>'14U BOYS SILVER-16 TEAMS'!D30&amp;""</f>
        <v>14Bag28</v>
      </c>
      <c r="E125" s="36" t="str">
        <f>'14U BOYS SILVER-16 TEAMS'!E30&amp;""</f>
        <v>3rdB-SAN CLEMENTE BLACK</v>
      </c>
      <c r="F125" s="36" t="str">
        <f>'14U BOYS SILVER-16 TEAMS'!F30&amp;""</f>
        <v>10</v>
      </c>
      <c r="G125" s="36" t="str">
        <f>'14U BOYS SILVER-16 TEAMS'!G30&amp;""</f>
        <v>3rdC-GOLD COAST</v>
      </c>
      <c r="H125" s="36" t="str">
        <f>'14U BOYS SILVER-16 TEAMS'!H30&amp;""</f>
        <v>11</v>
      </c>
      <c r="I125" s="36" t="str">
        <f>'14U BOYS SILVER-16 TEAMS'!I30&amp;""</f>
        <v>9-12 semi 3B/3C</v>
      </c>
      <c r="J125" s="36" t="str">
        <f>'14U BOYS SILVER-16 TEAMS'!J30&amp;""</f>
        <v>14U_BOYS_SILVER</v>
      </c>
      <c r="K125" s="36" t="str">
        <f t="shared" si="1"/>
        <v>202603080840</v>
      </c>
    </row>
    <row r="126" spans="1:11">
      <c r="A126" s="88">
        <f>'14U BOYS SILVER-16 TEAMS'!A31</f>
        <v>46089</v>
      </c>
      <c r="B126" s="87">
        <f>'14U BOYS SILVER-16 TEAMS'!B31</f>
        <v>0.39583333333333398</v>
      </c>
      <c r="C126" s="87" t="str">
        <f>'14U BOYS SILVER-16 TEAMS'!C31&amp;""</f>
        <v>ESTANCIA HS 2</v>
      </c>
      <c r="D126" s="36" t="str">
        <f>'14U BOYS SILVER-16 TEAMS'!D31&amp;""</f>
        <v>14Bag21</v>
      </c>
      <c r="E126" s="36" t="str">
        <f>'14U BOYS SILVER-16 TEAMS'!E31&amp;""</f>
        <v>2ndD-ORWP B</v>
      </c>
      <c r="F126" s="36" t="str">
        <f>'14U BOYS SILVER-16 TEAMS'!F31&amp;""</f>
        <v>10</v>
      </c>
      <c r="G126" s="36" t="str">
        <f>'14U BOYS SILVER-16 TEAMS'!G31&amp;""</f>
        <v>2ndA-SAN DIEGO DONS 12 BLACK</v>
      </c>
      <c r="H126" s="36" t="str">
        <f>'14U BOYS SILVER-16 TEAMS'!H31&amp;""</f>
        <v>7</v>
      </c>
      <c r="I126" s="36" t="str">
        <f>'14U BOYS SILVER-16 TEAMS'!I31&amp;""</f>
        <v>5-8 semi 2D/2A</v>
      </c>
      <c r="J126" s="36" t="str">
        <f>'14U BOYS SILVER-16 TEAMS'!J31&amp;""</f>
        <v>14U_BOYS_SILVER</v>
      </c>
      <c r="K126" s="36" t="str">
        <f t="shared" si="1"/>
        <v>202603080930</v>
      </c>
    </row>
    <row r="127" spans="1:11">
      <c r="A127" s="88">
        <f>'14U BOYS SILVER-16 TEAMS'!A34</f>
        <v>46089</v>
      </c>
      <c r="B127" s="87">
        <f>'14U BOYS SILVER-16 TEAMS'!B34</f>
        <v>0.43055555555555602</v>
      </c>
      <c r="C127" s="87" t="str">
        <f>'14U BOYS SILVER-16 TEAMS'!C34&amp;""</f>
        <v>ESTANCIA HS 2</v>
      </c>
      <c r="D127" s="36" t="str">
        <f>'14U BOYS SILVER-16 TEAMS'!D34&amp;""</f>
        <v>14Bag22</v>
      </c>
      <c r="E127" s="36" t="str">
        <f>'14U BOYS SILVER-16 TEAMS'!E34&amp;""</f>
        <v>2ndC-NORTH IRVINE 12 BLACK</v>
      </c>
      <c r="F127" s="36" t="str">
        <f>'14U BOYS SILVER-16 TEAMS'!F34&amp;""</f>
        <v>5</v>
      </c>
      <c r="G127" s="36" t="str">
        <f>'14U BOYS SILVER-16 TEAMS'!G34&amp;""</f>
        <v>2ndB-PASADENA AC ORANGE</v>
      </c>
      <c r="H127" s="36" t="str">
        <f>'14U BOYS SILVER-16 TEAMS'!H34&amp;""</f>
        <v>8</v>
      </c>
      <c r="I127" s="36" t="str">
        <f>'14U BOYS SILVER-16 TEAMS'!I34&amp;""</f>
        <v>5-8 semi 2C/2B</v>
      </c>
      <c r="J127" s="36" t="str">
        <f>'14U BOYS SILVER-16 TEAMS'!J34&amp;""</f>
        <v>14U_BOYS_SILVER</v>
      </c>
      <c r="K127" s="36" t="str">
        <f t="shared" si="1"/>
        <v>202603081020</v>
      </c>
    </row>
    <row r="128" spans="1:11">
      <c r="A128" s="88">
        <f>'14U BOYS SILVER-16 TEAMS'!A35</f>
        <v>46089</v>
      </c>
      <c r="B128" s="87">
        <f>'14U BOYS SILVER-16 TEAMS'!B35</f>
        <v>0.46527777777777801</v>
      </c>
      <c r="C128" s="87" t="str">
        <f>'14U BOYS SILVER-16 TEAMS'!C35&amp;""</f>
        <v>ESTANCIA HS 2</v>
      </c>
      <c r="D128" s="36" t="str">
        <f>'14U BOYS SILVER-16 TEAMS'!D35&amp;""</f>
        <v>14Bag19</v>
      </c>
      <c r="E128" s="36" t="str">
        <f>'14U BOYS SILVER-16 TEAMS'!E35&amp;""</f>
        <v>1stA-BREA OLINDA GOLD</v>
      </c>
      <c r="F128" s="36" t="str">
        <f>'14U BOYS SILVER-16 TEAMS'!F35&amp;""</f>
        <v>9</v>
      </c>
      <c r="G128" s="36" t="str">
        <f>'14U BOYS SILVER-16 TEAMS'!G35&amp;""</f>
        <v>1stD-NEWPORT BEACH SILVER</v>
      </c>
      <c r="H128" s="36" t="str">
        <f>'14U BOYS SILVER-16 TEAMS'!H35&amp;""</f>
        <v>3</v>
      </c>
      <c r="I128" s="36" t="str">
        <f>'14U BOYS SILVER-16 TEAMS'!I35&amp;""</f>
        <v>1-4 semi 1A/1D</v>
      </c>
      <c r="J128" s="36" t="str">
        <f>'14U BOYS SILVER-16 TEAMS'!J35&amp;""</f>
        <v>14U_BOYS_SILVER</v>
      </c>
      <c r="K128" s="36" t="str">
        <f t="shared" si="1"/>
        <v>202603081110</v>
      </c>
    </row>
    <row r="129" spans="1:11">
      <c r="A129" s="88">
        <f>'14U BOYS SILVER-16 TEAMS'!A36</f>
        <v>46089</v>
      </c>
      <c r="B129" s="87">
        <f>'14U BOYS SILVER-16 TEAMS'!B36</f>
        <v>0.5</v>
      </c>
      <c r="C129" s="87" t="str">
        <f>'14U BOYS SILVER-16 TEAMS'!C36&amp;""</f>
        <v>ESTANCIA HS 2</v>
      </c>
      <c r="D129" s="36" t="str">
        <f>'14U BOYS SILVER-16 TEAMS'!D36&amp;""</f>
        <v>14Bag20</v>
      </c>
      <c r="E129" s="36" t="str">
        <f>'14U BOYS SILVER-16 TEAMS'!E36&amp;""</f>
        <v>1stB-RANCHO TSUNAMI 12 BLUE</v>
      </c>
      <c r="F129" s="36" t="str">
        <f>'14U BOYS SILVER-16 TEAMS'!F36&amp;""</f>
        <v>7</v>
      </c>
      <c r="G129" s="36" t="str">
        <f>'14U BOYS SILVER-16 TEAMS'!G36&amp;""</f>
        <v>1stC-PALOS VERDES B</v>
      </c>
      <c r="H129" s="36" t="str">
        <f>'14U BOYS SILVER-16 TEAMS'!H36&amp;""</f>
        <v>9</v>
      </c>
      <c r="I129" s="36" t="str">
        <f>'14U BOYS SILVER-16 TEAMS'!I36&amp;""</f>
        <v>1-4 semi 1B/1C</v>
      </c>
      <c r="J129" s="36" t="str">
        <f>'14U BOYS SILVER-16 TEAMS'!J36&amp;""</f>
        <v>14U_BOYS_SILVER</v>
      </c>
      <c r="K129" s="36" t="str">
        <f t="shared" si="1"/>
        <v>202603081200</v>
      </c>
    </row>
    <row r="130" spans="1:11">
      <c r="A130" s="88">
        <f>'14U BOYS SILVER-16 TEAMS'!A37</f>
        <v>46089</v>
      </c>
      <c r="B130" s="87">
        <f>'14U BOYS SILVER-16 TEAMS'!B37</f>
        <v>0.53472222222222199</v>
      </c>
      <c r="C130" s="87" t="str">
        <f>'14U BOYS SILVER-16 TEAMS'!C37&amp;""</f>
        <v>ESTANCIA HS 2</v>
      </c>
      <c r="D130" s="36" t="str">
        <f>'14U BOYS SILVER-16 TEAMS'!D37&amp;""</f>
        <v>14Bag25</v>
      </c>
      <c r="E130" s="36" t="str">
        <f>'14U BOYS SILVER-16 TEAMS'!E37&amp;""</f>
        <v>W#21-ORWP B</v>
      </c>
      <c r="F130" s="36" t="str">
        <f>'14U BOYS SILVER-16 TEAMS'!F37&amp;""</f>
        <v>7</v>
      </c>
      <c r="G130" s="36" t="str">
        <f>'14U BOYS SILVER-16 TEAMS'!G37&amp;""</f>
        <v>W#22-PASADENA AC ORANGE</v>
      </c>
      <c r="H130" s="36" t="str">
        <f>'14U BOYS SILVER-16 TEAMS'!H37&amp;""</f>
        <v>20</v>
      </c>
      <c r="I130" s="36" t="str">
        <f>'14U BOYS SILVER-16 TEAMS'!I37&amp;""</f>
        <v>5th</v>
      </c>
      <c r="J130" s="36" t="str">
        <f>'14U BOYS SILVER-16 TEAMS'!J37&amp;""</f>
        <v>14U_BOYS_SILVER</v>
      </c>
      <c r="K130" s="36" t="str">
        <f t="shared" ref="K130:K193" si="2">TEXT(DATE(2026, MONTH(A130), DAY(A130)) + TIME(HOUR(B130), MINUTE(B130), 0), "yyyymmddhhmm")</f>
        <v>202603081250</v>
      </c>
    </row>
    <row r="131" spans="1:11">
      <c r="A131" s="88">
        <f>'14U BOYS SILVER-16 TEAMS'!A39</f>
        <v>46089</v>
      </c>
      <c r="B131" s="87">
        <f>'14U BOYS SILVER-16 TEAMS'!B39</f>
        <v>0.56944444444444497</v>
      </c>
      <c r="C131" s="87" t="str">
        <f>'14U BOYS SILVER-16 TEAMS'!C39&amp;""</f>
        <v>ESTANCIA HS 2</v>
      </c>
      <c r="D131" s="36" t="str">
        <f>'14U BOYS SILVER-16 TEAMS'!D39&amp;""</f>
        <v>14Bag26</v>
      </c>
      <c r="E131" s="36" t="str">
        <f>'14U BOYS SILVER-16 TEAMS'!E39&amp;""</f>
        <v>L#21-SAN DIEGO DONS 12 BLACK</v>
      </c>
      <c r="F131" s="36" t="str">
        <f>'14U BOYS SILVER-16 TEAMS'!F39&amp;""</f>
        <v>9</v>
      </c>
      <c r="G131" s="89" t="str">
        <f>'14U BOYS SILVER-16 TEAMS'!G39&amp;""</f>
        <v>L#22-NORTH IRVINE 12 BLACK</v>
      </c>
      <c r="H131" s="36" t="str">
        <f>'14U BOYS SILVER-16 TEAMS'!H39&amp;""</f>
        <v>15</v>
      </c>
      <c r="I131" s="36" t="str">
        <f>'14U BOYS SILVER-16 TEAMS'!I39&amp;""</f>
        <v>7th</v>
      </c>
      <c r="J131" s="36" t="str">
        <f>'14U BOYS SILVER-16 TEAMS'!J39&amp;""</f>
        <v>14U_BOYS_SILVER</v>
      </c>
      <c r="K131" s="36" t="str">
        <f t="shared" si="2"/>
        <v>202603081340</v>
      </c>
    </row>
    <row r="132" spans="1:11">
      <c r="A132" s="88">
        <f>'14U BOYS SILVER-16 TEAMS'!A42</f>
        <v>46089</v>
      </c>
      <c r="B132" s="87">
        <f>'14U BOYS SILVER-16 TEAMS'!B42</f>
        <v>0.60416666666666696</v>
      </c>
      <c r="C132" s="87" t="str">
        <f>'14U BOYS SILVER-16 TEAMS'!C42&amp;""</f>
        <v>ESTANCIA HS 2</v>
      </c>
      <c r="D132" s="36" t="str">
        <f>'14U BOYS SILVER-16 TEAMS'!D42&amp;""</f>
        <v>14Bag23</v>
      </c>
      <c r="E132" s="36" t="str">
        <f>'14U BOYS SILVER-16 TEAMS'!E42&amp;""</f>
        <v>L#19-NEWPORT BEACH SILVER</v>
      </c>
      <c r="F132" s="36" t="str">
        <f>'14U BOYS SILVER-16 TEAMS'!F42&amp;""</f>
        <v>9</v>
      </c>
      <c r="G132" s="36" t="str">
        <f>'14U BOYS SILVER-16 TEAMS'!G42&amp;""</f>
        <v>L#20-RANCHO TSUNAMI 12 BLUE</v>
      </c>
      <c r="H132" s="36" t="str">
        <f>'14U BOYS SILVER-16 TEAMS'!H42&amp;""</f>
        <v>10</v>
      </c>
      <c r="I132" s="36" t="str">
        <f>'14U BOYS SILVER-16 TEAMS'!I42&amp;""</f>
        <v>3rd</v>
      </c>
      <c r="J132" s="36" t="str">
        <f>'14U BOYS SILVER-16 TEAMS'!J42&amp;""</f>
        <v>14U_BOYS_SILVER</v>
      </c>
      <c r="K132" s="36" t="str">
        <f t="shared" si="2"/>
        <v>202603081430</v>
      </c>
    </row>
    <row r="133" spans="1:11">
      <c r="A133" s="88">
        <f>'14U BOYS SILVER-16 TEAMS'!A44</f>
        <v>46089</v>
      </c>
      <c r="B133" s="87">
        <f>'14U BOYS SILVER-16 TEAMS'!B44</f>
        <v>0.63888888888888895</v>
      </c>
      <c r="C133" s="87" t="str">
        <f>'14U BOYS SILVER-16 TEAMS'!C44&amp;""</f>
        <v>ESTANCIA HS 2</v>
      </c>
      <c r="D133" s="36" t="str">
        <f>'14U BOYS SILVER-16 TEAMS'!D44&amp;""</f>
        <v>14Bag24</v>
      </c>
      <c r="E133" s="36" t="str">
        <f>'14U BOYS SILVER-16 TEAMS'!E44&amp;""</f>
        <v>W#19-BREA OLINDA GOLD</v>
      </c>
      <c r="F133" s="36" t="str">
        <f>'14U BOYS SILVER-16 TEAMS'!F44&amp;""</f>
        <v>3</v>
      </c>
      <c r="G133" s="36" t="str">
        <f>'14U BOYS SILVER-16 TEAMS'!G44&amp;""</f>
        <v>W#20-PALOS VERDES B</v>
      </c>
      <c r="H133" s="36" t="str">
        <f>'14U BOYS SILVER-16 TEAMS'!H44&amp;""</f>
        <v>12</v>
      </c>
      <c r="I133" s="36" t="str">
        <f>'14U BOYS SILVER-16 TEAMS'!I44&amp;""</f>
        <v>1st</v>
      </c>
      <c r="J133" s="36" t="str">
        <f>'14U BOYS SILVER-16 TEAMS'!J44&amp;""</f>
        <v>14U_BOYS_SILVER</v>
      </c>
      <c r="K133" s="36" t="str">
        <f t="shared" si="2"/>
        <v>202603081520</v>
      </c>
    </row>
    <row r="134" spans="1:11">
      <c r="A134" s="86">
        <f>'12U COED GIRLS-9 TEAMS CUSTOM'!A14</f>
        <v>46088</v>
      </c>
      <c r="B134" s="85">
        <f>'12U COED GIRLS-9 TEAMS CUSTOM'!B14</f>
        <v>0.36111111111111099</v>
      </c>
      <c r="C134" s="24" t="str">
        <f>'12U COED GIRLS-9 TEAMS CUSTOM'!C14&amp;""</f>
        <v>LAGUNA HILLS HS</v>
      </c>
      <c r="D134" s="24" t="str">
        <f>'12U COED GIRLS-9 TEAMS CUSTOM'!D14&amp;""</f>
        <v>12GC01</v>
      </c>
      <c r="E134" s="24" t="str">
        <f>'12U COED GIRLS-9 TEAMS CUSTOM'!E14&amp;""</f>
        <v>A1-HIELAND</v>
      </c>
      <c r="F134" s="24" t="str">
        <f>'12U COED GIRLS-9 TEAMS CUSTOM'!F14&amp;""</f>
        <v>2</v>
      </c>
      <c r="G134" s="24" t="str">
        <f>'12U COED GIRLS-9 TEAMS CUSTOM'!G14&amp;""</f>
        <v>A3-TRILOGY</v>
      </c>
      <c r="H134" s="24" t="str">
        <f>'12U COED GIRLS-9 TEAMS CUSTOM'!H14&amp;""</f>
        <v>7</v>
      </c>
      <c r="I134" s="24" t="str">
        <f>'12U COED GIRLS-9 TEAMS CUSTOM'!I14&amp;""</f>
        <v>A bracket A1,A3</v>
      </c>
      <c r="J134" s="24" t="str">
        <f>'12U COED GIRLS-9 TEAMS CUSTOM'!J14&amp;""</f>
        <v>12U_COED_GIRLS</v>
      </c>
      <c r="K134" s="24" t="str">
        <f t="shared" si="2"/>
        <v>202603070840</v>
      </c>
    </row>
    <row r="135" spans="1:11">
      <c r="A135" s="86">
        <f>'12U COED GIRLS-9 TEAMS CUSTOM'!A15</f>
        <v>46088</v>
      </c>
      <c r="B135" s="85">
        <f>'12U COED GIRLS-9 TEAMS CUSTOM'!B15</f>
        <v>0.39583333333333398</v>
      </c>
      <c r="C135" s="24" t="str">
        <f>'12U COED GIRLS-9 TEAMS CUSTOM'!C15&amp;""</f>
        <v>LAGUNA HILLS HS</v>
      </c>
      <c r="D135" s="24" t="str">
        <f>'12U COED GIRLS-9 TEAMS CUSTOM'!D15&amp;""</f>
        <v>12GC02</v>
      </c>
      <c r="E135" s="24" t="str">
        <f>'12U COED GIRLS-9 TEAMS CUSTOM'!E15&amp;""</f>
        <v>B1-ARROYO GRANDE</v>
      </c>
      <c r="F135" s="24" t="str">
        <f>'12U COED GIRLS-9 TEAMS CUSTOM'!F15&amp;""</f>
        <v>4</v>
      </c>
      <c r="G135" s="24" t="str">
        <f>'12U COED GIRLS-9 TEAMS CUSTOM'!G15&amp;""</f>
        <v>B3-VIKING</v>
      </c>
      <c r="H135" s="24" t="str">
        <f>'12U COED GIRLS-9 TEAMS CUSTOM'!H15&amp;""</f>
        <v>8</v>
      </c>
      <c r="I135" s="24" t="str">
        <f>'12U COED GIRLS-9 TEAMS CUSTOM'!I15&amp;""</f>
        <v>B bracket B1,B3</v>
      </c>
      <c r="J135" s="24" t="str">
        <f>'12U COED GIRLS-9 TEAMS CUSTOM'!J15&amp;""</f>
        <v>12U_COED_GIRLS</v>
      </c>
      <c r="K135" s="24" t="str">
        <f t="shared" si="2"/>
        <v>202603070930</v>
      </c>
    </row>
    <row r="136" spans="1:11">
      <c r="A136" s="86">
        <f>'12U COED GIRLS-9 TEAMS CUSTOM'!A16</f>
        <v>46088</v>
      </c>
      <c r="B136" s="85">
        <f>'12U COED GIRLS-9 TEAMS CUSTOM'!B16</f>
        <v>0.43055555555555602</v>
      </c>
      <c r="C136" s="24" t="str">
        <f>'12U COED GIRLS-9 TEAMS CUSTOM'!C16&amp;""</f>
        <v>LAGUNA HILLS HS</v>
      </c>
      <c r="D136" s="24" t="str">
        <f>'12U COED GIRLS-9 TEAMS CUSTOM'!D16&amp;""</f>
        <v>12GC03</v>
      </c>
      <c r="E136" s="85" t="str">
        <f>'12U COED GIRLS-9 TEAMS CUSTOM'!E16&amp;""</f>
        <v>C1-INNIS ARDEN</v>
      </c>
      <c r="F136" s="24" t="str">
        <f>'12U COED GIRLS-9 TEAMS CUSTOM'!F16&amp;""</f>
        <v>15</v>
      </c>
      <c r="G136" s="85" t="str">
        <f>'12U COED GIRLS-9 TEAMS CUSTOM'!G16&amp;""</f>
        <v>C3-LAGUNA BEACH GIRLS</v>
      </c>
      <c r="H136" s="24" t="str">
        <f>'12U COED GIRLS-9 TEAMS CUSTOM'!H16&amp;""</f>
        <v>5</v>
      </c>
      <c r="I136" s="24" t="str">
        <f>'12U COED GIRLS-9 TEAMS CUSTOM'!I16&amp;""</f>
        <v>C bracket C1,C3</v>
      </c>
      <c r="J136" s="24" t="str">
        <f>'12U COED GIRLS-9 TEAMS CUSTOM'!J16&amp;""</f>
        <v>12U_COED_GIRLS</v>
      </c>
      <c r="K136" s="24" t="str">
        <f t="shared" si="2"/>
        <v>202603071020</v>
      </c>
    </row>
    <row r="137" spans="1:11">
      <c r="A137" s="86">
        <f>'12U COED GIRLS-9 TEAMS CUSTOM'!A17</f>
        <v>46088</v>
      </c>
      <c r="B137" s="85">
        <f>'12U COED GIRLS-9 TEAMS CUSTOM'!B17</f>
        <v>0.46527777777777801</v>
      </c>
      <c r="C137" s="24" t="str">
        <f>'12U COED GIRLS-9 TEAMS CUSTOM'!C17&amp;""</f>
        <v>LAGUNA HILLS HS</v>
      </c>
      <c r="D137" s="24" t="str">
        <f>'12U COED GIRLS-9 TEAMS CUSTOM'!D17&amp;""</f>
        <v>12GC04</v>
      </c>
      <c r="E137" s="24" t="str">
        <f>'12U COED GIRLS-9 TEAMS CUSTOM'!E17&amp;""</f>
        <v>A2-PALOS VERDES</v>
      </c>
      <c r="F137" s="24" t="str">
        <f>'12U COED GIRLS-9 TEAMS CUSTOM'!F17&amp;""</f>
        <v>4</v>
      </c>
      <c r="G137" s="24" t="str">
        <f>'12U COED GIRLS-9 TEAMS CUSTOM'!G17&amp;""</f>
        <v>A3-TRILOGY</v>
      </c>
      <c r="H137" s="24" t="str">
        <f>'12U COED GIRLS-9 TEAMS CUSTOM'!H17&amp;""</f>
        <v>11</v>
      </c>
      <c r="I137" s="24" t="str">
        <f>'12U COED GIRLS-9 TEAMS CUSTOM'!I17&amp;""</f>
        <v>A bracket A2,A3</v>
      </c>
      <c r="J137" s="24" t="str">
        <f>'12U COED GIRLS-9 TEAMS CUSTOM'!J17&amp;""</f>
        <v>12U_COED_GIRLS</v>
      </c>
      <c r="K137" s="24" t="str">
        <f t="shared" si="2"/>
        <v>202603071110</v>
      </c>
    </row>
    <row r="138" spans="1:11">
      <c r="A138" s="86">
        <f>'12U COED GIRLS-9 TEAMS CUSTOM'!A18</f>
        <v>46088</v>
      </c>
      <c r="B138" s="85">
        <f>'12U COED GIRLS-9 TEAMS CUSTOM'!B18</f>
        <v>0.5</v>
      </c>
      <c r="C138" s="24" t="str">
        <f>'12U COED GIRLS-9 TEAMS CUSTOM'!C18&amp;""</f>
        <v>LAGUNA HILLS HS</v>
      </c>
      <c r="D138" s="24" t="str">
        <f>'12U COED GIRLS-9 TEAMS CUSTOM'!D18&amp;""</f>
        <v>12GC05</v>
      </c>
      <c r="E138" s="24" t="str">
        <f>'12U COED GIRLS-9 TEAMS CUSTOM'!E18&amp;""</f>
        <v>B2-SET</v>
      </c>
      <c r="F138" s="24" t="str">
        <f>'12U COED GIRLS-9 TEAMS CUSTOM'!F18&amp;""</f>
        <v>5</v>
      </c>
      <c r="G138" s="24" t="str">
        <f>'12U COED GIRLS-9 TEAMS CUSTOM'!G18&amp;""</f>
        <v>B3-VIKING</v>
      </c>
      <c r="H138" s="24" t="str">
        <f>'12U COED GIRLS-9 TEAMS CUSTOM'!H18&amp;""</f>
        <v>15</v>
      </c>
      <c r="I138" s="24" t="str">
        <f>'12U COED GIRLS-9 TEAMS CUSTOM'!I18&amp;""</f>
        <v>B bracket B2,B3</v>
      </c>
      <c r="J138" s="24" t="str">
        <f>'12U COED GIRLS-9 TEAMS CUSTOM'!J18&amp;""</f>
        <v>12U_COED_GIRLS</v>
      </c>
      <c r="K138" s="24" t="str">
        <f t="shared" si="2"/>
        <v>202603071200</v>
      </c>
    </row>
    <row r="139" spans="1:11">
      <c r="A139" s="86">
        <f>'12U COED GIRLS-9 TEAMS CUSTOM'!A19</f>
        <v>46088</v>
      </c>
      <c r="B139" s="85">
        <f>'12U COED GIRLS-9 TEAMS CUSTOM'!B19</f>
        <v>0.53472222222222199</v>
      </c>
      <c r="C139" s="24" t="str">
        <f>'12U COED GIRLS-9 TEAMS CUSTOM'!C19&amp;""</f>
        <v>LAGUNA HILLS HS</v>
      </c>
      <c r="D139" s="24" t="str">
        <f>'12U COED GIRLS-9 TEAMS CUSTOM'!D19&amp;""</f>
        <v>12GC06</v>
      </c>
      <c r="E139" s="85" t="str">
        <f>'12U COED GIRLS-9 TEAMS CUSTOM'!E19&amp;""</f>
        <v>C2-CMAC GIRLS</v>
      </c>
      <c r="F139" s="24" t="str">
        <f>'12U COED GIRLS-9 TEAMS CUSTOM'!F19&amp;""</f>
        <v>9</v>
      </c>
      <c r="G139" s="85" t="str">
        <f>'12U COED GIRLS-9 TEAMS CUSTOM'!G19&amp;""</f>
        <v>C3-LAGUNA BEACH GIRLS</v>
      </c>
      <c r="H139" s="24" t="str">
        <f>'12U COED GIRLS-9 TEAMS CUSTOM'!H19&amp;""</f>
        <v>10</v>
      </c>
      <c r="I139" s="24" t="str">
        <f>'12U COED GIRLS-9 TEAMS CUSTOM'!I19&amp;""</f>
        <v>C bracket B2,B4 12U GIRLS 1st/2nd</v>
      </c>
      <c r="J139" s="24" t="str">
        <f>'12U COED GIRLS-9 TEAMS CUSTOM'!J19&amp;""</f>
        <v>12U_COED_GIRLS</v>
      </c>
      <c r="K139" s="24" t="str">
        <f t="shared" si="2"/>
        <v>202603071250</v>
      </c>
    </row>
    <row r="140" spans="1:11">
      <c r="A140" s="86">
        <f>'12U COED GIRLS-9 TEAMS CUSTOM'!A20</f>
        <v>46088</v>
      </c>
      <c r="B140" s="85">
        <f>'12U COED GIRLS-9 TEAMS CUSTOM'!B20</f>
        <v>0.56944444444444497</v>
      </c>
      <c r="C140" s="24" t="str">
        <f>'12U COED GIRLS-9 TEAMS CUSTOM'!C20&amp;""</f>
        <v>LAGUNA HILLS HS</v>
      </c>
      <c r="D140" s="24" t="str">
        <f>'12U COED GIRLS-9 TEAMS CUSTOM'!D20&amp;""</f>
        <v>12GC07</v>
      </c>
      <c r="E140" s="24" t="str">
        <f>'12U COED GIRLS-9 TEAMS CUSTOM'!E20&amp;""</f>
        <v>A1-HIELAND</v>
      </c>
      <c r="F140" s="24" t="str">
        <f>'12U COED GIRLS-9 TEAMS CUSTOM'!F20&amp;""</f>
        <v>6</v>
      </c>
      <c r="G140" s="24" t="str">
        <f>'12U COED GIRLS-9 TEAMS CUSTOM'!G20&amp;""</f>
        <v>A2-PALOS VERDES</v>
      </c>
      <c r="H140" s="24" t="str">
        <f>'12U COED GIRLS-9 TEAMS CUSTOM'!H20&amp;""</f>
        <v>12</v>
      </c>
      <c r="I140" s="24" t="str">
        <f>'12U COED GIRLS-9 TEAMS CUSTOM'!I20&amp;""</f>
        <v>A bracket A1,A2</v>
      </c>
      <c r="J140" s="24" t="str">
        <f>'12U COED GIRLS-9 TEAMS CUSTOM'!J20&amp;""</f>
        <v>12U_COED_GIRLS</v>
      </c>
      <c r="K140" s="24" t="str">
        <f t="shared" si="2"/>
        <v>202603071340</v>
      </c>
    </row>
    <row r="141" spans="1:11">
      <c r="A141" s="86">
        <f>'12U COED GIRLS-9 TEAMS CUSTOM'!A27</f>
        <v>46089</v>
      </c>
      <c r="B141" s="85">
        <f>'12U COED GIRLS-9 TEAMS CUSTOM'!B27</f>
        <v>0.3263888888888889</v>
      </c>
      <c r="C141" s="24" t="str">
        <f>'12U COED GIRLS-9 TEAMS CUSTOM'!C27&amp;""</f>
        <v>LAGUNA HILLS HS</v>
      </c>
      <c r="D141" s="24" t="str">
        <f>'12U COED GIRLS-9 TEAMS CUSTOM'!D27&amp;""</f>
        <v>12GC10</v>
      </c>
      <c r="E141" s="24" t="str">
        <f>'12U COED GIRLS-9 TEAMS CUSTOM'!E27&amp;""</f>
        <v>D1(1stA)-TRILOGY</v>
      </c>
      <c r="F141" s="24" t="str">
        <f>'12U COED GIRLS-9 TEAMS CUSTOM'!F27&amp;""</f>
        <v>10</v>
      </c>
      <c r="G141" s="24" t="str">
        <f>'12U COED GIRLS-9 TEAMS CUSTOM'!G27&amp;""</f>
        <v>D3(1stC)-INNIS ARDEN</v>
      </c>
      <c r="H141" s="24" t="str">
        <f>'12U COED GIRLS-9 TEAMS CUSTOM'!H27&amp;""</f>
        <v>8</v>
      </c>
      <c r="I141" s="24" t="str">
        <f>'12U COED GIRLS-9 TEAMS CUSTOM'!I27&amp;""</f>
        <v>D bracket D1,D3 Coed 1st-3rd</v>
      </c>
      <c r="J141" s="24" t="str">
        <f>'12U COED GIRLS-9 TEAMS CUSTOM'!J27&amp;""</f>
        <v>12U_COED_GIRLS</v>
      </c>
      <c r="K141" s="24" t="str">
        <f t="shared" si="2"/>
        <v>202603080750</v>
      </c>
    </row>
    <row r="142" spans="1:11">
      <c r="A142" s="86">
        <f>'12U COED GIRLS-9 TEAMS CUSTOM'!A28</f>
        <v>46089</v>
      </c>
      <c r="B142" s="85">
        <f>'12U COED GIRLS-9 TEAMS CUSTOM'!B28</f>
        <v>0.36111111111111099</v>
      </c>
      <c r="C142" s="24" t="str">
        <f>'12U COED GIRLS-9 TEAMS CUSTOM'!C28&amp;""</f>
        <v>LAGUNA HILLS HS</v>
      </c>
      <c r="D142" s="24" t="str">
        <f>'12U COED GIRLS-9 TEAMS CUSTOM'!D28&amp;""</f>
        <v>12GC11</v>
      </c>
      <c r="E142" s="24" t="str">
        <f>'12U COED GIRLS-9 TEAMS CUSTOM'!E28&amp;""</f>
        <v>E1(2ndA)-PALOS VERDES</v>
      </c>
      <c r="F142" s="24" t="str">
        <f>'12U COED GIRLS-9 TEAMS CUSTOM'!F28&amp;""</f>
        <v>10</v>
      </c>
      <c r="G142" s="24" t="str">
        <f>'12U COED GIRLS-9 TEAMS CUSTOM'!G28&amp;""</f>
        <v>E3(2ndC)-LAGUNA BEACH GIRLS</v>
      </c>
      <c r="H142" s="24" t="str">
        <f>'12U COED GIRLS-9 TEAMS CUSTOM'!H28&amp;""</f>
        <v>3</v>
      </c>
      <c r="I142" s="24" t="str">
        <f>'12U COED GIRLS-9 TEAMS CUSTOM'!I28&amp;""</f>
        <v>E bracket E1,E3 cross</v>
      </c>
      <c r="J142" s="24" t="str">
        <f>'12U COED GIRLS-9 TEAMS CUSTOM'!J28&amp;""</f>
        <v>12U_COED_GIRLS</v>
      </c>
      <c r="K142" s="24" t="str">
        <f t="shared" si="2"/>
        <v>202603080840</v>
      </c>
    </row>
    <row r="143" spans="1:11">
      <c r="A143" s="86">
        <f>'12U COED GIRLS-9 TEAMS CUSTOM'!A29</f>
        <v>46089</v>
      </c>
      <c r="B143" s="85">
        <f>'12U COED GIRLS-9 TEAMS CUSTOM'!B29</f>
        <v>0.39583333333333398</v>
      </c>
      <c r="C143" s="24" t="str">
        <f>'12U COED GIRLS-9 TEAMS CUSTOM'!C29&amp;""</f>
        <v>LAGUNA HILLS HS</v>
      </c>
      <c r="D143" s="24" t="str">
        <f>'12U COED GIRLS-9 TEAMS CUSTOM'!D29&amp;""</f>
        <v>12GC12</v>
      </c>
      <c r="E143" s="24" t="str">
        <f>'12U COED GIRLS-9 TEAMS CUSTOM'!E29&amp;""</f>
        <v>F1(3rdA)-HEILAND</v>
      </c>
      <c r="F143" s="24" t="str">
        <f>'12U COED GIRLS-9 TEAMS CUSTOM'!F29&amp;""</f>
        <v>8</v>
      </c>
      <c r="G143" s="24" t="str">
        <f>'12U COED GIRLS-9 TEAMS CUSTOM'!G29&amp;""</f>
        <v>F3(3rdC)-CMAC GIRLS</v>
      </c>
      <c r="H143" s="24" t="str">
        <f>'12U COED GIRLS-9 TEAMS CUSTOM'!H29&amp;""</f>
        <v>5</v>
      </c>
      <c r="I143" s="24" t="str">
        <f>'12U COED GIRLS-9 TEAMS CUSTOM'!I29&amp;""</f>
        <v>F bracket F1,F3 cross</v>
      </c>
      <c r="J143" s="24" t="str">
        <f>'12U COED GIRLS-9 TEAMS CUSTOM'!J29&amp;""</f>
        <v>12U_COED_GIRLS</v>
      </c>
      <c r="K143" s="24" t="str">
        <f t="shared" si="2"/>
        <v>202603080930</v>
      </c>
    </row>
    <row r="144" spans="1:11">
      <c r="A144" s="86">
        <f>'12U COED GIRLS-9 TEAMS CUSTOM'!A30</f>
        <v>46089</v>
      </c>
      <c r="B144" s="85">
        <f>'12U COED GIRLS-9 TEAMS CUSTOM'!B30</f>
        <v>0.43055555555555602</v>
      </c>
      <c r="C144" s="24" t="str">
        <f>'12U COED GIRLS-9 TEAMS CUSTOM'!C30&amp;""</f>
        <v>LAGUNA HILLS HS</v>
      </c>
      <c r="D144" s="24" t="str">
        <f>'12U COED GIRLS-9 TEAMS CUSTOM'!D30&amp;""</f>
        <v>12GC13</v>
      </c>
      <c r="E144" s="24" t="str">
        <f>'12U COED GIRLS-9 TEAMS CUSTOM'!E30&amp;""</f>
        <v>D2(1stB)-VIKING</v>
      </c>
      <c r="F144" s="24" t="str">
        <f>'12U COED GIRLS-9 TEAMS CUSTOM'!F30&amp;""</f>
        <v>9</v>
      </c>
      <c r="G144" s="24" t="str">
        <f>'12U COED GIRLS-9 TEAMS CUSTOM'!G30&amp;""</f>
        <v>D3(1stC)-INNIS ARDEN</v>
      </c>
      <c r="H144" s="24" t="str">
        <f>'12U COED GIRLS-9 TEAMS CUSTOM'!H30&amp;""</f>
        <v>6</v>
      </c>
      <c r="I144" s="24" t="str">
        <f>'12U COED GIRLS-9 TEAMS CUSTOM'!I30&amp;""</f>
        <v>D bracket D2,D3 Coed 1st-3rd</v>
      </c>
      <c r="J144" s="24" t="str">
        <f>'12U COED GIRLS-9 TEAMS CUSTOM'!J30&amp;""</f>
        <v>12U_COED_GIRLS</v>
      </c>
      <c r="K144" s="24" t="str">
        <f t="shared" si="2"/>
        <v>202603081020</v>
      </c>
    </row>
    <row r="145" spans="1:11">
      <c r="A145" s="86">
        <f>'12U COED GIRLS-9 TEAMS CUSTOM'!A31</f>
        <v>46089</v>
      </c>
      <c r="B145" s="85">
        <f>'12U COED GIRLS-9 TEAMS CUSTOM'!B31</f>
        <v>0.46527777777777801</v>
      </c>
      <c r="C145" s="24" t="str">
        <f>'12U COED GIRLS-9 TEAMS CUSTOM'!C31&amp;""</f>
        <v>LAGUNA HILLS HS</v>
      </c>
      <c r="D145" s="24" t="str">
        <f>'12U COED GIRLS-9 TEAMS CUSTOM'!D31&amp;""</f>
        <v>12GC14</v>
      </c>
      <c r="E145" s="24" t="str">
        <f>'12U COED GIRLS-9 TEAMS CUSTOM'!E31&amp;""</f>
        <v>E2(2ndB)-ARROYO GRANDE</v>
      </c>
      <c r="F145" s="24" t="str">
        <f>'12U COED GIRLS-9 TEAMS CUSTOM'!F31&amp;""</f>
        <v>9</v>
      </c>
      <c r="G145" s="24" t="str">
        <f>'12U COED GIRLS-9 TEAMS CUSTOM'!G31&amp;""</f>
        <v>E3(2ndC)-LAGUNA BEACH GIRLS</v>
      </c>
      <c r="H145" s="24" t="str">
        <f>'12U COED GIRLS-9 TEAMS CUSTOM'!H31&amp;""</f>
        <v>10</v>
      </c>
      <c r="I145" s="24" t="str">
        <f>'12U COED GIRLS-9 TEAMS CUSTOM'!I31&amp;""</f>
        <v>E bracket E2,E3 cross</v>
      </c>
      <c r="J145" s="24" t="str">
        <f>'12U COED GIRLS-9 TEAMS CUSTOM'!J31&amp;""</f>
        <v>12U_COED_GIRLS</v>
      </c>
      <c r="K145" s="24" t="str">
        <f t="shared" si="2"/>
        <v>202603081110</v>
      </c>
    </row>
    <row r="146" spans="1:11">
      <c r="A146" s="86">
        <f>'12U COED GIRLS-9 TEAMS CUSTOM'!A32</f>
        <v>46089</v>
      </c>
      <c r="B146" s="85">
        <f>'12U COED GIRLS-9 TEAMS CUSTOM'!B32</f>
        <v>0.5</v>
      </c>
      <c r="C146" s="24" t="str">
        <f>'12U COED GIRLS-9 TEAMS CUSTOM'!C32&amp;""</f>
        <v>LAGUNA HILLS HS</v>
      </c>
      <c r="D146" s="24" t="str">
        <f>'12U COED GIRLS-9 TEAMS CUSTOM'!D32&amp;""</f>
        <v>12GC15</v>
      </c>
      <c r="E146" s="24" t="str">
        <f>'12U COED GIRLS-9 TEAMS CUSTOM'!E32&amp;""</f>
        <v>F2(3rdB)-SET</v>
      </c>
      <c r="F146" s="24" t="str">
        <f>'12U COED GIRLS-9 TEAMS CUSTOM'!F32&amp;""</f>
        <v>4</v>
      </c>
      <c r="G146" s="24" t="str">
        <f>'12U COED GIRLS-9 TEAMS CUSTOM'!G32&amp;""</f>
        <v>F3(3rdC)-CMAC GIRLS</v>
      </c>
      <c r="H146" s="24" t="str">
        <f>'12U COED GIRLS-9 TEAMS CUSTOM'!H32&amp;""</f>
        <v>9</v>
      </c>
      <c r="I146" s="24" t="str">
        <f>'12U COED GIRLS-9 TEAMS CUSTOM'!I32&amp;""</f>
        <v>F bracket F2,F3 cross</v>
      </c>
      <c r="J146" s="24" t="str">
        <f>'12U COED GIRLS-9 TEAMS CUSTOM'!J32&amp;""</f>
        <v>12U_COED_GIRLS</v>
      </c>
      <c r="K146" s="24" t="str">
        <f t="shared" si="2"/>
        <v>202603081200</v>
      </c>
    </row>
    <row r="147" spans="1:11">
      <c r="A147" s="86">
        <f>'12U COED GIRLS-9 TEAMS CUSTOM'!A33</f>
        <v>46089</v>
      </c>
      <c r="B147" s="85">
        <f>'12U COED GIRLS-9 TEAMS CUSTOM'!B33</f>
        <v>0.53472222222222199</v>
      </c>
      <c r="C147" s="24" t="str">
        <f>'12U COED GIRLS-9 TEAMS CUSTOM'!C33&amp;""</f>
        <v>LAGUNA HILLS HS</v>
      </c>
      <c r="D147" s="24" t="str">
        <f>'12U COED GIRLS-9 TEAMS CUSTOM'!D33&amp;""</f>
        <v>12GC16</v>
      </c>
      <c r="E147" s="24" t="str">
        <f>'12U COED GIRLS-9 TEAMS CUSTOM'!E33&amp;""</f>
        <v>D1(1stA)-TRILOGY</v>
      </c>
      <c r="F147" s="24" t="str">
        <f>'12U COED GIRLS-9 TEAMS CUSTOM'!F33&amp;""</f>
        <v>3</v>
      </c>
      <c r="G147" s="24" t="str">
        <f>'12U COED GIRLS-9 TEAMS CUSTOM'!G33&amp;""</f>
        <v>D2(1stB)-VIKING</v>
      </c>
      <c r="H147" s="24" t="str">
        <f>'12U COED GIRLS-9 TEAMS CUSTOM'!H33&amp;""</f>
        <v>4</v>
      </c>
      <c r="I147" s="24" t="str">
        <f>'12U COED GIRLS-9 TEAMS CUSTOM'!I33&amp;""</f>
        <v>D bracket D1,D2 Coed 1st-3rd</v>
      </c>
      <c r="J147" s="24" t="str">
        <f>'12U COED GIRLS-9 TEAMS CUSTOM'!J33&amp;""</f>
        <v>12U_COED_GIRLS</v>
      </c>
      <c r="K147" s="24" t="str">
        <f t="shared" si="2"/>
        <v>202603081250</v>
      </c>
    </row>
    <row r="148" spans="1:11">
      <c r="A148" s="86">
        <f>'12U COED GIRLS-9 TEAMS CUSTOM'!A34</f>
        <v>46089</v>
      </c>
      <c r="B148" s="85">
        <f>'12U COED GIRLS-9 TEAMS CUSTOM'!B34</f>
        <v>0.56944444444444497</v>
      </c>
      <c r="C148" s="24" t="str">
        <f>'12U COED GIRLS-9 TEAMS CUSTOM'!C34&amp;""</f>
        <v>LAGUNA HILLS HS</v>
      </c>
      <c r="D148" s="24" t="str">
        <f>'12U COED GIRLS-9 TEAMS CUSTOM'!D34&amp;""</f>
        <v>12GC17</v>
      </c>
      <c r="E148" s="24" t="str">
        <f>'12U COED GIRLS-9 TEAMS CUSTOM'!E34&amp;""</f>
        <v>E1(2ndA)-PALOS VERDES</v>
      </c>
      <c r="F148" s="24" t="str">
        <f>'12U COED GIRLS-9 TEAMS CUSTOM'!F34&amp;""</f>
        <v>12</v>
      </c>
      <c r="G148" s="24" t="str">
        <f>'12U COED GIRLS-9 TEAMS CUSTOM'!G34&amp;""</f>
        <v>E2(2ndB)-ARROYO GRANDE</v>
      </c>
      <c r="H148" s="24" t="str">
        <f>'12U COED GIRLS-9 TEAMS CUSTOM'!H34&amp;""</f>
        <v>10</v>
      </c>
      <c r="I148" s="24" t="str">
        <f>'12U COED GIRLS-9 TEAMS CUSTOM'!I34&amp;""</f>
        <v>E bracket E1,E2 Coed 4th</v>
      </c>
      <c r="J148" s="24" t="str">
        <f>'12U COED GIRLS-9 TEAMS CUSTOM'!J34&amp;""</f>
        <v>12U_COED_GIRLS</v>
      </c>
      <c r="K148" s="24" t="str">
        <f t="shared" si="2"/>
        <v>202603081340</v>
      </c>
    </row>
    <row r="149" spans="1:11">
      <c r="A149" s="91">
        <f>'14U BOYS GOLD-16 TEAMS'!A10</f>
        <v>46088</v>
      </c>
      <c r="B149" s="35">
        <f>'14U BOYS GOLD-16 TEAMS'!B10</f>
        <v>0.3263888888888889</v>
      </c>
      <c r="C149" s="35" t="str">
        <f>'14U BOYS GOLD-16 TEAMS'!C10&amp;""</f>
        <v>SAN JUAN HILLS HS</v>
      </c>
      <c r="D149" s="33" t="str">
        <f>'14U BOYS GOLD-16 TEAMS'!D10&amp;""</f>
        <v>14Bau01</v>
      </c>
      <c r="E149" s="33" t="str">
        <f>'14U BOYS GOLD-16 TEAMS'!E10&amp;""</f>
        <v>A2-TRILOGY BLACK</v>
      </c>
      <c r="F149" s="33" t="str">
        <f>'14U BOYS GOLD-16 TEAMS'!F10&amp;""</f>
        <v>2</v>
      </c>
      <c r="G149" s="33" t="str">
        <f>'14U BOYS GOLD-16 TEAMS'!G10&amp;""</f>
        <v>A3-SAN DIEGO DONS 14 BLACK</v>
      </c>
      <c r="H149" s="33" t="str">
        <f>'14U BOYS GOLD-16 TEAMS'!H10&amp;""</f>
        <v>8</v>
      </c>
      <c r="I149" s="33" t="str">
        <f>'14U BOYS GOLD-16 TEAMS'!I10&amp;""</f>
        <v>W/L A2/A3</v>
      </c>
      <c r="J149" s="33" t="str">
        <f>'14U BOYS GOLD-16 TEAMS'!J10&amp;""</f>
        <v>14U_BOYS_GOLD</v>
      </c>
      <c r="K149" s="33" t="str">
        <f t="shared" si="2"/>
        <v>202603070750</v>
      </c>
    </row>
    <row r="150" spans="1:11">
      <c r="A150" s="91">
        <f>'14U BOYS GOLD-16 TEAMS'!A11</f>
        <v>46088</v>
      </c>
      <c r="B150" s="35">
        <f>'14U BOYS GOLD-16 TEAMS'!B11</f>
        <v>0.36111111111111099</v>
      </c>
      <c r="C150" s="35" t="str">
        <f>'14U BOYS GOLD-16 TEAMS'!C11&amp;""</f>
        <v>SAN JUAN HILLS HS</v>
      </c>
      <c r="D150" s="33" t="str">
        <f>'14U BOYS GOLD-16 TEAMS'!D11&amp;""</f>
        <v>14Bau02</v>
      </c>
      <c r="E150" s="33" t="str">
        <f>'14U BOYS GOLD-16 TEAMS'!E11&amp;""</f>
        <v>A1-LAWPC</v>
      </c>
      <c r="F150" s="33" t="str">
        <f>'14U BOYS GOLD-16 TEAMS'!F11&amp;""</f>
        <v>6</v>
      </c>
      <c r="G150" s="33" t="str">
        <f>'14U BOYS GOLD-16 TEAMS'!G11&amp;""</f>
        <v>A4-NORTH IRVINE RED</v>
      </c>
      <c r="H150" s="33" t="str">
        <f>'14U BOYS GOLD-16 TEAMS'!H11&amp;""</f>
        <v>7</v>
      </c>
      <c r="I150" s="33" t="str">
        <f>'14U BOYS GOLD-16 TEAMS'!I11&amp;""</f>
        <v>W/L A1/A4</v>
      </c>
      <c r="J150" s="33" t="str">
        <f>'14U BOYS GOLD-16 TEAMS'!J11&amp;""</f>
        <v>14U_BOYS_GOLD</v>
      </c>
      <c r="K150" s="33" t="str">
        <f t="shared" si="2"/>
        <v>202603070840</v>
      </c>
    </row>
    <row r="151" spans="1:11">
      <c r="A151" s="91">
        <f>'14U BOYS GOLD-16 TEAMS'!A12</f>
        <v>46088</v>
      </c>
      <c r="B151" s="35">
        <f>'14U BOYS GOLD-16 TEAMS'!B12</f>
        <v>0.39583333333333398</v>
      </c>
      <c r="C151" s="35" t="str">
        <f>'14U BOYS GOLD-16 TEAMS'!C12&amp;""</f>
        <v>SAN JUAN HILLS HS</v>
      </c>
      <c r="D151" s="33" t="str">
        <f>'14U BOYS GOLD-16 TEAMS'!D12&amp;""</f>
        <v>14Bau03</v>
      </c>
      <c r="E151" s="33" t="str">
        <f>'14U BOYS GOLD-16 TEAMS'!E12&amp;""</f>
        <v>C2-VANGUARD SILVER</v>
      </c>
      <c r="F151" s="33" t="str">
        <f>'14U BOYS GOLD-16 TEAMS'!F12&amp;""</f>
        <v>10</v>
      </c>
      <c r="G151" s="33" t="str">
        <f>'14U BOYS GOLD-16 TEAMS'!G12&amp;""</f>
        <v>C3-NEWPORT BEACH WHITE</v>
      </c>
      <c r="H151" s="33" t="str">
        <f>'14U BOYS GOLD-16 TEAMS'!H12&amp;""</f>
        <v>6</v>
      </c>
      <c r="I151" s="33" t="str">
        <f>'14U BOYS GOLD-16 TEAMS'!I12&amp;""</f>
        <v>W/L C2/C3</v>
      </c>
      <c r="J151" s="33" t="str">
        <f>'14U BOYS GOLD-16 TEAMS'!J12&amp;""</f>
        <v>14U_BOYS_GOLD</v>
      </c>
      <c r="K151" s="33" t="str">
        <f t="shared" si="2"/>
        <v>202603070930</v>
      </c>
    </row>
    <row r="152" spans="1:11">
      <c r="A152" s="91">
        <f>'14U BOYS GOLD-16 TEAMS'!A13</f>
        <v>46088</v>
      </c>
      <c r="B152" s="35">
        <f>'14U BOYS GOLD-16 TEAMS'!B13</f>
        <v>0.43055555555555602</v>
      </c>
      <c r="C152" s="35" t="str">
        <f>'14U BOYS GOLD-16 TEAMS'!C13&amp;""</f>
        <v>SAN JUAN HILLS HS</v>
      </c>
      <c r="D152" s="33" t="str">
        <f>'14U BOYS GOLD-16 TEAMS'!D13&amp;""</f>
        <v>14Bau04</v>
      </c>
      <c r="E152" s="33" t="str">
        <f>'14U BOYS GOLD-16 TEAMS'!E13&amp;""</f>
        <v>C1-HIELAND</v>
      </c>
      <c r="F152" s="92" t="str">
        <f>'14U BOYS GOLD-16 TEAMS'!F13&amp;""</f>
        <v>7</v>
      </c>
      <c r="G152" s="33" t="str">
        <f>'14U BOYS GOLD-16 TEAMS'!G13&amp;""</f>
        <v>C4-SAN DIEGO DONS 12 RED</v>
      </c>
      <c r="H152" s="92" t="str">
        <f>'14U BOYS GOLD-16 TEAMS'!H13&amp;""</f>
        <v>5</v>
      </c>
      <c r="I152" s="33" t="str">
        <f>'14U BOYS GOLD-16 TEAMS'!I13&amp;""</f>
        <v>W/L C1/C4</v>
      </c>
      <c r="J152" s="33" t="str">
        <f>'14U BOYS GOLD-16 TEAMS'!J13&amp;""</f>
        <v>14U_BOYS_GOLD</v>
      </c>
      <c r="K152" s="33" t="str">
        <f t="shared" si="2"/>
        <v>202603071020</v>
      </c>
    </row>
    <row r="153" spans="1:11">
      <c r="A153" s="91">
        <f>'14U BOYS GOLD-16 TEAMS'!A14</f>
        <v>46088</v>
      </c>
      <c r="B153" s="35">
        <f>'14U BOYS GOLD-16 TEAMS'!B14</f>
        <v>0.46527777777777801</v>
      </c>
      <c r="C153" s="35" t="str">
        <f>'14U BOYS GOLD-16 TEAMS'!C14&amp;""</f>
        <v>SAN JUAN HILLS HS</v>
      </c>
      <c r="D153" s="33" t="str">
        <f>'14U BOYS GOLD-16 TEAMS'!D14&amp;""</f>
        <v>14Bau05</v>
      </c>
      <c r="E153" s="33" t="str">
        <f>'14U BOYS GOLD-16 TEAMS'!E14&amp;""</f>
        <v>D1-PRIDE RED</v>
      </c>
      <c r="F153" s="33" t="str">
        <f>'14U BOYS GOLD-16 TEAMS'!F14&amp;""</f>
        <v>5</v>
      </c>
      <c r="G153" s="33" t="str">
        <f>'14U BOYS GOLD-16 TEAMS'!G14&amp;""</f>
        <v>D4-MISSION 12A</v>
      </c>
      <c r="H153" s="33" t="str">
        <f>'14U BOYS GOLD-16 TEAMS'!H14&amp;""</f>
        <v>7</v>
      </c>
      <c r="I153" s="33" t="str">
        <f>'14U BOYS GOLD-16 TEAMS'!I14&amp;""</f>
        <v>W/L D1/D4</v>
      </c>
      <c r="J153" s="33" t="str">
        <f>'14U BOYS GOLD-16 TEAMS'!J14&amp;""</f>
        <v>14U_BOYS_GOLD</v>
      </c>
      <c r="K153" s="33" t="str">
        <f t="shared" si="2"/>
        <v>202603071110</v>
      </c>
    </row>
    <row r="154" spans="1:11">
      <c r="A154" s="91">
        <f>'14U BOYS GOLD-16 TEAMS'!A16</f>
        <v>46088</v>
      </c>
      <c r="B154" s="35">
        <f>'14U BOYS GOLD-16 TEAMS'!B16</f>
        <v>0.5</v>
      </c>
      <c r="C154" s="35" t="str">
        <f>'14U BOYS GOLD-16 TEAMS'!C16&amp;""</f>
        <v>SAN JUAN HILLS HS</v>
      </c>
      <c r="D154" s="33" t="str">
        <f>'14U BOYS GOLD-16 TEAMS'!D16&amp;""</f>
        <v>14Bau06</v>
      </c>
      <c r="E154" s="33" t="str">
        <f>'14U BOYS GOLD-16 TEAMS'!E16&amp;""</f>
        <v>D2-ALAMEDA</v>
      </c>
      <c r="F154" s="33" t="str">
        <f>'14U BOYS GOLD-16 TEAMS'!F16&amp;""</f>
        <v>11</v>
      </c>
      <c r="G154" s="33" t="str">
        <f>'14U BOYS GOLD-16 TEAMS'!G16&amp;""</f>
        <v>D3-CDM B</v>
      </c>
      <c r="H154" s="33" t="str">
        <f>'14U BOYS GOLD-16 TEAMS'!H16&amp;""</f>
        <v>3</v>
      </c>
      <c r="I154" s="33" t="str">
        <f>'14U BOYS GOLD-16 TEAMS'!I16&amp;""</f>
        <v>W/L D2/D3</v>
      </c>
      <c r="J154" s="33" t="str">
        <f>'14U BOYS GOLD-16 TEAMS'!J16&amp;""</f>
        <v>14U_BOYS_GOLD</v>
      </c>
      <c r="K154" s="33" t="str">
        <f t="shared" si="2"/>
        <v>202603071200</v>
      </c>
    </row>
    <row r="155" spans="1:11">
      <c r="A155" s="91">
        <f>'14U BOYS GOLD-16 TEAMS'!A19</f>
        <v>46088</v>
      </c>
      <c r="B155" s="35">
        <f>'14U BOYS GOLD-16 TEAMS'!B19</f>
        <v>0.53472222222222199</v>
      </c>
      <c r="C155" s="35" t="str">
        <f>'14U BOYS GOLD-16 TEAMS'!C19&amp;""</f>
        <v>SAN JUAN HILLS HS</v>
      </c>
      <c r="D155" s="33" t="str">
        <f>'14U BOYS GOLD-16 TEAMS'!D19&amp;""</f>
        <v>14Bau11</v>
      </c>
      <c r="E155" s="33" t="str">
        <f>'14U BOYS GOLD-16 TEAMS'!E19&amp;""</f>
        <v>L#3-NEWPORT BEACH WHITE</v>
      </c>
      <c r="F155" s="33" t="str">
        <f>'14U BOYS GOLD-16 TEAMS'!F19&amp;""</f>
        <v>7</v>
      </c>
      <c r="G155" s="33" t="str">
        <f>'14U BOYS GOLD-16 TEAMS'!G19&amp;""</f>
        <v>L#4-SAN DIEGO DONS 12 RED</v>
      </c>
      <c r="H155" s="33" t="str">
        <f>'14U BOYS GOLD-16 TEAMS'!H19&amp;""</f>
        <v>3</v>
      </c>
      <c r="I155" s="33" t="str">
        <f>'14U BOYS GOLD-16 TEAMS'!I19&amp;""</f>
        <v>3rd/4thC</v>
      </c>
      <c r="J155" s="33" t="str">
        <f>'14U BOYS GOLD-16 TEAMS'!J19&amp;""</f>
        <v>14U_BOYS_GOLD</v>
      </c>
      <c r="K155" s="33" t="str">
        <f t="shared" si="2"/>
        <v>202603071250</v>
      </c>
    </row>
    <row r="156" spans="1:11">
      <c r="A156" s="91">
        <f>'14U BOYS GOLD-16 TEAMS'!A21</f>
        <v>46088</v>
      </c>
      <c r="B156" s="35">
        <f>'14U BOYS GOLD-16 TEAMS'!B21</f>
        <v>0.56944444444444497</v>
      </c>
      <c r="C156" s="35" t="str">
        <f>'14U BOYS GOLD-16 TEAMS'!C21&amp;""</f>
        <v>SAN JUAN HILLS HS</v>
      </c>
      <c r="D156" s="33" t="str">
        <f>'14U BOYS GOLD-16 TEAMS'!D21&amp;""</f>
        <v>14Bau12</v>
      </c>
      <c r="E156" s="33" t="str">
        <f>'14U BOYS GOLD-16 TEAMS'!E21&amp;""</f>
        <v>W#3-VANGUARD SILVER</v>
      </c>
      <c r="F156" s="33" t="str">
        <f>'14U BOYS GOLD-16 TEAMS'!F21&amp;""</f>
        <v>7</v>
      </c>
      <c r="G156" s="33" t="str">
        <f>'14U BOYS GOLD-16 TEAMS'!G21&amp;""</f>
        <v>W#4-HIELAND</v>
      </c>
      <c r="H156" s="33" t="str">
        <f>'14U BOYS GOLD-16 TEAMS'!H21&amp;""</f>
        <v>4</v>
      </c>
      <c r="I156" s="33" t="str">
        <f>'14U BOYS GOLD-16 TEAMS'!I21&amp;""</f>
        <v>1st/2ndC</v>
      </c>
      <c r="J156" s="33" t="str">
        <f>'14U BOYS GOLD-16 TEAMS'!J21&amp;""</f>
        <v>14U_BOYS_GOLD</v>
      </c>
      <c r="K156" s="33" t="str">
        <f t="shared" si="2"/>
        <v>202603071340</v>
      </c>
    </row>
    <row r="157" spans="1:11">
      <c r="A157" s="91">
        <f>'14U BOYS GOLD-16 TEAMS'!A22</f>
        <v>46088</v>
      </c>
      <c r="B157" s="35">
        <f>'14U BOYS GOLD-16 TEAMS'!B22</f>
        <v>0.60416666666666696</v>
      </c>
      <c r="C157" s="35" t="str">
        <f>'14U BOYS GOLD-16 TEAMS'!C22&amp;""</f>
        <v>SAN JUAN HILLS HS</v>
      </c>
      <c r="D157" s="33" t="str">
        <f>'14U BOYS GOLD-16 TEAMS'!D22&amp;""</f>
        <v>14Bau13</v>
      </c>
      <c r="E157" s="33" t="str">
        <f>'14U BOYS GOLD-16 TEAMS'!E22&amp;""</f>
        <v>L#5-PRIDE RED</v>
      </c>
      <c r="F157" s="33" t="str">
        <f>'14U BOYS GOLD-16 TEAMS'!F22&amp;""</f>
        <v>9</v>
      </c>
      <c r="G157" s="33" t="str">
        <f>'14U BOYS GOLD-16 TEAMS'!G22&amp;""</f>
        <v>L#6-CDM B</v>
      </c>
      <c r="H157" s="33" t="str">
        <f>'14U BOYS GOLD-16 TEAMS'!H22&amp;""</f>
        <v>4</v>
      </c>
      <c r="I157" s="33" t="str">
        <f>'14U BOYS GOLD-16 TEAMS'!I22&amp;""</f>
        <v>3rd/4thD</v>
      </c>
      <c r="J157" s="33" t="str">
        <f>'14U BOYS GOLD-16 TEAMS'!J22&amp;""</f>
        <v>14U_BOYS_GOLD</v>
      </c>
      <c r="K157" s="33" t="str">
        <f t="shared" si="2"/>
        <v>202603071430</v>
      </c>
    </row>
    <row r="158" spans="1:11">
      <c r="A158" s="91">
        <f>'14U BOYS GOLD-16 TEAMS'!A24</f>
        <v>46088</v>
      </c>
      <c r="B158" s="35">
        <f>'14U BOYS GOLD-16 TEAMS'!B24</f>
        <v>0.63888888888888895</v>
      </c>
      <c r="C158" s="35" t="str">
        <f>'14U BOYS GOLD-16 TEAMS'!C24&amp;""</f>
        <v>SAN JUAN HILLS HS</v>
      </c>
      <c r="D158" s="33" t="str">
        <f>'14U BOYS GOLD-16 TEAMS'!D24&amp;""</f>
        <v>14Bau14</v>
      </c>
      <c r="E158" s="33" t="str">
        <f>'14U BOYS GOLD-16 TEAMS'!E24&amp;""</f>
        <v>W#5-MISSION 12A</v>
      </c>
      <c r="F158" s="33" t="str">
        <f>'14U BOYS GOLD-16 TEAMS'!F24&amp;""</f>
        <v>7</v>
      </c>
      <c r="G158" s="33" t="str">
        <f>'14U BOYS GOLD-16 TEAMS'!G24&amp;""</f>
        <v>W#6-ALAMEDA</v>
      </c>
      <c r="H158" s="33" t="str">
        <f>'14U BOYS GOLD-16 TEAMS'!H24&amp;""</f>
        <v>8</v>
      </c>
      <c r="I158" s="33" t="str">
        <f>'14U BOYS GOLD-16 TEAMS'!I24&amp;""</f>
        <v>1st/2ndD</v>
      </c>
      <c r="J158" s="33" t="str">
        <f>'14U BOYS GOLD-16 TEAMS'!J24&amp;""</f>
        <v>14U_BOYS_GOLD</v>
      </c>
      <c r="K158" s="33" t="str">
        <f t="shared" si="2"/>
        <v>202603071520</v>
      </c>
    </row>
    <row r="159" spans="1:11">
      <c r="A159" s="107">
        <f>'14U GIRLS-9 TEAMS'!A23</f>
        <v>46088</v>
      </c>
      <c r="B159" s="106">
        <f>'14U GIRLS-9 TEAMS'!B23</f>
        <v>0.67361111111111105</v>
      </c>
      <c r="C159" s="105" t="str">
        <f>'14U GIRLS-9 TEAMS'!C23&amp;""</f>
        <v>SAN JUAN HILLS HS</v>
      </c>
      <c r="D159" s="28" t="str">
        <f>'14U GIRLS-9 TEAMS'!D23&amp;""</f>
        <v>14G08</v>
      </c>
      <c r="E159" s="28" t="str">
        <f>'14U GIRLS-9 TEAMS'!E23&amp;""</f>
        <v>B2-PALOS VERDES BLACK</v>
      </c>
      <c r="F159" s="28" t="str">
        <f>'14U GIRLS-9 TEAMS'!F23&amp;""</f>
        <v>5</v>
      </c>
      <c r="G159" s="28" t="str">
        <f>'14U GIRLS-9 TEAMS'!G23&amp;""</f>
        <v>B3-ELITE</v>
      </c>
      <c r="H159" s="28" t="str">
        <f>'14U GIRLS-9 TEAMS'!H23&amp;""</f>
        <v>6</v>
      </c>
      <c r="I159" s="28" t="str">
        <f>'14U GIRLS-9 TEAMS'!I23&amp;""</f>
        <v>B bracket gold 1st-3rd</v>
      </c>
      <c r="J159" s="28" t="str">
        <f>'14U GIRLS-9 TEAMS'!J23&amp;""</f>
        <v>14U_GIRLS</v>
      </c>
      <c r="K159" s="28" t="str">
        <f t="shared" si="2"/>
        <v>202603071610</v>
      </c>
    </row>
    <row r="160" spans="1:11">
      <c r="A160" s="91">
        <f>'14U BOYS GOLD-16 TEAMS'!A29</f>
        <v>46089</v>
      </c>
      <c r="B160" s="35">
        <f>'14U BOYS GOLD-16 TEAMS'!B29</f>
        <v>0.3263888888888889</v>
      </c>
      <c r="C160" s="91" t="str">
        <f>'14U BOYS GOLD-16 TEAMS'!C29&amp;""</f>
        <v>SAN JUAN HILLS HS</v>
      </c>
      <c r="D160" s="35" t="str">
        <f>'14U BOYS GOLD-16 TEAMS'!D29&amp;""</f>
        <v>14Bau27</v>
      </c>
      <c r="E160" s="35" t="str">
        <f>'14U BOYS GOLD-16 TEAMS'!E29&amp;""</f>
        <v>3rdA-TRILOGY BLACK</v>
      </c>
      <c r="F160" s="33" t="str">
        <f>'14U BOYS GOLD-16 TEAMS'!F29&amp;""</f>
        <v>4</v>
      </c>
      <c r="G160" s="33" t="str">
        <f>'14U BOYS GOLD-16 TEAMS'!G29&amp;""</f>
        <v>3rdD-PRIDE RED</v>
      </c>
      <c r="H160" s="33" t="str">
        <f>'14U BOYS GOLD-16 TEAMS'!H29&amp;""</f>
        <v>6</v>
      </c>
      <c r="I160" s="33" t="str">
        <f>'14U BOYS GOLD-16 TEAMS'!I29&amp;""</f>
        <v>9-12 semi 3A/3D</v>
      </c>
      <c r="J160" s="33" t="str">
        <f>'14U BOYS GOLD-16 TEAMS'!J29&amp;""</f>
        <v>14U_BOYS_GOLD</v>
      </c>
      <c r="K160" s="33" t="str">
        <f t="shared" si="2"/>
        <v>202603080750</v>
      </c>
    </row>
    <row r="161" spans="1:11">
      <c r="A161" s="91">
        <f>'14U BOYS GOLD-16 TEAMS'!A31</f>
        <v>46089</v>
      </c>
      <c r="B161" s="35">
        <f>'14U BOYS GOLD-16 TEAMS'!B31</f>
        <v>0.36111111111111099</v>
      </c>
      <c r="C161" s="91" t="str">
        <f>'14U BOYS GOLD-16 TEAMS'!C31&amp;""</f>
        <v>SAN JUAN HILLS HS</v>
      </c>
      <c r="D161" s="35" t="str">
        <f>'14U BOYS GOLD-16 TEAMS'!D31&amp;""</f>
        <v>14Bau28</v>
      </c>
      <c r="E161" s="35" t="str">
        <f>'14U BOYS GOLD-16 TEAMS'!E31&amp;""</f>
        <v>3rdB-SOCAL 12 BLACK</v>
      </c>
      <c r="F161" s="33" t="str">
        <f>'14U BOYS GOLD-16 TEAMS'!F31&amp;""</f>
        <v>8</v>
      </c>
      <c r="G161" s="33" t="str">
        <f>'14U BOYS GOLD-16 TEAMS'!G31&amp;""</f>
        <v>3rdC-NEWPORT BEACH WHITE</v>
      </c>
      <c r="H161" s="33" t="str">
        <f>'14U BOYS GOLD-16 TEAMS'!H31&amp;""</f>
        <v>11</v>
      </c>
      <c r="I161" s="33" t="str">
        <f>'14U BOYS GOLD-16 TEAMS'!I31&amp;""</f>
        <v>9-12 semi 3B/3C</v>
      </c>
      <c r="J161" s="33" t="str">
        <f>'14U BOYS GOLD-16 TEAMS'!J31&amp;""</f>
        <v>14U_BOYS_GOLD</v>
      </c>
      <c r="K161" s="33" t="str">
        <f t="shared" si="2"/>
        <v>202603080840</v>
      </c>
    </row>
    <row r="162" spans="1:11">
      <c r="A162" s="91">
        <f>'14U BOYS GOLD-16 TEAMS'!A32</f>
        <v>46089</v>
      </c>
      <c r="B162" s="35">
        <f>'14U BOYS GOLD-16 TEAMS'!B32</f>
        <v>0.39583333333333398</v>
      </c>
      <c r="C162" s="91" t="str">
        <f>'14U BOYS GOLD-16 TEAMS'!C32&amp;""</f>
        <v>SAN JUAN HILLS HS</v>
      </c>
      <c r="D162" s="35" t="str">
        <f>'14U BOYS GOLD-16 TEAMS'!D32&amp;""</f>
        <v>14Bau21</v>
      </c>
      <c r="E162" s="35" t="str">
        <f>'14U BOYS GOLD-16 TEAMS'!E32&amp;""</f>
        <v>2ndD-MISSION 12A</v>
      </c>
      <c r="F162" s="33" t="str">
        <f>'14U BOYS GOLD-16 TEAMS'!F32&amp;""</f>
        <v>3</v>
      </c>
      <c r="G162" s="33" t="str">
        <f>'14U BOYS GOLD-16 TEAMS'!G32&amp;""</f>
        <v>2ndA-SAN DIEGO DONS 14 BLACK</v>
      </c>
      <c r="H162" s="33" t="str">
        <f>'14U BOYS GOLD-16 TEAMS'!H32&amp;""</f>
        <v>8</v>
      </c>
      <c r="I162" s="33" t="str">
        <f>'14U BOYS GOLD-16 TEAMS'!I32&amp;""</f>
        <v>5-8 semi 2D/2A</v>
      </c>
      <c r="J162" s="33" t="str">
        <f>'14U BOYS GOLD-16 TEAMS'!J32&amp;""</f>
        <v>14U_BOYS_GOLD</v>
      </c>
      <c r="K162" s="33" t="str">
        <f t="shared" si="2"/>
        <v>202603080930</v>
      </c>
    </row>
    <row r="163" spans="1:11">
      <c r="A163" s="91">
        <f>'14U BOYS GOLD-16 TEAMS'!A33</f>
        <v>46089</v>
      </c>
      <c r="B163" s="35">
        <f>'14U BOYS GOLD-16 TEAMS'!B33</f>
        <v>0.43055555555555602</v>
      </c>
      <c r="C163" s="91" t="str">
        <f>'14U BOYS GOLD-16 TEAMS'!C33&amp;""</f>
        <v>SAN JUAN HILLS HS</v>
      </c>
      <c r="D163" s="35" t="str">
        <f>'14U BOYS GOLD-16 TEAMS'!D33&amp;""</f>
        <v>14Bau22</v>
      </c>
      <c r="E163" s="35" t="str">
        <f>'14U BOYS GOLD-16 TEAMS'!E33&amp;""</f>
        <v>2ndC-HIELAND</v>
      </c>
      <c r="F163" s="33" t="str">
        <f>'14U BOYS GOLD-16 TEAMS'!F33&amp;""</f>
        <v>8</v>
      </c>
      <c r="G163" s="33" t="str">
        <f>'14U BOYS GOLD-16 TEAMS'!G33&amp;""</f>
        <v>2ndB-SD ECA</v>
      </c>
      <c r="H163" s="33" t="str">
        <f>'14U BOYS GOLD-16 TEAMS'!H33&amp;""</f>
        <v>10</v>
      </c>
      <c r="I163" s="33" t="str">
        <f>'14U BOYS GOLD-16 TEAMS'!I33&amp;""</f>
        <v>5-8 semi 2C/2B</v>
      </c>
      <c r="J163" s="33" t="str">
        <f>'14U BOYS GOLD-16 TEAMS'!J33&amp;""</f>
        <v>14U_BOYS_GOLD</v>
      </c>
      <c r="K163" s="33" t="str">
        <f t="shared" si="2"/>
        <v>202603081020</v>
      </c>
    </row>
    <row r="164" spans="1:11">
      <c r="A164" s="91">
        <f>'14U BOYS GOLD-16 TEAMS'!A34</f>
        <v>46089</v>
      </c>
      <c r="B164" s="35">
        <f>'14U BOYS GOLD-16 TEAMS'!B34</f>
        <v>0.46527777777777801</v>
      </c>
      <c r="C164" s="91" t="str">
        <f>'14U BOYS GOLD-16 TEAMS'!C34&amp;""</f>
        <v>SAN JUAN HILLS HS</v>
      </c>
      <c r="D164" s="35" t="str">
        <f>'14U BOYS GOLD-16 TEAMS'!D34&amp;""</f>
        <v>14Bau19</v>
      </c>
      <c r="E164" s="35" t="str">
        <f>'14U BOYS GOLD-16 TEAMS'!E34&amp;""</f>
        <v>1stA-NORTH IRVINE RED</v>
      </c>
      <c r="F164" s="33" t="str">
        <f>'14U BOYS GOLD-16 TEAMS'!F34&amp;""</f>
        <v>7</v>
      </c>
      <c r="G164" s="33" t="str">
        <f>'14U BOYS GOLD-16 TEAMS'!G34&amp;""</f>
        <v>1stD-ALAMEDA</v>
      </c>
      <c r="H164" s="33" t="str">
        <f>'14U BOYS GOLD-16 TEAMS'!H34&amp;""</f>
        <v>4</v>
      </c>
      <c r="I164" s="33" t="str">
        <f>'14U BOYS GOLD-16 TEAMS'!I34&amp;""</f>
        <v>1-4 semi 1A/1D</v>
      </c>
      <c r="J164" s="33" t="str">
        <f>'14U BOYS GOLD-16 TEAMS'!J34&amp;""</f>
        <v>14U_BOYS_GOLD</v>
      </c>
      <c r="K164" s="33" t="str">
        <f t="shared" si="2"/>
        <v>202603081110</v>
      </c>
    </row>
    <row r="165" spans="1:11">
      <c r="A165" s="91">
        <f>'14U BOYS GOLD-16 TEAMS'!A37</f>
        <v>46089</v>
      </c>
      <c r="B165" s="35">
        <f>'14U BOYS GOLD-16 TEAMS'!B37</f>
        <v>0.5</v>
      </c>
      <c r="C165" s="91" t="str">
        <f>'14U BOYS GOLD-16 TEAMS'!C37&amp;""</f>
        <v>SAN JUAN HILLS HS</v>
      </c>
      <c r="D165" s="35" t="str">
        <f>'14U BOYS GOLD-16 TEAMS'!D37&amp;""</f>
        <v>14Bau20</v>
      </c>
      <c r="E165" s="35" t="str">
        <f>'14U BOYS GOLD-16 TEAMS'!E37&amp;""</f>
        <v>1stB-ORANGE COUNTY WPC B</v>
      </c>
      <c r="F165" s="33" t="str">
        <f>'14U BOYS GOLD-16 TEAMS'!F37&amp;""</f>
        <v>6</v>
      </c>
      <c r="G165" s="33" t="str">
        <f>'14U BOYS GOLD-16 TEAMS'!G37&amp;""</f>
        <v>1stC-VANGUARD SILVER</v>
      </c>
      <c r="H165" s="33" t="str">
        <f>'14U BOYS GOLD-16 TEAMS'!H37&amp;""</f>
        <v>3</v>
      </c>
      <c r="I165" s="33" t="str">
        <f>'14U BOYS GOLD-16 TEAMS'!I37&amp;""</f>
        <v>1-4 semi 1B/1C</v>
      </c>
      <c r="J165" s="33" t="str">
        <f>'14U BOYS GOLD-16 TEAMS'!J37&amp;""</f>
        <v>14U_BOYS_GOLD</v>
      </c>
      <c r="K165" s="33" t="str">
        <f t="shared" si="2"/>
        <v>202603081200</v>
      </c>
    </row>
    <row r="166" spans="1:11">
      <c r="A166" s="91">
        <f>'14U BOYS GOLD-16 TEAMS'!A38</f>
        <v>46089</v>
      </c>
      <c r="B166" s="35">
        <f>'14U BOYS GOLD-16 TEAMS'!B38</f>
        <v>0.53472222222222199</v>
      </c>
      <c r="C166" s="91" t="str">
        <f>'14U BOYS GOLD-16 TEAMS'!C38&amp;""</f>
        <v>SAN JUAN HILLS HS</v>
      </c>
      <c r="D166" s="35" t="str">
        <f>'14U BOYS GOLD-16 TEAMS'!D38&amp;""</f>
        <v>14Bau25</v>
      </c>
      <c r="E166" s="35" t="str">
        <f>'14U BOYS GOLD-16 TEAMS'!E38&amp;""</f>
        <v>W#21-SAN DIEGO DONS 14 BLACK</v>
      </c>
      <c r="F166" s="33" t="str">
        <f>'14U BOYS GOLD-16 TEAMS'!F38&amp;""</f>
        <v>10</v>
      </c>
      <c r="G166" s="33" t="str">
        <f>'14U BOYS GOLD-16 TEAMS'!G38&amp;""</f>
        <v>W#22-SD ECA</v>
      </c>
      <c r="H166" s="33" t="str">
        <f>'14U BOYS GOLD-16 TEAMS'!H38&amp;""</f>
        <v>5</v>
      </c>
      <c r="I166" s="33" t="str">
        <f>'14U BOYS GOLD-16 TEAMS'!I38&amp;""</f>
        <v>5th</v>
      </c>
      <c r="J166" s="33" t="str">
        <f>'14U BOYS GOLD-16 TEAMS'!J38&amp;""</f>
        <v>14U_BOYS_GOLD</v>
      </c>
      <c r="K166" s="33" t="str">
        <f t="shared" si="2"/>
        <v>202603081250</v>
      </c>
    </row>
    <row r="167" spans="1:11">
      <c r="A167" s="91">
        <f>'14U BOYS GOLD-16 TEAMS'!A40</f>
        <v>46089</v>
      </c>
      <c r="B167" s="35">
        <f>'14U BOYS GOLD-16 TEAMS'!B40</f>
        <v>0.56944444444444497</v>
      </c>
      <c r="C167" s="91" t="str">
        <f>'14U BOYS GOLD-16 TEAMS'!C40&amp;""</f>
        <v>SAN JUAN HILLS HS</v>
      </c>
      <c r="D167" s="35" t="str">
        <f>'14U BOYS GOLD-16 TEAMS'!D40&amp;""</f>
        <v>14Bau26</v>
      </c>
      <c r="E167" s="35" t="str">
        <f>'14U BOYS GOLD-16 TEAMS'!E40&amp;""</f>
        <v>L#21-MISSION 12A</v>
      </c>
      <c r="F167" s="33" t="str">
        <f>'14U BOYS GOLD-16 TEAMS'!F40&amp;""</f>
        <v>12</v>
      </c>
      <c r="G167" s="33" t="str">
        <f>'14U BOYS GOLD-16 TEAMS'!G40&amp;""</f>
        <v>L#22-HIELAND</v>
      </c>
      <c r="H167" s="33" t="str">
        <f>'14U BOYS GOLD-16 TEAMS'!H40&amp;""</f>
        <v>4</v>
      </c>
      <c r="I167" s="33" t="str">
        <f>'14U BOYS GOLD-16 TEAMS'!I40&amp;""</f>
        <v>7th</v>
      </c>
      <c r="J167" s="33" t="str">
        <f>'14U BOYS GOLD-16 TEAMS'!J40&amp;""</f>
        <v>14U_BOYS_GOLD</v>
      </c>
      <c r="K167" s="33" t="str">
        <f t="shared" si="2"/>
        <v>202603081340</v>
      </c>
    </row>
    <row r="168" spans="1:11">
      <c r="A168" s="91">
        <f>'14U BOYS GOLD-16 TEAMS'!A42</f>
        <v>46089</v>
      </c>
      <c r="B168" s="35">
        <f>'14U BOYS GOLD-16 TEAMS'!B42</f>
        <v>0.60416666666666696</v>
      </c>
      <c r="C168" s="91" t="str">
        <f>'14U BOYS GOLD-16 TEAMS'!C42&amp;""</f>
        <v>SAN JUAN HILLS HS</v>
      </c>
      <c r="D168" s="35" t="str">
        <f>'14U BOYS GOLD-16 TEAMS'!D42&amp;""</f>
        <v>14Bau23</v>
      </c>
      <c r="E168" s="35" t="str">
        <f>'14U BOYS GOLD-16 TEAMS'!E42&amp;""</f>
        <v>L#19-ALAMEDA</v>
      </c>
      <c r="F168" s="33" t="str">
        <f>'14U BOYS GOLD-16 TEAMS'!F42&amp;""</f>
        <v>7</v>
      </c>
      <c r="G168" s="33" t="str">
        <f>'14U BOYS GOLD-16 TEAMS'!G42&amp;""</f>
        <v>L#20-VANGUARD SILVER</v>
      </c>
      <c r="H168" s="33" t="str">
        <f>'14U BOYS GOLD-16 TEAMS'!H42&amp;""</f>
        <v>8</v>
      </c>
      <c r="I168" s="33" t="str">
        <f>'14U BOYS GOLD-16 TEAMS'!I42&amp;""</f>
        <v>3rd</v>
      </c>
      <c r="J168" s="33" t="str">
        <f>'14U BOYS GOLD-16 TEAMS'!J42&amp;""</f>
        <v>14U_BOYS_GOLD</v>
      </c>
      <c r="K168" s="33" t="str">
        <f t="shared" si="2"/>
        <v>202603081430</v>
      </c>
    </row>
    <row r="169" spans="1:11">
      <c r="A169" s="91">
        <f>'14U BOYS GOLD-16 TEAMS'!A43</f>
        <v>46089</v>
      </c>
      <c r="B169" s="35">
        <f>'14U BOYS GOLD-16 TEAMS'!B43</f>
        <v>0.63888888888888895</v>
      </c>
      <c r="C169" s="91" t="str">
        <f>'14U BOYS GOLD-16 TEAMS'!C43&amp;""</f>
        <v>SAN JUAN HILLS HS</v>
      </c>
      <c r="D169" s="35" t="str">
        <f>'14U BOYS GOLD-16 TEAMS'!D43&amp;""</f>
        <v>14Bau24</v>
      </c>
      <c r="E169" s="35" t="str">
        <f>'14U BOYS GOLD-16 TEAMS'!E43&amp;""</f>
        <v>W#19-NORTH IRVINE RED</v>
      </c>
      <c r="F169" s="33" t="str">
        <f>'14U BOYS GOLD-16 TEAMS'!F43&amp;""</f>
        <v>7</v>
      </c>
      <c r="G169" s="33" t="str">
        <f>'14U BOYS GOLD-16 TEAMS'!G43&amp;""</f>
        <v>W#20-ORANGE COUNTY WPC B</v>
      </c>
      <c r="H169" s="33" t="str">
        <f>'14U BOYS GOLD-16 TEAMS'!H43&amp;""</f>
        <v>6</v>
      </c>
      <c r="I169" s="33" t="str">
        <f>'14U BOYS GOLD-16 TEAMS'!I43&amp;""</f>
        <v>1st</v>
      </c>
      <c r="J169" s="33" t="str">
        <f>'14U BOYS GOLD-16 TEAMS'!J43&amp;""</f>
        <v>14U_BOYS_GOLD</v>
      </c>
      <c r="K169" s="33" t="str">
        <f t="shared" si="2"/>
        <v>202603081520</v>
      </c>
    </row>
    <row r="170" spans="1:11">
      <c r="A170" s="94">
        <f>'14U BOYS PLATINUM-10 TEAMS'!A10</f>
        <v>46088</v>
      </c>
      <c r="B170" s="93">
        <f>'14U BOYS PLATINUM-10 TEAMS'!B10</f>
        <v>0.3263888888888889</v>
      </c>
      <c r="C170" s="93" t="str">
        <f>'14U BOYS PLATINUM-10 TEAMS'!C10&amp;""</f>
        <v>WESTMINSTER HS</v>
      </c>
      <c r="D170" s="32" t="str">
        <f>'14U BOYS PLATINUM-10 TEAMS'!D10&amp;""</f>
        <v>14Bpt01</v>
      </c>
      <c r="E170" s="155" t="str">
        <f>'14U BOYS PLATINUM-10 TEAMS'!E10&amp;""</f>
        <v>C1-SAN DIEGO DONS</v>
      </c>
      <c r="F170" s="32" t="str">
        <f>'14U BOYS PLATINUM-10 TEAMS'!F10&amp;""</f>
        <v>8.4</v>
      </c>
      <c r="G170" s="32" t="str">
        <f>'14U BOYS PLATINUM-10 TEAMS'!G10&amp;""</f>
        <v>C4-DEVILS GATE</v>
      </c>
      <c r="H170" s="32" t="str">
        <f>'14U BOYS PLATINUM-10 TEAMS'!H10&amp;""</f>
        <v>8.2</v>
      </c>
      <c r="I170" s="32" t="str">
        <f>'14U BOYS PLATINUM-10 TEAMS'!I10&amp;""</f>
        <v>C bracket C1,C4</v>
      </c>
      <c r="J170" s="32" t="str">
        <f>'14U BOYS PLATINUM-10 TEAMS'!J10&amp;""</f>
        <v>14U_BOYS_PLATINUM</v>
      </c>
      <c r="K170" s="32" t="str">
        <f t="shared" si="2"/>
        <v>202603070750</v>
      </c>
    </row>
    <row r="171" spans="1:11">
      <c r="A171" s="94">
        <f>'14U BOYS PLATINUM-10 TEAMS'!A11</f>
        <v>46088</v>
      </c>
      <c r="B171" s="93">
        <f>'14U BOYS PLATINUM-10 TEAMS'!B11</f>
        <v>0.36111111111111099</v>
      </c>
      <c r="C171" s="93" t="str">
        <f>'14U BOYS PLATINUM-10 TEAMS'!C11&amp;""</f>
        <v>WESTMINSTER HS</v>
      </c>
      <c r="D171" s="32" t="str">
        <f>'14U BOYS PLATINUM-10 TEAMS'!D11&amp;""</f>
        <v>14Bpt02</v>
      </c>
      <c r="E171" s="32" t="str">
        <f>'14U BOYS PLATINUM-10 TEAMS'!E11&amp;""</f>
        <v>A1-MISSION A</v>
      </c>
      <c r="F171" s="32" t="str">
        <f>'14U BOYS PLATINUM-10 TEAMS'!F11&amp;""</f>
        <v>13</v>
      </c>
      <c r="G171" s="32" t="str">
        <f>'14U BOYS PLATINUM-10 TEAMS'!G11&amp;""</f>
        <v>A3-ROUTE 66</v>
      </c>
      <c r="H171" s="32" t="str">
        <f>'14U BOYS PLATINUM-10 TEAMS'!H11&amp;""</f>
        <v>2</v>
      </c>
      <c r="I171" s="32" t="str">
        <f>'14U BOYS PLATINUM-10 TEAMS'!I11&amp;""</f>
        <v>A bracket A1,A3</v>
      </c>
      <c r="J171" s="32" t="str">
        <f>'14U BOYS PLATINUM-10 TEAMS'!J11&amp;""</f>
        <v>14U_BOYS_PLATINUM</v>
      </c>
      <c r="K171" s="32" t="str">
        <f t="shared" si="2"/>
        <v>202603070840</v>
      </c>
    </row>
    <row r="172" spans="1:11">
      <c r="A172" s="94">
        <f>'14U BOYS PLATINUM-10 TEAMS'!A12</f>
        <v>46088</v>
      </c>
      <c r="B172" s="93">
        <f>'14U BOYS PLATINUM-10 TEAMS'!B12</f>
        <v>0.39583333333333398</v>
      </c>
      <c r="C172" s="93" t="str">
        <f>'14U BOYS PLATINUM-10 TEAMS'!C12&amp;""</f>
        <v>WESTMINSTER HS</v>
      </c>
      <c r="D172" s="32" t="str">
        <f>'14U BOYS PLATINUM-10 TEAMS'!D12&amp;""</f>
        <v>14Bpt03</v>
      </c>
      <c r="E172" s="32" t="str">
        <f>'14U BOYS PLATINUM-10 TEAMS'!E12&amp;""</f>
        <v>B1-NEWPORT BEACH BLUE</v>
      </c>
      <c r="F172" s="32" t="str">
        <f>'14U BOYS PLATINUM-10 TEAMS'!F12&amp;""</f>
        <v>13</v>
      </c>
      <c r="G172" s="32" t="str">
        <f>'14U BOYS PLATINUM-10 TEAMS'!G12&amp;""</f>
        <v>B3-PATRIOT RED</v>
      </c>
      <c r="H172" s="32" t="str">
        <f>'14U BOYS PLATINUM-10 TEAMS'!H12&amp;""</f>
        <v>3</v>
      </c>
      <c r="I172" s="32" t="str">
        <f>'14U BOYS PLATINUM-10 TEAMS'!I12&amp;""</f>
        <v>B bracket B1,B3</v>
      </c>
      <c r="J172" s="32" t="str">
        <f>'14U BOYS PLATINUM-10 TEAMS'!J12&amp;""</f>
        <v>14U_BOYS_PLATINUM</v>
      </c>
      <c r="K172" s="32" t="str">
        <f t="shared" si="2"/>
        <v>202603070930</v>
      </c>
    </row>
    <row r="173" spans="1:11">
      <c r="A173" s="94">
        <f>'14U BOYS PLATINUM-10 TEAMS'!A13</f>
        <v>46088</v>
      </c>
      <c r="B173" s="93">
        <f>'14U BOYS PLATINUM-10 TEAMS'!B13</f>
        <v>0.43055555555555602</v>
      </c>
      <c r="C173" s="93" t="str">
        <f>'14U BOYS PLATINUM-10 TEAMS'!C13&amp;""</f>
        <v>WESTMINSTER HS</v>
      </c>
      <c r="D173" s="32" t="str">
        <f>'14U BOYS PLATINUM-10 TEAMS'!D13&amp;""</f>
        <v>14Bpt04</v>
      </c>
      <c r="E173" s="155" t="str">
        <f>'14U BOYS PLATINUM-10 TEAMS'!E13&amp;""</f>
        <v>C1-SAN DIEGO DONS</v>
      </c>
      <c r="F173" s="32" t="str">
        <f>'14U BOYS PLATINUM-10 TEAMS'!F13&amp;""</f>
        <v>7</v>
      </c>
      <c r="G173" s="32" t="str">
        <f>'14U BOYS PLATINUM-10 TEAMS'!G13&amp;""</f>
        <v>C2-VANGUARD BLUE</v>
      </c>
      <c r="H173" s="32" t="str">
        <f>'14U BOYS PLATINUM-10 TEAMS'!H13&amp;""</f>
        <v>8</v>
      </c>
      <c r="I173" s="32" t="str">
        <f>'14U BOYS PLATINUM-10 TEAMS'!I13&amp;""</f>
        <v>C bracket C1,C2</v>
      </c>
      <c r="J173" s="32" t="str">
        <f>'14U BOYS PLATINUM-10 TEAMS'!J13&amp;""</f>
        <v>14U_BOYS_PLATINUM</v>
      </c>
      <c r="K173" s="32" t="str">
        <f t="shared" si="2"/>
        <v>202603071020</v>
      </c>
    </row>
    <row r="174" spans="1:11">
      <c r="A174" s="94">
        <f>'14U BOYS PLATINUM-10 TEAMS'!A14</f>
        <v>46088</v>
      </c>
      <c r="B174" s="93">
        <f>'14U BOYS PLATINUM-10 TEAMS'!B14</f>
        <v>0.46527777777777801</v>
      </c>
      <c r="C174" s="93" t="str">
        <f>'14U BOYS PLATINUM-10 TEAMS'!C14&amp;""</f>
        <v>WESTMINSTER HS</v>
      </c>
      <c r="D174" s="32" t="str">
        <f>'14U BOYS PLATINUM-10 TEAMS'!D14&amp;""</f>
        <v>14Bpt05</v>
      </c>
      <c r="E174" s="32" t="str">
        <f>'14U BOYS PLATINUM-10 TEAMS'!E14&amp;""</f>
        <v>A2-ORWP A</v>
      </c>
      <c r="F174" s="32" t="str">
        <f>'14U BOYS PLATINUM-10 TEAMS'!F14&amp;""</f>
        <v>9.6</v>
      </c>
      <c r="G174" s="32" t="str">
        <f>'14U BOYS PLATINUM-10 TEAMS'!G14&amp;""</f>
        <v>A3-ROUTE 66</v>
      </c>
      <c r="H174" s="32" t="str">
        <f>'14U BOYS PLATINUM-10 TEAMS'!H14&amp;""</f>
        <v>9.5</v>
      </c>
      <c r="I174" s="32" t="str">
        <f>'14U BOYS PLATINUM-10 TEAMS'!I14&amp;""</f>
        <v>A bracket A2,A3</v>
      </c>
      <c r="J174" s="32" t="str">
        <f>'14U BOYS PLATINUM-10 TEAMS'!J14&amp;""</f>
        <v>14U_BOYS_PLATINUM</v>
      </c>
      <c r="K174" s="32" t="str">
        <f t="shared" si="2"/>
        <v>202603071110</v>
      </c>
    </row>
    <row r="175" spans="1:11">
      <c r="A175" s="94">
        <f>'14U BOYS PLATINUM-10 TEAMS'!A15</f>
        <v>46088</v>
      </c>
      <c r="B175" s="93">
        <f>'14U BOYS PLATINUM-10 TEAMS'!B15</f>
        <v>0.5</v>
      </c>
      <c r="C175" s="93" t="str">
        <f>'14U BOYS PLATINUM-10 TEAMS'!C15&amp;""</f>
        <v>WESTMINSTER HS</v>
      </c>
      <c r="D175" s="32" t="str">
        <f>'14U BOYS PLATINUM-10 TEAMS'!D15&amp;""</f>
        <v>14Bpt06</v>
      </c>
      <c r="E175" s="32" t="str">
        <f>'14U BOYS PLATINUM-10 TEAMS'!E15&amp;""</f>
        <v>B2-TROJAN CARDINAL</v>
      </c>
      <c r="F175" s="32" t="str">
        <f>'14U BOYS PLATINUM-10 TEAMS'!F15&amp;""</f>
        <v>5</v>
      </c>
      <c r="G175" s="32" t="str">
        <f>'14U BOYS PLATINUM-10 TEAMS'!G15&amp;""</f>
        <v>B3-PATRIOT RED</v>
      </c>
      <c r="H175" s="32" t="str">
        <f>'14U BOYS PLATINUM-10 TEAMS'!H15&amp;""</f>
        <v>12</v>
      </c>
      <c r="I175" s="32" t="str">
        <f>'14U BOYS PLATINUM-10 TEAMS'!I15&amp;""</f>
        <v>B bracket B2,B3</v>
      </c>
      <c r="J175" s="32" t="str">
        <f>'14U BOYS PLATINUM-10 TEAMS'!J15&amp;""</f>
        <v>14U_BOYS_PLATINUM</v>
      </c>
      <c r="K175" s="32" t="str">
        <f t="shared" si="2"/>
        <v>202603071200</v>
      </c>
    </row>
    <row r="176" spans="1:11">
      <c r="A176" s="94">
        <f>'14U BOYS PLATINUM-10 TEAMS'!A16</f>
        <v>46088</v>
      </c>
      <c r="B176" s="93">
        <f>'14U BOYS PLATINUM-10 TEAMS'!B16</f>
        <v>0.53472222222222199</v>
      </c>
      <c r="C176" s="93" t="str">
        <f>'14U BOYS PLATINUM-10 TEAMS'!C16&amp;""</f>
        <v>WESTMINSTER HS</v>
      </c>
      <c r="D176" s="32" t="str">
        <f>'14U BOYS PLATINUM-10 TEAMS'!D16&amp;""</f>
        <v>14Bpt07</v>
      </c>
      <c r="E176" s="32" t="str">
        <f>'14U BOYS PLATINUM-10 TEAMS'!E16&amp;""</f>
        <v>C3-RANCHO TSUNAMI BLUE</v>
      </c>
      <c r="F176" s="32" t="str">
        <f>'14U BOYS PLATINUM-10 TEAMS'!F16&amp;""</f>
        <v>9</v>
      </c>
      <c r="G176" s="32" t="str">
        <f>'14U BOYS PLATINUM-10 TEAMS'!G16&amp;""</f>
        <v>C4-DEVILS GATE</v>
      </c>
      <c r="H176" s="32" t="str">
        <f>'14U BOYS PLATINUM-10 TEAMS'!H16&amp;""</f>
        <v>8</v>
      </c>
      <c r="I176" s="32" t="str">
        <f>'14U BOYS PLATINUM-10 TEAMS'!I16&amp;""</f>
        <v>C bracket C3,C4</v>
      </c>
      <c r="J176" s="32" t="str">
        <f>'14U BOYS PLATINUM-10 TEAMS'!J16&amp;""</f>
        <v>14U_BOYS_PLATINUM</v>
      </c>
      <c r="K176" s="32" t="str">
        <f t="shared" si="2"/>
        <v>202603071250</v>
      </c>
    </row>
    <row r="177" spans="1:11">
      <c r="A177" s="94">
        <f>'14U BOYS PLATINUM-10 TEAMS'!A17</f>
        <v>46088</v>
      </c>
      <c r="B177" s="93">
        <f>'14U BOYS PLATINUM-10 TEAMS'!B17</f>
        <v>0.56944444444444497</v>
      </c>
      <c r="C177" s="93" t="str">
        <f>'14U BOYS PLATINUM-10 TEAMS'!C17&amp;""</f>
        <v>WESTMINSTER HS</v>
      </c>
      <c r="D177" s="32" t="str">
        <f>'14U BOYS PLATINUM-10 TEAMS'!D17&amp;""</f>
        <v>14Bpt08</v>
      </c>
      <c r="E177" s="32" t="str">
        <f>'14U BOYS PLATINUM-10 TEAMS'!E17&amp;""</f>
        <v>A1-MISSION A</v>
      </c>
      <c r="F177" s="32" t="str">
        <f>'14U BOYS PLATINUM-10 TEAMS'!F17&amp;""</f>
        <v>13</v>
      </c>
      <c r="G177" s="32" t="str">
        <f>'14U BOYS PLATINUM-10 TEAMS'!G17&amp;""</f>
        <v>A2-ORWP A</v>
      </c>
      <c r="H177" s="32" t="str">
        <f>'14U BOYS PLATINUM-10 TEAMS'!H17&amp;""</f>
        <v>10</v>
      </c>
      <c r="I177" s="32" t="str">
        <f>'14U BOYS PLATINUM-10 TEAMS'!I17&amp;""</f>
        <v>A bracket A1,A2</v>
      </c>
      <c r="J177" s="32" t="str">
        <f>'14U BOYS PLATINUM-10 TEAMS'!J17&amp;""</f>
        <v>14U_BOYS_PLATINUM</v>
      </c>
      <c r="K177" s="32" t="str">
        <f t="shared" si="2"/>
        <v>202603071340</v>
      </c>
    </row>
    <row r="178" spans="1:11">
      <c r="A178" s="94">
        <f>'14U BOYS PLATINUM-10 TEAMS'!A18</f>
        <v>46088</v>
      </c>
      <c r="B178" s="93">
        <f>'14U BOYS PLATINUM-10 TEAMS'!B18</f>
        <v>0.60416666666666696</v>
      </c>
      <c r="C178" s="93" t="str">
        <f>'14U BOYS PLATINUM-10 TEAMS'!C18&amp;""</f>
        <v>WESTMINSTER HS</v>
      </c>
      <c r="D178" s="32" t="str">
        <f>'14U BOYS PLATINUM-10 TEAMS'!D18&amp;""</f>
        <v>14Bpt09</v>
      </c>
      <c r="E178" s="32" t="str">
        <f>'14U BOYS PLATINUM-10 TEAMS'!E18&amp;""</f>
        <v>B1-NEWPORT BEACH BLUE</v>
      </c>
      <c r="F178" s="32" t="str">
        <f>'14U BOYS PLATINUM-10 TEAMS'!F18&amp;""</f>
        <v>15</v>
      </c>
      <c r="G178" s="32" t="str">
        <f>'14U BOYS PLATINUM-10 TEAMS'!G18&amp;""</f>
        <v>B2-TROJAN CARDINAL</v>
      </c>
      <c r="H178" s="32" t="str">
        <f>'14U BOYS PLATINUM-10 TEAMS'!H18&amp;""</f>
        <v>2</v>
      </c>
      <c r="I178" s="32" t="str">
        <f>'14U BOYS PLATINUM-10 TEAMS'!I18&amp;""</f>
        <v>B bracket B1,B2</v>
      </c>
      <c r="J178" s="32" t="str">
        <f>'14U BOYS PLATINUM-10 TEAMS'!J18&amp;""</f>
        <v>14U_BOYS_PLATINUM</v>
      </c>
      <c r="K178" s="32" t="str">
        <f t="shared" si="2"/>
        <v>202603071430</v>
      </c>
    </row>
    <row r="179" spans="1:11">
      <c r="A179" s="94">
        <f>'14U BOYS PLATINUM-10 TEAMS'!A19</f>
        <v>46088</v>
      </c>
      <c r="B179" s="93">
        <f>'14U BOYS PLATINUM-10 TEAMS'!B19</f>
        <v>0.63888888888888895</v>
      </c>
      <c r="C179" s="93" t="str">
        <f>'14U BOYS PLATINUM-10 TEAMS'!C19&amp;""</f>
        <v>WESTMINSTER HS</v>
      </c>
      <c r="D179" s="32" t="str">
        <f>'14U BOYS PLATINUM-10 TEAMS'!D19&amp;""</f>
        <v>14Bpt10</v>
      </c>
      <c r="E179" s="32" t="str">
        <f>'14U BOYS PLATINUM-10 TEAMS'!E19&amp;""</f>
        <v>C2-VANGUARD BLUE</v>
      </c>
      <c r="F179" s="32" t="str">
        <f>'14U BOYS PLATINUM-10 TEAMS'!F19&amp;""</f>
        <v>8</v>
      </c>
      <c r="G179" s="32" t="str">
        <f>'14U BOYS PLATINUM-10 TEAMS'!G19&amp;""</f>
        <v>C3-RANCHO TSUNAMI BLUE</v>
      </c>
      <c r="H179" s="32" t="str">
        <f>'14U BOYS PLATINUM-10 TEAMS'!H19&amp;""</f>
        <v>6</v>
      </c>
      <c r="I179" s="32" t="str">
        <f>'14U BOYS PLATINUM-10 TEAMS'!I19&amp;""</f>
        <v>C bracket C2,C3</v>
      </c>
      <c r="J179" s="32" t="str">
        <f>'14U BOYS PLATINUM-10 TEAMS'!J19&amp;""</f>
        <v>14U_BOYS_PLATINUM</v>
      </c>
      <c r="K179" s="32" t="str">
        <f t="shared" si="2"/>
        <v>202603071520</v>
      </c>
    </row>
    <row r="180" spans="1:11">
      <c r="A180" s="94">
        <f>'14U BOYS PLATINUM-10 TEAMS'!A23</f>
        <v>46089</v>
      </c>
      <c r="B180" s="93">
        <f>'14U BOYS PLATINUM-10 TEAMS'!B23</f>
        <v>0.3263888888888889</v>
      </c>
      <c r="C180" s="93" t="str">
        <f>'14U BOYS PLATINUM-10 TEAMS'!C23&amp;""</f>
        <v>WESTMINSTER HS</v>
      </c>
      <c r="D180" s="32" t="str">
        <f>'14U BOYS PLATINUM-10 TEAMS'!D23&amp;""</f>
        <v>14Bpt11</v>
      </c>
      <c r="E180" s="32" t="str">
        <f>'14U BOYS PLATINUM-10 TEAMS'!E23&amp;""</f>
        <v>C2-VANGUARD BLUE</v>
      </c>
      <c r="F180" s="32" t="str">
        <f>'14U BOYS PLATINUM-10 TEAMS'!F23&amp;""</f>
        <v>14</v>
      </c>
      <c r="G180" s="32" t="str">
        <f>'14U BOYS PLATINUM-10 TEAMS'!G23&amp;""</f>
        <v>C4-DEVILS GATE</v>
      </c>
      <c r="H180" s="32" t="str">
        <f>'14U BOYS PLATINUM-10 TEAMS'!H23&amp;""</f>
        <v>6</v>
      </c>
      <c r="I180" s="32" t="str">
        <f>'14U BOYS PLATINUM-10 TEAMS'!I23&amp;""</f>
        <v>C bracket C2,C4</v>
      </c>
      <c r="J180" s="32" t="str">
        <f>'14U BOYS PLATINUM-10 TEAMS'!J23&amp;""</f>
        <v>14U_BOYS_PLATINUM</v>
      </c>
      <c r="K180" s="32" t="str">
        <f t="shared" si="2"/>
        <v>202603080750</v>
      </c>
    </row>
    <row r="181" spans="1:11">
      <c r="A181" s="94">
        <f>'14U BOYS PLATINUM-10 TEAMS'!A24</f>
        <v>46089</v>
      </c>
      <c r="B181" s="93">
        <f>'14U BOYS PLATINUM-10 TEAMS'!B24</f>
        <v>0.36111111111111099</v>
      </c>
      <c r="C181" s="93" t="str">
        <f>'14U BOYS PLATINUM-10 TEAMS'!C24&amp;""</f>
        <v>WESTMINSTER HS</v>
      </c>
      <c r="D181" s="32" t="str">
        <f>'14U BOYS PLATINUM-10 TEAMS'!D24&amp;""</f>
        <v>14Bpt12</v>
      </c>
      <c r="E181" s="32" t="str">
        <f>'14U BOYS PLATINUM-10 TEAMS'!E24&amp;""</f>
        <v>C1-SAN DIEGO DONS</v>
      </c>
      <c r="F181" s="32" t="str">
        <f>'14U BOYS PLATINUM-10 TEAMS'!F24&amp;""</f>
        <v>8</v>
      </c>
      <c r="G181" s="32" t="str">
        <f>'14U BOYS PLATINUM-10 TEAMS'!G24&amp;""</f>
        <v>C3-RANCHO TSUNAMI BLUE</v>
      </c>
      <c r="H181" s="32" t="str">
        <f>'14U BOYS PLATINUM-10 TEAMS'!H24&amp;""</f>
        <v>5</v>
      </c>
      <c r="I181" s="32" t="str">
        <f>'14U BOYS PLATINUM-10 TEAMS'!I24&amp;""</f>
        <v>C bracket C1,C3</v>
      </c>
      <c r="J181" s="32" t="str">
        <f>'14U BOYS PLATINUM-10 TEAMS'!J24&amp;""</f>
        <v>14U_BOYS_PLATINUM</v>
      </c>
      <c r="K181" s="32" t="str">
        <f t="shared" si="2"/>
        <v>202603080840</v>
      </c>
    </row>
    <row r="182" spans="1:11">
      <c r="A182" s="94">
        <f>'14U BOYS PLATINUM-10 TEAMS'!A25</f>
        <v>46089</v>
      </c>
      <c r="B182" s="93">
        <f>'14U BOYS PLATINUM-10 TEAMS'!B25</f>
        <v>0.39583333333333398</v>
      </c>
      <c r="C182" s="93" t="str">
        <f>'14U BOYS PLATINUM-10 TEAMS'!C25&amp;""</f>
        <v>WESTMINSTER HS</v>
      </c>
      <c r="D182" s="32" t="str">
        <f>'14U BOYS PLATINUM-10 TEAMS'!D25&amp;""</f>
        <v>14Bpt13</v>
      </c>
      <c r="E182" s="32" t="str">
        <f>'14U BOYS PLATINUM-10 TEAMS'!E25&amp;""</f>
        <v>2ndA-ORWP A</v>
      </c>
      <c r="F182" s="32" t="str">
        <f>'14U BOYS PLATINUM-10 TEAMS'!F25&amp;""</f>
        <v>12</v>
      </c>
      <c r="G182" s="32" t="str">
        <f>'14U BOYS PLATINUM-10 TEAMS'!G25&amp;""</f>
        <v>3rdB-TROJAN CARDINAL</v>
      </c>
      <c r="H182" s="32" t="str">
        <f>'14U BOYS PLATINUM-10 TEAMS'!H25&amp;""</f>
        <v>7</v>
      </c>
      <c r="I182" s="32" t="str">
        <f>'14U BOYS PLATINUM-10 TEAMS'!I25&amp;""</f>
        <v>5th-10th 2A/3B</v>
      </c>
      <c r="J182" s="32" t="str">
        <f>'14U BOYS PLATINUM-10 TEAMS'!J25&amp;""</f>
        <v>14U_BOYS_PLATINUM</v>
      </c>
      <c r="K182" s="32" t="str">
        <f t="shared" si="2"/>
        <v>202603080930</v>
      </c>
    </row>
    <row r="183" spans="1:11">
      <c r="A183" s="94">
        <f>'14U BOYS PLATINUM-10 TEAMS'!A26</f>
        <v>46089</v>
      </c>
      <c r="B183" s="93">
        <f>'14U BOYS PLATINUM-10 TEAMS'!B26</f>
        <v>0.43055555555555602</v>
      </c>
      <c r="C183" s="93" t="str">
        <f>'14U BOYS PLATINUM-10 TEAMS'!C26&amp;""</f>
        <v>WESTMINSTER HS</v>
      </c>
      <c r="D183" s="32" t="str">
        <f>'14U BOYS PLATINUM-10 TEAMS'!D26&amp;""</f>
        <v>14Bpt14</v>
      </c>
      <c r="E183" s="32" t="str">
        <f>'14U BOYS PLATINUM-10 TEAMS'!E26&amp;""</f>
        <v>3rdA-ROUTE 66</v>
      </c>
      <c r="F183" s="32" t="str">
        <f>'14U BOYS PLATINUM-10 TEAMS'!F26&amp;""</f>
        <v>4</v>
      </c>
      <c r="G183" s="32" t="str">
        <f>'14U BOYS PLATINUM-10 TEAMS'!G26&amp;""</f>
        <v>2ndB-PATRIOT RED</v>
      </c>
      <c r="H183" s="32" t="str">
        <f>'14U BOYS PLATINUM-10 TEAMS'!H26&amp;""</f>
        <v>5</v>
      </c>
      <c r="I183" s="32" t="str">
        <f>'14U BOYS PLATINUM-10 TEAMS'!I26&amp;""</f>
        <v>5th-10th 3A/2B</v>
      </c>
      <c r="J183" s="32" t="str">
        <f>'14U BOYS PLATINUM-10 TEAMS'!J26&amp;""</f>
        <v>14U_BOYS_PLATINUM</v>
      </c>
      <c r="K183" s="32" t="str">
        <f t="shared" si="2"/>
        <v>202603081020</v>
      </c>
    </row>
    <row r="184" spans="1:11">
      <c r="A184" s="94">
        <f>'14U BOYS PLATINUM-10 TEAMS'!A27</f>
        <v>46089</v>
      </c>
      <c r="B184" s="93">
        <f>'14U BOYS PLATINUM-10 TEAMS'!B27</f>
        <v>0.46527777777777801</v>
      </c>
      <c r="C184" s="93" t="str">
        <f>'14U BOYS PLATINUM-10 TEAMS'!C27&amp;""</f>
        <v>WESTMINSTER HS</v>
      </c>
      <c r="D184" s="32" t="str">
        <f>'14U BOYS PLATINUM-10 TEAMS'!D27&amp;""</f>
        <v>14Bpt15</v>
      </c>
      <c r="E184" s="32" t="str">
        <f>'14U BOYS PLATINUM-10 TEAMS'!E27&amp;""</f>
        <v>1stA-MISSION A</v>
      </c>
      <c r="F184" s="32" t="str">
        <f>'14U BOYS PLATINUM-10 TEAMS'!F27&amp;""</f>
        <v>6</v>
      </c>
      <c r="G184" s="32" t="str">
        <f>'14U BOYS PLATINUM-10 TEAMS'!G27&amp;""</f>
        <v>2ndC-SAN DIEGO DONS</v>
      </c>
      <c r="H184" s="32" t="str">
        <f>'14U BOYS PLATINUM-10 TEAMS'!H27&amp;""</f>
        <v>10</v>
      </c>
      <c r="I184" s="32" t="str">
        <f>'14U BOYS PLATINUM-10 TEAMS'!I27&amp;""</f>
        <v>1-4 semi 1A/2C</v>
      </c>
      <c r="J184" s="32" t="str">
        <f>'14U BOYS PLATINUM-10 TEAMS'!J27&amp;""</f>
        <v>14U_BOYS_PLATINUM</v>
      </c>
      <c r="K184" s="32" t="str">
        <f t="shared" si="2"/>
        <v>202603081110</v>
      </c>
    </row>
    <row r="185" spans="1:11">
      <c r="A185" s="94">
        <f>'14U BOYS PLATINUM-10 TEAMS'!A28</f>
        <v>46089</v>
      </c>
      <c r="B185" s="93">
        <f>'14U BOYS PLATINUM-10 TEAMS'!B28</f>
        <v>0.5</v>
      </c>
      <c r="C185" s="93" t="str">
        <f>'14U BOYS PLATINUM-10 TEAMS'!C28&amp;""</f>
        <v>WESTMINSTER HS</v>
      </c>
      <c r="D185" s="32" t="str">
        <f>'14U BOYS PLATINUM-10 TEAMS'!D28&amp;""</f>
        <v>14Bpt16</v>
      </c>
      <c r="E185" s="32" t="str">
        <f>'14U BOYS PLATINUM-10 TEAMS'!E28&amp;""</f>
        <v>1stB-NEWPORT BEACH BLUE</v>
      </c>
      <c r="F185" s="32" t="str">
        <f>'14U BOYS PLATINUM-10 TEAMS'!F28&amp;""</f>
        <v>12</v>
      </c>
      <c r="G185" s="32" t="str">
        <f>'14U BOYS PLATINUM-10 TEAMS'!G28&amp;""</f>
        <v>1stC-VANGUARD BLUE</v>
      </c>
      <c r="H185" s="32" t="str">
        <f>'14U BOYS PLATINUM-10 TEAMS'!H28&amp;""</f>
        <v>6</v>
      </c>
      <c r="I185" s="32" t="str">
        <f>'14U BOYS PLATINUM-10 TEAMS'!I28&amp;""</f>
        <v>1-4 semi 1B/1C</v>
      </c>
      <c r="J185" s="32" t="str">
        <f>'14U BOYS PLATINUM-10 TEAMS'!J28&amp;""</f>
        <v>14U_BOYS_PLATINUM</v>
      </c>
      <c r="K185" s="32" t="str">
        <f t="shared" si="2"/>
        <v>202603081200</v>
      </c>
    </row>
    <row r="186" spans="1:11">
      <c r="A186" s="94">
        <f>'14U BOYS PLATINUM-10 TEAMS'!A29</f>
        <v>46089</v>
      </c>
      <c r="B186" s="93">
        <f>'14U BOYS PLATINUM-10 TEAMS'!B29</f>
        <v>0.53472222222222199</v>
      </c>
      <c r="C186" s="93" t="str">
        <f>'14U BOYS PLATINUM-10 TEAMS'!C29&amp;""</f>
        <v>WESTMINSTER HS</v>
      </c>
      <c r="D186" s="32" t="str">
        <f>'14U BOYS PLATINUM-10 TEAMS'!D29&amp;""</f>
        <v>14Bpt18</v>
      </c>
      <c r="E186" s="32" t="str">
        <f>'14U BOYS PLATINUM-10 TEAMS'!E29&amp;""</f>
        <v>L#13-TROJAN CARDINAL</v>
      </c>
      <c r="F186" s="32" t="str">
        <f>'14U BOYS PLATINUM-10 TEAMS'!F29&amp;""</f>
        <v>5</v>
      </c>
      <c r="G186" s="32" t="str">
        <f>'14U BOYS PLATINUM-10 TEAMS'!G29&amp;""</f>
        <v>3rdC-RANCHO TSUNAMI BLUE</v>
      </c>
      <c r="H186" s="32" t="str">
        <f>'14U BOYS PLATINUM-10 TEAMS'!H29&amp;""</f>
        <v>13</v>
      </c>
      <c r="I186" s="32" t="str">
        <f>'14U BOYS PLATINUM-10 TEAMS'!I29&amp;""</f>
        <v>7th-10th</v>
      </c>
      <c r="J186" s="32" t="str">
        <f>'14U BOYS PLATINUM-10 TEAMS'!J29&amp;""</f>
        <v>14U_BOYS_PLATINUM</v>
      </c>
      <c r="K186" s="32" t="str">
        <f t="shared" si="2"/>
        <v>202603081250</v>
      </c>
    </row>
    <row r="187" spans="1:11">
      <c r="A187" s="94">
        <f>'14U BOYS PLATINUM-10 TEAMS'!A30</f>
        <v>46089</v>
      </c>
      <c r="B187" s="93">
        <f>'14U BOYS PLATINUM-10 TEAMS'!B30</f>
        <v>0.56944444444444497</v>
      </c>
      <c r="C187" s="93" t="str">
        <f>'14U BOYS PLATINUM-10 TEAMS'!C30&amp;""</f>
        <v>WESTMINSTER HS</v>
      </c>
      <c r="D187" s="32" t="str">
        <f>'14U BOYS PLATINUM-10 TEAMS'!D30&amp;""</f>
        <v>14Bpt20</v>
      </c>
      <c r="E187" s="32" t="str">
        <f>'14U BOYS PLATINUM-10 TEAMS'!E30&amp;""</f>
        <v>L#15-MISSION A</v>
      </c>
      <c r="F187" s="32" t="str">
        <f>'14U BOYS PLATINUM-10 TEAMS'!F30&amp;""</f>
        <v>8</v>
      </c>
      <c r="G187" s="32" t="str">
        <f>'14U BOYS PLATINUM-10 TEAMS'!G30&amp;""</f>
        <v>L#16-VANGUARD BLUE</v>
      </c>
      <c r="H187" s="32" t="str">
        <f>'14U BOYS PLATINUM-10 TEAMS'!H30&amp;""</f>
        <v>7</v>
      </c>
      <c r="I187" s="32" t="str">
        <f>'14U BOYS PLATINUM-10 TEAMS'!I30&amp;""</f>
        <v>3rd</v>
      </c>
      <c r="J187" s="32" t="str">
        <f>'14U BOYS PLATINUM-10 TEAMS'!J30&amp;""</f>
        <v>14U_BOYS_PLATINUM</v>
      </c>
      <c r="K187" s="32" t="str">
        <f t="shared" si="2"/>
        <v>202603081340</v>
      </c>
    </row>
    <row r="188" spans="1:11">
      <c r="A188" s="94">
        <f>'14U BOYS PLATINUM-10 TEAMS'!A31</f>
        <v>46089</v>
      </c>
      <c r="B188" s="93">
        <f>'14U BOYS PLATINUM-10 TEAMS'!B31</f>
        <v>0.60416666666666696</v>
      </c>
      <c r="C188" s="93" t="str">
        <f>'14U BOYS PLATINUM-10 TEAMS'!C31&amp;""</f>
        <v>WESTMINSTER HS</v>
      </c>
      <c r="D188" s="32" t="str">
        <f>'14U BOYS PLATINUM-10 TEAMS'!D31&amp;""</f>
        <v>14Bpt21</v>
      </c>
      <c r="E188" s="32" t="str">
        <f>'14U BOYS PLATINUM-10 TEAMS'!E31&amp;""</f>
        <v>W#15-SAN DIEGO DONS</v>
      </c>
      <c r="F188" s="32" t="str">
        <f>'14U BOYS PLATINUM-10 TEAMS'!F31&amp;""</f>
        <v>13</v>
      </c>
      <c r="G188" s="32" t="str">
        <f>'14U BOYS PLATINUM-10 TEAMS'!G31&amp;""</f>
        <v>W#16-NEWPORT BEACH BLUE</v>
      </c>
      <c r="H188" s="32" t="str">
        <f>'14U BOYS PLATINUM-10 TEAMS'!H31&amp;""</f>
        <v>15</v>
      </c>
      <c r="I188" s="32" t="str">
        <f>'14U BOYS PLATINUM-10 TEAMS'!I31&amp;""</f>
        <v>1st</v>
      </c>
      <c r="J188" s="32" t="str">
        <f>'14U BOYS PLATINUM-10 TEAMS'!J31&amp;""</f>
        <v>14U_BOYS_PLATINUM</v>
      </c>
      <c r="K188" s="32" t="str">
        <f t="shared" si="2"/>
        <v>202603081430</v>
      </c>
    </row>
    <row r="189" spans="1:11">
      <c r="A189" s="94">
        <f>'14U BOYS PLATINUM-10 TEAMS'!A32</f>
        <v>46089</v>
      </c>
      <c r="B189" s="93">
        <f>'14U BOYS PLATINUM-10 TEAMS'!B32</f>
        <v>0.63888888888888895</v>
      </c>
      <c r="C189" s="93" t="str">
        <f>'14U BOYS PLATINUM-10 TEAMS'!C32&amp;""</f>
        <v>WESTMINSTER HS</v>
      </c>
      <c r="D189" s="32" t="str">
        <f>'14U BOYS PLATINUM-10 TEAMS'!D32&amp;""</f>
        <v>14Bpt17</v>
      </c>
      <c r="E189" s="32" t="str">
        <f>'14U BOYS PLATINUM-10 TEAMS'!E32&amp;""</f>
        <v>W#13-ORWP A</v>
      </c>
      <c r="F189" s="32" t="str">
        <f>'14U BOYS PLATINUM-10 TEAMS'!F32&amp;""</f>
        <v>9</v>
      </c>
      <c r="G189" s="32" t="str">
        <f>'14U BOYS PLATINUM-10 TEAMS'!G32&amp;""</f>
        <v>W#14-PATRIOT RED</v>
      </c>
      <c r="H189" s="32" t="str">
        <f>'14U BOYS PLATINUM-10 TEAMS'!H32&amp;""</f>
        <v>8</v>
      </c>
      <c r="I189" s="32" t="str">
        <f>'14U BOYS PLATINUM-10 TEAMS'!I32&amp;""</f>
        <v>5th</v>
      </c>
      <c r="J189" s="32" t="str">
        <f>'14U BOYS PLATINUM-10 TEAMS'!J32&amp;""</f>
        <v>14U_BOYS_PLATINUM</v>
      </c>
      <c r="K189" s="32" t="str">
        <f t="shared" si="2"/>
        <v>202603081520</v>
      </c>
    </row>
    <row r="190" spans="1:11">
      <c r="A190" s="94">
        <f>'14U BOYS PLATINUM-10 TEAMS'!A33</f>
        <v>46089</v>
      </c>
      <c r="B190" s="93">
        <f>'14U BOYS PLATINUM-10 TEAMS'!B33</f>
        <v>0.67361111111111105</v>
      </c>
      <c r="C190" s="93" t="str">
        <f>'14U BOYS PLATINUM-10 TEAMS'!C33&amp;""</f>
        <v>WESTMINSTER HS</v>
      </c>
      <c r="D190" s="32" t="str">
        <f>'14U BOYS PLATINUM-10 TEAMS'!D33&amp;""</f>
        <v>14Bpt19</v>
      </c>
      <c r="E190" s="32" t="str">
        <f>'14U BOYS PLATINUM-10 TEAMS'!E33&amp;""</f>
        <v>L#14-ROUTE 66</v>
      </c>
      <c r="F190" s="32" t="str">
        <f>'14U BOYS PLATINUM-10 TEAMS'!F33&amp;""</f>
        <v>8</v>
      </c>
      <c r="G190" s="32" t="str">
        <f>'14U BOYS PLATINUM-10 TEAMS'!G33&amp;""</f>
        <v>4thC-DEVILS GATE</v>
      </c>
      <c r="H190" s="32" t="str">
        <f>'14U BOYS PLATINUM-10 TEAMS'!H33&amp;""</f>
        <v>11</v>
      </c>
      <c r="I190" s="32" t="str">
        <f>'14U BOYS PLATINUM-10 TEAMS'!I33&amp;""</f>
        <v>7th-10th</v>
      </c>
      <c r="J190" s="32" t="str">
        <f>'14U BOYS PLATINUM-10 TEAMS'!J33&amp;""</f>
        <v>14U_BOYS_PLATINUM</v>
      </c>
      <c r="K190" s="32" t="str">
        <f t="shared" si="2"/>
        <v>202603081610</v>
      </c>
    </row>
    <row r="191" spans="1:11">
      <c r="A191" s="153">
        <f>'10U BOYS &amp; COED PT-7 CUSTOM'!A10</f>
        <v>46088</v>
      </c>
      <c r="B191" s="54">
        <f>'10U BOYS &amp; COED PT-7 CUSTOM'!B10</f>
        <v>0.33333333333333331</v>
      </c>
      <c r="C191" s="21" t="str">
        <f>'10U BOYS &amp; COED PT-7 CUSTOM'!C10&amp;""</f>
        <v>WOOLLETT FAR LEFT</v>
      </c>
      <c r="D191" s="21" t="str">
        <f>'10U BOYS &amp; COED PT-7 CUSTOM'!D10&amp;""</f>
        <v>10BCpt01</v>
      </c>
      <c r="E191" s="21" t="str">
        <f>'10U BOYS &amp; COED PT-7 CUSTOM'!E10&amp;""</f>
        <v>A1-NORTH IRVINE BLACK</v>
      </c>
      <c r="F191" s="21" t="str">
        <f>'10U BOYS &amp; COED PT-7 CUSTOM'!F10&amp;""</f>
        <v>22</v>
      </c>
      <c r="G191" s="154" t="str">
        <f>'10U BOYS &amp; COED PT-7 CUSTOM'!G10&amp;""</f>
        <v>A3-VIKING</v>
      </c>
      <c r="H191" s="21" t="str">
        <f>'10U BOYS &amp; COED PT-7 CUSTOM'!H10&amp;""</f>
        <v>8</v>
      </c>
      <c r="I191" s="21" t="str">
        <f>'10U BOYS &amp; COED PT-7 CUSTOM'!I10&amp;""</f>
        <v>A bracket A1,A3 Cpt 1st-3rd</v>
      </c>
      <c r="J191" s="21" t="str">
        <f>'10U BOYS &amp; COED PT-7 CUSTOM'!J10&amp;""</f>
        <v>10U_BOYS_&amp;_COED_PLATINUM</v>
      </c>
      <c r="K191" s="21" t="str">
        <f t="shared" si="2"/>
        <v>202603070800</v>
      </c>
    </row>
    <row r="192" spans="1:11">
      <c r="A192" s="153">
        <f>'10U BOYS &amp; COED PT-7 CUSTOM'!A11</f>
        <v>46088</v>
      </c>
      <c r="B192" s="54">
        <f>'10U BOYS &amp; COED PT-7 CUSTOM'!B11</f>
        <v>0.36805555555555558</v>
      </c>
      <c r="C192" s="21" t="str">
        <f>'10U BOYS &amp; COED PT-7 CUSTOM'!C11&amp;""</f>
        <v>WOOLLETT FAR LEFT</v>
      </c>
      <c r="D192" s="21" t="str">
        <f>'10U BOYS &amp; COED PT-7 CUSTOM'!D11&amp;""</f>
        <v>10BCpt02</v>
      </c>
      <c r="E192" s="21" t="str">
        <f>'10U BOYS &amp; COED PT-7 CUSTOM'!E11&amp;""</f>
        <v>A2-SAN DIEGO DONS BLACK</v>
      </c>
      <c r="F192" s="21" t="str">
        <f>'10U BOYS &amp; COED PT-7 CUSTOM'!F11&amp;""</f>
        <v>15</v>
      </c>
      <c r="G192" s="160" t="str">
        <f>'10U BOYS &amp; COED PT-7 CUSTOM'!G11&amp;""</f>
        <v>A3-VIKING</v>
      </c>
      <c r="H192" s="21" t="str">
        <f>'10U BOYS &amp; COED PT-7 CUSTOM'!H11&amp;""</f>
        <v>7</v>
      </c>
      <c r="I192" s="21" t="str">
        <f>'10U BOYS &amp; COED PT-7 CUSTOM'!I11&amp;""</f>
        <v>A bracket A2,A3 Cpt 1st-3rd</v>
      </c>
      <c r="J192" s="21" t="str">
        <f>'10U BOYS &amp; COED PT-7 CUSTOM'!J11&amp;""</f>
        <v>10U_BOYS_&amp;_COED_PLATINUM</v>
      </c>
      <c r="K192" s="21" t="str">
        <f t="shared" si="2"/>
        <v>202603070850</v>
      </c>
    </row>
    <row r="193" spans="1:11">
      <c r="A193" s="67">
        <f>'10U GIRLS COED AU AG-12 TEAMS'!A13</f>
        <v>46088</v>
      </c>
      <c r="B193" s="66">
        <f>'10U GIRLS COED AU AG-12 TEAMS'!B13</f>
        <v>0.40277777777777779</v>
      </c>
      <c r="C193" s="20" t="str">
        <f>'10U GIRLS COED AU AG-12 TEAMS'!C13&amp;""</f>
        <v>WOOLLETT FAR LEFT</v>
      </c>
      <c r="D193" s="20" t="str">
        <f>'10U GIRLS COED AU AG-12 TEAMS'!D13&amp;""</f>
        <v>10GCauag05</v>
      </c>
      <c r="E193" s="20" t="str">
        <f>'10U GIRLS COED AU AG-12 TEAMS'!E13&amp;""</f>
        <v>C1-DEL MAR GIRLS BLUE</v>
      </c>
      <c r="F193" s="20" t="str">
        <f>'10U GIRLS COED AU AG-12 TEAMS'!F13&amp;""</f>
        <v>20</v>
      </c>
      <c r="G193" s="20" t="str">
        <f>'10U GIRLS COED AU AG-12 TEAMS'!G13&amp;""</f>
        <v>C4-NEWPORT BEACH GIRLS WHITE</v>
      </c>
      <c r="H193" s="20" t="str">
        <f>'10U GIRLS COED AU AG-12 TEAMS'!H13&amp;""</f>
        <v>0</v>
      </c>
      <c r="I193" s="20" t="str">
        <f>'10U GIRLS COED AU AG-12 TEAMS'!I13&amp;""</f>
        <v>C bracket  C1,C4 Girls 1st-4th</v>
      </c>
      <c r="J193" s="20" t="str">
        <f>'10U GIRLS COED AU AG-12 TEAMS'!J13&amp;""</f>
        <v>10U_GIRLS_COED_GOLD_SILVER</v>
      </c>
      <c r="K193" s="20" t="str">
        <f t="shared" si="2"/>
        <v>202603070940</v>
      </c>
    </row>
    <row r="194" spans="1:11">
      <c r="A194" s="67">
        <f>'10U GIRLS COED AU AG-12 TEAMS'!A15</f>
        <v>46088</v>
      </c>
      <c r="B194" s="66">
        <f>'10U GIRLS COED AU AG-12 TEAMS'!B15</f>
        <v>0.4375</v>
      </c>
      <c r="C194" s="20" t="str">
        <f>'10U GIRLS COED AU AG-12 TEAMS'!C15&amp;""</f>
        <v>WOOLLETT FAR LEFT</v>
      </c>
      <c r="D194" s="20" t="str">
        <f>'10U GIRLS COED AU AG-12 TEAMS'!D15&amp;""</f>
        <v>10GCauag06</v>
      </c>
      <c r="E194" s="20" t="str">
        <f>'10U GIRLS COED AU AG-12 TEAMS'!E15&amp;""</f>
        <v>C2-NEWPORT BEACH GIRLS BLUE</v>
      </c>
      <c r="F194" s="20" t="str">
        <f>'10U GIRLS COED AU AG-12 TEAMS'!F15&amp;""</f>
        <v>17</v>
      </c>
      <c r="G194" s="20" t="str">
        <f>'10U GIRLS COED AU AG-12 TEAMS'!G15&amp;""</f>
        <v>C3-DEL MAR GIRLS WHITE</v>
      </c>
      <c r="H194" s="20" t="str">
        <f>'10U GIRLS COED AU AG-12 TEAMS'!H15&amp;""</f>
        <v>1</v>
      </c>
      <c r="I194" s="20" t="str">
        <f>'10U GIRLS COED AU AG-12 TEAMS'!I15&amp;""</f>
        <v>C bracket  C2,C3 Girls 1st-4th</v>
      </c>
      <c r="J194" s="20" t="str">
        <f>'10U GIRLS COED AU AG-12 TEAMS'!J15&amp;""</f>
        <v>10U_GIRLS_COED_GOLD_SILVER</v>
      </c>
      <c r="K194" s="20" t="str">
        <f t="shared" ref="K194:K261" si="3">TEXT(DATE(2026, MONTH(A194), DAY(A194)) + TIME(HOUR(B194), MINUTE(B194), 0), "yyyymmddhhmm")</f>
        <v>202603071030</v>
      </c>
    </row>
    <row r="195" spans="1:11">
      <c r="A195" s="153">
        <f>'10U BOYS &amp; COED PT-7 CUSTOM'!A13</f>
        <v>46088</v>
      </c>
      <c r="B195" s="54">
        <f>'10U BOYS &amp; COED PT-7 CUSTOM'!B13</f>
        <v>0.47222222222222199</v>
      </c>
      <c r="C195" s="21" t="str">
        <f>'10U BOYS &amp; COED PT-7 CUSTOM'!C13&amp;""</f>
        <v>WOOLLETT FAR LEFT</v>
      </c>
      <c r="D195" s="21" t="str">
        <f>'10U BOYS &amp; COED PT-7 CUSTOM'!D13&amp;""</f>
        <v>10BCpt03</v>
      </c>
      <c r="E195" s="21" t="str">
        <f>'10U BOYS &amp; COED PT-7 CUSTOM'!E13&amp;""</f>
        <v>B1-ORWP A</v>
      </c>
      <c r="F195" s="21" t="str">
        <f>'10U BOYS &amp; COED PT-7 CUSTOM'!F13&amp;""</f>
        <v>10</v>
      </c>
      <c r="G195" s="21" t="str">
        <f>'10U BOYS &amp; COED PT-7 CUSTOM'!G13&amp;""</f>
        <v>B4-NEWPORT BEACH WHITE</v>
      </c>
      <c r="H195" s="21" t="str">
        <f>'10U BOYS &amp; COED PT-7 CUSTOM'!H13&amp;""</f>
        <v>7</v>
      </c>
      <c r="I195" s="21" t="str">
        <f>'10U BOYS &amp; COED PT-7 CUSTOM'!I13&amp;""</f>
        <v>B bracket B1,B4 Boys 1st-4th</v>
      </c>
      <c r="J195" s="21" t="str">
        <f>'10U BOYS &amp; COED PT-7 CUSTOM'!J13&amp;""</f>
        <v>10U_BOYS_&amp;_COED_PLATINUM</v>
      </c>
      <c r="K195" s="21" t="str">
        <f t="shared" si="3"/>
        <v>202603071120</v>
      </c>
    </row>
    <row r="196" spans="1:11">
      <c r="A196" s="153">
        <f>'10U BOYS &amp; COED PT-7 CUSTOM'!A14</f>
        <v>46088</v>
      </c>
      <c r="B196" s="54">
        <f>'10U BOYS &amp; COED PT-7 CUSTOM'!B14</f>
        <v>0.50694444444444398</v>
      </c>
      <c r="C196" s="21" t="str">
        <f>'10U BOYS &amp; COED PT-7 CUSTOM'!C14&amp;""</f>
        <v>WOOLLETT FAR LEFT</v>
      </c>
      <c r="D196" s="21" t="str">
        <f>'10U BOYS &amp; COED PT-7 CUSTOM'!D14&amp;""</f>
        <v>10BCpt04</v>
      </c>
      <c r="E196" s="21" t="str">
        <f>'10U BOYS &amp; COED PT-7 CUSTOM'!E14&amp;""</f>
        <v>B2-CDM BLUE</v>
      </c>
      <c r="F196" s="21" t="str">
        <f>'10U BOYS &amp; COED PT-7 CUSTOM'!F14&amp;""</f>
        <v>11</v>
      </c>
      <c r="G196" s="21" t="str">
        <f>'10U BOYS &amp; COED PT-7 CUSTOM'!G14&amp;""</f>
        <v>B3-SAN CLEMENTE RED</v>
      </c>
      <c r="H196" s="21" t="str">
        <f>'10U BOYS &amp; COED PT-7 CUSTOM'!H14&amp;""</f>
        <v>14</v>
      </c>
      <c r="I196" s="21" t="str">
        <f>'10U BOYS &amp; COED PT-7 CUSTOM'!I14&amp;""</f>
        <v>B bracket B2,B3 Boys 1st-4th</v>
      </c>
      <c r="J196" s="21" t="str">
        <f>'10U BOYS &amp; COED PT-7 CUSTOM'!J14&amp;""</f>
        <v>10U_BOYS_&amp;_COED_PLATINUM</v>
      </c>
      <c r="K196" s="21" t="str">
        <f t="shared" si="3"/>
        <v>202603071210</v>
      </c>
    </row>
    <row r="197" spans="1:11">
      <c r="A197" s="67">
        <f>'10U GIRLS COED AU AG-12 TEAMS'!A19</f>
        <v>46088</v>
      </c>
      <c r="B197" s="66">
        <f>'10U GIRLS COED AU AG-12 TEAMS'!B19</f>
        <v>0.54166666666666696</v>
      </c>
      <c r="C197" s="20" t="str">
        <f>'10U GIRLS COED AU AG-12 TEAMS'!C19&amp;""</f>
        <v>WOOLLETT FAR LEFT</v>
      </c>
      <c r="D197" s="20" t="str">
        <f>'10U GIRLS COED AU AG-12 TEAMS'!D19&amp;""</f>
        <v>10GCauag11</v>
      </c>
      <c r="E197" s="20" t="str">
        <f>'10U GIRLS COED AU AG-12 TEAMS'!E19&amp;""</f>
        <v>C1-DEL MAR GIRLS BLUE</v>
      </c>
      <c r="F197" s="20" t="str">
        <f>'10U GIRLS COED AU AG-12 TEAMS'!F19&amp;""</f>
        <v>7</v>
      </c>
      <c r="G197" s="20" t="str">
        <f>'10U GIRLS COED AU AG-12 TEAMS'!G19&amp;""</f>
        <v>C2-NEWPORT BEACH GIRLS BLUE</v>
      </c>
      <c r="H197" s="20" t="str">
        <f>'10U GIRLS COED AU AG-12 TEAMS'!H19&amp;""</f>
        <v>3</v>
      </c>
      <c r="I197" s="20" t="str">
        <f>'10U GIRLS COED AU AG-12 TEAMS'!I19&amp;""</f>
        <v>C bracket  C1,C2 Girls 1st-4th</v>
      </c>
      <c r="J197" s="20" t="str">
        <f>'10U GIRLS COED AU AG-12 TEAMS'!J19&amp;""</f>
        <v>10U_GIRLS_COED_GOLD_SILVER</v>
      </c>
      <c r="K197" s="20" t="str">
        <f t="shared" si="3"/>
        <v>202603071300</v>
      </c>
    </row>
    <row r="198" spans="1:11">
      <c r="A198" s="67">
        <f>'10U GIRLS COED AU AG-12 TEAMS'!A21</f>
        <v>46088</v>
      </c>
      <c r="B198" s="66">
        <f>'10U GIRLS COED AU AG-12 TEAMS'!B21</f>
        <v>0.57638888888888895</v>
      </c>
      <c r="C198" s="20" t="str">
        <f>'10U GIRLS COED AU AG-12 TEAMS'!C21&amp;""</f>
        <v>WOOLLETT FAR LEFT</v>
      </c>
      <c r="D198" s="20" t="str">
        <f>'10U GIRLS COED AU AG-12 TEAMS'!D21&amp;""</f>
        <v>10GCauag12</v>
      </c>
      <c r="E198" s="20" t="str">
        <f>'10U GIRLS COED AU AG-12 TEAMS'!E21&amp;""</f>
        <v>C3-DEL MAR GIRLS WHITE</v>
      </c>
      <c r="F198" s="20" t="str">
        <f>'10U GIRLS COED AU AG-12 TEAMS'!F21&amp;""</f>
        <v>16</v>
      </c>
      <c r="G198" s="20" t="str">
        <f>'10U GIRLS COED AU AG-12 TEAMS'!G21&amp;""</f>
        <v>C4-NEWPORT BEACH GIRLS WHITE</v>
      </c>
      <c r="H198" s="20" t="str">
        <f>'10U GIRLS COED AU AG-12 TEAMS'!H21&amp;""</f>
        <v>0</v>
      </c>
      <c r="I198" s="20" t="str">
        <f>'10U GIRLS COED AU AG-12 TEAMS'!I21&amp;""</f>
        <v>C bracket  C3,C4 Girls 1st-4th</v>
      </c>
      <c r="J198" s="20" t="str">
        <f>'10U GIRLS COED AU AG-12 TEAMS'!J21&amp;""</f>
        <v>10U_GIRLS_COED_GOLD_SILVER</v>
      </c>
      <c r="K198" s="20" t="str">
        <f t="shared" si="3"/>
        <v>202603071350</v>
      </c>
    </row>
    <row r="199" spans="1:11">
      <c r="A199" s="153">
        <f>'10U BOYS &amp; COED PT-7 CUSTOM'!A16</f>
        <v>46088</v>
      </c>
      <c r="B199" s="54">
        <f>'10U BOYS &amp; COED PT-7 CUSTOM'!B16</f>
        <v>0.61111111111111105</v>
      </c>
      <c r="C199" s="21" t="str">
        <f>'10U BOYS &amp; COED PT-7 CUSTOM'!C16&amp;""</f>
        <v>WOOLLETT FAR LEFT</v>
      </c>
      <c r="D199" s="21" t="str">
        <f>'10U BOYS &amp; COED PT-7 CUSTOM'!D16&amp;""</f>
        <v>10BCpt05</v>
      </c>
      <c r="E199" s="21" t="str">
        <f>'10U BOYS &amp; COED PT-7 CUSTOM'!E16&amp;""</f>
        <v>A1-NORTH IRVINE BLACK</v>
      </c>
      <c r="F199" s="21" t="str">
        <f>'10U BOYS &amp; COED PT-7 CUSTOM'!F16&amp;""</f>
        <v>16</v>
      </c>
      <c r="G199" s="21" t="str">
        <f>'10U BOYS &amp; COED PT-7 CUSTOM'!G16&amp;""</f>
        <v>A2-SAN DIEGO DONS BLACK</v>
      </c>
      <c r="H199" s="21" t="str">
        <f>'10U BOYS &amp; COED PT-7 CUSTOM'!H16&amp;""</f>
        <v>5</v>
      </c>
      <c r="I199" s="21" t="str">
        <f>'10U BOYS &amp; COED PT-7 CUSTOM'!I16&amp;""</f>
        <v>A bracket A1,A2 Cpt 1st-3rd</v>
      </c>
      <c r="J199" s="21" t="str">
        <f>'10U BOYS &amp; COED PT-7 CUSTOM'!J16&amp;""</f>
        <v>10U_BOYS_&amp;_COED_PLATINUM</v>
      </c>
      <c r="K199" s="21" t="str">
        <f t="shared" si="3"/>
        <v>202603071440</v>
      </c>
    </row>
    <row r="200" spans="1:11">
      <c r="A200" s="153">
        <f>'10U BOYS &amp; COED PT-7 CUSTOM'!A22</f>
        <v>46089</v>
      </c>
      <c r="B200" s="54">
        <f>'10U BOYS &amp; COED PT-7 CUSTOM'!B22</f>
        <v>0.33333333333333331</v>
      </c>
      <c r="C200" s="21" t="str">
        <f>'10U BOYS &amp; COED PT-7 CUSTOM'!C22&amp;""</f>
        <v>WOOLLETT FAR LEFT</v>
      </c>
      <c r="D200" s="21" t="str">
        <f>'10U BOYS &amp; COED PT-7 CUSTOM'!D22&amp;""</f>
        <v>10BCpt08</v>
      </c>
      <c r="E200" s="21" t="str">
        <f>'10U BOYS &amp; COED PT-7 CUSTOM'!E22&amp;""</f>
        <v>B3-SAN CLEMENTE RED</v>
      </c>
      <c r="F200" s="21" t="str">
        <f>'10U BOYS &amp; COED PT-7 CUSTOM'!F22&amp;""</f>
        <v>17</v>
      </c>
      <c r="G200" s="21" t="str">
        <f>'10U BOYS &amp; COED PT-7 CUSTOM'!G22&amp;""</f>
        <v>B4-NEWPORT BEACH WHITE</v>
      </c>
      <c r="H200" s="21" t="str">
        <f>'10U BOYS &amp; COED PT-7 CUSTOM'!H22&amp;""</f>
        <v>4</v>
      </c>
      <c r="I200" s="21" t="str">
        <f>'10U BOYS &amp; COED PT-7 CUSTOM'!I22&amp;""</f>
        <v>B bracket B3,B4 Boys 1st-4th</v>
      </c>
      <c r="J200" s="21" t="str">
        <f>'10U BOYS &amp; COED PT-7 CUSTOM'!J22&amp;""</f>
        <v>10U_BOYS_&amp;_COED_PLATINUM</v>
      </c>
      <c r="K200" s="21" t="str">
        <f t="shared" si="3"/>
        <v>202603080800</v>
      </c>
    </row>
    <row r="201" spans="1:11">
      <c r="A201" s="153">
        <f>'10U BOYS &amp; COED PT-7 CUSTOM'!A23</f>
        <v>46089</v>
      </c>
      <c r="B201" s="54">
        <f>'10U BOYS &amp; COED PT-7 CUSTOM'!B23</f>
        <v>0.36805555555555558</v>
      </c>
      <c r="C201" s="21" t="str">
        <f>'10U BOYS &amp; COED PT-7 CUSTOM'!C23&amp;""</f>
        <v>WOOLLETT FAR LEFT</v>
      </c>
      <c r="D201" s="21" t="str">
        <f>'10U BOYS &amp; COED PT-7 CUSTOM'!D23&amp;""</f>
        <v>10BCpt09</v>
      </c>
      <c r="E201" s="21" t="str">
        <f>'10U BOYS &amp; COED PT-7 CUSTOM'!E23&amp;""</f>
        <v>B1-ORWP A</v>
      </c>
      <c r="F201" s="21" t="str">
        <f>'10U BOYS &amp; COED PT-7 CUSTOM'!F23&amp;""</f>
        <v>8</v>
      </c>
      <c r="G201" s="21" t="str">
        <f>'10U BOYS &amp; COED PT-7 CUSTOM'!G23&amp;""</f>
        <v>B2-CDM BLUE</v>
      </c>
      <c r="H201" s="21" t="str">
        <f>'10U BOYS &amp; COED PT-7 CUSTOM'!H23&amp;""</f>
        <v>7</v>
      </c>
      <c r="I201" s="21" t="str">
        <f>'10U BOYS &amp; COED PT-7 CUSTOM'!I23&amp;""</f>
        <v>B bracket B1,B2 Boys 1st-4th</v>
      </c>
      <c r="J201" s="21" t="str">
        <f>'10U BOYS &amp; COED PT-7 CUSTOM'!J23&amp;""</f>
        <v>10U_BOYS_&amp;_COED_PLATINUM</v>
      </c>
      <c r="K201" s="21" t="str">
        <f t="shared" si="3"/>
        <v>202603080850</v>
      </c>
    </row>
    <row r="202" spans="1:11">
      <c r="A202" s="67">
        <f>'10U GIRLS COED AU AG-12 TEAMS'!A27</f>
        <v>46089</v>
      </c>
      <c r="B202" s="152">
        <f>'10U GIRLS COED AU AG-12 TEAMS'!B27</f>
        <v>0.40277777777777801</v>
      </c>
      <c r="C202" s="66" t="str">
        <f>'10U GIRLS COED AU AG-12 TEAMS'!C27&amp;""</f>
        <v>WOOLLETT FAR LEFT</v>
      </c>
      <c r="D202" s="20" t="str">
        <f>'10U GIRLS COED AU AG-12 TEAMS'!D27&amp;""</f>
        <v>10GCauag15</v>
      </c>
      <c r="E202" s="20" t="str">
        <f>'10U GIRLS COED AU AG-12 TEAMS'!E27&amp;""</f>
        <v>B1-SAN CLEMENTE GIRLS RED ag</v>
      </c>
      <c r="F202" s="20" t="str">
        <f>'10U GIRLS COED AU AG-12 TEAMS'!F27&amp;""</f>
        <v>10</v>
      </c>
      <c r="G202" s="20" t="str">
        <f>'10U GIRLS COED AU AG-12 TEAMS'!G27&amp;""</f>
        <v>B2-CDM BOYS WHITE ag</v>
      </c>
      <c r="H202" s="20" t="str">
        <f>'10U GIRLS COED AU AG-12 TEAMS'!H27&amp;""</f>
        <v>3</v>
      </c>
      <c r="I202" s="20" t="str">
        <f>'10U GIRLS COED AU AG-12 TEAMS'!I27&amp;""</f>
        <v>bracket, B1/B2 coed silver 1st-4th</v>
      </c>
      <c r="J202" s="20" t="str">
        <f>'10U GIRLS COED AU AG-12 TEAMS'!J27&amp;""</f>
        <v>10U_GIRLS_COED_GOLD_SILVER</v>
      </c>
      <c r="K202" s="20" t="str">
        <f t="shared" si="3"/>
        <v>202603080940</v>
      </c>
    </row>
    <row r="203" spans="1:11">
      <c r="A203" s="153">
        <f>'10U BOYS &amp; COED PT-7 CUSTOM'!A25</f>
        <v>46089</v>
      </c>
      <c r="B203" s="54">
        <f>'10U BOYS &amp; COED PT-7 CUSTOM'!B25</f>
        <v>0.4375</v>
      </c>
      <c r="C203" s="21" t="str">
        <f>'10U BOYS &amp; COED PT-7 CUSTOM'!C25&amp;""</f>
        <v>WOOLLETT FAR LEFT</v>
      </c>
      <c r="D203" s="21" t="str">
        <f>'10U BOYS &amp; COED PT-7 CUSTOM'!D25&amp;""</f>
        <v>10BCpt10</v>
      </c>
      <c r="E203" s="21" t="str">
        <f>'10U BOYS &amp; COED PT-7 CUSTOM'!E25&amp;""</f>
        <v>3rdA-VIKING</v>
      </c>
      <c r="F203" s="21" t="str">
        <f>'10U BOYS &amp; COED PT-7 CUSTOM'!F25&amp;""</f>
        <v>4</v>
      </c>
      <c r="G203" s="21" t="str">
        <f>'10U BOYS &amp; COED PT-7 CUSTOM'!G25&amp;""</f>
        <v>4thB-NEWPORT BEACH WHITE</v>
      </c>
      <c r="H203" s="21" t="str">
        <f>'10U BOYS &amp; COED PT-7 CUSTOM'!H25&amp;""</f>
        <v>9</v>
      </c>
      <c r="I203" s="21" t="str">
        <f>'10U BOYS &amp; COED PT-7 CUSTOM'!I25&amp;""</f>
        <v>cross</v>
      </c>
      <c r="J203" s="21" t="str">
        <f>'10U BOYS &amp; COED PT-7 CUSTOM'!J25&amp;""</f>
        <v>10U_BOYS_&amp;_COED_PLATINUM</v>
      </c>
      <c r="K203" s="21" t="str">
        <f t="shared" si="3"/>
        <v>202603081030</v>
      </c>
    </row>
    <row r="204" spans="1:11">
      <c r="A204" s="153">
        <f>'10U BOYS &amp; COED PT-7 CUSTOM'!A26</f>
        <v>46089</v>
      </c>
      <c r="B204" s="54">
        <f>'10U BOYS &amp; COED PT-7 CUSTOM'!B26</f>
        <v>0.47222222222222199</v>
      </c>
      <c r="C204" s="21" t="str">
        <f>'10U BOYS &amp; COED PT-7 CUSTOM'!C26&amp;""</f>
        <v>WOOLLETT FAR LEFT</v>
      </c>
      <c r="D204" s="21" t="str">
        <f>'10U BOYS &amp; COED PT-7 CUSTOM'!D26&amp;""</f>
        <v>10BCpt11</v>
      </c>
      <c r="E204" s="21" t="str">
        <f>'10U BOYS &amp; COED PT-7 CUSTOM'!E26&amp;""</f>
        <v>1stA-NORTH IRVINE BLACK</v>
      </c>
      <c r="F204" s="21" t="str">
        <f>'10U BOYS &amp; COED PT-7 CUSTOM'!F26&amp;""</f>
        <v>12</v>
      </c>
      <c r="G204" s="21" t="str">
        <f>'10U BOYS &amp; COED PT-7 CUSTOM'!G26&amp;""</f>
        <v>2ndB-SAN CLEMENTE RED</v>
      </c>
      <c r="H204" s="21" t="str">
        <f>'10U BOYS &amp; COED PT-7 CUSTOM'!H26&amp;""</f>
        <v>9</v>
      </c>
      <c r="I204" s="21" t="str">
        <f>'10U BOYS &amp; COED PT-7 CUSTOM'!I26&amp;""</f>
        <v>cross</v>
      </c>
      <c r="J204" s="21" t="str">
        <f>'10U BOYS &amp; COED PT-7 CUSTOM'!J26&amp;""</f>
        <v>10U_BOYS_&amp;_COED_PLATINUM</v>
      </c>
      <c r="K204" s="21" t="str">
        <f t="shared" si="3"/>
        <v>202603081120</v>
      </c>
    </row>
    <row r="205" spans="1:11">
      <c r="A205" s="153">
        <f>'10U BOYS &amp; COED PT-7 CUSTOM'!A27</f>
        <v>46089</v>
      </c>
      <c r="B205" s="54">
        <f>'10U BOYS &amp; COED PT-7 CUSTOM'!B27</f>
        <v>0.50694444444444398</v>
      </c>
      <c r="C205" s="21" t="str">
        <f>'10U BOYS &amp; COED PT-7 CUSTOM'!C27&amp;""</f>
        <v>WOOLLETT FAR LEFT</v>
      </c>
      <c r="D205" s="21" t="str">
        <f>'10U BOYS &amp; COED PT-7 CUSTOM'!D27&amp;""</f>
        <v>10BCpt12</v>
      </c>
      <c r="E205" s="21" t="str">
        <f>'10U BOYS &amp; COED PT-7 CUSTOM'!E27&amp;""</f>
        <v>1stB-ORWP A</v>
      </c>
      <c r="F205" s="21" t="str">
        <f>'10U BOYS &amp; COED PT-7 CUSTOM'!F27&amp;""</f>
        <v>10</v>
      </c>
      <c r="G205" s="21" t="str">
        <f>'10U BOYS &amp; COED PT-7 CUSTOM'!G27&amp;""</f>
        <v>2ndA-SAN DIEGO DONS BLACK</v>
      </c>
      <c r="H205" s="21" t="str">
        <f>'10U BOYS &amp; COED PT-7 CUSTOM'!H27&amp;""</f>
        <v>6</v>
      </c>
      <c r="I205" s="21" t="str">
        <f>'10U BOYS &amp; COED PT-7 CUSTOM'!I27&amp;""</f>
        <v>cross</v>
      </c>
      <c r="J205" s="21" t="str">
        <f>'10U BOYS &amp; COED PT-7 CUSTOM'!J27&amp;""</f>
        <v>10U_BOYS_&amp;_COED_PLATINUM</v>
      </c>
      <c r="K205" s="21" t="str">
        <f t="shared" si="3"/>
        <v>202603081210</v>
      </c>
    </row>
    <row r="206" spans="1:11">
      <c r="A206" s="153">
        <f>'10U BOYS &amp; COED PT-7 CUSTOM'!A28</f>
        <v>46089</v>
      </c>
      <c r="B206" s="54">
        <f>'10U BOYS &amp; COED PT-7 CUSTOM'!B28</f>
        <v>0.54166666666666696</v>
      </c>
      <c r="C206" s="21" t="str">
        <f>'10U BOYS &amp; COED PT-7 CUSTOM'!C28&amp;""</f>
        <v>WOOLLETT FAR LEFT</v>
      </c>
      <c r="D206" s="21" t="str">
        <f>'10U BOYS &amp; COED PT-7 CUSTOM'!D28&amp;""</f>
        <v>10BCpt13</v>
      </c>
      <c r="E206" s="21" t="str">
        <f>'10U BOYS &amp; COED PT-7 CUSTOM'!E28&amp;""</f>
        <v>3rdA-VIKING</v>
      </c>
      <c r="F206" s="21" t="str">
        <f>'10U BOYS &amp; COED PT-7 CUSTOM'!F28&amp;""</f>
        <v>2</v>
      </c>
      <c r="G206" s="21" t="str">
        <f>'10U BOYS &amp; COED PT-7 CUSTOM'!G28&amp;""</f>
        <v>3rdB-CDM BLUE</v>
      </c>
      <c r="H206" s="21" t="str">
        <f>'10U BOYS &amp; COED PT-7 CUSTOM'!H28&amp;""</f>
        <v>7</v>
      </c>
      <c r="I206" s="21" t="str">
        <f>'10U BOYS &amp; COED PT-7 CUSTOM'!I28&amp;""</f>
        <v>cross</v>
      </c>
      <c r="J206" s="21" t="str">
        <f>'10U BOYS &amp; COED PT-7 CUSTOM'!J28&amp;""</f>
        <v>10U_BOYS_&amp;_COED_PLATINUM</v>
      </c>
      <c r="K206" s="21" t="str">
        <f t="shared" si="3"/>
        <v>202603081300</v>
      </c>
    </row>
    <row r="207" spans="1:11">
      <c r="A207" s="153">
        <f>'10U BOYS &amp; COED PT-7 CUSTOM'!A29</f>
        <v>46089</v>
      </c>
      <c r="B207" s="54">
        <f>'10U BOYS &amp; COED PT-7 CUSTOM'!B29</f>
        <v>0.57638888888888895</v>
      </c>
      <c r="C207" s="21" t="str">
        <f>'10U BOYS &amp; COED PT-7 CUSTOM'!C29&amp;""</f>
        <v>WOOLLETT FAR LEFT</v>
      </c>
      <c r="D207" s="21" t="str">
        <f>'10U BOYS &amp; COED PT-7 CUSTOM'!D29&amp;""</f>
        <v>10BCpt14</v>
      </c>
      <c r="E207" s="21" t="str">
        <f>'10U BOYS &amp; COED PT-7 CUSTOM'!E29&amp;""</f>
        <v>1stA-NORTH IRVINE BLACK</v>
      </c>
      <c r="F207" s="21" t="str">
        <f>'10U BOYS &amp; COED PT-7 CUSTOM'!F29&amp;""</f>
        <v>14</v>
      </c>
      <c r="G207" s="21" t="str">
        <f>'10U BOYS &amp; COED PT-7 CUSTOM'!G29&amp;""</f>
        <v>1stB-ORWP A</v>
      </c>
      <c r="H207" s="21" t="str">
        <f>'10U BOYS &amp; COED PT-7 CUSTOM'!H29&amp;""</f>
        <v>1</v>
      </c>
      <c r="I207" s="21" t="str">
        <f>'10U BOYS &amp; COED PT-7 CUSTOM'!I29&amp;""</f>
        <v>cross</v>
      </c>
      <c r="J207" s="21" t="str">
        <f>'10U BOYS &amp; COED PT-7 CUSTOM'!J29&amp;""</f>
        <v>10U_BOYS_&amp;_COED_PLATINUM</v>
      </c>
      <c r="K207" s="21" t="str">
        <f t="shared" si="3"/>
        <v>202603081350</v>
      </c>
    </row>
    <row r="208" spans="1:11">
      <c r="A208" s="153">
        <f>'10U BOYS &amp; COED PT-7 CUSTOM'!A30</f>
        <v>46089</v>
      </c>
      <c r="B208" s="54">
        <f>'10U BOYS &amp; COED PT-7 CUSTOM'!B30</f>
        <v>0.61111111111111105</v>
      </c>
      <c r="C208" s="21" t="str">
        <f>'10U BOYS &amp; COED PT-7 CUSTOM'!C30&amp;""</f>
        <v>WOOLLETT FAR LEFT</v>
      </c>
      <c r="D208" s="21" t="str">
        <f>'10U BOYS &amp; COED PT-7 CUSTOM'!D30&amp;""</f>
        <v>10BCpt15</v>
      </c>
      <c r="E208" s="21" t="str">
        <f>'10U BOYS &amp; COED PT-7 CUSTOM'!E30&amp;""</f>
        <v>2ndA-SAN DIEGO DONS BLACK</v>
      </c>
      <c r="F208" s="21" t="str">
        <f>'10U BOYS &amp; COED PT-7 CUSTOM'!F30&amp;""</f>
        <v>9</v>
      </c>
      <c r="G208" s="21" t="str">
        <f>'10U BOYS &amp; COED PT-7 CUSTOM'!G30&amp;""</f>
        <v>2ndB-SAN CLEMENTE RED</v>
      </c>
      <c r="H208" s="21" t="str">
        <f>'10U BOYS &amp; COED PT-7 CUSTOM'!H30&amp;""</f>
        <v>14</v>
      </c>
      <c r="I208" s="21" t="str">
        <f>'10U BOYS &amp; COED PT-7 CUSTOM'!I30&amp;""</f>
        <v>cross</v>
      </c>
      <c r="J208" s="21" t="str">
        <f>'10U BOYS &amp; COED PT-7 CUSTOM'!J30&amp;""</f>
        <v>10U_BOYS_&amp;_COED_PLATINUM</v>
      </c>
      <c r="K208" s="21" t="str">
        <f t="shared" si="3"/>
        <v>202603081440</v>
      </c>
    </row>
    <row r="209" spans="1:11">
      <c r="A209" s="77">
        <f>'12U BOYS-16 TEAMS'!A31</f>
        <v>46088</v>
      </c>
      <c r="B209" s="76">
        <f>'12U BOYS-16 TEAMS'!B31</f>
        <v>0.36111111111111099</v>
      </c>
      <c r="C209" s="76" t="str">
        <f>'12U BOYS-16 TEAMS'!C31&amp;""</f>
        <v>WOOLLETT FAR RIGHT</v>
      </c>
      <c r="D209" s="26" t="str">
        <f>'12U BOYS-16 TEAMS'!D31&amp;""</f>
        <v>12B10</v>
      </c>
      <c r="E209" s="26" t="str">
        <f>'12U BOYS-16 TEAMS'!E31&amp;""</f>
        <v>C1-LAWPC</v>
      </c>
      <c r="F209" s="26" t="str">
        <f>'12U BOYS-16 TEAMS'!F31&amp;""</f>
        <v>8</v>
      </c>
      <c r="G209" s="26" t="str">
        <f>'12U BOYS-16 TEAMS'!G31&amp;""</f>
        <v>C3-NORTH IRVINE RED</v>
      </c>
      <c r="H209" s="26" t="str">
        <f>'12U BOYS-16 TEAMS'!H31&amp;""</f>
        <v>5</v>
      </c>
      <c r="I209" s="26" t="str">
        <f>'12U BOYS-16 TEAMS'!I31&amp;""</f>
        <v>C bracket C1,C3</v>
      </c>
      <c r="J209" s="26" t="str">
        <f>'12U BOYS-16 TEAMS'!J31&amp;""</f>
        <v>12U_BOYS</v>
      </c>
      <c r="K209" s="26" t="str">
        <f t="shared" si="3"/>
        <v>202603070840</v>
      </c>
    </row>
    <row r="210" spans="1:11">
      <c r="A210" s="77">
        <f>'12U BOYS-16 TEAMS'!A32</f>
        <v>46088</v>
      </c>
      <c r="B210" s="76">
        <f>'12U BOYS-16 TEAMS'!B32</f>
        <v>0.39583333333333398</v>
      </c>
      <c r="C210" s="76" t="str">
        <f>'12U BOYS-16 TEAMS'!C32&amp;""</f>
        <v>WOOLLETT FAR RIGHT</v>
      </c>
      <c r="D210" s="26" t="str">
        <f>'12U BOYS-16 TEAMS'!D32&amp;""</f>
        <v>12B11</v>
      </c>
      <c r="E210" s="26" t="str">
        <f>'12U BOYS-16 TEAMS'!E32&amp;""</f>
        <v>D1-PEGASUS WPA BLUE</v>
      </c>
      <c r="F210" s="26" t="str">
        <f>'12U BOYS-16 TEAMS'!F32&amp;""</f>
        <v>11</v>
      </c>
      <c r="G210" s="26" t="str">
        <f>'12U BOYS-16 TEAMS'!G32&amp;""</f>
        <v>D4-NEWPORT BEACH 10 BLUE</v>
      </c>
      <c r="H210" s="26" t="str">
        <f>'12U BOYS-16 TEAMS'!H32&amp;""</f>
        <v>7</v>
      </c>
      <c r="I210" s="26" t="str">
        <f>'12U BOYS-16 TEAMS'!I32&amp;""</f>
        <v>W/L D1/D4</v>
      </c>
      <c r="J210" s="26" t="str">
        <f>'12U BOYS-16 TEAMS'!J32&amp;""</f>
        <v>12U_BOYS</v>
      </c>
      <c r="K210" s="26" t="str">
        <f t="shared" si="3"/>
        <v>202603070930</v>
      </c>
    </row>
    <row r="211" spans="1:11">
      <c r="A211" s="77">
        <f>'12U BOYS-16 TEAMS'!A33</f>
        <v>46088</v>
      </c>
      <c r="B211" s="76">
        <f>'12U BOYS-16 TEAMS'!B33</f>
        <v>0.43055555555555602</v>
      </c>
      <c r="C211" s="76" t="str">
        <f>'12U BOYS-16 TEAMS'!C33&amp;""</f>
        <v>WOOLLETT FAR RIGHT</v>
      </c>
      <c r="D211" s="26" t="str">
        <f>'12U BOYS-16 TEAMS'!D33&amp;""</f>
        <v>12B12</v>
      </c>
      <c r="E211" s="26" t="str">
        <f>'12U BOYS-16 TEAMS'!E33&amp;""</f>
        <v>D2-VANGUARD SILVER</v>
      </c>
      <c r="F211" s="78" t="str">
        <f>'12U BOYS-16 TEAMS'!F33&amp;""</f>
        <v>8</v>
      </c>
      <c r="G211" s="26" t="str">
        <f>'12U BOYS-16 TEAMS'!G33&amp;""</f>
        <v>D3-SAN DIEGO DONS 10 RED</v>
      </c>
      <c r="H211" s="78" t="str">
        <f>'12U BOYS-16 TEAMS'!H33&amp;""</f>
        <v>10</v>
      </c>
      <c r="I211" s="26" t="str">
        <f>'12U BOYS-16 TEAMS'!I33&amp;""</f>
        <v>W/L D2/D3</v>
      </c>
      <c r="J211" s="26" t="str">
        <f>'12U BOYS-16 TEAMS'!J33&amp;""</f>
        <v>12U_BOYS</v>
      </c>
      <c r="K211" s="26" t="str">
        <f t="shared" si="3"/>
        <v>202603071020</v>
      </c>
    </row>
    <row r="212" spans="1:11">
      <c r="A212" s="77">
        <f>'12U BOYS-16 TEAMS'!A34</f>
        <v>46088</v>
      </c>
      <c r="B212" s="76">
        <f>'12U BOYS-16 TEAMS'!B34</f>
        <v>0.46527777777777801</v>
      </c>
      <c r="C212" s="76" t="str">
        <f>'12U BOYS-16 TEAMS'!C34&amp;""</f>
        <v>WOOLLETT FAR RIGHT</v>
      </c>
      <c r="D212" s="26" t="str">
        <f>'12U BOYS-16 TEAMS'!D34&amp;""</f>
        <v>12B13</v>
      </c>
      <c r="E212" s="26" t="str">
        <f>'12U BOYS-16 TEAMS'!E34&amp;""</f>
        <v>C2-MISSION B</v>
      </c>
      <c r="F212" s="26" t="str">
        <f>'12U BOYS-16 TEAMS'!F34&amp;""</f>
        <v>16</v>
      </c>
      <c r="G212" s="26" t="str">
        <f>'12U BOYS-16 TEAMS'!G34&amp;""</f>
        <v>C3-NORTH IRVINE RED</v>
      </c>
      <c r="H212" s="26" t="str">
        <f>'12U BOYS-16 TEAMS'!H34&amp;""</f>
        <v>2</v>
      </c>
      <c r="I212" s="26" t="str">
        <f>'12U BOYS-16 TEAMS'!I34&amp;""</f>
        <v>C bracket C2,C3</v>
      </c>
      <c r="J212" s="26" t="str">
        <f>'12U BOYS-16 TEAMS'!J34&amp;""</f>
        <v>12U_BOYS</v>
      </c>
      <c r="K212" s="26" t="str">
        <f t="shared" si="3"/>
        <v>202603071110</v>
      </c>
    </row>
    <row r="213" spans="1:11">
      <c r="A213" s="77">
        <f>'12U BOYS-16 TEAMS'!A35</f>
        <v>46088</v>
      </c>
      <c r="B213" s="76">
        <f>'12U BOYS-16 TEAMS'!B35</f>
        <v>0.5</v>
      </c>
      <c r="C213" s="76" t="str">
        <f>'12U BOYS-16 TEAMS'!C35&amp;""</f>
        <v>WOOLLETT FAR RIGHT</v>
      </c>
      <c r="D213" s="26" t="str">
        <f>'12U BOYS-16 TEAMS'!D35&amp;""</f>
        <v>12B14</v>
      </c>
      <c r="E213" s="26" t="str">
        <f>'12U BOYS-16 TEAMS'!E35&amp;""</f>
        <v>L#D1/D4-NEWPORT BEACH 10 BLUE</v>
      </c>
      <c r="F213" s="26" t="str">
        <f>'12U BOYS-16 TEAMS'!F35&amp;""</f>
        <v>7</v>
      </c>
      <c r="G213" s="26" t="str">
        <f>'12U BOYS-16 TEAMS'!G35&amp;""</f>
        <v>L#D2/D3-VANGUARD SILVER</v>
      </c>
      <c r="H213" s="26" t="str">
        <f>'12U BOYS-16 TEAMS'!H35&amp;""</f>
        <v>4</v>
      </c>
      <c r="I213" s="26" t="str">
        <f>'12U BOYS-16 TEAMS'!I35&amp;""</f>
        <v>3rd/4thD</v>
      </c>
      <c r="J213" s="26" t="str">
        <f>'12U BOYS-16 TEAMS'!J35&amp;""</f>
        <v>12U_BOYS</v>
      </c>
      <c r="K213" s="26" t="str">
        <f t="shared" si="3"/>
        <v>202603071200</v>
      </c>
    </row>
    <row r="214" spans="1:11">
      <c r="A214" s="77">
        <f>'12U BOYS-16 TEAMS'!A36</f>
        <v>46088</v>
      </c>
      <c r="B214" s="76">
        <f>'12U BOYS-16 TEAMS'!B36</f>
        <v>0.53472222222222199</v>
      </c>
      <c r="C214" s="76" t="str">
        <f>'12U BOYS-16 TEAMS'!C36&amp;""</f>
        <v>WOOLLETT FAR RIGHT</v>
      </c>
      <c r="D214" s="26" t="str">
        <f>'12U BOYS-16 TEAMS'!D36&amp;""</f>
        <v>12B15</v>
      </c>
      <c r="E214" s="26" t="str">
        <f>'12U BOYS-16 TEAMS'!E36&amp;""</f>
        <v>W#D1/D4-PEGASUS WPA BLUE</v>
      </c>
      <c r="F214" s="26" t="str">
        <f>'12U BOYS-16 TEAMS'!F36&amp;""</f>
        <v>14</v>
      </c>
      <c r="G214" s="26" t="str">
        <f>'12U BOYS-16 TEAMS'!G36&amp;""</f>
        <v>W#D2/D3-SAN DIEGO DONS 10 RED</v>
      </c>
      <c r="H214" s="26" t="str">
        <f>'12U BOYS-16 TEAMS'!H36&amp;""</f>
        <v>10</v>
      </c>
      <c r="I214" s="26" t="str">
        <f>'12U BOYS-16 TEAMS'!I36&amp;""</f>
        <v>1st/2ndD</v>
      </c>
      <c r="J214" s="26" t="str">
        <f>'12U BOYS-16 TEAMS'!J36&amp;""</f>
        <v>12U_BOYS</v>
      </c>
      <c r="K214" s="26" t="str">
        <f t="shared" si="3"/>
        <v>202603071250</v>
      </c>
    </row>
    <row r="215" spans="1:11">
      <c r="A215" s="77">
        <f>'12U BOYS-16 TEAMS'!A37</f>
        <v>46088</v>
      </c>
      <c r="B215" s="76">
        <f>'12U BOYS-16 TEAMS'!B37</f>
        <v>0.56944444444444497</v>
      </c>
      <c r="C215" s="76" t="str">
        <f>'12U BOYS-16 TEAMS'!C37&amp;""</f>
        <v>WOOLLETT FAR RIGHT</v>
      </c>
      <c r="D215" s="26" t="str">
        <f>'12U BOYS-16 TEAMS'!D37&amp;""</f>
        <v>12B16</v>
      </c>
      <c r="E215" s="26" t="str">
        <f>'12U BOYS-16 TEAMS'!E37&amp;""</f>
        <v>C1-LAWPC</v>
      </c>
      <c r="F215" s="26" t="str">
        <f>'12U BOYS-16 TEAMS'!F37&amp;""</f>
        <v>9</v>
      </c>
      <c r="G215" s="26" t="str">
        <f>'12U BOYS-16 TEAMS'!G37&amp;""</f>
        <v>C2-MISSION B</v>
      </c>
      <c r="H215" s="26" t="str">
        <f>'12U BOYS-16 TEAMS'!H37&amp;""</f>
        <v>14</v>
      </c>
      <c r="I215" s="26" t="str">
        <f>'12U BOYS-16 TEAMS'!I37&amp;""</f>
        <v>C bracket C1,C2</v>
      </c>
      <c r="J215" s="26" t="str">
        <f>'12U BOYS-16 TEAMS'!J37&amp;""</f>
        <v>12U_BOYS</v>
      </c>
      <c r="K215" s="26" t="str">
        <f t="shared" si="3"/>
        <v>202603071340</v>
      </c>
    </row>
    <row r="216" spans="1:11">
      <c r="A216" s="86">
        <f>'12U COED GIRLS-9 TEAMS CUSTOM'!A22</f>
        <v>46088</v>
      </c>
      <c r="B216" s="85">
        <f>'12U COED GIRLS-9 TEAMS CUSTOM'!B22</f>
        <v>0.64583333333333304</v>
      </c>
      <c r="C216" s="24" t="str">
        <f>'12U COED GIRLS-9 TEAMS CUSTOM'!C22&amp;""</f>
        <v>WOOLLETT FAR RIGHT</v>
      </c>
      <c r="D216" s="24" t="str">
        <f>'12U COED GIRLS-9 TEAMS CUSTOM'!D22&amp;""</f>
        <v>12GC08</v>
      </c>
      <c r="E216" s="24" t="str">
        <f>'12U COED GIRLS-9 TEAMS CUSTOM'!E22&amp;""</f>
        <v>B1-ARROYO GRANDE</v>
      </c>
      <c r="F216" s="24" t="str">
        <f>'12U COED GIRLS-9 TEAMS CUSTOM'!F22&amp;""</f>
        <v>14</v>
      </c>
      <c r="G216" s="24" t="str">
        <f>'12U COED GIRLS-9 TEAMS CUSTOM'!G22&amp;""</f>
        <v>B2-SET</v>
      </c>
      <c r="H216" s="24" t="str">
        <f>'12U COED GIRLS-9 TEAMS CUSTOM'!H22&amp;""</f>
        <v>6</v>
      </c>
      <c r="I216" s="24" t="str">
        <f>'12U COED GIRLS-9 TEAMS CUSTOM'!I22&amp;""</f>
        <v>B bracket B1,B2</v>
      </c>
      <c r="J216" s="24" t="str">
        <f>'12U COED GIRLS-9 TEAMS CUSTOM'!J22&amp;""</f>
        <v>12U_COED_GIRLS</v>
      </c>
      <c r="K216" s="24" t="str">
        <f t="shared" si="3"/>
        <v>202603071530</v>
      </c>
    </row>
    <row r="217" spans="1:11">
      <c r="A217" s="86">
        <f>'12U COED GIRLS-9 TEAMS CUSTOM'!A23</f>
        <v>46088</v>
      </c>
      <c r="B217" s="85">
        <f>'12U COED GIRLS-9 TEAMS CUSTOM'!B23</f>
        <v>0.68055555555555602</v>
      </c>
      <c r="C217" s="24" t="str">
        <f>'12U COED GIRLS-9 TEAMS CUSTOM'!C23&amp;""</f>
        <v>WOOLLETT FAR RIGHT</v>
      </c>
      <c r="D217" s="24" t="str">
        <f>'12U COED GIRLS-9 TEAMS CUSTOM'!D23&amp;""</f>
        <v>12GC09</v>
      </c>
      <c r="E217" s="85" t="str">
        <f>'12U COED GIRLS-9 TEAMS CUSTOM'!E23&amp;""</f>
        <v>C1-INNIS ARDEN</v>
      </c>
      <c r="F217" s="24" t="str">
        <f>'12U COED GIRLS-9 TEAMS CUSTOM'!F23&amp;""</f>
        <v>12</v>
      </c>
      <c r="G217" s="85" t="str">
        <f>'12U COED GIRLS-9 TEAMS CUSTOM'!G23&amp;""</f>
        <v>C2-CMAC GIRLS</v>
      </c>
      <c r="H217" s="24" t="str">
        <f>'12U COED GIRLS-9 TEAMS CUSTOM'!H23&amp;""</f>
        <v>7</v>
      </c>
      <c r="I217" s="24" t="str">
        <f>'12U COED GIRLS-9 TEAMS CUSTOM'!I23&amp;""</f>
        <v>C bracket C1,C2</v>
      </c>
      <c r="J217" s="24" t="str">
        <f>'12U COED GIRLS-9 TEAMS CUSTOM'!J23&amp;""</f>
        <v>12U_COED_GIRLS</v>
      </c>
      <c r="K217" s="24" t="str">
        <f t="shared" si="3"/>
        <v>202603071620</v>
      </c>
    </row>
    <row r="218" spans="1:11">
      <c r="A218" s="77">
        <f>'12U BOYS-16 TEAMS'!A40</f>
        <v>46089</v>
      </c>
      <c r="B218" s="76">
        <f>'12U BOYS-16 TEAMS'!B40</f>
        <v>0.36111111111111099</v>
      </c>
      <c r="C218" s="76" t="str">
        <f>'12U BOYS-16 TEAMS'!C40&amp;""</f>
        <v>WOOLLETT FAR RIGHT</v>
      </c>
      <c r="D218" s="26" t="str">
        <f>'12U BOYS-16 TEAMS'!D40&amp;""</f>
        <v>12B17</v>
      </c>
      <c r="E218" s="26" t="str">
        <f>'12U BOYS-16 TEAMS'!E40&amp;""</f>
        <v>G1(2ndB)-TROJAN</v>
      </c>
      <c r="F218" s="26" t="str">
        <f>'12U BOYS-16 TEAMS'!F40&amp;""</f>
        <v>5</v>
      </c>
      <c r="G218" s="26" t="str">
        <f>'12U BOYS-16 TEAMS'!G40&amp;""</f>
        <v>G3(2ndD)-SAN DIEGO DONS 10 RED</v>
      </c>
      <c r="H218" s="26" t="str">
        <f>'12U BOYS-16 TEAMS'!H40&amp;""</f>
        <v>12</v>
      </c>
      <c r="I218" s="26" t="str">
        <f>'12U BOYS-16 TEAMS'!I40&amp;""</f>
        <v>G bracket G1,G3 gold 4th-6th</v>
      </c>
      <c r="J218" s="26" t="str">
        <f>'12U BOYS-16 TEAMS'!J40&amp;""</f>
        <v>12U_BOYS</v>
      </c>
      <c r="K218" s="26" t="str">
        <f t="shared" si="3"/>
        <v>202603080840</v>
      </c>
    </row>
    <row r="219" spans="1:11">
      <c r="A219" s="77">
        <f>'12U BOYS-16 TEAMS'!A41</f>
        <v>46089</v>
      </c>
      <c r="B219" s="76">
        <f>'12U BOYS-16 TEAMS'!B41</f>
        <v>0.39583333333333398</v>
      </c>
      <c r="C219" s="76" t="str">
        <f>'12U BOYS-16 TEAMS'!C41&amp;""</f>
        <v>WOOLLETT FAR RIGHT</v>
      </c>
      <c r="D219" s="26" t="str">
        <f>'12U BOYS-16 TEAMS'!D41&amp;""</f>
        <v>12B18</v>
      </c>
      <c r="E219" s="26" t="str">
        <f>'12U BOYS-16 TEAMS'!E41&amp;""</f>
        <v>F1(1stB)-ROUTE 66</v>
      </c>
      <c r="F219" s="26" t="str">
        <f>'12U BOYS-16 TEAMS'!F41&amp;""</f>
        <v>8</v>
      </c>
      <c r="G219" s="26" t="str">
        <f>'12U BOYS-16 TEAMS'!G41&amp;""</f>
        <v>F3(1stD)-PEGASUS WPA BLUE</v>
      </c>
      <c r="H219" s="26" t="str">
        <f>'12U BOYS-16 TEAMS'!H41&amp;""</f>
        <v>11</v>
      </c>
      <c r="I219" s="26" t="str">
        <f>'12U BOYS-16 TEAMS'!I41&amp;""</f>
        <v>F bracket F1,F3 gold 1st-3rd</v>
      </c>
      <c r="J219" s="26" t="str">
        <f>'12U BOYS-16 TEAMS'!J41&amp;""</f>
        <v>12U_BOYS</v>
      </c>
      <c r="K219" s="26" t="str">
        <f t="shared" si="3"/>
        <v>202603080930</v>
      </c>
    </row>
    <row r="220" spans="1:11">
      <c r="A220" s="77">
        <f>'12U BOYS-16 TEAMS'!A43</f>
        <v>46089</v>
      </c>
      <c r="B220" s="76">
        <f>'12U BOYS-16 TEAMS'!B43</f>
        <v>0.46527777777777801</v>
      </c>
      <c r="C220" s="76" t="str">
        <f>'12U BOYS-16 TEAMS'!C43&amp;""</f>
        <v>WOOLLETT FAR RIGHT</v>
      </c>
      <c r="D220" s="26" t="str">
        <f>'12U BOYS-16 TEAMS'!D43&amp;""</f>
        <v>12B21</v>
      </c>
      <c r="E220" s="26" t="str">
        <f>'12U BOYS-16 TEAMS'!E43&amp;""</f>
        <v>G2(2ndC)-LAWPC</v>
      </c>
      <c r="F220" s="26" t="str">
        <f>'12U BOYS-16 TEAMS'!F43&amp;""</f>
        <v>9</v>
      </c>
      <c r="G220" s="26" t="str">
        <f>'12U BOYS-16 TEAMS'!G43&amp;""</f>
        <v>G3(2ndD)-SAN DIEGO DONS 10 RED</v>
      </c>
      <c r="H220" s="26" t="str">
        <f>'12U BOYS-16 TEAMS'!H43&amp;""</f>
        <v>10</v>
      </c>
      <c r="I220" s="26" t="str">
        <f>'12U BOYS-16 TEAMS'!I43&amp;""</f>
        <v>G bracket G2,G3 gold 4th-6th</v>
      </c>
      <c r="J220" s="26" t="str">
        <f>'12U BOYS-16 TEAMS'!J43&amp;""</f>
        <v>12U_BOYS</v>
      </c>
      <c r="K220" s="26" t="str">
        <f t="shared" si="3"/>
        <v>202603081110</v>
      </c>
    </row>
    <row r="221" spans="1:11">
      <c r="A221" s="77">
        <f>'12U BOYS-16 TEAMS'!A44</f>
        <v>46089</v>
      </c>
      <c r="B221" s="76">
        <f>'12U BOYS-16 TEAMS'!B44</f>
        <v>0.5</v>
      </c>
      <c r="C221" s="76" t="str">
        <f>'12U BOYS-16 TEAMS'!C44&amp;""</f>
        <v>WOOLLETT FAR RIGHT</v>
      </c>
      <c r="D221" s="26" t="str">
        <f>'12U BOYS-16 TEAMS'!D44&amp;""</f>
        <v>12B22</v>
      </c>
      <c r="E221" s="26" t="str">
        <f>'12U BOYS-16 TEAMS'!E44&amp;""</f>
        <v>F2(1stC)-MISSION B</v>
      </c>
      <c r="F221" s="26" t="str">
        <f>'12U BOYS-16 TEAMS'!F44&amp;""</f>
        <v>11</v>
      </c>
      <c r="G221" s="26" t="str">
        <f>'12U BOYS-16 TEAMS'!G44&amp;""</f>
        <v>F3(1stD)-PEGASUS WPA BLUE</v>
      </c>
      <c r="H221" s="26" t="str">
        <f>'12U BOYS-16 TEAMS'!H44&amp;""</f>
        <v>6</v>
      </c>
      <c r="I221" s="26" t="str">
        <f>'12U BOYS-16 TEAMS'!I44&amp;""</f>
        <v>F bracket F2,F3 gold 1st-3rd</v>
      </c>
      <c r="J221" s="26" t="str">
        <f>'12U BOYS-16 TEAMS'!J44&amp;""</f>
        <v>12U_BOYS</v>
      </c>
      <c r="K221" s="26" t="str">
        <f t="shared" si="3"/>
        <v>202603081200</v>
      </c>
    </row>
    <row r="222" spans="1:11">
      <c r="A222" s="77">
        <f>'12U BOYS-16 TEAMS'!A46</f>
        <v>46089</v>
      </c>
      <c r="B222" s="76">
        <f>'12U BOYS-16 TEAMS'!B46</f>
        <v>0.56944444444444497</v>
      </c>
      <c r="C222" s="76" t="str">
        <f>'12U BOYS-16 TEAMS'!C46&amp;""</f>
        <v>WOOLLETT FAR RIGHT</v>
      </c>
      <c r="D222" s="26" t="str">
        <f>'12U BOYS-16 TEAMS'!D46&amp;""</f>
        <v>12B25</v>
      </c>
      <c r="E222" s="26" t="str">
        <f>'12U BOYS-16 TEAMS'!E46&amp;""</f>
        <v>G1(2ndB)-TROJAN</v>
      </c>
      <c r="F222" s="26" t="str">
        <f>'12U BOYS-16 TEAMS'!F46&amp;""</f>
        <v>9</v>
      </c>
      <c r="G222" s="26" t="str">
        <f>'12U BOYS-16 TEAMS'!G46&amp;""</f>
        <v>G2(2ndC)-LAWPC</v>
      </c>
      <c r="H222" s="26" t="str">
        <f>'12U BOYS-16 TEAMS'!H46&amp;""</f>
        <v>14</v>
      </c>
      <c r="I222" s="26" t="str">
        <f>'12U BOYS-16 TEAMS'!I46&amp;""</f>
        <v>G bracket G1,G2 gold 4th-6th</v>
      </c>
      <c r="J222" s="26" t="str">
        <f>'12U BOYS-16 TEAMS'!J46&amp;""</f>
        <v>12U_BOYS</v>
      </c>
      <c r="K222" s="26" t="str">
        <f t="shared" si="3"/>
        <v>202603081340</v>
      </c>
    </row>
    <row r="223" spans="1:11">
      <c r="A223" s="77">
        <f>'12U BOYS-16 TEAMS'!A47</f>
        <v>46089</v>
      </c>
      <c r="B223" s="76">
        <f>'12U BOYS-16 TEAMS'!B47</f>
        <v>0.60416666666666696</v>
      </c>
      <c r="C223" s="76" t="str">
        <f>'12U BOYS-16 TEAMS'!C47&amp;""</f>
        <v>WOOLLETT FAR RIGHT</v>
      </c>
      <c r="D223" s="26" t="str">
        <f>'12U BOYS-16 TEAMS'!D47&amp;""</f>
        <v>12B26</v>
      </c>
      <c r="E223" s="26" t="str">
        <f>'12U BOYS-16 TEAMS'!E47&amp;""</f>
        <v>F1(1stB)-ROUTE 66</v>
      </c>
      <c r="F223" s="26" t="str">
        <f>'12U BOYS-16 TEAMS'!F47&amp;""</f>
        <v>5</v>
      </c>
      <c r="G223" s="26" t="str">
        <f>'12U BOYS-16 TEAMS'!G47&amp;""</f>
        <v>F2(1stC)-MISSION B</v>
      </c>
      <c r="H223" s="26" t="str">
        <f>'12U BOYS-16 TEAMS'!H47&amp;""</f>
        <v>14</v>
      </c>
      <c r="I223" s="26" t="str">
        <f>'12U BOYS-16 TEAMS'!I47&amp;""</f>
        <v>F bracket F1,F2 gold 1st-3rd</v>
      </c>
      <c r="J223" s="26" t="str">
        <f>'12U BOYS-16 TEAMS'!J47&amp;""</f>
        <v>12U_BOYS</v>
      </c>
      <c r="K223" s="26" t="str">
        <f t="shared" si="3"/>
        <v>202603081430</v>
      </c>
    </row>
    <row r="224" spans="1:11">
      <c r="A224" s="86">
        <f>'12U COED GIRLS-9 TEAMS CUSTOM'!A36</f>
        <v>46089</v>
      </c>
      <c r="B224" s="85">
        <f>'12U COED GIRLS-9 TEAMS CUSTOM'!B36</f>
        <v>0.64583333333333304</v>
      </c>
      <c r="C224" s="24" t="str">
        <f>'12U COED GIRLS-9 TEAMS CUSTOM'!C36&amp;""</f>
        <v>WOOLLETT FAR RIGHT</v>
      </c>
      <c r="D224" s="24" t="str">
        <f>'12U COED GIRLS-9 TEAMS CUSTOM'!D36&amp;""</f>
        <v>12GC18</v>
      </c>
      <c r="E224" s="24" t="str">
        <f>'12U COED GIRLS-9 TEAMS CUSTOM'!E36&amp;""</f>
        <v>F1(3rdA)-HEILAND</v>
      </c>
      <c r="F224" s="24" t="str">
        <f>'12U COED GIRLS-9 TEAMS CUSTOM'!F36&amp;""</f>
        <v>5</v>
      </c>
      <c r="G224" s="24" t="str">
        <f>'12U COED GIRLS-9 TEAMS CUSTOM'!G36&amp;""</f>
        <v>F2(3rdB)-SET</v>
      </c>
      <c r="H224" s="24" t="str">
        <f>'12U COED GIRLS-9 TEAMS CUSTOM'!H36&amp;""</f>
        <v>7</v>
      </c>
      <c r="I224" s="24" t="str">
        <f>'12U COED GIRLS-9 TEAMS CUSTOM'!I36&amp;""</f>
        <v>F bracket F1,F2 Coed 6th</v>
      </c>
      <c r="J224" s="24" t="str">
        <f>'12U COED GIRLS-9 TEAMS CUSTOM'!J36&amp;""</f>
        <v>12U_COED_GIRLS</v>
      </c>
      <c r="K224" s="24" t="str">
        <f t="shared" si="3"/>
        <v>202603081530</v>
      </c>
    </row>
    <row r="225" spans="1:11">
      <c r="A225" s="142">
        <f>'19U BOYS PLATINUM GOLD-11 TEAMS'!A12</f>
        <v>46088</v>
      </c>
      <c r="B225" s="143">
        <f>'19U BOYS PLATINUM GOLD-11 TEAMS'!B12</f>
        <v>0.29166666666666669</v>
      </c>
      <c r="C225" s="142" t="str">
        <f>'19U BOYS PLATINUM GOLD-11 TEAMS'!C12&amp;""</f>
        <v>WOOLLETT NEAR LEFT</v>
      </c>
      <c r="D225" s="31" t="str">
        <f>'19U BOYS PLATINUM GOLD-11 TEAMS'!D12&amp;""</f>
        <v>19Bptau01</v>
      </c>
      <c r="E225" s="142" t="str">
        <f>'19U BOYS PLATINUM GOLD-11 TEAMS'!E12&amp;""</f>
        <v>C1-TROJAN  16 CARDINAL pt</v>
      </c>
      <c r="F225" s="31" t="str">
        <f>'19U BOYS PLATINUM GOLD-11 TEAMS'!F12&amp;""</f>
        <v>13</v>
      </c>
      <c r="G225" s="142" t="str">
        <f>'19U BOYS PLATINUM GOLD-11 TEAMS'!G12&amp;""</f>
        <v>C4-ROUTE 66</v>
      </c>
      <c r="H225" s="31" t="str">
        <f>'19U BOYS PLATINUM GOLD-11 TEAMS'!H12&amp;""</f>
        <v>9</v>
      </c>
      <c r="I225" s="31" t="str">
        <f>'19U BOYS PLATINUM GOLD-11 TEAMS'!I12&amp;""</f>
        <v>W/L C1/C4</v>
      </c>
      <c r="J225" s="31" t="str">
        <f>'19U BOYS PLATINUM GOLD-11 TEAMS'!J12&amp;""</f>
        <v>19U_BOYS_PLATINUM_GOLD</v>
      </c>
      <c r="K225" s="31" t="str">
        <f t="shared" si="3"/>
        <v>202603070700</v>
      </c>
    </row>
    <row r="226" spans="1:11">
      <c r="A226" s="142">
        <f>'19U BOYS PLATINUM GOLD-11 TEAMS'!A13</f>
        <v>46088</v>
      </c>
      <c r="B226" s="143">
        <f>'19U BOYS PLATINUM GOLD-11 TEAMS'!B13</f>
        <v>0.33333333333333298</v>
      </c>
      <c r="C226" s="142" t="str">
        <f>'19U BOYS PLATINUM GOLD-11 TEAMS'!C13&amp;""</f>
        <v>WOOLLETT NEAR LEFT</v>
      </c>
      <c r="D226" s="31" t="str">
        <f>'19U BOYS PLATINUM GOLD-11 TEAMS'!D13&amp;""</f>
        <v>19Bptau02</v>
      </c>
      <c r="E226" s="142" t="str">
        <f>'19U BOYS PLATINUM GOLD-11 TEAMS'!E13&amp;""</f>
        <v>C2-PEAK POLO BOLTZ pt</v>
      </c>
      <c r="F226" s="31" t="str">
        <f>'19U BOYS PLATINUM GOLD-11 TEAMS'!F13&amp;""</f>
        <v>18</v>
      </c>
      <c r="G226" s="142" t="str">
        <f>'19U BOYS PLATINUM GOLD-11 TEAMS'!G13&amp;""</f>
        <v>C3-SOUTH VALLEY</v>
      </c>
      <c r="H226" s="31" t="str">
        <f>'19U BOYS PLATINUM GOLD-11 TEAMS'!H13&amp;""</f>
        <v>3</v>
      </c>
      <c r="I226" s="31" t="str">
        <f>'19U BOYS PLATINUM GOLD-11 TEAMS'!I13&amp;""</f>
        <v>W/L C2/C3</v>
      </c>
      <c r="J226" s="31" t="str">
        <f>'19U BOYS PLATINUM GOLD-11 TEAMS'!J13&amp;""</f>
        <v>19U_BOYS_PLATINUM_GOLD</v>
      </c>
      <c r="K226" s="31" t="str">
        <f t="shared" si="3"/>
        <v>202603070800</v>
      </c>
    </row>
    <row r="227" spans="1:11">
      <c r="A227" s="142">
        <f>'19U BOYS PLATINUM GOLD-11 TEAMS'!A14</f>
        <v>46088</v>
      </c>
      <c r="B227" s="143">
        <f>'19U BOYS PLATINUM GOLD-11 TEAMS'!B14</f>
        <v>0.375</v>
      </c>
      <c r="C227" s="142" t="str">
        <f>'19U BOYS PLATINUM GOLD-11 TEAMS'!C14&amp;""</f>
        <v>WOOLLETT NEAR LEFT</v>
      </c>
      <c r="D227" s="31" t="str">
        <f>'19U BOYS PLATINUM GOLD-11 TEAMS'!D14&amp;""</f>
        <v>19Bptau03</v>
      </c>
      <c r="E227" s="142" t="str">
        <f>'19U BOYS PLATINUM GOLD-11 TEAMS'!E14&amp;""</f>
        <v>A1-SAND CANYON BLACK pt</v>
      </c>
      <c r="F227" s="31" t="str">
        <f>'19U BOYS PLATINUM GOLD-11 TEAMS'!F14&amp;""</f>
        <v>15</v>
      </c>
      <c r="G227" s="142" t="str">
        <f>'19U BOYS PLATINUM GOLD-11 TEAMS'!G14&amp;""</f>
        <v>A3-TSM B</v>
      </c>
      <c r="H227" s="31" t="str">
        <f>'19U BOYS PLATINUM GOLD-11 TEAMS'!H14&amp;""</f>
        <v>4</v>
      </c>
      <c r="I227" s="31" t="str">
        <f>'19U BOYS PLATINUM GOLD-11 TEAMS'!I14&amp;""</f>
        <v>A bracket A1,A3</v>
      </c>
      <c r="J227" s="31" t="str">
        <f>'19U BOYS PLATINUM GOLD-11 TEAMS'!J14&amp;""</f>
        <v>19U_BOYS_PLATINUM_GOLD</v>
      </c>
      <c r="K227" s="31" t="str">
        <f t="shared" si="3"/>
        <v>202603070900</v>
      </c>
    </row>
    <row r="228" spans="1:11">
      <c r="A228" s="142">
        <f>'19U BOYS PLATINUM GOLD-11 TEAMS'!A15</f>
        <v>46088</v>
      </c>
      <c r="B228" s="143">
        <f>'19U BOYS PLATINUM GOLD-11 TEAMS'!B15</f>
        <v>0.41666666666666702</v>
      </c>
      <c r="C228" s="142" t="str">
        <f>'19U BOYS PLATINUM GOLD-11 TEAMS'!C15&amp;""</f>
        <v>WOOLLETT NEAR LEFT</v>
      </c>
      <c r="D228" s="31" t="str">
        <f>'19U BOYS PLATINUM GOLD-11 TEAMS'!D15&amp;""</f>
        <v>19Bptau04</v>
      </c>
      <c r="E228" s="142" t="str">
        <f>'19U BOYS PLATINUM GOLD-11 TEAMS'!E15&amp;""</f>
        <v>B1-PEAK POLO LIGHTNING pt</v>
      </c>
      <c r="F228" s="31" t="str">
        <f>'19U BOYS PLATINUM GOLD-11 TEAMS'!F15&amp;""</f>
        <v>19</v>
      </c>
      <c r="G228" s="142" t="str">
        <f>'19U BOYS PLATINUM GOLD-11 TEAMS'!G15&amp;""</f>
        <v>B4-SAND CANYON RED</v>
      </c>
      <c r="H228" s="31" t="str">
        <f>'19U BOYS PLATINUM GOLD-11 TEAMS'!H15&amp;""</f>
        <v>4</v>
      </c>
      <c r="I228" s="31" t="str">
        <f>'19U BOYS PLATINUM GOLD-11 TEAMS'!I15&amp;""</f>
        <v>W/L B1/B4</v>
      </c>
      <c r="J228" s="31" t="str">
        <f>'19U BOYS PLATINUM GOLD-11 TEAMS'!J15&amp;""</f>
        <v>19U_BOYS_PLATINUM_GOLD</v>
      </c>
      <c r="K228" s="31" t="str">
        <f t="shared" si="3"/>
        <v>202603071000</v>
      </c>
    </row>
    <row r="229" spans="1:11">
      <c r="A229" s="142">
        <f>'19U BOYS PLATINUM GOLD-11 TEAMS'!A17</f>
        <v>46088</v>
      </c>
      <c r="B229" s="143">
        <f>'19U BOYS PLATINUM GOLD-11 TEAMS'!B17</f>
        <v>0.45833333333333298</v>
      </c>
      <c r="C229" s="142" t="str">
        <f>'19U BOYS PLATINUM GOLD-11 TEAMS'!C17&amp;""</f>
        <v>WOOLLETT NEAR LEFT</v>
      </c>
      <c r="D229" s="31" t="str">
        <f>'19U BOYS PLATINUM GOLD-11 TEAMS'!D17&amp;""</f>
        <v>19Bptau06</v>
      </c>
      <c r="E229" s="142" t="str">
        <f>'19U BOYS PLATINUM GOLD-11 TEAMS'!E17&amp;""</f>
        <v>A2-VANGUARD SILVER</v>
      </c>
      <c r="F229" s="31" t="str">
        <f>'19U BOYS PLATINUM GOLD-11 TEAMS'!F17&amp;""</f>
        <v>11</v>
      </c>
      <c r="G229" s="142" t="str">
        <f>'19U BOYS PLATINUM GOLD-11 TEAMS'!G17&amp;""</f>
        <v>A3-TSM B</v>
      </c>
      <c r="H229" s="31" t="str">
        <f>'19U BOYS PLATINUM GOLD-11 TEAMS'!H17&amp;""</f>
        <v>10</v>
      </c>
      <c r="I229" s="31" t="str">
        <f>'19U BOYS PLATINUM GOLD-11 TEAMS'!I17&amp;""</f>
        <v>A bracket A2,A3</v>
      </c>
      <c r="J229" s="31" t="str">
        <f>'19U BOYS PLATINUM GOLD-11 TEAMS'!J17&amp;""</f>
        <v>19U_BOYS_PLATINUM_GOLD</v>
      </c>
      <c r="K229" s="31" t="str">
        <f t="shared" si="3"/>
        <v>202603071100</v>
      </c>
    </row>
    <row r="230" spans="1:11">
      <c r="A230" s="142">
        <f>'19U BOYS PLATINUM GOLD-11 TEAMS'!A18</f>
        <v>46088</v>
      </c>
      <c r="B230" s="143">
        <f>'19U BOYS PLATINUM GOLD-11 TEAMS'!B18</f>
        <v>0.5</v>
      </c>
      <c r="C230" s="142" t="str">
        <f>'19U BOYS PLATINUM GOLD-11 TEAMS'!C18&amp;""</f>
        <v>WOOLLETT NEAR LEFT</v>
      </c>
      <c r="D230" s="31" t="str">
        <f>'19U BOYS PLATINUM GOLD-11 TEAMS'!D18&amp;""</f>
        <v>19Bptau07</v>
      </c>
      <c r="E230" s="142" t="str">
        <f>'19U BOYS PLATINUM GOLD-11 TEAMS'!E18&amp;""</f>
        <v>L#C1/C4-ROUTE 66</v>
      </c>
      <c r="F230" s="31" t="str">
        <f>'19U BOYS PLATINUM GOLD-11 TEAMS'!F18&amp;""</f>
        <v>12</v>
      </c>
      <c r="G230" s="142" t="str">
        <f>'19U BOYS PLATINUM GOLD-11 TEAMS'!G18&amp;""</f>
        <v>L#C2/C3-SOUTH VALLEY</v>
      </c>
      <c r="H230" s="31" t="str">
        <f>'19U BOYS PLATINUM GOLD-11 TEAMS'!H18&amp;""</f>
        <v>15</v>
      </c>
      <c r="I230" s="31" t="str">
        <f>'19U BOYS PLATINUM GOLD-11 TEAMS'!I18&amp;""</f>
        <v>3rd/4thC</v>
      </c>
      <c r="J230" s="31" t="str">
        <f>'19U BOYS PLATINUM GOLD-11 TEAMS'!J18&amp;""</f>
        <v>19U_BOYS_PLATINUM_GOLD</v>
      </c>
      <c r="K230" s="31" t="str">
        <f t="shared" si="3"/>
        <v>202603071200</v>
      </c>
    </row>
    <row r="231" spans="1:11">
      <c r="A231" s="142">
        <f>'19U BOYS PLATINUM GOLD-11 TEAMS'!A19</f>
        <v>46088</v>
      </c>
      <c r="B231" s="143">
        <f>'19U BOYS PLATINUM GOLD-11 TEAMS'!B19</f>
        <v>0.54166666666666696</v>
      </c>
      <c r="C231" s="142" t="str">
        <f>'19U BOYS PLATINUM GOLD-11 TEAMS'!C19&amp;""</f>
        <v>WOOLLETT NEAR LEFT</v>
      </c>
      <c r="D231" s="31" t="str">
        <f>'19U BOYS PLATINUM GOLD-11 TEAMS'!D19&amp;""</f>
        <v>19Bptau08</v>
      </c>
      <c r="E231" s="142" t="str">
        <f>'19U BOYS PLATINUM GOLD-11 TEAMS'!E19&amp;""</f>
        <v>W#C1/C4-TROJAN  16 CARDINAL pt</v>
      </c>
      <c r="F231" s="31" t="str">
        <f>'19U BOYS PLATINUM GOLD-11 TEAMS'!F19&amp;""</f>
        <v>7</v>
      </c>
      <c r="G231" s="142" t="str">
        <f>'19U BOYS PLATINUM GOLD-11 TEAMS'!G19&amp;""</f>
        <v>W#C2/C3-PEAK POLO BOLTZ pt</v>
      </c>
      <c r="H231" s="31" t="str">
        <f>'19U BOYS PLATINUM GOLD-11 TEAMS'!H19&amp;""</f>
        <v>17</v>
      </c>
      <c r="I231" s="31" t="str">
        <f>'19U BOYS PLATINUM GOLD-11 TEAMS'!I19&amp;""</f>
        <v>1st/2ndC</v>
      </c>
      <c r="J231" s="31" t="str">
        <f>'19U BOYS PLATINUM GOLD-11 TEAMS'!J19&amp;""</f>
        <v>19U_BOYS_PLATINUM_GOLD</v>
      </c>
      <c r="K231" s="31" t="str">
        <f t="shared" si="3"/>
        <v>202603071300</v>
      </c>
    </row>
    <row r="232" spans="1:11">
      <c r="A232" s="142">
        <f>'19U BOYS PLATINUM GOLD-11 TEAMS'!A21</f>
        <v>46088</v>
      </c>
      <c r="B232" s="143">
        <f>'19U BOYS PLATINUM GOLD-11 TEAMS'!B21</f>
        <v>0.58333333333333304</v>
      </c>
      <c r="C232" s="142" t="str">
        <f>'19U BOYS PLATINUM GOLD-11 TEAMS'!C21&amp;""</f>
        <v>WOOLLETT NEAR LEFT</v>
      </c>
      <c r="D232" s="31" t="str">
        <f>'19U BOYS PLATINUM GOLD-11 TEAMS'!D21&amp;""</f>
        <v>19Bptau09</v>
      </c>
      <c r="E232" s="142" t="str">
        <f>'19U BOYS PLATINUM GOLD-11 TEAMS'!E21&amp;""</f>
        <v>A1-SAND CANYON BLACK pt</v>
      </c>
      <c r="F232" s="31" t="str">
        <f>'19U BOYS PLATINUM GOLD-11 TEAMS'!F21&amp;""</f>
        <v>19</v>
      </c>
      <c r="G232" s="142" t="str">
        <f>'19U BOYS PLATINUM GOLD-11 TEAMS'!G21&amp;""</f>
        <v>A2-VANGUARD SILVER</v>
      </c>
      <c r="H232" s="31" t="str">
        <f>'19U BOYS PLATINUM GOLD-11 TEAMS'!H21&amp;""</f>
        <v>2</v>
      </c>
      <c r="I232" s="31" t="str">
        <f>'19U BOYS PLATINUM GOLD-11 TEAMS'!I21&amp;""</f>
        <v>A bracket A1,A2</v>
      </c>
      <c r="J232" s="31" t="str">
        <f>'19U BOYS PLATINUM GOLD-11 TEAMS'!J21&amp;""</f>
        <v>19U_BOYS_PLATINUM_GOLD</v>
      </c>
      <c r="K232" s="31" t="str">
        <f t="shared" si="3"/>
        <v>202603071400</v>
      </c>
    </row>
    <row r="233" spans="1:11">
      <c r="A233" s="142">
        <f>'19U BOYS PLATINUM GOLD-11 TEAMS'!A22</f>
        <v>46088</v>
      </c>
      <c r="B233" s="143">
        <f>'19U BOYS PLATINUM GOLD-11 TEAMS'!B22</f>
        <v>0.625</v>
      </c>
      <c r="C233" s="142" t="str">
        <f>'19U BOYS PLATINUM GOLD-11 TEAMS'!C22&amp;""</f>
        <v>WOOLLETT NEAR LEFT</v>
      </c>
      <c r="D233" s="31" t="str">
        <f>'19U BOYS PLATINUM GOLD-11 TEAMS'!D22&amp;""</f>
        <v>19Bptau11</v>
      </c>
      <c r="E233" s="142" t="str">
        <f>'19U BOYS PLATINUM GOLD-11 TEAMS'!E22&amp;""</f>
        <v>W#B1/B4-PEAK POLO LIGHTNING pt</v>
      </c>
      <c r="F233" s="31" t="str">
        <f>'19U BOYS PLATINUM GOLD-11 TEAMS'!F22&amp;""</f>
        <v>18</v>
      </c>
      <c r="G233" s="142" t="str">
        <f>'19U BOYS PLATINUM GOLD-11 TEAMS'!G22&amp;""</f>
        <v>W#B2/B3-ALAMEDA</v>
      </c>
      <c r="H233" s="31" t="str">
        <f>'19U BOYS PLATINUM GOLD-11 TEAMS'!H22&amp;""</f>
        <v>1</v>
      </c>
      <c r="I233" s="31" t="str">
        <f>'19U BOYS PLATINUM GOLD-11 TEAMS'!I22&amp;""</f>
        <v>1st/2ndB</v>
      </c>
      <c r="J233" s="31" t="str">
        <f>'19U BOYS PLATINUM GOLD-11 TEAMS'!J22&amp;""</f>
        <v>19U_BOYS_PLATINUM_GOLD</v>
      </c>
      <c r="K233" s="31" t="str">
        <f t="shared" si="3"/>
        <v>202603071500</v>
      </c>
    </row>
    <row r="234" spans="1:11">
      <c r="A234" s="142">
        <f>'19U BOYS PLATINUM GOLD-11 TEAMS'!A26</f>
        <v>46089</v>
      </c>
      <c r="B234" s="143">
        <f>'19U BOYS PLATINUM GOLD-11 TEAMS'!B26</f>
        <v>0.33333333333333298</v>
      </c>
      <c r="C234" s="142" t="str">
        <f>'19U BOYS PLATINUM GOLD-11 TEAMS'!C26&amp;""</f>
        <v>WOOLLETT NEAR LEFT</v>
      </c>
      <c r="D234" s="31" t="str">
        <f>'19U BOYS PLATINUM GOLD-11 TEAMS'!D26&amp;""</f>
        <v>19Bptau12</v>
      </c>
      <c r="E234" s="142" t="str">
        <f>'19U BOYS PLATINUM GOLD-11 TEAMS'!E26&amp;""</f>
        <v>F1(3rdA)-TSM B</v>
      </c>
      <c r="F234" s="31" t="str">
        <f>'19U BOYS PLATINUM GOLD-11 TEAMS'!F26&amp;""</f>
        <v>11</v>
      </c>
      <c r="G234" s="142" t="str">
        <f>'19U BOYS PLATINUM GOLD-11 TEAMS'!G26&amp;""</f>
        <v>F2(3rdB)-HIELAND</v>
      </c>
      <c r="H234" s="31" t="str">
        <f>'19U BOYS PLATINUM GOLD-11 TEAMS'!H26&amp;""</f>
        <v>17</v>
      </c>
      <c r="I234" s="31" t="str">
        <f>'19U BOYS PLATINUM GOLD-11 TEAMS'!I26&amp;""</f>
        <v>F1,F2 7th-11th</v>
      </c>
      <c r="J234" s="31" t="str">
        <f>'19U BOYS PLATINUM GOLD-11 TEAMS'!J26&amp;""</f>
        <v>19U_BOYS_PLATINUM_GOLD</v>
      </c>
      <c r="K234" s="31" t="str">
        <f t="shared" si="3"/>
        <v>202603080800</v>
      </c>
    </row>
    <row r="235" spans="1:11">
      <c r="A235" s="142">
        <f>'19U BOYS PLATINUM GOLD-11 TEAMS'!A28</f>
        <v>46089</v>
      </c>
      <c r="B235" s="143">
        <f>'19U BOYS PLATINUM GOLD-11 TEAMS'!B28</f>
        <v>0.375</v>
      </c>
      <c r="C235" s="142" t="str">
        <f>'19U BOYS PLATINUM GOLD-11 TEAMS'!C28&amp;""</f>
        <v>WOOLLETT NEAR LEFT</v>
      </c>
      <c r="D235" s="31" t="str">
        <f>'19U BOYS PLATINUM GOLD-11 TEAMS'!D28&amp;""</f>
        <v>19Bptau13</v>
      </c>
      <c r="E235" s="142" t="str">
        <f>'19U BOYS PLATINUM GOLD-11 TEAMS'!E28&amp;""</f>
        <v>F3(3rdC)-SOUTH VALLEY</v>
      </c>
      <c r="F235" s="31" t="str">
        <f>'19U BOYS PLATINUM GOLD-11 TEAMS'!F28&amp;""</f>
        <v>9</v>
      </c>
      <c r="G235" s="142" t="str">
        <f>'19U BOYS PLATINUM GOLD-11 TEAMS'!G28&amp;""</f>
        <v>F5(4thB)-SAND CANYON RED</v>
      </c>
      <c r="H235" s="31" t="str">
        <f>'19U BOYS PLATINUM GOLD-11 TEAMS'!H28&amp;""</f>
        <v>12</v>
      </c>
      <c r="I235" s="31" t="str">
        <f>'19U BOYS PLATINUM GOLD-11 TEAMS'!I28&amp;""</f>
        <v>F3,F5 7th-11th</v>
      </c>
      <c r="J235" s="31" t="str">
        <f>'19U BOYS PLATINUM GOLD-11 TEAMS'!J28&amp;""</f>
        <v>19U_BOYS_PLATINUM_GOLD</v>
      </c>
      <c r="K235" s="31" t="str">
        <f t="shared" si="3"/>
        <v>202603080900</v>
      </c>
    </row>
    <row r="236" spans="1:11">
      <c r="A236" s="142">
        <f>'19U BOYS PLATINUM GOLD-11 TEAMS'!A29</f>
        <v>46089</v>
      </c>
      <c r="B236" s="143">
        <f>'19U BOYS PLATINUM GOLD-11 TEAMS'!B29</f>
        <v>0.41666666666666702</v>
      </c>
      <c r="C236" s="142" t="str">
        <f>'19U BOYS PLATINUM GOLD-11 TEAMS'!C29&amp;""</f>
        <v>WOOLLETT NEAR LEFT</v>
      </c>
      <c r="D236" s="31" t="str">
        <f>'19U BOYS PLATINUM GOLD-11 TEAMS'!D29&amp;""</f>
        <v>19Bptau14</v>
      </c>
      <c r="E236" s="142" t="str">
        <f>'19U BOYS PLATINUM GOLD-11 TEAMS'!E29&amp;""</f>
        <v>D1(1stA)-SAND CANYON BLACK pt</v>
      </c>
      <c r="F236" s="31" t="str">
        <f>'19U BOYS PLATINUM GOLD-11 TEAMS'!F29&amp;""</f>
        <v>7</v>
      </c>
      <c r="G236" s="142" t="str">
        <f>'19U BOYS PLATINUM GOLD-11 TEAMS'!G29&amp;""</f>
        <v>D3(1stC)-PEAK POLO BOLTZ pt</v>
      </c>
      <c r="H236" s="31" t="str">
        <f>'19U BOYS PLATINUM GOLD-11 TEAMS'!H29&amp;""</f>
        <v>9</v>
      </c>
      <c r="I236" s="31" t="str">
        <f>'19U BOYS PLATINUM GOLD-11 TEAMS'!I29&amp;""</f>
        <v>D1,D3 1st-3rd</v>
      </c>
      <c r="J236" s="31" t="str">
        <f>'19U BOYS PLATINUM GOLD-11 TEAMS'!J29&amp;""</f>
        <v>19U_BOYS_PLATINUM_GOLD</v>
      </c>
      <c r="K236" s="31" t="str">
        <f t="shared" si="3"/>
        <v>202603081000</v>
      </c>
    </row>
    <row r="237" spans="1:11">
      <c r="A237" s="142">
        <f>'19U BOYS PLATINUM GOLD-11 TEAMS'!A30</f>
        <v>46089</v>
      </c>
      <c r="B237" s="143">
        <f>'19U BOYS PLATINUM GOLD-11 TEAMS'!B30</f>
        <v>0.45833333333333298</v>
      </c>
      <c r="C237" s="142" t="str">
        <f>'19U BOYS PLATINUM GOLD-11 TEAMS'!C30&amp;""</f>
        <v>WOOLLETT NEAR LEFT</v>
      </c>
      <c r="D237" s="31" t="str">
        <f>'19U BOYS PLATINUM GOLD-11 TEAMS'!D30&amp;""</f>
        <v>19Bptau16</v>
      </c>
      <c r="E237" s="142" t="str">
        <f>'19U BOYS PLATINUM GOLD-11 TEAMS'!E30&amp;""</f>
        <v>F2(3rdB)-HIELAND</v>
      </c>
      <c r="F237" s="31" t="str">
        <f>'19U BOYS PLATINUM GOLD-11 TEAMS'!F30&amp;""</f>
        <v>14</v>
      </c>
      <c r="G237" s="142" t="str">
        <f>'19U BOYS PLATINUM GOLD-11 TEAMS'!G30&amp;""</f>
        <v>F4(4thC)-ROUTE 66</v>
      </c>
      <c r="H237" s="31" t="str">
        <f>'19U BOYS PLATINUM GOLD-11 TEAMS'!H30&amp;""</f>
        <v>3</v>
      </c>
      <c r="I237" s="31" t="str">
        <f>'19U BOYS PLATINUM GOLD-11 TEAMS'!I30&amp;""</f>
        <v>F2,F4 7th-11th</v>
      </c>
      <c r="J237" s="31" t="str">
        <f>'19U BOYS PLATINUM GOLD-11 TEAMS'!J30&amp;""</f>
        <v>19U_BOYS_PLATINUM_GOLD</v>
      </c>
      <c r="K237" s="31" t="str">
        <f t="shared" si="3"/>
        <v>202603081100</v>
      </c>
    </row>
    <row r="238" spans="1:11">
      <c r="A238" s="142">
        <f>'19U BOYS PLATINUM GOLD-11 TEAMS'!A32</f>
        <v>46089</v>
      </c>
      <c r="B238" s="143">
        <f>'19U BOYS PLATINUM GOLD-11 TEAMS'!B32</f>
        <v>0.5</v>
      </c>
      <c r="C238" s="142" t="str">
        <f>'19U BOYS PLATINUM GOLD-11 TEAMS'!C32&amp;""</f>
        <v>WOOLLETT NEAR LEFT</v>
      </c>
      <c r="D238" s="31" t="str">
        <f>'19U BOYS PLATINUM GOLD-11 TEAMS'!D32&amp;""</f>
        <v>19Bptau17</v>
      </c>
      <c r="E238" s="142" t="str">
        <f>'19U BOYS PLATINUM GOLD-11 TEAMS'!E32&amp;""</f>
        <v>F1(3rdA)-TSM B</v>
      </c>
      <c r="F238" s="31" t="str">
        <f>'19U BOYS PLATINUM GOLD-11 TEAMS'!F32&amp;""</f>
        <v>11</v>
      </c>
      <c r="G238" s="142" t="str">
        <f>'19U BOYS PLATINUM GOLD-11 TEAMS'!G32&amp;""</f>
        <v>F3(3rdC)-SOUTH VALLEY</v>
      </c>
      <c r="H238" s="31" t="str">
        <f>'19U BOYS PLATINUM GOLD-11 TEAMS'!H32&amp;""</f>
        <v>9</v>
      </c>
      <c r="I238" s="31" t="str">
        <f>'19U BOYS PLATINUM GOLD-11 TEAMS'!I32&amp;""</f>
        <v>F1,F3 7th-11th</v>
      </c>
      <c r="J238" s="31" t="str">
        <f>'19U BOYS PLATINUM GOLD-11 TEAMS'!J32&amp;""</f>
        <v>19U_BOYS_PLATINUM_GOLD</v>
      </c>
      <c r="K238" s="31" t="str">
        <f t="shared" si="3"/>
        <v>202603081200</v>
      </c>
    </row>
    <row r="239" spans="1:11">
      <c r="A239" s="142">
        <f>'19U BOYS PLATINUM GOLD-11 TEAMS'!A33</f>
        <v>46089</v>
      </c>
      <c r="B239" s="143">
        <f>'19U BOYS PLATINUM GOLD-11 TEAMS'!B33</f>
        <v>0.54166666666666696</v>
      </c>
      <c r="C239" s="142" t="str">
        <f>'19U BOYS PLATINUM GOLD-11 TEAMS'!C33&amp;""</f>
        <v>WOOLLETT NEAR LEFT</v>
      </c>
      <c r="D239" s="31" t="str">
        <f>'19U BOYS PLATINUM GOLD-11 TEAMS'!D33&amp;""</f>
        <v>19Bptau18</v>
      </c>
      <c r="E239" s="142" t="str">
        <f>'19U BOYS PLATINUM GOLD-11 TEAMS'!E33&amp;""</f>
        <v>D2(1stB)-PEAK POLO LIGHTNING pt</v>
      </c>
      <c r="F239" s="31" t="str">
        <f>'19U BOYS PLATINUM GOLD-11 TEAMS'!F33&amp;""</f>
        <v>14</v>
      </c>
      <c r="G239" s="142" t="str">
        <f>'19U BOYS PLATINUM GOLD-11 TEAMS'!G33&amp;""</f>
        <v>D3(1stC)-PEAK POLO BOLTZ pt</v>
      </c>
      <c r="H239" s="31" t="str">
        <f>'19U BOYS PLATINUM GOLD-11 TEAMS'!H33&amp;""</f>
        <v>7</v>
      </c>
      <c r="I239" s="31" t="str">
        <f>'19U BOYS PLATINUM GOLD-11 TEAMS'!I33&amp;""</f>
        <v>D2,D3 1st-3rd</v>
      </c>
      <c r="J239" s="31" t="str">
        <f>'19U BOYS PLATINUM GOLD-11 TEAMS'!J33&amp;""</f>
        <v>19U_BOYS_PLATINUM_GOLD</v>
      </c>
      <c r="K239" s="31" t="str">
        <f t="shared" si="3"/>
        <v>202603081300</v>
      </c>
    </row>
    <row r="240" spans="1:11">
      <c r="A240" s="142">
        <f>'19U BOYS PLATINUM GOLD-11 TEAMS'!A34</f>
        <v>46089</v>
      </c>
      <c r="B240" s="143">
        <f>'19U BOYS PLATINUM GOLD-11 TEAMS'!B34</f>
        <v>0.58333333333333304</v>
      </c>
      <c r="C240" s="142" t="str">
        <f>'19U BOYS PLATINUM GOLD-11 TEAMS'!C34&amp;""</f>
        <v>WOOLLETT NEAR LEFT</v>
      </c>
      <c r="D240" s="31" t="str">
        <f>'19U BOYS PLATINUM GOLD-11 TEAMS'!D34&amp;""</f>
        <v>19Bptau20</v>
      </c>
      <c r="E240" s="142" t="str">
        <f>'19U BOYS PLATINUM GOLD-11 TEAMS'!E34&amp;""</f>
        <v>F4(4thC)-ROUTE 66</v>
      </c>
      <c r="F240" s="31" t="str">
        <f>'19U BOYS PLATINUM GOLD-11 TEAMS'!F34&amp;""</f>
        <v>9</v>
      </c>
      <c r="G240" s="142" t="str">
        <f>'19U BOYS PLATINUM GOLD-11 TEAMS'!G34&amp;""</f>
        <v>F5(4thB)-SAND CANYON RED</v>
      </c>
      <c r="H240" s="31" t="str">
        <f>'19U BOYS PLATINUM GOLD-11 TEAMS'!H34&amp;""</f>
        <v>6</v>
      </c>
      <c r="I240" s="31" t="str">
        <f>'19U BOYS PLATINUM GOLD-11 TEAMS'!I34&amp;""</f>
        <v>F4,F5 7th-11th</v>
      </c>
      <c r="J240" s="31" t="str">
        <f>'19U BOYS PLATINUM GOLD-11 TEAMS'!J34&amp;""</f>
        <v>19U_BOYS_PLATINUM_GOLD</v>
      </c>
      <c r="K240" s="31" t="str">
        <f t="shared" si="3"/>
        <v>202603081400</v>
      </c>
    </row>
    <row r="241" spans="1:11">
      <c r="A241" s="142">
        <f>'19U BOYS PLATINUM GOLD-11 TEAMS'!A36</f>
        <v>46089</v>
      </c>
      <c r="B241" s="143">
        <f>'19U BOYS PLATINUM GOLD-11 TEAMS'!B36</f>
        <v>0.625</v>
      </c>
      <c r="C241" s="142" t="str">
        <f>'19U BOYS PLATINUM GOLD-11 TEAMS'!C36&amp;""</f>
        <v>WOOLLETT NEAR LEFT</v>
      </c>
      <c r="D241" s="31" t="str">
        <f>'19U BOYS PLATINUM GOLD-11 TEAMS'!D36&amp;""</f>
        <v>19Bptau21</v>
      </c>
      <c r="E241" s="142" t="str">
        <f>'19U BOYS PLATINUM GOLD-11 TEAMS'!E36&amp;""</f>
        <v>D1(1stA)-SAND CANYON BLACK pt</v>
      </c>
      <c r="F241" s="31" t="str">
        <f>'19U BOYS PLATINUM GOLD-11 TEAMS'!F36&amp;""</f>
        <v>12</v>
      </c>
      <c r="G241" s="142" t="str">
        <f>'19U BOYS PLATINUM GOLD-11 TEAMS'!G36&amp;""</f>
        <v>D2(1stB)-PEAK POLO LIGHTNING pt</v>
      </c>
      <c r="H241" s="31" t="str">
        <f>'19U BOYS PLATINUM GOLD-11 TEAMS'!H36&amp;""</f>
        <v>9</v>
      </c>
      <c r="I241" s="31" t="str">
        <f>'19U BOYS PLATINUM GOLD-11 TEAMS'!I36&amp;""</f>
        <v>D1,D2 1st-3rd</v>
      </c>
      <c r="J241" s="31" t="str">
        <f>'19U BOYS PLATINUM GOLD-11 TEAMS'!J36&amp;""</f>
        <v>19U_BOYS_PLATINUM_GOLD</v>
      </c>
      <c r="K241" s="31" t="str">
        <f t="shared" si="3"/>
        <v>202603081500</v>
      </c>
    </row>
    <row r="242" spans="1:11">
      <c r="A242" s="157">
        <f>'16U BOYS PLATINUM GOLD-10 TEAMS'!A32</f>
        <v>46089</v>
      </c>
      <c r="B242" s="158">
        <f>'16U BOYS PLATINUM GOLD-10 TEAMS'!B32</f>
        <v>0.66666666666666696</v>
      </c>
      <c r="C242" s="158" t="str">
        <f>'16U BOYS PLATINUM GOLD-10 TEAMS'!C32&amp;""</f>
        <v>WOOLLETT NEAR LEFT</v>
      </c>
      <c r="D242" s="157" t="str">
        <f>'16U BOYS PLATINUM GOLD-10 TEAMS'!D32&amp;""</f>
        <v>16Bptau20</v>
      </c>
      <c r="E242" s="158" t="str">
        <f>'16U BOYS PLATINUM GOLD-10 TEAMS'!E32&amp;""</f>
        <v>1stA-ORWP A</v>
      </c>
      <c r="F242" s="158" t="str">
        <f>'16U BOYS PLATINUM GOLD-10 TEAMS'!F32&amp;""</f>
        <v>4</v>
      </c>
      <c r="G242" s="159" t="str">
        <f>'16U BOYS PLATINUM GOLD-10 TEAMS'!G32&amp;""</f>
        <v>1stB-ALAMEDA</v>
      </c>
      <c r="H242" s="159" t="str">
        <f>'16U BOYS PLATINUM GOLD-10 TEAMS'!H32&amp;""</f>
        <v>8</v>
      </c>
      <c r="I242" s="159" t="str">
        <f>'16U BOYS PLATINUM GOLD-10 TEAMS'!I32&amp;""</f>
        <v>cross</v>
      </c>
      <c r="J242" s="159" t="str">
        <f>'16U BOYS PLATINUM GOLD-10 TEAMS'!J32&amp;""</f>
        <v>16U_BOYS_PLATINUM_GOLD</v>
      </c>
      <c r="K242" s="159" t="str">
        <f t="shared" si="3"/>
        <v>202603081600</v>
      </c>
    </row>
    <row r="243" spans="1:11">
      <c r="A243" s="157">
        <f>'16U BOYS PLATINUM GOLD-10 TEAMS'!A10</f>
        <v>46088</v>
      </c>
      <c r="B243" s="158">
        <f>'16U BOYS PLATINUM GOLD-10 TEAMS'!B10</f>
        <v>0.29166666666666669</v>
      </c>
      <c r="C243" s="158" t="str">
        <f>'16U BOYS PLATINUM GOLD-10 TEAMS'!C10&amp;""</f>
        <v>WOOLLETT NEAR RIGHT</v>
      </c>
      <c r="D243" s="159" t="str">
        <f>'16U BOYS PLATINUM GOLD-10 TEAMS'!D10&amp;""</f>
        <v>16Bptau01</v>
      </c>
      <c r="E243" s="158" t="str">
        <f>'16U BOYS PLATINUM GOLD-10 TEAMS'!E10&amp;""</f>
        <v>A1-ORWP A</v>
      </c>
      <c r="F243" s="158" t="str">
        <f>'16U BOYS PLATINUM GOLD-10 TEAMS'!F10&amp;""</f>
        <v>15</v>
      </c>
      <c r="G243" s="159" t="str">
        <f>'16U BOYS PLATINUM GOLD-10 TEAMS'!G10&amp;""</f>
        <v>A2-DEVILS GATE</v>
      </c>
      <c r="H243" s="159" t="str">
        <f>'16U BOYS PLATINUM GOLD-10 TEAMS'!H10&amp;""</f>
        <v>6</v>
      </c>
      <c r="I243" s="159" t="str">
        <f>'16U BOYS PLATINUM GOLD-10 TEAMS'!I10&amp;""</f>
        <v>A bracket A1,A2 platinum 1st-3rd</v>
      </c>
      <c r="J243" s="159" t="str">
        <f>'16U BOYS PLATINUM GOLD-10 TEAMS'!J10&amp;""</f>
        <v>16U_BOYS_PLATINUM_GOLD</v>
      </c>
      <c r="K243" s="159" t="str">
        <f t="shared" si="3"/>
        <v>202603070700</v>
      </c>
    </row>
    <row r="244" spans="1:11">
      <c r="A244" s="157">
        <f>'16U BOYS PLATINUM GOLD-10 TEAMS'!A11</f>
        <v>46088</v>
      </c>
      <c r="B244" s="158">
        <f>'16U BOYS PLATINUM GOLD-10 TEAMS'!B11</f>
        <v>0.33333333333333298</v>
      </c>
      <c r="C244" s="158" t="str">
        <f>'16U BOYS PLATINUM GOLD-10 TEAMS'!C11&amp;""</f>
        <v>WOOLLETT NEAR RIGHT</v>
      </c>
      <c r="D244" s="159" t="str">
        <f>'16U BOYS PLATINUM GOLD-10 TEAMS'!D11&amp;""</f>
        <v>16Bptau02</v>
      </c>
      <c r="E244" s="159" t="str">
        <f>'16U BOYS PLATINUM GOLD-10 TEAMS'!E11&amp;""</f>
        <v>B1-ALAMEDA</v>
      </c>
      <c r="F244" s="159" t="str">
        <f>'16U BOYS PLATINUM GOLD-10 TEAMS'!F11&amp;""</f>
        <v>15</v>
      </c>
      <c r="G244" s="159" t="str">
        <f>'16U BOYS PLATINUM GOLD-10 TEAMS'!G11&amp;""</f>
        <v>B2-INNIS ARDEN</v>
      </c>
      <c r="H244" s="159" t="str">
        <f>'16U BOYS PLATINUM GOLD-10 TEAMS'!H11&amp;""</f>
        <v>8</v>
      </c>
      <c r="I244" s="159" t="str">
        <f>'16U BOYS PLATINUM GOLD-10 TEAMS'!I11&amp;""</f>
        <v>B bracket B1,B2</v>
      </c>
      <c r="J244" s="159" t="str">
        <f>'16U BOYS PLATINUM GOLD-10 TEAMS'!J11&amp;""</f>
        <v>16U_BOYS_PLATINUM_GOLD</v>
      </c>
      <c r="K244" s="159" t="str">
        <f t="shared" si="3"/>
        <v>202603070800</v>
      </c>
    </row>
    <row r="245" spans="1:11">
      <c r="A245" s="157">
        <f>'16U BOYS PLATINUM GOLD-10 TEAMS'!A12</f>
        <v>46088</v>
      </c>
      <c r="B245" s="158">
        <f>'16U BOYS PLATINUM GOLD-10 TEAMS'!B12</f>
        <v>0.375</v>
      </c>
      <c r="C245" s="158" t="str">
        <f>'16U BOYS PLATINUM GOLD-10 TEAMS'!C12&amp;""</f>
        <v>WOOLLETT NEAR RIGHT</v>
      </c>
      <c r="D245" s="159" t="str">
        <f>'16U BOYS PLATINUM GOLD-10 TEAMS'!D12&amp;""</f>
        <v>16Bptau03</v>
      </c>
      <c r="E245" s="159" t="str">
        <f>'16U BOYS PLATINUM GOLD-10 TEAMS'!E12&amp;""</f>
        <v>C1-VANGUARD SILVER</v>
      </c>
      <c r="F245" s="159" t="str">
        <f>'16U BOYS PLATINUM GOLD-10 TEAMS'!F12&amp;""</f>
        <v>22</v>
      </c>
      <c r="G245" s="159" t="str">
        <f>'16U BOYS PLATINUM GOLD-10 TEAMS'!G12&amp;""</f>
        <v>C4-ELITE</v>
      </c>
      <c r="H245" s="159" t="str">
        <f>'16U BOYS PLATINUM GOLD-10 TEAMS'!H12&amp;""</f>
        <v>5</v>
      </c>
      <c r="I245" s="159" t="str">
        <f>'16U BOYS PLATINUM GOLD-10 TEAMS'!I12&amp;""</f>
        <v>C bracket C1,C4</v>
      </c>
      <c r="J245" s="159" t="str">
        <f>'16U BOYS PLATINUM GOLD-10 TEAMS'!J12&amp;""</f>
        <v>16U_BOYS_PLATINUM_GOLD</v>
      </c>
      <c r="K245" s="159" t="str">
        <f t="shared" si="3"/>
        <v>202603070900</v>
      </c>
    </row>
    <row r="246" spans="1:11">
      <c r="A246" s="157">
        <f>'16U BOYS PLATINUM GOLD-10 TEAMS'!A13</f>
        <v>46088</v>
      </c>
      <c r="B246" s="158">
        <f>'16U BOYS PLATINUM GOLD-10 TEAMS'!B13</f>
        <v>0.41666666666666702</v>
      </c>
      <c r="C246" s="158" t="str">
        <f>'16U BOYS PLATINUM GOLD-10 TEAMS'!C13&amp;""</f>
        <v>WOOLLETT NEAR RIGHT</v>
      </c>
      <c r="D246" s="159" t="str">
        <f>'16U BOYS PLATINUM GOLD-10 TEAMS'!D13&amp;""</f>
        <v>16Bptau04</v>
      </c>
      <c r="E246" s="159" t="str">
        <f>'16U BOYS PLATINUM GOLD-10 TEAMS'!E13&amp;""</f>
        <v>C2-TRILOGY BLACK</v>
      </c>
      <c r="F246" s="159" t="str">
        <f>'16U BOYS PLATINUM GOLD-10 TEAMS'!F13&amp;""</f>
        <v>9</v>
      </c>
      <c r="G246" s="159" t="str">
        <f>'16U BOYS PLATINUM GOLD-10 TEAMS'!G13&amp;""</f>
        <v>C3-BREA OLINDA</v>
      </c>
      <c r="H246" s="159" t="str">
        <f>'16U BOYS PLATINUM GOLD-10 TEAMS'!H13&amp;""</f>
        <v>11</v>
      </c>
      <c r="I246" s="159" t="str">
        <f>'16U BOYS PLATINUM GOLD-10 TEAMS'!I13&amp;""</f>
        <v>C bracket C2,C3</v>
      </c>
      <c r="J246" s="159" t="str">
        <f>'16U BOYS PLATINUM GOLD-10 TEAMS'!J13&amp;""</f>
        <v>16U_BOYS_PLATINUM_GOLD</v>
      </c>
      <c r="K246" s="159" t="str">
        <f t="shared" si="3"/>
        <v>202603071000</v>
      </c>
    </row>
    <row r="247" spans="1:11">
      <c r="A247" s="157">
        <f>'16U BOYS PLATINUM GOLD-10 TEAMS'!A14</f>
        <v>46088</v>
      </c>
      <c r="B247" s="158">
        <f>'16U BOYS PLATINUM GOLD-10 TEAMS'!B14</f>
        <v>0.45833333333333298</v>
      </c>
      <c r="C247" s="158" t="str">
        <f>'16U BOYS PLATINUM GOLD-10 TEAMS'!C14&amp;""</f>
        <v>WOOLLETT NEAR RIGHT</v>
      </c>
      <c r="D247" s="157" t="str">
        <f>'16U BOYS PLATINUM GOLD-10 TEAMS'!D14&amp;""</f>
        <v>16Bptau05</v>
      </c>
      <c r="E247" s="158" t="str">
        <f>'16U BOYS PLATINUM GOLD-10 TEAMS'!E14&amp;""</f>
        <v>A2-DEVILS GATE</v>
      </c>
      <c r="F247" s="158" t="str">
        <f>'16U BOYS PLATINUM GOLD-10 TEAMS'!F14&amp;""</f>
        <v>10</v>
      </c>
      <c r="G247" s="159" t="str">
        <f>'16U BOYS PLATINUM GOLD-10 TEAMS'!G14&amp;""</f>
        <v>A3-CHANNEL ISLANDS UNITED BLUE</v>
      </c>
      <c r="H247" s="159" t="str">
        <f>'16U BOYS PLATINUM GOLD-10 TEAMS'!H14&amp;""</f>
        <v>11</v>
      </c>
      <c r="I247" s="159" t="str">
        <f>'16U BOYS PLATINUM GOLD-10 TEAMS'!I14&amp;""</f>
        <v>A bracket A2,A3 platinum 1st-3rd</v>
      </c>
      <c r="J247" s="159" t="str">
        <f>'16U BOYS PLATINUM GOLD-10 TEAMS'!J14&amp;""</f>
        <v>16U_BOYS_PLATINUM_GOLD</v>
      </c>
      <c r="K247" s="159" t="str">
        <f t="shared" si="3"/>
        <v>202603071100</v>
      </c>
    </row>
    <row r="248" spans="1:11">
      <c r="A248" s="157">
        <f>'16U BOYS PLATINUM GOLD-10 TEAMS'!A15</f>
        <v>46088</v>
      </c>
      <c r="B248" s="158">
        <f>'16U BOYS PLATINUM GOLD-10 TEAMS'!B15</f>
        <v>0.5</v>
      </c>
      <c r="C248" s="158" t="str">
        <f>'16U BOYS PLATINUM GOLD-10 TEAMS'!C15&amp;""</f>
        <v>WOOLLETT NEAR RIGHT</v>
      </c>
      <c r="D248" s="157" t="str">
        <f>'16U BOYS PLATINUM GOLD-10 TEAMS'!D15&amp;""</f>
        <v>16Bptau06</v>
      </c>
      <c r="E248" s="158" t="str">
        <f>'16U BOYS PLATINUM GOLD-10 TEAMS'!E15&amp;""</f>
        <v>B2-INNIS ARDEN</v>
      </c>
      <c r="F248" s="158" t="str">
        <f>'16U BOYS PLATINUM GOLD-10 TEAMS'!F15&amp;""</f>
        <v>5</v>
      </c>
      <c r="G248" s="159" t="str">
        <f>'16U BOYS PLATINUM GOLD-10 TEAMS'!G15&amp;""</f>
        <v>B3-TROJAN GOLD</v>
      </c>
      <c r="H248" s="159" t="str">
        <f>'16U BOYS PLATINUM GOLD-10 TEAMS'!H15&amp;""</f>
        <v>14</v>
      </c>
      <c r="I248" s="159" t="str">
        <f>'16U BOYS PLATINUM GOLD-10 TEAMS'!I15&amp;""</f>
        <v>B bracket B2,B3</v>
      </c>
      <c r="J248" s="159" t="str">
        <f>'16U BOYS PLATINUM GOLD-10 TEAMS'!J15&amp;""</f>
        <v>16U_BOYS_PLATINUM_GOLD</v>
      </c>
      <c r="K248" s="159" t="str">
        <f t="shared" si="3"/>
        <v>202603071200</v>
      </c>
    </row>
    <row r="249" spans="1:11">
      <c r="A249" s="157">
        <f>'16U BOYS PLATINUM GOLD-10 TEAMS'!A16</f>
        <v>46088</v>
      </c>
      <c r="B249" s="158">
        <f>'16U BOYS PLATINUM GOLD-10 TEAMS'!B16</f>
        <v>0.54166666666666696</v>
      </c>
      <c r="C249" s="158" t="str">
        <f>'16U BOYS PLATINUM GOLD-10 TEAMS'!C16&amp;""</f>
        <v>WOOLLETT NEAR RIGHT</v>
      </c>
      <c r="D249" s="157" t="str">
        <f>'16U BOYS PLATINUM GOLD-10 TEAMS'!D16&amp;""</f>
        <v>16Bptau07</v>
      </c>
      <c r="E249" s="158" t="str">
        <f>'16U BOYS PLATINUM GOLD-10 TEAMS'!E16&amp;""</f>
        <v>C1-VANGUARD SILVER</v>
      </c>
      <c r="F249" s="158" t="str">
        <f>'16U BOYS PLATINUM GOLD-10 TEAMS'!F16&amp;""</f>
        <v>15</v>
      </c>
      <c r="G249" s="159" t="str">
        <f>'16U BOYS PLATINUM GOLD-10 TEAMS'!G16&amp;""</f>
        <v>C2-TRILOGY BLACK</v>
      </c>
      <c r="H249" s="159" t="str">
        <f>'16U BOYS PLATINUM GOLD-10 TEAMS'!H16&amp;""</f>
        <v>4</v>
      </c>
      <c r="I249" s="159" t="str">
        <f>'16U BOYS PLATINUM GOLD-10 TEAMS'!I16&amp;""</f>
        <v>C bracket C1,C2</v>
      </c>
      <c r="J249" s="159" t="str">
        <f>'16U BOYS PLATINUM GOLD-10 TEAMS'!J16&amp;""</f>
        <v>16U_BOYS_PLATINUM_GOLD</v>
      </c>
      <c r="K249" s="159" t="str">
        <f t="shared" si="3"/>
        <v>202603071300</v>
      </c>
    </row>
    <row r="250" spans="1:11">
      <c r="A250" s="157">
        <f>'16U BOYS PLATINUM GOLD-10 TEAMS'!A17</f>
        <v>46088</v>
      </c>
      <c r="B250" s="158">
        <f>'16U BOYS PLATINUM GOLD-10 TEAMS'!B17</f>
        <v>0.58333333333333304</v>
      </c>
      <c r="C250" s="158" t="str">
        <f>'16U BOYS PLATINUM GOLD-10 TEAMS'!C17&amp;""</f>
        <v>WOOLLETT NEAR RIGHT</v>
      </c>
      <c r="D250" s="157" t="str">
        <f>'16U BOYS PLATINUM GOLD-10 TEAMS'!D17&amp;""</f>
        <v>16Bptau08</v>
      </c>
      <c r="E250" s="158" t="str">
        <f>'16U BOYS PLATINUM GOLD-10 TEAMS'!E17&amp;""</f>
        <v>C3-BREA OLINDA</v>
      </c>
      <c r="F250" s="158" t="str">
        <f>'16U BOYS PLATINUM GOLD-10 TEAMS'!F17&amp;""</f>
        <v>11.4</v>
      </c>
      <c r="G250" s="159" t="str">
        <f>'16U BOYS PLATINUM GOLD-10 TEAMS'!G17&amp;""</f>
        <v>C4-ELITE</v>
      </c>
      <c r="H250" s="159" t="str">
        <f>'16U BOYS PLATINUM GOLD-10 TEAMS'!H17&amp;""</f>
        <v>11.5</v>
      </c>
      <c r="I250" s="159" t="str">
        <f>'16U BOYS PLATINUM GOLD-10 TEAMS'!I17&amp;""</f>
        <v>C bracket C3,C4</v>
      </c>
      <c r="J250" s="159" t="str">
        <f>'16U BOYS PLATINUM GOLD-10 TEAMS'!J17&amp;""</f>
        <v>16U_BOYS_PLATINUM_GOLD</v>
      </c>
      <c r="K250" s="159" t="str">
        <f t="shared" si="3"/>
        <v>202603071400</v>
      </c>
    </row>
    <row r="251" spans="1:11">
      <c r="A251" s="157">
        <f>'16U BOYS PLATINUM GOLD-10 TEAMS'!A18</f>
        <v>46088</v>
      </c>
      <c r="B251" s="158">
        <f>'16U BOYS PLATINUM GOLD-10 TEAMS'!B18</f>
        <v>0.625</v>
      </c>
      <c r="C251" s="158" t="str">
        <f>'16U BOYS PLATINUM GOLD-10 TEAMS'!C18&amp;""</f>
        <v>WOOLLETT NEAR RIGHT</v>
      </c>
      <c r="D251" s="157" t="str">
        <f>'16U BOYS PLATINUM GOLD-10 TEAMS'!D18&amp;""</f>
        <v>16Bptau09</v>
      </c>
      <c r="E251" s="159" t="str">
        <f>'16U BOYS PLATINUM GOLD-10 TEAMS'!E18&amp;""</f>
        <v>A1-ORWP A</v>
      </c>
      <c r="F251" s="159" t="str">
        <f>'16U BOYS PLATINUM GOLD-10 TEAMS'!F18&amp;""</f>
        <v>10</v>
      </c>
      <c r="G251" s="159" t="str">
        <f>'16U BOYS PLATINUM GOLD-10 TEAMS'!G18&amp;""</f>
        <v>A3-CHANNEL ISLANDS UNITED BLUE</v>
      </c>
      <c r="H251" s="159" t="str">
        <f>'16U BOYS PLATINUM GOLD-10 TEAMS'!H18&amp;""</f>
        <v>6</v>
      </c>
      <c r="I251" s="159" t="str">
        <f>'16U BOYS PLATINUM GOLD-10 TEAMS'!I18&amp;""</f>
        <v>A bracket A1,A3 platinum 1st-3rd</v>
      </c>
      <c r="J251" s="159" t="str">
        <f>'16U BOYS PLATINUM GOLD-10 TEAMS'!J18&amp;""</f>
        <v>16U_BOYS_PLATINUM_GOLD</v>
      </c>
      <c r="K251" s="159" t="str">
        <f t="shared" si="3"/>
        <v>202603071500</v>
      </c>
    </row>
    <row r="252" spans="1:11">
      <c r="A252" s="157">
        <f>'16U BOYS PLATINUM GOLD-10 TEAMS'!A19</f>
        <v>46088</v>
      </c>
      <c r="B252" s="158">
        <f>'16U BOYS PLATINUM GOLD-10 TEAMS'!B19</f>
        <v>0.66666666666666696</v>
      </c>
      <c r="C252" s="158" t="str">
        <f>'16U BOYS PLATINUM GOLD-10 TEAMS'!C19&amp;""</f>
        <v>WOOLLETT NEAR RIGHT</v>
      </c>
      <c r="D252" s="157" t="str">
        <f>'16U BOYS PLATINUM GOLD-10 TEAMS'!D19&amp;""</f>
        <v>16Bptau10</v>
      </c>
      <c r="E252" s="158" t="str">
        <f>'16U BOYS PLATINUM GOLD-10 TEAMS'!E19&amp;""</f>
        <v>B1-ALAMEDA</v>
      </c>
      <c r="F252" s="158" t="str">
        <f>'16U BOYS PLATINUM GOLD-10 TEAMS'!F19&amp;""</f>
        <v>7</v>
      </c>
      <c r="G252" s="159" t="str">
        <f>'16U BOYS PLATINUM GOLD-10 TEAMS'!G19&amp;""</f>
        <v>B3-TROJAN GOLD</v>
      </c>
      <c r="H252" s="159" t="str">
        <f>'16U BOYS PLATINUM GOLD-10 TEAMS'!H19&amp;""</f>
        <v>4</v>
      </c>
      <c r="I252" s="159" t="str">
        <f>'16U BOYS PLATINUM GOLD-10 TEAMS'!I19&amp;""</f>
        <v>B bracket B1,B3</v>
      </c>
      <c r="J252" s="159" t="str">
        <f>'16U BOYS PLATINUM GOLD-10 TEAMS'!J19&amp;""</f>
        <v>16U_BOYS_PLATINUM_GOLD</v>
      </c>
      <c r="K252" s="159" t="str">
        <f t="shared" si="3"/>
        <v>202603071600</v>
      </c>
    </row>
    <row r="253" spans="1:11">
      <c r="A253" s="157">
        <f>'16U BOYS PLATINUM GOLD-10 TEAMS'!A23</f>
        <v>46089</v>
      </c>
      <c r="B253" s="158">
        <f>'16U BOYS PLATINUM GOLD-10 TEAMS'!B23</f>
        <v>0.33333333333333298</v>
      </c>
      <c r="C253" s="158" t="str">
        <f>'16U BOYS PLATINUM GOLD-10 TEAMS'!C23&amp;""</f>
        <v>WOOLLETT NEAR RIGHT</v>
      </c>
      <c r="D253" s="157" t="str">
        <f>'16U BOYS PLATINUM GOLD-10 TEAMS'!D23&amp;""</f>
        <v>16Bptau11</v>
      </c>
      <c r="E253" s="158" t="str">
        <f>'16U BOYS PLATINUM GOLD-10 TEAMS'!E23&amp;""</f>
        <v>C2-TRILOGY BLACK</v>
      </c>
      <c r="F253" s="158" t="str">
        <f>'16U BOYS PLATINUM GOLD-10 TEAMS'!F23&amp;""</f>
        <v>14</v>
      </c>
      <c r="G253" s="159" t="str">
        <f>'16U BOYS PLATINUM GOLD-10 TEAMS'!G23&amp;""</f>
        <v>C4-ELITE</v>
      </c>
      <c r="H253" s="159" t="str">
        <f>'16U BOYS PLATINUM GOLD-10 TEAMS'!H23&amp;""</f>
        <v>6</v>
      </c>
      <c r="I253" s="159" t="str">
        <f>'16U BOYS PLATINUM GOLD-10 TEAMS'!I23&amp;""</f>
        <v>C bracket C2,C4</v>
      </c>
      <c r="J253" s="159" t="str">
        <f>'16U BOYS PLATINUM GOLD-10 TEAMS'!J23&amp;""</f>
        <v>16U_BOYS_PLATINUM_GOLD</v>
      </c>
      <c r="K253" s="159" t="str">
        <f t="shared" si="3"/>
        <v>202603080800</v>
      </c>
    </row>
    <row r="254" spans="1:11">
      <c r="A254" s="157">
        <f>'16U BOYS PLATINUM GOLD-10 TEAMS'!A24</f>
        <v>46089</v>
      </c>
      <c r="B254" s="158">
        <f>'16U BOYS PLATINUM GOLD-10 TEAMS'!B24</f>
        <v>0.375</v>
      </c>
      <c r="C254" s="158" t="str">
        <f>'16U BOYS PLATINUM GOLD-10 TEAMS'!C24&amp;""</f>
        <v>WOOLLETT NEAR RIGHT</v>
      </c>
      <c r="D254" s="157" t="str">
        <f>'16U BOYS PLATINUM GOLD-10 TEAMS'!D24&amp;""</f>
        <v>16Bptau12</v>
      </c>
      <c r="E254" s="158" t="str">
        <f>'16U BOYS PLATINUM GOLD-10 TEAMS'!E24&amp;""</f>
        <v>C1-VANGUARD SILVER</v>
      </c>
      <c r="F254" s="158" t="str">
        <f>'16U BOYS PLATINUM GOLD-10 TEAMS'!F24&amp;""</f>
        <v>13</v>
      </c>
      <c r="G254" s="159" t="str">
        <f>'16U BOYS PLATINUM GOLD-10 TEAMS'!G24&amp;""</f>
        <v>C3-BREA OLINDA</v>
      </c>
      <c r="H254" s="159" t="str">
        <f>'16U BOYS PLATINUM GOLD-10 TEAMS'!H24&amp;""</f>
        <v>4</v>
      </c>
      <c r="I254" s="159" t="str">
        <f>'16U BOYS PLATINUM GOLD-10 TEAMS'!I24&amp;""</f>
        <v>C bracket C1,C3</v>
      </c>
      <c r="J254" s="159" t="str">
        <f>'16U BOYS PLATINUM GOLD-10 TEAMS'!J24&amp;""</f>
        <v>16U_BOYS_PLATINUM_GOLD</v>
      </c>
      <c r="K254" s="159" t="str">
        <f t="shared" si="3"/>
        <v>202603080900</v>
      </c>
    </row>
    <row r="255" spans="1:11">
      <c r="A255" s="157">
        <f>'16U BOYS PLATINUM GOLD-10 TEAMS'!A25</f>
        <v>46089</v>
      </c>
      <c r="B255" s="158">
        <f>'16U BOYS PLATINUM GOLD-10 TEAMS'!B25</f>
        <v>0.41666666666666702</v>
      </c>
      <c r="C255" s="158" t="str">
        <f>'16U BOYS PLATINUM GOLD-10 TEAMS'!C25&amp;""</f>
        <v>WOOLLETT NEAR RIGHT</v>
      </c>
      <c r="D255" s="157" t="str">
        <f>'16U BOYS PLATINUM GOLD-10 TEAMS'!D25&amp;""</f>
        <v>16Bptau13</v>
      </c>
      <c r="E255" s="158" t="str">
        <f>'16U BOYS PLATINUM GOLD-10 TEAMS'!E25&amp;""</f>
        <v>2ndA-CHANNEL ISLANDS UNITED BLUE</v>
      </c>
      <c r="F255" s="158" t="str">
        <f>'16U BOYS PLATINUM GOLD-10 TEAMS'!F25&amp;""</f>
        <v>13</v>
      </c>
      <c r="G255" s="159" t="str">
        <f>'16U BOYS PLATINUM GOLD-10 TEAMS'!G25&amp;""</f>
        <v>3rdB-INNIS ARDEN</v>
      </c>
      <c r="H255" s="159" t="str">
        <f>'16U BOYS PLATINUM GOLD-10 TEAMS'!H25&amp;""</f>
        <v>3</v>
      </c>
      <c r="I255" s="159" t="str">
        <f>'16U BOYS PLATINUM GOLD-10 TEAMS'!I25&amp;""</f>
        <v>cross</v>
      </c>
      <c r="J255" s="159" t="str">
        <f>'16U BOYS PLATINUM GOLD-10 TEAMS'!J25&amp;""</f>
        <v>16U_BOYS_PLATINUM_GOLD</v>
      </c>
      <c r="K255" s="159" t="str">
        <f t="shared" si="3"/>
        <v>202603081000</v>
      </c>
    </row>
    <row r="256" spans="1:11">
      <c r="A256" s="157">
        <f>'16U BOYS PLATINUM GOLD-10 TEAMS'!A26</f>
        <v>46089</v>
      </c>
      <c r="B256" s="158">
        <f>'16U BOYS PLATINUM GOLD-10 TEAMS'!B26</f>
        <v>0.45833333333333298</v>
      </c>
      <c r="C256" s="158" t="str">
        <f>'16U BOYS PLATINUM GOLD-10 TEAMS'!C26&amp;""</f>
        <v>WOOLLETT NEAR RIGHT</v>
      </c>
      <c r="D256" s="157" t="str">
        <f>'16U BOYS PLATINUM GOLD-10 TEAMS'!D26&amp;""</f>
        <v>16Bptau14</v>
      </c>
      <c r="E256" s="158" t="str">
        <f>'16U BOYS PLATINUM GOLD-10 TEAMS'!E26&amp;""</f>
        <v>3rdA-DEVILS GATE</v>
      </c>
      <c r="F256" s="158" t="str">
        <f>'16U BOYS PLATINUM GOLD-10 TEAMS'!F26&amp;""</f>
        <v>17</v>
      </c>
      <c r="G256" s="159" t="str">
        <f>'16U BOYS PLATINUM GOLD-10 TEAMS'!G26&amp;""</f>
        <v>3rdC-TRILOGY BLACK</v>
      </c>
      <c r="H256" s="159" t="str">
        <f>'16U BOYS PLATINUM GOLD-10 TEAMS'!H26&amp;""</f>
        <v>15</v>
      </c>
      <c r="I256" s="159" t="str">
        <f>'16U BOYS PLATINUM GOLD-10 TEAMS'!I26&amp;""</f>
        <v>cross</v>
      </c>
      <c r="J256" s="159" t="str">
        <f>'16U BOYS PLATINUM GOLD-10 TEAMS'!J26&amp;""</f>
        <v>16U_BOYS_PLATINUM_GOLD</v>
      </c>
      <c r="K256" s="159" t="str">
        <f t="shared" si="3"/>
        <v>202603081100</v>
      </c>
    </row>
    <row r="257" spans="1:11">
      <c r="A257" s="157">
        <f>'16U BOYS PLATINUM GOLD-10 TEAMS'!A27</f>
        <v>46089</v>
      </c>
      <c r="B257" s="158">
        <f>'16U BOYS PLATINUM GOLD-10 TEAMS'!B27</f>
        <v>0.5</v>
      </c>
      <c r="C257" s="158" t="str">
        <f>'16U BOYS PLATINUM GOLD-10 TEAMS'!C27&amp;""</f>
        <v>WOOLLETT NEAR RIGHT</v>
      </c>
      <c r="D257" s="157" t="str">
        <f>'16U BOYS PLATINUM GOLD-10 TEAMS'!D27&amp;""</f>
        <v>16Bptau15</v>
      </c>
      <c r="E257" s="158" t="str">
        <f>'16U BOYS PLATINUM GOLD-10 TEAMS'!E27&amp;""</f>
        <v>2ndB-TROJAN GOLD</v>
      </c>
      <c r="F257" s="158" t="str">
        <f>'16U BOYS PLATINUM GOLD-10 TEAMS'!F27&amp;""</f>
        <v>13</v>
      </c>
      <c r="G257" s="159" t="str">
        <f>'16U BOYS PLATINUM GOLD-10 TEAMS'!G27&amp;""</f>
        <v>2ndC-BREA OLINDA</v>
      </c>
      <c r="H257" s="159" t="str">
        <f>'16U BOYS PLATINUM GOLD-10 TEAMS'!H27&amp;""</f>
        <v>6</v>
      </c>
      <c r="I257" s="159" t="str">
        <f>'16U BOYS PLATINUM GOLD-10 TEAMS'!I27&amp;""</f>
        <v>Gold 3rd</v>
      </c>
      <c r="J257" s="159" t="str">
        <f>'16U BOYS PLATINUM GOLD-10 TEAMS'!J27&amp;""</f>
        <v>16U_BOYS_PLATINUM_GOLD</v>
      </c>
      <c r="K257" s="159" t="str">
        <f t="shared" si="3"/>
        <v>202603081200</v>
      </c>
    </row>
    <row r="258" spans="1:11">
      <c r="A258" s="157">
        <f>'16U BOYS PLATINUM GOLD-10 TEAMS'!A28</f>
        <v>46089</v>
      </c>
      <c r="B258" s="158">
        <f>'16U BOYS PLATINUM GOLD-10 TEAMS'!B28</f>
        <v>0.54166666666666696</v>
      </c>
      <c r="C258" s="158" t="str">
        <f>'16U BOYS PLATINUM GOLD-10 TEAMS'!C28&amp;""</f>
        <v>WOOLLETT NEAR RIGHT</v>
      </c>
      <c r="D258" s="157" t="str">
        <f>'16U BOYS PLATINUM GOLD-10 TEAMS'!D28&amp;""</f>
        <v>16Bptau16</v>
      </c>
      <c r="E258" s="158" t="str">
        <f>'16U BOYS PLATINUM GOLD-10 TEAMS'!E28&amp;""</f>
        <v>1stB-ALAMEDA</v>
      </c>
      <c r="F258" s="158" t="str">
        <f>'16U BOYS PLATINUM GOLD-10 TEAMS'!F28&amp;""</f>
        <v>9</v>
      </c>
      <c r="G258" s="159" t="str">
        <f>'16U BOYS PLATINUM GOLD-10 TEAMS'!G28&amp;""</f>
        <v>1stC-VANGUARD SILVER</v>
      </c>
      <c r="H258" s="159" t="str">
        <f>'16U BOYS PLATINUM GOLD-10 TEAMS'!H28&amp;""</f>
        <v>7</v>
      </c>
      <c r="I258" s="159" t="str">
        <f>'16U BOYS PLATINUM GOLD-10 TEAMS'!I28&amp;""</f>
        <v>Gold 1st</v>
      </c>
      <c r="J258" s="159" t="str">
        <f>'16U BOYS PLATINUM GOLD-10 TEAMS'!J28&amp;""</f>
        <v>16U_BOYS_PLATINUM_GOLD</v>
      </c>
      <c r="K258" s="159" t="str">
        <f t="shared" si="3"/>
        <v>202603081300</v>
      </c>
    </row>
    <row r="259" spans="1:11">
      <c r="A259" s="157">
        <f>'16U BOYS PLATINUM GOLD-10 TEAMS'!A29</f>
        <v>46089</v>
      </c>
      <c r="B259" s="158">
        <f>'16U BOYS PLATINUM GOLD-10 TEAMS'!B29</f>
        <v>0.58333333333333304</v>
      </c>
      <c r="C259" s="158" t="str">
        <f>'16U BOYS PLATINUM GOLD-10 TEAMS'!C29&amp;""</f>
        <v>WOOLLETT NEAR RIGHT</v>
      </c>
      <c r="D259" s="157" t="str">
        <f>'16U BOYS PLATINUM GOLD-10 TEAMS'!D29&amp;""</f>
        <v>16Bptau17</v>
      </c>
      <c r="E259" s="158" t="str">
        <f>'16U BOYS PLATINUM GOLD-10 TEAMS'!E29&amp;""</f>
        <v>1stA-ORWP A</v>
      </c>
      <c r="F259" s="158" t="str">
        <f>'16U BOYS PLATINUM GOLD-10 TEAMS'!F29&amp;""</f>
        <v>10</v>
      </c>
      <c r="G259" s="159" t="str">
        <f>'16U BOYS PLATINUM GOLD-10 TEAMS'!G29&amp;""</f>
        <v>3rdB-INNIS ARDEN</v>
      </c>
      <c r="H259" s="159" t="str">
        <f>'16U BOYS PLATINUM GOLD-10 TEAMS'!H29&amp;""</f>
        <v>2</v>
      </c>
      <c r="I259" s="159" t="str">
        <f>'16U BOYS PLATINUM GOLD-10 TEAMS'!I29&amp;""</f>
        <v>cross</v>
      </c>
      <c r="J259" s="159" t="str">
        <f>'16U BOYS PLATINUM GOLD-10 TEAMS'!J29&amp;""</f>
        <v>16U_BOYS_PLATINUM_GOLD</v>
      </c>
      <c r="K259" s="159" t="str">
        <f t="shared" si="3"/>
        <v>202603081400</v>
      </c>
    </row>
    <row r="260" spans="1:11">
      <c r="A260" s="157">
        <f>'16U BOYS PLATINUM GOLD-10 TEAMS'!A30</f>
        <v>46089</v>
      </c>
      <c r="B260" s="158">
        <f>'16U BOYS PLATINUM GOLD-10 TEAMS'!B30</f>
        <v>0.625</v>
      </c>
      <c r="C260" s="158" t="str">
        <f>'16U BOYS PLATINUM GOLD-10 TEAMS'!C30&amp;""</f>
        <v>WOOLLETT NEAR RIGHT</v>
      </c>
      <c r="D260" s="157" t="str">
        <f>'16U BOYS PLATINUM GOLD-10 TEAMS'!D30&amp;""</f>
        <v>16Bptau18</v>
      </c>
      <c r="E260" s="158" t="str">
        <f>'16U BOYS PLATINUM GOLD-10 TEAMS'!E30&amp;""</f>
        <v>3rdA-DEVILS GATE</v>
      </c>
      <c r="F260" s="158" t="str">
        <f>'16U BOYS PLATINUM GOLD-10 TEAMS'!F30&amp;""</f>
        <v>14</v>
      </c>
      <c r="G260" s="159" t="str">
        <f>'16U BOYS PLATINUM GOLD-10 TEAMS'!G30&amp;""</f>
        <v>4thC-ELITE</v>
      </c>
      <c r="H260" s="159" t="str">
        <f>'16U BOYS PLATINUM GOLD-10 TEAMS'!H30&amp;""</f>
        <v>9</v>
      </c>
      <c r="I260" s="159" t="str">
        <f>'16U BOYS PLATINUM GOLD-10 TEAMS'!I30&amp;""</f>
        <v>cross</v>
      </c>
      <c r="J260" s="159" t="str">
        <f>'16U BOYS PLATINUM GOLD-10 TEAMS'!J30&amp;""</f>
        <v>16U_BOYS_PLATINUM_GOLD</v>
      </c>
      <c r="K260" s="159" t="str">
        <f t="shared" si="3"/>
        <v>202603081500</v>
      </c>
    </row>
    <row r="261" spans="1:11">
      <c r="A261" s="157">
        <f>'16U BOYS PLATINUM GOLD-10 TEAMS'!A31</f>
        <v>46089</v>
      </c>
      <c r="B261" s="158">
        <f>'16U BOYS PLATINUM GOLD-10 TEAMS'!B31</f>
        <v>0.66666666666666696</v>
      </c>
      <c r="C261" s="158" t="str">
        <f>'16U BOYS PLATINUM GOLD-10 TEAMS'!C31&amp;""</f>
        <v>WOOLLETT NEAR RIGHT</v>
      </c>
      <c r="D261" s="157" t="str">
        <f>'16U BOYS PLATINUM GOLD-10 TEAMS'!D31&amp;""</f>
        <v>16Bptau19</v>
      </c>
      <c r="E261" s="158" t="str">
        <f>'16U BOYS PLATINUM GOLD-10 TEAMS'!E31&amp;""</f>
        <v>2ndA-CHANNEL ISLANDS UNITED BLUE</v>
      </c>
      <c r="F261" s="158" t="str">
        <f>'16U BOYS PLATINUM GOLD-10 TEAMS'!F31&amp;""</f>
        <v>5</v>
      </c>
      <c r="G261" s="159" t="str">
        <f>'16U BOYS PLATINUM GOLD-10 TEAMS'!G31&amp;""</f>
        <v>2ndB-TROJAN GOLD</v>
      </c>
      <c r="H261" s="159" t="str">
        <f>'16U BOYS PLATINUM GOLD-10 TEAMS'!H31&amp;""</f>
        <v>8</v>
      </c>
      <c r="I261" s="159" t="str">
        <f>'16U BOYS PLATINUM GOLD-10 TEAMS'!I31&amp;""</f>
        <v>cross</v>
      </c>
      <c r="J261" s="159" t="str">
        <f>'16U BOYS PLATINUM GOLD-10 TEAMS'!J31&amp;""</f>
        <v>16U_BOYS_PLATINUM_GOLD</v>
      </c>
      <c r="K261" s="159" t="str">
        <f t="shared" si="3"/>
        <v>202603081600</v>
      </c>
    </row>
  </sheetData>
  <sortState xmlns:xlrd2="http://schemas.microsoft.com/office/spreadsheetml/2017/richdata2" ref="A1:K261">
    <sortCondition ref="C2:C261"/>
    <sortCondition ref="A2:A261"/>
    <sortCondition ref="B2:B261"/>
    <sortCondition ref="D2:D261"/>
  </sortState>
  <pageMargins left="0.7" right="0.7" top="0.75" bottom="0.75" header="0.3" footer="0.3"/>
  <pageSetup scale="48" fitToHeight="0" orientation="landscape" r:id="rId1"/>
  <rowBreaks count="13" manualBreakCount="13">
    <brk id="17" max="16383" man="1"/>
    <brk id="34" max="16383" man="1"/>
    <brk id="53" max="16383" man="1"/>
    <brk id="76" max="16383" man="1"/>
    <brk id="97" max="16383" man="1"/>
    <brk id="113" max="16383" man="1"/>
    <brk id="133" max="16383" man="1"/>
    <brk id="148" max="16383" man="1"/>
    <brk id="169" max="16383" man="1"/>
    <brk id="190" max="16383" man="1"/>
    <brk id="208" max="16383" man="1"/>
    <brk id="224" max="16383" man="1"/>
    <brk id="24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7A8B-9D01-4692-AFC0-330E366C6818}">
  <sheetPr>
    <pageSetUpPr fitToPage="1"/>
  </sheetPr>
  <dimension ref="A1:K261"/>
  <sheetViews>
    <sheetView topLeftCell="A248" workbookViewId="0">
      <selection activeCell="A261" sqref="A261"/>
    </sheetView>
  </sheetViews>
  <sheetFormatPr defaultColWidth="8.7109375" defaultRowHeight="18"/>
  <cols>
    <col min="1" max="1" width="10.140625" style="1" customWidth="1"/>
    <col min="2" max="2" width="12.5703125" style="1" customWidth="1"/>
    <col min="3" max="3" width="29" style="1" customWidth="1"/>
    <col min="4" max="4" width="16.42578125" style="1" customWidth="1"/>
    <col min="5" max="5" width="52" style="1" bestFit="1" customWidth="1"/>
    <col min="6" max="6" width="4.7109375" style="1" customWidth="1"/>
    <col min="7" max="7" width="39.140625" style="1" customWidth="1"/>
    <col min="8" max="8" width="4.28515625" style="1" customWidth="1"/>
    <col min="9" max="9" width="39.140625" style="1" customWidth="1"/>
    <col min="10" max="10" width="38.28515625" style="1" customWidth="1"/>
    <col min="11" max="11" width="19.85546875" style="1" customWidth="1"/>
    <col min="12" max="16384" width="8.7109375" style="1"/>
  </cols>
  <sheetData>
    <row r="1" spans="1:11">
      <c r="A1" s="69" t="s">
        <v>346</v>
      </c>
      <c r="B1" s="70" t="s">
        <v>347</v>
      </c>
      <c r="C1" s="69" t="s">
        <v>348</v>
      </c>
      <c r="D1" s="69" t="s">
        <v>349</v>
      </c>
      <c r="E1" s="69" t="s">
        <v>350</v>
      </c>
      <c r="F1" s="69" t="s">
        <v>351</v>
      </c>
      <c r="G1" s="69" t="s">
        <v>352</v>
      </c>
      <c r="H1" s="69" t="s">
        <v>351</v>
      </c>
      <c r="I1" s="69" t="s">
        <v>353</v>
      </c>
      <c r="J1" s="69" t="s">
        <v>0</v>
      </c>
      <c r="K1" s="69" t="s">
        <v>354</v>
      </c>
    </row>
    <row r="2" spans="1:11">
      <c r="A2" s="107">
        <f>'14U GIRLS-9 TEAMS'!A14</f>
        <v>46088</v>
      </c>
      <c r="B2" s="106">
        <f>'14U GIRLS-9 TEAMS'!B14</f>
        <v>0.29166666666666669</v>
      </c>
      <c r="C2" s="105" t="str">
        <f>'14U GIRLS-9 TEAMS'!C14&amp;""</f>
        <v>EL TORO HS 1</v>
      </c>
      <c r="D2" s="28" t="str">
        <f>'14U GIRLS-9 TEAMS'!D14&amp;""</f>
        <v>14G01</v>
      </c>
      <c r="E2" s="28" t="str">
        <f>'14U GIRLS-9 TEAMS'!E14&amp;""</f>
        <v>C1-CV PREMIER</v>
      </c>
      <c r="F2" s="28" t="str">
        <f>'14U GIRLS-9 TEAMS'!F14&amp;""</f>
        <v>6</v>
      </c>
      <c r="G2" s="28" t="str">
        <f>'14U GIRLS-9 TEAMS'!G14&amp;""</f>
        <v>C2-INNIS ARDEN</v>
      </c>
      <c r="H2" s="28" t="str">
        <f>'14U GIRLS-9 TEAMS'!H14&amp;""</f>
        <v>16</v>
      </c>
      <c r="I2" s="28" t="str">
        <f>'14U GIRLS-9 TEAMS'!I14&amp;""</f>
        <v>C bracket silver 1st-3rd</v>
      </c>
      <c r="J2" s="28" t="str">
        <f>'14U GIRLS-9 TEAMS'!J14&amp;""</f>
        <v>14U_GIRLS</v>
      </c>
      <c r="K2" s="28" t="str">
        <f t="shared" ref="K2:K65" si="0">TEXT(DATE(2026, MONTH(A2), DAY(A2)) + TIME(HOUR(B2), MINUTE(B2), 0), "yyyymmddhhmm")</f>
        <v>202603070700</v>
      </c>
    </row>
    <row r="3" spans="1:11">
      <c r="A3" s="142">
        <f>'19U BOYS PLATINUM GOLD-11 TEAMS'!A12</f>
        <v>46088</v>
      </c>
      <c r="B3" s="143">
        <f>'19U BOYS PLATINUM GOLD-11 TEAMS'!B12</f>
        <v>0.29166666666666669</v>
      </c>
      <c r="C3" s="142" t="str">
        <f>'19U BOYS PLATINUM GOLD-11 TEAMS'!C12&amp;""</f>
        <v>WOOLLETT NEAR LEFT</v>
      </c>
      <c r="D3" s="31" t="str">
        <f>'19U BOYS PLATINUM GOLD-11 TEAMS'!D12&amp;""</f>
        <v>19Bptau01</v>
      </c>
      <c r="E3" s="142" t="str">
        <f>'19U BOYS PLATINUM GOLD-11 TEAMS'!E12&amp;""</f>
        <v>C1-TROJAN  16 CARDINAL pt</v>
      </c>
      <c r="F3" s="31" t="str">
        <f>'19U BOYS PLATINUM GOLD-11 TEAMS'!F12&amp;""</f>
        <v>13</v>
      </c>
      <c r="G3" s="142" t="str">
        <f>'19U BOYS PLATINUM GOLD-11 TEAMS'!G12&amp;""</f>
        <v>C4-ROUTE 66</v>
      </c>
      <c r="H3" s="31" t="str">
        <f>'19U BOYS PLATINUM GOLD-11 TEAMS'!H12&amp;""</f>
        <v>9</v>
      </c>
      <c r="I3" s="31" t="str">
        <f>'19U BOYS PLATINUM GOLD-11 TEAMS'!I12&amp;""</f>
        <v>W/L C1/C4</v>
      </c>
      <c r="J3" s="31" t="str">
        <f>'19U BOYS PLATINUM GOLD-11 TEAMS'!J12&amp;""</f>
        <v>19U_BOYS_PLATINUM_GOLD</v>
      </c>
      <c r="K3" s="31" t="str">
        <f t="shared" si="0"/>
        <v>202603070700</v>
      </c>
    </row>
    <row r="4" spans="1:11">
      <c r="A4" s="157">
        <f>'16U BOYS PLATINUM GOLD-10 TEAMS'!A10</f>
        <v>46088</v>
      </c>
      <c r="B4" s="158">
        <f>'16U BOYS PLATINUM GOLD-10 TEAMS'!B10</f>
        <v>0.29166666666666669</v>
      </c>
      <c r="C4" s="158" t="str">
        <f>'16U BOYS PLATINUM GOLD-10 TEAMS'!C10&amp;""</f>
        <v>WOOLLETT NEAR RIGHT</v>
      </c>
      <c r="D4" s="159" t="str">
        <f>'16U BOYS PLATINUM GOLD-10 TEAMS'!D10&amp;""</f>
        <v>16Bptau01</v>
      </c>
      <c r="E4" s="158" t="str">
        <f>'16U BOYS PLATINUM GOLD-10 TEAMS'!E10&amp;""</f>
        <v>A1-ORWP A</v>
      </c>
      <c r="F4" s="158" t="str">
        <f>'16U BOYS PLATINUM GOLD-10 TEAMS'!F10&amp;""</f>
        <v>15</v>
      </c>
      <c r="G4" s="159" t="str">
        <f>'16U BOYS PLATINUM GOLD-10 TEAMS'!G10&amp;""</f>
        <v>A2-DEVILS GATE</v>
      </c>
      <c r="H4" s="159" t="str">
        <f>'16U BOYS PLATINUM GOLD-10 TEAMS'!H10&amp;""</f>
        <v>6</v>
      </c>
      <c r="I4" s="159" t="str">
        <f>'16U BOYS PLATINUM GOLD-10 TEAMS'!I10&amp;""</f>
        <v>A bracket A1,A2 platinum 1st-3rd</v>
      </c>
      <c r="J4" s="159" t="str">
        <f>'16U BOYS PLATINUM GOLD-10 TEAMS'!J10&amp;""</f>
        <v>16U_BOYS_PLATINUM_GOLD</v>
      </c>
      <c r="K4" s="159" t="str">
        <f t="shared" si="0"/>
        <v>202603070700</v>
      </c>
    </row>
    <row r="5" spans="1:11">
      <c r="A5" s="77">
        <f>'12U BOYS-16 TEAMS'!A21</f>
        <v>46088</v>
      </c>
      <c r="B5" s="76">
        <f>'12U BOYS-16 TEAMS'!B21</f>
        <v>0.3263888888888889</v>
      </c>
      <c r="C5" s="76" t="str">
        <f>'12U BOYS-16 TEAMS'!C21&amp;""</f>
        <v>COSTA MESA HS 2</v>
      </c>
      <c r="D5" s="26" t="str">
        <f>'12U BOYS-16 TEAMS'!D21&amp;""</f>
        <v>12B01</v>
      </c>
      <c r="E5" s="26" t="str">
        <f>'12U BOYS-16 TEAMS'!E21&amp;""</f>
        <v>A1-LA PREMIER</v>
      </c>
      <c r="F5" s="26" t="str">
        <f>'12U BOYS-16 TEAMS'!F21&amp;""</f>
        <v>6</v>
      </c>
      <c r="G5" s="26" t="str">
        <f>'12U BOYS-16 TEAMS'!G21&amp;""</f>
        <v>A3-CMAC</v>
      </c>
      <c r="H5" s="26" t="str">
        <f>'12U BOYS-16 TEAMS'!H21&amp;""</f>
        <v>9</v>
      </c>
      <c r="I5" s="26" t="str">
        <f>'12U BOYS-16 TEAMS'!I21&amp;""</f>
        <v>A bracket A1,A3 platinum 1st-3rd</v>
      </c>
      <c r="J5" s="26" t="str">
        <f>'12U BOYS-16 TEAMS'!J21&amp;""</f>
        <v>12U_BOYS</v>
      </c>
      <c r="K5" s="26" t="str">
        <f t="shared" si="0"/>
        <v>202603070750</v>
      </c>
    </row>
    <row r="6" spans="1:11">
      <c r="A6" s="107">
        <f>'14U GIRLS-9 TEAMS'!A15</f>
        <v>46088</v>
      </c>
      <c r="B6" s="106">
        <f>'14U GIRLS-9 TEAMS'!B15</f>
        <v>0.3263888888888889</v>
      </c>
      <c r="C6" s="105" t="str">
        <f>'14U GIRLS-9 TEAMS'!C15&amp;""</f>
        <v>EL TORO HS 1</v>
      </c>
      <c r="D6" s="28" t="str">
        <f>'14U GIRLS-9 TEAMS'!D15&amp;""</f>
        <v>14G02</v>
      </c>
      <c r="E6" s="28" t="str">
        <f>'14U GIRLS-9 TEAMS'!E15&amp;""</f>
        <v>B1-SET</v>
      </c>
      <c r="F6" s="28" t="str">
        <f>'14U GIRLS-9 TEAMS'!F15&amp;""</f>
        <v>5</v>
      </c>
      <c r="G6" s="28" t="str">
        <f>'14U GIRLS-9 TEAMS'!G15&amp;""</f>
        <v>B3-ELITE</v>
      </c>
      <c r="H6" s="28" t="str">
        <f>'14U GIRLS-9 TEAMS'!H15&amp;""</f>
        <v>4</v>
      </c>
      <c r="I6" s="28" t="str">
        <f>'14U GIRLS-9 TEAMS'!I15&amp;""</f>
        <v>B bracket gold 1st-3rd</v>
      </c>
      <c r="J6" s="28" t="str">
        <f>'14U GIRLS-9 TEAMS'!J15&amp;""</f>
        <v>14U_GIRLS</v>
      </c>
      <c r="K6" s="28" t="str">
        <f t="shared" si="0"/>
        <v>202603070750</v>
      </c>
    </row>
    <row r="7" spans="1:11">
      <c r="A7" s="88">
        <f>'14U BOYS SILVER-16 TEAMS'!A10</f>
        <v>46088</v>
      </c>
      <c r="B7" s="87">
        <f>'14U BOYS SILVER-16 TEAMS'!B10</f>
        <v>0.3263888888888889</v>
      </c>
      <c r="C7" s="87" t="str">
        <f>'14U BOYS SILVER-16 TEAMS'!C10&amp;""</f>
        <v>ESTANCIA HS 2</v>
      </c>
      <c r="D7" s="36" t="str">
        <f>'14U BOYS SILVER-16 TEAMS'!D10&amp;""</f>
        <v>14Bag01</v>
      </c>
      <c r="E7" s="36" t="str">
        <f>'14U BOYS SILVER-16 TEAMS'!E10&amp;""</f>
        <v>A2-BREA OLINDA GOLD</v>
      </c>
      <c r="F7" s="36" t="str">
        <f>'14U BOYS SILVER-16 TEAMS'!F10&amp;""</f>
        <v>18</v>
      </c>
      <c r="G7" s="36" t="str">
        <f>'14U BOYS SILVER-16 TEAMS'!G10&amp;""</f>
        <v>A3-TROJAN GOLD</v>
      </c>
      <c r="H7" s="36" t="str">
        <f>'14U BOYS SILVER-16 TEAMS'!H10&amp;""</f>
        <v>9</v>
      </c>
      <c r="I7" s="36" t="str">
        <f>'14U BOYS SILVER-16 TEAMS'!I10&amp;""</f>
        <v>W/L A2/A3</v>
      </c>
      <c r="J7" s="36" t="str">
        <f>'14U BOYS SILVER-16 TEAMS'!J10&amp;""</f>
        <v>14U_BOYS_SILVER</v>
      </c>
      <c r="K7" s="36" t="str">
        <f t="shared" si="0"/>
        <v>202603070750</v>
      </c>
    </row>
    <row r="8" spans="1:11">
      <c r="A8" s="91">
        <f>'14U BOYS GOLD-16 TEAMS'!A10</f>
        <v>46088</v>
      </c>
      <c r="B8" s="35">
        <f>'14U BOYS GOLD-16 TEAMS'!B10</f>
        <v>0.3263888888888889</v>
      </c>
      <c r="C8" s="35" t="str">
        <f>'14U BOYS GOLD-16 TEAMS'!C10&amp;""</f>
        <v>SAN JUAN HILLS HS</v>
      </c>
      <c r="D8" s="33" t="str">
        <f>'14U BOYS GOLD-16 TEAMS'!D10&amp;""</f>
        <v>14Bau01</v>
      </c>
      <c r="E8" s="33" t="str">
        <f>'14U BOYS GOLD-16 TEAMS'!E10&amp;""</f>
        <v>A2-TRILOGY BLACK</v>
      </c>
      <c r="F8" s="33" t="str">
        <f>'14U BOYS GOLD-16 TEAMS'!F10&amp;""</f>
        <v>2</v>
      </c>
      <c r="G8" s="33" t="str">
        <f>'14U BOYS GOLD-16 TEAMS'!G10&amp;""</f>
        <v>A3-SAN DIEGO DONS 14 BLACK</v>
      </c>
      <c r="H8" s="33" t="str">
        <f>'14U BOYS GOLD-16 TEAMS'!H10&amp;""</f>
        <v>8</v>
      </c>
      <c r="I8" s="33" t="str">
        <f>'14U BOYS GOLD-16 TEAMS'!I10&amp;""</f>
        <v>W/L A2/A3</v>
      </c>
      <c r="J8" s="33" t="str">
        <f>'14U BOYS GOLD-16 TEAMS'!J10&amp;""</f>
        <v>14U_BOYS_GOLD</v>
      </c>
      <c r="K8" s="33" t="str">
        <f t="shared" si="0"/>
        <v>202603070750</v>
      </c>
    </row>
    <row r="9" spans="1:11">
      <c r="A9" s="94">
        <f>'14U BOYS PLATINUM-10 TEAMS'!A10</f>
        <v>46088</v>
      </c>
      <c r="B9" s="93">
        <f>'14U BOYS PLATINUM-10 TEAMS'!B10</f>
        <v>0.3263888888888889</v>
      </c>
      <c r="C9" s="93" t="str">
        <f>'14U BOYS PLATINUM-10 TEAMS'!C10&amp;""</f>
        <v>WESTMINSTER HS</v>
      </c>
      <c r="D9" s="32" t="str">
        <f>'14U BOYS PLATINUM-10 TEAMS'!D10&amp;""</f>
        <v>14Bpt01</v>
      </c>
      <c r="E9" s="155" t="str">
        <f>'14U BOYS PLATINUM-10 TEAMS'!E10&amp;""</f>
        <v>C1-SAN DIEGO DONS</v>
      </c>
      <c r="F9" s="32" t="str">
        <f>'14U BOYS PLATINUM-10 TEAMS'!F10&amp;""</f>
        <v>8.4</v>
      </c>
      <c r="G9" s="32" t="str">
        <f>'14U BOYS PLATINUM-10 TEAMS'!G10&amp;""</f>
        <v>C4-DEVILS GATE</v>
      </c>
      <c r="H9" s="32" t="str">
        <f>'14U BOYS PLATINUM-10 TEAMS'!H10&amp;""</f>
        <v>8.2</v>
      </c>
      <c r="I9" s="32" t="str">
        <f>'14U BOYS PLATINUM-10 TEAMS'!I10&amp;""</f>
        <v>C bracket C1,C4</v>
      </c>
      <c r="J9" s="32" t="str">
        <f>'14U BOYS PLATINUM-10 TEAMS'!J10&amp;""</f>
        <v>14U_BOYS_PLATINUM</v>
      </c>
      <c r="K9" s="32" t="str">
        <f t="shared" si="0"/>
        <v>202603070750</v>
      </c>
    </row>
    <row r="10" spans="1:11">
      <c r="A10" s="113">
        <f>'16U BOYS SILVER-8 TEAMS'!A10</f>
        <v>46088</v>
      </c>
      <c r="B10" s="112">
        <f>'16U BOYS SILVER-8 TEAMS'!B10</f>
        <v>0.33333333333333298</v>
      </c>
      <c r="C10" s="27" t="str">
        <f>'16U BOYS SILVER-8 TEAMS'!C10&amp;""</f>
        <v>COSTA MESA HS 1</v>
      </c>
      <c r="D10" s="27" t="str">
        <f>'16U BOYS SILVER-8 TEAMS'!D10&amp;""</f>
        <v>16Bag01</v>
      </c>
      <c r="E10" s="27" t="str">
        <f>'16U BOYS SILVER-8 TEAMS'!E10&amp;""</f>
        <v>B1-TITANS</v>
      </c>
      <c r="F10" s="27" t="str">
        <f>'16U BOYS SILVER-8 TEAMS'!F10&amp;""</f>
        <v>9</v>
      </c>
      <c r="G10" s="27" t="str">
        <f>'16U BOYS SILVER-8 TEAMS'!G10&amp;""</f>
        <v>B4-NORTH IRVINE 14 BLACK</v>
      </c>
      <c r="H10" s="27" t="str">
        <f>'16U BOYS SILVER-8 TEAMS'!H10&amp;""</f>
        <v>20</v>
      </c>
      <c r="I10" s="27" t="str">
        <f>'16U BOYS SILVER-8 TEAMS'!I10&amp;""</f>
        <v>bracket, B1/B4</v>
      </c>
      <c r="J10" s="27" t="str">
        <f>'16U BOYS SILVER-8 TEAMS'!J10&amp;""</f>
        <v>16U_BOYS_SILVER</v>
      </c>
      <c r="K10" s="27" t="str">
        <f t="shared" si="0"/>
        <v>202603070800</v>
      </c>
    </row>
    <row r="11" spans="1:11">
      <c r="A11" s="127">
        <f>'19U BOYS SILVER-5 TEAMS'!A11</f>
        <v>46088</v>
      </c>
      <c r="B11" s="126">
        <f>'19U BOYS SILVER-5 TEAMS'!B11</f>
        <v>0.33333333333333298</v>
      </c>
      <c r="C11" s="126" t="str">
        <f>'19U BOYS SILVER-5 TEAMS'!C11&amp;""</f>
        <v>ESTANCIA HS 1</v>
      </c>
      <c r="D11" s="30" t="str">
        <f>'19U BOYS SILVER-5 TEAMS'!D11&amp;""</f>
        <v>19Bag01</v>
      </c>
      <c r="E11" s="30" t="str">
        <f>'19U BOYS SILVER-5 TEAMS'!E11&amp;""</f>
        <v>A2-SOUTH COUNTY AQUATICS</v>
      </c>
      <c r="F11" s="30" t="str">
        <f>'19U BOYS SILVER-5 TEAMS'!F11&amp;""</f>
        <v>4</v>
      </c>
      <c r="G11" s="30" t="str">
        <f>'19U BOYS SILVER-5 TEAMS'!G11&amp;""</f>
        <v>A5-OHANA</v>
      </c>
      <c r="H11" s="30" t="str">
        <f>'19U BOYS SILVER-5 TEAMS'!H11&amp;""</f>
        <v>12</v>
      </c>
      <c r="I11" s="30" t="str">
        <f>'19U BOYS SILVER-5 TEAMS'!I11&amp;""</f>
        <v>A bracket 2/5</v>
      </c>
      <c r="J11" s="30" t="str">
        <f>'19U BOYS SILVER-5 TEAMS'!J11&amp;""</f>
        <v>19U_BOYS_SILVER</v>
      </c>
      <c r="K11" s="30" t="str">
        <f t="shared" si="0"/>
        <v>202603070800</v>
      </c>
    </row>
    <row r="12" spans="1:11">
      <c r="A12" s="142">
        <f>'19U BOYS PLATINUM GOLD-11 TEAMS'!A13</f>
        <v>46088</v>
      </c>
      <c r="B12" s="143">
        <f>'19U BOYS PLATINUM GOLD-11 TEAMS'!B13</f>
        <v>0.33333333333333298</v>
      </c>
      <c r="C12" s="142" t="str">
        <f>'19U BOYS PLATINUM GOLD-11 TEAMS'!C13&amp;""</f>
        <v>WOOLLETT NEAR LEFT</v>
      </c>
      <c r="D12" s="31" t="str">
        <f>'19U BOYS PLATINUM GOLD-11 TEAMS'!D13&amp;""</f>
        <v>19Bptau02</v>
      </c>
      <c r="E12" s="142" t="str">
        <f>'19U BOYS PLATINUM GOLD-11 TEAMS'!E13&amp;""</f>
        <v>C2-PEAK POLO BOLTZ pt</v>
      </c>
      <c r="F12" s="31" t="str">
        <f>'19U BOYS PLATINUM GOLD-11 TEAMS'!F13&amp;""</f>
        <v>18</v>
      </c>
      <c r="G12" s="142" t="str">
        <f>'19U BOYS PLATINUM GOLD-11 TEAMS'!G13&amp;""</f>
        <v>C3-SOUTH VALLEY</v>
      </c>
      <c r="H12" s="31" t="str">
        <f>'19U BOYS PLATINUM GOLD-11 TEAMS'!H13&amp;""</f>
        <v>3</v>
      </c>
      <c r="I12" s="31" t="str">
        <f>'19U BOYS PLATINUM GOLD-11 TEAMS'!I13&amp;""</f>
        <v>W/L C2/C3</v>
      </c>
      <c r="J12" s="31" t="str">
        <f>'19U BOYS PLATINUM GOLD-11 TEAMS'!J13&amp;""</f>
        <v>19U_BOYS_PLATINUM_GOLD</v>
      </c>
      <c r="K12" s="31" t="str">
        <f t="shared" si="0"/>
        <v>202603070800</v>
      </c>
    </row>
    <row r="13" spans="1:11">
      <c r="A13" s="157">
        <f>'16U BOYS PLATINUM GOLD-10 TEAMS'!A11</f>
        <v>46088</v>
      </c>
      <c r="B13" s="158">
        <f>'16U BOYS PLATINUM GOLD-10 TEAMS'!B11</f>
        <v>0.33333333333333298</v>
      </c>
      <c r="C13" s="158" t="str">
        <f>'16U BOYS PLATINUM GOLD-10 TEAMS'!C11&amp;""</f>
        <v>WOOLLETT NEAR RIGHT</v>
      </c>
      <c r="D13" s="159" t="str">
        <f>'16U BOYS PLATINUM GOLD-10 TEAMS'!D11&amp;""</f>
        <v>16Bptau02</v>
      </c>
      <c r="E13" s="159" t="str">
        <f>'16U BOYS PLATINUM GOLD-10 TEAMS'!E11&amp;""</f>
        <v>B1-ALAMEDA</v>
      </c>
      <c r="F13" s="159" t="str">
        <f>'16U BOYS PLATINUM GOLD-10 TEAMS'!F11&amp;""</f>
        <v>15</v>
      </c>
      <c r="G13" s="159" t="str">
        <f>'16U BOYS PLATINUM GOLD-10 TEAMS'!G11&amp;""</f>
        <v>B2-INNIS ARDEN</v>
      </c>
      <c r="H13" s="159" t="str">
        <f>'16U BOYS PLATINUM GOLD-10 TEAMS'!H11&amp;""</f>
        <v>8</v>
      </c>
      <c r="I13" s="159" t="str">
        <f>'16U BOYS PLATINUM GOLD-10 TEAMS'!I11&amp;""</f>
        <v>B bracket B1,B2</v>
      </c>
      <c r="J13" s="159" t="str">
        <f>'16U BOYS PLATINUM GOLD-10 TEAMS'!J11&amp;""</f>
        <v>16U_BOYS_PLATINUM_GOLD</v>
      </c>
      <c r="K13" s="159" t="str">
        <f t="shared" si="0"/>
        <v>202603070800</v>
      </c>
    </row>
    <row r="14" spans="1:11">
      <c r="A14" s="67">
        <f>'10U GIRLS COED AU AG-12 TEAMS'!A10</f>
        <v>46088</v>
      </c>
      <c r="B14" s="66">
        <f>'10U GIRLS COED AU AG-12 TEAMS'!B10</f>
        <v>0.33333333333333331</v>
      </c>
      <c r="C14" s="20" t="str">
        <f>'10U GIRLS COED AU AG-12 TEAMS'!C10&amp;""</f>
        <v>EL TORO HS 2</v>
      </c>
      <c r="D14" s="20" t="str">
        <f>'10U GIRLS COED AU AG-12 TEAMS'!D10&amp;""</f>
        <v>10GCauag01</v>
      </c>
      <c r="E14" s="20" t="str">
        <f>'10U GIRLS COED AU AG-12 TEAMS'!E10&amp;""</f>
        <v>B1-SAN CLEMENTE GIRLS RED ag</v>
      </c>
      <c r="F14" s="20" t="str">
        <f>'10U GIRLS COED AU AG-12 TEAMS'!F10&amp;""</f>
        <v>6</v>
      </c>
      <c r="G14" s="20" t="str">
        <f>'10U GIRLS COED AU AG-12 TEAMS'!G10&amp;""</f>
        <v>B4-TROJAN NORTH ag</v>
      </c>
      <c r="H14" s="20" t="str">
        <f>'10U GIRLS COED AU AG-12 TEAMS'!H10&amp;""</f>
        <v>14</v>
      </c>
      <c r="I14" s="20" t="str">
        <f>'10U GIRLS COED AU AG-12 TEAMS'!I10&amp;""</f>
        <v>B bracket, B1/B4  coed silver 1st-4th</v>
      </c>
      <c r="J14" s="20" t="str">
        <f>'10U GIRLS COED AU AG-12 TEAMS'!J10&amp;""</f>
        <v>10U_GIRLS_COED_GOLD_SILVER</v>
      </c>
      <c r="K14" s="20" t="str">
        <f t="shared" si="0"/>
        <v>202603070800</v>
      </c>
    </row>
    <row r="15" spans="1:11">
      <c r="A15" s="153">
        <f>'10U BOYS &amp; COED PT-7 CUSTOM'!A10</f>
        <v>46088</v>
      </c>
      <c r="B15" s="54">
        <f>'10U BOYS &amp; COED PT-7 CUSTOM'!B10</f>
        <v>0.33333333333333331</v>
      </c>
      <c r="C15" s="21" t="str">
        <f>'10U BOYS &amp; COED PT-7 CUSTOM'!C10&amp;""</f>
        <v>WOOLLETT FAR LEFT</v>
      </c>
      <c r="D15" s="21" t="str">
        <f>'10U BOYS &amp; COED PT-7 CUSTOM'!D10&amp;""</f>
        <v>10BCpt01</v>
      </c>
      <c r="E15" s="21" t="str">
        <f>'10U BOYS &amp; COED PT-7 CUSTOM'!E10&amp;""</f>
        <v>A1-NORTH IRVINE BLACK</v>
      </c>
      <c r="F15" s="21" t="str">
        <f>'10U BOYS &amp; COED PT-7 CUSTOM'!F10&amp;""</f>
        <v>22</v>
      </c>
      <c r="G15" s="154" t="str">
        <f>'10U BOYS &amp; COED PT-7 CUSTOM'!G10&amp;""</f>
        <v>A3-VIKING</v>
      </c>
      <c r="H15" s="21" t="str">
        <f>'10U BOYS &amp; COED PT-7 CUSTOM'!H10&amp;""</f>
        <v>8</v>
      </c>
      <c r="I15" s="21" t="str">
        <f>'10U BOYS &amp; COED PT-7 CUSTOM'!I10&amp;""</f>
        <v>A bracket A1,A3 Cpt 1st-3rd</v>
      </c>
      <c r="J15" s="21" t="str">
        <f>'10U BOYS &amp; COED PT-7 CUSTOM'!J10&amp;""</f>
        <v>10U_BOYS_&amp;_COED_PLATINUM</v>
      </c>
      <c r="K15" s="21" t="str">
        <f t="shared" si="0"/>
        <v>202603070800</v>
      </c>
    </row>
    <row r="16" spans="1:11">
      <c r="A16" s="77">
        <f>'12U BOYS-16 TEAMS'!A22</f>
        <v>46088</v>
      </c>
      <c r="B16" s="76">
        <f>'12U BOYS-16 TEAMS'!B22</f>
        <v>0.36111111111111099</v>
      </c>
      <c r="C16" s="76" t="str">
        <f>'12U BOYS-16 TEAMS'!C22&amp;""</f>
        <v>COSTA MESA HS 2</v>
      </c>
      <c r="D16" s="26" t="str">
        <f>'12U BOYS-16 TEAMS'!D22&amp;""</f>
        <v>12B02</v>
      </c>
      <c r="E16" s="26" t="str">
        <f>'12U BOYS-16 TEAMS'!E22&amp;""</f>
        <v>B1-TROJAN</v>
      </c>
      <c r="F16" s="26" t="str">
        <f>'12U BOYS-16 TEAMS'!F22&amp;""</f>
        <v>12</v>
      </c>
      <c r="G16" s="26" t="str">
        <f>'12U BOYS-16 TEAMS'!G22&amp;""</f>
        <v>B3-LAGUNA BEACH</v>
      </c>
      <c r="H16" s="26" t="str">
        <f>'12U BOYS-16 TEAMS'!H22&amp;""</f>
        <v>6</v>
      </c>
      <c r="I16" s="26" t="str">
        <f>'12U BOYS-16 TEAMS'!I22&amp;""</f>
        <v>B bracket B1,B3</v>
      </c>
      <c r="J16" s="26" t="str">
        <f>'12U BOYS-16 TEAMS'!J22&amp;""</f>
        <v>12U_BOYS</v>
      </c>
      <c r="K16" s="26" t="str">
        <f t="shared" si="0"/>
        <v>202603070840</v>
      </c>
    </row>
    <row r="17" spans="1:11">
      <c r="A17" s="107">
        <f>'14U GIRLS-9 TEAMS'!A16</f>
        <v>46088</v>
      </c>
      <c r="B17" s="106">
        <f>'14U GIRLS-9 TEAMS'!B16</f>
        <v>0.36111111111111099</v>
      </c>
      <c r="C17" s="105" t="str">
        <f>'14U GIRLS-9 TEAMS'!C16&amp;""</f>
        <v>EL TORO HS 1</v>
      </c>
      <c r="D17" s="28" t="str">
        <f>'14U GIRLS-9 TEAMS'!D16&amp;""</f>
        <v>14G03</v>
      </c>
      <c r="E17" s="28" t="str">
        <f>'14U GIRLS-9 TEAMS'!E16&amp;""</f>
        <v>A2-ROGUE 619</v>
      </c>
      <c r="F17" s="28" t="str">
        <f>'14U GIRLS-9 TEAMS'!F16&amp;""</f>
        <v>17</v>
      </c>
      <c r="G17" s="28" t="str">
        <f>'14U GIRLS-9 TEAMS'!G16&amp;""</f>
        <v>A3-NORTH IRVINE</v>
      </c>
      <c r="H17" s="28" t="str">
        <f>'14U GIRLS-9 TEAMS'!H16&amp;""</f>
        <v>5</v>
      </c>
      <c r="I17" s="28" t="str">
        <f>'14U GIRLS-9 TEAMS'!I16&amp;""</f>
        <v>A bracket platinum 1st-3rd</v>
      </c>
      <c r="J17" s="28" t="str">
        <f>'14U GIRLS-9 TEAMS'!J16&amp;""</f>
        <v>14U_GIRLS</v>
      </c>
      <c r="K17" s="28" t="str">
        <f t="shared" si="0"/>
        <v>202603070840</v>
      </c>
    </row>
    <row r="18" spans="1:11">
      <c r="A18" s="88">
        <f>'14U BOYS SILVER-16 TEAMS'!A11</f>
        <v>46088</v>
      </c>
      <c r="B18" s="87">
        <f>'14U BOYS SILVER-16 TEAMS'!B11</f>
        <v>0.36111111111111099</v>
      </c>
      <c r="C18" s="87" t="str">
        <f>'14U BOYS SILVER-16 TEAMS'!C11&amp;""</f>
        <v>ESTANCIA HS 2</v>
      </c>
      <c r="D18" s="36" t="str">
        <f>'14U BOYS SILVER-16 TEAMS'!D11&amp;""</f>
        <v>14Bag02</v>
      </c>
      <c r="E18" s="36" t="str">
        <f>'14U BOYS SILVER-16 TEAMS'!E11&amp;""</f>
        <v>A1-SAND CANYON</v>
      </c>
      <c r="F18" s="36" t="str">
        <f>'14U BOYS SILVER-16 TEAMS'!F11&amp;""</f>
        <v>7</v>
      </c>
      <c r="G18" s="36" t="str">
        <f>'14U BOYS SILVER-16 TEAMS'!G11&amp;""</f>
        <v>A4-SAN DIEGO DONS 12 BLACK</v>
      </c>
      <c r="H18" s="36" t="str">
        <f>'14U BOYS SILVER-16 TEAMS'!H11&amp;""</f>
        <v>8</v>
      </c>
      <c r="I18" s="36" t="str">
        <f>'14U BOYS SILVER-16 TEAMS'!I11&amp;""</f>
        <v>W/L A1/A4</v>
      </c>
      <c r="J18" s="36" t="str">
        <f>'14U BOYS SILVER-16 TEAMS'!J11&amp;""</f>
        <v>14U_BOYS_SILVER</v>
      </c>
      <c r="K18" s="36" t="str">
        <f t="shared" si="0"/>
        <v>202603070840</v>
      </c>
    </row>
    <row r="19" spans="1:11">
      <c r="A19" s="86">
        <f>'12U COED GIRLS-9 TEAMS CUSTOM'!A14</f>
        <v>46088</v>
      </c>
      <c r="B19" s="85">
        <f>'12U COED GIRLS-9 TEAMS CUSTOM'!B14</f>
        <v>0.36111111111111099</v>
      </c>
      <c r="C19" s="24" t="str">
        <f>'12U COED GIRLS-9 TEAMS CUSTOM'!C14&amp;""</f>
        <v>LAGUNA HILLS HS</v>
      </c>
      <c r="D19" s="24" t="str">
        <f>'12U COED GIRLS-9 TEAMS CUSTOM'!D14&amp;""</f>
        <v>12GC01</v>
      </c>
      <c r="E19" s="24" t="str">
        <f>'12U COED GIRLS-9 TEAMS CUSTOM'!E14&amp;""</f>
        <v>A1-HIELAND</v>
      </c>
      <c r="F19" s="24" t="str">
        <f>'12U COED GIRLS-9 TEAMS CUSTOM'!F14&amp;""</f>
        <v>2</v>
      </c>
      <c r="G19" s="24" t="str">
        <f>'12U COED GIRLS-9 TEAMS CUSTOM'!G14&amp;""</f>
        <v>A3-TRILOGY</v>
      </c>
      <c r="H19" s="24" t="str">
        <f>'12U COED GIRLS-9 TEAMS CUSTOM'!H14&amp;""</f>
        <v>7</v>
      </c>
      <c r="I19" s="24" t="str">
        <f>'12U COED GIRLS-9 TEAMS CUSTOM'!I14&amp;""</f>
        <v>A bracket A1,A3</v>
      </c>
      <c r="J19" s="24" t="str">
        <f>'12U COED GIRLS-9 TEAMS CUSTOM'!J14&amp;""</f>
        <v>12U_COED_GIRLS</v>
      </c>
      <c r="K19" s="24" t="str">
        <f t="shared" si="0"/>
        <v>202603070840</v>
      </c>
    </row>
    <row r="20" spans="1:11">
      <c r="A20" s="91">
        <f>'14U BOYS GOLD-16 TEAMS'!A11</f>
        <v>46088</v>
      </c>
      <c r="B20" s="35">
        <f>'14U BOYS GOLD-16 TEAMS'!B11</f>
        <v>0.36111111111111099</v>
      </c>
      <c r="C20" s="35" t="str">
        <f>'14U BOYS GOLD-16 TEAMS'!C11&amp;""</f>
        <v>SAN JUAN HILLS HS</v>
      </c>
      <c r="D20" s="33" t="str">
        <f>'14U BOYS GOLD-16 TEAMS'!D11&amp;""</f>
        <v>14Bau02</v>
      </c>
      <c r="E20" s="33" t="str">
        <f>'14U BOYS GOLD-16 TEAMS'!E11&amp;""</f>
        <v>A1-LAWPC</v>
      </c>
      <c r="F20" s="33" t="str">
        <f>'14U BOYS GOLD-16 TEAMS'!F11&amp;""</f>
        <v>6</v>
      </c>
      <c r="G20" s="33" t="str">
        <f>'14U BOYS GOLD-16 TEAMS'!G11&amp;""</f>
        <v>A4-NORTH IRVINE RED</v>
      </c>
      <c r="H20" s="33" t="str">
        <f>'14U BOYS GOLD-16 TEAMS'!H11&amp;""</f>
        <v>7</v>
      </c>
      <c r="I20" s="33" t="str">
        <f>'14U BOYS GOLD-16 TEAMS'!I11&amp;""</f>
        <v>W/L A1/A4</v>
      </c>
      <c r="J20" s="33" t="str">
        <f>'14U BOYS GOLD-16 TEAMS'!J11&amp;""</f>
        <v>14U_BOYS_GOLD</v>
      </c>
      <c r="K20" s="33" t="str">
        <f t="shared" si="0"/>
        <v>202603070840</v>
      </c>
    </row>
    <row r="21" spans="1:11">
      <c r="A21" s="94">
        <f>'14U BOYS PLATINUM-10 TEAMS'!A11</f>
        <v>46088</v>
      </c>
      <c r="B21" s="93">
        <f>'14U BOYS PLATINUM-10 TEAMS'!B11</f>
        <v>0.36111111111111099</v>
      </c>
      <c r="C21" s="93" t="str">
        <f>'14U BOYS PLATINUM-10 TEAMS'!C11&amp;""</f>
        <v>WESTMINSTER HS</v>
      </c>
      <c r="D21" s="32" t="str">
        <f>'14U BOYS PLATINUM-10 TEAMS'!D11&amp;""</f>
        <v>14Bpt02</v>
      </c>
      <c r="E21" s="32" t="str">
        <f>'14U BOYS PLATINUM-10 TEAMS'!E11&amp;""</f>
        <v>A1-MISSION A</v>
      </c>
      <c r="F21" s="32" t="str">
        <f>'14U BOYS PLATINUM-10 TEAMS'!F11&amp;""</f>
        <v>13</v>
      </c>
      <c r="G21" s="32" t="str">
        <f>'14U BOYS PLATINUM-10 TEAMS'!G11&amp;""</f>
        <v>A3-ROUTE 66</v>
      </c>
      <c r="H21" s="32" t="str">
        <f>'14U BOYS PLATINUM-10 TEAMS'!H11&amp;""</f>
        <v>2</v>
      </c>
      <c r="I21" s="32" t="str">
        <f>'14U BOYS PLATINUM-10 TEAMS'!I11&amp;""</f>
        <v>A bracket A1,A3</v>
      </c>
      <c r="J21" s="32" t="str">
        <f>'14U BOYS PLATINUM-10 TEAMS'!J11&amp;""</f>
        <v>14U_BOYS_PLATINUM</v>
      </c>
      <c r="K21" s="32" t="str">
        <f t="shared" si="0"/>
        <v>202603070840</v>
      </c>
    </row>
    <row r="22" spans="1:11">
      <c r="A22" s="77">
        <f>'12U BOYS-16 TEAMS'!A31</f>
        <v>46088</v>
      </c>
      <c r="B22" s="76">
        <f>'12U BOYS-16 TEAMS'!B31</f>
        <v>0.36111111111111099</v>
      </c>
      <c r="C22" s="76" t="str">
        <f>'12U BOYS-16 TEAMS'!C31&amp;""</f>
        <v>WOOLLETT FAR RIGHT</v>
      </c>
      <c r="D22" s="26" t="str">
        <f>'12U BOYS-16 TEAMS'!D31&amp;""</f>
        <v>12B10</v>
      </c>
      <c r="E22" s="166" t="str">
        <f>'12U BOYS-16 TEAMS'!E31&amp;""</f>
        <v>C1-LAWPC</v>
      </c>
      <c r="F22" s="26" t="str">
        <f>'12U BOYS-16 TEAMS'!F31&amp;""</f>
        <v>8</v>
      </c>
      <c r="G22" s="26" t="str">
        <f>'12U BOYS-16 TEAMS'!G31&amp;""</f>
        <v>C3-NORTH IRVINE RED</v>
      </c>
      <c r="H22" s="26" t="str">
        <f>'12U BOYS-16 TEAMS'!H31&amp;""</f>
        <v>5</v>
      </c>
      <c r="I22" s="26" t="str">
        <f>'12U BOYS-16 TEAMS'!I31&amp;""</f>
        <v>C bracket C1,C3</v>
      </c>
      <c r="J22" s="26" t="str">
        <f>'12U BOYS-16 TEAMS'!J31&amp;""</f>
        <v>12U_BOYS</v>
      </c>
      <c r="K22" s="26" t="str">
        <f t="shared" si="0"/>
        <v>202603070840</v>
      </c>
    </row>
    <row r="23" spans="1:11">
      <c r="A23" s="67">
        <f>'10U GIRLS COED AU AG-12 TEAMS'!A11</f>
        <v>46088</v>
      </c>
      <c r="B23" s="66">
        <f>'10U GIRLS COED AU AG-12 TEAMS'!B11</f>
        <v>0.36805555555555558</v>
      </c>
      <c r="C23" s="20" t="str">
        <f>'10U GIRLS COED AU AG-12 TEAMS'!C11&amp;""</f>
        <v>EL TORO HS 2</v>
      </c>
      <c r="D23" s="20" t="str">
        <f>'10U GIRLS COED AU AG-12 TEAMS'!D11&amp;""</f>
        <v>10GCauag02</v>
      </c>
      <c r="E23" s="162" t="str">
        <f>'10U GIRLS COED AU AG-12 TEAMS'!E11&amp;""</f>
        <v>B2-CDM BOYS WHITE ag</v>
      </c>
      <c r="F23" s="20" t="str">
        <f>'10U GIRLS COED AU AG-12 TEAMS'!F11&amp;""</f>
        <v>8</v>
      </c>
      <c r="G23" s="20" t="str">
        <f>'10U GIRLS COED AU AG-12 TEAMS'!G11&amp;""</f>
        <v>B3-LAGUNA BEACH ag</v>
      </c>
      <c r="H23" s="20" t="str">
        <f>'10U GIRLS COED AU AG-12 TEAMS'!H11&amp;""</f>
        <v>10</v>
      </c>
      <c r="I23" s="20" t="str">
        <f>'10U GIRLS COED AU AG-12 TEAMS'!I11&amp;""</f>
        <v>B bracket, B2/B3 coed silver 1st-4th</v>
      </c>
      <c r="J23" s="20" t="str">
        <f>'10U GIRLS COED AU AG-12 TEAMS'!J11&amp;""</f>
        <v>10U_GIRLS_COED_GOLD_SILVER</v>
      </c>
      <c r="K23" s="20" t="str">
        <f t="shared" si="0"/>
        <v>202603070850</v>
      </c>
    </row>
    <row r="24" spans="1:11">
      <c r="A24" s="153">
        <f>'10U BOYS &amp; COED PT-7 CUSTOM'!A11</f>
        <v>46088</v>
      </c>
      <c r="B24" s="54">
        <f>'10U BOYS &amp; COED PT-7 CUSTOM'!B11</f>
        <v>0.36805555555555558</v>
      </c>
      <c r="C24" s="21" t="str">
        <f>'10U BOYS &amp; COED PT-7 CUSTOM'!C11&amp;""</f>
        <v>WOOLLETT FAR LEFT</v>
      </c>
      <c r="D24" s="21" t="str">
        <f>'10U BOYS &amp; COED PT-7 CUSTOM'!D11&amp;""</f>
        <v>10BCpt02</v>
      </c>
      <c r="E24" s="164" t="str">
        <f>'10U BOYS &amp; COED PT-7 CUSTOM'!E11&amp;""</f>
        <v>A2-SAN DIEGO DONS BLACK</v>
      </c>
      <c r="F24" s="21" t="str">
        <f>'10U BOYS &amp; COED PT-7 CUSTOM'!F11&amp;""</f>
        <v>15</v>
      </c>
      <c r="G24" s="160" t="str">
        <f>'10U BOYS &amp; COED PT-7 CUSTOM'!G11&amp;""</f>
        <v>A3-VIKING</v>
      </c>
      <c r="H24" s="21" t="str">
        <f>'10U BOYS &amp; COED PT-7 CUSTOM'!H11&amp;""</f>
        <v>7</v>
      </c>
      <c r="I24" s="21" t="str">
        <f>'10U BOYS &amp; COED PT-7 CUSTOM'!I11&amp;""</f>
        <v>A bracket A2,A3 Cpt 1st-3rd</v>
      </c>
      <c r="J24" s="21" t="str">
        <f>'10U BOYS &amp; COED PT-7 CUSTOM'!J11&amp;""</f>
        <v>10U_BOYS_&amp;_COED_PLATINUM</v>
      </c>
      <c r="K24" s="21" t="str">
        <f t="shared" si="0"/>
        <v>202603070850</v>
      </c>
    </row>
    <row r="25" spans="1:11">
      <c r="A25" s="113">
        <f>'16U BOYS SILVER-8 TEAMS'!A11</f>
        <v>46088</v>
      </c>
      <c r="B25" s="112">
        <f>'16U BOYS SILVER-8 TEAMS'!B11</f>
        <v>0.375</v>
      </c>
      <c r="C25" s="27" t="str">
        <f>'16U BOYS SILVER-8 TEAMS'!C11&amp;""</f>
        <v>COSTA MESA HS 1</v>
      </c>
      <c r="D25" s="27" t="str">
        <f>'16U BOYS SILVER-8 TEAMS'!D11&amp;""</f>
        <v>16Bag02</v>
      </c>
      <c r="E25" s="163" t="str">
        <f>'16U BOYS SILVER-8 TEAMS'!E11&amp;""</f>
        <v>B2-TRILOGY WHITE</v>
      </c>
      <c r="F25" s="27" t="str">
        <f>'16U BOYS SILVER-8 TEAMS'!F11&amp;""</f>
        <v>12</v>
      </c>
      <c r="G25" s="27" t="str">
        <f>'16U BOYS SILVER-8 TEAMS'!G11&amp;""</f>
        <v>B3-SAN CLEMENTE BLACK</v>
      </c>
      <c r="H25" s="27" t="str">
        <f>'16U BOYS SILVER-8 TEAMS'!H11&amp;""</f>
        <v>14</v>
      </c>
      <c r="I25" s="27" t="str">
        <f>'16U BOYS SILVER-8 TEAMS'!I11&amp;""</f>
        <v>bracket, B2/B3</v>
      </c>
      <c r="J25" s="27" t="str">
        <f>'16U BOYS SILVER-8 TEAMS'!J11&amp;""</f>
        <v>16U_BOYS_SILVER</v>
      </c>
      <c r="K25" s="27" t="str">
        <f t="shared" si="0"/>
        <v>202603070900</v>
      </c>
    </row>
    <row r="26" spans="1:11">
      <c r="A26" s="127">
        <f>'19U BOYS SILVER-5 TEAMS'!A12</f>
        <v>46088</v>
      </c>
      <c r="B26" s="126">
        <f>'19U BOYS SILVER-5 TEAMS'!B12</f>
        <v>0.375</v>
      </c>
      <c r="C26" s="126" t="str">
        <f>'19U BOYS SILVER-5 TEAMS'!C12&amp;""</f>
        <v>ESTANCIA HS 1</v>
      </c>
      <c r="D26" s="30" t="str">
        <f>'19U BOYS SILVER-5 TEAMS'!D12&amp;""</f>
        <v>19Bag02</v>
      </c>
      <c r="E26" s="30" t="str">
        <f>'19U BOYS SILVER-5 TEAMS'!E12&amp;""</f>
        <v>A1-SET</v>
      </c>
      <c r="F26" s="30" t="str">
        <f>'19U BOYS SILVER-5 TEAMS'!F12&amp;""</f>
        <v>6</v>
      </c>
      <c r="G26" s="30" t="str">
        <f>'19U BOYS SILVER-5 TEAMS'!G12&amp;""</f>
        <v>A3-PASADENA AC ORANGE</v>
      </c>
      <c r="H26" s="30" t="str">
        <f>'19U BOYS SILVER-5 TEAMS'!H12&amp;""</f>
        <v>15</v>
      </c>
      <c r="I26" s="30" t="str">
        <f>'19U BOYS SILVER-5 TEAMS'!I12&amp;""</f>
        <v>A bracket 1/3</v>
      </c>
      <c r="J26" s="30" t="str">
        <f>'19U BOYS SILVER-5 TEAMS'!J12&amp;""</f>
        <v>19U_BOYS_SILVER</v>
      </c>
      <c r="K26" s="30" t="str">
        <f t="shared" si="0"/>
        <v>202603070900</v>
      </c>
    </row>
    <row r="27" spans="1:11">
      <c r="A27" s="142">
        <f>'19U BOYS PLATINUM GOLD-11 TEAMS'!A14</f>
        <v>46088</v>
      </c>
      <c r="B27" s="143">
        <f>'19U BOYS PLATINUM GOLD-11 TEAMS'!B14</f>
        <v>0.375</v>
      </c>
      <c r="C27" s="142" t="str">
        <f>'19U BOYS PLATINUM GOLD-11 TEAMS'!C14&amp;""</f>
        <v>WOOLLETT NEAR LEFT</v>
      </c>
      <c r="D27" s="31" t="str">
        <f>'19U BOYS PLATINUM GOLD-11 TEAMS'!D14&amp;""</f>
        <v>19Bptau03</v>
      </c>
      <c r="E27" s="142" t="str">
        <f>'19U BOYS PLATINUM GOLD-11 TEAMS'!E14&amp;""</f>
        <v>A1-SAND CANYON BLACK pt</v>
      </c>
      <c r="F27" s="31" t="str">
        <f>'19U BOYS PLATINUM GOLD-11 TEAMS'!F14&amp;""</f>
        <v>15</v>
      </c>
      <c r="G27" s="142" t="str">
        <f>'19U BOYS PLATINUM GOLD-11 TEAMS'!G14&amp;""</f>
        <v>A3-TSM B</v>
      </c>
      <c r="H27" s="31" t="str">
        <f>'19U BOYS PLATINUM GOLD-11 TEAMS'!H14&amp;""</f>
        <v>4</v>
      </c>
      <c r="I27" s="31" t="str">
        <f>'19U BOYS PLATINUM GOLD-11 TEAMS'!I14&amp;""</f>
        <v>A bracket A1,A3</v>
      </c>
      <c r="J27" s="31" t="str">
        <f>'19U BOYS PLATINUM GOLD-11 TEAMS'!J14&amp;""</f>
        <v>19U_BOYS_PLATINUM_GOLD</v>
      </c>
      <c r="K27" s="31" t="str">
        <f t="shared" si="0"/>
        <v>202603070900</v>
      </c>
    </row>
    <row r="28" spans="1:11">
      <c r="A28" s="157">
        <f>'16U BOYS PLATINUM GOLD-10 TEAMS'!A12</f>
        <v>46088</v>
      </c>
      <c r="B28" s="158">
        <f>'16U BOYS PLATINUM GOLD-10 TEAMS'!B12</f>
        <v>0.375</v>
      </c>
      <c r="C28" s="158" t="str">
        <f>'16U BOYS PLATINUM GOLD-10 TEAMS'!C12&amp;""</f>
        <v>WOOLLETT NEAR RIGHT</v>
      </c>
      <c r="D28" s="159" t="str">
        <f>'16U BOYS PLATINUM GOLD-10 TEAMS'!D12&amp;""</f>
        <v>16Bptau03</v>
      </c>
      <c r="E28" s="159" t="str">
        <f>'16U BOYS PLATINUM GOLD-10 TEAMS'!E12&amp;""</f>
        <v>C1-VANGUARD SILVER</v>
      </c>
      <c r="F28" s="159" t="str">
        <f>'16U BOYS PLATINUM GOLD-10 TEAMS'!F12&amp;""</f>
        <v>22</v>
      </c>
      <c r="G28" s="159" t="str">
        <f>'16U BOYS PLATINUM GOLD-10 TEAMS'!G12&amp;""</f>
        <v>C4-ELITE</v>
      </c>
      <c r="H28" s="159" t="str">
        <f>'16U BOYS PLATINUM GOLD-10 TEAMS'!H12&amp;""</f>
        <v>5</v>
      </c>
      <c r="I28" s="159" t="str">
        <f>'16U BOYS PLATINUM GOLD-10 TEAMS'!I12&amp;""</f>
        <v>C bracket C1,C4</v>
      </c>
      <c r="J28" s="159" t="str">
        <f>'16U BOYS PLATINUM GOLD-10 TEAMS'!J12&amp;""</f>
        <v>16U_BOYS_PLATINUM_GOLD</v>
      </c>
      <c r="K28" s="159" t="str">
        <f t="shared" si="0"/>
        <v>202603070900</v>
      </c>
    </row>
    <row r="29" spans="1:11">
      <c r="A29" s="77">
        <f>'12U BOYS-16 TEAMS'!A23</f>
        <v>46088</v>
      </c>
      <c r="B29" s="76">
        <f>'12U BOYS-16 TEAMS'!B23</f>
        <v>0.39583333333333398</v>
      </c>
      <c r="C29" s="76" t="str">
        <f>'12U BOYS-16 TEAMS'!C23&amp;""</f>
        <v>COSTA MESA HS 2</v>
      </c>
      <c r="D29" s="26" t="str">
        <f>'12U BOYS-16 TEAMS'!D23&amp;""</f>
        <v>12B03</v>
      </c>
      <c r="E29" s="26" t="str">
        <f>'12U BOYS-16 TEAMS'!E23&amp;""</f>
        <v>E1-CDM</v>
      </c>
      <c r="F29" s="26" t="str">
        <f>'12U BOYS-16 TEAMS'!F23&amp;""</f>
        <v>7</v>
      </c>
      <c r="G29" s="26" t="str">
        <f>'12U BOYS-16 TEAMS'!G23&amp;""</f>
        <v>E3-ORANGE COUNTY WPC B</v>
      </c>
      <c r="H29" s="26" t="str">
        <f>'12U BOYS-16 TEAMS'!H23&amp;""</f>
        <v>11</v>
      </c>
      <c r="I29" s="26" t="str">
        <f>'12U BOYS-16 TEAMS'!I23&amp;""</f>
        <v>E bracket E1,E3 silver 1st-3rd</v>
      </c>
      <c r="J29" s="26" t="str">
        <f>'12U BOYS-16 TEAMS'!J23&amp;""</f>
        <v>12U_BOYS</v>
      </c>
      <c r="K29" s="26" t="str">
        <f t="shared" si="0"/>
        <v>202603070930</v>
      </c>
    </row>
    <row r="30" spans="1:11">
      <c r="A30" s="88">
        <f>'14U BOYS SILVER-16 TEAMS'!A13</f>
        <v>46088</v>
      </c>
      <c r="B30" s="87">
        <f>'14U BOYS SILVER-16 TEAMS'!B13</f>
        <v>0.39583333333333398</v>
      </c>
      <c r="C30" s="87" t="str">
        <f>'14U BOYS SILVER-16 TEAMS'!C13&amp;""</f>
        <v>EL TORO HS 1</v>
      </c>
      <c r="D30" s="36" t="str">
        <f>'14U BOYS SILVER-16 TEAMS'!D13&amp;""</f>
        <v>14Bag09</v>
      </c>
      <c r="E30" s="36" t="str">
        <f>'14U BOYS SILVER-16 TEAMS'!E13&amp;""</f>
        <v>D1-TITANS</v>
      </c>
      <c r="F30" s="36" t="str">
        <f>'14U BOYS SILVER-16 TEAMS'!F13&amp;""</f>
        <v>1</v>
      </c>
      <c r="G30" s="36" t="str">
        <f>'14U BOYS SILVER-16 TEAMS'!G13&amp;""</f>
        <v>D4-NEWPORT BEACH SILVER</v>
      </c>
      <c r="H30" s="36" t="str">
        <f>'14U BOYS SILVER-16 TEAMS'!H13&amp;""</f>
        <v>18</v>
      </c>
      <c r="I30" s="36" t="str">
        <f>'14U BOYS SILVER-16 TEAMS'!I13&amp;""</f>
        <v>W/L D1/D4</v>
      </c>
      <c r="J30" s="36" t="str">
        <f>'14U BOYS SILVER-16 TEAMS'!J13&amp;""</f>
        <v>14U_BOYS_SILVER</v>
      </c>
      <c r="K30" s="36" t="str">
        <f t="shared" si="0"/>
        <v>202603070930</v>
      </c>
    </row>
    <row r="31" spans="1:11">
      <c r="A31" s="88">
        <f>'14U BOYS SILVER-16 TEAMS'!A12</f>
        <v>46088</v>
      </c>
      <c r="B31" s="87">
        <f>'14U BOYS SILVER-16 TEAMS'!B12</f>
        <v>0.39583333333333398</v>
      </c>
      <c r="C31" s="87" t="str">
        <f>'14U BOYS SILVER-16 TEAMS'!C12&amp;""</f>
        <v>ESTANCIA HS 2</v>
      </c>
      <c r="D31" s="36" t="str">
        <f>'14U BOYS SILVER-16 TEAMS'!D12&amp;""</f>
        <v>14Bag03</v>
      </c>
      <c r="E31" s="36" t="str">
        <f>'14U BOYS SILVER-16 TEAMS'!E12&amp;""</f>
        <v>C2-GOLD COAST</v>
      </c>
      <c r="F31" s="36" t="str">
        <f>'14U BOYS SILVER-16 TEAMS'!F12&amp;""</f>
        <v>4</v>
      </c>
      <c r="G31" s="36" t="str">
        <f>'14U BOYS SILVER-16 TEAMS'!G12&amp;""</f>
        <v>C3-PALOS VERDES B</v>
      </c>
      <c r="H31" s="36" t="str">
        <f>'14U BOYS SILVER-16 TEAMS'!H12&amp;""</f>
        <v>7</v>
      </c>
      <c r="I31" s="36" t="str">
        <f>'14U BOYS SILVER-16 TEAMS'!I12&amp;""</f>
        <v>W/L C2/C3</v>
      </c>
      <c r="J31" s="36" t="str">
        <f>'14U BOYS SILVER-16 TEAMS'!J12&amp;""</f>
        <v>14U_BOYS_SILVER</v>
      </c>
      <c r="K31" s="36" t="str">
        <f t="shared" si="0"/>
        <v>202603070930</v>
      </c>
    </row>
    <row r="32" spans="1:11">
      <c r="A32" s="86">
        <f>'12U COED GIRLS-9 TEAMS CUSTOM'!A15</f>
        <v>46088</v>
      </c>
      <c r="B32" s="85">
        <f>'12U COED GIRLS-9 TEAMS CUSTOM'!B15</f>
        <v>0.39583333333333398</v>
      </c>
      <c r="C32" s="24" t="str">
        <f>'12U COED GIRLS-9 TEAMS CUSTOM'!C15&amp;""</f>
        <v>LAGUNA HILLS HS</v>
      </c>
      <c r="D32" s="24" t="str">
        <f>'12U COED GIRLS-9 TEAMS CUSTOM'!D15&amp;""</f>
        <v>12GC02</v>
      </c>
      <c r="E32" s="24" t="str">
        <f>'12U COED GIRLS-9 TEAMS CUSTOM'!E15&amp;""</f>
        <v>B1-ARROYO GRANDE</v>
      </c>
      <c r="F32" s="24" t="str">
        <f>'12U COED GIRLS-9 TEAMS CUSTOM'!F15&amp;""</f>
        <v>4</v>
      </c>
      <c r="G32" s="24" t="str">
        <f>'12U COED GIRLS-9 TEAMS CUSTOM'!G15&amp;""</f>
        <v>B3-VIKING</v>
      </c>
      <c r="H32" s="24" t="str">
        <f>'12U COED GIRLS-9 TEAMS CUSTOM'!H15&amp;""</f>
        <v>8</v>
      </c>
      <c r="I32" s="24" t="str">
        <f>'12U COED GIRLS-9 TEAMS CUSTOM'!I15&amp;""</f>
        <v>B bracket B1,B3</v>
      </c>
      <c r="J32" s="24" t="str">
        <f>'12U COED GIRLS-9 TEAMS CUSTOM'!J15&amp;""</f>
        <v>12U_COED_GIRLS</v>
      </c>
      <c r="K32" s="24" t="str">
        <f t="shared" si="0"/>
        <v>202603070930</v>
      </c>
    </row>
    <row r="33" spans="1:11">
      <c r="A33" s="91">
        <f>'14U BOYS GOLD-16 TEAMS'!A12</f>
        <v>46088</v>
      </c>
      <c r="B33" s="35">
        <f>'14U BOYS GOLD-16 TEAMS'!B12</f>
        <v>0.39583333333333398</v>
      </c>
      <c r="C33" s="35" t="str">
        <f>'14U BOYS GOLD-16 TEAMS'!C12&amp;""</f>
        <v>SAN JUAN HILLS HS</v>
      </c>
      <c r="D33" s="33" t="str">
        <f>'14U BOYS GOLD-16 TEAMS'!D12&amp;""</f>
        <v>14Bau03</v>
      </c>
      <c r="E33" s="33" t="str">
        <f>'14U BOYS GOLD-16 TEAMS'!E12&amp;""</f>
        <v>C2-VANGUARD SILVER</v>
      </c>
      <c r="F33" s="33" t="str">
        <f>'14U BOYS GOLD-16 TEAMS'!F12&amp;""</f>
        <v>10</v>
      </c>
      <c r="G33" s="33" t="str">
        <f>'14U BOYS GOLD-16 TEAMS'!G12&amp;""</f>
        <v>C3-NEWPORT BEACH WHITE</v>
      </c>
      <c r="H33" s="33" t="str">
        <f>'14U BOYS GOLD-16 TEAMS'!H12&amp;""</f>
        <v>6</v>
      </c>
      <c r="I33" s="33" t="str">
        <f>'14U BOYS GOLD-16 TEAMS'!I12&amp;""</f>
        <v>W/L C2/C3</v>
      </c>
      <c r="J33" s="33" t="str">
        <f>'14U BOYS GOLD-16 TEAMS'!J12&amp;""</f>
        <v>14U_BOYS_GOLD</v>
      </c>
      <c r="K33" s="33" t="str">
        <f t="shared" si="0"/>
        <v>202603070930</v>
      </c>
    </row>
    <row r="34" spans="1:11">
      <c r="A34" s="94">
        <f>'14U BOYS PLATINUM-10 TEAMS'!A12</f>
        <v>46088</v>
      </c>
      <c r="B34" s="93">
        <f>'14U BOYS PLATINUM-10 TEAMS'!B12</f>
        <v>0.39583333333333398</v>
      </c>
      <c r="C34" s="93" t="str">
        <f>'14U BOYS PLATINUM-10 TEAMS'!C12&amp;""</f>
        <v>WESTMINSTER HS</v>
      </c>
      <c r="D34" s="32" t="str">
        <f>'14U BOYS PLATINUM-10 TEAMS'!D12&amp;""</f>
        <v>14Bpt03</v>
      </c>
      <c r="E34" s="32" t="str">
        <f>'14U BOYS PLATINUM-10 TEAMS'!E12&amp;""</f>
        <v>B1-NEWPORT BEACH BLUE</v>
      </c>
      <c r="F34" s="32" t="str">
        <f>'14U BOYS PLATINUM-10 TEAMS'!F12&amp;""</f>
        <v>13</v>
      </c>
      <c r="G34" s="32" t="str">
        <f>'14U BOYS PLATINUM-10 TEAMS'!G12&amp;""</f>
        <v>B3-PATRIOT RED</v>
      </c>
      <c r="H34" s="32" t="str">
        <f>'14U BOYS PLATINUM-10 TEAMS'!H12&amp;""</f>
        <v>3</v>
      </c>
      <c r="I34" s="32" t="str">
        <f>'14U BOYS PLATINUM-10 TEAMS'!I12&amp;""</f>
        <v>B bracket B1,B3</v>
      </c>
      <c r="J34" s="32" t="str">
        <f>'14U BOYS PLATINUM-10 TEAMS'!J12&amp;""</f>
        <v>14U_BOYS_PLATINUM</v>
      </c>
      <c r="K34" s="32" t="str">
        <f t="shared" si="0"/>
        <v>202603070930</v>
      </c>
    </row>
    <row r="35" spans="1:11">
      <c r="A35" s="77">
        <f>'12U BOYS-16 TEAMS'!A32</f>
        <v>46088</v>
      </c>
      <c r="B35" s="76">
        <f>'12U BOYS-16 TEAMS'!B32</f>
        <v>0.39583333333333398</v>
      </c>
      <c r="C35" s="76" t="str">
        <f>'12U BOYS-16 TEAMS'!C32&amp;""</f>
        <v>WOOLLETT FAR RIGHT</v>
      </c>
      <c r="D35" s="26" t="str">
        <f>'12U BOYS-16 TEAMS'!D32&amp;""</f>
        <v>12B11</v>
      </c>
      <c r="E35" s="26" t="str">
        <f>'12U BOYS-16 TEAMS'!E32&amp;""</f>
        <v>D1-PEGASUS WPA BLUE</v>
      </c>
      <c r="F35" s="26" t="str">
        <f>'12U BOYS-16 TEAMS'!F32&amp;""</f>
        <v>11</v>
      </c>
      <c r="G35" s="26" t="str">
        <f>'12U BOYS-16 TEAMS'!G32&amp;""</f>
        <v>D4-NEWPORT BEACH 10 BLUE</v>
      </c>
      <c r="H35" s="26" t="str">
        <f>'12U BOYS-16 TEAMS'!H32&amp;""</f>
        <v>7</v>
      </c>
      <c r="I35" s="26" t="str">
        <f>'12U BOYS-16 TEAMS'!I32&amp;""</f>
        <v>W/L D1/D4</v>
      </c>
      <c r="J35" s="26" t="str">
        <f>'12U BOYS-16 TEAMS'!J32&amp;""</f>
        <v>12U_BOYS</v>
      </c>
      <c r="K35" s="26" t="str">
        <f t="shared" si="0"/>
        <v>202603070930</v>
      </c>
    </row>
    <row r="36" spans="1:11">
      <c r="A36" s="67">
        <f>'10U GIRLS COED AU AG-12 TEAMS'!A12</f>
        <v>46088</v>
      </c>
      <c r="B36" s="66">
        <f>'10U GIRLS COED AU AG-12 TEAMS'!B12</f>
        <v>0.40277777777777779</v>
      </c>
      <c r="C36" s="20" t="str">
        <f>'10U GIRLS COED AU AG-12 TEAMS'!C12&amp;""</f>
        <v>EL TORO HS 2</v>
      </c>
      <c r="D36" s="20" t="str">
        <f>'10U GIRLS COED AU AG-12 TEAMS'!D12&amp;""</f>
        <v>10GCauag03</v>
      </c>
      <c r="E36" s="20" t="str">
        <f>'10U GIRLS COED AU AG-12 TEAMS'!E12&amp;""</f>
        <v>A1-TROJAN SOUTH au</v>
      </c>
      <c r="F36" s="20" t="str">
        <f>'10U GIRLS COED AU AG-12 TEAMS'!F12&amp;""</f>
        <v>3</v>
      </c>
      <c r="G36" s="20" t="str">
        <f>'10U GIRLS COED AU AG-12 TEAMS'!G12&amp;""</f>
        <v>A4-ORANGE COUNTY WPC B au</v>
      </c>
      <c r="H36" s="20" t="str">
        <f>'10U GIRLS COED AU AG-12 TEAMS'!H12&amp;""</f>
        <v>14</v>
      </c>
      <c r="I36" s="20" t="str">
        <f>'10U GIRLS COED AU AG-12 TEAMS'!I12&amp;""</f>
        <v>A bracket, A1/A4 coed gold 1st-4th</v>
      </c>
      <c r="J36" s="20" t="str">
        <f>'10U GIRLS COED AU AG-12 TEAMS'!J12&amp;""</f>
        <v>10U_GIRLS_COED_GOLD_SILVER</v>
      </c>
      <c r="K36" s="20" t="str">
        <f t="shared" si="0"/>
        <v>202603070940</v>
      </c>
    </row>
    <row r="37" spans="1:11">
      <c r="A37" s="67">
        <f>'10U GIRLS COED AU AG-12 TEAMS'!A13</f>
        <v>46088</v>
      </c>
      <c r="B37" s="66">
        <f>'10U GIRLS COED AU AG-12 TEAMS'!B13</f>
        <v>0.40277777777777779</v>
      </c>
      <c r="C37" s="20" t="str">
        <f>'10U GIRLS COED AU AG-12 TEAMS'!C13&amp;""</f>
        <v>WOOLLETT FAR LEFT</v>
      </c>
      <c r="D37" s="20" t="str">
        <f>'10U GIRLS COED AU AG-12 TEAMS'!D13&amp;""</f>
        <v>10GCauag05</v>
      </c>
      <c r="E37" s="20" t="str">
        <f>'10U GIRLS COED AU AG-12 TEAMS'!E13&amp;""</f>
        <v>C1-DEL MAR GIRLS BLUE</v>
      </c>
      <c r="F37" s="20" t="str">
        <f>'10U GIRLS COED AU AG-12 TEAMS'!F13&amp;""</f>
        <v>20</v>
      </c>
      <c r="G37" s="20" t="str">
        <f>'10U GIRLS COED AU AG-12 TEAMS'!G13&amp;""</f>
        <v>C4-NEWPORT BEACH GIRLS WHITE</v>
      </c>
      <c r="H37" s="20" t="str">
        <f>'10U GIRLS COED AU AG-12 TEAMS'!H13&amp;""</f>
        <v>0</v>
      </c>
      <c r="I37" s="20" t="str">
        <f>'10U GIRLS COED AU AG-12 TEAMS'!I13&amp;""</f>
        <v>C bracket  C1,C4 Girls 1st-4th</v>
      </c>
      <c r="J37" s="20" t="str">
        <f>'10U GIRLS COED AU AG-12 TEAMS'!J13&amp;""</f>
        <v>10U_GIRLS_COED_GOLD_SILVER</v>
      </c>
      <c r="K37" s="20" t="str">
        <f t="shared" si="0"/>
        <v>202603070940</v>
      </c>
    </row>
    <row r="38" spans="1:11">
      <c r="A38" s="113">
        <f>'16U BOYS SILVER-8 TEAMS'!A12</f>
        <v>46088</v>
      </c>
      <c r="B38" s="112">
        <f>'16U BOYS SILVER-8 TEAMS'!B12</f>
        <v>0.41666666666666702</v>
      </c>
      <c r="C38" s="27" t="str">
        <f>'16U BOYS SILVER-8 TEAMS'!C12&amp;""</f>
        <v>COSTA MESA HS 1</v>
      </c>
      <c r="D38" s="27" t="str">
        <f>'16U BOYS SILVER-8 TEAMS'!D12&amp;""</f>
        <v>16Bag03</v>
      </c>
      <c r="E38" s="27" t="str">
        <f>'16U BOYS SILVER-8 TEAMS'!E12&amp;""</f>
        <v>A2-CMAC</v>
      </c>
      <c r="F38" s="27" t="str">
        <f>'16U BOYS SILVER-8 TEAMS'!F12&amp;""</f>
        <v>10</v>
      </c>
      <c r="G38" s="27" t="str">
        <f>'16U BOYS SILVER-8 TEAMS'!G12&amp;""</f>
        <v>A3-PALOS VERDES BLUE</v>
      </c>
      <c r="H38" s="27" t="str">
        <f>'16U BOYS SILVER-8 TEAMS'!H12&amp;""</f>
        <v>6</v>
      </c>
      <c r="I38" s="27" t="str">
        <f>'16U BOYS SILVER-8 TEAMS'!I12&amp;""</f>
        <v>bracket, A2/A3</v>
      </c>
      <c r="J38" s="27" t="str">
        <f>'16U BOYS SILVER-8 TEAMS'!J12&amp;""</f>
        <v>16U_BOYS_SILVER</v>
      </c>
      <c r="K38" s="27" t="str">
        <f t="shared" si="0"/>
        <v>202603071000</v>
      </c>
    </row>
    <row r="39" spans="1:11">
      <c r="A39" s="142">
        <f>'19U BOYS PLATINUM GOLD-11 TEAMS'!A16</f>
        <v>46088</v>
      </c>
      <c r="B39" s="143">
        <f>'19U BOYS PLATINUM GOLD-11 TEAMS'!B16</f>
        <v>0.41666666666666702</v>
      </c>
      <c r="C39" s="142" t="str">
        <f>'19U BOYS PLATINUM GOLD-11 TEAMS'!C16&amp;""</f>
        <v>ESTANCIA HS 1</v>
      </c>
      <c r="D39" s="31" t="str">
        <f>'19U BOYS PLATINUM GOLD-11 TEAMS'!D16&amp;""</f>
        <v>19Bptau05</v>
      </c>
      <c r="E39" s="142" t="str">
        <f>'19U BOYS PLATINUM GOLD-11 TEAMS'!E16&amp;""</f>
        <v>B2-ALAMEDA</v>
      </c>
      <c r="F39" s="31" t="str">
        <f>'19U BOYS PLATINUM GOLD-11 TEAMS'!F16&amp;""</f>
        <v>10</v>
      </c>
      <c r="G39" s="142" t="str">
        <f>'19U BOYS PLATINUM GOLD-11 TEAMS'!G16&amp;""</f>
        <v>B3-HIELAND</v>
      </c>
      <c r="H39" s="31" t="str">
        <f>'19U BOYS PLATINUM GOLD-11 TEAMS'!H16&amp;""</f>
        <v>7</v>
      </c>
      <c r="I39" s="31" t="str">
        <f>'19U BOYS PLATINUM GOLD-11 TEAMS'!I16&amp;""</f>
        <v>W/L B2/B3</v>
      </c>
      <c r="J39" s="31" t="str">
        <f>'19U BOYS PLATINUM GOLD-11 TEAMS'!J16&amp;""</f>
        <v>19U_BOYS_PLATINUM_GOLD</v>
      </c>
      <c r="K39" s="31" t="str">
        <f t="shared" si="0"/>
        <v>202603071000</v>
      </c>
    </row>
    <row r="40" spans="1:11">
      <c r="A40" s="142">
        <f>'19U BOYS PLATINUM GOLD-11 TEAMS'!A15</f>
        <v>46088</v>
      </c>
      <c r="B40" s="143">
        <f>'19U BOYS PLATINUM GOLD-11 TEAMS'!B15</f>
        <v>0.41666666666666702</v>
      </c>
      <c r="C40" s="142" t="str">
        <f>'19U BOYS PLATINUM GOLD-11 TEAMS'!C15&amp;""</f>
        <v>WOOLLETT NEAR LEFT</v>
      </c>
      <c r="D40" s="31" t="str">
        <f>'19U BOYS PLATINUM GOLD-11 TEAMS'!D15&amp;""</f>
        <v>19Bptau04</v>
      </c>
      <c r="E40" s="142" t="str">
        <f>'19U BOYS PLATINUM GOLD-11 TEAMS'!E15&amp;""</f>
        <v>B1-PEAK POLO LIGHTNING pt</v>
      </c>
      <c r="F40" s="31" t="str">
        <f>'19U BOYS PLATINUM GOLD-11 TEAMS'!F15&amp;""</f>
        <v>19</v>
      </c>
      <c r="G40" s="142" t="str">
        <f>'19U BOYS PLATINUM GOLD-11 TEAMS'!G15&amp;""</f>
        <v>B4-SAND CANYON RED</v>
      </c>
      <c r="H40" s="31" t="str">
        <f>'19U BOYS PLATINUM GOLD-11 TEAMS'!H15&amp;""</f>
        <v>4</v>
      </c>
      <c r="I40" s="31" t="str">
        <f>'19U BOYS PLATINUM GOLD-11 TEAMS'!I15&amp;""</f>
        <v>W/L B1/B4</v>
      </c>
      <c r="J40" s="31" t="str">
        <f>'19U BOYS PLATINUM GOLD-11 TEAMS'!J15&amp;""</f>
        <v>19U_BOYS_PLATINUM_GOLD</v>
      </c>
      <c r="K40" s="31" t="str">
        <f t="shared" si="0"/>
        <v>202603071000</v>
      </c>
    </row>
    <row r="41" spans="1:11">
      <c r="A41" s="157">
        <f>'16U BOYS PLATINUM GOLD-10 TEAMS'!A13</f>
        <v>46088</v>
      </c>
      <c r="B41" s="158">
        <f>'16U BOYS PLATINUM GOLD-10 TEAMS'!B13</f>
        <v>0.41666666666666702</v>
      </c>
      <c r="C41" s="158" t="str">
        <f>'16U BOYS PLATINUM GOLD-10 TEAMS'!C13&amp;""</f>
        <v>WOOLLETT NEAR RIGHT</v>
      </c>
      <c r="D41" s="159" t="str">
        <f>'16U BOYS PLATINUM GOLD-10 TEAMS'!D13&amp;""</f>
        <v>16Bptau04</v>
      </c>
      <c r="E41" s="159" t="str">
        <f>'16U BOYS PLATINUM GOLD-10 TEAMS'!E13&amp;""</f>
        <v>C2-TRILOGY BLACK</v>
      </c>
      <c r="F41" s="159" t="str">
        <f>'16U BOYS PLATINUM GOLD-10 TEAMS'!F13&amp;""</f>
        <v>9</v>
      </c>
      <c r="G41" s="159" t="str">
        <f>'16U BOYS PLATINUM GOLD-10 TEAMS'!G13&amp;""</f>
        <v>C3-BREA OLINDA</v>
      </c>
      <c r="H41" s="159" t="str">
        <f>'16U BOYS PLATINUM GOLD-10 TEAMS'!H13&amp;""</f>
        <v>11</v>
      </c>
      <c r="I41" s="159" t="str">
        <f>'16U BOYS PLATINUM GOLD-10 TEAMS'!I13&amp;""</f>
        <v>C bracket C2,C3</v>
      </c>
      <c r="J41" s="159" t="str">
        <f>'16U BOYS PLATINUM GOLD-10 TEAMS'!J13&amp;""</f>
        <v>16U_BOYS_PLATINUM_GOLD</v>
      </c>
      <c r="K41" s="159" t="str">
        <f t="shared" si="0"/>
        <v>202603071000</v>
      </c>
    </row>
    <row r="42" spans="1:11">
      <c r="A42" s="77">
        <f>'12U BOYS-16 TEAMS'!A24</f>
        <v>46088</v>
      </c>
      <c r="B42" s="76">
        <f>'12U BOYS-16 TEAMS'!B24</f>
        <v>0.43055555555555602</v>
      </c>
      <c r="C42" s="76" t="str">
        <f>'12U BOYS-16 TEAMS'!C24&amp;""</f>
        <v>COSTA MESA HS 2</v>
      </c>
      <c r="D42" s="26" t="str">
        <f>'12U BOYS-16 TEAMS'!D24&amp;""</f>
        <v>12B04</v>
      </c>
      <c r="E42" s="26" t="str">
        <f>'12U BOYS-16 TEAMS'!E24&amp;""</f>
        <v>A2-ORANGE COUNTY WPC A</v>
      </c>
      <c r="F42" s="26" t="str">
        <f>'12U BOYS-16 TEAMS'!F24&amp;""</f>
        <v>12</v>
      </c>
      <c r="G42" s="26" t="str">
        <f>'12U BOYS-16 TEAMS'!G24&amp;""</f>
        <v>A3-CMAC</v>
      </c>
      <c r="H42" s="26" t="str">
        <f>'12U BOYS-16 TEAMS'!H24&amp;""</f>
        <v>5</v>
      </c>
      <c r="I42" s="26" t="str">
        <f>'12U BOYS-16 TEAMS'!I24&amp;""</f>
        <v>A bracket A2,A3 platinum 1st-3rd</v>
      </c>
      <c r="J42" s="26" t="str">
        <f>'12U BOYS-16 TEAMS'!J24&amp;""</f>
        <v>12U_BOYS</v>
      </c>
      <c r="K42" s="26" t="str">
        <f t="shared" si="0"/>
        <v>202603071020</v>
      </c>
    </row>
    <row r="43" spans="1:11">
      <c r="A43" s="88">
        <f>'14U BOYS SILVER-16 TEAMS'!A14</f>
        <v>46088</v>
      </c>
      <c r="B43" s="87">
        <f>'14U BOYS SILVER-16 TEAMS'!B14</f>
        <v>0.43055555555555602</v>
      </c>
      <c r="C43" s="87" t="str">
        <f>'14U BOYS SILVER-16 TEAMS'!C14&amp;""</f>
        <v>EL TORO HS 1</v>
      </c>
      <c r="D43" s="36" t="str">
        <f>'14U BOYS SILVER-16 TEAMS'!D14&amp;""</f>
        <v>14Bag10</v>
      </c>
      <c r="E43" s="36" t="str">
        <f>'14U BOYS SILVER-16 TEAMS'!E14&amp;""</f>
        <v>D2-SET</v>
      </c>
      <c r="F43" s="36" t="str">
        <f>'14U BOYS SILVER-16 TEAMS'!F14&amp;""</f>
        <v>5</v>
      </c>
      <c r="G43" s="36" t="str">
        <f>'14U BOYS SILVER-16 TEAMS'!G14&amp;""</f>
        <v>D3-ORWP B</v>
      </c>
      <c r="H43" s="36" t="str">
        <f>'14U BOYS SILVER-16 TEAMS'!H14&amp;""</f>
        <v>19</v>
      </c>
      <c r="I43" s="36" t="str">
        <f>'14U BOYS SILVER-16 TEAMS'!I14&amp;""</f>
        <v>W/L D2/D3</v>
      </c>
      <c r="J43" s="36" t="str">
        <f>'14U BOYS SILVER-16 TEAMS'!J14&amp;""</f>
        <v>14U_BOYS_SILVER</v>
      </c>
      <c r="K43" s="36" t="str">
        <f t="shared" si="0"/>
        <v>202603071020</v>
      </c>
    </row>
    <row r="44" spans="1:11">
      <c r="A44" s="88">
        <f>'14U BOYS SILVER-16 TEAMS'!A15</f>
        <v>46088</v>
      </c>
      <c r="B44" s="87">
        <f>'14U BOYS SILVER-16 TEAMS'!B15</f>
        <v>0.43055555555555602</v>
      </c>
      <c r="C44" s="87" t="str">
        <f>'14U BOYS SILVER-16 TEAMS'!C15&amp;""</f>
        <v>ESTANCIA HS 2</v>
      </c>
      <c r="D44" s="36" t="str">
        <f>'14U BOYS SILVER-16 TEAMS'!D15&amp;""</f>
        <v>14Bag04</v>
      </c>
      <c r="E44" s="36" t="str">
        <f>'14U BOYS SILVER-16 TEAMS'!E15&amp;""</f>
        <v>C1-TSM</v>
      </c>
      <c r="F44" s="90" t="str">
        <f>'14U BOYS SILVER-16 TEAMS'!F15&amp;""</f>
        <v>2</v>
      </c>
      <c r="G44" s="36" t="str">
        <f>'14U BOYS SILVER-16 TEAMS'!G15&amp;""</f>
        <v>C4-NORTH IRVINE 12 BLACK</v>
      </c>
      <c r="H44" s="90" t="str">
        <f>'14U BOYS SILVER-16 TEAMS'!H15&amp;""</f>
        <v>12</v>
      </c>
      <c r="I44" s="36" t="str">
        <f>'14U BOYS SILVER-16 TEAMS'!I15&amp;""</f>
        <v>W/L C1/C4</v>
      </c>
      <c r="J44" s="36" t="str">
        <f>'14U BOYS SILVER-16 TEAMS'!J15&amp;""</f>
        <v>14U_BOYS_SILVER</v>
      </c>
      <c r="K44" s="36" t="str">
        <f t="shared" si="0"/>
        <v>202603071020</v>
      </c>
    </row>
    <row r="45" spans="1:11">
      <c r="A45" s="86">
        <f>'12U COED GIRLS-9 TEAMS CUSTOM'!A16</f>
        <v>46088</v>
      </c>
      <c r="B45" s="85">
        <f>'12U COED GIRLS-9 TEAMS CUSTOM'!B16</f>
        <v>0.43055555555555602</v>
      </c>
      <c r="C45" s="24" t="str">
        <f>'12U COED GIRLS-9 TEAMS CUSTOM'!C16&amp;""</f>
        <v>LAGUNA HILLS HS</v>
      </c>
      <c r="D45" s="24" t="str">
        <f>'12U COED GIRLS-9 TEAMS CUSTOM'!D16&amp;""</f>
        <v>12GC03</v>
      </c>
      <c r="E45" s="85" t="str">
        <f>'12U COED GIRLS-9 TEAMS CUSTOM'!E16&amp;""</f>
        <v>C1-INNIS ARDEN</v>
      </c>
      <c r="F45" s="24" t="str">
        <f>'12U COED GIRLS-9 TEAMS CUSTOM'!F16&amp;""</f>
        <v>15</v>
      </c>
      <c r="G45" s="85" t="str">
        <f>'12U COED GIRLS-9 TEAMS CUSTOM'!G16&amp;""</f>
        <v>C3-LAGUNA BEACH GIRLS</v>
      </c>
      <c r="H45" s="24" t="str">
        <f>'12U COED GIRLS-9 TEAMS CUSTOM'!H16&amp;""</f>
        <v>5</v>
      </c>
      <c r="I45" s="24" t="str">
        <f>'12U COED GIRLS-9 TEAMS CUSTOM'!I16&amp;""</f>
        <v>C bracket C1,C3</v>
      </c>
      <c r="J45" s="24" t="str">
        <f>'12U COED GIRLS-9 TEAMS CUSTOM'!J16&amp;""</f>
        <v>12U_COED_GIRLS</v>
      </c>
      <c r="K45" s="24" t="str">
        <f t="shared" si="0"/>
        <v>202603071020</v>
      </c>
    </row>
    <row r="46" spans="1:11">
      <c r="A46" s="91">
        <f>'14U BOYS GOLD-16 TEAMS'!A13</f>
        <v>46088</v>
      </c>
      <c r="B46" s="35">
        <f>'14U BOYS GOLD-16 TEAMS'!B13</f>
        <v>0.43055555555555602</v>
      </c>
      <c r="C46" s="35" t="str">
        <f>'14U BOYS GOLD-16 TEAMS'!C13&amp;""</f>
        <v>SAN JUAN HILLS HS</v>
      </c>
      <c r="D46" s="33" t="str">
        <f>'14U BOYS GOLD-16 TEAMS'!D13&amp;""</f>
        <v>14Bau04</v>
      </c>
      <c r="E46" s="33" t="str">
        <f>'14U BOYS GOLD-16 TEAMS'!E13&amp;""</f>
        <v>C1-HIELAND</v>
      </c>
      <c r="F46" s="92" t="str">
        <f>'14U BOYS GOLD-16 TEAMS'!F13&amp;""</f>
        <v>7</v>
      </c>
      <c r="G46" s="33" t="str">
        <f>'14U BOYS GOLD-16 TEAMS'!G13&amp;""</f>
        <v>C4-SAN DIEGO DONS 12 RED</v>
      </c>
      <c r="H46" s="92" t="str">
        <f>'14U BOYS GOLD-16 TEAMS'!H13&amp;""</f>
        <v>5</v>
      </c>
      <c r="I46" s="33" t="str">
        <f>'14U BOYS GOLD-16 TEAMS'!I13&amp;""</f>
        <v>W/L C1/C4</v>
      </c>
      <c r="J46" s="33" t="str">
        <f>'14U BOYS GOLD-16 TEAMS'!J13&amp;""</f>
        <v>14U_BOYS_GOLD</v>
      </c>
      <c r="K46" s="33" t="str">
        <f t="shared" si="0"/>
        <v>202603071020</v>
      </c>
    </row>
    <row r="47" spans="1:11">
      <c r="A47" s="94">
        <f>'14U BOYS PLATINUM-10 TEAMS'!A13</f>
        <v>46088</v>
      </c>
      <c r="B47" s="93">
        <f>'14U BOYS PLATINUM-10 TEAMS'!B13</f>
        <v>0.43055555555555602</v>
      </c>
      <c r="C47" s="93" t="str">
        <f>'14U BOYS PLATINUM-10 TEAMS'!C13&amp;""</f>
        <v>WESTMINSTER HS</v>
      </c>
      <c r="D47" s="32" t="str">
        <f>'14U BOYS PLATINUM-10 TEAMS'!D13&amp;""</f>
        <v>14Bpt04</v>
      </c>
      <c r="E47" s="155" t="str">
        <f>'14U BOYS PLATINUM-10 TEAMS'!E13&amp;""</f>
        <v>C1-SAN DIEGO DONS</v>
      </c>
      <c r="F47" s="32" t="str">
        <f>'14U BOYS PLATINUM-10 TEAMS'!F13&amp;""</f>
        <v>7</v>
      </c>
      <c r="G47" s="32" t="str">
        <f>'14U BOYS PLATINUM-10 TEAMS'!G13&amp;""</f>
        <v>C2-VANGUARD BLUE</v>
      </c>
      <c r="H47" s="32" t="str">
        <f>'14U BOYS PLATINUM-10 TEAMS'!H13&amp;""</f>
        <v>8</v>
      </c>
      <c r="I47" s="32" t="str">
        <f>'14U BOYS PLATINUM-10 TEAMS'!I13&amp;""</f>
        <v>C bracket C1,C2</v>
      </c>
      <c r="J47" s="32" t="str">
        <f>'14U BOYS PLATINUM-10 TEAMS'!J13&amp;""</f>
        <v>14U_BOYS_PLATINUM</v>
      </c>
      <c r="K47" s="32" t="str">
        <f t="shared" si="0"/>
        <v>202603071020</v>
      </c>
    </row>
    <row r="48" spans="1:11">
      <c r="A48" s="77">
        <f>'12U BOYS-16 TEAMS'!A33</f>
        <v>46088</v>
      </c>
      <c r="B48" s="76">
        <f>'12U BOYS-16 TEAMS'!B33</f>
        <v>0.43055555555555602</v>
      </c>
      <c r="C48" s="76" t="str">
        <f>'12U BOYS-16 TEAMS'!C33&amp;""</f>
        <v>WOOLLETT FAR RIGHT</v>
      </c>
      <c r="D48" s="26" t="str">
        <f>'12U BOYS-16 TEAMS'!D33&amp;""</f>
        <v>12B12</v>
      </c>
      <c r="E48" s="26" t="str">
        <f>'12U BOYS-16 TEAMS'!E33&amp;""</f>
        <v>D2-VANGUARD SILVER</v>
      </c>
      <c r="F48" s="78" t="str">
        <f>'12U BOYS-16 TEAMS'!F33&amp;""</f>
        <v>8</v>
      </c>
      <c r="G48" s="26" t="str">
        <f>'12U BOYS-16 TEAMS'!G33&amp;""</f>
        <v>D3-SAN DIEGO DONS 10 RED</v>
      </c>
      <c r="H48" s="78" t="str">
        <f>'12U BOYS-16 TEAMS'!H33&amp;""</f>
        <v>10</v>
      </c>
      <c r="I48" s="26" t="str">
        <f>'12U BOYS-16 TEAMS'!I33&amp;""</f>
        <v>W/L D2/D3</v>
      </c>
      <c r="J48" s="26" t="str">
        <f>'12U BOYS-16 TEAMS'!J33&amp;""</f>
        <v>12U_BOYS</v>
      </c>
      <c r="K48" s="26" t="str">
        <f t="shared" si="0"/>
        <v>202603071020</v>
      </c>
    </row>
    <row r="49" spans="1:11">
      <c r="A49" s="67">
        <f>'10U GIRLS COED AU AG-12 TEAMS'!A14</f>
        <v>46088</v>
      </c>
      <c r="B49" s="66">
        <f>'10U GIRLS COED AU AG-12 TEAMS'!B14</f>
        <v>0.4375</v>
      </c>
      <c r="C49" s="20" t="str">
        <f>'10U GIRLS COED AU AG-12 TEAMS'!C14&amp;""</f>
        <v>EL TORO HS 2</v>
      </c>
      <c r="D49" s="20" t="str">
        <f>'10U GIRLS COED AU AG-12 TEAMS'!D14&amp;""</f>
        <v>10GCauag04</v>
      </c>
      <c r="E49" s="20" t="str">
        <f>'10U GIRLS COED AU AG-12 TEAMS'!E14&amp;""</f>
        <v>A2-VANGUARD BLUE au</v>
      </c>
      <c r="F49" s="20" t="str">
        <f>'10U GIRLS COED AU AG-12 TEAMS'!F14&amp;""</f>
        <v>17</v>
      </c>
      <c r="G49" s="20" t="str">
        <f>'10U GIRLS COED AU AG-12 TEAMS'!G14&amp;""</f>
        <v>A3-SAN CLEMENTE BLACK au</v>
      </c>
      <c r="H49" s="20" t="str">
        <f>'10U GIRLS COED AU AG-12 TEAMS'!H14&amp;""</f>
        <v>3</v>
      </c>
      <c r="I49" s="20" t="str">
        <f>'10U GIRLS COED AU AG-12 TEAMS'!I14&amp;""</f>
        <v>A bracket, A2/A3 coed gold 1st-4th</v>
      </c>
      <c r="J49" s="20" t="str">
        <f>'10U GIRLS COED AU AG-12 TEAMS'!J14&amp;""</f>
        <v>10U_GIRLS_COED_GOLD_SILVER</v>
      </c>
      <c r="K49" s="20" t="str">
        <f t="shared" si="0"/>
        <v>202603071030</v>
      </c>
    </row>
    <row r="50" spans="1:11">
      <c r="A50" s="67">
        <f>'10U GIRLS COED AU AG-12 TEAMS'!A15</f>
        <v>46088</v>
      </c>
      <c r="B50" s="66">
        <f>'10U GIRLS COED AU AG-12 TEAMS'!B15</f>
        <v>0.4375</v>
      </c>
      <c r="C50" s="20" t="str">
        <f>'10U GIRLS COED AU AG-12 TEAMS'!C15&amp;""</f>
        <v>WOOLLETT FAR LEFT</v>
      </c>
      <c r="D50" s="20" t="str">
        <f>'10U GIRLS COED AU AG-12 TEAMS'!D15&amp;""</f>
        <v>10GCauag06</v>
      </c>
      <c r="E50" s="20" t="str">
        <f>'10U GIRLS COED AU AG-12 TEAMS'!E15&amp;""</f>
        <v>C2-NEWPORT BEACH GIRLS BLUE</v>
      </c>
      <c r="F50" s="20" t="str">
        <f>'10U GIRLS COED AU AG-12 TEAMS'!F15&amp;""</f>
        <v>17</v>
      </c>
      <c r="G50" s="20" t="str">
        <f>'10U GIRLS COED AU AG-12 TEAMS'!G15&amp;""</f>
        <v>C3-DEL MAR GIRLS WHITE</v>
      </c>
      <c r="H50" s="20" t="str">
        <f>'10U GIRLS COED AU AG-12 TEAMS'!H15&amp;""</f>
        <v>1</v>
      </c>
      <c r="I50" s="20" t="str">
        <f>'10U GIRLS COED AU AG-12 TEAMS'!I15&amp;""</f>
        <v>C bracket  C2,C3 Girls 1st-4th</v>
      </c>
      <c r="J50" s="20" t="str">
        <f>'10U GIRLS COED AU AG-12 TEAMS'!J15&amp;""</f>
        <v>10U_GIRLS_COED_GOLD_SILVER</v>
      </c>
      <c r="K50" s="20" t="str">
        <f t="shared" si="0"/>
        <v>202603071030</v>
      </c>
    </row>
    <row r="51" spans="1:11">
      <c r="A51" s="113">
        <f>'16U BOYS SILVER-8 TEAMS'!A13</f>
        <v>46088</v>
      </c>
      <c r="B51" s="112">
        <f>'16U BOYS SILVER-8 TEAMS'!B13</f>
        <v>0.45833333333333298</v>
      </c>
      <c r="C51" s="27" t="str">
        <f>'16U BOYS SILVER-8 TEAMS'!C13&amp;""</f>
        <v>COSTA MESA HS 1</v>
      </c>
      <c r="D51" s="27" t="str">
        <f>'16U BOYS SILVER-8 TEAMS'!D13&amp;""</f>
        <v>16Bag04</v>
      </c>
      <c r="E51" s="27" t="str">
        <f>'16U BOYS SILVER-8 TEAMS'!E13&amp;""</f>
        <v>A1-HIELAND</v>
      </c>
      <c r="F51" s="27" t="str">
        <f>'16U BOYS SILVER-8 TEAMS'!F13&amp;""</f>
        <v>9</v>
      </c>
      <c r="G51" s="27" t="str">
        <f>'16U BOYS SILVER-8 TEAMS'!G13&amp;""</f>
        <v>A4-SUPREME</v>
      </c>
      <c r="H51" s="27" t="str">
        <f>'16U BOYS SILVER-8 TEAMS'!H13&amp;""</f>
        <v>10</v>
      </c>
      <c r="I51" s="27" t="str">
        <f>'16U BOYS SILVER-8 TEAMS'!I13&amp;""</f>
        <v>bracket, A1/A4</v>
      </c>
      <c r="J51" s="27" t="str">
        <f>'16U BOYS SILVER-8 TEAMS'!J13&amp;""</f>
        <v>16U_BOYS_SILVER</v>
      </c>
      <c r="K51" s="27" t="str">
        <f t="shared" si="0"/>
        <v>202603071100</v>
      </c>
    </row>
    <row r="52" spans="1:11">
      <c r="A52" s="127">
        <f>'19U BOYS SILVER-5 TEAMS'!A14</f>
        <v>46088</v>
      </c>
      <c r="B52" s="126">
        <f>'19U BOYS SILVER-5 TEAMS'!B14</f>
        <v>0.45833333333333298</v>
      </c>
      <c r="C52" s="126" t="str">
        <f>'19U BOYS SILVER-5 TEAMS'!C14&amp;""</f>
        <v>ESTANCIA HS 1</v>
      </c>
      <c r="D52" s="30" t="str">
        <f>'19U BOYS SILVER-5 TEAMS'!D14&amp;""</f>
        <v>19Bag03</v>
      </c>
      <c r="E52" s="30" t="str">
        <f>'19U BOYS SILVER-5 TEAMS'!E14&amp;""</f>
        <v>A2-SOUTH COUNTY AQUATICS</v>
      </c>
      <c r="F52" s="30" t="str">
        <f>'19U BOYS SILVER-5 TEAMS'!F14&amp;""</f>
        <v>8</v>
      </c>
      <c r="G52" s="30" t="str">
        <f>'19U BOYS SILVER-5 TEAMS'!G14&amp;""</f>
        <v>A4-SFV</v>
      </c>
      <c r="H52" s="30" t="str">
        <f>'19U BOYS SILVER-5 TEAMS'!H14&amp;""</f>
        <v>9</v>
      </c>
      <c r="I52" s="30" t="str">
        <f>'19U BOYS SILVER-5 TEAMS'!I14&amp;""</f>
        <v>A bracket 2/4</v>
      </c>
      <c r="J52" s="30" t="str">
        <f>'19U BOYS SILVER-5 TEAMS'!J14&amp;""</f>
        <v>19U_BOYS_SILVER</v>
      </c>
      <c r="K52" s="30" t="str">
        <f t="shared" si="0"/>
        <v>202603071100</v>
      </c>
    </row>
    <row r="53" spans="1:11">
      <c r="A53" s="142">
        <f>'19U BOYS PLATINUM GOLD-11 TEAMS'!A17</f>
        <v>46088</v>
      </c>
      <c r="B53" s="143">
        <f>'19U BOYS PLATINUM GOLD-11 TEAMS'!B17</f>
        <v>0.45833333333333298</v>
      </c>
      <c r="C53" s="142" t="str">
        <f>'19U BOYS PLATINUM GOLD-11 TEAMS'!C17&amp;""</f>
        <v>WOOLLETT NEAR LEFT</v>
      </c>
      <c r="D53" s="31" t="str">
        <f>'19U BOYS PLATINUM GOLD-11 TEAMS'!D17&amp;""</f>
        <v>19Bptau06</v>
      </c>
      <c r="E53" s="142" t="str">
        <f>'19U BOYS PLATINUM GOLD-11 TEAMS'!E17&amp;""</f>
        <v>A2-VANGUARD SILVER</v>
      </c>
      <c r="F53" s="31" t="str">
        <f>'19U BOYS PLATINUM GOLD-11 TEAMS'!F17&amp;""</f>
        <v>11</v>
      </c>
      <c r="G53" s="142" t="str">
        <f>'19U BOYS PLATINUM GOLD-11 TEAMS'!G17&amp;""</f>
        <v>A3-TSM B</v>
      </c>
      <c r="H53" s="31" t="str">
        <f>'19U BOYS PLATINUM GOLD-11 TEAMS'!H17&amp;""</f>
        <v>10</v>
      </c>
      <c r="I53" s="31" t="str">
        <f>'19U BOYS PLATINUM GOLD-11 TEAMS'!I17&amp;""</f>
        <v>A bracket A2,A3</v>
      </c>
      <c r="J53" s="31" t="str">
        <f>'19U BOYS PLATINUM GOLD-11 TEAMS'!J17&amp;""</f>
        <v>19U_BOYS_PLATINUM_GOLD</v>
      </c>
      <c r="K53" s="31" t="str">
        <f t="shared" si="0"/>
        <v>202603071100</v>
      </c>
    </row>
    <row r="54" spans="1:11">
      <c r="A54" s="157">
        <f>'16U BOYS PLATINUM GOLD-10 TEAMS'!A14</f>
        <v>46088</v>
      </c>
      <c r="B54" s="158">
        <f>'16U BOYS PLATINUM GOLD-10 TEAMS'!B14</f>
        <v>0.45833333333333298</v>
      </c>
      <c r="C54" s="158" t="str">
        <f>'16U BOYS PLATINUM GOLD-10 TEAMS'!C14&amp;""</f>
        <v>WOOLLETT NEAR RIGHT</v>
      </c>
      <c r="D54" s="157" t="str">
        <f>'16U BOYS PLATINUM GOLD-10 TEAMS'!D14&amp;""</f>
        <v>16Bptau05</v>
      </c>
      <c r="E54" s="158" t="str">
        <f>'16U BOYS PLATINUM GOLD-10 TEAMS'!E14&amp;""</f>
        <v>A2-DEVILS GATE</v>
      </c>
      <c r="F54" s="158" t="str">
        <f>'16U BOYS PLATINUM GOLD-10 TEAMS'!F14&amp;""</f>
        <v>10</v>
      </c>
      <c r="G54" s="159" t="str">
        <f>'16U BOYS PLATINUM GOLD-10 TEAMS'!G14&amp;""</f>
        <v>A3-CHANNEL ISLANDS UNITED BLUE</v>
      </c>
      <c r="H54" s="159" t="str">
        <f>'16U BOYS PLATINUM GOLD-10 TEAMS'!H14&amp;""</f>
        <v>11</v>
      </c>
      <c r="I54" s="159" t="str">
        <f>'16U BOYS PLATINUM GOLD-10 TEAMS'!I14&amp;""</f>
        <v>A bracket A2,A3 platinum 1st-3rd</v>
      </c>
      <c r="J54" s="159" t="str">
        <f>'16U BOYS PLATINUM GOLD-10 TEAMS'!J14&amp;""</f>
        <v>16U_BOYS_PLATINUM_GOLD</v>
      </c>
      <c r="K54" s="159" t="str">
        <f t="shared" si="0"/>
        <v>202603071100</v>
      </c>
    </row>
    <row r="55" spans="1:11">
      <c r="A55" s="91">
        <f>'14U BOYS GOLD-16 TEAMS'!A15</f>
        <v>46088</v>
      </c>
      <c r="B55" s="35">
        <f>'14U BOYS GOLD-16 TEAMS'!B15</f>
        <v>0.46527777777777801</v>
      </c>
      <c r="C55" s="35" t="str">
        <f>'14U BOYS GOLD-16 TEAMS'!C15&amp;""</f>
        <v>ALISO NIGUEL HS</v>
      </c>
      <c r="D55" s="33" t="str">
        <f>'14U BOYS GOLD-16 TEAMS'!D15&amp;""</f>
        <v>14Bau07</v>
      </c>
      <c r="E55" s="33" t="str">
        <f>'14U BOYS GOLD-16 TEAMS'!E15&amp;""</f>
        <v>B2-MISSION 14B</v>
      </c>
      <c r="F55" s="33" t="str">
        <f>'14U BOYS GOLD-16 TEAMS'!F15&amp;""</f>
        <v>5</v>
      </c>
      <c r="G55" s="33" t="str">
        <f>'14U BOYS GOLD-16 TEAMS'!G15&amp;""</f>
        <v>B3-ORANGE COUNTY WPC B</v>
      </c>
      <c r="H55" s="33" t="str">
        <f>'14U BOYS GOLD-16 TEAMS'!H15&amp;""</f>
        <v>11</v>
      </c>
      <c r="I55" s="33" t="str">
        <f>'14U BOYS GOLD-16 TEAMS'!I15&amp;""</f>
        <v>W/L B2/B3</v>
      </c>
      <c r="J55" s="33" t="str">
        <f>'14U BOYS GOLD-16 TEAMS'!J15&amp;""</f>
        <v>14U_BOYS_GOLD</v>
      </c>
      <c r="K55" s="33" t="str">
        <f t="shared" si="0"/>
        <v>202603071110</v>
      </c>
    </row>
    <row r="56" spans="1:11">
      <c r="A56" s="77">
        <f>'12U BOYS-16 TEAMS'!A25</f>
        <v>46088</v>
      </c>
      <c r="B56" s="76">
        <f>'12U BOYS-16 TEAMS'!B25</f>
        <v>0.46527777777777801</v>
      </c>
      <c r="C56" s="76" t="str">
        <f>'12U BOYS-16 TEAMS'!C25&amp;""</f>
        <v>COSTA MESA HS 2</v>
      </c>
      <c r="D56" s="26" t="str">
        <f>'12U BOYS-16 TEAMS'!D25&amp;""</f>
        <v>12B05</v>
      </c>
      <c r="E56" s="26" t="str">
        <f>'12U BOYS-16 TEAMS'!E25&amp;""</f>
        <v>B2-ROUTE 66</v>
      </c>
      <c r="F56" s="26" t="str">
        <f>'12U BOYS-16 TEAMS'!F25&amp;""</f>
        <v>12</v>
      </c>
      <c r="G56" s="26" t="str">
        <f>'12U BOYS-16 TEAMS'!G25&amp;""</f>
        <v>B3-LAGUNA BEACH</v>
      </c>
      <c r="H56" s="26" t="str">
        <f>'12U BOYS-16 TEAMS'!H25&amp;""</f>
        <v>5</v>
      </c>
      <c r="I56" s="26" t="str">
        <f>'12U BOYS-16 TEAMS'!I25&amp;""</f>
        <v>B bracket B2,B3</v>
      </c>
      <c r="J56" s="26" t="str">
        <f>'12U BOYS-16 TEAMS'!J25&amp;""</f>
        <v>12U_BOYS</v>
      </c>
      <c r="K56" s="26" t="str">
        <f t="shared" si="0"/>
        <v>202603071110</v>
      </c>
    </row>
    <row r="57" spans="1:11">
      <c r="A57" s="107">
        <f>'14U GIRLS-9 TEAMS'!A18</f>
        <v>46088</v>
      </c>
      <c r="B57" s="106">
        <f>'14U GIRLS-9 TEAMS'!B18</f>
        <v>0.46527777777777801</v>
      </c>
      <c r="C57" s="105" t="str">
        <f>'14U GIRLS-9 TEAMS'!C18&amp;""</f>
        <v>EL TORO HS 1</v>
      </c>
      <c r="D57" s="28" t="str">
        <f>'14U GIRLS-9 TEAMS'!D18&amp;""</f>
        <v>14G04</v>
      </c>
      <c r="E57" s="28" t="str">
        <f>'14U GIRLS-9 TEAMS'!E18&amp;""</f>
        <v>C1-CV PREMIER</v>
      </c>
      <c r="F57" s="28" t="str">
        <f>'14U GIRLS-9 TEAMS'!F18&amp;""</f>
        <v>10</v>
      </c>
      <c r="G57" s="149" t="str">
        <f>'14U GIRLS-9 TEAMS'!G18&amp;""</f>
        <v>C3-TROJAN</v>
      </c>
      <c r="H57" s="28" t="str">
        <f>'14U GIRLS-9 TEAMS'!H18&amp;""</f>
        <v>5</v>
      </c>
      <c r="I57" s="28" t="str">
        <f>'14U GIRLS-9 TEAMS'!I18&amp;""</f>
        <v>C bracket silver 1st-3rd</v>
      </c>
      <c r="J57" s="28" t="str">
        <f>'14U GIRLS-9 TEAMS'!J18&amp;""</f>
        <v>14U_GIRLS</v>
      </c>
      <c r="K57" s="28" t="str">
        <f t="shared" si="0"/>
        <v>202603071110</v>
      </c>
    </row>
    <row r="58" spans="1:11">
      <c r="A58" s="88">
        <f>'14U BOYS SILVER-16 TEAMS'!A16</f>
        <v>46088</v>
      </c>
      <c r="B58" s="87">
        <f>'14U BOYS SILVER-16 TEAMS'!B16</f>
        <v>0.46527777777777801</v>
      </c>
      <c r="C58" s="87" t="str">
        <f>'14U BOYS SILVER-16 TEAMS'!C16&amp;""</f>
        <v>ESTANCIA HS 2</v>
      </c>
      <c r="D58" s="36" t="str">
        <f>'14U BOYS SILVER-16 TEAMS'!D16&amp;""</f>
        <v>14Bag05</v>
      </c>
      <c r="E58" s="36" t="str">
        <f>'14U BOYS SILVER-16 TEAMS'!E16&amp;""</f>
        <v>L#1-TROJAN GOLD</v>
      </c>
      <c r="F58" s="36" t="str">
        <f>'14U BOYS SILVER-16 TEAMS'!F16&amp;""</f>
        <v>9</v>
      </c>
      <c r="G58" s="36" t="str">
        <f>'14U BOYS SILVER-16 TEAMS'!G16&amp;""</f>
        <v>L#2-SAND CANYON</v>
      </c>
      <c r="H58" s="36" t="str">
        <f>'14U BOYS SILVER-16 TEAMS'!H16&amp;""</f>
        <v>18</v>
      </c>
      <c r="I58" s="36" t="str">
        <f>'14U BOYS SILVER-16 TEAMS'!I16&amp;""</f>
        <v>3rd/4thA</v>
      </c>
      <c r="J58" s="36" t="str">
        <f>'14U BOYS SILVER-16 TEAMS'!J16&amp;""</f>
        <v>14U_BOYS_SILVER</v>
      </c>
      <c r="K58" s="36" t="str">
        <f t="shared" si="0"/>
        <v>202603071110</v>
      </c>
    </row>
    <row r="59" spans="1:11">
      <c r="A59" s="86">
        <f>'12U COED GIRLS-9 TEAMS CUSTOM'!A17</f>
        <v>46088</v>
      </c>
      <c r="B59" s="85">
        <f>'12U COED GIRLS-9 TEAMS CUSTOM'!B17</f>
        <v>0.46527777777777801</v>
      </c>
      <c r="C59" s="24" t="str">
        <f>'12U COED GIRLS-9 TEAMS CUSTOM'!C17&amp;""</f>
        <v>LAGUNA HILLS HS</v>
      </c>
      <c r="D59" s="24" t="str">
        <f>'12U COED GIRLS-9 TEAMS CUSTOM'!D17&amp;""</f>
        <v>12GC04</v>
      </c>
      <c r="E59" s="24" t="str">
        <f>'12U COED GIRLS-9 TEAMS CUSTOM'!E17&amp;""</f>
        <v>A2-PALOS VERDES</v>
      </c>
      <c r="F59" s="24" t="str">
        <f>'12U COED GIRLS-9 TEAMS CUSTOM'!F17&amp;""</f>
        <v>4</v>
      </c>
      <c r="G59" s="24" t="str">
        <f>'12U COED GIRLS-9 TEAMS CUSTOM'!G17&amp;""</f>
        <v>A3-TRILOGY</v>
      </c>
      <c r="H59" s="24" t="str">
        <f>'12U COED GIRLS-9 TEAMS CUSTOM'!H17&amp;""</f>
        <v>11</v>
      </c>
      <c r="I59" s="24" t="str">
        <f>'12U COED GIRLS-9 TEAMS CUSTOM'!I17&amp;""</f>
        <v>A bracket A2,A3</v>
      </c>
      <c r="J59" s="24" t="str">
        <f>'12U COED GIRLS-9 TEAMS CUSTOM'!J17&amp;""</f>
        <v>12U_COED_GIRLS</v>
      </c>
      <c r="K59" s="24" t="str">
        <f t="shared" si="0"/>
        <v>202603071110</v>
      </c>
    </row>
    <row r="60" spans="1:11">
      <c r="A60" s="91">
        <f>'14U BOYS GOLD-16 TEAMS'!A14</f>
        <v>46088</v>
      </c>
      <c r="B60" s="35">
        <f>'14U BOYS GOLD-16 TEAMS'!B14</f>
        <v>0.46527777777777801</v>
      </c>
      <c r="C60" s="35" t="str">
        <f>'14U BOYS GOLD-16 TEAMS'!C14&amp;""</f>
        <v>SAN JUAN HILLS HS</v>
      </c>
      <c r="D60" s="33" t="str">
        <f>'14U BOYS GOLD-16 TEAMS'!D14&amp;""</f>
        <v>14Bau05</v>
      </c>
      <c r="E60" s="33" t="str">
        <f>'14U BOYS GOLD-16 TEAMS'!E14&amp;""</f>
        <v>D1-PRIDE RED</v>
      </c>
      <c r="F60" s="33" t="str">
        <f>'14U BOYS GOLD-16 TEAMS'!F14&amp;""</f>
        <v>5</v>
      </c>
      <c r="G60" s="33" t="str">
        <f>'14U BOYS GOLD-16 TEAMS'!G14&amp;""</f>
        <v>D4-MISSION 12A</v>
      </c>
      <c r="H60" s="33" t="str">
        <f>'14U BOYS GOLD-16 TEAMS'!H14&amp;""</f>
        <v>7</v>
      </c>
      <c r="I60" s="33" t="str">
        <f>'14U BOYS GOLD-16 TEAMS'!I14&amp;""</f>
        <v>W/L D1/D4</v>
      </c>
      <c r="J60" s="33" t="str">
        <f>'14U BOYS GOLD-16 TEAMS'!J14&amp;""</f>
        <v>14U_BOYS_GOLD</v>
      </c>
      <c r="K60" s="33" t="str">
        <f t="shared" si="0"/>
        <v>202603071110</v>
      </c>
    </row>
    <row r="61" spans="1:11">
      <c r="A61" s="94">
        <f>'14U BOYS PLATINUM-10 TEAMS'!A14</f>
        <v>46088</v>
      </c>
      <c r="B61" s="93">
        <f>'14U BOYS PLATINUM-10 TEAMS'!B14</f>
        <v>0.46527777777777801</v>
      </c>
      <c r="C61" s="93" t="str">
        <f>'14U BOYS PLATINUM-10 TEAMS'!C14&amp;""</f>
        <v>WESTMINSTER HS</v>
      </c>
      <c r="D61" s="32" t="str">
        <f>'14U BOYS PLATINUM-10 TEAMS'!D14&amp;""</f>
        <v>14Bpt05</v>
      </c>
      <c r="E61" s="32" t="str">
        <f>'14U BOYS PLATINUM-10 TEAMS'!E14&amp;""</f>
        <v>A2-ORWP A</v>
      </c>
      <c r="F61" s="32" t="str">
        <f>'14U BOYS PLATINUM-10 TEAMS'!F14&amp;""</f>
        <v>9.6</v>
      </c>
      <c r="G61" s="32" t="str">
        <f>'14U BOYS PLATINUM-10 TEAMS'!G14&amp;""</f>
        <v>A3-ROUTE 66</v>
      </c>
      <c r="H61" s="32" t="str">
        <f>'14U BOYS PLATINUM-10 TEAMS'!H14&amp;""</f>
        <v>9.5</v>
      </c>
      <c r="I61" s="32" t="str">
        <f>'14U BOYS PLATINUM-10 TEAMS'!I14&amp;""</f>
        <v>A bracket A2,A3</v>
      </c>
      <c r="J61" s="32" t="str">
        <f>'14U BOYS PLATINUM-10 TEAMS'!J14&amp;""</f>
        <v>14U_BOYS_PLATINUM</v>
      </c>
      <c r="K61" s="32" t="str">
        <f t="shared" si="0"/>
        <v>202603071110</v>
      </c>
    </row>
    <row r="62" spans="1:11">
      <c r="A62" s="77">
        <f>'12U BOYS-16 TEAMS'!A34</f>
        <v>46088</v>
      </c>
      <c r="B62" s="76">
        <f>'12U BOYS-16 TEAMS'!B34</f>
        <v>0.46527777777777801</v>
      </c>
      <c r="C62" s="76" t="str">
        <f>'12U BOYS-16 TEAMS'!C34&amp;""</f>
        <v>WOOLLETT FAR RIGHT</v>
      </c>
      <c r="D62" s="26" t="str">
        <f>'12U BOYS-16 TEAMS'!D34&amp;""</f>
        <v>12B13</v>
      </c>
      <c r="E62" s="26" t="str">
        <f>'12U BOYS-16 TEAMS'!E34&amp;""</f>
        <v>C2-MISSION B</v>
      </c>
      <c r="F62" s="26" t="str">
        <f>'12U BOYS-16 TEAMS'!F34&amp;""</f>
        <v>16</v>
      </c>
      <c r="G62" s="26" t="str">
        <f>'12U BOYS-16 TEAMS'!G34&amp;""</f>
        <v>C3-NORTH IRVINE RED</v>
      </c>
      <c r="H62" s="26" t="str">
        <f>'12U BOYS-16 TEAMS'!H34&amp;""</f>
        <v>2</v>
      </c>
      <c r="I62" s="26" t="str">
        <f>'12U BOYS-16 TEAMS'!I34&amp;""</f>
        <v>C bracket C2,C3</v>
      </c>
      <c r="J62" s="26" t="str">
        <f>'12U BOYS-16 TEAMS'!J34&amp;""</f>
        <v>12U_BOYS</v>
      </c>
      <c r="K62" s="26" t="str">
        <f t="shared" si="0"/>
        <v>202603071110</v>
      </c>
    </row>
    <row r="63" spans="1:11">
      <c r="A63" s="67">
        <f>'10U GIRLS COED AU AG-12 TEAMS'!A16</f>
        <v>46088</v>
      </c>
      <c r="B63" s="66">
        <f>'10U GIRLS COED AU AG-12 TEAMS'!B16</f>
        <v>0.47222222222222199</v>
      </c>
      <c r="C63" s="20" t="str">
        <f>'10U GIRLS COED AU AG-12 TEAMS'!C16&amp;""</f>
        <v>EL TORO HS 2</v>
      </c>
      <c r="D63" s="20" t="str">
        <f>'10U GIRLS COED AU AG-12 TEAMS'!D16&amp;""</f>
        <v>10GCauag07</v>
      </c>
      <c r="E63" s="20" t="str">
        <f>'10U GIRLS COED AU AG-12 TEAMS'!E16&amp;""</f>
        <v>B2-CDM BOYS WHITE ag</v>
      </c>
      <c r="F63" s="20" t="str">
        <f>'10U GIRLS COED AU AG-12 TEAMS'!F16&amp;""</f>
        <v>4</v>
      </c>
      <c r="G63" s="20" t="str">
        <f>'10U GIRLS COED AU AG-12 TEAMS'!G16&amp;""</f>
        <v>B4-TROJAN NORTH ag</v>
      </c>
      <c r="H63" s="20" t="str">
        <f>'10U GIRLS COED AU AG-12 TEAMS'!H16&amp;""</f>
        <v>14</v>
      </c>
      <c r="I63" s="20" t="str">
        <f>'10U GIRLS COED AU AG-12 TEAMS'!I16&amp;""</f>
        <v>B bracket, B2/B4 coed silver 1st-4th</v>
      </c>
      <c r="J63" s="20" t="str">
        <f>'10U GIRLS COED AU AG-12 TEAMS'!J16&amp;""</f>
        <v>10U_GIRLS_COED_GOLD_SILVER</v>
      </c>
      <c r="K63" s="20" t="str">
        <f t="shared" si="0"/>
        <v>202603071120</v>
      </c>
    </row>
    <row r="64" spans="1:11">
      <c r="A64" s="153">
        <f>'10U BOYS &amp; COED PT-7 CUSTOM'!A13</f>
        <v>46088</v>
      </c>
      <c r="B64" s="54">
        <f>'10U BOYS &amp; COED PT-7 CUSTOM'!B13</f>
        <v>0.47222222222222199</v>
      </c>
      <c r="C64" s="21" t="str">
        <f>'10U BOYS &amp; COED PT-7 CUSTOM'!C13&amp;""</f>
        <v>WOOLLETT FAR LEFT</v>
      </c>
      <c r="D64" s="21" t="str">
        <f>'10U BOYS &amp; COED PT-7 CUSTOM'!D13&amp;""</f>
        <v>10BCpt03</v>
      </c>
      <c r="E64" s="21" t="str">
        <f>'10U BOYS &amp; COED PT-7 CUSTOM'!E13&amp;""</f>
        <v>B1-ORWP A</v>
      </c>
      <c r="F64" s="21" t="str">
        <f>'10U BOYS &amp; COED PT-7 CUSTOM'!F13&amp;""</f>
        <v>10</v>
      </c>
      <c r="G64" s="21" t="str">
        <f>'10U BOYS &amp; COED PT-7 CUSTOM'!G13&amp;""</f>
        <v>B4-NEWPORT BEACH WHITE</v>
      </c>
      <c r="H64" s="21" t="str">
        <f>'10U BOYS &amp; COED PT-7 CUSTOM'!H13&amp;""</f>
        <v>7</v>
      </c>
      <c r="I64" s="21" t="str">
        <f>'10U BOYS &amp; COED PT-7 CUSTOM'!I13&amp;""</f>
        <v>B bracket B1,B4 Boys 1st-4th</v>
      </c>
      <c r="J64" s="21" t="str">
        <f>'10U BOYS &amp; COED PT-7 CUSTOM'!J13&amp;""</f>
        <v>10U_BOYS_&amp;_COED_PLATINUM</v>
      </c>
      <c r="K64" s="21" t="str">
        <f t="shared" si="0"/>
        <v>202603071120</v>
      </c>
    </row>
    <row r="65" spans="1:11">
      <c r="A65" s="91">
        <f>'14U BOYS GOLD-16 TEAMS'!A17</f>
        <v>46088</v>
      </c>
      <c r="B65" s="35">
        <f>'14U BOYS GOLD-16 TEAMS'!B17</f>
        <v>0.5</v>
      </c>
      <c r="C65" s="35" t="str">
        <f>'14U BOYS GOLD-16 TEAMS'!C17&amp;""</f>
        <v>ALISO NIGUEL HS</v>
      </c>
      <c r="D65" s="33" t="str">
        <f>'14U BOYS GOLD-16 TEAMS'!D17&amp;""</f>
        <v>14Bau08</v>
      </c>
      <c r="E65" s="33" t="str">
        <f>'14U BOYS GOLD-16 TEAMS'!E17&amp;""</f>
        <v>B1-SD ECA</v>
      </c>
      <c r="F65" s="33" t="str">
        <f>'14U BOYS GOLD-16 TEAMS'!F17&amp;""</f>
        <v>16</v>
      </c>
      <c r="G65" s="33" t="str">
        <f>'14U BOYS GOLD-16 TEAMS'!G17&amp;""</f>
        <v>B4-SOCAL 12 BLACK</v>
      </c>
      <c r="H65" s="33" t="str">
        <f>'14U BOYS GOLD-16 TEAMS'!H17&amp;""</f>
        <v>8</v>
      </c>
      <c r="I65" s="33" t="str">
        <f>'14U BOYS GOLD-16 TEAMS'!I17&amp;""</f>
        <v>W/L B1/B4</v>
      </c>
      <c r="J65" s="33" t="str">
        <f>'14U BOYS GOLD-16 TEAMS'!J17&amp;""</f>
        <v>14U_BOYS_GOLD</v>
      </c>
      <c r="K65" s="33" t="str">
        <f t="shared" si="0"/>
        <v>202603071200</v>
      </c>
    </row>
    <row r="66" spans="1:11">
      <c r="A66" s="113">
        <f>'16U BOYS SILVER-8 TEAMS'!A14</f>
        <v>46088</v>
      </c>
      <c r="B66" s="112">
        <f>'16U BOYS SILVER-8 TEAMS'!B14</f>
        <v>0.5</v>
      </c>
      <c r="C66" s="27" t="str">
        <f>'16U BOYS SILVER-8 TEAMS'!C14&amp;""</f>
        <v>COSTA MESA HS 1</v>
      </c>
      <c r="D66" s="27" t="str">
        <f>'16U BOYS SILVER-8 TEAMS'!D14&amp;""</f>
        <v>16Bag05</v>
      </c>
      <c r="E66" s="27" t="str">
        <f>'16U BOYS SILVER-8 TEAMS'!E14&amp;""</f>
        <v>B1-TITANS</v>
      </c>
      <c r="F66" s="27" t="str">
        <f>'16U BOYS SILVER-8 TEAMS'!F14&amp;""</f>
        <v>8</v>
      </c>
      <c r="G66" s="27" t="str">
        <f>'16U BOYS SILVER-8 TEAMS'!G14&amp;""</f>
        <v>B3-SAN CLEMENTE BLACK</v>
      </c>
      <c r="H66" s="27" t="str">
        <f>'16U BOYS SILVER-8 TEAMS'!H14&amp;""</f>
        <v>15</v>
      </c>
      <c r="I66" s="27" t="str">
        <f>'16U BOYS SILVER-8 TEAMS'!I14&amp;""</f>
        <v>bracket, B1/B3</v>
      </c>
      <c r="J66" s="27" t="str">
        <f>'16U BOYS SILVER-8 TEAMS'!J14&amp;""</f>
        <v>16U_BOYS_SILVER</v>
      </c>
      <c r="K66" s="27" t="str">
        <f t="shared" ref="K66:K129" si="1">TEXT(DATE(2026, MONTH(A66), DAY(A66)) + TIME(HOUR(B66), MINUTE(B66), 0), "yyyymmddhhmm")</f>
        <v>202603071200</v>
      </c>
    </row>
    <row r="67" spans="1:11">
      <c r="A67" s="77">
        <f>'12U BOYS-16 TEAMS'!A26</f>
        <v>46088</v>
      </c>
      <c r="B67" s="76">
        <f>'12U BOYS-16 TEAMS'!B26</f>
        <v>0.5</v>
      </c>
      <c r="C67" s="76" t="str">
        <f>'12U BOYS-16 TEAMS'!C26&amp;""</f>
        <v>COSTA MESA HS 2</v>
      </c>
      <c r="D67" s="26" t="str">
        <f>'12U BOYS-16 TEAMS'!D26&amp;""</f>
        <v>12B06</v>
      </c>
      <c r="E67" s="26" t="str">
        <f>'12U BOYS-16 TEAMS'!E26&amp;""</f>
        <v>E2-ORWP B</v>
      </c>
      <c r="F67" s="26" t="str">
        <f>'12U BOYS-16 TEAMS'!F26&amp;""</f>
        <v>9.1</v>
      </c>
      <c r="G67" s="26" t="str">
        <f>'12U BOYS-16 TEAMS'!G26&amp;""</f>
        <v>E3-ORANGE COUNTY WPC B</v>
      </c>
      <c r="H67" s="26" t="str">
        <f>'12U BOYS-16 TEAMS'!H26&amp;""</f>
        <v>9.2</v>
      </c>
      <c r="I67" s="26" t="str">
        <f>'12U BOYS-16 TEAMS'!I26&amp;""</f>
        <v>E bracket E2,E3 silver 1st-3rd</v>
      </c>
      <c r="J67" s="26" t="str">
        <f>'12U BOYS-16 TEAMS'!J26&amp;""</f>
        <v>12U_BOYS</v>
      </c>
      <c r="K67" s="26" t="str">
        <f t="shared" si="1"/>
        <v>202603071200</v>
      </c>
    </row>
    <row r="68" spans="1:11">
      <c r="A68" s="107">
        <f>'14U GIRLS-9 TEAMS'!A19</f>
        <v>46088</v>
      </c>
      <c r="B68" s="106">
        <f>'14U GIRLS-9 TEAMS'!B19</f>
        <v>0.5</v>
      </c>
      <c r="C68" s="105" t="str">
        <f>'14U GIRLS-9 TEAMS'!C19&amp;""</f>
        <v>EL TORO HS 1</v>
      </c>
      <c r="D68" s="28" t="str">
        <f>'14U GIRLS-9 TEAMS'!D19&amp;""</f>
        <v>14G05</v>
      </c>
      <c r="E68" s="28" t="str">
        <f>'14U GIRLS-9 TEAMS'!E19&amp;""</f>
        <v>B1-SET</v>
      </c>
      <c r="F68" s="28" t="str">
        <f>'14U GIRLS-9 TEAMS'!F19&amp;""</f>
        <v>4</v>
      </c>
      <c r="G68" s="28" t="str">
        <f>'14U GIRLS-9 TEAMS'!G19&amp;""</f>
        <v>B2-PALOS VERDES BLACK</v>
      </c>
      <c r="H68" s="28" t="str">
        <f>'14U GIRLS-9 TEAMS'!H19&amp;""</f>
        <v>9</v>
      </c>
      <c r="I68" s="28" t="str">
        <f>'14U GIRLS-9 TEAMS'!I19&amp;""</f>
        <v>B bracket gold 1st-3rd</v>
      </c>
      <c r="J68" s="28" t="str">
        <f>'14U GIRLS-9 TEAMS'!J19&amp;""</f>
        <v>14U_GIRLS</v>
      </c>
      <c r="K68" s="28" t="str">
        <f t="shared" si="1"/>
        <v>202603071200</v>
      </c>
    </row>
    <row r="69" spans="1:11">
      <c r="A69" s="127">
        <f>'19U BOYS SILVER-5 TEAMS'!A15</f>
        <v>46088</v>
      </c>
      <c r="B69" s="126">
        <f>'19U BOYS SILVER-5 TEAMS'!B15</f>
        <v>0.5</v>
      </c>
      <c r="C69" s="126" t="str">
        <f>'19U BOYS SILVER-5 TEAMS'!C15&amp;""</f>
        <v>ESTANCIA HS 1</v>
      </c>
      <c r="D69" s="30" t="str">
        <f>'19U BOYS SILVER-5 TEAMS'!D15&amp;""</f>
        <v>19Bag04</v>
      </c>
      <c r="E69" s="30" t="str">
        <f>'19U BOYS SILVER-5 TEAMS'!E15&amp;""</f>
        <v>A3-PASADENA AC ORANGE</v>
      </c>
      <c r="F69" s="30" t="str">
        <f>'19U BOYS SILVER-5 TEAMS'!F15&amp;""</f>
        <v>19</v>
      </c>
      <c r="G69" s="30" t="str">
        <f>'19U BOYS SILVER-5 TEAMS'!G15&amp;""</f>
        <v>A5-OHANA</v>
      </c>
      <c r="H69" s="30" t="str">
        <f>'19U BOYS SILVER-5 TEAMS'!H15&amp;""</f>
        <v>3</v>
      </c>
      <c r="I69" s="30" t="str">
        <f>'19U BOYS SILVER-5 TEAMS'!I15&amp;""</f>
        <v>A bracket 3/5</v>
      </c>
      <c r="J69" s="30" t="str">
        <f>'19U BOYS SILVER-5 TEAMS'!J15&amp;""</f>
        <v>19U_BOYS_SILVER</v>
      </c>
      <c r="K69" s="30" t="str">
        <f t="shared" si="1"/>
        <v>202603071200</v>
      </c>
    </row>
    <row r="70" spans="1:11">
      <c r="A70" s="88">
        <f>'14U BOYS SILVER-16 TEAMS'!A17</f>
        <v>46088</v>
      </c>
      <c r="B70" s="87">
        <f>'14U BOYS SILVER-16 TEAMS'!B17</f>
        <v>0.5</v>
      </c>
      <c r="C70" s="87" t="str">
        <f>'14U BOYS SILVER-16 TEAMS'!C17&amp;""</f>
        <v>ESTANCIA HS 2</v>
      </c>
      <c r="D70" s="36" t="str">
        <f>'14U BOYS SILVER-16 TEAMS'!D17&amp;""</f>
        <v>14Bag06</v>
      </c>
      <c r="E70" s="36" t="str">
        <f>'14U BOYS SILVER-16 TEAMS'!E17&amp;""</f>
        <v>W#1-BREA OLINDA GOLD</v>
      </c>
      <c r="F70" s="36" t="str">
        <f>'14U BOYS SILVER-16 TEAMS'!F17&amp;""</f>
        <v>17</v>
      </c>
      <c r="G70" s="36" t="str">
        <f>'14U BOYS SILVER-16 TEAMS'!G17&amp;""</f>
        <v>W#2-SAN DIEGO DONS 12 BLACK</v>
      </c>
      <c r="H70" s="36" t="str">
        <f>'14U BOYS SILVER-16 TEAMS'!H17&amp;""</f>
        <v>12</v>
      </c>
      <c r="I70" s="36" t="str">
        <f>'14U BOYS SILVER-16 TEAMS'!I17&amp;""</f>
        <v>1st/2ndA</v>
      </c>
      <c r="J70" s="36" t="str">
        <f>'14U BOYS SILVER-16 TEAMS'!J17&amp;""</f>
        <v>14U_BOYS_SILVER</v>
      </c>
      <c r="K70" s="36" t="str">
        <f t="shared" si="1"/>
        <v>202603071200</v>
      </c>
    </row>
    <row r="71" spans="1:11">
      <c r="A71" s="86">
        <f>'12U COED GIRLS-9 TEAMS CUSTOM'!A18</f>
        <v>46088</v>
      </c>
      <c r="B71" s="85">
        <f>'12U COED GIRLS-9 TEAMS CUSTOM'!B18</f>
        <v>0.5</v>
      </c>
      <c r="C71" s="24" t="str">
        <f>'12U COED GIRLS-9 TEAMS CUSTOM'!C18&amp;""</f>
        <v>LAGUNA HILLS HS</v>
      </c>
      <c r="D71" s="24" t="str">
        <f>'12U COED GIRLS-9 TEAMS CUSTOM'!D18&amp;""</f>
        <v>12GC05</v>
      </c>
      <c r="E71" s="24" t="str">
        <f>'12U COED GIRLS-9 TEAMS CUSTOM'!E18&amp;""</f>
        <v>B2-SET</v>
      </c>
      <c r="F71" s="24" t="str">
        <f>'12U COED GIRLS-9 TEAMS CUSTOM'!F18&amp;""</f>
        <v>5</v>
      </c>
      <c r="G71" s="24" t="str">
        <f>'12U COED GIRLS-9 TEAMS CUSTOM'!G18&amp;""</f>
        <v>B3-VIKING</v>
      </c>
      <c r="H71" s="24" t="str">
        <f>'12U COED GIRLS-9 TEAMS CUSTOM'!H18&amp;""</f>
        <v>15</v>
      </c>
      <c r="I71" s="24" t="str">
        <f>'12U COED GIRLS-9 TEAMS CUSTOM'!I18&amp;""</f>
        <v>B bracket B2,B3</v>
      </c>
      <c r="J71" s="24" t="str">
        <f>'12U COED GIRLS-9 TEAMS CUSTOM'!J18&amp;""</f>
        <v>12U_COED_GIRLS</v>
      </c>
      <c r="K71" s="24" t="str">
        <f t="shared" si="1"/>
        <v>202603071200</v>
      </c>
    </row>
    <row r="72" spans="1:11">
      <c r="A72" s="91">
        <f>'14U BOYS GOLD-16 TEAMS'!A16</f>
        <v>46088</v>
      </c>
      <c r="B72" s="35">
        <f>'14U BOYS GOLD-16 TEAMS'!B16</f>
        <v>0.5</v>
      </c>
      <c r="C72" s="35" t="str">
        <f>'14U BOYS GOLD-16 TEAMS'!C16&amp;""</f>
        <v>SAN JUAN HILLS HS</v>
      </c>
      <c r="D72" s="33" t="str">
        <f>'14U BOYS GOLD-16 TEAMS'!D16&amp;""</f>
        <v>14Bau06</v>
      </c>
      <c r="E72" s="33" t="str">
        <f>'14U BOYS GOLD-16 TEAMS'!E16&amp;""</f>
        <v>D2-ALAMEDA</v>
      </c>
      <c r="F72" s="33" t="str">
        <f>'14U BOYS GOLD-16 TEAMS'!F16&amp;""</f>
        <v>11</v>
      </c>
      <c r="G72" s="33" t="str">
        <f>'14U BOYS GOLD-16 TEAMS'!G16&amp;""</f>
        <v>D3-CDM B</v>
      </c>
      <c r="H72" s="33" t="str">
        <f>'14U BOYS GOLD-16 TEAMS'!H16&amp;""</f>
        <v>3</v>
      </c>
      <c r="I72" s="33" t="str">
        <f>'14U BOYS GOLD-16 TEAMS'!I16&amp;""</f>
        <v>W/L D2/D3</v>
      </c>
      <c r="J72" s="33" t="str">
        <f>'14U BOYS GOLD-16 TEAMS'!J16&amp;""</f>
        <v>14U_BOYS_GOLD</v>
      </c>
      <c r="K72" s="33" t="str">
        <f t="shared" si="1"/>
        <v>202603071200</v>
      </c>
    </row>
    <row r="73" spans="1:11">
      <c r="A73" s="94">
        <f>'14U BOYS PLATINUM-10 TEAMS'!A15</f>
        <v>46088</v>
      </c>
      <c r="B73" s="93">
        <f>'14U BOYS PLATINUM-10 TEAMS'!B15</f>
        <v>0.5</v>
      </c>
      <c r="C73" s="93" t="str">
        <f>'14U BOYS PLATINUM-10 TEAMS'!C15&amp;""</f>
        <v>WESTMINSTER HS</v>
      </c>
      <c r="D73" s="32" t="str">
        <f>'14U BOYS PLATINUM-10 TEAMS'!D15&amp;""</f>
        <v>14Bpt06</v>
      </c>
      <c r="E73" s="32" t="str">
        <f>'14U BOYS PLATINUM-10 TEAMS'!E15&amp;""</f>
        <v>B2-TROJAN CARDINAL</v>
      </c>
      <c r="F73" s="32" t="str">
        <f>'14U BOYS PLATINUM-10 TEAMS'!F15&amp;""</f>
        <v>5</v>
      </c>
      <c r="G73" s="32" t="str">
        <f>'14U BOYS PLATINUM-10 TEAMS'!G15&amp;""</f>
        <v>B3-PATRIOT RED</v>
      </c>
      <c r="H73" s="32" t="str">
        <f>'14U BOYS PLATINUM-10 TEAMS'!H15&amp;""</f>
        <v>12</v>
      </c>
      <c r="I73" s="32" t="str">
        <f>'14U BOYS PLATINUM-10 TEAMS'!I15&amp;""</f>
        <v>B bracket B2,B3</v>
      </c>
      <c r="J73" s="32" t="str">
        <f>'14U BOYS PLATINUM-10 TEAMS'!J15&amp;""</f>
        <v>14U_BOYS_PLATINUM</v>
      </c>
      <c r="K73" s="32" t="str">
        <f t="shared" si="1"/>
        <v>202603071200</v>
      </c>
    </row>
    <row r="74" spans="1:11">
      <c r="A74" s="77">
        <f>'12U BOYS-16 TEAMS'!A35</f>
        <v>46088</v>
      </c>
      <c r="B74" s="76">
        <f>'12U BOYS-16 TEAMS'!B35</f>
        <v>0.5</v>
      </c>
      <c r="C74" s="76" t="str">
        <f>'12U BOYS-16 TEAMS'!C35&amp;""</f>
        <v>WOOLLETT FAR RIGHT</v>
      </c>
      <c r="D74" s="26" t="str">
        <f>'12U BOYS-16 TEAMS'!D35&amp;""</f>
        <v>12B14</v>
      </c>
      <c r="E74" s="26" t="str">
        <f>'12U BOYS-16 TEAMS'!E35&amp;""</f>
        <v>L#D1/D4-NEWPORT BEACH 10 BLUE</v>
      </c>
      <c r="F74" s="26" t="str">
        <f>'12U BOYS-16 TEAMS'!F35&amp;""</f>
        <v>7</v>
      </c>
      <c r="G74" s="26" t="str">
        <f>'12U BOYS-16 TEAMS'!G35&amp;""</f>
        <v>L#D2/D3-VANGUARD SILVER</v>
      </c>
      <c r="H74" s="26" t="str">
        <f>'12U BOYS-16 TEAMS'!H35&amp;""</f>
        <v>4</v>
      </c>
      <c r="I74" s="26" t="str">
        <f>'12U BOYS-16 TEAMS'!I35&amp;""</f>
        <v>3rd/4thD</v>
      </c>
      <c r="J74" s="26" t="str">
        <f>'12U BOYS-16 TEAMS'!J35&amp;""</f>
        <v>12U_BOYS</v>
      </c>
      <c r="K74" s="26" t="str">
        <f t="shared" si="1"/>
        <v>202603071200</v>
      </c>
    </row>
    <row r="75" spans="1:11">
      <c r="A75" s="142">
        <f>'19U BOYS PLATINUM GOLD-11 TEAMS'!A18</f>
        <v>46088</v>
      </c>
      <c r="B75" s="143">
        <f>'19U BOYS PLATINUM GOLD-11 TEAMS'!B18</f>
        <v>0.5</v>
      </c>
      <c r="C75" s="142" t="str">
        <f>'19U BOYS PLATINUM GOLD-11 TEAMS'!C18&amp;""</f>
        <v>WOOLLETT NEAR LEFT</v>
      </c>
      <c r="D75" s="31" t="str">
        <f>'19U BOYS PLATINUM GOLD-11 TEAMS'!D18&amp;""</f>
        <v>19Bptau07</v>
      </c>
      <c r="E75" s="142" t="str">
        <f>'19U BOYS PLATINUM GOLD-11 TEAMS'!E18&amp;""</f>
        <v>L#C1/C4-ROUTE 66</v>
      </c>
      <c r="F75" s="31" t="str">
        <f>'19U BOYS PLATINUM GOLD-11 TEAMS'!F18&amp;""</f>
        <v>12</v>
      </c>
      <c r="G75" s="142" t="str">
        <f>'19U BOYS PLATINUM GOLD-11 TEAMS'!G18&amp;""</f>
        <v>L#C2/C3-SOUTH VALLEY</v>
      </c>
      <c r="H75" s="31" t="str">
        <f>'19U BOYS PLATINUM GOLD-11 TEAMS'!H18&amp;""</f>
        <v>15</v>
      </c>
      <c r="I75" s="31" t="str">
        <f>'19U BOYS PLATINUM GOLD-11 TEAMS'!I18&amp;""</f>
        <v>3rd/4thC</v>
      </c>
      <c r="J75" s="31" t="str">
        <f>'19U BOYS PLATINUM GOLD-11 TEAMS'!J18&amp;""</f>
        <v>19U_BOYS_PLATINUM_GOLD</v>
      </c>
      <c r="K75" s="31" t="str">
        <f t="shared" si="1"/>
        <v>202603071200</v>
      </c>
    </row>
    <row r="76" spans="1:11">
      <c r="A76" s="157">
        <f>'16U BOYS PLATINUM GOLD-10 TEAMS'!A15</f>
        <v>46088</v>
      </c>
      <c r="B76" s="158">
        <f>'16U BOYS PLATINUM GOLD-10 TEAMS'!B15</f>
        <v>0.5</v>
      </c>
      <c r="C76" s="158" t="str">
        <f>'16U BOYS PLATINUM GOLD-10 TEAMS'!C15&amp;""</f>
        <v>WOOLLETT NEAR RIGHT</v>
      </c>
      <c r="D76" s="157" t="str">
        <f>'16U BOYS PLATINUM GOLD-10 TEAMS'!D15&amp;""</f>
        <v>16Bptau06</v>
      </c>
      <c r="E76" s="158" t="str">
        <f>'16U BOYS PLATINUM GOLD-10 TEAMS'!E15&amp;""</f>
        <v>B2-INNIS ARDEN</v>
      </c>
      <c r="F76" s="158" t="str">
        <f>'16U BOYS PLATINUM GOLD-10 TEAMS'!F15&amp;""</f>
        <v>5</v>
      </c>
      <c r="G76" s="159" t="str">
        <f>'16U BOYS PLATINUM GOLD-10 TEAMS'!G15&amp;""</f>
        <v>B3-TROJAN GOLD</v>
      </c>
      <c r="H76" s="159" t="str">
        <f>'16U BOYS PLATINUM GOLD-10 TEAMS'!H15&amp;""</f>
        <v>14</v>
      </c>
      <c r="I76" s="159" t="str">
        <f>'16U BOYS PLATINUM GOLD-10 TEAMS'!I15&amp;""</f>
        <v>B bracket B2,B3</v>
      </c>
      <c r="J76" s="159" t="str">
        <f>'16U BOYS PLATINUM GOLD-10 TEAMS'!J15&amp;""</f>
        <v>16U_BOYS_PLATINUM_GOLD</v>
      </c>
      <c r="K76" s="159" t="str">
        <f t="shared" si="1"/>
        <v>202603071200</v>
      </c>
    </row>
    <row r="77" spans="1:11">
      <c r="A77" s="67">
        <f>'10U GIRLS COED AU AG-12 TEAMS'!A17</f>
        <v>46088</v>
      </c>
      <c r="B77" s="66">
        <f>'10U GIRLS COED AU AG-12 TEAMS'!B17</f>
        <v>0.50694444444444398</v>
      </c>
      <c r="C77" s="20" t="str">
        <f>'10U GIRLS COED AU AG-12 TEAMS'!C17&amp;""</f>
        <v>EL TORO HS 2</v>
      </c>
      <c r="D77" s="20" t="str">
        <f>'10U GIRLS COED AU AG-12 TEAMS'!D17&amp;""</f>
        <v>10GCauag08</v>
      </c>
      <c r="E77" s="20" t="str">
        <f>'10U GIRLS COED AU AG-12 TEAMS'!E17&amp;""</f>
        <v>B1-SAN CLEMENTE GIRLS RED ag</v>
      </c>
      <c r="F77" s="20" t="str">
        <f>'10U GIRLS COED AU AG-12 TEAMS'!F17&amp;""</f>
        <v>9</v>
      </c>
      <c r="G77" s="20" t="str">
        <f>'10U GIRLS COED AU AG-12 TEAMS'!G17&amp;""</f>
        <v>B3-LAGUNA BEACH ag</v>
      </c>
      <c r="H77" s="20" t="str">
        <f>'10U GIRLS COED AU AG-12 TEAMS'!H17&amp;""</f>
        <v>10</v>
      </c>
      <c r="I77" s="20" t="str">
        <f>'10U GIRLS COED AU AG-12 TEAMS'!I17&amp;""</f>
        <v>B bracket, B1/B3 coed silver 1st-4th</v>
      </c>
      <c r="J77" s="20" t="str">
        <f>'10U GIRLS COED AU AG-12 TEAMS'!J17&amp;""</f>
        <v>10U_GIRLS_COED_GOLD_SILVER</v>
      </c>
      <c r="K77" s="20" t="str">
        <f t="shared" si="1"/>
        <v>202603071210</v>
      </c>
    </row>
    <row r="78" spans="1:11">
      <c r="A78" s="153">
        <f>'10U BOYS &amp; COED PT-7 CUSTOM'!A14</f>
        <v>46088</v>
      </c>
      <c r="B78" s="54">
        <f>'10U BOYS &amp; COED PT-7 CUSTOM'!B14</f>
        <v>0.50694444444444398</v>
      </c>
      <c r="C78" s="21" t="str">
        <f>'10U BOYS &amp; COED PT-7 CUSTOM'!C14&amp;""</f>
        <v>WOOLLETT FAR LEFT</v>
      </c>
      <c r="D78" s="21" t="str">
        <f>'10U BOYS &amp; COED PT-7 CUSTOM'!D14&amp;""</f>
        <v>10BCpt04</v>
      </c>
      <c r="E78" s="21" t="str">
        <f>'10U BOYS &amp; COED PT-7 CUSTOM'!E14&amp;""</f>
        <v>B2-CDM BLUE</v>
      </c>
      <c r="F78" s="21" t="str">
        <f>'10U BOYS &amp; COED PT-7 CUSTOM'!F14&amp;""</f>
        <v>11</v>
      </c>
      <c r="G78" s="21" t="str">
        <f>'10U BOYS &amp; COED PT-7 CUSTOM'!G14&amp;""</f>
        <v>B3-SAN CLEMENTE RED</v>
      </c>
      <c r="H78" s="21" t="str">
        <f>'10U BOYS &amp; COED PT-7 CUSTOM'!H14&amp;""</f>
        <v>14</v>
      </c>
      <c r="I78" s="21" t="str">
        <f>'10U BOYS &amp; COED PT-7 CUSTOM'!I14&amp;""</f>
        <v>B bracket B2,B3 Boys 1st-4th</v>
      </c>
      <c r="J78" s="21" t="str">
        <f>'10U BOYS &amp; COED PT-7 CUSTOM'!J14&amp;""</f>
        <v>10U_BOYS_&amp;_COED_PLATINUM</v>
      </c>
      <c r="K78" s="21" t="str">
        <f t="shared" si="1"/>
        <v>202603071210</v>
      </c>
    </row>
    <row r="79" spans="1:11">
      <c r="A79" s="91">
        <f>'14U BOYS GOLD-16 TEAMS'!A18</f>
        <v>46088</v>
      </c>
      <c r="B79" s="35">
        <f>'14U BOYS GOLD-16 TEAMS'!B18</f>
        <v>0.53472222222222199</v>
      </c>
      <c r="C79" s="35" t="str">
        <f>'14U BOYS GOLD-16 TEAMS'!C18&amp;""</f>
        <v>ALISO NIGUEL HS</v>
      </c>
      <c r="D79" s="33" t="str">
        <f>'14U BOYS GOLD-16 TEAMS'!D18&amp;""</f>
        <v>14Bau09</v>
      </c>
      <c r="E79" s="33" t="str">
        <f>'14U BOYS GOLD-16 TEAMS'!E18&amp;""</f>
        <v>L#1-TRILOGY BLACK</v>
      </c>
      <c r="F79" s="33" t="str">
        <f>'14U BOYS GOLD-16 TEAMS'!F18&amp;""</f>
        <v>5</v>
      </c>
      <c r="G79" s="33" t="str">
        <f>'14U BOYS GOLD-16 TEAMS'!G18&amp;""</f>
        <v>L#2-LAWPC</v>
      </c>
      <c r="H79" s="33" t="str">
        <f>'14U BOYS GOLD-16 TEAMS'!H18&amp;""</f>
        <v>0</v>
      </c>
      <c r="I79" s="33" t="str">
        <f>'14U BOYS GOLD-16 TEAMS'!I18&amp;""</f>
        <v>3rd/4thA (7-1 LAWP)</v>
      </c>
      <c r="J79" s="33" t="str">
        <f>'14U BOYS GOLD-16 TEAMS'!J18&amp;""</f>
        <v>14U_BOYS_GOLD</v>
      </c>
      <c r="K79" s="33" t="str">
        <f t="shared" si="1"/>
        <v>202603071250</v>
      </c>
    </row>
    <row r="80" spans="1:11">
      <c r="A80" s="77">
        <f>'12U BOYS-16 TEAMS'!A27</f>
        <v>46088</v>
      </c>
      <c r="B80" s="76">
        <f>'12U BOYS-16 TEAMS'!B27</f>
        <v>0.53472222222222199</v>
      </c>
      <c r="C80" s="76" t="str">
        <f>'12U BOYS-16 TEAMS'!C27&amp;""</f>
        <v>COSTA MESA HS 2</v>
      </c>
      <c r="D80" s="26" t="str">
        <f>'12U BOYS-16 TEAMS'!D27&amp;""</f>
        <v>12B07</v>
      </c>
      <c r="E80" s="26" t="str">
        <f>'12U BOYS-16 TEAMS'!E27&amp;""</f>
        <v>A1-LA PREMIER</v>
      </c>
      <c r="F80" s="26" t="str">
        <f>'12U BOYS-16 TEAMS'!F27&amp;""</f>
        <v>4</v>
      </c>
      <c r="G80" s="26" t="str">
        <f>'12U BOYS-16 TEAMS'!G27&amp;""</f>
        <v>A2-ORANGE COUNTY WPC A</v>
      </c>
      <c r="H80" s="26" t="str">
        <f>'12U BOYS-16 TEAMS'!H27&amp;""</f>
        <v>8</v>
      </c>
      <c r="I80" s="26" t="str">
        <f>'12U BOYS-16 TEAMS'!I27&amp;""</f>
        <v>A bracket A1,A2 platinum 1st-3rd</v>
      </c>
      <c r="J80" s="26" t="str">
        <f>'12U BOYS-16 TEAMS'!J27&amp;""</f>
        <v>12U_BOYS</v>
      </c>
      <c r="K80" s="26" t="str">
        <f t="shared" si="1"/>
        <v>202603071250</v>
      </c>
    </row>
    <row r="81" spans="1:11">
      <c r="A81" s="107">
        <f>'14U GIRLS-9 TEAMS'!A20</f>
        <v>46088</v>
      </c>
      <c r="B81" s="106">
        <f>'14U GIRLS-9 TEAMS'!B20</f>
        <v>0.53472222222222199</v>
      </c>
      <c r="C81" s="105" t="str">
        <f>'14U GIRLS-9 TEAMS'!C20&amp;""</f>
        <v>EL TORO HS 1</v>
      </c>
      <c r="D81" s="28" t="str">
        <f>'14U GIRLS-9 TEAMS'!D20&amp;""</f>
        <v>14G06</v>
      </c>
      <c r="E81" s="28" t="str">
        <f>'14U GIRLS-9 TEAMS'!E20&amp;""</f>
        <v>A1-VIKING</v>
      </c>
      <c r="F81" s="28" t="str">
        <f>'14U GIRLS-9 TEAMS'!F20&amp;""</f>
        <v>17</v>
      </c>
      <c r="G81" s="28" t="str">
        <f>'14U GIRLS-9 TEAMS'!G20&amp;""</f>
        <v>A3-NORTH IRVINE</v>
      </c>
      <c r="H81" s="28" t="str">
        <f>'14U GIRLS-9 TEAMS'!H20&amp;""</f>
        <v>8</v>
      </c>
      <c r="I81" s="28" t="str">
        <f>'14U GIRLS-9 TEAMS'!I20&amp;""</f>
        <v>A bracket platinum 1st-3rd</v>
      </c>
      <c r="J81" s="28" t="str">
        <f>'14U GIRLS-9 TEAMS'!J20&amp;""</f>
        <v>14U_GIRLS</v>
      </c>
      <c r="K81" s="28" t="str">
        <f t="shared" si="1"/>
        <v>202603071250</v>
      </c>
    </row>
    <row r="82" spans="1:11">
      <c r="A82" s="88">
        <f>'14U BOYS SILVER-16 TEAMS'!A18</f>
        <v>46088</v>
      </c>
      <c r="B82" s="87">
        <f>'14U BOYS SILVER-16 TEAMS'!B18</f>
        <v>0.53472222222222199</v>
      </c>
      <c r="C82" s="87" t="str">
        <f>'14U BOYS SILVER-16 TEAMS'!C18&amp;""</f>
        <v>ESTANCIA HS 2</v>
      </c>
      <c r="D82" s="36" t="str">
        <f>'14U BOYS SILVER-16 TEAMS'!D18&amp;""</f>
        <v>14Bag11</v>
      </c>
      <c r="E82" s="36" t="str">
        <f>'14U BOYS SILVER-16 TEAMS'!E18&amp;""</f>
        <v>B2-PASADENA AC ORANGE</v>
      </c>
      <c r="F82" s="36" t="str">
        <f>'14U BOYS SILVER-16 TEAMS'!F18&amp;""</f>
        <v>15</v>
      </c>
      <c r="G82" s="36" t="str">
        <f>'14U BOYS SILVER-16 TEAMS'!G18&amp;""</f>
        <v>B3-SAN CLEMENTE BLACK</v>
      </c>
      <c r="H82" s="36" t="str">
        <f>'14U BOYS SILVER-16 TEAMS'!H18&amp;""</f>
        <v>9</v>
      </c>
      <c r="I82" s="36" t="str">
        <f>'14U BOYS SILVER-16 TEAMS'!I18&amp;""</f>
        <v>W/L B2/B3</v>
      </c>
      <c r="J82" s="36" t="str">
        <f>'14U BOYS SILVER-16 TEAMS'!J18&amp;""</f>
        <v>14U_BOYS_SILVER</v>
      </c>
      <c r="K82" s="36" t="str">
        <f t="shared" si="1"/>
        <v>202603071250</v>
      </c>
    </row>
    <row r="83" spans="1:11">
      <c r="A83" s="86">
        <f>'12U COED GIRLS-9 TEAMS CUSTOM'!A19</f>
        <v>46088</v>
      </c>
      <c r="B83" s="85">
        <f>'12U COED GIRLS-9 TEAMS CUSTOM'!B19</f>
        <v>0.53472222222222199</v>
      </c>
      <c r="C83" s="24" t="str">
        <f>'12U COED GIRLS-9 TEAMS CUSTOM'!C19&amp;""</f>
        <v>LAGUNA HILLS HS</v>
      </c>
      <c r="D83" s="24" t="str">
        <f>'12U COED GIRLS-9 TEAMS CUSTOM'!D19&amp;""</f>
        <v>12GC06</v>
      </c>
      <c r="E83" s="85" t="str">
        <f>'12U COED GIRLS-9 TEAMS CUSTOM'!E19&amp;""</f>
        <v>C2-CMAC GIRLS</v>
      </c>
      <c r="F83" s="24" t="str">
        <f>'12U COED GIRLS-9 TEAMS CUSTOM'!F19&amp;""</f>
        <v>9</v>
      </c>
      <c r="G83" s="85" t="str">
        <f>'12U COED GIRLS-9 TEAMS CUSTOM'!G19&amp;""</f>
        <v>C3-LAGUNA BEACH GIRLS</v>
      </c>
      <c r="H83" s="24" t="str">
        <f>'12U COED GIRLS-9 TEAMS CUSTOM'!H19&amp;""</f>
        <v>10</v>
      </c>
      <c r="I83" s="24" t="str">
        <f>'12U COED GIRLS-9 TEAMS CUSTOM'!I19&amp;""</f>
        <v>C bracket B2,B4 12U GIRLS 1st/2nd</v>
      </c>
      <c r="J83" s="24" t="str">
        <f>'12U COED GIRLS-9 TEAMS CUSTOM'!J19&amp;""</f>
        <v>12U_COED_GIRLS</v>
      </c>
      <c r="K83" s="24" t="str">
        <f t="shared" si="1"/>
        <v>202603071250</v>
      </c>
    </row>
    <row r="84" spans="1:11">
      <c r="A84" s="91">
        <f>'14U BOYS GOLD-16 TEAMS'!A19</f>
        <v>46088</v>
      </c>
      <c r="B84" s="35">
        <f>'14U BOYS GOLD-16 TEAMS'!B19</f>
        <v>0.53472222222222199</v>
      </c>
      <c r="C84" s="35" t="str">
        <f>'14U BOYS GOLD-16 TEAMS'!C19&amp;""</f>
        <v>SAN JUAN HILLS HS</v>
      </c>
      <c r="D84" s="33" t="str">
        <f>'14U BOYS GOLD-16 TEAMS'!D19&amp;""</f>
        <v>14Bau11</v>
      </c>
      <c r="E84" s="33" t="str">
        <f>'14U BOYS GOLD-16 TEAMS'!E19&amp;""</f>
        <v>L#3-NEWPORT BEACH WHITE</v>
      </c>
      <c r="F84" s="33" t="str">
        <f>'14U BOYS GOLD-16 TEAMS'!F19&amp;""</f>
        <v>7</v>
      </c>
      <c r="G84" s="33" t="str">
        <f>'14U BOYS GOLD-16 TEAMS'!G19&amp;""</f>
        <v>L#4-SAN DIEGO DONS 12 RED</v>
      </c>
      <c r="H84" s="33" t="str">
        <f>'14U BOYS GOLD-16 TEAMS'!H19&amp;""</f>
        <v>3</v>
      </c>
      <c r="I84" s="33" t="str">
        <f>'14U BOYS GOLD-16 TEAMS'!I19&amp;""</f>
        <v>3rd/4thC</v>
      </c>
      <c r="J84" s="33" t="str">
        <f>'14U BOYS GOLD-16 TEAMS'!J19&amp;""</f>
        <v>14U_BOYS_GOLD</v>
      </c>
      <c r="K84" s="33" t="str">
        <f t="shared" si="1"/>
        <v>202603071250</v>
      </c>
    </row>
    <row r="85" spans="1:11">
      <c r="A85" s="94">
        <f>'14U BOYS PLATINUM-10 TEAMS'!A16</f>
        <v>46088</v>
      </c>
      <c r="B85" s="93">
        <f>'14U BOYS PLATINUM-10 TEAMS'!B16</f>
        <v>0.53472222222222199</v>
      </c>
      <c r="C85" s="93" t="str">
        <f>'14U BOYS PLATINUM-10 TEAMS'!C16&amp;""</f>
        <v>WESTMINSTER HS</v>
      </c>
      <c r="D85" s="32" t="str">
        <f>'14U BOYS PLATINUM-10 TEAMS'!D16&amp;""</f>
        <v>14Bpt07</v>
      </c>
      <c r="E85" s="32" t="str">
        <f>'14U BOYS PLATINUM-10 TEAMS'!E16&amp;""</f>
        <v>C3-RANCHO TSUNAMI BLUE</v>
      </c>
      <c r="F85" s="32" t="str">
        <f>'14U BOYS PLATINUM-10 TEAMS'!F16&amp;""</f>
        <v>9</v>
      </c>
      <c r="G85" s="32" t="str">
        <f>'14U BOYS PLATINUM-10 TEAMS'!G16&amp;""</f>
        <v>C4-DEVILS GATE</v>
      </c>
      <c r="H85" s="32" t="str">
        <f>'14U BOYS PLATINUM-10 TEAMS'!H16&amp;""</f>
        <v>8</v>
      </c>
      <c r="I85" s="32" t="str">
        <f>'14U BOYS PLATINUM-10 TEAMS'!I16&amp;""</f>
        <v>C bracket C3,C4</v>
      </c>
      <c r="J85" s="32" t="str">
        <f>'14U BOYS PLATINUM-10 TEAMS'!J16&amp;""</f>
        <v>14U_BOYS_PLATINUM</v>
      </c>
      <c r="K85" s="32" t="str">
        <f t="shared" si="1"/>
        <v>202603071250</v>
      </c>
    </row>
    <row r="86" spans="1:11">
      <c r="A86" s="77">
        <f>'12U BOYS-16 TEAMS'!A36</f>
        <v>46088</v>
      </c>
      <c r="B86" s="76">
        <f>'12U BOYS-16 TEAMS'!B36</f>
        <v>0.53472222222222199</v>
      </c>
      <c r="C86" s="76" t="str">
        <f>'12U BOYS-16 TEAMS'!C36&amp;""</f>
        <v>WOOLLETT FAR RIGHT</v>
      </c>
      <c r="D86" s="26" t="str">
        <f>'12U BOYS-16 TEAMS'!D36&amp;""</f>
        <v>12B15</v>
      </c>
      <c r="E86" s="26" t="str">
        <f>'12U BOYS-16 TEAMS'!E36&amp;""</f>
        <v>W#D1/D4-PEGASUS WPA BLUE</v>
      </c>
      <c r="F86" s="26" t="str">
        <f>'12U BOYS-16 TEAMS'!F36&amp;""</f>
        <v>14</v>
      </c>
      <c r="G86" s="26" t="str">
        <f>'12U BOYS-16 TEAMS'!G36&amp;""</f>
        <v>W#D2/D3-SAN DIEGO DONS 10 RED</v>
      </c>
      <c r="H86" s="26" t="str">
        <f>'12U BOYS-16 TEAMS'!H36&amp;""</f>
        <v>10</v>
      </c>
      <c r="I86" s="26" t="str">
        <f>'12U BOYS-16 TEAMS'!I36&amp;""</f>
        <v>1st/2ndD</v>
      </c>
      <c r="J86" s="26" t="str">
        <f>'12U BOYS-16 TEAMS'!J36&amp;""</f>
        <v>12U_BOYS</v>
      </c>
      <c r="K86" s="26" t="str">
        <f t="shared" si="1"/>
        <v>202603071250</v>
      </c>
    </row>
    <row r="87" spans="1:11">
      <c r="A87" s="113">
        <f>'16U BOYS SILVER-8 TEAMS'!A15</f>
        <v>46088</v>
      </c>
      <c r="B87" s="112">
        <f>'16U BOYS SILVER-8 TEAMS'!B15</f>
        <v>0.54166666666666696</v>
      </c>
      <c r="C87" s="27" t="str">
        <f>'16U BOYS SILVER-8 TEAMS'!C15&amp;""</f>
        <v>COSTA MESA HS 1</v>
      </c>
      <c r="D87" s="27" t="str">
        <f>'16U BOYS SILVER-8 TEAMS'!D15&amp;""</f>
        <v>16Bag06</v>
      </c>
      <c r="E87" s="27" t="str">
        <f>'16U BOYS SILVER-8 TEAMS'!E15&amp;""</f>
        <v>B2-TRILOGY WHITE</v>
      </c>
      <c r="F87" s="27" t="str">
        <f>'16U BOYS SILVER-8 TEAMS'!F15&amp;""</f>
        <v>11</v>
      </c>
      <c r="G87" s="27" t="str">
        <f>'16U BOYS SILVER-8 TEAMS'!G15&amp;""</f>
        <v>B4-NORTH IRVINE 14 BLACK</v>
      </c>
      <c r="H87" s="27" t="str">
        <f>'16U BOYS SILVER-8 TEAMS'!H15&amp;""</f>
        <v>6</v>
      </c>
      <c r="I87" s="27" t="str">
        <f>'16U BOYS SILVER-8 TEAMS'!I15&amp;""</f>
        <v>bracket, B2/B4</v>
      </c>
      <c r="J87" s="27" t="str">
        <f>'16U BOYS SILVER-8 TEAMS'!J15&amp;""</f>
        <v>16U_BOYS_SILVER</v>
      </c>
      <c r="K87" s="27" t="str">
        <f t="shared" si="1"/>
        <v>202603071300</v>
      </c>
    </row>
    <row r="88" spans="1:11">
      <c r="A88" s="67">
        <f>'10U GIRLS COED AU AG-12 TEAMS'!A18</f>
        <v>46088</v>
      </c>
      <c r="B88" s="66">
        <f>'10U GIRLS COED AU AG-12 TEAMS'!B18</f>
        <v>0.54166666666666696</v>
      </c>
      <c r="C88" s="20" t="str">
        <f>'10U GIRLS COED AU AG-12 TEAMS'!C18&amp;""</f>
        <v>EL TORO HS 2</v>
      </c>
      <c r="D88" s="20" t="str">
        <f>'10U GIRLS COED AU AG-12 TEAMS'!D18&amp;""</f>
        <v>10GCauag09</v>
      </c>
      <c r="E88" s="20" t="str">
        <f>'10U GIRLS COED AU AG-12 TEAMS'!E18&amp;""</f>
        <v>A1-TROJAN SOUTH au</v>
      </c>
      <c r="F88" s="20" t="str">
        <f>'10U GIRLS COED AU AG-12 TEAMS'!F18&amp;""</f>
        <v>15</v>
      </c>
      <c r="G88" s="20" t="str">
        <f>'10U GIRLS COED AU AG-12 TEAMS'!G18&amp;""</f>
        <v>A3-SAN CLEMENTE BLACK au</v>
      </c>
      <c r="H88" s="20" t="str">
        <f>'10U GIRLS COED AU AG-12 TEAMS'!H18&amp;""</f>
        <v>6</v>
      </c>
      <c r="I88" s="20" t="str">
        <f>'10U GIRLS COED AU AG-12 TEAMS'!I18&amp;""</f>
        <v>A bracket, A1/A3 coed gold 1st-4th</v>
      </c>
      <c r="J88" s="20" t="str">
        <f>'10U GIRLS COED AU AG-12 TEAMS'!J18&amp;""</f>
        <v>10U_GIRLS_COED_GOLD_SILVER</v>
      </c>
      <c r="K88" s="20" t="str">
        <f t="shared" si="1"/>
        <v>202603071300</v>
      </c>
    </row>
    <row r="89" spans="1:11">
      <c r="A89" s="142">
        <f>'19U BOYS PLATINUM GOLD-11 TEAMS'!A20</f>
        <v>46088</v>
      </c>
      <c r="B89" s="143">
        <f>'19U BOYS PLATINUM GOLD-11 TEAMS'!B20</f>
        <v>0.54166666666666696</v>
      </c>
      <c r="C89" s="142" t="str">
        <f>'19U BOYS PLATINUM GOLD-11 TEAMS'!C20&amp;""</f>
        <v>ESTANCIA HS 1</v>
      </c>
      <c r="D89" s="31" t="str">
        <f>'19U BOYS PLATINUM GOLD-11 TEAMS'!D20&amp;""</f>
        <v>19Bptau10</v>
      </c>
      <c r="E89" s="142" t="str">
        <f>'19U BOYS PLATINUM GOLD-11 TEAMS'!E20&amp;""</f>
        <v>L#B1/B4-SAND CANYON RED</v>
      </c>
      <c r="F89" s="31" t="str">
        <f>'19U BOYS PLATINUM GOLD-11 TEAMS'!F20&amp;""</f>
        <v>5</v>
      </c>
      <c r="G89" s="142" t="str">
        <f>'19U BOYS PLATINUM GOLD-11 TEAMS'!G20&amp;""</f>
        <v>L#B2/B3-HIELAND</v>
      </c>
      <c r="H89" s="31" t="str">
        <f>'19U BOYS PLATINUM GOLD-11 TEAMS'!H20&amp;""</f>
        <v>17</v>
      </c>
      <c r="I89" s="31" t="str">
        <f>'19U BOYS PLATINUM GOLD-11 TEAMS'!I20&amp;""</f>
        <v>3rd/4thB</v>
      </c>
      <c r="J89" s="31" t="str">
        <f>'19U BOYS PLATINUM GOLD-11 TEAMS'!J20&amp;""</f>
        <v>19U_BOYS_PLATINUM_GOLD</v>
      </c>
      <c r="K89" s="31" t="str">
        <f t="shared" si="1"/>
        <v>202603071300</v>
      </c>
    </row>
    <row r="90" spans="1:11">
      <c r="A90" s="67">
        <f>'10U GIRLS COED AU AG-12 TEAMS'!A19</f>
        <v>46088</v>
      </c>
      <c r="B90" s="66">
        <f>'10U GIRLS COED AU AG-12 TEAMS'!B19</f>
        <v>0.54166666666666696</v>
      </c>
      <c r="C90" s="20" t="str">
        <f>'10U GIRLS COED AU AG-12 TEAMS'!C19&amp;""</f>
        <v>WOOLLETT FAR LEFT</v>
      </c>
      <c r="D90" s="20" t="str">
        <f>'10U GIRLS COED AU AG-12 TEAMS'!D19&amp;""</f>
        <v>10GCauag11</v>
      </c>
      <c r="E90" s="20" t="str">
        <f>'10U GIRLS COED AU AG-12 TEAMS'!E19&amp;""</f>
        <v>C1-DEL MAR GIRLS BLUE</v>
      </c>
      <c r="F90" s="20" t="str">
        <f>'10U GIRLS COED AU AG-12 TEAMS'!F19&amp;""</f>
        <v>7</v>
      </c>
      <c r="G90" s="20" t="str">
        <f>'10U GIRLS COED AU AG-12 TEAMS'!G19&amp;""</f>
        <v>C2-NEWPORT BEACH GIRLS BLUE</v>
      </c>
      <c r="H90" s="20" t="str">
        <f>'10U GIRLS COED AU AG-12 TEAMS'!H19&amp;""</f>
        <v>3</v>
      </c>
      <c r="I90" s="20" t="str">
        <f>'10U GIRLS COED AU AG-12 TEAMS'!I19&amp;""</f>
        <v>C bracket  C1,C2 Girls 1st-4th</v>
      </c>
      <c r="J90" s="20" t="str">
        <f>'10U GIRLS COED AU AG-12 TEAMS'!J19&amp;""</f>
        <v>10U_GIRLS_COED_GOLD_SILVER</v>
      </c>
      <c r="K90" s="20" t="str">
        <f t="shared" si="1"/>
        <v>202603071300</v>
      </c>
    </row>
    <row r="91" spans="1:11">
      <c r="A91" s="142">
        <f>'19U BOYS PLATINUM GOLD-11 TEAMS'!A19</f>
        <v>46088</v>
      </c>
      <c r="B91" s="143">
        <f>'19U BOYS PLATINUM GOLD-11 TEAMS'!B19</f>
        <v>0.54166666666666696</v>
      </c>
      <c r="C91" s="142" t="str">
        <f>'19U BOYS PLATINUM GOLD-11 TEAMS'!C19&amp;""</f>
        <v>WOOLLETT NEAR LEFT</v>
      </c>
      <c r="D91" s="31" t="str">
        <f>'19U BOYS PLATINUM GOLD-11 TEAMS'!D19&amp;""</f>
        <v>19Bptau08</v>
      </c>
      <c r="E91" s="142" t="str">
        <f>'19U BOYS PLATINUM GOLD-11 TEAMS'!E19&amp;""</f>
        <v>W#C1/C4-TROJAN  16 CARDINAL pt</v>
      </c>
      <c r="F91" s="31" t="str">
        <f>'19U BOYS PLATINUM GOLD-11 TEAMS'!F19&amp;""</f>
        <v>7</v>
      </c>
      <c r="G91" s="142" t="str">
        <f>'19U BOYS PLATINUM GOLD-11 TEAMS'!G19&amp;""</f>
        <v>W#C2/C3-PEAK POLO BOLTZ pt</v>
      </c>
      <c r="H91" s="31" t="str">
        <f>'19U BOYS PLATINUM GOLD-11 TEAMS'!H19&amp;""</f>
        <v>17</v>
      </c>
      <c r="I91" s="31" t="str">
        <f>'19U BOYS PLATINUM GOLD-11 TEAMS'!I19&amp;""</f>
        <v>1st/2ndC</v>
      </c>
      <c r="J91" s="31" t="str">
        <f>'19U BOYS PLATINUM GOLD-11 TEAMS'!J19&amp;""</f>
        <v>19U_BOYS_PLATINUM_GOLD</v>
      </c>
      <c r="K91" s="31" t="str">
        <f t="shared" si="1"/>
        <v>202603071300</v>
      </c>
    </row>
    <row r="92" spans="1:11">
      <c r="A92" s="157">
        <f>'16U BOYS PLATINUM GOLD-10 TEAMS'!A16</f>
        <v>46088</v>
      </c>
      <c r="B92" s="158">
        <f>'16U BOYS PLATINUM GOLD-10 TEAMS'!B16</f>
        <v>0.54166666666666696</v>
      </c>
      <c r="C92" s="158" t="str">
        <f>'16U BOYS PLATINUM GOLD-10 TEAMS'!C16&amp;""</f>
        <v>WOOLLETT NEAR RIGHT</v>
      </c>
      <c r="D92" s="157" t="str">
        <f>'16U BOYS PLATINUM GOLD-10 TEAMS'!D16&amp;""</f>
        <v>16Bptau07</v>
      </c>
      <c r="E92" s="158" t="str">
        <f>'16U BOYS PLATINUM GOLD-10 TEAMS'!E16&amp;""</f>
        <v>C1-VANGUARD SILVER</v>
      </c>
      <c r="F92" s="158" t="str">
        <f>'16U BOYS PLATINUM GOLD-10 TEAMS'!F16&amp;""</f>
        <v>15</v>
      </c>
      <c r="G92" s="159" t="str">
        <f>'16U BOYS PLATINUM GOLD-10 TEAMS'!G16&amp;""</f>
        <v>C2-TRILOGY BLACK</v>
      </c>
      <c r="H92" s="159" t="str">
        <f>'16U BOYS PLATINUM GOLD-10 TEAMS'!H16&amp;""</f>
        <v>4</v>
      </c>
      <c r="I92" s="159" t="str">
        <f>'16U BOYS PLATINUM GOLD-10 TEAMS'!I16&amp;""</f>
        <v>C bracket C1,C2</v>
      </c>
      <c r="J92" s="159" t="str">
        <f>'16U BOYS PLATINUM GOLD-10 TEAMS'!J16&amp;""</f>
        <v>16U_BOYS_PLATINUM_GOLD</v>
      </c>
      <c r="K92" s="159" t="str">
        <f t="shared" si="1"/>
        <v>202603071300</v>
      </c>
    </row>
    <row r="93" spans="1:11">
      <c r="A93" s="91">
        <f>'14U BOYS GOLD-16 TEAMS'!A20</f>
        <v>46088</v>
      </c>
      <c r="B93" s="35">
        <f>'14U BOYS GOLD-16 TEAMS'!B20</f>
        <v>0.56944444444444497</v>
      </c>
      <c r="C93" s="35" t="str">
        <f>'14U BOYS GOLD-16 TEAMS'!C20&amp;""</f>
        <v>ALISO NIGUEL HS</v>
      </c>
      <c r="D93" s="33" t="str">
        <f>'14U BOYS GOLD-16 TEAMS'!D20&amp;""</f>
        <v>14Bau10</v>
      </c>
      <c r="E93" s="33" t="str">
        <f>'14U BOYS GOLD-16 TEAMS'!E20&amp;""</f>
        <v>W#1-SAN DIEGO DONS 14 BLACK</v>
      </c>
      <c r="F93" s="33" t="str">
        <f>'14U BOYS GOLD-16 TEAMS'!F20&amp;""</f>
        <v>5</v>
      </c>
      <c r="G93" s="33" t="str">
        <f>'14U BOYS GOLD-16 TEAMS'!G20&amp;""</f>
        <v>W#2-NORTH IRVINE RED</v>
      </c>
      <c r="H93" s="33" t="str">
        <f>'14U BOYS GOLD-16 TEAMS'!H20&amp;""</f>
        <v>8</v>
      </c>
      <c r="I93" s="33" t="str">
        <f>'14U BOYS GOLD-16 TEAMS'!I20&amp;""</f>
        <v>1st/2ndA</v>
      </c>
      <c r="J93" s="33" t="str">
        <f>'14U BOYS GOLD-16 TEAMS'!J20&amp;""</f>
        <v>14U_BOYS_GOLD</v>
      </c>
      <c r="K93" s="33" t="str">
        <f t="shared" si="1"/>
        <v>202603071340</v>
      </c>
    </row>
    <row r="94" spans="1:11">
      <c r="A94" s="77">
        <f>'12U BOYS-16 TEAMS'!A28</f>
        <v>46088</v>
      </c>
      <c r="B94" s="76">
        <f>'12U BOYS-16 TEAMS'!B28</f>
        <v>0.56944444444444497</v>
      </c>
      <c r="C94" s="76" t="str">
        <f>'12U BOYS-16 TEAMS'!C28&amp;""</f>
        <v>COSTA MESA HS 2</v>
      </c>
      <c r="D94" s="26" t="str">
        <f>'12U BOYS-16 TEAMS'!D28&amp;""</f>
        <v>12B08</v>
      </c>
      <c r="E94" s="26" t="str">
        <f>'12U BOYS-16 TEAMS'!E28&amp;""</f>
        <v>B1-TROJAN</v>
      </c>
      <c r="F94" s="26" t="str">
        <f>'12U BOYS-16 TEAMS'!F28&amp;""</f>
        <v>5</v>
      </c>
      <c r="G94" s="26" t="str">
        <f>'12U BOYS-16 TEAMS'!G28&amp;""</f>
        <v>B2-ROUTE 66</v>
      </c>
      <c r="H94" s="26" t="str">
        <f>'12U BOYS-16 TEAMS'!H28&amp;""</f>
        <v>8</v>
      </c>
      <c r="I94" s="26" t="str">
        <f>'12U BOYS-16 TEAMS'!I28&amp;""</f>
        <v>B bracket B1,B2</v>
      </c>
      <c r="J94" s="26" t="str">
        <f>'12U BOYS-16 TEAMS'!J28&amp;""</f>
        <v>12U_BOYS</v>
      </c>
      <c r="K94" s="26" t="str">
        <f t="shared" si="1"/>
        <v>202603071340</v>
      </c>
    </row>
    <row r="95" spans="1:11">
      <c r="A95" s="88">
        <f>'14U BOYS SILVER-16 TEAMS'!A20</f>
        <v>46088</v>
      </c>
      <c r="B95" s="87">
        <f>'14U BOYS SILVER-16 TEAMS'!B20</f>
        <v>0.56944444444444497</v>
      </c>
      <c r="C95" s="87" t="str">
        <f>'14U BOYS SILVER-16 TEAMS'!C20&amp;""</f>
        <v>EL TORO HS 1</v>
      </c>
      <c r="D95" s="36" t="str">
        <f>'14U BOYS SILVER-16 TEAMS'!D20&amp;""</f>
        <v>14Bag13</v>
      </c>
      <c r="E95" s="36" t="str">
        <f>'14U BOYS SILVER-16 TEAMS'!E20&amp;""</f>
        <v>L#9-TITANS</v>
      </c>
      <c r="F95" s="36" t="str">
        <f>'14U BOYS SILVER-16 TEAMS'!F20&amp;""</f>
        <v>11</v>
      </c>
      <c r="G95" s="36" t="str">
        <f>'14U BOYS SILVER-16 TEAMS'!G20&amp;""</f>
        <v>L#10-SET</v>
      </c>
      <c r="H95" s="36" t="str">
        <f>'14U BOYS SILVER-16 TEAMS'!H20&amp;""</f>
        <v>10</v>
      </c>
      <c r="I95" s="36" t="str">
        <f>'14U BOYS SILVER-16 TEAMS'!I20&amp;""</f>
        <v>3rd/4thD</v>
      </c>
      <c r="J95" s="36" t="str">
        <f>'14U BOYS SILVER-16 TEAMS'!J20&amp;""</f>
        <v>14U_BOYS_SILVER</v>
      </c>
      <c r="K95" s="36" t="str">
        <f t="shared" si="1"/>
        <v>202603071340</v>
      </c>
    </row>
    <row r="96" spans="1:11">
      <c r="A96" s="88">
        <f>'14U BOYS SILVER-16 TEAMS'!A19</f>
        <v>46088</v>
      </c>
      <c r="B96" s="87">
        <f>'14U BOYS SILVER-16 TEAMS'!B19</f>
        <v>0.56944444444444497</v>
      </c>
      <c r="C96" s="87" t="str">
        <f>'14U BOYS SILVER-16 TEAMS'!C19&amp;""</f>
        <v>ESTANCIA HS 2</v>
      </c>
      <c r="D96" s="36" t="str">
        <f>'14U BOYS SILVER-16 TEAMS'!D19&amp;""</f>
        <v>14Bag12</v>
      </c>
      <c r="E96" s="36" t="str">
        <f>'14U BOYS SILVER-16 TEAMS'!E19&amp;""</f>
        <v>B1-RIVERSIDE</v>
      </c>
      <c r="F96" s="36" t="str">
        <f>'14U BOYS SILVER-16 TEAMS'!F19&amp;""</f>
        <v>8</v>
      </c>
      <c r="G96" s="36" t="str">
        <f>'14U BOYS SILVER-16 TEAMS'!G19&amp;""</f>
        <v>B4-RANCHO TSUNAMI 12 BLUE</v>
      </c>
      <c r="H96" s="36" t="str">
        <f>'14U BOYS SILVER-16 TEAMS'!H19&amp;""</f>
        <v>12</v>
      </c>
      <c r="I96" s="36" t="str">
        <f>'14U BOYS SILVER-16 TEAMS'!I19&amp;""</f>
        <v>W/L B1/B4</v>
      </c>
      <c r="J96" s="36" t="str">
        <f>'14U BOYS SILVER-16 TEAMS'!J19&amp;""</f>
        <v>14U_BOYS_SILVER</v>
      </c>
      <c r="K96" s="36" t="str">
        <f t="shared" si="1"/>
        <v>202603071340</v>
      </c>
    </row>
    <row r="97" spans="1:11">
      <c r="A97" s="86">
        <f>'12U COED GIRLS-9 TEAMS CUSTOM'!A20</f>
        <v>46088</v>
      </c>
      <c r="B97" s="85">
        <f>'12U COED GIRLS-9 TEAMS CUSTOM'!B20</f>
        <v>0.56944444444444497</v>
      </c>
      <c r="C97" s="24" t="str">
        <f>'12U COED GIRLS-9 TEAMS CUSTOM'!C20&amp;""</f>
        <v>LAGUNA HILLS HS</v>
      </c>
      <c r="D97" s="24" t="str">
        <f>'12U COED GIRLS-9 TEAMS CUSTOM'!D20&amp;""</f>
        <v>12GC07</v>
      </c>
      <c r="E97" s="24" t="str">
        <f>'12U COED GIRLS-9 TEAMS CUSTOM'!E20&amp;""</f>
        <v>A1-HIELAND</v>
      </c>
      <c r="F97" s="24" t="str">
        <f>'12U COED GIRLS-9 TEAMS CUSTOM'!F20&amp;""</f>
        <v>6</v>
      </c>
      <c r="G97" s="24" t="str">
        <f>'12U COED GIRLS-9 TEAMS CUSTOM'!G20&amp;""</f>
        <v>A2-PALOS VERDES</v>
      </c>
      <c r="H97" s="24" t="str">
        <f>'12U COED GIRLS-9 TEAMS CUSTOM'!H20&amp;""</f>
        <v>12</v>
      </c>
      <c r="I97" s="24" t="str">
        <f>'12U COED GIRLS-9 TEAMS CUSTOM'!I20&amp;""</f>
        <v>A bracket A1,A2</v>
      </c>
      <c r="J97" s="24" t="str">
        <f>'12U COED GIRLS-9 TEAMS CUSTOM'!J20&amp;""</f>
        <v>12U_COED_GIRLS</v>
      </c>
      <c r="K97" s="24" t="str">
        <f t="shared" si="1"/>
        <v>202603071340</v>
      </c>
    </row>
    <row r="98" spans="1:11">
      <c r="A98" s="91">
        <f>'14U BOYS GOLD-16 TEAMS'!A21</f>
        <v>46088</v>
      </c>
      <c r="B98" s="35">
        <f>'14U BOYS GOLD-16 TEAMS'!B21</f>
        <v>0.56944444444444497</v>
      </c>
      <c r="C98" s="35" t="str">
        <f>'14U BOYS GOLD-16 TEAMS'!C21&amp;""</f>
        <v>SAN JUAN HILLS HS</v>
      </c>
      <c r="D98" s="33" t="str">
        <f>'14U BOYS GOLD-16 TEAMS'!D21&amp;""</f>
        <v>14Bau12</v>
      </c>
      <c r="E98" s="33" t="str">
        <f>'14U BOYS GOLD-16 TEAMS'!E21&amp;""</f>
        <v>W#3-VANGUARD SILVER</v>
      </c>
      <c r="F98" s="33" t="str">
        <f>'14U BOYS GOLD-16 TEAMS'!F21&amp;""</f>
        <v>7</v>
      </c>
      <c r="G98" s="33" t="str">
        <f>'14U BOYS GOLD-16 TEAMS'!G21&amp;""</f>
        <v>W#4-HIELAND</v>
      </c>
      <c r="H98" s="33" t="str">
        <f>'14U BOYS GOLD-16 TEAMS'!H21&amp;""</f>
        <v>4</v>
      </c>
      <c r="I98" s="33" t="str">
        <f>'14U BOYS GOLD-16 TEAMS'!I21&amp;""</f>
        <v>1st/2ndC</v>
      </c>
      <c r="J98" s="33" t="str">
        <f>'14U BOYS GOLD-16 TEAMS'!J21&amp;""</f>
        <v>14U_BOYS_GOLD</v>
      </c>
      <c r="K98" s="33" t="str">
        <f t="shared" si="1"/>
        <v>202603071340</v>
      </c>
    </row>
    <row r="99" spans="1:11">
      <c r="A99" s="94">
        <f>'14U BOYS PLATINUM-10 TEAMS'!A17</f>
        <v>46088</v>
      </c>
      <c r="B99" s="93">
        <f>'14U BOYS PLATINUM-10 TEAMS'!B17</f>
        <v>0.56944444444444497</v>
      </c>
      <c r="C99" s="93" t="str">
        <f>'14U BOYS PLATINUM-10 TEAMS'!C17&amp;""</f>
        <v>WESTMINSTER HS</v>
      </c>
      <c r="D99" s="32" t="str">
        <f>'14U BOYS PLATINUM-10 TEAMS'!D17&amp;""</f>
        <v>14Bpt08</v>
      </c>
      <c r="E99" s="32" t="str">
        <f>'14U BOYS PLATINUM-10 TEAMS'!E17&amp;""</f>
        <v>A1-MISSION A</v>
      </c>
      <c r="F99" s="32" t="str">
        <f>'14U BOYS PLATINUM-10 TEAMS'!F17&amp;""</f>
        <v>13</v>
      </c>
      <c r="G99" s="32" t="str">
        <f>'14U BOYS PLATINUM-10 TEAMS'!G17&amp;""</f>
        <v>A2-ORWP A</v>
      </c>
      <c r="H99" s="32" t="str">
        <f>'14U BOYS PLATINUM-10 TEAMS'!H17&amp;""</f>
        <v>10</v>
      </c>
      <c r="I99" s="32" t="str">
        <f>'14U BOYS PLATINUM-10 TEAMS'!I17&amp;""</f>
        <v>A bracket A1,A2</v>
      </c>
      <c r="J99" s="32" t="str">
        <f>'14U BOYS PLATINUM-10 TEAMS'!J17&amp;""</f>
        <v>14U_BOYS_PLATINUM</v>
      </c>
      <c r="K99" s="32" t="str">
        <f t="shared" si="1"/>
        <v>202603071340</v>
      </c>
    </row>
    <row r="100" spans="1:11">
      <c r="A100" s="77">
        <f>'12U BOYS-16 TEAMS'!A37</f>
        <v>46088</v>
      </c>
      <c r="B100" s="76">
        <f>'12U BOYS-16 TEAMS'!B37</f>
        <v>0.56944444444444497</v>
      </c>
      <c r="C100" s="76" t="str">
        <f>'12U BOYS-16 TEAMS'!C37&amp;""</f>
        <v>WOOLLETT FAR RIGHT</v>
      </c>
      <c r="D100" s="26" t="str">
        <f>'12U BOYS-16 TEAMS'!D37&amp;""</f>
        <v>12B16</v>
      </c>
      <c r="E100" s="26" t="str">
        <f>'12U BOYS-16 TEAMS'!E37&amp;""</f>
        <v>C1-LAWPC</v>
      </c>
      <c r="F100" s="26" t="str">
        <f>'12U BOYS-16 TEAMS'!F37&amp;""</f>
        <v>9</v>
      </c>
      <c r="G100" s="26" t="str">
        <f>'12U BOYS-16 TEAMS'!G37&amp;""</f>
        <v>C2-MISSION B</v>
      </c>
      <c r="H100" s="26" t="str">
        <f>'12U BOYS-16 TEAMS'!H37&amp;""</f>
        <v>14</v>
      </c>
      <c r="I100" s="26" t="str">
        <f>'12U BOYS-16 TEAMS'!I37&amp;""</f>
        <v>C bracket C1,C2</v>
      </c>
      <c r="J100" s="26" t="str">
        <f>'12U BOYS-16 TEAMS'!J37&amp;""</f>
        <v>12U_BOYS</v>
      </c>
      <c r="K100" s="26" t="str">
        <f t="shared" si="1"/>
        <v>202603071340</v>
      </c>
    </row>
    <row r="101" spans="1:11">
      <c r="A101" s="67">
        <f>'10U GIRLS COED AU AG-12 TEAMS'!A20</f>
        <v>46088</v>
      </c>
      <c r="B101" s="66">
        <f>'10U GIRLS COED AU AG-12 TEAMS'!B20</f>
        <v>0.57638888888888895</v>
      </c>
      <c r="C101" s="20" t="str">
        <f>'10U GIRLS COED AU AG-12 TEAMS'!C20&amp;""</f>
        <v>EL TORO HS 2</v>
      </c>
      <c r="D101" s="20" t="str">
        <f>'10U GIRLS COED AU AG-12 TEAMS'!D20&amp;""</f>
        <v>10GCauag10</v>
      </c>
      <c r="E101" s="20" t="str">
        <f>'10U GIRLS COED AU AG-12 TEAMS'!E20&amp;""</f>
        <v>A2-VANGUARD BLUE au</v>
      </c>
      <c r="F101" s="20" t="str">
        <f>'10U GIRLS COED AU AG-12 TEAMS'!F20&amp;""</f>
        <v>5</v>
      </c>
      <c r="G101" s="20" t="str">
        <f>'10U GIRLS COED AU AG-12 TEAMS'!G20&amp;""</f>
        <v>A4-ORANGE COUNTY WPC B au</v>
      </c>
      <c r="H101" s="20" t="str">
        <f>'10U GIRLS COED AU AG-12 TEAMS'!H20&amp;""</f>
        <v>11</v>
      </c>
      <c r="I101" s="20" t="str">
        <f>'10U GIRLS COED AU AG-12 TEAMS'!I20&amp;""</f>
        <v>A bracket, A2/A4 coed gold 1st-4th</v>
      </c>
      <c r="J101" s="20" t="str">
        <f>'10U GIRLS COED AU AG-12 TEAMS'!J20&amp;""</f>
        <v>10U_GIRLS_COED_GOLD_SILVER</v>
      </c>
      <c r="K101" s="20" t="str">
        <f t="shared" si="1"/>
        <v>202603071350</v>
      </c>
    </row>
    <row r="102" spans="1:11">
      <c r="A102" s="67">
        <f>'10U GIRLS COED AU AG-12 TEAMS'!A21</f>
        <v>46088</v>
      </c>
      <c r="B102" s="66">
        <f>'10U GIRLS COED AU AG-12 TEAMS'!B21</f>
        <v>0.57638888888888895</v>
      </c>
      <c r="C102" s="20" t="str">
        <f>'10U GIRLS COED AU AG-12 TEAMS'!C21&amp;""</f>
        <v>WOOLLETT FAR LEFT</v>
      </c>
      <c r="D102" s="20" t="str">
        <f>'10U GIRLS COED AU AG-12 TEAMS'!D21&amp;""</f>
        <v>10GCauag12</v>
      </c>
      <c r="E102" s="20" t="str">
        <f>'10U GIRLS COED AU AG-12 TEAMS'!E21&amp;""</f>
        <v>C3-DEL MAR GIRLS WHITE</v>
      </c>
      <c r="F102" s="20" t="str">
        <f>'10U GIRLS COED AU AG-12 TEAMS'!F21&amp;""</f>
        <v>16</v>
      </c>
      <c r="G102" s="20" t="str">
        <f>'10U GIRLS COED AU AG-12 TEAMS'!G21&amp;""</f>
        <v>C4-NEWPORT BEACH GIRLS WHITE</v>
      </c>
      <c r="H102" s="20" t="str">
        <f>'10U GIRLS COED AU AG-12 TEAMS'!H21&amp;""</f>
        <v>0</v>
      </c>
      <c r="I102" s="20" t="str">
        <f>'10U GIRLS COED AU AG-12 TEAMS'!I21&amp;""</f>
        <v>C bracket  C3,C4 Girls 1st-4th</v>
      </c>
      <c r="J102" s="20" t="str">
        <f>'10U GIRLS COED AU AG-12 TEAMS'!J21&amp;""</f>
        <v>10U_GIRLS_COED_GOLD_SILVER</v>
      </c>
      <c r="K102" s="20" t="str">
        <f t="shared" si="1"/>
        <v>202603071350</v>
      </c>
    </row>
    <row r="103" spans="1:11">
      <c r="A103" s="113">
        <f>'16U BOYS SILVER-8 TEAMS'!A16</f>
        <v>46088</v>
      </c>
      <c r="B103" s="112">
        <f>'16U BOYS SILVER-8 TEAMS'!B16</f>
        <v>0.58333333333333304</v>
      </c>
      <c r="C103" s="27" t="str">
        <f>'16U BOYS SILVER-8 TEAMS'!C16&amp;""</f>
        <v>COSTA MESA HS 1</v>
      </c>
      <c r="D103" s="27" t="str">
        <f>'16U BOYS SILVER-8 TEAMS'!D16&amp;""</f>
        <v>16Bag07</v>
      </c>
      <c r="E103" s="27" t="str">
        <f>'16U BOYS SILVER-8 TEAMS'!E16&amp;""</f>
        <v>A2-CMAC</v>
      </c>
      <c r="F103" s="27" t="str">
        <f>'16U BOYS SILVER-8 TEAMS'!F16&amp;""</f>
        <v>11</v>
      </c>
      <c r="G103" s="27" t="str">
        <f>'16U BOYS SILVER-8 TEAMS'!G16&amp;""</f>
        <v>A4-SUPREME</v>
      </c>
      <c r="H103" s="27" t="str">
        <f>'16U BOYS SILVER-8 TEAMS'!H16&amp;""</f>
        <v>6</v>
      </c>
      <c r="I103" s="27" t="str">
        <f>'16U BOYS SILVER-8 TEAMS'!I16&amp;""</f>
        <v>bracket, A2/A4</v>
      </c>
      <c r="J103" s="27" t="str">
        <f>'16U BOYS SILVER-8 TEAMS'!J16&amp;""</f>
        <v>16U_BOYS_SILVER</v>
      </c>
      <c r="K103" s="27" t="str">
        <f t="shared" si="1"/>
        <v>202603071400</v>
      </c>
    </row>
    <row r="104" spans="1:11">
      <c r="A104" s="127">
        <f>'19U BOYS SILVER-5 TEAMS'!A17</f>
        <v>46088</v>
      </c>
      <c r="B104" s="126">
        <f>'19U BOYS SILVER-5 TEAMS'!B17</f>
        <v>0.58333333333333304</v>
      </c>
      <c r="C104" s="126" t="str">
        <f>'19U BOYS SILVER-5 TEAMS'!C17&amp;""</f>
        <v>ESTANCIA HS 1</v>
      </c>
      <c r="D104" s="30" t="str">
        <f>'19U BOYS SILVER-5 TEAMS'!D17&amp;""</f>
        <v>19Bag05</v>
      </c>
      <c r="E104" s="30" t="str">
        <f>'19U BOYS SILVER-5 TEAMS'!E17&amp;""</f>
        <v>A1-SET</v>
      </c>
      <c r="F104" s="30" t="str">
        <f>'19U BOYS SILVER-5 TEAMS'!F17&amp;""</f>
        <v>15</v>
      </c>
      <c r="G104" s="30" t="str">
        <f>'19U BOYS SILVER-5 TEAMS'!G17&amp;""</f>
        <v>A4-SFV</v>
      </c>
      <c r="H104" s="30" t="str">
        <f>'19U BOYS SILVER-5 TEAMS'!H17&amp;""</f>
        <v>13</v>
      </c>
      <c r="I104" s="30" t="str">
        <f>'19U BOYS SILVER-5 TEAMS'!I17&amp;""</f>
        <v>A bracket 1/4</v>
      </c>
      <c r="J104" s="30" t="str">
        <f>'19U BOYS SILVER-5 TEAMS'!J17&amp;""</f>
        <v>19U_BOYS_SILVER</v>
      </c>
      <c r="K104" s="30" t="str">
        <f t="shared" si="1"/>
        <v>202603071400</v>
      </c>
    </row>
    <row r="105" spans="1:11">
      <c r="A105" s="142">
        <f>'19U BOYS PLATINUM GOLD-11 TEAMS'!A21</f>
        <v>46088</v>
      </c>
      <c r="B105" s="143">
        <f>'19U BOYS PLATINUM GOLD-11 TEAMS'!B21</f>
        <v>0.58333333333333304</v>
      </c>
      <c r="C105" s="142" t="str">
        <f>'19U BOYS PLATINUM GOLD-11 TEAMS'!C21&amp;""</f>
        <v>WOOLLETT NEAR LEFT</v>
      </c>
      <c r="D105" s="31" t="str">
        <f>'19U BOYS PLATINUM GOLD-11 TEAMS'!D21&amp;""</f>
        <v>19Bptau09</v>
      </c>
      <c r="E105" s="142" t="str">
        <f>'19U BOYS PLATINUM GOLD-11 TEAMS'!E21&amp;""</f>
        <v>A1-SAND CANYON BLACK pt</v>
      </c>
      <c r="F105" s="31" t="str">
        <f>'19U BOYS PLATINUM GOLD-11 TEAMS'!F21&amp;""</f>
        <v>19</v>
      </c>
      <c r="G105" s="142" t="str">
        <f>'19U BOYS PLATINUM GOLD-11 TEAMS'!G21&amp;""</f>
        <v>A2-VANGUARD SILVER</v>
      </c>
      <c r="H105" s="31" t="str">
        <f>'19U BOYS PLATINUM GOLD-11 TEAMS'!H21&amp;""</f>
        <v>2</v>
      </c>
      <c r="I105" s="31" t="str">
        <f>'19U BOYS PLATINUM GOLD-11 TEAMS'!I21&amp;""</f>
        <v>A bracket A1,A2</v>
      </c>
      <c r="J105" s="31" t="str">
        <f>'19U BOYS PLATINUM GOLD-11 TEAMS'!J21&amp;""</f>
        <v>19U_BOYS_PLATINUM_GOLD</v>
      </c>
      <c r="K105" s="31" t="str">
        <f t="shared" si="1"/>
        <v>202603071400</v>
      </c>
    </row>
    <row r="106" spans="1:11">
      <c r="A106" s="157">
        <f>'16U BOYS PLATINUM GOLD-10 TEAMS'!A17</f>
        <v>46088</v>
      </c>
      <c r="B106" s="158">
        <f>'16U BOYS PLATINUM GOLD-10 TEAMS'!B17</f>
        <v>0.58333333333333304</v>
      </c>
      <c r="C106" s="158" t="str">
        <f>'16U BOYS PLATINUM GOLD-10 TEAMS'!C17&amp;""</f>
        <v>WOOLLETT NEAR RIGHT</v>
      </c>
      <c r="D106" s="157" t="str">
        <f>'16U BOYS PLATINUM GOLD-10 TEAMS'!D17&amp;""</f>
        <v>16Bptau08</v>
      </c>
      <c r="E106" s="158" t="str">
        <f>'16U BOYS PLATINUM GOLD-10 TEAMS'!E17&amp;""</f>
        <v>C3-BREA OLINDA</v>
      </c>
      <c r="F106" s="158" t="str">
        <f>'16U BOYS PLATINUM GOLD-10 TEAMS'!F17&amp;""</f>
        <v>11.4</v>
      </c>
      <c r="G106" s="159" t="str">
        <f>'16U BOYS PLATINUM GOLD-10 TEAMS'!G17&amp;""</f>
        <v>C4-ELITE</v>
      </c>
      <c r="H106" s="159" t="str">
        <f>'16U BOYS PLATINUM GOLD-10 TEAMS'!H17&amp;""</f>
        <v>11.5</v>
      </c>
      <c r="I106" s="159" t="str">
        <f>'16U BOYS PLATINUM GOLD-10 TEAMS'!I17&amp;""</f>
        <v>C bracket C3,C4</v>
      </c>
      <c r="J106" s="159" t="str">
        <f>'16U BOYS PLATINUM GOLD-10 TEAMS'!J17&amp;""</f>
        <v>16U_BOYS_PLATINUM_GOLD</v>
      </c>
      <c r="K106" s="159" t="str">
        <f t="shared" si="1"/>
        <v>202603071400</v>
      </c>
    </row>
    <row r="107" spans="1:11">
      <c r="A107" s="91">
        <f>'14U BOYS GOLD-16 TEAMS'!A23</f>
        <v>46088</v>
      </c>
      <c r="B107" s="35">
        <f>'14U BOYS GOLD-16 TEAMS'!B23</f>
        <v>0.60416666666666696</v>
      </c>
      <c r="C107" s="35" t="str">
        <f>'14U BOYS GOLD-16 TEAMS'!C23&amp;""</f>
        <v>ALISO NIGUEL HS</v>
      </c>
      <c r="D107" s="33" t="str">
        <f>'14U BOYS GOLD-16 TEAMS'!D23&amp;""</f>
        <v>14Bau15</v>
      </c>
      <c r="E107" s="33" t="str">
        <f>'14U BOYS GOLD-16 TEAMS'!E23&amp;""</f>
        <v>L#7-MISSION 14B</v>
      </c>
      <c r="F107" s="33" t="str">
        <f>'14U BOYS GOLD-16 TEAMS'!F23&amp;""</f>
        <v>8</v>
      </c>
      <c r="G107" s="33" t="str">
        <f>'14U BOYS GOLD-16 TEAMS'!G23&amp;""</f>
        <v>L#8-SOCAL 12 BLACK</v>
      </c>
      <c r="H107" s="33" t="str">
        <f>'14U BOYS GOLD-16 TEAMS'!H23&amp;""</f>
        <v>11</v>
      </c>
      <c r="I107" s="33" t="str">
        <f>'14U BOYS GOLD-16 TEAMS'!I23&amp;""</f>
        <v>3rd/4thB</v>
      </c>
      <c r="J107" s="33" t="str">
        <f>'14U BOYS GOLD-16 TEAMS'!J23&amp;""</f>
        <v>14U_BOYS_GOLD</v>
      </c>
      <c r="K107" s="33" t="str">
        <f t="shared" si="1"/>
        <v>202603071430</v>
      </c>
    </row>
    <row r="108" spans="1:11">
      <c r="A108" s="77">
        <f>'12U BOYS-16 TEAMS'!A29</f>
        <v>46088</v>
      </c>
      <c r="B108" s="76">
        <f>'12U BOYS-16 TEAMS'!B29</f>
        <v>0.60416666666666696</v>
      </c>
      <c r="C108" s="76" t="str">
        <f>'12U BOYS-16 TEAMS'!C29&amp;""</f>
        <v>COSTA MESA HS 2</v>
      </c>
      <c r="D108" s="26" t="str">
        <f>'12U BOYS-16 TEAMS'!D29&amp;""</f>
        <v>12B09</v>
      </c>
      <c r="E108" s="26" t="str">
        <f>'12U BOYS-16 TEAMS'!E29&amp;""</f>
        <v>E1-CDM</v>
      </c>
      <c r="F108" s="26" t="str">
        <f>'12U BOYS-16 TEAMS'!F29&amp;""</f>
        <v>6</v>
      </c>
      <c r="G108" s="26" t="str">
        <f>'12U BOYS-16 TEAMS'!G29&amp;""</f>
        <v>E2-ORWP B</v>
      </c>
      <c r="H108" s="26" t="str">
        <f>'12U BOYS-16 TEAMS'!H29&amp;""</f>
        <v>11</v>
      </c>
      <c r="I108" s="26" t="str">
        <f>'12U BOYS-16 TEAMS'!I29&amp;""</f>
        <v>E bracket E1,E2 silver 1st-3rd</v>
      </c>
      <c r="J108" s="26" t="str">
        <f>'12U BOYS-16 TEAMS'!J29&amp;""</f>
        <v>12U_BOYS</v>
      </c>
      <c r="K108" s="26" t="str">
        <f t="shared" si="1"/>
        <v>202603071430</v>
      </c>
    </row>
    <row r="109" spans="1:11">
      <c r="A109" s="88">
        <f>'14U BOYS SILVER-16 TEAMS'!A22</f>
        <v>46088</v>
      </c>
      <c r="B109" s="87">
        <f>'14U BOYS SILVER-16 TEAMS'!B22</f>
        <v>0.60416666666666696</v>
      </c>
      <c r="C109" s="87" t="str">
        <f>'14U BOYS SILVER-16 TEAMS'!C22&amp;""</f>
        <v>EL TORO HS 1</v>
      </c>
      <c r="D109" s="36" t="str">
        <f>'14U BOYS SILVER-16 TEAMS'!D22&amp;""</f>
        <v>14Bag14</v>
      </c>
      <c r="E109" s="36" t="str">
        <f>'14U BOYS SILVER-16 TEAMS'!E22&amp;""</f>
        <v>W#9-NEWPORT BEACH SILVER</v>
      </c>
      <c r="F109" s="36" t="str">
        <f>'14U BOYS SILVER-16 TEAMS'!F22&amp;""</f>
        <v>8</v>
      </c>
      <c r="G109" s="36" t="str">
        <f>'14U BOYS SILVER-16 TEAMS'!G22&amp;""</f>
        <v>W#10-ORWP B</v>
      </c>
      <c r="H109" s="36" t="str">
        <f>'14U BOYS SILVER-16 TEAMS'!H22&amp;""</f>
        <v>7</v>
      </c>
      <c r="I109" s="36" t="str">
        <f>'14U BOYS SILVER-16 TEAMS'!I22&amp;""</f>
        <v>1st/2ndD</v>
      </c>
      <c r="J109" s="36" t="str">
        <f>'14U BOYS SILVER-16 TEAMS'!J22&amp;""</f>
        <v>14U_BOYS_SILVER</v>
      </c>
      <c r="K109" s="36" t="str">
        <f t="shared" si="1"/>
        <v>202603071430</v>
      </c>
    </row>
    <row r="110" spans="1:11">
      <c r="A110" s="88">
        <f>'14U BOYS SILVER-16 TEAMS'!A21</f>
        <v>46088</v>
      </c>
      <c r="B110" s="87">
        <f>'14U BOYS SILVER-16 TEAMS'!B21</f>
        <v>0.60416666666666696</v>
      </c>
      <c r="C110" s="87" t="str">
        <f>'14U BOYS SILVER-16 TEAMS'!C21&amp;""</f>
        <v>ESTANCIA HS 2</v>
      </c>
      <c r="D110" s="36" t="str">
        <f>'14U BOYS SILVER-16 TEAMS'!D21&amp;""</f>
        <v>14Bag07</v>
      </c>
      <c r="E110" s="36" t="str">
        <f>'14U BOYS SILVER-16 TEAMS'!E21&amp;""</f>
        <v>L#3-GOLD COAST</v>
      </c>
      <c r="F110" s="36" t="str">
        <f>'14U BOYS SILVER-16 TEAMS'!F21&amp;""</f>
        <v>17</v>
      </c>
      <c r="G110" s="36" t="str">
        <f>'14U BOYS SILVER-16 TEAMS'!G21&amp;""</f>
        <v>L#4-TSM</v>
      </c>
      <c r="H110" s="36" t="str">
        <f>'14U BOYS SILVER-16 TEAMS'!H21&amp;""</f>
        <v>3</v>
      </c>
      <c r="I110" s="36" t="str">
        <f>'14U BOYS SILVER-16 TEAMS'!I21&amp;""</f>
        <v>3rd/4thC</v>
      </c>
      <c r="J110" s="36" t="str">
        <f>'14U BOYS SILVER-16 TEAMS'!J21&amp;""</f>
        <v>14U_BOYS_SILVER</v>
      </c>
      <c r="K110" s="36" t="str">
        <f t="shared" si="1"/>
        <v>202603071430</v>
      </c>
    </row>
    <row r="111" spans="1:11">
      <c r="A111" s="91">
        <f>'14U BOYS GOLD-16 TEAMS'!A22</f>
        <v>46088</v>
      </c>
      <c r="B111" s="35">
        <f>'14U BOYS GOLD-16 TEAMS'!B22</f>
        <v>0.60416666666666696</v>
      </c>
      <c r="C111" s="35" t="str">
        <f>'14U BOYS GOLD-16 TEAMS'!C22&amp;""</f>
        <v>SAN JUAN HILLS HS</v>
      </c>
      <c r="D111" s="33" t="str">
        <f>'14U BOYS GOLD-16 TEAMS'!D22&amp;""</f>
        <v>14Bau13</v>
      </c>
      <c r="E111" s="33" t="str">
        <f>'14U BOYS GOLD-16 TEAMS'!E22&amp;""</f>
        <v>L#5-PRIDE RED</v>
      </c>
      <c r="F111" s="33" t="str">
        <f>'14U BOYS GOLD-16 TEAMS'!F22&amp;""</f>
        <v>9</v>
      </c>
      <c r="G111" s="33" t="str">
        <f>'14U BOYS GOLD-16 TEAMS'!G22&amp;""</f>
        <v>L#6-CDM B</v>
      </c>
      <c r="H111" s="33" t="str">
        <f>'14U BOYS GOLD-16 TEAMS'!H22&amp;""</f>
        <v>4</v>
      </c>
      <c r="I111" s="33" t="str">
        <f>'14U BOYS GOLD-16 TEAMS'!I22&amp;""</f>
        <v>3rd/4thD</v>
      </c>
      <c r="J111" s="33" t="str">
        <f>'14U BOYS GOLD-16 TEAMS'!J22&amp;""</f>
        <v>14U_BOYS_GOLD</v>
      </c>
      <c r="K111" s="33" t="str">
        <f t="shared" si="1"/>
        <v>202603071430</v>
      </c>
    </row>
    <row r="112" spans="1:11">
      <c r="A112" s="94">
        <f>'14U BOYS PLATINUM-10 TEAMS'!A18</f>
        <v>46088</v>
      </c>
      <c r="B112" s="93">
        <f>'14U BOYS PLATINUM-10 TEAMS'!B18</f>
        <v>0.60416666666666696</v>
      </c>
      <c r="C112" s="93" t="str">
        <f>'14U BOYS PLATINUM-10 TEAMS'!C18&amp;""</f>
        <v>WESTMINSTER HS</v>
      </c>
      <c r="D112" s="32" t="str">
        <f>'14U BOYS PLATINUM-10 TEAMS'!D18&amp;""</f>
        <v>14Bpt09</v>
      </c>
      <c r="E112" s="32" t="str">
        <f>'14U BOYS PLATINUM-10 TEAMS'!E18&amp;""</f>
        <v>B1-NEWPORT BEACH BLUE</v>
      </c>
      <c r="F112" s="32" t="str">
        <f>'14U BOYS PLATINUM-10 TEAMS'!F18&amp;""</f>
        <v>15</v>
      </c>
      <c r="G112" s="32" t="str">
        <f>'14U BOYS PLATINUM-10 TEAMS'!G18&amp;""</f>
        <v>B2-TROJAN CARDINAL</v>
      </c>
      <c r="H112" s="32" t="str">
        <f>'14U BOYS PLATINUM-10 TEAMS'!H18&amp;""</f>
        <v>2</v>
      </c>
      <c r="I112" s="32" t="str">
        <f>'14U BOYS PLATINUM-10 TEAMS'!I18&amp;""</f>
        <v>B bracket B1,B2</v>
      </c>
      <c r="J112" s="32" t="str">
        <f>'14U BOYS PLATINUM-10 TEAMS'!J18&amp;""</f>
        <v>14U_BOYS_PLATINUM</v>
      </c>
      <c r="K112" s="32" t="str">
        <f t="shared" si="1"/>
        <v>202603071430</v>
      </c>
    </row>
    <row r="113" spans="1:11">
      <c r="A113" s="153">
        <f>'10U BOYS &amp; COED PT-7 CUSTOM'!A17</f>
        <v>46088</v>
      </c>
      <c r="B113" s="54">
        <f>'10U BOYS &amp; COED PT-7 CUSTOM'!B17</f>
        <v>0.61111111111111105</v>
      </c>
      <c r="C113" s="21" t="str">
        <f>'10U BOYS &amp; COED PT-7 CUSTOM'!C17&amp;""</f>
        <v>EL TORO HS 2</v>
      </c>
      <c r="D113" s="21" t="str">
        <f>'10U BOYS &amp; COED PT-7 CUSTOM'!D17&amp;""</f>
        <v>10BCpt06</v>
      </c>
      <c r="E113" s="21" t="str">
        <f>'10U BOYS &amp; COED PT-7 CUSTOM'!E17&amp;""</f>
        <v>B1-ORWP A</v>
      </c>
      <c r="F113" s="21" t="str">
        <f>'10U BOYS &amp; COED PT-7 CUSTOM'!F17&amp;""</f>
        <v>9</v>
      </c>
      <c r="G113" s="21" t="str">
        <f>'10U BOYS &amp; COED PT-7 CUSTOM'!G17&amp;""</f>
        <v>B3-SAN CLEMENTE RED</v>
      </c>
      <c r="H113" s="21" t="str">
        <f>'10U BOYS &amp; COED PT-7 CUSTOM'!H17&amp;""</f>
        <v>8</v>
      </c>
      <c r="I113" s="21" t="str">
        <f>'10U BOYS &amp; COED PT-7 CUSTOM'!I17&amp;""</f>
        <v>B bracket B1,B3 Boys 1st-4th</v>
      </c>
      <c r="J113" s="21" t="str">
        <f>'10U BOYS &amp; COED PT-7 CUSTOM'!J17&amp;""</f>
        <v>10U_BOYS_&amp;_COED_PLATINUM</v>
      </c>
      <c r="K113" s="21" t="str">
        <f t="shared" si="1"/>
        <v>202603071440</v>
      </c>
    </row>
    <row r="114" spans="1:11">
      <c r="A114" s="153">
        <f>'10U BOYS &amp; COED PT-7 CUSTOM'!A16</f>
        <v>46088</v>
      </c>
      <c r="B114" s="54">
        <f>'10U BOYS &amp; COED PT-7 CUSTOM'!B16</f>
        <v>0.61111111111111105</v>
      </c>
      <c r="C114" s="21" t="str">
        <f>'10U BOYS &amp; COED PT-7 CUSTOM'!C16&amp;""</f>
        <v>WOOLLETT FAR LEFT</v>
      </c>
      <c r="D114" s="21" t="str">
        <f>'10U BOYS &amp; COED PT-7 CUSTOM'!D16&amp;""</f>
        <v>10BCpt05</v>
      </c>
      <c r="E114" s="21" t="str">
        <f>'10U BOYS &amp; COED PT-7 CUSTOM'!E16&amp;""</f>
        <v>A1-NORTH IRVINE BLACK</v>
      </c>
      <c r="F114" s="21" t="str">
        <f>'10U BOYS &amp; COED PT-7 CUSTOM'!F16&amp;""</f>
        <v>16</v>
      </c>
      <c r="G114" s="21" t="str">
        <f>'10U BOYS &amp; COED PT-7 CUSTOM'!G16&amp;""</f>
        <v>A2-SAN DIEGO DONS BLACK</v>
      </c>
      <c r="H114" s="21" t="str">
        <f>'10U BOYS &amp; COED PT-7 CUSTOM'!H16&amp;""</f>
        <v>5</v>
      </c>
      <c r="I114" s="21" t="str">
        <f>'10U BOYS &amp; COED PT-7 CUSTOM'!I16&amp;""</f>
        <v>A bracket A1,A2 Cpt 1st-3rd</v>
      </c>
      <c r="J114" s="21" t="str">
        <f>'10U BOYS &amp; COED PT-7 CUSTOM'!J16&amp;""</f>
        <v>10U_BOYS_&amp;_COED_PLATINUM</v>
      </c>
      <c r="K114" s="21" t="str">
        <f t="shared" si="1"/>
        <v>202603071440</v>
      </c>
    </row>
    <row r="115" spans="1:11">
      <c r="A115" s="88">
        <f>'14U BOYS SILVER-16 TEAMS'!A23</f>
        <v>46088</v>
      </c>
      <c r="B115" s="87">
        <f>'14U BOYS SILVER-16 TEAMS'!B23</f>
        <v>0.625</v>
      </c>
      <c r="C115" s="87" t="str">
        <f>'14U BOYS SILVER-16 TEAMS'!C23&amp;""</f>
        <v>COSTA MESA HS 1</v>
      </c>
      <c r="D115" s="36" t="str">
        <f>'14U BOYS SILVER-16 TEAMS'!D23&amp;""</f>
        <v>14Bag08</v>
      </c>
      <c r="E115" s="36" t="str">
        <f>'14U BOYS SILVER-16 TEAMS'!E23&amp;""</f>
        <v>W#3-PALOS VERDES B</v>
      </c>
      <c r="F115" s="36" t="str">
        <f>'14U BOYS SILVER-16 TEAMS'!F23&amp;""</f>
        <v>13</v>
      </c>
      <c r="G115" s="36" t="str">
        <f>'14U BOYS SILVER-16 TEAMS'!G23&amp;""</f>
        <v>W#4-NORTH IRVINE 12 BLACK</v>
      </c>
      <c r="H115" s="36" t="str">
        <f>'14U BOYS SILVER-16 TEAMS'!H23&amp;""</f>
        <v>9</v>
      </c>
      <c r="I115" s="36" t="str">
        <f>'14U BOYS SILVER-16 TEAMS'!I23&amp;""</f>
        <v>1st/2ndC</v>
      </c>
      <c r="J115" s="36" t="str">
        <f>'14U BOYS SILVER-16 TEAMS'!J23&amp;""</f>
        <v>14U_BOYS_SILVER</v>
      </c>
      <c r="K115" s="36" t="str">
        <f t="shared" si="1"/>
        <v>202603071500</v>
      </c>
    </row>
    <row r="116" spans="1:11">
      <c r="A116" s="113">
        <f>'16U BOYS SILVER-8 TEAMS'!A17</f>
        <v>46088</v>
      </c>
      <c r="B116" s="112">
        <f>'16U BOYS SILVER-8 TEAMS'!B17</f>
        <v>0.625</v>
      </c>
      <c r="C116" s="27" t="str">
        <f>'16U BOYS SILVER-8 TEAMS'!C17&amp;""</f>
        <v>ESTANCIA HS 1</v>
      </c>
      <c r="D116" s="27" t="str">
        <f>'16U BOYS SILVER-8 TEAMS'!D17&amp;""</f>
        <v>16Bag08</v>
      </c>
      <c r="E116" s="27" t="str">
        <f>'16U BOYS SILVER-8 TEAMS'!E17&amp;""</f>
        <v>A1-HIELAND</v>
      </c>
      <c r="F116" s="27" t="str">
        <f>'16U BOYS SILVER-8 TEAMS'!F17&amp;""</f>
        <v>17</v>
      </c>
      <c r="G116" s="27" t="str">
        <f>'16U BOYS SILVER-8 TEAMS'!G17&amp;""</f>
        <v>A3-PALOS VERDES BLUE</v>
      </c>
      <c r="H116" s="27" t="str">
        <f>'16U BOYS SILVER-8 TEAMS'!H17&amp;""</f>
        <v>2</v>
      </c>
      <c r="I116" s="27" t="str">
        <f>'16U BOYS SILVER-8 TEAMS'!I17&amp;""</f>
        <v>bracket, A1/A3</v>
      </c>
      <c r="J116" s="27" t="str">
        <f>'16U BOYS SILVER-8 TEAMS'!J17&amp;""</f>
        <v>16U_BOYS_SILVER</v>
      </c>
      <c r="K116" s="27" t="str">
        <f t="shared" si="1"/>
        <v>202603071500</v>
      </c>
    </row>
    <row r="117" spans="1:11">
      <c r="A117" s="142">
        <f>'19U BOYS PLATINUM GOLD-11 TEAMS'!A22</f>
        <v>46088</v>
      </c>
      <c r="B117" s="143">
        <f>'19U BOYS PLATINUM GOLD-11 TEAMS'!B22</f>
        <v>0.625</v>
      </c>
      <c r="C117" s="142" t="str">
        <f>'19U BOYS PLATINUM GOLD-11 TEAMS'!C22&amp;""</f>
        <v>WOOLLETT NEAR LEFT</v>
      </c>
      <c r="D117" s="31" t="str">
        <f>'19U BOYS PLATINUM GOLD-11 TEAMS'!D22&amp;""</f>
        <v>19Bptau11</v>
      </c>
      <c r="E117" s="142" t="str">
        <f>'19U BOYS PLATINUM GOLD-11 TEAMS'!E22&amp;""</f>
        <v>W#B1/B4-PEAK POLO LIGHTNING pt</v>
      </c>
      <c r="F117" s="31" t="str">
        <f>'19U BOYS PLATINUM GOLD-11 TEAMS'!F22&amp;""</f>
        <v>18</v>
      </c>
      <c r="G117" s="142" t="str">
        <f>'19U BOYS PLATINUM GOLD-11 TEAMS'!G22&amp;""</f>
        <v>W#B2/B3-ALAMEDA</v>
      </c>
      <c r="H117" s="31" t="str">
        <f>'19U BOYS PLATINUM GOLD-11 TEAMS'!H22&amp;""</f>
        <v>1</v>
      </c>
      <c r="I117" s="31" t="str">
        <f>'19U BOYS PLATINUM GOLD-11 TEAMS'!I22&amp;""</f>
        <v>1st/2ndB</v>
      </c>
      <c r="J117" s="31" t="str">
        <f>'19U BOYS PLATINUM GOLD-11 TEAMS'!J22&amp;""</f>
        <v>19U_BOYS_PLATINUM_GOLD</v>
      </c>
      <c r="K117" s="31" t="str">
        <f t="shared" si="1"/>
        <v>202603071500</v>
      </c>
    </row>
    <row r="118" spans="1:11">
      <c r="A118" s="157">
        <f>'16U BOYS PLATINUM GOLD-10 TEAMS'!A18</f>
        <v>46088</v>
      </c>
      <c r="B118" s="158">
        <f>'16U BOYS PLATINUM GOLD-10 TEAMS'!B18</f>
        <v>0.625</v>
      </c>
      <c r="C118" s="158" t="str">
        <f>'16U BOYS PLATINUM GOLD-10 TEAMS'!C18&amp;""</f>
        <v>WOOLLETT NEAR RIGHT</v>
      </c>
      <c r="D118" s="157" t="str">
        <f>'16U BOYS PLATINUM GOLD-10 TEAMS'!D18&amp;""</f>
        <v>16Bptau09</v>
      </c>
      <c r="E118" s="159" t="str">
        <f>'16U BOYS PLATINUM GOLD-10 TEAMS'!E18&amp;""</f>
        <v>A1-ORWP A</v>
      </c>
      <c r="F118" s="159" t="str">
        <f>'16U BOYS PLATINUM GOLD-10 TEAMS'!F18&amp;""</f>
        <v>10</v>
      </c>
      <c r="G118" s="159" t="str">
        <f>'16U BOYS PLATINUM GOLD-10 TEAMS'!G18&amp;""</f>
        <v>A3-CHANNEL ISLANDS UNITED BLUE</v>
      </c>
      <c r="H118" s="159" t="str">
        <f>'16U BOYS PLATINUM GOLD-10 TEAMS'!H18&amp;""</f>
        <v>6</v>
      </c>
      <c r="I118" s="159" t="str">
        <f>'16U BOYS PLATINUM GOLD-10 TEAMS'!I18&amp;""</f>
        <v>A bracket A1,A3 platinum 1st-3rd</v>
      </c>
      <c r="J118" s="159" t="str">
        <f>'16U BOYS PLATINUM GOLD-10 TEAMS'!J18&amp;""</f>
        <v>16U_BOYS_PLATINUM_GOLD</v>
      </c>
      <c r="K118" s="159" t="str">
        <f t="shared" si="1"/>
        <v>202603071500</v>
      </c>
    </row>
    <row r="119" spans="1:11">
      <c r="A119" s="91">
        <f>'14U BOYS GOLD-16 TEAMS'!A25</f>
        <v>46088</v>
      </c>
      <c r="B119" s="35">
        <f>'14U BOYS GOLD-16 TEAMS'!B25</f>
        <v>0.63888888888888895</v>
      </c>
      <c r="C119" s="35" t="str">
        <f>'14U BOYS GOLD-16 TEAMS'!C25&amp;""</f>
        <v>ALISO NIGUEL HS</v>
      </c>
      <c r="D119" s="33" t="str">
        <f>'14U BOYS GOLD-16 TEAMS'!D25&amp;""</f>
        <v>14Bau16</v>
      </c>
      <c r="E119" s="33" t="str">
        <f>'14U BOYS GOLD-16 TEAMS'!E25&amp;""</f>
        <v>W#7-ORANGE COUNTY WPC B</v>
      </c>
      <c r="F119" s="33" t="str">
        <f>'14U BOYS GOLD-16 TEAMS'!F25&amp;""</f>
        <v>14</v>
      </c>
      <c r="G119" s="33" t="str">
        <f>'14U BOYS GOLD-16 TEAMS'!G25&amp;""</f>
        <v>W#8-SD ECA</v>
      </c>
      <c r="H119" s="33" t="str">
        <f>'14U BOYS GOLD-16 TEAMS'!H25&amp;""</f>
        <v>8</v>
      </c>
      <c r="I119" s="33" t="str">
        <f>'14U BOYS GOLD-16 TEAMS'!I25&amp;""</f>
        <v>1st/2ndB</v>
      </c>
      <c r="J119" s="33" t="str">
        <f>'14U BOYS GOLD-16 TEAMS'!J25&amp;""</f>
        <v>14U_BOYS_GOLD</v>
      </c>
      <c r="K119" s="33" t="str">
        <f t="shared" si="1"/>
        <v>202603071520</v>
      </c>
    </row>
    <row r="120" spans="1:11">
      <c r="A120" s="107">
        <f>'14U GIRLS-9 TEAMS'!A22</f>
        <v>46088</v>
      </c>
      <c r="B120" s="106">
        <f>'14U GIRLS-9 TEAMS'!B22</f>
        <v>0.63888888888888895</v>
      </c>
      <c r="C120" s="105" t="str">
        <f>'14U GIRLS-9 TEAMS'!C22&amp;""</f>
        <v>EL TORO HS 1</v>
      </c>
      <c r="D120" s="28" t="str">
        <f>'14U GIRLS-9 TEAMS'!D22&amp;""</f>
        <v>14G07</v>
      </c>
      <c r="E120" s="28" t="str">
        <f>'14U GIRLS-9 TEAMS'!E22&amp;""</f>
        <v>C2-INNIS ARDEN</v>
      </c>
      <c r="F120" s="28" t="str">
        <f>'14U GIRLS-9 TEAMS'!F22&amp;""</f>
        <v>17</v>
      </c>
      <c r="G120" s="28" t="str">
        <f>'14U GIRLS-9 TEAMS'!G22&amp;""</f>
        <v>C3-TROJAN</v>
      </c>
      <c r="H120" s="28" t="str">
        <f>'14U GIRLS-9 TEAMS'!H22&amp;""</f>
        <v>4</v>
      </c>
      <c r="I120" s="28" t="str">
        <f>'14U GIRLS-9 TEAMS'!I22&amp;""</f>
        <v>C bracket silver 1st-3rd</v>
      </c>
      <c r="J120" s="28" t="str">
        <f>'14U GIRLS-9 TEAMS'!J22&amp;""</f>
        <v>14U_GIRLS</v>
      </c>
      <c r="K120" s="28" t="str">
        <f t="shared" si="1"/>
        <v>202603071520</v>
      </c>
    </row>
    <row r="121" spans="1:11">
      <c r="A121" s="88">
        <f>'14U BOYS SILVER-16 TEAMS'!A24</f>
        <v>46088</v>
      </c>
      <c r="B121" s="87">
        <f>'14U BOYS SILVER-16 TEAMS'!B24</f>
        <v>0.63888888888888895</v>
      </c>
      <c r="C121" s="87" t="str">
        <f>'14U BOYS SILVER-16 TEAMS'!C24&amp;""</f>
        <v>ESTANCIA HS 2</v>
      </c>
      <c r="D121" s="36" t="str">
        <f>'14U BOYS SILVER-16 TEAMS'!D24&amp;""</f>
        <v>14Bag15</v>
      </c>
      <c r="E121" s="36" t="str">
        <f>'14U BOYS SILVER-16 TEAMS'!E24&amp;""</f>
        <v>L#11-SAN CLEMENTE BLACK</v>
      </c>
      <c r="F121" s="36" t="str">
        <f>'14U BOYS SILVER-16 TEAMS'!F24&amp;""</f>
        <v>16</v>
      </c>
      <c r="G121" s="36" t="str">
        <f>'14U BOYS SILVER-16 TEAMS'!G24&amp;""</f>
        <v>L#12-RIVERSIDE</v>
      </c>
      <c r="H121" s="36" t="str">
        <f>'14U BOYS SILVER-16 TEAMS'!H24&amp;""</f>
        <v>12</v>
      </c>
      <c r="I121" s="36" t="str">
        <f>'14U BOYS SILVER-16 TEAMS'!I24&amp;""</f>
        <v>3rd/4thB</v>
      </c>
      <c r="J121" s="36" t="str">
        <f>'14U BOYS SILVER-16 TEAMS'!J24&amp;""</f>
        <v>14U_BOYS_SILVER</v>
      </c>
      <c r="K121" s="36" t="str">
        <f t="shared" si="1"/>
        <v>202603071520</v>
      </c>
    </row>
    <row r="122" spans="1:11">
      <c r="A122" s="91">
        <f>'14U BOYS GOLD-16 TEAMS'!A24</f>
        <v>46088</v>
      </c>
      <c r="B122" s="35">
        <f>'14U BOYS GOLD-16 TEAMS'!B24</f>
        <v>0.63888888888888895</v>
      </c>
      <c r="C122" s="35" t="str">
        <f>'14U BOYS GOLD-16 TEAMS'!C24&amp;""</f>
        <v>SAN JUAN HILLS HS</v>
      </c>
      <c r="D122" s="33" t="str">
        <f>'14U BOYS GOLD-16 TEAMS'!D24&amp;""</f>
        <v>14Bau14</v>
      </c>
      <c r="E122" s="33" t="str">
        <f>'14U BOYS GOLD-16 TEAMS'!E24&amp;""</f>
        <v>W#5-MISSION 12A</v>
      </c>
      <c r="F122" s="33" t="str">
        <f>'14U BOYS GOLD-16 TEAMS'!F24&amp;""</f>
        <v>7</v>
      </c>
      <c r="G122" s="33" t="str">
        <f>'14U BOYS GOLD-16 TEAMS'!G24&amp;""</f>
        <v>W#6-ALAMEDA</v>
      </c>
      <c r="H122" s="33" t="str">
        <f>'14U BOYS GOLD-16 TEAMS'!H24&amp;""</f>
        <v>8</v>
      </c>
      <c r="I122" s="33" t="str">
        <f>'14U BOYS GOLD-16 TEAMS'!I24&amp;""</f>
        <v>1st/2ndD</v>
      </c>
      <c r="J122" s="33" t="str">
        <f>'14U BOYS GOLD-16 TEAMS'!J24&amp;""</f>
        <v>14U_BOYS_GOLD</v>
      </c>
      <c r="K122" s="33" t="str">
        <f t="shared" si="1"/>
        <v>202603071520</v>
      </c>
    </row>
    <row r="123" spans="1:11">
      <c r="A123" s="94">
        <f>'14U BOYS PLATINUM-10 TEAMS'!A19</f>
        <v>46088</v>
      </c>
      <c r="B123" s="93">
        <f>'14U BOYS PLATINUM-10 TEAMS'!B19</f>
        <v>0.63888888888888895</v>
      </c>
      <c r="C123" s="93" t="str">
        <f>'14U BOYS PLATINUM-10 TEAMS'!C19&amp;""</f>
        <v>WESTMINSTER HS</v>
      </c>
      <c r="D123" s="32" t="str">
        <f>'14U BOYS PLATINUM-10 TEAMS'!D19&amp;""</f>
        <v>14Bpt10</v>
      </c>
      <c r="E123" s="32" t="str">
        <f>'14U BOYS PLATINUM-10 TEAMS'!E19&amp;""</f>
        <v>C2-VANGUARD BLUE</v>
      </c>
      <c r="F123" s="32" t="str">
        <f>'14U BOYS PLATINUM-10 TEAMS'!F19&amp;""</f>
        <v>8</v>
      </c>
      <c r="G123" s="32" t="str">
        <f>'14U BOYS PLATINUM-10 TEAMS'!G19&amp;""</f>
        <v>C3-RANCHO TSUNAMI BLUE</v>
      </c>
      <c r="H123" s="32" t="str">
        <f>'14U BOYS PLATINUM-10 TEAMS'!H19&amp;""</f>
        <v>6</v>
      </c>
      <c r="I123" s="32" t="str">
        <f>'14U BOYS PLATINUM-10 TEAMS'!I19&amp;""</f>
        <v>C bracket C2,C3</v>
      </c>
      <c r="J123" s="32" t="str">
        <f>'14U BOYS PLATINUM-10 TEAMS'!J19&amp;""</f>
        <v>14U_BOYS_PLATINUM</v>
      </c>
      <c r="K123" s="32" t="str">
        <f t="shared" si="1"/>
        <v>202603071520</v>
      </c>
    </row>
    <row r="124" spans="1:11">
      <c r="A124" s="153">
        <f>'10U BOYS &amp; COED PT-7 CUSTOM'!A18</f>
        <v>46088</v>
      </c>
      <c r="B124" s="54">
        <f>'10U BOYS &amp; COED PT-7 CUSTOM'!B18</f>
        <v>0.64583333333333304</v>
      </c>
      <c r="C124" s="21" t="str">
        <f>'10U BOYS &amp; COED PT-7 CUSTOM'!C18&amp;""</f>
        <v>EL TORO HS 2</v>
      </c>
      <c r="D124" s="21" t="str">
        <f>'10U BOYS &amp; COED PT-7 CUSTOM'!D18&amp;""</f>
        <v>10BCpt07</v>
      </c>
      <c r="E124" s="21" t="str">
        <f>'10U BOYS &amp; COED PT-7 CUSTOM'!E18&amp;""</f>
        <v>B2-CDM BLUE</v>
      </c>
      <c r="F124" s="21" t="str">
        <f>'10U BOYS &amp; COED PT-7 CUSTOM'!F18&amp;""</f>
        <v>13</v>
      </c>
      <c r="G124" s="21" t="str">
        <f>'10U BOYS &amp; COED PT-7 CUSTOM'!G18&amp;""</f>
        <v>B4-NEWPORT BEACH WHITE</v>
      </c>
      <c r="H124" s="21" t="str">
        <f>'10U BOYS &amp; COED PT-7 CUSTOM'!H18&amp;""</f>
        <v>10</v>
      </c>
      <c r="I124" s="21" t="str">
        <f>'10U BOYS &amp; COED PT-7 CUSTOM'!I18&amp;""</f>
        <v>B bracket B2,B4 Boys 1st-4th</v>
      </c>
      <c r="J124" s="21" t="str">
        <f>'10U BOYS &amp; COED PT-7 CUSTOM'!J18&amp;""</f>
        <v>10U_BOYS_&amp;_COED_PLATINUM</v>
      </c>
      <c r="K124" s="21" t="str">
        <f t="shared" si="1"/>
        <v>202603071530</v>
      </c>
    </row>
    <row r="125" spans="1:11">
      <c r="A125" s="86">
        <f>'12U COED GIRLS-9 TEAMS CUSTOM'!A22</f>
        <v>46088</v>
      </c>
      <c r="B125" s="85">
        <f>'12U COED GIRLS-9 TEAMS CUSTOM'!B22</f>
        <v>0.64583333333333304</v>
      </c>
      <c r="C125" s="24" t="str">
        <f>'12U COED GIRLS-9 TEAMS CUSTOM'!C22&amp;""</f>
        <v>WOOLLETT FAR RIGHT</v>
      </c>
      <c r="D125" s="24" t="str">
        <f>'12U COED GIRLS-9 TEAMS CUSTOM'!D22&amp;""</f>
        <v>12GC08</v>
      </c>
      <c r="E125" s="24" t="str">
        <f>'12U COED GIRLS-9 TEAMS CUSTOM'!E22&amp;""</f>
        <v>B1-ARROYO GRANDE</v>
      </c>
      <c r="F125" s="24" t="str">
        <f>'12U COED GIRLS-9 TEAMS CUSTOM'!F22&amp;""</f>
        <v>14</v>
      </c>
      <c r="G125" s="24" t="str">
        <f>'12U COED GIRLS-9 TEAMS CUSTOM'!G22&amp;""</f>
        <v>B2-SET</v>
      </c>
      <c r="H125" s="24" t="str">
        <f>'12U COED GIRLS-9 TEAMS CUSTOM'!H22&amp;""</f>
        <v>6</v>
      </c>
      <c r="I125" s="24" t="str">
        <f>'12U COED GIRLS-9 TEAMS CUSTOM'!I22&amp;""</f>
        <v>B bracket B1,B2</v>
      </c>
      <c r="J125" s="24" t="str">
        <f>'12U COED GIRLS-9 TEAMS CUSTOM'!J22&amp;""</f>
        <v>12U_COED_GIRLS</v>
      </c>
      <c r="K125" s="24" t="str">
        <f t="shared" si="1"/>
        <v>202603071530</v>
      </c>
    </row>
    <row r="126" spans="1:11">
      <c r="A126" s="88">
        <f>'14U BOYS SILVER-16 TEAMS'!A25</f>
        <v>46088</v>
      </c>
      <c r="B126" s="150">
        <f>'14U BOYS SILVER-16 TEAMS'!B25</f>
        <v>0.65972222222222221</v>
      </c>
      <c r="C126" s="87" t="str">
        <f>'14U BOYS SILVER-16 TEAMS'!C25&amp;""</f>
        <v>COSTA MESA HS 1</v>
      </c>
      <c r="D126" s="36" t="str">
        <f>'14U BOYS SILVER-16 TEAMS'!D25&amp;""</f>
        <v>14Bag16</v>
      </c>
      <c r="E126" s="36" t="str">
        <f>'14U BOYS SILVER-16 TEAMS'!E25&amp;""</f>
        <v>W#11-PASADENA AC ORANGE</v>
      </c>
      <c r="F126" s="36" t="str">
        <f>'14U BOYS SILVER-16 TEAMS'!F25&amp;""</f>
        <v>10</v>
      </c>
      <c r="G126" s="36" t="str">
        <f>'14U BOYS SILVER-16 TEAMS'!G25&amp;""</f>
        <v>W#12-RANCHO TSUNAMI 12 BLUE</v>
      </c>
      <c r="H126" s="36" t="str">
        <f>'14U BOYS SILVER-16 TEAMS'!H25&amp;""</f>
        <v>13</v>
      </c>
      <c r="I126" s="36" t="str">
        <f>'14U BOYS SILVER-16 TEAMS'!I25&amp;""</f>
        <v>1st/2ndB</v>
      </c>
      <c r="J126" s="36" t="str">
        <f>'14U BOYS SILVER-16 TEAMS'!J25&amp;""</f>
        <v>14U_BOYS_SILVER</v>
      </c>
      <c r="K126" s="36" t="str">
        <f t="shared" si="1"/>
        <v>202603071550</v>
      </c>
    </row>
    <row r="127" spans="1:11">
      <c r="A127" s="157">
        <f>'16U BOYS PLATINUM GOLD-10 TEAMS'!A19</f>
        <v>46088</v>
      </c>
      <c r="B127" s="158">
        <f>'16U BOYS PLATINUM GOLD-10 TEAMS'!B19</f>
        <v>0.66666666666666696</v>
      </c>
      <c r="C127" s="158" t="str">
        <f>'16U BOYS PLATINUM GOLD-10 TEAMS'!C19&amp;""</f>
        <v>WOOLLETT NEAR RIGHT</v>
      </c>
      <c r="D127" s="157" t="str">
        <f>'16U BOYS PLATINUM GOLD-10 TEAMS'!D19&amp;""</f>
        <v>16Bptau10</v>
      </c>
      <c r="E127" s="158" t="str">
        <f>'16U BOYS PLATINUM GOLD-10 TEAMS'!E19&amp;""</f>
        <v>B1-ALAMEDA</v>
      </c>
      <c r="F127" s="158" t="str">
        <f>'16U BOYS PLATINUM GOLD-10 TEAMS'!F19&amp;""</f>
        <v>7</v>
      </c>
      <c r="G127" s="159" t="str">
        <f>'16U BOYS PLATINUM GOLD-10 TEAMS'!G19&amp;""</f>
        <v>B3-TROJAN GOLD</v>
      </c>
      <c r="H127" s="159" t="str">
        <f>'16U BOYS PLATINUM GOLD-10 TEAMS'!H19&amp;""</f>
        <v>4</v>
      </c>
      <c r="I127" s="159" t="str">
        <f>'16U BOYS PLATINUM GOLD-10 TEAMS'!I19&amp;""</f>
        <v>B bracket B1,B3</v>
      </c>
      <c r="J127" s="159" t="str">
        <f>'16U BOYS PLATINUM GOLD-10 TEAMS'!J19&amp;""</f>
        <v>16U_BOYS_PLATINUM_GOLD</v>
      </c>
      <c r="K127" s="159" t="str">
        <f t="shared" si="1"/>
        <v>202603071600</v>
      </c>
    </row>
    <row r="128" spans="1:11">
      <c r="A128" s="107">
        <f>'14U GIRLS-9 TEAMS'!A24</f>
        <v>46088</v>
      </c>
      <c r="B128" s="106">
        <f>'14U GIRLS-9 TEAMS'!B24</f>
        <v>0.67361111111111105</v>
      </c>
      <c r="C128" s="105" t="str">
        <f>'14U GIRLS-9 TEAMS'!C24&amp;""</f>
        <v>EL TORO HS 1</v>
      </c>
      <c r="D128" s="28" t="str">
        <f>'14U GIRLS-9 TEAMS'!D24&amp;""</f>
        <v>14G09</v>
      </c>
      <c r="E128" s="28" t="str">
        <f>'14U GIRLS-9 TEAMS'!E24&amp;""</f>
        <v>A1-VIKING</v>
      </c>
      <c r="F128" s="28" t="str">
        <f>'14U GIRLS-9 TEAMS'!F24&amp;""</f>
        <v>5</v>
      </c>
      <c r="G128" s="28" t="str">
        <f>'14U GIRLS-9 TEAMS'!G24&amp;""</f>
        <v>A2-ROGUE 619</v>
      </c>
      <c r="H128" s="28" t="str">
        <f>'14U GIRLS-9 TEAMS'!H24&amp;""</f>
        <v>9</v>
      </c>
      <c r="I128" s="28" t="str">
        <f>'14U GIRLS-9 TEAMS'!I24&amp;""</f>
        <v>A bracket platinum 1st-3rd</v>
      </c>
      <c r="J128" s="28" t="str">
        <f>'14U GIRLS-9 TEAMS'!J24&amp;""</f>
        <v>14U_GIRLS</v>
      </c>
      <c r="K128" s="28" t="str">
        <f t="shared" si="1"/>
        <v>202603071610</v>
      </c>
    </row>
    <row r="129" spans="1:11">
      <c r="A129" s="107">
        <f>'14U GIRLS-9 TEAMS'!A23</f>
        <v>46088</v>
      </c>
      <c r="B129" s="106">
        <f>'14U GIRLS-9 TEAMS'!B23</f>
        <v>0.67361111111111105</v>
      </c>
      <c r="C129" s="105" t="str">
        <f>'14U GIRLS-9 TEAMS'!C23&amp;""</f>
        <v>SAN JUAN HILLS HS</v>
      </c>
      <c r="D129" s="28" t="str">
        <f>'14U GIRLS-9 TEAMS'!D23&amp;""</f>
        <v>14G08</v>
      </c>
      <c r="E129" s="28" t="str">
        <f>'14U GIRLS-9 TEAMS'!E23&amp;""</f>
        <v>B2-PALOS VERDES BLACK</v>
      </c>
      <c r="F129" s="28" t="str">
        <f>'14U GIRLS-9 TEAMS'!F23&amp;""</f>
        <v>5</v>
      </c>
      <c r="G129" s="28" t="str">
        <f>'14U GIRLS-9 TEAMS'!G23&amp;""</f>
        <v>B3-ELITE</v>
      </c>
      <c r="H129" s="28" t="str">
        <f>'14U GIRLS-9 TEAMS'!H23&amp;""</f>
        <v>6</v>
      </c>
      <c r="I129" s="28" t="str">
        <f>'14U GIRLS-9 TEAMS'!I23&amp;""</f>
        <v>B bracket gold 1st-3rd</v>
      </c>
      <c r="J129" s="28" t="str">
        <f>'14U GIRLS-9 TEAMS'!J23&amp;""</f>
        <v>14U_GIRLS</v>
      </c>
      <c r="K129" s="28" t="str">
        <f t="shared" si="1"/>
        <v>202603071610</v>
      </c>
    </row>
    <row r="130" spans="1:11">
      <c r="A130" s="86">
        <f>'12U COED GIRLS-9 TEAMS CUSTOM'!A23</f>
        <v>46088</v>
      </c>
      <c r="B130" s="85">
        <f>'12U COED GIRLS-9 TEAMS CUSTOM'!B23</f>
        <v>0.68055555555555602</v>
      </c>
      <c r="C130" s="24" t="str">
        <f>'12U COED GIRLS-9 TEAMS CUSTOM'!C23&amp;""</f>
        <v>WOOLLETT FAR RIGHT</v>
      </c>
      <c r="D130" s="24" t="str">
        <f>'12U COED GIRLS-9 TEAMS CUSTOM'!D23&amp;""</f>
        <v>12GC09</v>
      </c>
      <c r="E130" s="85" t="str">
        <f>'12U COED GIRLS-9 TEAMS CUSTOM'!E23&amp;""</f>
        <v>C1-INNIS ARDEN</v>
      </c>
      <c r="F130" s="24" t="str">
        <f>'12U COED GIRLS-9 TEAMS CUSTOM'!F23&amp;""</f>
        <v>12</v>
      </c>
      <c r="G130" s="85" t="str">
        <f>'12U COED GIRLS-9 TEAMS CUSTOM'!G23&amp;""</f>
        <v>C2-CMAC GIRLS</v>
      </c>
      <c r="H130" s="24" t="str">
        <f>'12U COED GIRLS-9 TEAMS CUSTOM'!H23&amp;""</f>
        <v>7</v>
      </c>
      <c r="I130" s="24" t="str">
        <f>'12U COED GIRLS-9 TEAMS CUSTOM'!I23&amp;""</f>
        <v>C bracket C1,C2</v>
      </c>
      <c r="J130" s="24" t="str">
        <f>'12U COED GIRLS-9 TEAMS CUSTOM'!J23&amp;""</f>
        <v>12U_COED_GIRLS</v>
      </c>
      <c r="K130" s="24" t="str">
        <f t="shared" ref="K130:K193" si="2">TEXT(DATE(2026, MONTH(A130), DAY(A130)) + TIME(HOUR(B130), MINUTE(B130), 0), "yyyymmddhhmm")</f>
        <v>202603071620</v>
      </c>
    </row>
    <row r="131" spans="1:11">
      <c r="A131" s="91">
        <f>'14U BOYS GOLD-16 TEAMS'!A28</f>
        <v>46089</v>
      </c>
      <c r="B131" s="35">
        <f>'14U BOYS GOLD-16 TEAMS'!B28</f>
        <v>0.3263888888888889</v>
      </c>
      <c r="C131" s="91" t="str">
        <f>'14U BOYS GOLD-16 TEAMS'!C28&amp;""</f>
        <v>ALISO NIGUEL HS</v>
      </c>
      <c r="D131" s="35" t="str">
        <f>'14U BOYS GOLD-16 TEAMS'!D28&amp;""</f>
        <v>14Bau29</v>
      </c>
      <c r="E131" s="35" t="str">
        <f>'14U BOYS GOLD-16 TEAMS'!E28&amp;""</f>
        <v>4thD-CDM B</v>
      </c>
      <c r="F131" s="33" t="str">
        <f>'14U BOYS GOLD-16 TEAMS'!F28&amp;""</f>
        <v>1</v>
      </c>
      <c r="G131" s="33" t="str">
        <f>'14U BOYS GOLD-16 TEAMS'!G28&amp;""</f>
        <v>4thA-LAWPC</v>
      </c>
      <c r="H131" s="33" t="str">
        <f>'14U BOYS GOLD-16 TEAMS'!H28&amp;""</f>
        <v>10</v>
      </c>
      <c r="I131" s="33" t="str">
        <f>'14U BOYS GOLD-16 TEAMS'!I28&amp;""</f>
        <v>13-16 semi</v>
      </c>
      <c r="J131" s="33" t="str">
        <f>'14U BOYS GOLD-16 TEAMS'!J28&amp;""</f>
        <v>14U_BOYS_GOLD</v>
      </c>
      <c r="K131" s="33" t="str">
        <f t="shared" si="2"/>
        <v>202603080750</v>
      </c>
    </row>
    <row r="132" spans="1:11">
      <c r="A132" s="77">
        <f>'12U BOYS-16 TEAMS'!A49</f>
        <v>46089</v>
      </c>
      <c r="B132" s="76">
        <f>'12U BOYS-16 TEAMS'!B49</f>
        <v>0.3263888888888889</v>
      </c>
      <c r="C132" s="76" t="str">
        <f>'12U BOYS-16 TEAMS'!C49&amp;""</f>
        <v>COSTA MESA HS 2</v>
      </c>
      <c r="D132" s="26" t="str">
        <f>'12U BOYS-16 TEAMS'!D49&amp;""</f>
        <v>12B19</v>
      </c>
      <c r="E132" s="26" t="str">
        <f>'12U BOYS-16 TEAMS'!E49&amp;""</f>
        <v>2ndA-CMAC</v>
      </c>
      <c r="F132" s="26" t="str">
        <f>'12U BOYS-16 TEAMS'!F49&amp;""</f>
        <v>8</v>
      </c>
      <c r="G132" s="26" t="str">
        <f>'12U BOYS-16 TEAMS'!G49&amp;""</f>
        <v>3rdD-NEWPORT BEACH 10 BLUE</v>
      </c>
      <c r="H132" s="26" t="str">
        <f>'12U BOYS-16 TEAMS'!H49&amp;""</f>
        <v>6</v>
      </c>
      <c r="I132" s="26" t="str">
        <f>'12U BOYS-16 TEAMS'!I49&amp;""</f>
        <v>cross</v>
      </c>
      <c r="J132" s="26" t="str">
        <f>'12U BOYS-16 TEAMS'!J49&amp;""</f>
        <v>12U_BOYS</v>
      </c>
      <c r="K132" s="26" t="str">
        <f t="shared" si="2"/>
        <v>202603080750</v>
      </c>
    </row>
    <row r="133" spans="1:11">
      <c r="A133" s="107">
        <f>'14U GIRLS-9 TEAMS'!A28</f>
        <v>46089</v>
      </c>
      <c r="B133" s="106">
        <f>'14U GIRLS-9 TEAMS'!B28</f>
        <v>0.3263888888888889</v>
      </c>
      <c r="C133" s="105" t="str">
        <f>'14U GIRLS-9 TEAMS'!C28&amp;""</f>
        <v>EL TORO HS 1</v>
      </c>
      <c r="D133" s="28" t="str">
        <f>'14U GIRLS-9 TEAMS'!D28&amp;""</f>
        <v>14G10</v>
      </c>
      <c r="E133" s="28" t="str">
        <f>'14U GIRLS-9 TEAMS'!E28&amp;""</f>
        <v>D1(3rdA)-NORTH IRVINE</v>
      </c>
      <c r="F133" s="28" t="str">
        <f>'14U GIRLS-9 TEAMS'!F28&amp;""</f>
        <v>16</v>
      </c>
      <c r="G133" s="28" t="str">
        <f>'14U GIRLS-9 TEAMS'!G28&amp;""</f>
        <v>D3(3rdC)-TROJAN</v>
      </c>
      <c r="H133" s="28" t="str">
        <f>'14U GIRLS-9 TEAMS'!H28&amp;""</f>
        <v>3</v>
      </c>
      <c r="I133" s="28" t="str">
        <f>'14U GIRLS-9 TEAMS'!I28&amp;""</f>
        <v>plat-gold-silver D1,D3</v>
      </c>
      <c r="J133" s="28" t="str">
        <f>'14U GIRLS-9 TEAMS'!J28&amp;""</f>
        <v>14U_GIRLS</v>
      </c>
      <c r="K133" s="28" t="str">
        <f t="shared" si="2"/>
        <v>202603080750</v>
      </c>
    </row>
    <row r="134" spans="1:11">
      <c r="A134" s="88">
        <f>'14U BOYS SILVER-16 TEAMS'!A29</f>
        <v>46089</v>
      </c>
      <c r="B134" s="87">
        <f>'14U BOYS SILVER-16 TEAMS'!B29</f>
        <v>0.3263888888888889</v>
      </c>
      <c r="C134" s="87" t="str">
        <f>'14U BOYS SILVER-16 TEAMS'!C29&amp;""</f>
        <v>ESTANCIA HS 2</v>
      </c>
      <c r="D134" s="36" t="str">
        <f>'14U BOYS SILVER-16 TEAMS'!D29&amp;""</f>
        <v>14Bag27</v>
      </c>
      <c r="E134" s="36" t="str">
        <f>'14U BOYS SILVER-16 TEAMS'!E29&amp;""</f>
        <v>3rdA-SAND CANYON</v>
      </c>
      <c r="F134" s="36" t="str">
        <f>'14U BOYS SILVER-16 TEAMS'!F29&amp;""</f>
        <v>17</v>
      </c>
      <c r="G134" s="36" t="str">
        <f>'14U BOYS SILVER-16 TEAMS'!G29&amp;""</f>
        <v>3rdD-TITANS</v>
      </c>
      <c r="H134" s="36" t="str">
        <f>'14U BOYS SILVER-16 TEAMS'!H29&amp;""</f>
        <v>8</v>
      </c>
      <c r="I134" s="36" t="str">
        <f>'14U BOYS SILVER-16 TEAMS'!I29&amp;""</f>
        <v>9-12 semi 3A/3D</v>
      </c>
      <c r="J134" s="36" t="str">
        <f>'14U BOYS SILVER-16 TEAMS'!J29&amp;""</f>
        <v>14U_BOYS_SILVER</v>
      </c>
      <c r="K134" s="36" t="str">
        <f t="shared" si="2"/>
        <v>202603080750</v>
      </c>
    </row>
    <row r="135" spans="1:11">
      <c r="A135" s="86">
        <f>'12U COED GIRLS-9 TEAMS CUSTOM'!A27</f>
        <v>46089</v>
      </c>
      <c r="B135" s="85">
        <f>'12U COED GIRLS-9 TEAMS CUSTOM'!B27</f>
        <v>0.3263888888888889</v>
      </c>
      <c r="C135" s="24" t="str">
        <f>'12U COED GIRLS-9 TEAMS CUSTOM'!C27&amp;""</f>
        <v>LAGUNA HILLS HS</v>
      </c>
      <c r="D135" s="24" t="str">
        <f>'12U COED GIRLS-9 TEAMS CUSTOM'!D27&amp;""</f>
        <v>12GC10</v>
      </c>
      <c r="E135" s="24" t="str">
        <f>'12U COED GIRLS-9 TEAMS CUSTOM'!E27&amp;""</f>
        <v>D1(1stA)-TRILOGY</v>
      </c>
      <c r="F135" s="24" t="str">
        <f>'12U COED GIRLS-9 TEAMS CUSTOM'!F27&amp;""</f>
        <v>10</v>
      </c>
      <c r="G135" s="24" t="str">
        <f>'12U COED GIRLS-9 TEAMS CUSTOM'!G27&amp;""</f>
        <v>D3(1stC)-INNIS ARDEN</v>
      </c>
      <c r="H135" s="24" t="str">
        <f>'12U COED GIRLS-9 TEAMS CUSTOM'!H27&amp;""</f>
        <v>8</v>
      </c>
      <c r="I135" s="24" t="str">
        <f>'12U COED GIRLS-9 TEAMS CUSTOM'!I27&amp;""</f>
        <v>D bracket D1,D3 Coed 1st-3rd</v>
      </c>
      <c r="J135" s="24" t="str">
        <f>'12U COED GIRLS-9 TEAMS CUSTOM'!J27&amp;""</f>
        <v>12U_COED_GIRLS</v>
      </c>
      <c r="K135" s="24" t="str">
        <f t="shared" si="2"/>
        <v>202603080750</v>
      </c>
    </row>
    <row r="136" spans="1:11">
      <c r="A136" s="91">
        <f>'14U BOYS GOLD-16 TEAMS'!A29</f>
        <v>46089</v>
      </c>
      <c r="B136" s="35">
        <f>'14U BOYS GOLD-16 TEAMS'!B29</f>
        <v>0.3263888888888889</v>
      </c>
      <c r="C136" s="91" t="str">
        <f>'14U BOYS GOLD-16 TEAMS'!C29&amp;""</f>
        <v>SAN JUAN HILLS HS</v>
      </c>
      <c r="D136" s="35" t="str">
        <f>'14U BOYS GOLD-16 TEAMS'!D29&amp;""</f>
        <v>14Bau27</v>
      </c>
      <c r="E136" s="35" t="str">
        <f>'14U BOYS GOLD-16 TEAMS'!E29&amp;""</f>
        <v>3rdA-TRILOGY BLACK</v>
      </c>
      <c r="F136" s="33" t="str">
        <f>'14U BOYS GOLD-16 TEAMS'!F29&amp;""</f>
        <v>4</v>
      </c>
      <c r="G136" s="33" t="str">
        <f>'14U BOYS GOLD-16 TEAMS'!G29&amp;""</f>
        <v>3rdD-PRIDE RED</v>
      </c>
      <c r="H136" s="33" t="str">
        <f>'14U BOYS GOLD-16 TEAMS'!H29&amp;""</f>
        <v>6</v>
      </c>
      <c r="I136" s="33" t="str">
        <f>'14U BOYS GOLD-16 TEAMS'!I29&amp;""</f>
        <v>9-12 semi 3A/3D</v>
      </c>
      <c r="J136" s="33" t="str">
        <f>'14U BOYS GOLD-16 TEAMS'!J29&amp;""</f>
        <v>14U_BOYS_GOLD</v>
      </c>
      <c r="K136" s="33" t="str">
        <f t="shared" si="2"/>
        <v>202603080750</v>
      </c>
    </row>
    <row r="137" spans="1:11">
      <c r="A137" s="94">
        <f>'14U BOYS PLATINUM-10 TEAMS'!A23</f>
        <v>46089</v>
      </c>
      <c r="B137" s="93">
        <f>'14U BOYS PLATINUM-10 TEAMS'!B23</f>
        <v>0.3263888888888889</v>
      </c>
      <c r="C137" s="93" t="str">
        <f>'14U BOYS PLATINUM-10 TEAMS'!C23&amp;""</f>
        <v>WESTMINSTER HS</v>
      </c>
      <c r="D137" s="32" t="str">
        <f>'14U BOYS PLATINUM-10 TEAMS'!D23&amp;""</f>
        <v>14Bpt11</v>
      </c>
      <c r="E137" s="32" t="str">
        <f>'14U BOYS PLATINUM-10 TEAMS'!E23&amp;""</f>
        <v>C2-VANGUARD BLUE</v>
      </c>
      <c r="F137" s="32" t="str">
        <f>'14U BOYS PLATINUM-10 TEAMS'!F23&amp;""</f>
        <v>14</v>
      </c>
      <c r="G137" s="32" t="str">
        <f>'14U BOYS PLATINUM-10 TEAMS'!G23&amp;""</f>
        <v>C4-DEVILS GATE</v>
      </c>
      <c r="H137" s="32" t="str">
        <f>'14U BOYS PLATINUM-10 TEAMS'!H23&amp;""</f>
        <v>6</v>
      </c>
      <c r="I137" s="32" t="str">
        <f>'14U BOYS PLATINUM-10 TEAMS'!I23&amp;""</f>
        <v>C bracket C2,C4</v>
      </c>
      <c r="J137" s="32" t="str">
        <f>'14U BOYS PLATINUM-10 TEAMS'!J23&amp;""</f>
        <v>14U_BOYS_PLATINUM</v>
      </c>
      <c r="K137" s="32" t="str">
        <f t="shared" si="2"/>
        <v>202603080750</v>
      </c>
    </row>
    <row r="138" spans="1:11">
      <c r="A138" s="113">
        <f>'16U BOYS SILVER-8 TEAMS'!A21</f>
        <v>46089</v>
      </c>
      <c r="B138" s="112">
        <f>'16U BOYS SILVER-8 TEAMS'!B21</f>
        <v>0.33333333333333298</v>
      </c>
      <c r="C138" s="27" t="str">
        <f>'16U BOYS SILVER-8 TEAMS'!C21&amp;""</f>
        <v>COSTA MESA HS 1</v>
      </c>
      <c r="D138" s="27" t="str">
        <f>'16U BOYS SILVER-8 TEAMS'!D21&amp;""</f>
        <v>16Bag09</v>
      </c>
      <c r="E138" s="27" t="str">
        <f>'16U BOYS SILVER-8 TEAMS'!E21&amp;""</f>
        <v>B3-SAN CLEMENTE BLACK</v>
      </c>
      <c r="F138" s="27" t="str">
        <f>'16U BOYS SILVER-8 TEAMS'!F21&amp;""</f>
        <v>16</v>
      </c>
      <c r="G138" s="27" t="str">
        <f>'16U BOYS SILVER-8 TEAMS'!G21&amp;""</f>
        <v>B4-NORTH IRVINE 14 BLACK</v>
      </c>
      <c r="H138" s="27" t="str">
        <f>'16U BOYS SILVER-8 TEAMS'!H21&amp;""</f>
        <v>17</v>
      </c>
      <c r="I138" s="27" t="str">
        <f>'16U BOYS SILVER-8 TEAMS'!I21&amp;""</f>
        <v>bracket, B3/B4</v>
      </c>
      <c r="J138" s="27" t="str">
        <f>'16U BOYS SILVER-8 TEAMS'!J21&amp;""</f>
        <v>16U_BOYS_SILVER</v>
      </c>
      <c r="K138" s="27" t="str">
        <f t="shared" si="2"/>
        <v>202603080800</v>
      </c>
    </row>
    <row r="139" spans="1:11">
      <c r="A139" s="142">
        <f>'19U BOYS PLATINUM GOLD-11 TEAMS'!A27</f>
        <v>46089</v>
      </c>
      <c r="B139" s="143">
        <f>'19U BOYS PLATINUM GOLD-11 TEAMS'!B27</f>
        <v>0.33333333333333298</v>
      </c>
      <c r="C139" s="142" t="str">
        <f>'19U BOYS PLATINUM GOLD-11 TEAMS'!C27&amp;""</f>
        <v>ESTANCIA HS 1</v>
      </c>
      <c r="D139" s="31" t="str">
        <f>'19U BOYS PLATINUM GOLD-11 TEAMS'!D27&amp;""</f>
        <v>19Bptau15</v>
      </c>
      <c r="E139" s="142" t="str">
        <f>'19U BOYS PLATINUM GOLD-11 TEAMS'!E27&amp;""</f>
        <v>E1(2ndA)-VANGUARD SILVER</v>
      </c>
      <c r="F139" s="31" t="str">
        <f>'19U BOYS PLATINUM GOLD-11 TEAMS'!F27&amp;""</f>
        <v>10</v>
      </c>
      <c r="G139" s="142" t="str">
        <f>'19U BOYS PLATINUM GOLD-11 TEAMS'!G27&amp;""</f>
        <v>E3(2ndC)-TROJAN  16 CARDINAL pt</v>
      </c>
      <c r="H139" s="31" t="str">
        <f>'19U BOYS PLATINUM GOLD-11 TEAMS'!H27&amp;""</f>
        <v>9</v>
      </c>
      <c r="I139" s="31" t="str">
        <f>'19U BOYS PLATINUM GOLD-11 TEAMS'!I27&amp;""</f>
        <v>E1,E3 4th-6th</v>
      </c>
      <c r="J139" s="31" t="str">
        <f>'19U BOYS PLATINUM GOLD-11 TEAMS'!J27&amp;""</f>
        <v>19U_BOYS_PLATINUM_GOLD</v>
      </c>
      <c r="K139" s="31" t="str">
        <f t="shared" si="2"/>
        <v>202603080800</v>
      </c>
    </row>
    <row r="140" spans="1:11">
      <c r="A140" s="142">
        <f>'19U BOYS PLATINUM GOLD-11 TEAMS'!A26</f>
        <v>46089</v>
      </c>
      <c r="B140" s="143">
        <f>'19U BOYS PLATINUM GOLD-11 TEAMS'!B26</f>
        <v>0.33333333333333298</v>
      </c>
      <c r="C140" s="142" t="str">
        <f>'19U BOYS PLATINUM GOLD-11 TEAMS'!C26&amp;""</f>
        <v>WOOLLETT NEAR LEFT</v>
      </c>
      <c r="D140" s="31" t="str">
        <f>'19U BOYS PLATINUM GOLD-11 TEAMS'!D26&amp;""</f>
        <v>19Bptau12</v>
      </c>
      <c r="E140" s="142" t="str">
        <f>'19U BOYS PLATINUM GOLD-11 TEAMS'!E26&amp;""</f>
        <v>F1(3rdA)-TSM B</v>
      </c>
      <c r="F140" s="31" t="str">
        <f>'19U BOYS PLATINUM GOLD-11 TEAMS'!F26&amp;""</f>
        <v>11</v>
      </c>
      <c r="G140" s="142" t="str">
        <f>'19U BOYS PLATINUM GOLD-11 TEAMS'!G26&amp;""</f>
        <v>F2(3rdB)-HIELAND</v>
      </c>
      <c r="H140" s="31" t="str">
        <f>'19U BOYS PLATINUM GOLD-11 TEAMS'!H26&amp;""</f>
        <v>17</v>
      </c>
      <c r="I140" s="31" t="str">
        <f>'19U BOYS PLATINUM GOLD-11 TEAMS'!I26&amp;""</f>
        <v>F1,F2 7th-11th</v>
      </c>
      <c r="J140" s="31" t="str">
        <f>'19U BOYS PLATINUM GOLD-11 TEAMS'!J26&amp;""</f>
        <v>19U_BOYS_PLATINUM_GOLD</v>
      </c>
      <c r="K140" s="31" t="str">
        <f t="shared" si="2"/>
        <v>202603080800</v>
      </c>
    </row>
    <row r="141" spans="1:11">
      <c r="A141" s="157">
        <f>'16U BOYS PLATINUM GOLD-10 TEAMS'!A23</f>
        <v>46089</v>
      </c>
      <c r="B141" s="158">
        <f>'16U BOYS PLATINUM GOLD-10 TEAMS'!B23</f>
        <v>0.33333333333333298</v>
      </c>
      <c r="C141" s="158" t="str">
        <f>'16U BOYS PLATINUM GOLD-10 TEAMS'!C23&amp;""</f>
        <v>WOOLLETT NEAR RIGHT</v>
      </c>
      <c r="D141" s="157" t="str">
        <f>'16U BOYS PLATINUM GOLD-10 TEAMS'!D23&amp;""</f>
        <v>16Bptau11</v>
      </c>
      <c r="E141" s="158" t="str">
        <f>'16U BOYS PLATINUM GOLD-10 TEAMS'!E23&amp;""</f>
        <v>C2-TRILOGY BLACK</v>
      </c>
      <c r="F141" s="158" t="str">
        <f>'16U BOYS PLATINUM GOLD-10 TEAMS'!F23&amp;""</f>
        <v>14</v>
      </c>
      <c r="G141" s="159" t="str">
        <f>'16U BOYS PLATINUM GOLD-10 TEAMS'!G23&amp;""</f>
        <v>C4-ELITE</v>
      </c>
      <c r="H141" s="159" t="str">
        <f>'16U BOYS PLATINUM GOLD-10 TEAMS'!H23&amp;""</f>
        <v>6</v>
      </c>
      <c r="I141" s="159" t="str">
        <f>'16U BOYS PLATINUM GOLD-10 TEAMS'!I23&amp;""</f>
        <v>C bracket C2,C4</v>
      </c>
      <c r="J141" s="159" t="str">
        <f>'16U BOYS PLATINUM GOLD-10 TEAMS'!J23&amp;""</f>
        <v>16U_BOYS_PLATINUM_GOLD</v>
      </c>
      <c r="K141" s="159" t="str">
        <f t="shared" si="2"/>
        <v>202603080800</v>
      </c>
    </row>
    <row r="142" spans="1:11">
      <c r="A142" s="67">
        <f>'10U GIRLS COED AU AG-12 TEAMS'!A25</f>
        <v>46089</v>
      </c>
      <c r="B142" s="152">
        <f>'10U GIRLS COED AU AG-12 TEAMS'!B25</f>
        <v>0.33333333333333331</v>
      </c>
      <c r="C142" s="66" t="str">
        <f>'10U GIRLS COED AU AG-12 TEAMS'!C25&amp;""</f>
        <v>EL TORO HS 2</v>
      </c>
      <c r="D142" s="20" t="str">
        <f>'10U GIRLS COED AU AG-12 TEAMS'!D25&amp;""</f>
        <v>10GCauag13</v>
      </c>
      <c r="E142" s="20" t="str">
        <f>'10U GIRLS COED AU AG-12 TEAMS'!E25&amp;""</f>
        <v>A1-TROJAN SOUTH au</v>
      </c>
      <c r="F142" s="20" t="str">
        <f>'10U GIRLS COED AU AG-12 TEAMS'!F25&amp;""</f>
        <v>9</v>
      </c>
      <c r="G142" s="20" t="str">
        <f>'10U GIRLS COED AU AG-12 TEAMS'!G25&amp;""</f>
        <v>A2-VANGUARD BLUE au</v>
      </c>
      <c r="H142" s="20" t="str">
        <f>'10U GIRLS COED AU AG-12 TEAMS'!H25&amp;""</f>
        <v>15</v>
      </c>
      <c r="I142" s="20" t="str">
        <f>'10U GIRLS COED AU AG-12 TEAMS'!I25&amp;""</f>
        <v>bracket, A1/A2 coed gold 1st-4th</v>
      </c>
      <c r="J142" s="20" t="str">
        <f>'10U GIRLS COED AU AG-12 TEAMS'!J25&amp;""</f>
        <v>10U_GIRLS_COED_GOLD_SILVER</v>
      </c>
      <c r="K142" s="20" t="str">
        <f t="shared" si="2"/>
        <v>202603080800</v>
      </c>
    </row>
    <row r="143" spans="1:11">
      <c r="A143" s="153">
        <f>'10U BOYS &amp; COED PT-7 CUSTOM'!A22</f>
        <v>46089</v>
      </c>
      <c r="B143" s="54">
        <f>'10U BOYS &amp; COED PT-7 CUSTOM'!B22</f>
        <v>0.33333333333333331</v>
      </c>
      <c r="C143" s="21" t="str">
        <f>'10U BOYS &amp; COED PT-7 CUSTOM'!C22&amp;""</f>
        <v>WOOLLETT FAR LEFT</v>
      </c>
      <c r="D143" s="21" t="str">
        <f>'10U BOYS &amp; COED PT-7 CUSTOM'!D22&amp;""</f>
        <v>10BCpt08</v>
      </c>
      <c r="E143" s="21" t="str">
        <f>'10U BOYS &amp; COED PT-7 CUSTOM'!E22&amp;""</f>
        <v>B3-SAN CLEMENTE RED</v>
      </c>
      <c r="F143" s="21" t="str">
        <f>'10U BOYS &amp; COED PT-7 CUSTOM'!F22&amp;""</f>
        <v>17</v>
      </c>
      <c r="G143" s="21" t="str">
        <f>'10U BOYS &amp; COED PT-7 CUSTOM'!G22&amp;""</f>
        <v>B4-NEWPORT BEACH WHITE</v>
      </c>
      <c r="H143" s="21" t="str">
        <f>'10U BOYS &amp; COED PT-7 CUSTOM'!H22&amp;""</f>
        <v>4</v>
      </c>
      <c r="I143" s="21" t="str">
        <f>'10U BOYS &amp; COED PT-7 CUSTOM'!I22&amp;""</f>
        <v>B bracket B3,B4 Boys 1st-4th</v>
      </c>
      <c r="J143" s="21" t="str">
        <f>'10U BOYS &amp; COED PT-7 CUSTOM'!J22&amp;""</f>
        <v>10U_BOYS_&amp;_COED_PLATINUM</v>
      </c>
      <c r="K143" s="21" t="str">
        <f t="shared" si="2"/>
        <v>202603080800</v>
      </c>
    </row>
    <row r="144" spans="1:11">
      <c r="A144" s="91">
        <f>'14U BOYS GOLD-16 TEAMS'!A30</f>
        <v>46089</v>
      </c>
      <c r="B144" s="35">
        <f>'14U BOYS GOLD-16 TEAMS'!B30</f>
        <v>0.36111111111111099</v>
      </c>
      <c r="C144" s="91" t="str">
        <f>'14U BOYS GOLD-16 TEAMS'!C30&amp;""</f>
        <v>ALISO NIGUEL HS</v>
      </c>
      <c r="D144" s="35" t="str">
        <f>'14U BOYS GOLD-16 TEAMS'!D30&amp;""</f>
        <v>14Bau30</v>
      </c>
      <c r="E144" s="35" t="str">
        <f>'14U BOYS GOLD-16 TEAMS'!E30&amp;""</f>
        <v>4thC-SAN DIEGO DONS 12 RED</v>
      </c>
      <c r="F144" s="33" t="str">
        <f>'14U BOYS GOLD-16 TEAMS'!F30&amp;""</f>
        <v>3</v>
      </c>
      <c r="G144" s="33" t="str">
        <f>'14U BOYS GOLD-16 TEAMS'!G30&amp;""</f>
        <v>4thB-MISSION 14B</v>
      </c>
      <c r="H144" s="33" t="str">
        <f>'14U BOYS GOLD-16 TEAMS'!H30&amp;""</f>
        <v>7</v>
      </c>
      <c r="I144" s="33" t="str">
        <f>'14U BOYS GOLD-16 TEAMS'!I30&amp;""</f>
        <v>13-16 semi</v>
      </c>
      <c r="J144" s="33" t="str">
        <f>'14U BOYS GOLD-16 TEAMS'!J30&amp;""</f>
        <v>14U_BOYS_GOLD</v>
      </c>
      <c r="K144" s="33" t="str">
        <f t="shared" si="2"/>
        <v>202603080840</v>
      </c>
    </row>
    <row r="145" spans="1:11">
      <c r="A145" s="77">
        <f>'12U BOYS-16 TEAMS'!A50</f>
        <v>46089</v>
      </c>
      <c r="B145" s="76">
        <f>'12U BOYS-16 TEAMS'!B50</f>
        <v>0.36111111111111099</v>
      </c>
      <c r="C145" s="76" t="str">
        <f>'12U BOYS-16 TEAMS'!C50&amp;""</f>
        <v>COSTA MESA HS 2</v>
      </c>
      <c r="D145" s="26" t="str">
        <f>'12U BOYS-16 TEAMS'!D50&amp;""</f>
        <v>12B20</v>
      </c>
      <c r="E145" s="26" t="str">
        <f>'12U BOYS-16 TEAMS'!E50&amp;""</f>
        <v>2ndE-ORWP B</v>
      </c>
      <c r="F145" s="26" t="str">
        <f>'12U BOYS-16 TEAMS'!F50&amp;""</f>
        <v>6</v>
      </c>
      <c r="G145" s="26" t="str">
        <f>'12U BOYS-16 TEAMS'!G50&amp;""</f>
        <v>4thD-VANGUARD SILVER</v>
      </c>
      <c r="H145" s="26" t="str">
        <f>'12U BOYS-16 TEAMS'!H50&amp;""</f>
        <v>16</v>
      </c>
      <c r="I145" s="26" t="str">
        <f>'12U BOYS-16 TEAMS'!I50&amp;""</f>
        <v>cross</v>
      </c>
      <c r="J145" s="26" t="str">
        <f>'12U BOYS-16 TEAMS'!J50&amp;""</f>
        <v>12U_BOYS</v>
      </c>
      <c r="K145" s="26" t="str">
        <f t="shared" si="2"/>
        <v>202603080840</v>
      </c>
    </row>
    <row r="146" spans="1:11">
      <c r="A146" s="107">
        <f>'14U GIRLS-9 TEAMS'!A29</f>
        <v>46089</v>
      </c>
      <c r="B146" s="106">
        <f>'14U GIRLS-9 TEAMS'!B29</f>
        <v>0.36111111111111099</v>
      </c>
      <c r="C146" s="105" t="str">
        <f>'14U GIRLS-9 TEAMS'!C29&amp;""</f>
        <v>EL TORO HS 1</v>
      </c>
      <c r="D146" s="28" t="str">
        <f>'14U GIRLS-9 TEAMS'!D29&amp;""</f>
        <v>14G11</v>
      </c>
      <c r="E146" s="28" t="str">
        <f>'14U GIRLS-9 TEAMS'!E29&amp;""</f>
        <v>E1(2ndA)-VIKING</v>
      </c>
      <c r="F146" s="28" t="str">
        <f>'14U GIRLS-9 TEAMS'!F29&amp;""</f>
        <v>10</v>
      </c>
      <c r="G146" s="28" t="str">
        <f>'14U GIRLS-9 TEAMS'!G29&amp;""</f>
        <v>E3(2ndC)-CV PREMIER</v>
      </c>
      <c r="H146" s="28" t="str">
        <f>'14U GIRLS-9 TEAMS'!H29&amp;""</f>
        <v>3</v>
      </c>
      <c r="I146" s="28" t="str">
        <f>'14U GIRLS-9 TEAMS'!I29&amp;""</f>
        <v>plat-gold-silver E1,E3</v>
      </c>
      <c r="J146" s="28" t="str">
        <f>'14U GIRLS-9 TEAMS'!J29&amp;""</f>
        <v>14U_GIRLS</v>
      </c>
      <c r="K146" s="28" t="str">
        <f t="shared" si="2"/>
        <v>202603080840</v>
      </c>
    </row>
    <row r="147" spans="1:11">
      <c r="A147" s="88">
        <f>'14U BOYS SILVER-16 TEAMS'!A30</f>
        <v>46089</v>
      </c>
      <c r="B147" s="87">
        <f>'14U BOYS SILVER-16 TEAMS'!B30</f>
        <v>0.36111111111111099</v>
      </c>
      <c r="C147" s="87" t="str">
        <f>'14U BOYS SILVER-16 TEAMS'!C30&amp;""</f>
        <v>ESTANCIA HS 2</v>
      </c>
      <c r="D147" s="36" t="str">
        <f>'14U BOYS SILVER-16 TEAMS'!D30&amp;""</f>
        <v>14Bag28</v>
      </c>
      <c r="E147" s="36" t="str">
        <f>'14U BOYS SILVER-16 TEAMS'!E30&amp;""</f>
        <v>3rdB-SAN CLEMENTE BLACK</v>
      </c>
      <c r="F147" s="36" t="str">
        <f>'14U BOYS SILVER-16 TEAMS'!F30&amp;""</f>
        <v>10</v>
      </c>
      <c r="G147" s="36" t="str">
        <f>'14U BOYS SILVER-16 TEAMS'!G30&amp;""</f>
        <v>3rdC-GOLD COAST</v>
      </c>
      <c r="H147" s="36" t="str">
        <f>'14U BOYS SILVER-16 TEAMS'!H30&amp;""</f>
        <v>11</v>
      </c>
      <c r="I147" s="36" t="str">
        <f>'14U BOYS SILVER-16 TEAMS'!I30&amp;""</f>
        <v>9-12 semi 3B/3C</v>
      </c>
      <c r="J147" s="36" t="str">
        <f>'14U BOYS SILVER-16 TEAMS'!J30&amp;""</f>
        <v>14U_BOYS_SILVER</v>
      </c>
      <c r="K147" s="36" t="str">
        <f t="shared" si="2"/>
        <v>202603080840</v>
      </c>
    </row>
    <row r="148" spans="1:11">
      <c r="A148" s="86">
        <f>'12U COED GIRLS-9 TEAMS CUSTOM'!A28</f>
        <v>46089</v>
      </c>
      <c r="B148" s="85">
        <f>'12U COED GIRLS-9 TEAMS CUSTOM'!B28</f>
        <v>0.36111111111111099</v>
      </c>
      <c r="C148" s="24" t="str">
        <f>'12U COED GIRLS-9 TEAMS CUSTOM'!C28&amp;""</f>
        <v>LAGUNA HILLS HS</v>
      </c>
      <c r="D148" s="24" t="str">
        <f>'12U COED GIRLS-9 TEAMS CUSTOM'!D28&amp;""</f>
        <v>12GC11</v>
      </c>
      <c r="E148" s="24" t="str">
        <f>'12U COED GIRLS-9 TEAMS CUSTOM'!E28&amp;""</f>
        <v>E1(2ndA)-PALOS VERDES</v>
      </c>
      <c r="F148" s="24" t="str">
        <f>'12U COED GIRLS-9 TEAMS CUSTOM'!F28&amp;""</f>
        <v>10</v>
      </c>
      <c r="G148" s="24" t="str">
        <f>'12U COED GIRLS-9 TEAMS CUSTOM'!G28&amp;""</f>
        <v>E3(2ndC)-LAGUNA BEACH GIRLS</v>
      </c>
      <c r="H148" s="24" t="str">
        <f>'12U COED GIRLS-9 TEAMS CUSTOM'!H28&amp;""</f>
        <v>3</v>
      </c>
      <c r="I148" s="24" t="str">
        <f>'12U COED GIRLS-9 TEAMS CUSTOM'!I28&amp;""</f>
        <v>E bracket E1,E3 cross</v>
      </c>
      <c r="J148" s="24" t="str">
        <f>'12U COED GIRLS-9 TEAMS CUSTOM'!J28&amp;""</f>
        <v>12U_COED_GIRLS</v>
      </c>
      <c r="K148" s="24" t="str">
        <f t="shared" si="2"/>
        <v>202603080840</v>
      </c>
    </row>
    <row r="149" spans="1:11">
      <c r="A149" s="91">
        <f>'14U BOYS GOLD-16 TEAMS'!A31</f>
        <v>46089</v>
      </c>
      <c r="B149" s="35">
        <f>'14U BOYS GOLD-16 TEAMS'!B31</f>
        <v>0.36111111111111099</v>
      </c>
      <c r="C149" s="91" t="str">
        <f>'14U BOYS GOLD-16 TEAMS'!C31&amp;""</f>
        <v>SAN JUAN HILLS HS</v>
      </c>
      <c r="D149" s="35" t="str">
        <f>'14U BOYS GOLD-16 TEAMS'!D31&amp;""</f>
        <v>14Bau28</v>
      </c>
      <c r="E149" s="35" t="str">
        <f>'14U BOYS GOLD-16 TEAMS'!E31&amp;""</f>
        <v>3rdB-SOCAL 12 BLACK</v>
      </c>
      <c r="F149" s="33" t="str">
        <f>'14U BOYS GOLD-16 TEAMS'!F31&amp;""</f>
        <v>8</v>
      </c>
      <c r="G149" s="33" t="str">
        <f>'14U BOYS GOLD-16 TEAMS'!G31&amp;""</f>
        <v>3rdC-NEWPORT BEACH WHITE</v>
      </c>
      <c r="H149" s="33" t="str">
        <f>'14U BOYS GOLD-16 TEAMS'!H31&amp;""</f>
        <v>11</v>
      </c>
      <c r="I149" s="33" t="str">
        <f>'14U BOYS GOLD-16 TEAMS'!I31&amp;""</f>
        <v>9-12 semi 3B/3C</v>
      </c>
      <c r="J149" s="33" t="str">
        <f>'14U BOYS GOLD-16 TEAMS'!J31&amp;""</f>
        <v>14U_BOYS_GOLD</v>
      </c>
      <c r="K149" s="33" t="str">
        <f t="shared" si="2"/>
        <v>202603080840</v>
      </c>
    </row>
    <row r="150" spans="1:11">
      <c r="A150" s="94">
        <f>'14U BOYS PLATINUM-10 TEAMS'!A24</f>
        <v>46089</v>
      </c>
      <c r="B150" s="93">
        <f>'14U BOYS PLATINUM-10 TEAMS'!B24</f>
        <v>0.36111111111111099</v>
      </c>
      <c r="C150" s="93" t="str">
        <f>'14U BOYS PLATINUM-10 TEAMS'!C24&amp;""</f>
        <v>WESTMINSTER HS</v>
      </c>
      <c r="D150" s="32" t="str">
        <f>'14U BOYS PLATINUM-10 TEAMS'!D24&amp;""</f>
        <v>14Bpt12</v>
      </c>
      <c r="E150" s="32" t="str">
        <f>'14U BOYS PLATINUM-10 TEAMS'!E24&amp;""</f>
        <v>C1-SAN DIEGO DONS</v>
      </c>
      <c r="F150" s="32" t="str">
        <f>'14U BOYS PLATINUM-10 TEAMS'!F24&amp;""</f>
        <v>8</v>
      </c>
      <c r="G150" s="32" t="str">
        <f>'14U BOYS PLATINUM-10 TEAMS'!G24&amp;""</f>
        <v>C3-RANCHO TSUNAMI BLUE</v>
      </c>
      <c r="H150" s="32" t="str">
        <f>'14U BOYS PLATINUM-10 TEAMS'!H24&amp;""</f>
        <v>5</v>
      </c>
      <c r="I150" s="32" t="str">
        <f>'14U BOYS PLATINUM-10 TEAMS'!I24&amp;""</f>
        <v>C bracket C1,C3</v>
      </c>
      <c r="J150" s="32" t="str">
        <f>'14U BOYS PLATINUM-10 TEAMS'!J24&amp;""</f>
        <v>14U_BOYS_PLATINUM</v>
      </c>
      <c r="K150" s="32" t="str">
        <f t="shared" si="2"/>
        <v>202603080840</v>
      </c>
    </row>
    <row r="151" spans="1:11">
      <c r="A151" s="77">
        <f>'12U BOYS-16 TEAMS'!A40</f>
        <v>46089</v>
      </c>
      <c r="B151" s="76">
        <f>'12U BOYS-16 TEAMS'!B40</f>
        <v>0.36111111111111099</v>
      </c>
      <c r="C151" s="76" t="str">
        <f>'12U BOYS-16 TEAMS'!C40&amp;""</f>
        <v>WOOLLETT FAR RIGHT</v>
      </c>
      <c r="D151" s="26" t="str">
        <f>'12U BOYS-16 TEAMS'!D40&amp;""</f>
        <v>12B17</v>
      </c>
      <c r="E151" s="26" t="str">
        <f>'12U BOYS-16 TEAMS'!E40&amp;""</f>
        <v>G1(2ndB)-TROJAN</v>
      </c>
      <c r="F151" s="26" t="str">
        <f>'12U BOYS-16 TEAMS'!F40&amp;""</f>
        <v>5</v>
      </c>
      <c r="G151" s="26" t="str">
        <f>'12U BOYS-16 TEAMS'!G40&amp;""</f>
        <v>G3(2ndD)-SAN DIEGO DONS 10 RED</v>
      </c>
      <c r="H151" s="26" t="str">
        <f>'12U BOYS-16 TEAMS'!H40&amp;""</f>
        <v>12</v>
      </c>
      <c r="I151" s="26" t="str">
        <f>'12U BOYS-16 TEAMS'!I40&amp;""</f>
        <v>G bracket G1,G3 gold 4th-6th</v>
      </c>
      <c r="J151" s="26" t="str">
        <f>'12U BOYS-16 TEAMS'!J40&amp;""</f>
        <v>12U_BOYS</v>
      </c>
      <c r="K151" s="26" t="str">
        <f t="shared" si="2"/>
        <v>202603080840</v>
      </c>
    </row>
    <row r="152" spans="1:11">
      <c r="A152" s="67">
        <f>'10U GIRLS COED AU AG-12 TEAMS'!A26</f>
        <v>46089</v>
      </c>
      <c r="B152" s="152">
        <f>'10U GIRLS COED AU AG-12 TEAMS'!B26</f>
        <v>0.36805555555555558</v>
      </c>
      <c r="C152" s="66" t="str">
        <f>'10U GIRLS COED AU AG-12 TEAMS'!C26&amp;""</f>
        <v>EL TORO HS 2</v>
      </c>
      <c r="D152" s="20" t="str">
        <f>'10U GIRLS COED AU AG-12 TEAMS'!D26&amp;""</f>
        <v>10GCauag14</v>
      </c>
      <c r="E152" s="20" t="str">
        <f>'10U GIRLS COED AU AG-12 TEAMS'!E26&amp;""</f>
        <v>A3-SAN CLEMENTE BLACK au</v>
      </c>
      <c r="F152" s="20" t="str">
        <f>'10U GIRLS COED AU AG-12 TEAMS'!F26&amp;""</f>
        <v>3</v>
      </c>
      <c r="G152" s="20" t="str">
        <f>'10U GIRLS COED AU AG-12 TEAMS'!G26&amp;""</f>
        <v>A4-ORANGE COUNTY WPC B au</v>
      </c>
      <c r="H152" s="20" t="str">
        <f>'10U GIRLS COED AU AG-12 TEAMS'!H26&amp;""</f>
        <v>17</v>
      </c>
      <c r="I152" s="20" t="str">
        <f>'10U GIRLS COED AU AG-12 TEAMS'!I26&amp;""</f>
        <v>bracket, A3/A4 coed gold 1st-4th</v>
      </c>
      <c r="J152" s="20" t="str">
        <f>'10U GIRLS COED AU AG-12 TEAMS'!J26&amp;""</f>
        <v>10U_GIRLS_COED_GOLD_SILVER</v>
      </c>
      <c r="K152" s="20" t="str">
        <f t="shared" si="2"/>
        <v>202603080850</v>
      </c>
    </row>
    <row r="153" spans="1:11">
      <c r="A153" s="153">
        <f>'10U BOYS &amp; COED PT-7 CUSTOM'!A23</f>
        <v>46089</v>
      </c>
      <c r="B153" s="54">
        <f>'10U BOYS &amp; COED PT-7 CUSTOM'!B23</f>
        <v>0.36805555555555558</v>
      </c>
      <c r="C153" s="21" t="str">
        <f>'10U BOYS &amp; COED PT-7 CUSTOM'!C23&amp;""</f>
        <v>WOOLLETT FAR LEFT</v>
      </c>
      <c r="D153" s="21" t="str">
        <f>'10U BOYS &amp; COED PT-7 CUSTOM'!D23&amp;""</f>
        <v>10BCpt09</v>
      </c>
      <c r="E153" s="21" t="str">
        <f>'10U BOYS &amp; COED PT-7 CUSTOM'!E23&amp;""</f>
        <v>B1-ORWP A</v>
      </c>
      <c r="F153" s="21" t="str">
        <f>'10U BOYS &amp; COED PT-7 CUSTOM'!F23&amp;""</f>
        <v>8</v>
      </c>
      <c r="G153" s="21" t="str">
        <f>'10U BOYS &amp; COED PT-7 CUSTOM'!G23&amp;""</f>
        <v>B2-CDM BLUE</v>
      </c>
      <c r="H153" s="21" t="str">
        <f>'10U BOYS &amp; COED PT-7 CUSTOM'!H23&amp;""</f>
        <v>7</v>
      </c>
      <c r="I153" s="21" t="str">
        <f>'10U BOYS &amp; COED PT-7 CUSTOM'!I23&amp;""</f>
        <v>B bracket B1,B2 Boys 1st-4th</v>
      </c>
      <c r="J153" s="21" t="str">
        <f>'10U BOYS &amp; COED PT-7 CUSTOM'!J23&amp;""</f>
        <v>10U_BOYS_&amp;_COED_PLATINUM</v>
      </c>
      <c r="K153" s="21" t="str">
        <f t="shared" si="2"/>
        <v>202603080850</v>
      </c>
    </row>
    <row r="154" spans="1:11">
      <c r="A154" s="113">
        <f>'16U BOYS SILVER-8 TEAMS'!A22</f>
        <v>46089</v>
      </c>
      <c r="B154" s="112">
        <f>'16U BOYS SILVER-8 TEAMS'!B22</f>
        <v>0.375</v>
      </c>
      <c r="C154" s="27" t="str">
        <f>'16U BOYS SILVER-8 TEAMS'!C22&amp;""</f>
        <v>COSTA MESA HS 1</v>
      </c>
      <c r="D154" s="27" t="str">
        <f>'16U BOYS SILVER-8 TEAMS'!D22&amp;""</f>
        <v>16Bag10</v>
      </c>
      <c r="E154" s="27" t="str">
        <f>'16U BOYS SILVER-8 TEAMS'!E22&amp;""</f>
        <v>A3-PALOS VERDES BLUE</v>
      </c>
      <c r="F154" s="27" t="str">
        <f>'16U BOYS SILVER-8 TEAMS'!F22&amp;""</f>
        <v>7</v>
      </c>
      <c r="G154" s="27" t="str">
        <f>'16U BOYS SILVER-8 TEAMS'!G22&amp;""</f>
        <v>A4-SUPREME</v>
      </c>
      <c r="H154" s="27" t="str">
        <f>'16U BOYS SILVER-8 TEAMS'!H22&amp;""</f>
        <v>6</v>
      </c>
      <c r="I154" s="27" t="str">
        <f>'16U BOYS SILVER-8 TEAMS'!I22&amp;""</f>
        <v>bracket, A3/A4</v>
      </c>
      <c r="J154" s="27" t="str">
        <f>'16U BOYS SILVER-8 TEAMS'!J22&amp;""</f>
        <v>16U_BOYS_SILVER</v>
      </c>
      <c r="K154" s="27" t="str">
        <f t="shared" si="2"/>
        <v>202603080900</v>
      </c>
    </row>
    <row r="155" spans="1:11">
      <c r="A155" s="127">
        <f>'19U BOYS SILVER-5 TEAMS'!A21</f>
        <v>46089</v>
      </c>
      <c r="B155" s="126">
        <f>'19U BOYS SILVER-5 TEAMS'!B21</f>
        <v>0.375</v>
      </c>
      <c r="C155" s="126" t="str">
        <f>'19U BOYS SILVER-5 TEAMS'!C21&amp;""</f>
        <v>ESTANCIA HS 1</v>
      </c>
      <c r="D155" s="30" t="str">
        <f>'19U BOYS SILVER-5 TEAMS'!D21&amp;""</f>
        <v>19Bag06</v>
      </c>
      <c r="E155" s="30" t="str">
        <f>'19U BOYS SILVER-5 TEAMS'!E21&amp;""</f>
        <v>A2-SOUTH COUNTY AQUATICS</v>
      </c>
      <c r="F155" s="30" t="str">
        <f>'19U BOYS SILVER-5 TEAMS'!F21&amp;""</f>
        <v>5</v>
      </c>
      <c r="G155" s="30" t="str">
        <f>'19U BOYS SILVER-5 TEAMS'!G21&amp;""</f>
        <v>A3-PASADENA AC ORANGE</v>
      </c>
      <c r="H155" s="30" t="str">
        <f>'19U BOYS SILVER-5 TEAMS'!H21&amp;""</f>
        <v>15</v>
      </c>
      <c r="I155" s="30" t="str">
        <f>'19U BOYS SILVER-5 TEAMS'!I21&amp;""</f>
        <v>A bracket 2/3</v>
      </c>
      <c r="J155" s="30" t="str">
        <f>'19U BOYS SILVER-5 TEAMS'!J21&amp;""</f>
        <v>19U_BOYS_SILVER</v>
      </c>
      <c r="K155" s="30" t="str">
        <f t="shared" si="2"/>
        <v>202603080900</v>
      </c>
    </row>
    <row r="156" spans="1:11">
      <c r="A156" s="142">
        <f>'19U BOYS PLATINUM GOLD-11 TEAMS'!A28</f>
        <v>46089</v>
      </c>
      <c r="B156" s="143">
        <f>'19U BOYS PLATINUM GOLD-11 TEAMS'!B28</f>
        <v>0.375</v>
      </c>
      <c r="C156" s="142" t="str">
        <f>'19U BOYS PLATINUM GOLD-11 TEAMS'!C28&amp;""</f>
        <v>WOOLLETT NEAR LEFT</v>
      </c>
      <c r="D156" s="31" t="str">
        <f>'19U BOYS PLATINUM GOLD-11 TEAMS'!D28&amp;""</f>
        <v>19Bptau13</v>
      </c>
      <c r="E156" s="142" t="str">
        <f>'19U BOYS PLATINUM GOLD-11 TEAMS'!E28&amp;""</f>
        <v>F3(3rdC)-SOUTH VALLEY</v>
      </c>
      <c r="F156" s="31" t="str">
        <f>'19U BOYS PLATINUM GOLD-11 TEAMS'!F28&amp;""</f>
        <v>9</v>
      </c>
      <c r="G156" s="142" t="str">
        <f>'19U BOYS PLATINUM GOLD-11 TEAMS'!G28&amp;""</f>
        <v>F5(4thB)-SAND CANYON RED</v>
      </c>
      <c r="H156" s="31" t="str">
        <f>'19U BOYS PLATINUM GOLD-11 TEAMS'!H28&amp;""</f>
        <v>12</v>
      </c>
      <c r="I156" s="31" t="str">
        <f>'19U BOYS PLATINUM GOLD-11 TEAMS'!I28&amp;""</f>
        <v>F3,F5 7th-11th</v>
      </c>
      <c r="J156" s="31" t="str">
        <f>'19U BOYS PLATINUM GOLD-11 TEAMS'!J28&amp;""</f>
        <v>19U_BOYS_PLATINUM_GOLD</v>
      </c>
      <c r="K156" s="31" t="str">
        <f t="shared" si="2"/>
        <v>202603080900</v>
      </c>
    </row>
    <row r="157" spans="1:11">
      <c r="A157" s="157">
        <f>'16U BOYS PLATINUM GOLD-10 TEAMS'!A24</f>
        <v>46089</v>
      </c>
      <c r="B157" s="158">
        <f>'16U BOYS PLATINUM GOLD-10 TEAMS'!B24</f>
        <v>0.375</v>
      </c>
      <c r="C157" s="158" t="str">
        <f>'16U BOYS PLATINUM GOLD-10 TEAMS'!C24&amp;""</f>
        <v>WOOLLETT NEAR RIGHT</v>
      </c>
      <c r="D157" s="157" t="str">
        <f>'16U BOYS PLATINUM GOLD-10 TEAMS'!D24&amp;""</f>
        <v>16Bptau12</v>
      </c>
      <c r="E157" s="158" t="str">
        <f>'16U BOYS PLATINUM GOLD-10 TEAMS'!E24&amp;""</f>
        <v>C1-VANGUARD SILVER</v>
      </c>
      <c r="F157" s="158" t="str">
        <f>'16U BOYS PLATINUM GOLD-10 TEAMS'!F24&amp;""</f>
        <v>13</v>
      </c>
      <c r="G157" s="159" t="str">
        <f>'16U BOYS PLATINUM GOLD-10 TEAMS'!G24&amp;""</f>
        <v>C3-BREA OLINDA</v>
      </c>
      <c r="H157" s="159" t="str">
        <f>'16U BOYS PLATINUM GOLD-10 TEAMS'!H24&amp;""</f>
        <v>4</v>
      </c>
      <c r="I157" s="159" t="str">
        <f>'16U BOYS PLATINUM GOLD-10 TEAMS'!I24&amp;""</f>
        <v>C bracket C1,C3</v>
      </c>
      <c r="J157" s="159" t="str">
        <f>'16U BOYS PLATINUM GOLD-10 TEAMS'!J24&amp;""</f>
        <v>16U_BOYS_PLATINUM_GOLD</v>
      </c>
      <c r="K157" s="159" t="str">
        <f t="shared" si="2"/>
        <v>202603080900</v>
      </c>
    </row>
    <row r="158" spans="1:11">
      <c r="A158" s="88">
        <f>'14U BOYS SILVER-16 TEAMS'!A32</f>
        <v>46089</v>
      </c>
      <c r="B158" s="87">
        <f>'14U BOYS SILVER-16 TEAMS'!B32</f>
        <v>0.39583333333333398</v>
      </c>
      <c r="C158" s="87" t="str">
        <f>'14U BOYS SILVER-16 TEAMS'!C32&amp;""</f>
        <v>ALISO NIGUEL HS</v>
      </c>
      <c r="D158" s="36" t="str">
        <f>'14U BOYS SILVER-16 TEAMS'!D32&amp;""</f>
        <v>14Bag29</v>
      </c>
      <c r="E158" s="36" t="str">
        <f>'14U BOYS SILVER-16 TEAMS'!E32&amp;""</f>
        <v>4thD-SET</v>
      </c>
      <c r="F158" s="36" t="str">
        <f>'14U BOYS SILVER-16 TEAMS'!F32&amp;""</f>
        <v>3</v>
      </c>
      <c r="G158" s="36" t="str">
        <f>'14U BOYS SILVER-16 TEAMS'!G32&amp;""</f>
        <v>4thA-TROJAN GOLD</v>
      </c>
      <c r="H158" s="36" t="str">
        <f>'14U BOYS SILVER-16 TEAMS'!H32&amp;""</f>
        <v>15</v>
      </c>
      <c r="I158" s="36" t="str">
        <f>'14U BOYS SILVER-16 TEAMS'!I32&amp;""</f>
        <v>13-16 semi</v>
      </c>
      <c r="J158" s="36" t="str">
        <f>'14U BOYS SILVER-16 TEAMS'!J32&amp;""</f>
        <v>14U_BOYS_SILVER</v>
      </c>
      <c r="K158" s="36" t="str">
        <f t="shared" si="2"/>
        <v>202603080930</v>
      </c>
    </row>
    <row r="159" spans="1:11">
      <c r="A159" s="77">
        <f>'12U BOYS-16 TEAMS'!A51</f>
        <v>46089</v>
      </c>
      <c r="B159" s="76">
        <f>'12U BOYS-16 TEAMS'!B51</f>
        <v>0.39583333333333398</v>
      </c>
      <c r="C159" s="76" t="str">
        <f>'12U BOYS-16 TEAMS'!C51&amp;""</f>
        <v>COSTA MESA HS 2</v>
      </c>
      <c r="D159" s="26" t="str">
        <f>'12U BOYS-16 TEAMS'!D51&amp;""</f>
        <v>12B23</v>
      </c>
      <c r="E159" s="26" t="str">
        <f>'12U BOYS-16 TEAMS'!E51&amp;""</f>
        <v>1stA-ORANGE COUNTY WPC A</v>
      </c>
      <c r="F159" s="26" t="str">
        <f>'12U BOYS-16 TEAMS'!F51&amp;""</f>
        <v>18</v>
      </c>
      <c r="G159" s="26" t="str">
        <f>'12U BOYS-16 TEAMS'!G51&amp;""</f>
        <v>3rdB-LAGUNA BEACH</v>
      </c>
      <c r="H159" s="26" t="str">
        <f>'12U BOYS-16 TEAMS'!H51&amp;""</f>
        <v>2</v>
      </c>
      <c r="I159" s="26" t="str">
        <f>'12U BOYS-16 TEAMS'!I51&amp;""</f>
        <v>cross</v>
      </c>
      <c r="J159" s="26" t="str">
        <f>'12U BOYS-16 TEAMS'!J51&amp;""</f>
        <v>12U_BOYS</v>
      </c>
      <c r="K159" s="26" t="str">
        <f t="shared" si="2"/>
        <v>202603080930</v>
      </c>
    </row>
    <row r="160" spans="1:11">
      <c r="A160" s="107">
        <f>'14U GIRLS-9 TEAMS'!A30</f>
        <v>46089</v>
      </c>
      <c r="B160" s="106">
        <f>'14U GIRLS-9 TEAMS'!B30</f>
        <v>0.39583333333333398</v>
      </c>
      <c r="C160" s="105" t="str">
        <f>'14U GIRLS-9 TEAMS'!C30&amp;""</f>
        <v>EL TORO HS 1</v>
      </c>
      <c r="D160" s="28" t="str">
        <f>'14U GIRLS-9 TEAMS'!D30&amp;""</f>
        <v>14G12</v>
      </c>
      <c r="E160" s="28" t="str">
        <f>'14U GIRLS-9 TEAMS'!E30&amp;""</f>
        <v>F1(1stA)-ROGUE 619</v>
      </c>
      <c r="F160" s="28" t="str">
        <f>'14U GIRLS-9 TEAMS'!F30&amp;""</f>
        <v>11</v>
      </c>
      <c r="G160" s="28" t="str">
        <f>'14U GIRLS-9 TEAMS'!G30&amp;""</f>
        <v>F3(1stC)-INNIS ARDEN</v>
      </c>
      <c r="H160" s="28" t="str">
        <f>'14U GIRLS-9 TEAMS'!H30&amp;""</f>
        <v>5</v>
      </c>
      <c r="I160" s="28" t="str">
        <f>'14U GIRLS-9 TEAMS'!I30&amp;""</f>
        <v>plat-gold-silver F1,F3</v>
      </c>
      <c r="J160" s="28" t="str">
        <f>'14U GIRLS-9 TEAMS'!J30&amp;""</f>
        <v>14U_GIRLS</v>
      </c>
      <c r="K160" s="28" t="str">
        <f t="shared" si="2"/>
        <v>202603080930</v>
      </c>
    </row>
    <row r="161" spans="1:11">
      <c r="A161" s="88">
        <f>'14U BOYS SILVER-16 TEAMS'!A31</f>
        <v>46089</v>
      </c>
      <c r="B161" s="87">
        <f>'14U BOYS SILVER-16 TEAMS'!B31</f>
        <v>0.39583333333333398</v>
      </c>
      <c r="C161" s="87" t="str">
        <f>'14U BOYS SILVER-16 TEAMS'!C31&amp;""</f>
        <v>ESTANCIA HS 2</v>
      </c>
      <c r="D161" s="36" t="str">
        <f>'14U BOYS SILVER-16 TEAMS'!D31&amp;""</f>
        <v>14Bag21</v>
      </c>
      <c r="E161" s="36" t="str">
        <f>'14U BOYS SILVER-16 TEAMS'!E31&amp;""</f>
        <v>2ndD-ORWP B</v>
      </c>
      <c r="F161" s="36" t="str">
        <f>'14U BOYS SILVER-16 TEAMS'!F31&amp;""</f>
        <v>10</v>
      </c>
      <c r="G161" s="36" t="str">
        <f>'14U BOYS SILVER-16 TEAMS'!G31&amp;""</f>
        <v>2ndA-SAN DIEGO DONS 12 BLACK</v>
      </c>
      <c r="H161" s="36" t="str">
        <f>'14U BOYS SILVER-16 TEAMS'!H31&amp;""</f>
        <v>7</v>
      </c>
      <c r="I161" s="36" t="str">
        <f>'14U BOYS SILVER-16 TEAMS'!I31&amp;""</f>
        <v>5-8 semi 2D/2A</v>
      </c>
      <c r="J161" s="36" t="str">
        <f>'14U BOYS SILVER-16 TEAMS'!J31&amp;""</f>
        <v>14U_BOYS_SILVER</v>
      </c>
      <c r="K161" s="36" t="str">
        <f t="shared" si="2"/>
        <v>202603080930</v>
      </c>
    </row>
    <row r="162" spans="1:11">
      <c r="A162" s="86">
        <f>'12U COED GIRLS-9 TEAMS CUSTOM'!A29</f>
        <v>46089</v>
      </c>
      <c r="B162" s="85">
        <f>'12U COED GIRLS-9 TEAMS CUSTOM'!B29</f>
        <v>0.39583333333333398</v>
      </c>
      <c r="C162" s="24" t="str">
        <f>'12U COED GIRLS-9 TEAMS CUSTOM'!C29&amp;""</f>
        <v>LAGUNA HILLS HS</v>
      </c>
      <c r="D162" s="24" t="str">
        <f>'12U COED GIRLS-9 TEAMS CUSTOM'!D29&amp;""</f>
        <v>12GC12</v>
      </c>
      <c r="E162" s="24" t="str">
        <f>'12U COED GIRLS-9 TEAMS CUSTOM'!E29&amp;""</f>
        <v>F1(3rdA)-HEILAND</v>
      </c>
      <c r="F162" s="24" t="str">
        <f>'12U COED GIRLS-9 TEAMS CUSTOM'!F29&amp;""</f>
        <v>8</v>
      </c>
      <c r="G162" s="24" t="str">
        <f>'12U COED GIRLS-9 TEAMS CUSTOM'!G29&amp;""</f>
        <v>F3(3rdC)-CMAC GIRLS</v>
      </c>
      <c r="H162" s="24" t="str">
        <f>'12U COED GIRLS-9 TEAMS CUSTOM'!H29&amp;""</f>
        <v>5</v>
      </c>
      <c r="I162" s="24" t="str">
        <f>'12U COED GIRLS-9 TEAMS CUSTOM'!I29&amp;""</f>
        <v>F bracket F1,F3 cross</v>
      </c>
      <c r="J162" s="24" t="str">
        <f>'12U COED GIRLS-9 TEAMS CUSTOM'!J29&amp;""</f>
        <v>12U_COED_GIRLS</v>
      </c>
      <c r="K162" s="24" t="str">
        <f t="shared" si="2"/>
        <v>202603080930</v>
      </c>
    </row>
    <row r="163" spans="1:11">
      <c r="A163" s="91">
        <f>'14U BOYS GOLD-16 TEAMS'!A32</f>
        <v>46089</v>
      </c>
      <c r="B163" s="35">
        <f>'14U BOYS GOLD-16 TEAMS'!B32</f>
        <v>0.39583333333333398</v>
      </c>
      <c r="C163" s="91" t="str">
        <f>'14U BOYS GOLD-16 TEAMS'!C32&amp;""</f>
        <v>SAN JUAN HILLS HS</v>
      </c>
      <c r="D163" s="35" t="str">
        <f>'14U BOYS GOLD-16 TEAMS'!D32&amp;""</f>
        <v>14Bau21</v>
      </c>
      <c r="E163" s="35" t="str">
        <f>'14U BOYS GOLD-16 TEAMS'!E32&amp;""</f>
        <v>2ndD-MISSION 12A</v>
      </c>
      <c r="F163" s="33" t="str">
        <f>'14U BOYS GOLD-16 TEAMS'!F32&amp;""</f>
        <v>3</v>
      </c>
      <c r="G163" s="33" t="str">
        <f>'14U BOYS GOLD-16 TEAMS'!G32&amp;""</f>
        <v>2ndA-SAN DIEGO DONS 14 BLACK</v>
      </c>
      <c r="H163" s="33" t="str">
        <f>'14U BOYS GOLD-16 TEAMS'!H32&amp;""</f>
        <v>8</v>
      </c>
      <c r="I163" s="33" t="str">
        <f>'14U BOYS GOLD-16 TEAMS'!I32&amp;""</f>
        <v>5-8 semi 2D/2A</v>
      </c>
      <c r="J163" s="33" t="str">
        <f>'14U BOYS GOLD-16 TEAMS'!J32&amp;""</f>
        <v>14U_BOYS_GOLD</v>
      </c>
      <c r="K163" s="33" t="str">
        <f t="shared" si="2"/>
        <v>202603080930</v>
      </c>
    </row>
    <row r="164" spans="1:11">
      <c r="A164" s="94">
        <f>'14U BOYS PLATINUM-10 TEAMS'!A25</f>
        <v>46089</v>
      </c>
      <c r="B164" s="93">
        <f>'14U BOYS PLATINUM-10 TEAMS'!B25</f>
        <v>0.39583333333333398</v>
      </c>
      <c r="C164" s="93" t="str">
        <f>'14U BOYS PLATINUM-10 TEAMS'!C25&amp;""</f>
        <v>WESTMINSTER HS</v>
      </c>
      <c r="D164" s="32" t="str">
        <f>'14U BOYS PLATINUM-10 TEAMS'!D25&amp;""</f>
        <v>14Bpt13</v>
      </c>
      <c r="E164" s="32" t="str">
        <f>'14U BOYS PLATINUM-10 TEAMS'!E25&amp;""</f>
        <v>2ndA-ORWP A</v>
      </c>
      <c r="F164" s="32" t="str">
        <f>'14U BOYS PLATINUM-10 TEAMS'!F25&amp;""</f>
        <v>12</v>
      </c>
      <c r="G164" s="32" t="str">
        <f>'14U BOYS PLATINUM-10 TEAMS'!G25&amp;""</f>
        <v>3rdB-TROJAN CARDINAL</v>
      </c>
      <c r="H164" s="32" t="str">
        <f>'14U BOYS PLATINUM-10 TEAMS'!H25&amp;""</f>
        <v>7</v>
      </c>
      <c r="I164" s="32" t="str">
        <f>'14U BOYS PLATINUM-10 TEAMS'!I25&amp;""</f>
        <v>5th-10th 2A/3B</v>
      </c>
      <c r="J164" s="32" t="str">
        <f>'14U BOYS PLATINUM-10 TEAMS'!J25&amp;""</f>
        <v>14U_BOYS_PLATINUM</v>
      </c>
      <c r="K164" s="32" t="str">
        <f t="shared" si="2"/>
        <v>202603080930</v>
      </c>
    </row>
    <row r="165" spans="1:11">
      <c r="A165" s="77">
        <f>'12U BOYS-16 TEAMS'!A41</f>
        <v>46089</v>
      </c>
      <c r="B165" s="76">
        <f>'12U BOYS-16 TEAMS'!B41</f>
        <v>0.39583333333333398</v>
      </c>
      <c r="C165" s="76" t="str">
        <f>'12U BOYS-16 TEAMS'!C41&amp;""</f>
        <v>WOOLLETT FAR RIGHT</v>
      </c>
      <c r="D165" s="26" t="str">
        <f>'12U BOYS-16 TEAMS'!D41&amp;""</f>
        <v>12B18</v>
      </c>
      <c r="E165" s="26" t="str">
        <f>'12U BOYS-16 TEAMS'!E41&amp;""</f>
        <v>F1(1stB)-ROUTE 66</v>
      </c>
      <c r="F165" s="26" t="str">
        <f>'12U BOYS-16 TEAMS'!F41&amp;""</f>
        <v>8</v>
      </c>
      <c r="G165" s="26" t="str">
        <f>'12U BOYS-16 TEAMS'!G41&amp;""</f>
        <v>F3(1stD)-PEGASUS WPA BLUE</v>
      </c>
      <c r="H165" s="26" t="str">
        <f>'12U BOYS-16 TEAMS'!H41&amp;""</f>
        <v>11</v>
      </c>
      <c r="I165" s="26" t="str">
        <f>'12U BOYS-16 TEAMS'!I41&amp;""</f>
        <v>F bracket F1,F3 gold 1st-3rd</v>
      </c>
      <c r="J165" s="26" t="str">
        <f>'12U BOYS-16 TEAMS'!J41&amp;""</f>
        <v>12U_BOYS</v>
      </c>
      <c r="K165" s="26" t="str">
        <f t="shared" si="2"/>
        <v>202603080930</v>
      </c>
    </row>
    <row r="166" spans="1:11">
      <c r="A166" s="67">
        <f>'10U GIRLS COED AU AG-12 TEAMS'!A28</f>
        <v>46089</v>
      </c>
      <c r="B166" s="152">
        <f>'10U GIRLS COED AU AG-12 TEAMS'!B28</f>
        <v>0.40277777777777801</v>
      </c>
      <c r="C166" s="66" t="str">
        <f>'10U GIRLS COED AU AG-12 TEAMS'!C28&amp;""</f>
        <v>EL TORO HS 2</v>
      </c>
      <c r="D166" s="20" t="str">
        <f>'10U GIRLS COED AU AG-12 TEAMS'!D28&amp;""</f>
        <v>10GCauag16</v>
      </c>
      <c r="E166" s="20" t="str">
        <f>'10U GIRLS COED AU AG-12 TEAMS'!E28&amp;""</f>
        <v>B3-LAGUNA BEACH ag</v>
      </c>
      <c r="F166" s="20" t="str">
        <f>'10U GIRLS COED AU AG-12 TEAMS'!F28&amp;""</f>
        <v>4</v>
      </c>
      <c r="G166" s="20" t="str">
        <f>'10U GIRLS COED AU AG-12 TEAMS'!G28&amp;""</f>
        <v>B4-TROJAN NORTH ag</v>
      </c>
      <c r="H166" s="20" t="str">
        <f>'10U GIRLS COED AU AG-12 TEAMS'!H28&amp;""</f>
        <v>15</v>
      </c>
      <c r="I166" s="20" t="str">
        <f>'10U GIRLS COED AU AG-12 TEAMS'!I28&amp;""</f>
        <v>bracket, B3/B4 coed silver 1st-4th</v>
      </c>
      <c r="J166" s="20" t="str">
        <f>'10U GIRLS COED AU AG-12 TEAMS'!J28&amp;""</f>
        <v>10U_GIRLS_COED_GOLD_SILVER</v>
      </c>
      <c r="K166" s="20" t="str">
        <f t="shared" si="2"/>
        <v>202603080940</v>
      </c>
    </row>
    <row r="167" spans="1:11">
      <c r="A167" s="67">
        <f>'10U GIRLS COED AU AG-12 TEAMS'!A27</f>
        <v>46089</v>
      </c>
      <c r="B167" s="152">
        <f>'10U GIRLS COED AU AG-12 TEAMS'!B27</f>
        <v>0.40277777777777801</v>
      </c>
      <c r="C167" s="66" t="str">
        <f>'10U GIRLS COED AU AG-12 TEAMS'!C27&amp;""</f>
        <v>WOOLLETT FAR LEFT</v>
      </c>
      <c r="D167" s="20" t="str">
        <f>'10U GIRLS COED AU AG-12 TEAMS'!D27&amp;""</f>
        <v>10GCauag15</v>
      </c>
      <c r="E167" s="20" t="str">
        <f>'10U GIRLS COED AU AG-12 TEAMS'!E27&amp;""</f>
        <v>B1-SAN CLEMENTE GIRLS RED ag</v>
      </c>
      <c r="F167" s="20" t="str">
        <f>'10U GIRLS COED AU AG-12 TEAMS'!F27&amp;""</f>
        <v>10</v>
      </c>
      <c r="G167" s="20" t="str">
        <f>'10U GIRLS COED AU AG-12 TEAMS'!G27&amp;""</f>
        <v>B2-CDM BOYS WHITE ag</v>
      </c>
      <c r="H167" s="20" t="str">
        <f>'10U GIRLS COED AU AG-12 TEAMS'!H27&amp;""</f>
        <v>3</v>
      </c>
      <c r="I167" s="20" t="str">
        <f>'10U GIRLS COED AU AG-12 TEAMS'!I27&amp;""</f>
        <v>bracket, B1/B2 coed silver 1st-4th</v>
      </c>
      <c r="J167" s="20" t="str">
        <f>'10U GIRLS COED AU AG-12 TEAMS'!J27&amp;""</f>
        <v>10U_GIRLS_COED_GOLD_SILVER</v>
      </c>
      <c r="K167" s="20" t="str">
        <f t="shared" si="2"/>
        <v>202603080940</v>
      </c>
    </row>
    <row r="168" spans="1:11">
      <c r="A168" s="113">
        <f>'16U BOYS SILVER-8 TEAMS'!A23</f>
        <v>46089</v>
      </c>
      <c r="B168" s="112">
        <f>'16U BOYS SILVER-8 TEAMS'!B23</f>
        <v>0.41666666666666702</v>
      </c>
      <c r="C168" s="27" t="str">
        <f>'16U BOYS SILVER-8 TEAMS'!C23&amp;""</f>
        <v>COSTA MESA HS 1</v>
      </c>
      <c r="D168" s="27" t="str">
        <f>'16U BOYS SILVER-8 TEAMS'!D23&amp;""</f>
        <v>16Bag11</v>
      </c>
      <c r="E168" s="27" t="str">
        <f>'16U BOYS SILVER-8 TEAMS'!E23&amp;""</f>
        <v>B1-TITANS</v>
      </c>
      <c r="F168" s="27" t="str">
        <f>'16U BOYS SILVER-8 TEAMS'!F23&amp;""</f>
        <v>10</v>
      </c>
      <c r="G168" s="27" t="str">
        <f>'16U BOYS SILVER-8 TEAMS'!G23&amp;""</f>
        <v>B2-TRILOGY WHITE</v>
      </c>
      <c r="H168" s="27" t="str">
        <f>'16U BOYS SILVER-8 TEAMS'!H23&amp;""</f>
        <v>16</v>
      </c>
      <c r="I168" s="27" t="str">
        <f>'16U BOYS SILVER-8 TEAMS'!I23&amp;""</f>
        <v>bracket, B1/B2</v>
      </c>
      <c r="J168" s="27" t="str">
        <f>'16U BOYS SILVER-8 TEAMS'!J23&amp;""</f>
        <v>16U_BOYS_SILVER</v>
      </c>
      <c r="K168" s="27" t="str">
        <f t="shared" si="2"/>
        <v>202603081000</v>
      </c>
    </row>
    <row r="169" spans="1:11">
      <c r="A169" s="127">
        <f>'19U BOYS SILVER-5 TEAMS'!A22</f>
        <v>46089</v>
      </c>
      <c r="B169" s="126">
        <f>'19U BOYS SILVER-5 TEAMS'!B22</f>
        <v>0.41666666666666702</v>
      </c>
      <c r="C169" s="126" t="str">
        <f>'19U BOYS SILVER-5 TEAMS'!C22&amp;""</f>
        <v>ESTANCIA HS 1</v>
      </c>
      <c r="D169" s="30" t="str">
        <f>'19U BOYS SILVER-5 TEAMS'!D22&amp;""</f>
        <v>19Bag07</v>
      </c>
      <c r="E169" s="30" t="str">
        <f>'19U BOYS SILVER-5 TEAMS'!E22&amp;""</f>
        <v>A4-SFV</v>
      </c>
      <c r="F169" s="30" t="str">
        <f>'19U BOYS SILVER-5 TEAMS'!F22&amp;""</f>
        <v>8</v>
      </c>
      <c r="G169" s="30" t="str">
        <f>'19U BOYS SILVER-5 TEAMS'!G22&amp;""</f>
        <v>A5-OHANA</v>
      </c>
      <c r="H169" s="30" t="str">
        <f>'19U BOYS SILVER-5 TEAMS'!H22&amp;""</f>
        <v>19</v>
      </c>
      <c r="I169" s="30" t="str">
        <f>'19U BOYS SILVER-5 TEAMS'!I22&amp;""</f>
        <v>A bracket 4/5</v>
      </c>
      <c r="J169" s="30" t="str">
        <f>'19U BOYS SILVER-5 TEAMS'!J22&amp;""</f>
        <v>19U_BOYS_SILVER</v>
      </c>
      <c r="K169" s="30" t="str">
        <f t="shared" si="2"/>
        <v>202603081000</v>
      </c>
    </row>
    <row r="170" spans="1:11">
      <c r="A170" s="142">
        <f>'19U BOYS PLATINUM GOLD-11 TEAMS'!A29</f>
        <v>46089</v>
      </c>
      <c r="B170" s="143">
        <f>'19U BOYS PLATINUM GOLD-11 TEAMS'!B29</f>
        <v>0.41666666666666702</v>
      </c>
      <c r="C170" s="142" t="str">
        <f>'19U BOYS PLATINUM GOLD-11 TEAMS'!C29&amp;""</f>
        <v>WOOLLETT NEAR LEFT</v>
      </c>
      <c r="D170" s="31" t="str">
        <f>'19U BOYS PLATINUM GOLD-11 TEAMS'!D29&amp;""</f>
        <v>19Bptau14</v>
      </c>
      <c r="E170" s="142" t="str">
        <f>'19U BOYS PLATINUM GOLD-11 TEAMS'!E29&amp;""</f>
        <v>D1(1stA)-SAND CANYON BLACK pt</v>
      </c>
      <c r="F170" s="31" t="str">
        <f>'19U BOYS PLATINUM GOLD-11 TEAMS'!F29&amp;""</f>
        <v>7</v>
      </c>
      <c r="G170" s="142" t="str">
        <f>'19U BOYS PLATINUM GOLD-11 TEAMS'!G29&amp;""</f>
        <v>D3(1stC)-PEAK POLO BOLTZ pt</v>
      </c>
      <c r="H170" s="31" t="str">
        <f>'19U BOYS PLATINUM GOLD-11 TEAMS'!H29&amp;""</f>
        <v>9</v>
      </c>
      <c r="I170" s="31" t="str">
        <f>'19U BOYS PLATINUM GOLD-11 TEAMS'!I29&amp;""</f>
        <v>D1,D3 1st-3rd</v>
      </c>
      <c r="J170" s="31" t="str">
        <f>'19U BOYS PLATINUM GOLD-11 TEAMS'!J29&amp;""</f>
        <v>19U_BOYS_PLATINUM_GOLD</v>
      </c>
      <c r="K170" s="31" t="str">
        <f t="shared" si="2"/>
        <v>202603081000</v>
      </c>
    </row>
    <row r="171" spans="1:11">
      <c r="A171" s="157">
        <f>'16U BOYS PLATINUM GOLD-10 TEAMS'!A25</f>
        <v>46089</v>
      </c>
      <c r="B171" s="158">
        <f>'16U BOYS PLATINUM GOLD-10 TEAMS'!B25</f>
        <v>0.41666666666666702</v>
      </c>
      <c r="C171" s="158" t="str">
        <f>'16U BOYS PLATINUM GOLD-10 TEAMS'!C25&amp;""</f>
        <v>WOOLLETT NEAR RIGHT</v>
      </c>
      <c r="D171" s="157" t="str">
        <f>'16U BOYS PLATINUM GOLD-10 TEAMS'!D25&amp;""</f>
        <v>16Bptau13</v>
      </c>
      <c r="E171" s="158" t="str">
        <f>'16U BOYS PLATINUM GOLD-10 TEAMS'!E25&amp;""</f>
        <v>2ndA-CHANNEL ISLANDS UNITED BLUE</v>
      </c>
      <c r="F171" s="158" t="str">
        <f>'16U BOYS PLATINUM GOLD-10 TEAMS'!F25&amp;""</f>
        <v>13</v>
      </c>
      <c r="G171" s="159" t="str">
        <f>'16U BOYS PLATINUM GOLD-10 TEAMS'!G25&amp;""</f>
        <v>3rdB-INNIS ARDEN</v>
      </c>
      <c r="H171" s="159" t="str">
        <f>'16U BOYS PLATINUM GOLD-10 TEAMS'!H25&amp;""</f>
        <v>3</v>
      </c>
      <c r="I171" s="159" t="str">
        <f>'16U BOYS PLATINUM GOLD-10 TEAMS'!I25&amp;""</f>
        <v>cross</v>
      </c>
      <c r="J171" s="159" t="str">
        <f>'16U BOYS PLATINUM GOLD-10 TEAMS'!J25&amp;""</f>
        <v>16U_BOYS_PLATINUM_GOLD</v>
      </c>
      <c r="K171" s="159" t="str">
        <f t="shared" si="2"/>
        <v>202603081000</v>
      </c>
    </row>
    <row r="172" spans="1:11">
      <c r="A172" s="88">
        <f>'14U BOYS SILVER-16 TEAMS'!A33</f>
        <v>46089</v>
      </c>
      <c r="B172" s="87">
        <f>'14U BOYS SILVER-16 TEAMS'!B33</f>
        <v>0.43055555555555602</v>
      </c>
      <c r="C172" s="87" t="str">
        <f>'14U BOYS SILVER-16 TEAMS'!C33&amp;""</f>
        <v>ALISO NIGUEL HS</v>
      </c>
      <c r="D172" s="36" t="str">
        <f>'14U BOYS SILVER-16 TEAMS'!D33&amp;""</f>
        <v>14Bag30</v>
      </c>
      <c r="E172" s="36" t="str">
        <f>'14U BOYS SILVER-16 TEAMS'!E33&amp;""</f>
        <v>4thC-TSM</v>
      </c>
      <c r="F172" s="36" t="str">
        <f>'14U BOYS SILVER-16 TEAMS'!F33&amp;""</f>
        <v>7</v>
      </c>
      <c r="G172" s="36" t="str">
        <f>'14U BOYS SILVER-16 TEAMS'!G33&amp;""</f>
        <v>4thB-RIVERSIDE</v>
      </c>
      <c r="H172" s="36" t="str">
        <f>'14U BOYS SILVER-16 TEAMS'!H33&amp;""</f>
        <v>14</v>
      </c>
      <c r="I172" s="36" t="str">
        <f>'14U BOYS SILVER-16 TEAMS'!I33&amp;""</f>
        <v>13-16 semi</v>
      </c>
      <c r="J172" s="36" t="str">
        <f>'14U BOYS SILVER-16 TEAMS'!J33&amp;""</f>
        <v>14U_BOYS_SILVER</v>
      </c>
      <c r="K172" s="36" t="str">
        <f t="shared" si="2"/>
        <v>202603081020</v>
      </c>
    </row>
    <row r="173" spans="1:11">
      <c r="A173" s="77">
        <f>'12U BOYS-16 TEAMS'!A52</f>
        <v>46089</v>
      </c>
      <c r="B173" s="76">
        <f>'12U BOYS-16 TEAMS'!B52</f>
        <v>0.43055555555555602</v>
      </c>
      <c r="C173" s="76" t="str">
        <f>'12U BOYS-16 TEAMS'!C52&amp;""</f>
        <v>COSTA MESA HS 2</v>
      </c>
      <c r="D173" s="26" t="str">
        <f>'12U BOYS-16 TEAMS'!D52&amp;""</f>
        <v>12B24</v>
      </c>
      <c r="E173" s="26" t="str">
        <f>'12U BOYS-16 TEAMS'!E52&amp;""</f>
        <v>2ndA-CMAC</v>
      </c>
      <c r="F173" s="26" t="str">
        <f>'12U BOYS-16 TEAMS'!F52&amp;""</f>
        <v>16</v>
      </c>
      <c r="G173" s="26" t="str">
        <f>'12U BOYS-16 TEAMS'!G52&amp;""</f>
        <v>1stE-ORANGE COUNTY WPC B</v>
      </c>
      <c r="H173" s="26" t="str">
        <f>'12U BOYS-16 TEAMS'!H52&amp;""</f>
        <v>6</v>
      </c>
      <c r="I173" s="26" t="str">
        <f>'12U BOYS-16 TEAMS'!I52&amp;""</f>
        <v>cross</v>
      </c>
      <c r="J173" s="26" t="str">
        <f>'12U BOYS-16 TEAMS'!J52&amp;""</f>
        <v>12U_BOYS</v>
      </c>
      <c r="K173" s="26" t="str">
        <f t="shared" si="2"/>
        <v>202603081020</v>
      </c>
    </row>
    <row r="174" spans="1:11">
      <c r="A174" s="107">
        <f>'14U GIRLS-9 TEAMS'!A31</f>
        <v>46089</v>
      </c>
      <c r="B174" s="106">
        <f>'14U GIRLS-9 TEAMS'!B31</f>
        <v>0.43055555555555602</v>
      </c>
      <c r="C174" s="105" t="str">
        <f>'14U GIRLS-9 TEAMS'!C31&amp;""</f>
        <v>EL TORO HS 1</v>
      </c>
      <c r="D174" s="28" t="str">
        <f>'14U GIRLS-9 TEAMS'!D31&amp;""</f>
        <v>14G13</v>
      </c>
      <c r="E174" s="28" t="str">
        <f>'14U GIRLS-9 TEAMS'!E31&amp;""</f>
        <v>D2(3rdB)-ELITE</v>
      </c>
      <c r="F174" s="28" t="str">
        <f>'14U GIRLS-9 TEAMS'!F31&amp;""</f>
        <v>18</v>
      </c>
      <c r="G174" s="28" t="str">
        <f>'14U GIRLS-9 TEAMS'!G31&amp;""</f>
        <v>D3(3rdC)-TROJAN</v>
      </c>
      <c r="H174" s="28" t="str">
        <f>'14U GIRLS-9 TEAMS'!H31&amp;""</f>
        <v>3</v>
      </c>
      <c r="I174" s="28" t="str">
        <f>'14U GIRLS-9 TEAMS'!I31&amp;""</f>
        <v>plat-gold-silver D2,D3</v>
      </c>
      <c r="J174" s="28" t="str">
        <f>'14U GIRLS-9 TEAMS'!J31&amp;""</f>
        <v>14U_GIRLS</v>
      </c>
      <c r="K174" s="28" t="str">
        <f t="shared" si="2"/>
        <v>202603081020</v>
      </c>
    </row>
    <row r="175" spans="1:11">
      <c r="A175" s="88">
        <f>'14U BOYS SILVER-16 TEAMS'!A34</f>
        <v>46089</v>
      </c>
      <c r="B175" s="87">
        <f>'14U BOYS SILVER-16 TEAMS'!B34</f>
        <v>0.43055555555555602</v>
      </c>
      <c r="C175" s="87" t="str">
        <f>'14U BOYS SILVER-16 TEAMS'!C34&amp;""</f>
        <v>ESTANCIA HS 2</v>
      </c>
      <c r="D175" s="36" t="str">
        <f>'14U BOYS SILVER-16 TEAMS'!D34&amp;""</f>
        <v>14Bag22</v>
      </c>
      <c r="E175" s="36" t="str">
        <f>'14U BOYS SILVER-16 TEAMS'!E34&amp;""</f>
        <v>2ndC-NORTH IRVINE 12 BLACK</v>
      </c>
      <c r="F175" s="36" t="str">
        <f>'14U BOYS SILVER-16 TEAMS'!F34&amp;""</f>
        <v>5</v>
      </c>
      <c r="G175" s="36" t="str">
        <f>'14U BOYS SILVER-16 TEAMS'!G34&amp;""</f>
        <v>2ndB-PASADENA AC ORANGE</v>
      </c>
      <c r="H175" s="36" t="str">
        <f>'14U BOYS SILVER-16 TEAMS'!H34&amp;""</f>
        <v>8</v>
      </c>
      <c r="I175" s="36" t="str">
        <f>'14U BOYS SILVER-16 TEAMS'!I34&amp;""</f>
        <v>5-8 semi 2C/2B</v>
      </c>
      <c r="J175" s="36" t="str">
        <f>'14U BOYS SILVER-16 TEAMS'!J34&amp;""</f>
        <v>14U_BOYS_SILVER</v>
      </c>
      <c r="K175" s="36" t="str">
        <f t="shared" si="2"/>
        <v>202603081020</v>
      </c>
    </row>
    <row r="176" spans="1:11">
      <c r="A176" s="86">
        <f>'12U COED GIRLS-9 TEAMS CUSTOM'!A30</f>
        <v>46089</v>
      </c>
      <c r="B176" s="85">
        <f>'12U COED GIRLS-9 TEAMS CUSTOM'!B30</f>
        <v>0.43055555555555602</v>
      </c>
      <c r="C176" s="24" t="str">
        <f>'12U COED GIRLS-9 TEAMS CUSTOM'!C30&amp;""</f>
        <v>LAGUNA HILLS HS</v>
      </c>
      <c r="D176" s="24" t="str">
        <f>'12U COED GIRLS-9 TEAMS CUSTOM'!D30&amp;""</f>
        <v>12GC13</v>
      </c>
      <c r="E176" s="24" t="str">
        <f>'12U COED GIRLS-9 TEAMS CUSTOM'!E30&amp;""</f>
        <v>D2(1stB)-VIKING</v>
      </c>
      <c r="F176" s="24" t="str">
        <f>'12U COED GIRLS-9 TEAMS CUSTOM'!F30&amp;""</f>
        <v>9</v>
      </c>
      <c r="G176" s="24" t="str">
        <f>'12U COED GIRLS-9 TEAMS CUSTOM'!G30&amp;""</f>
        <v>D3(1stC)-INNIS ARDEN</v>
      </c>
      <c r="H176" s="24" t="str">
        <f>'12U COED GIRLS-9 TEAMS CUSTOM'!H30&amp;""</f>
        <v>6</v>
      </c>
      <c r="I176" s="24" t="str">
        <f>'12U COED GIRLS-9 TEAMS CUSTOM'!I30&amp;""</f>
        <v>D bracket D2,D3 Coed 1st-3rd</v>
      </c>
      <c r="J176" s="24" t="str">
        <f>'12U COED GIRLS-9 TEAMS CUSTOM'!J30&amp;""</f>
        <v>12U_COED_GIRLS</v>
      </c>
      <c r="K176" s="24" t="str">
        <f t="shared" si="2"/>
        <v>202603081020</v>
      </c>
    </row>
    <row r="177" spans="1:11">
      <c r="A177" s="91">
        <f>'14U BOYS GOLD-16 TEAMS'!A33</f>
        <v>46089</v>
      </c>
      <c r="B177" s="35">
        <f>'14U BOYS GOLD-16 TEAMS'!B33</f>
        <v>0.43055555555555602</v>
      </c>
      <c r="C177" s="91" t="str">
        <f>'14U BOYS GOLD-16 TEAMS'!C33&amp;""</f>
        <v>SAN JUAN HILLS HS</v>
      </c>
      <c r="D177" s="35" t="str">
        <f>'14U BOYS GOLD-16 TEAMS'!D33&amp;""</f>
        <v>14Bau22</v>
      </c>
      <c r="E177" s="35" t="str">
        <f>'14U BOYS GOLD-16 TEAMS'!E33&amp;""</f>
        <v>2ndC-HIELAND</v>
      </c>
      <c r="F177" s="33" t="str">
        <f>'14U BOYS GOLD-16 TEAMS'!F33&amp;""</f>
        <v>8</v>
      </c>
      <c r="G177" s="33" t="str">
        <f>'14U BOYS GOLD-16 TEAMS'!G33&amp;""</f>
        <v>2ndB-SD ECA</v>
      </c>
      <c r="H177" s="33" t="str">
        <f>'14U BOYS GOLD-16 TEAMS'!H33&amp;""</f>
        <v>10</v>
      </c>
      <c r="I177" s="33" t="str">
        <f>'14U BOYS GOLD-16 TEAMS'!I33&amp;""</f>
        <v>5-8 semi 2C/2B</v>
      </c>
      <c r="J177" s="33" t="str">
        <f>'14U BOYS GOLD-16 TEAMS'!J33&amp;""</f>
        <v>14U_BOYS_GOLD</v>
      </c>
      <c r="K177" s="33" t="str">
        <f t="shared" si="2"/>
        <v>202603081020</v>
      </c>
    </row>
    <row r="178" spans="1:11">
      <c r="A178" s="94">
        <f>'14U BOYS PLATINUM-10 TEAMS'!A26</f>
        <v>46089</v>
      </c>
      <c r="B178" s="93">
        <f>'14U BOYS PLATINUM-10 TEAMS'!B26</f>
        <v>0.43055555555555602</v>
      </c>
      <c r="C178" s="93" t="str">
        <f>'14U BOYS PLATINUM-10 TEAMS'!C26&amp;""</f>
        <v>WESTMINSTER HS</v>
      </c>
      <c r="D178" s="32" t="str">
        <f>'14U BOYS PLATINUM-10 TEAMS'!D26&amp;""</f>
        <v>14Bpt14</v>
      </c>
      <c r="E178" s="32" t="str">
        <f>'14U BOYS PLATINUM-10 TEAMS'!E26&amp;""</f>
        <v>3rdA-ROUTE 66</v>
      </c>
      <c r="F178" s="32" t="str">
        <f>'14U BOYS PLATINUM-10 TEAMS'!F26&amp;""</f>
        <v>4</v>
      </c>
      <c r="G178" s="32" t="str">
        <f>'14U BOYS PLATINUM-10 TEAMS'!G26&amp;""</f>
        <v>2ndB-PATRIOT RED</v>
      </c>
      <c r="H178" s="32" t="str">
        <f>'14U BOYS PLATINUM-10 TEAMS'!H26&amp;""</f>
        <v>5</v>
      </c>
      <c r="I178" s="32" t="str">
        <f>'14U BOYS PLATINUM-10 TEAMS'!I26&amp;""</f>
        <v>5th-10th 3A/2B</v>
      </c>
      <c r="J178" s="32" t="str">
        <f>'14U BOYS PLATINUM-10 TEAMS'!J26&amp;""</f>
        <v>14U_BOYS_PLATINUM</v>
      </c>
      <c r="K178" s="32" t="str">
        <f t="shared" si="2"/>
        <v>202603081020</v>
      </c>
    </row>
    <row r="179" spans="1:11">
      <c r="A179" s="67">
        <f>'10U GIRLS COED AU AG-12 TEAMS'!A29</f>
        <v>46089</v>
      </c>
      <c r="B179" s="152">
        <f>'10U GIRLS COED AU AG-12 TEAMS'!B29</f>
        <v>0.4375</v>
      </c>
      <c r="C179" s="66" t="str">
        <f>'10U GIRLS COED AU AG-12 TEAMS'!C29&amp;""</f>
        <v>EL TORO HS 2</v>
      </c>
      <c r="D179" s="20" t="str">
        <f>'10U GIRLS COED AU AG-12 TEAMS'!D29&amp;""</f>
        <v>10GCauag17</v>
      </c>
      <c r="E179" s="20" t="str">
        <f>'10U GIRLS COED AU AG-12 TEAMS'!E29&amp;""</f>
        <v>1stA-ORANGE COUNTY WPC B au</v>
      </c>
      <c r="F179" s="20" t="str">
        <f>'10U GIRLS COED AU AG-12 TEAMS'!F29&amp;""</f>
        <v>7</v>
      </c>
      <c r="G179" s="20" t="str">
        <f>'10U GIRLS COED AU AG-12 TEAMS'!G29&amp;""</f>
        <v>C1-DEL MAR GIRLS BLUE</v>
      </c>
      <c r="H179" s="20" t="str">
        <f>'10U GIRLS COED AU AG-12 TEAMS'!H29&amp;""</f>
        <v>9</v>
      </c>
      <c r="I179" s="20" t="str">
        <f>'10U GIRLS COED AU AG-12 TEAMS'!I29&amp;""</f>
        <v>cross</v>
      </c>
      <c r="J179" s="20" t="str">
        <f>'10U GIRLS COED AU AG-12 TEAMS'!J29&amp;""</f>
        <v>10U_GIRLS_COED_GOLD_SILVER</v>
      </c>
      <c r="K179" s="20" t="str">
        <f t="shared" si="2"/>
        <v>202603081030</v>
      </c>
    </row>
    <row r="180" spans="1:11">
      <c r="A180" s="153">
        <f>'10U BOYS &amp; COED PT-7 CUSTOM'!A25</f>
        <v>46089</v>
      </c>
      <c r="B180" s="54">
        <f>'10U BOYS &amp; COED PT-7 CUSTOM'!B25</f>
        <v>0.4375</v>
      </c>
      <c r="C180" s="21" t="str">
        <f>'10U BOYS &amp; COED PT-7 CUSTOM'!C25&amp;""</f>
        <v>WOOLLETT FAR LEFT</v>
      </c>
      <c r="D180" s="21" t="str">
        <f>'10U BOYS &amp; COED PT-7 CUSTOM'!D25&amp;""</f>
        <v>10BCpt10</v>
      </c>
      <c r="E180" s="21" t="str">
        <f>'10U BOYS &amp; COED PT-7 CUSTOM'!E25&amp;""</f>
        <v>3rdA-VIKING</v>
      </c>
      <c r="F180" s="21" t="str">
        <f>'10U BOYS &amp; COED PT-7 CUSTOM'!F25&amp;""</f>
        <v>4</v>
      </c>
      <c r="G180" s="21" t="str">
        <f>'10U BOYS &amp; COED PT-7 CUSTOM'!G25&amp;""</f>
        <v>4thB-NEWPORT BEACH WHITE</v>
      </c>
      <c r="H180" s="21" t="str">
        <f>'10U BOYS &amp; COED PT-7 CUSTOM'!H25&amp;""</f>
        <v>9</v>
      </c>
      <c r="I180" s="21" t="str">
        <f>'10U BOYS &amp; COED PT-7 CUSTOM'!I25&amp;""</f>
        <v>cross</v>
      </c>
      <c r="J180" s="21" t="str">
        <f>'10U BOYS &amp; COED PT-7 CUSTOM'!J25&amp;""</f>
        <v>10U_BOYS_&amp;_COED_PLATINUM</v>
      </c>
      <c r="K180" s="21" t="str">
        <f t="shared" si="2"/>
        <v>202603081030</v>
      </c>
    </row>
    <row r="181" spans="1:11">
      <c r="A181" s="113">
        <f>'16U BOYS SILVER-8 TEAMS'!A24</f>
        <v>46089</v>
      </c>
      <c r="B181" s="112">
        <f>'16U BOYS SILVER-8 TEAMS'!B24</f>
        <v>0.45833333333333298</v>
      </c>
      <c r="C181" s="27" t="str">
        <f>'16U BOYS SILVER-8 TEAMS'!C24&amp;""</f>
        <v>COSTA MESA HS 1</v>
      </c>
      <c r="D181" s="27" t="str">
        <f>'16U BOYS SILVER-8 TEAMS'!D24&amp;""</f>
        <v>16Bag12</v>
      </c>
      <c r="E181" s="27" t="str">
        <f>'16U BOYS SILVER-8 TEAMS'!E24&amp;""</f>
        <v>A1-HIELAND</v>
      </c>
      <c r="F181" s="27" t="str">
        <f>'16U BOYS SILVER-8 TEAMS'!F24&amp;""</f>
        <v>7</v>
      </c>
      <c r="G181" s="27" t="str">
        <f>'16U BOYS SILVER-8 TEAMS'!G24&amp;""</f>
        <v>A2-CMAC</v>
      </c>
      <c r="H181" s="27" t="str">
        <f>'16U BOYS SILVER-8 TEAMS'!H24&amp;""</f>
        <v>9</v>
      </c>
      <c r="I181" s="27" t="str">
        <f>'16U BOYS SILVER-8 TEAMS'!I24&amp;""</f>
        <v>bracket, A1/A2</v>
      </c>
      <c r="J181" s="27" t="str">
        <f>'16U BOYS SILVER-8 TEAMS'!J24&amp;""</f>
        <v>16U_BOYS_SILVER</v>
      </c>
      <c r="K181" s="27" t="str">
        <f t="shared" si="2"/>
        <v>202603081100</v>
      </c>
    </row>
    <row r="182" spans="1:11">
      <c r="A182" s="142">
        <f>'19U BOYS PLATINUM GOLD-11 TEAMS'!A31</f>
        <v>46089</v>
      </c>
      <c r="B182" s="143">
        <f>'19U BOYS PLATINUM GOLD-11 TEAMS'!B31</f>
        <v>0.45833333333333298</v>
      </c>
      <c r="C182" s="142" t="str">
        <f>'19U BOYS PLATINUM GOLD-11 TEAMS'!C31&amp;""</f>
        <v>ESTANCIA HS 1</v>
      </c>
      <c r="D182" s="31" t="str">
        <f>'19U BOYS PLATINUM GOLD-11 TEAMS'!D31&amp;""</f>
        <v>19Bptau19</v>
      </c>
      <c r="E182" s="142" t="str">
        <f>'19U BOYS PLATINUM GOLD-11 TEAMS'!E31&amp;""</f>
        <v>E2(2ndB)-ALAMEDA</v>
      </c>
      <c r="F182" s="31" t="str">
        <f>'19U BOYS PLATINUM GOLD-11 TEAMS'!F31&amp;""</f>
        <v>10</v>
      </c>
      <c r="G182" s="142" t="str">
        <f>'19U BOYS PLATINUM GOLD-11 TEAMS'!G31&amp;""</f>
        <v>E3(2ndC)-TROJAN  16 CARDINAL pt</v>
      </c>
      <c r="H182" s="31" t="str">
        <f>'19U BOYS PLATINUM GOLD-11 TEAMS'!H31&amp;""</f>
        <v>9</v>
      </c>
      <c r="I182" s="31" t="str">
        <f>'19U BOYS PLATINUM GOLD-11 TEAMS'!I31&amp;""</f>
        <v>E2,E3 4th-6th</v>
      </c>
      <c r="J182" s="31" t="str">
        <f>'19U BOYS PLATINUM GOLD-11 TEAMS'!J31&amp;""</f>
        <v>19U_BOYS_PLATINUM_GOLD</v>
      </c>
      <c r="K182" s="31" t="str">
        <f t="shared" si="2"/>
        <v>202603081100</v>
      </c>
    </row>
    <row r="183" spans="1:11">
      <c r="A183" s="142">
        <f>'19U BOYS PLATINUM GOLD-11 TEAMS'!A30</f>
        <v>46089</v>
      </c>
      <c r="B183" s="143">
        <f>'19U BOYS PLATINUM GOLD-11 TEAMS'!B30</f>
        <v>0.45833333333333298</v>
      </c>
      <c r="C183" s="142" t="str">
        <f>'19U BOYS PLATINUM GOLD-11 TEAMS'!C30&amp;""</f>
        <v>WOOLLETT NEAR LEFT</v>
      </c>
      <c r="D183" s="31" t="str">
        <f>'19U BOYS PLATINUM GOLD-11 TEAMS'!D30&amp;""</f>
        <v>19Bptau16</v>
      </c>
      <c r="E183" s="142" t="str">
        <f>'19U BOYS PLATINUM GOLD-11 TEAMS'!E30&amp;""</f>
        <v>F2(3rdB)-HIELAND</v>
      </c>
      <c r="F183" s="31" t="str">
        <f>'19U BOYS PLATINUM GOLD-11 TEAMS'!F30&amp;""</f>
        <v>14</v>
      </c>
      <c r="G183" s="142" t="str">
        <f>'19U BOYS PLATINUM GOLD-11 TEAMS'!G30&amp;""</f>
        <v>F4(4thC)-ROUTE 66</v>
      </c>
      <c r="H183" s="31" t="str">
        <f>'19U BOYS PLATINUM GOLD-11 TEAMS'!H30&amp;""</f>
        <v>3</v>
      </c>
      <c r="I183" s="31" t="str">
        <f>'19U BOYS PLATINUM GOLD-11 TEAMS'!I30&amp;""</f>
        <v>F2,F4 7th-11th</v>
      </c>
      <c r="J183" s="31" t="str">
        <f>'19U BOYS PLATINUM GOLD-11 TEAMS'!J30&amp;""</f>
        <v>19U_BOYS_PLATINUM_GOLD</v>
      </c>
      <c r="K183" s="31" t="str">
        <f t="shared" si="2"/>
        <v>202603081100</v>
      </c>
    </row>
    <row r="184" spans="1:11">
      <c r="A184" s="157">
        <f>'16U BOYS PLATINUM GOLD-10 TEAMS'!A26</f>
        <v>46089</v>
      </c>
      <c r="B184" s="158">
        <f>'16U BOYS PLATINUM GOLD-10 TEAMS'!B26</f>
        <v>0.45833333333333298</v>
      </c>
      <c r="C184" s="158" t="str">
        <f>'16U BOYS PLATINUM GOLD-10 TEAMS'!C26&amp;""</f>
        <v>WOOLLETT NEAR RIGHT</v>
      </c>
      <c r="D184" s="157" t="str">
        <f>'16U BOYS PLATINUM GOLD-10 TEAMS'!D26&amp;""</f>
        <v>16Bptau14</v>
      </c>
      <c r="E184" s="158" t="str">
        <f>'16U BOYS PLATINUM GOLD-10 TEAMS'!E26&amp;""</f>
        <v>3rdA-DEVILS GATE</v>
      </c>
      <c r="F184" s="158" t="str">
        <f>'16U BOYS PLATINUM GOLD-10 TEAMS'!F26&amp;""</f>
        <v>17</v>
      </c>
      <c r="G184" s="159" t="str">
        <f>'16U BOYS PLATINUM GOLD-10 TEAMS'!G26&amp;""</f>
        <v>3rdC-TRILOGY BLACK</v>
      </c>
      <c r="H184" s="159" t="str">
        <f>'16U BOYS PLATINUM GOLD-10 TEAMS'!H26&amp;""</f>
        <v>15</v>
      </c>
      <c r="I184" s="159" t="str">
        <f>'16U BOYS PLATINUM GOLD-10 TEAMS'!I26&amp;""</f>
        <v>cross</v>
      </c>
      <c r="J184" s="159" t="str">
        <f>'16U BOYS PLATINUM GOLD-10 TEAMS'!J26&amp;""</f>
        <v>16U_BOYS_PLATINUM_GOLD</v>
      </c>
      <c r="K184" s="159" t="str">
        <f t="shared" si="2"/>
        <v>202603081100</v>
      </c>
    </row>
    <row r="185" spans="1:11">
      <c r="A185" s="91">
        <f>'14U BOYS GOLD-16 TEAMS'!A35</f>
        <v>46089</v>
      </c>
      <c r="B185" s="35">
        <f>'14U BOYS GOLD-16 TEAMS'!B35</f>
        <v>0.46527777777777801</v>
      </c>
      <c r="C185" s="91" t="str">
        <f>'14U BOYS GOLD-16 TEAMS'!C35&amp;""</f>
        <v>ALISO NIGUEL HS</v>
      </c>
      <c r="D185" s="35" t="str">
        <f>'14U BOYS GOLD-16 TEAMS'!D35&amp;""</f>
        <v>14Bau34</v>
      </c>
      <c r="E185" s="35" t="str">
        <f>'14U BOYS GOLD-16 TEAMS'!E35&amp;""</f>
        <v>W#29-LAWPC</v>
      </c>
      <c r="F185" s="33" t="str">
        <f>'14U BOYS GOLD-16 TEAMS'!F35&amp;""</f>
        <v>10</v>
      </c>
      <c r="G185" s="33" t="str">
        <f>'14U BOYS GOLD-16 TEAMS'!G35&amp;""</f>
        <v>W#30-MISSION 14B</v>
      </c>
      <c r="H185" s="33" t="str">
        <f>'14U BOYS GOLD-16 TEAMS'!H35&amp;""</f>
        <v>12</v>
      </c>
      <c r="I185" s="33" t="str">
        <f>'14U BOYS GOLD-16 TEAMS'!I35&amp;""</f>
        <v>13th</v>
      </c>
      <c r="J185" s="33" t="str">
        <f>'14U BOYS GOLD-16 TEAMS'!J35&amp;""</f>
        <v>14U_BOYS_GOLD</v>
      </c>
      <c r="K185" s="33" t="str">
        <f t="shared" si="2"/>
        <v>202603081110</v>
      </c>
    </row>
    <row r="186" spans="1:11">
      <c r="A186" s="77">
        <f>'12U BOYS-16 TEAMS'!A53</f>
        <v>46089</v>
      </c>
      <c r="B186" s="76">
        <f>'12U BOYS-16 TEAMS'!B53</f>
        <v>0.46527777777777801</v>
      </c>
      <c r="C186" s="76" t="str">
        <f>'12U BOYS-16 TEAMS'!C53&amp;""</f>
        <v>COSTA MESA HS 2</v>
      </c>
      <c r="D186" s="26" t="str">
        <f>'12U BOYS-16 TEAMS'!D53&amp;""</f>
        <v>12B27</v>
      </c>
      <c r="E186" s="26" t="str">
        <f>'12U BOYS-16 TEAMS'!E53&amp;""</f>
        <v>3rdE-CDM</v>
      </c>
      <c r="F186" s="26" t="str">
        <f>'12U BOYS-16 TEAMS'!F53&amp;""</f>
        <v>6</v>
      </c>
      <c r="G186" s="26" t="str">
        <f>'12U BOYS-16 TEAMS'!G53&amp;""</f>
        <v>4thD-VANGUARD SILVER</v>
      </c>
      <c r="H186" s="26" t="str">
        <f>'12U BOYS-16 TEAMS'!H53&amp;""</f>
        <v>11</v>
      </c>
      <c r="I186" s="26" t="str">
        <f>'12U BOYS-16 TEAMS'!I53&amp;""</f>
        <v>cross</v>
      </c>
      <c r="J186" s="26" t="str">
        <f>'12U BOYS-16 TEAMS'!J53&amp;""</f>
        <v>12U_BOYS</v>
      </c>
      <c r="K186" s="26" t="str">
        <f t="shared" si="2"/>
        <v>202603081110</v>
      </c>
    </row>
    <row r="187" spans="1:11">
      <c r="A187" s="107">
        <f>'14U GIRLS-9 TEAMS'!A32</f>
        <v>46089</v>
      </c>
      <c r="B187" s="106">
        <f>'14U GIRLS-9 TEAMS'!B32</f>
        <v>0.46527777777777801</v>
      </c>
      <c r="C187" s="105" t="str">
        <f>'14U GIRLS-9 TEAMS'!C32&amp;""</f>
        <v>EL TORO HS 1</v>
      </c>
      <c r="D187" s="28" t="str">
        <f>'14U GIRLS-9 TEAMS'!D32&amp;""</f>
        <v>14G14</v>
      </c>
      <c r="E187" s="28" t="str">
        <f>'14U GIRLS-9 TEAMS'!E32&amp;""</f>
        <v>E2(2ndB)-SET</v>
      </c>
      <c r="F187" s="28" t="str">
        <f>'14U GIRLS-9 TEAMS'!F32&amp;""</f>
        <v>11</v>
      </c>
      <c r="G187" s="28" t="str">
        <f>'14U GIRLS-9 TEAMS'!G32&amp;""</f>
        <v>E3(2ndC)-CV PREMIER</v>
      </c>
      <c r="H187" s="28" t="str">
        <f>'14U GIRLS-9 TEAMS'!H32&amp;""</f>
        <v>5</v>
      </c>
      <c r="I187" s="28" t="str">
        <f>'14U GIRLS-9 TEAMS'!I32&amp;""</f>
        <v>plat-gold-silver E2,E3</v>
      </c>
      <c r="J187" s="28" t="str">
        <f>'14U GIRLS-9 TEAMS'!J32&amp;""</f>
        <v>14U_GIRLS</v>
      </c>
      <c r="K187" s="28" t="str">
        <f t="shared" si="2"/>
        <v>202603081110</v>
      </c>
    </row>
    <row r="188" spans="1:11">
      <c r="A188" s="88">
        <f>'14U BOYS SILVER-16 TEAMS'!A35</f>
        <v>46089</v>
      </c>
      <c r="B188" s="87">
        <f>'14U BOYS SILVER-16 TEAMS'!B35</f>
        <v>0.46527777777777801</v>
      </c>
      <c r="C188" s="87" t="str">
        <f>'14U BOYS SILVER-16 TEAMS'!C35&amp;""</f>
        <v>ESTANCIA HS 2</v>
      </c>
      <c r="D188" s="36" t="str">
        <f>'14U BOYS SILVER-16 TEAMS'!D35&amp;""</f>
        <v>14Bag19</v>
      </c>
      <c r="E188" s="36" t="str">
        <f>'14U BOYS SILVER-16 TEAMS'!E35&amp;""</f>
        <v>1stA-BREA OLINDA GOLD</v>
      </c>
      <c r="F188" s="36" t="str">
        <f>'14U BOYS SILVER-16 TEAMS'!F35&amp;""</f>
        <v>9</v>
      </c>
      <c r="G188" s="36" t="str">
        <f>'14U BOYS SILVER-16 TEAMS'!G35&amp;""</f>
        <v>1stD-NEWPORT BEACH SILVER</v>
      </c>
      <c r="H188" s="36" t="str">
        <f>'14U BOYS SILVER-16 TEAMS'!H35&amp;""</f>
        <v>3</v>
      </c>
      <c r="I188" s="36" t="str">
        <f>'14U BOYS SILVER-16 TEAMS'!I35&amp;""</f>
        <v>1-4 semi 1A/1D</v>
      </c>
      <c r="J188" s="36" t="str">
        <f>'14U BOYS SILVER-16 TEAMS'!J35&amp;""</f>
        <v>14U_BOYS_SILVER</v>
      </c>
      <c r="K188" s="36" t="str">
        <f t="shared" si="2"/>
        <v>202603081110</v>
      </c>
    </row>
    <row r="189" spans="1:11">
      <c r="A189" s="86">
        <f>'12U COED GIRLS-9 TEAMS CUSTOM'!A31</f>
        <v>46089</v>
      </c>
      <c r="B189" s="85">
        <f>'12U COED GIRLS-9 TEAMS CUSTOM'!B31</f>
        <v>0.46527777777777801</v>
      </c>
      <c r="C189" s="24" t="str">
        <f>'12U COED GIRLS-9 TEAMS CUSTOM'!C31&amp;""</f>
        <v>LAGUNA HILLS HS</v>
      </c>
      <c r="D189" s="24" t="str">
        <f>'12U COED GIRLS-9 TEAMS CUSTOM'!D31&amp;""</f>
        <v>12GC14</v>
      </c>
      <c r="E189" s="24" t="str">
        <f>'12U COED GIRLS-9 TEAMS CUSTOM'!E31&amp;""</f>
        <v>E2(2ndB)-ARROYO GRANDE</v>
      </c>
      <c r="F189" s="24" t="str">
        <f>'12U COED GIRLS-9 TEAMS CUSTOM'!F31&amp;""</f>
        <v>9</v>
      </c>
      <c r="G189" s="24" t="str">
        <f>'12U COED GIRLS-9 TEAMS CUSTOM'!G31&amp;""</f>
        <v>E3(2ndC)-LAGUNA BEACH GIRLS</v>
      </c>
      <c r="H189" s="24" t="str">
        <f>'12U COED GIRLS-9 TEAMS CUSTOM'!H31&amp;""</f>
        <v>10</v>
      </c>
      <c r="I189" s="24" t="str">
        <f>'12U COED GIRLS-9 TEAMS CUSTOM'!I31&amp;""</f>
        <v>E bracket E2,E3 cross</v>
      </c>
      <c r="J189" s="24" t="str">
        <f>'12U COED GIRLS-9 TEAMS CUSTOM'!J31&amp;""</f>
        <v>12U_COED_GIRLS</v>
      </c>
      <c r="K189" s="24" t="str">
        <f t="shared" si="2"/>
        <v>202603081110</v>
      </c>
    </row>
    <row r="190" spans="1:11">
      <c r="A190" s="91">
        <f>'14U BOYS GOLD-16 TEAMS'!A34</f>
        <v>46089</v>
      </c>
      <c r="B190" s="35">
        <f>'14U BOYS GOLD-16 TEAMS'!B34</f>
        <v>0.46527777777777801</v>
      </c>
      <c r="C190" s="91" t="str">
        <f>'14U BOYS GOLD-16 TEAMS'!C34&amp;""</f>
        <v>SAN JUAN HILLS HS</v>
      </c>
      <c r="D190" s="35" t="str">
        <f>'14U BOYS GOLD-16 TEAMS'!D34&amp;""</f>
        <v>14Bau19</v>
      </c>
      <c r="E190" s="35" t="str">
        <f>'14U BOYS GOLD-16 TEAMS'!E34&amp;""</f>
        <v>1stA-NORTH IRVINE RED</v>
      </c>
      <c r="F190" s="33" t="str">
        <f>'14U BOYS GOLD-16 TEAMS'!F34&amp;""</f>
        <v>7</v>
      </c>
      <c r="G190" s="33" t="str">
        <f>'14U BOYS GOLD-16 TEAMS'!G34&amp;""</f>
        <v>1stD-ALAMEDA</v>
      </c>
      <c r="H190" s="33" t="str">
        <f>'14U BOYS GOLD-16 TEAMS'!H34&amp;""</f>
        <v>4</v>
      </c>
      <c r="I190" s="33" t="str">
        <f>'14U BOYS GOLD-16 TEAMS'!I34&amp;""</f>
        <v>1-4 semi 1A/1D</v>
      </c>
      <c r="J190" s="33" t="str">
        <f>'14U BOYS GOLD-16 TEAMS'!J34&amp;""</f>
        <v>14U_BOYS_GOLD</v>
      </c>
      <c r="K190" s="33" t="str">
        <f t="shared" si="2"/>
        <v>202603081110</v>
      </c>
    </row>
    <row r="191" spans="1:11">
      <c r="A191" s="94">
        <f>'14U BOYS PLATINUM-10 TEAMS'!A27</f>
        <v>46089</v>
      </c>
      <c r="B191" s="93">
        <f>'14U BOYS PLATINUM-10 TEAMS'!B27</f>
        <v>0.46527777777777801</v>
      </c>
      <c r="C191" s="93" t="str">
        <f>'14U BOYS PLATINUM-10 TEAMS'!C27&amp;""</f>
        <v>WESTMINSTER HS</v>
      </c>
      <c r="D191" s="32" t="str">
        <f>'14U BOYS PLATINUM-10 TEAMS'!D27&amp;""</f>
        <v>14Bpt15</v>
      </c>
      <c r="E191" s="32" t="str">
        <f>'14U BOYS PLATINUM-10 TEAMS'!E27&amp;""</f>
        <v>1stA-MISSION A</v>
      </c>
      <c r="F191" s="32" t="str">
        <f>'14U BOYS PLATINUM-10 TEAMS'!F27&amp;""</f>
        <v>6</v>
      </c>
      <c r="G191" s="32" t="str">
        <f>'14U BOYS PLATINUM-10 TEAMS'!G27&amp;""</f>
        <v>2ndC-SAN DIEGO DONS</v>
      </c>
      <c r="H191" s="32" t="str">
        <f>'14U BOYS PLATINUM-10 TEAMS'!H27&amp;""</f>
        <v>10</v>
      </c>
      <c r="I191" s="32" t="str">
        <f>'14U BOYS PLATINUM-10 TEAMS'!I27&amp;""</f>
        <v>1-4 semi 1A/2C</v>
      </c>
      <c r="J191" s="32" t="str">
        <f>'14U BOYS PLATINUM-10 TEAMS'!J27&amp;""</f>
        <v>14U_BOYS_PLATINUM</v>
      </c>
      <c r="K191" s="32" t="str">
        <f t="shared" si="2"/>
        <v>202603081110</v>
      </c>
    </row>
    <row r="192" spans="1:11">
      <c r="A192" s="77">
        <f>'12U BOYS-16 TEAMS'!A43</f>
        <v>46089</v>
      </c>
      <c r="B192" s="76">
        <f>'12U BOYS-16 TEAMS'!B43</f>
        <v>0.46527777777777801</v>
      </c>
      <c r="C192" s="76" t="str">
        <f>'12U BOYS-16 TEAMS'!C43&amp;""</f>
        <v>WOOLLETT FAR RIGHT</v>
      </c>
      <c r="D192" s="26" t="str">
        <f>'12U BOYS-16 TEAMS'!D43&amp;""</f>
        <v>12B21</v>
      </c>
      <c r="E192" s="26" t="str">
        <f>'12U BOYS-16 TEAMS'!E43&amp;""</f>
        <v>G2(2ndC)-LAWPC</v>
      </c>
      <c r="F192" s="26" t="str">
        <f>'12U BOYS-16 TEAMS'!F43&amp;""</f>
        <v>9</v>
      </c>
      <c r="G192" s="26" t="str">
        <f>'12U BOYS-16 TEAMS'!G43&amp;""</f>
        <v>G3(2ndD)-SAN DIEGO DONS 10 RED</v>
      </c>
      <c r="H192" s="26" t="str">
        <f>'12U BOYS-16 TEAMS'!H43&amp;""</f>
        <v>10</v>
      </c>
      <c r="I192" s="26" t="str">
        <f>'12U BOYS-16 TEAMS'!I43&amp;""</f>
        <v>G bracket G2,G3 gold 4th-6th</v>
      </c>
      <c r="J192" s="26" t="str">
        <f>'12U BOYS-16 TEAMS'!J43&amp;""</f>
        <v>12U_BOYS</v>
      </c>
      <c r="K192" s="26" t="str">
        <f t="shared" si="2"/>
        <v>202603081110</v>
      </c>
    </row>
    <row r="193" spans="1:11">
      <c r="A193" s="67">
        <f>'10U GIRLS COED AU AG-12 TEAMS'!A30</f>
        <v>46089</v>
      </c>
      <c r="B193" s="152">
        <f>'10U GIRLS COED AU AG-12 TEAMS'!B30</f>
        <v>0.47222222222222199</v>
      </c>
      <c r="C193" s="66" t="str">
        <f>'10U GIRLS COED AU AG-12 TEAMS'!C30&amp;""</f>
        <v>EL TORO HS 2</v>
      </c>
      <c r="D193" s="20" t="str">
        <f>'10U GIRLS COED AU AG-12 TEAMS'!D30&amp;""</f>
        <v>10GCauag18</v>
      </c>
      <c r="E193" s="20" t="str">
        <f>'10U GIRLS COED AU AG-12 TEAMS'!E30&amp;""</f>
        <v>3rdA-TROJAN SOUTH au</v>
      </c>
      <c r="F193" s="20" t="str">
        <f>'10U GIRLS COED AU AG-12 TEAMS'!F30&amp;""</f>
        <v>13</v>
      </c>
      <c r="G193" s="20" t="str">
        <f>'10U GIRLS COED AU AG-12 TEAMS'!G30&amp;""</f>
        <v>C3-DEL MAR GIRLS WHITE</v>
      </c>
      <c r="H193" s="20" t="str">
        <f>'10U GIRLS COED AU AG-12 TEAMS'!H30&amp;""</f>
        <v>7</v>
      </c>
      <c r="I193" s="20" t="str">
        <f>'10U GIRLS COED AU AG-12 TEAMS'!I30&amp;""</f>
        <v>cross</v>
      </c>
      <c r="J193" s="20" t="str">
        <f>'10U GIRLS COED AU AG-12 TEAMS'!J30&amp;""</f>
        <v>10U_GIRLS_COED_GOLD_SILVER</v>
      </c>
      <c r="K193" s="20" t="str">
        <f t="shared" si="2"/>
        <v>202603081120</v>
      </c>
    </row>
    <row r="194" spans="1:11">
      <c r="A194" s="153">
        <f>'10U BOYS &amp; COED PT-7 CUSTOM'!A26</f>
        <v>46089</v>
      </c>
      <c r="B194" s="54">
        <f>'10U BOYS &amp; COED PT-7 CUSTOM'!B26</f>
        <v>0.47222222222222199</v>
      </c>
      <c r="C194" s="21" t="str">
        <f>'10U BOYS &amp; COED PT-7 CUSTOM'!C26&amp;""</f>
        <v>WOOLLETT FAR LEFT</v>
      </c>
      <c r="D194" s="21" t="str">
        <f>'10U BOYS &amp; COED PT-7 CUSTOM'!D26&amp;""</f>
        <v>10BCpt11</v>
      </c>
      <c r="E194" s="21" t="str">
        <f>'10U BOYS &amp; COED PT-7 CUSTOM'!E26&amp;""</f>
        <v>1stA-NORTH IRVINE BLACK</v>
      </c>
      <c r="F194" s="21" t="str">
        <f>'10U BOYS &amp; COED PT-7 CUSTOM'!F26&amp;""</f>
        <v>12</v>
      </c>
      <c r="G194" s="21" t="str">
        <f>'10U BOYS &amp; COED PT-7 CUSTOM'!G26&amp;""</f>
        <v>2ndB-SAN CLEMENTE RED</v>
      </c>
      <c r="H194" s="21" t="str">
        <f>'10U BOYS &amp; COED PT-7 CUSTOM'!H26&amp;""</f>
        <v>9</v>
      </c>
      <c r="I194" s="21" t="str">
        <f>'10U BOYS &amp; COED PT-7 CUSTOM'!I26&amp;""</f>
        <v>cross</v>
      </c>
      <c r="J194" s="21" t="str">
        <f>'10U BOYS &amp; COED PT-7 CUSTOM'!J26&amp;""</f>
        <v>10U_BOYS_&amp;_COED_PLATINUM</v>
      </c>
      <c r="K194" s="21" t="str">
        <f t="shared" ref="K194:K261" si="3">TEXT(DATE(2026, MONTH(A194), DAY(A194)) + TIME(HOUR(B194), MINUTE(B194), 0), "yyyymmddhhmm")</f>
        <v>202603081120</v>
      </c>
    </row>
    <row r="195" spans="1:11">
      <c r="A195" s="91">
        <f>'14U BOYS GOLD-16 TEAMS'!A36</f>
        <v>46089</v>
      </c>
      <c r="B195" s="35">
        <f>'14U BOYS GOLD-16 TEAMS'!B36</f>
        <v>0.5</v>
      </c>
      <c r="C195" s="91" t="str">
        <f>'14U BOYS GOLD-16 TEAMS'!C36&amp;""</f>
        <v>ALISO NIGUEL HS</v>
      </c>
      <c r="D195" s="35" t="str">
        <f>'14U BOYS GOLD-16 TEAMS'!D36&amp;""</f>
        <v>14Bau33</v>
      </c>
      <c r="E195" s="35" t="str">
        <f>'14U BOYS GOLD-16 TEAMS'!E36&amp;""</f>
        <v>L#29-CDM B</v>
      </c>
      <c r="F195" s="33" t="str">
        <f>'14U BOYS GOLD-16 TEAMS'!F36&amp;""</f>
        <v>3</v>
      </c>
      <c r="G195" s="33" t="str">
        <f>'14U BOYS GOLD-16 TEAMS'!G36&amp;""</f>
        <v>L#30-SAN DIEGO DONS 12 RED</v>
      </c>
      <c r="H195" s="33" t="str">
        <f>'14U BOYS GOLD-16 TEAMS'!H36&amp;""</f>
        <v>13</v>
      </c>
      <c r="I195" s="33" t="str">
        <f>'14U BOYS GOLD-16 TEAMS'!I36&amp;""</f>
        <v>15th</v>
      </c>
      <c r="J195" s="33" t="str">
        <f>'14U BOYS GOLD-16 TEAMS'!J36&amp;""</f>
        <v>14U_BOYS_GOLD</v>
      </c>
      <c r="K195" s="33" t="str">
        <f t="shared" si="3"/>
        <v>202603081200</v>
      </c>
    </row>
    <row r="196" spans="1:11">
      <c r="A196" s="113">
        <f>'16U BOYS SILVER-8 TEAMS'!A25</f>
        <v>46089</v>
      </c>
      <c r="B196" s="112">
        <f>'16U BOYS SILVER-8 TEAMS'!B25</f>
        <v>0.5</v>
      </c>
      <c r="C196" s="27" t="str">
        <f>'16U BOYS SILVER-8 TEAMS'!C25&amp;""</f>
        <v>COSTA MESA HS 1</v>
      </c>
      <c r="D196" s="27" t="str">
        <f>'16U BOYS SILVER-8 TEAMS'!D25&amp;""</f>
        <v>16Bag13</v>
      </c>
      <c r="E196" s="27" t="str">
        <f>'16U BOYS SILVER-8 TEAMS'!E25&amp;""</f>
        <v>4thA-PALOS VERDES BLUE</v>
      </c>
      <c r="F196" s="27" t="str">
        <f>'16U BOYS SILVER-8 TEAMS'!F25&amp;""</f>
        <v>14</v>
      </c>
      <c r="G196" s="27" t="str">
        <f>'16U BOYS SILVER-8 TEAMS'!G25&amp;""</f>
        <v>4thB-TITANS</v>
      </c>
      <c r="H196" s="27" t="str">
        <f>'16U BOYS SILVER-8 TEAMS'!H25&amp;""</f>
        <v>7</v>
      </c>
      <c r="I196" s="27" t="str">
        <f>'16U BOYS SILVER-8 TEAMS'!I25&amp;""</f>
        <v>7th</v>
      </c>
      <c r="J196" s="27" t="str">
        <f>'16U BOYS SILVER-8 TEAMS'!J25&amp;""</f>
        <v>16U_BOYS_SILVER</v>
      </c>
      <c r="K196" s="27" t="str">
        <f t="shared" si="3"/>
        <v>202603081200</v>
      </c>
    </row>
    <row r="197" spans="1:11">
      <c r="A197" s="77">
        <f>'12U BOYS-16 TEAMS'!A54</f>
        <v>46089</v>
      </c>
      <c r="B197" s="76">
        <f>'12U BOYS-16 TEAMS'!B54</f>
        <v>0.5</v>
      </c>
      <c r="C197" s="76" t="str">
        <f>'12U BOYS-16 TEAMS'!C54&amp;""</f>
        <v>COSTA MESA HS 2</v>
      </c>
      <c r="D197" s="26" t="str">
        <f>'12U BOYS-16 TEAMS'!D54&amp;""</f>
        <v>12B28</v>
      </c>
      <c r="E197" s="26" t="str">
        <f>'12U BOYS-16 TEAMS'!E54&amp;""</f>
        <v>1stA-ORANGE COUNTY WPC A</v>
      </c>
      <c r="F197" s="26" t="str">
        <f>'12U BOYS-16 TEAMS'!F54&amp;""</f>
        <v>19</v>
      </c>
      <c r="G197" s="26" t="str">
        <f>'12U BOYS-16 TEAMS'!G54&amp;""</f>
        <v>3rdC-NORTH IRVINE RED</v>
      </c>
      <c r="H197" s="26" t="str">
        <f>'12U BOYS-16 TEAMS'!H54&amp;""</f>
        <v>2</v>
      </c>
      <c r="I197" s="26" t="str">
        <f>'12U BOYS-16 TEAMS'!I54&amp;""</f>
        <v>cross</v>
      </c>
      <c r="J197" s="26" t="str">
        <f>'12U BOYS-16 TEAMS'!J54&amp;""</f>
        <v>12U_BOYS</v>
      </c>
      <c r="K197" s="26" t="str">
        <f t="shared" si="3"/>
        <v>202603081200</v>
      </c>
    </row>
    <row r="198" spans="1:11">
      <c r="A198" s="107">
        <f>'14U GIRLS-9 TEAMS'!A33</f>
        <v>46089</v>
      </c>
      <c r="B198" s="106">
        <f>'14U GIRLS-9 TEAMS'!B33</f>
        <v>0.5</v>
      </c>
      <c r="C198" s="105" t="str">
        <f>'14U GIRLS-9 TEAMS'!C33&amp;""</f>
        <v>EL TORO HS 1</v>
      </c>
      <c r="D198" s="28" t="str">
        <f>'14U GIRLS-9 TEAMS'!D33&amp;""</f>
        <v>14G15</v>
      </c>
      <c r="E198" s="28" t="str">
        <f>'14U GIRLS-9 TEAMS'!E33&amp;""</f>
        <v>F2(1stB)-PALOS VERDES BLACK</v>
      </c>
      <c r="F198" s="28" t="str">
        <f>'14U GIRLS-9 TEAMS'!F33&amp;""</f>
        <v>10</v>
      </c>
      <c r="G198" s="28" t="str">
        <f>'14U GIRLS-9 TEAMS'!G33&amp;""</f>
        <v>F3(1stC)-INNIS ARDEN</v>
      </c>
      <c r="H198" s="28" t="str">
        <f>'14U GIRLS-9 TEAMS'!H33&amp;""</f>
        <v>7</v>
      </c>
      <c r="I198" s="28" t="str">
        <f>'14U GIRLS-9 TEAMS'!I33&amp;""</f>
        <v>plat-gold-silver F2,F3</v>
      </c>
      <c r="J198" s="28" t="str">
        <f>'14U GIRLS-9 TEAMS'!J33&amp;""</f>
        <v>14U_GIRLS</v>
      </c>
      <c r="K198" s="28" t="str">
        <f t="shared" si="3"/>
        <v>202603081200</v>
      </c>
    </row>
    <row r="199" spans="1:11">
      <c r="A199" s="127">
        <f>'19U BOYS SILVER-5 TEAMS'!A24</f>
        <v>46089</v>
      </c>
      <c r="B199" s="126">
        <f>'19U BOYS SILVER-5 TEAMS'!B24</f>
        <v>0.5</v>
      </c>
      <c r="C199" s="126" t="str">
        <f>'19U BOYS SILVER-5 TEAMS'!C24&amp;""</f>
        <v>ESTANCIA HS 1</v>
      </c>
      <c r="D199" s="30" t="str">
        <f>'19U BOYS SILVER-5 TEAMS'!D24&amp;""</f>
        <v>19Bag08</v>
      </c>
      <c r="E199" s="30" t="str">
        <f>'19U BOYS SILVER-5 TEAMS'!E24&amp;""</f>
        <v>A1-SET</v>
      </c>
      <c r="F199" s="30" t="str">
        <f>'19U BOYS SILVER-5 TEAMS'!F24&amp;""</f>
        <v>6</v>
      </c>
      <c r="G199" s="30" t="str">
        <f>'19U BOYS SILVER-5 TEAMS'!G24&amp;""</f>
        <v>A2-SOUTH COUNTY AQUATICS</v>
      </c>
      <c r="H199" s="30" t="str">
        <f>'19U BOYS SILVER-5 TEAMS'!H24&amp;""</f>
        <v>12</v>
      </c>
      <c r="I199" s="30" t="str">
        <f>'19U BOYS SILVER-5 TEAMS'!I24&amp;""</f>
        <v>A bracket 1/2</v>
      </c>
      <c r="J199" s="30" t="str">
        <f>'19U BOYS SILVER-5 TEAMS'!J24&amp;""</f>
        <v>19U_BOYS_SILVER</v>
      </c>
      <c r="K199" s="30" t="str">
        <f t="shared" si="3"/>
        <v>202603081200</v>
      </c>
    </row>
    <row r="200" spans="1:11">
      <c r="A200" s="88">
        <f>'14U BOYS SILVER-16 TEAMS'!A36</f>
        <v>46089</v>
      </c>
      <c r="B200" s="87">
        <f>'14U BOYS SILVER-16 TEAMS'!B36</f>
        <v>0.5</v>
      </c>
      <c r="C200" s="87" t="str">
        <f>'14U BOYS SILVER-16 TEAMS'!C36&amp;""</f>
        <v>ESTANCIA HS 2</v>
      </c>
      <c r="D200" s="36" t="str">
        <f>'14U BOYS SILVER-16 TEAMS'!D36&amp;""</f>
        <v>14Bag20</v>
      </c>
      <c r="E200" s="36" t="str">
        <f>'14U BOYS SILVER-16 TEAMS'!E36&amp;""</f>
        <v>1stB-RANCHO TSUNAMI 12 BLUE</v>
      </c>
      <c r="F200" s="36" t="str">
        <f>'14U BOYS SILVER-16 TEAMS'!F36&amp;""</f>
        <v>7</v>
      </c>
      <c r="G200" s="36" t="str">
        <f>'14U BOYS SILVER-16 TEAMS'!G36&amp;""</f>
        <v>1stC-PALOS VERDES B</v>
      </c>
      <c r="H200" s="36" t="str">
        <f>'14U BOYS SILVER-16 TEAMS'!H36&amp;""</f>
        <v>9</v>
      </c>
      <c r="I200" s="36" t="str">
        <f>'14U BOYS SILVER-16 TEAMS'!I36&amp;""</f>
        <v>1-4 semi 1B/1C</v>
      </c>
      <c r="J200" s="36" t="str">
        <f>'14U BOYS SILVER-16 TEAMS'!J36&amp;""</f>
        <v>14U_BOYS_SILVER</v>
      </c>
      <c r="K200" s="36" t="str">
        <f t="shared" si="3"/>
        <v>202603081200</v>
      </c>
    </row>
    <row r="201" spans="1:11">
      <c r="A201" s="86">
        <f>'12U COED GIRLS-9 TEAMS CUSTOM'!A32</f>
        <v>46089</v>
      </c>
      <c r="B201" s="85">
        <f>'12U COED GIRLS-9 TEAMS CUSTOM'!B32</f>
        <v>0.5</v>
      </c>
      <c r="C201" s="24" t="str">
        <f>'12U COED GIRLS-9 TEAMS CUSTOM'!C32&amp;""</f>
        <v>LAGUNA HILLS HS</v>
      </c>
      <c r="D201" s="24" t="str">
        <f>'12U COED GIRLS-9 TEAMS CUSTOM'!D32&amp;""</f>
        <v>12GC15</v>
      </c>
      <c r="E201" s="24" t="str">
        <f>'12U COED GIRLS-9 TEAMS CUSTOM'!E32&amp;""</f>
        <v>F2(3rdB)-SET</v>
      </c>
      <c r="F201" s="24" t="str">
        <f>'12U COED GIRLS-9 TEAMS CUSTOM'!F32&amp;""</f>
        <v>4</v>
      </c>
      <c r="G201" s="24" t="str">
        <f>'12U COED GIRLS-9 TEAMS CUSTOM'!G32&amp;""</f>
        <v>F3(3rdC)-CMAC GIRLS</v>
      </c>
      <c r="H201" s="24" t="str">
        <f>'12U COED GIRLS-9 TEAMS CUSTOM'!H32&amp;""</f>
        <v>9</v>
      </c>
      <c r="I201" s="24" t="str">
        <f>'12U COED GIRLS-9 TEAMS CUSTOM'!I32&amp;""</f>
        <v>F bracket F2,F3 cross</v>
      </c>
      <c r="J201" s="24" t="str">
        <f>'12U COED GIRLS-9 TEAMS CUSTOM'!J32&amp;""</f>
        <v>12U_COED_GIRLS</v>
      </c>
      <c r="K201" s="24" t="str">
        <f t="shared" si="3"/>
        <v>202603081200</v>
      </c>
    </row>
    <row r="202" spans="1:11">
      <c r="A202" s="91">
        <f>'14U BOYS GOLD-16 TEAMS'!A37</f>
        <v>46089</v>
      </c>
      <c r="B202" s="35">
        <f>'14U BOYS GOLD-16 TEAMS'!B37</f>
        <v>0.5</v>
      </c>
      <c r="C202" s="91" t="str">
        <f>'14U BOYS GOLD-16 TEAMS'!C37&amp;""</f>
        <v>SAN JUAN HILLS HS</v>
      </c>
      <c r="D202" s="35" t="str">
        <f>'14U BOYS GOLD-16 TEAMS'!D37&amp;""</f>
        <v>14Bau20</v>
      </c>
      <c r="E202" s="35" t="str">
        <f>'14U BOYS GOLD-16 TEAMS'!E37&amp;""</f>
        <v>1stB-ORANGE COUNTY WPC B</v>
      </c>
      <c r="F202" s="33" t="str">
        <f>'14U BOYS GOLD-16 TEAMS'!F37&amp;""</f>
        <v>6</v>
      </c>
      <c r="G202" s="33" t="str">
        <f>'14U BOYS GOLD-16 TEAMS'!G37&amp;""</f>
        <v>1stC-VANGUARD SILVER</v>
      </c>
      <c r="H202" s="33" t="str">
        <f>'14U BOYS GOLD-16 TEAMS'!H37&amp;""</f>
        <v>3</v>
      </c>
      <c r="I202" s="33" t="str">
        <f>'14U BOYS GOLD-16 TEAMS'!I37&amp;""</f>
        <v>1-4 semi 1B/1C</v>
      </c>
      <c r="J202" s="33" t="str">
        <f>'14U BOYS GOLD-16 TEAMS'!J37&amp;""</f>
        <v>14U_BOYS_GOLD</v>
      </c>
      <c r="K202" s="33" t="str">
        <f t="shared" si="3"/>
        <v>202603081200</v>
      </c>
    </row>
    <row r="203" spans="1:11">
      <c r="A203" s="94">
        <f>'14U BOYS PLATINUM-10 TEAMS'!A28</f>
        <v>46089</v>
      </c>
      <c r="B203" s="93">
        <f>'14U BOYS PLATINUM-10 TEAMS'!B28</f>
        <v>0.5</v>
      </c>
      <c r="C203" s="93" t="str">
        <f>'14U BOYS PLATINUM-10 TEAMS'!C28&amp;""</f>
        <v>WESTMINSTER HS</v>
      </c>
      <c r="D203" s="32" t="str">
        <f>'14U BOYS PLATINUM-10 TEAMS'!D28&amp;""</f>
        <v>14Bpt16</v>
      </c>
      <c r="E203" s="32" t="str">
        <f>'14U BOYS PLATINUM-10 TEAMS'!E28&amp;""</f>
        <v>1stB-NEWPORT BEACH BLUE</v>
      </c>
      <c r="F203" s="32" t="str">
        <f>'14U BOYS PLATINUM-10 TEAMS'!F28&amp;""</f>
        <v>12</v>
      </c>
      <c r="G203" s="32" t="str">
        <f>'14U BOYS PLATINUM-10 TEAMS'!G28&amp;""</f>
        <v>1stC-VANGUARD BLUE</v>
      </c>
      <c r="H203" s="32" t="str">
        <f>'14U BOYS PLATINUM-10 TEAMS'!H28&amp;""</f>
        <v>6</v>
      </c>
      <c r="I203" s="32" t="str">
        <f>'14U BOYS PLATINUM-10 TEAMS'!I28&amp;""</f>
        <v>1-4 semi 1B/1C</v>
      </c>
      <c r="J203" s="32" t="str">
        <f>'14U BOYS PLATINUM-10 TEAMS'!J28&amp;""</f>
        <v>14U_BOYS_PLATINUM</v>
      </c>
      <c r="K203" s="32" t="str">
        <f t="shared" si="3"/>
        <v>202603081200</v>
      </c>
    </row>
    <row r="204" spans="1:11">
      <c r="A204" s="77">
        <f>'12U BOYS-16 TEAMS'!A44</f>
        <v>46089</v>
      </c>
      <c r="B204" s="76">
        <f>'12U BOYS-16 TEAMS'!B44</f>
        <v>0.5</v>
      </c>
      <c r="C204" s="76" t="str">
        <f>'12U BOYS-16 TEAMS'!C44&amp;""</f>
        <v>WOOLLETT FAR RIGHT</v>
      </c>
      <c r="D204" s="26" t="str">
        <f>'12U BOYS-16 TEAMS'!D44&amp;""</f>
        <v>12B22</v>
      </c>
      <c r="E204" s="26" t="str">
        <f>'12U BOYS-16 TEAMS'!E44&amp;""</f>
        <v>F2(1stC)-MISSION B</v>
      </c>
      <c r="F204" s="26" t="str">
        <f>'12U BOYS-16 TEAMS'!F44&amp;""</f>
        <v>11</v>
      </c>
      <c r="G204" s="26" t="str">
        <f>'12U BOYS-16 TEAMS'!G44&amp;""</f>
        <v>F3(1stD)-PEGASUS WPA BLUE</v>
      </c>
      <c r="H204" s="26" t="str">
        <f>'12U BOYS-16 TEAMS'!H44&amp;""</f>
        <v>6</v>
      </c>
      <c r="I204" s="26" t="str">
        <f>'12U BOYS-16 TEAMS'!I44&amp;""</f>
        <v>F bracket F2,F3 gold 1st-3rd</v>
      </c>
      <c r="J204" s="26" t="str">
        <f>'12U BOYS-16 TEAMS'!J44&amp;""</f>
        <v>12U_BOYS</v>
      </c>
      <c r="K204" s="26" t="str">
        <f t="shared" si="3"/>
        <v>202603081200</v>
      </c>
    </row>
    <row r="205" spans="1:11">
      <c r="A205" s="142">
        <f>'19U BOYS PLATINUM GOLD-11 TEAMS'!A32</f>
        <v>46089</v>
      </c>
      <c r="B205" s="143">
        <f>'19U BOYS PLATINUM GOLD-11 TEAMS'!B32</f>
        <v>0.5</v>
      </c>
      <c r="C205" s="142" t="str">
        <f>'19U BOYS PLATINUM GOLD-11 TEAMS'!C32&amp;""</f>
        <v>WOOLLETT NEAR LEFT</v>
      </c>
      <c r="D205" s="31" t="str">
        <f>'19U BOYS PLATINUM GOLD-11 TEAMS'!D32&amp;""</f>
        <v>19Bptau17</v>
      </c>
      <c r="E205" s="142" t="str">
        <f>'19U BOYS PLATINUM GOLD-11 TEAMS'!E32&amp;""</f>
        <v>F1(3rdA)-TSM B</v>
      </c>
      <c r="F205" s="31" t="str">
        <f>'19U BOYS PLATINUM GOLD-11 TEAMS'!F32&amp;""</f>
        <v>11</v>
      </c>
      <c r="G205" s="142" t="str">
        <f>'19U BOYS PLATINUM GOLD-11 TEAMS'!G32&amp;""</f>
        <v>F3(3rdC)-SOUTH VALLEY</v>
      </c>
      <c r="H205" s="31" t="str">
        <f>'19U BOYS PLATINUM GOLD-11 TEAMS'!H32&amp;""</f>
        <v>9</v>
      </c>
      <c r="I205" s="31" t="str">
        <f>'19U BOYS PLATINUM GOLD-11 TEAMS'!I32&amp;""</f>
        <v>F1,F3 7th-11th</v>
      </c>
      <c r="J205" s="31" t="str">
        <f>'19U BOYS PLATINUM GOLD-11 TEAMS'!J32&amp;""</f>
        <v>19U_BOYS_PLATINUM_GOLD</v>
      </c>
      <c r="K205" s="31" t="str">
        <f t="shared" si="3"/>
        <v>202603081200</v>
      </c>
    </row>
    <row r="206" spans="1:11">
      <c r="A206" s="157">
        <f>'16U BOYS PLATINUM GOLD-10 TEAMS'!A27</f>
        <v>46089</v>
      </c>
      <c r="B206" s="158">
        <f>'16U BOYS PLATINUM GOLD-10 TEAMS'!B27</f>
        <v>0.5</v>
      </c>
      <c r="C206" s="158" t="str">
        <f>'16U BOYS PLATINUM GOLD-10 TEAMS'!C27&amp;""</f>
        <v>WOOLLETT NEAR RIGHT</v>
      </c>
      <c r="D206" s="157" t="str">
        <f>'16U BOYS PLATINUM GOLD-10 TEAMS'!D27&amp;""</f>
        <v>16Bptau15</v>
      </c>
      <c r="E206" s="158" t="str">
        <f>'16U BOYS PLATINUM GOLD-10 TEAMS'!E27&amp;""</f>
        <v>2ndB-TROJAN GOLD</v>
      </c>
      <c r="F206" s="158" t="str">
        <f>'16U BOYS PLATINUM GOLD-10 TEAMS'!F27&amp;""</f>
        <v>13</v>
      </c>
      <c r="G206" s="159" t="str">
        <f>'16U BOYS PLATINUM GOLD-10 TEAMS'!G27&amp;""</f>
        <v>2ndC-BREA OLINDA</v>
      </c>
      <c r="H206" s="159" t="str">
        <f>'16U BOYS PLATINUM GOLD-10 TEAMS'!H27&amp;""</f>
        <v>6</v>
      </c>
      <c r="I206" s="159" t="str">
        <f>'16U BOYS PLATINUM GOLD-10 TEAMS'!I27&amp;""</f>
        <v>Gold 3rd</v>
      </c>
      <c r="J206" s="159" t="str">
        <f>'16U BOYS PLATINUM GOLD-10 TEAMS'!J27&amp;""</f>
        <v>16U_BOYS_PLATINUM_GOLD</v>
      </c>
      <c r="K206" s="159" t="str">
        <f t="shared" si="3"/>
        <v>202603081200</v>
      </c>
    </row>
    <row r="207" spans="1:11">
      <c r="A207" s="67">
        <f>'10U GIRLS COED AU AG-12 TEAMS'!A31</f>
        <v>46089</v>
      </c>
      <c r="B207" s="152">
        <f>'10U GIRLS COED AU AG-12 TEAMS'!B31</f>
        <v>0.50694444444444398</v>
      </c>
      <c r="C207" s="66" t="str">
        <f>'10U GIRLS COED AU AG-12 TEAMS'!C31&amp;""</f>
        <v>EL TORO HS 2</v>
      </c>
      <c r="D207" s="20" t="str">
        <f>'10U GIRLS COED AU AG-12 TEAMS'!D31&amp;""</f>
        <v>10GCauag19</v>
      </c>
      <c r="E207" s="20" t="str">
        <f>'10U GIRLS COED AU AG-12 TEAMS'!E31&amp;""</f>
        <v>2ndA-VANGUARD BLUE au</v>
      </c>
      <c r="F207" s="20" t="str">
        <f>'10U GIRLS COED AU AG-12 TEAMS'!F31&amp;""</f>
        <v>7</v>
      </c>
      <c r="G207" s="20" t="str">
        <f>'10U GIRLS COED AU AG-12 TEAMS'!G31&amp;""</f>
        <v>C2-NEWPORT BEACH GIRLS BLUE</v>
      </c>
      <c r="H207" s="20" t="str">
        <f>'10U GIRLS COED AU AG-12 TEAMS'!H31&amp;""</f>
        <v>21</v>
      </c>
      <c r="I207" s="20" t="str">
        <f>'10U GIRLS COED AU AG-12 TEAMS'!I31&amp;""</f>
        <v>cross</v>
      </c>
      <c r="J207" s="20" t="str">
        <f>'10U GIRLS COED AU AG-12 TEAMS'!J31&amp;""</f>
        <v>10U_GIRLS_COED_GOLD_SILVER</v>
      </c>
      <c r="K207" s="20" t="str">
        <f t="shared" si="3"/>
        <v>202603081210</v>
      </c>
    </row>
    <row r="208" spans="1:11">
      <c r="A208" s="153">
        <f>'10U BOYS &amp; COED PT-7 CUSTOM'!A27</f>
        <v>46089</v>
      </c>
      <c r="B208" s="54">
        <f>'10U BOYS &amp; COED PT-7 CUSTOM'!B27</f>
        <v>0.50694444444444398</v>
      </c>
      <c r="C208" s="21" t="str">
        <f>'10U BOYS &amp; COED PT-7 CUSTOM'!C27&amp;""</f>
        <v>WOOLLETT FAR LEFT</v>
      </c>
      <c r="D208" s="21" t="str">
        <f>'10U BOYS &amp; COED PT-7 CUSTOM'!D27&amp;""</f>
        <v>10BCpt12</v>
      </c>
      <c r="E208" s="21" t="str">
        <f>'10U BOYS &amp; COED PT-7 CUSTOM'!E27&amp;""</f>
        <v>1stB-ORWP A</v>
      </c>
      <c r="F208" s="21" t="str">
        <f>'10U BOYS &amp; COED PT-7 CUSTOM'!F27&amp;""</f>
        <v>10</v>
      </c>
      <c r="G208" s="21" t="str">
        <f>'10U BOYS &amp; COED PT-7 CUSTOM'!G27&amp;""</f>
        <v>2ndA-SAN DIEGO DONS BLACK</v>
      </c>
      <c r="H208" s="21" t="str">
        <f>'10U BOYS &amp; COED PT-7 CUSTOM'!H27&amp;""</f>
        <v>6</v>
      </c>
      <c r="I208" s="21" t="str">
        <f>'10U BOYS &amp; COED PT-7 CUSTOM'!I27&amp;""</f>
        <v>cross</v>
      </c>
      <c r="J208" s="21" t="str">
        <f>'10U BOYS &amp; COED PT-7 CUSTOM'!J27&amp;""</f>
        <v>10U_BOYS_&amp;_COED_PLATINUM</v>
      </c>
      <c r="K208" s="21" t="str">
        <f t="shared" si="3"/>
        <v>202603081210</v>
      </c>
    </row>
    <row r="209" spans="1:11">
      <c r="A209" s="88">
        <f>'14U BOYS SILVER-16 TEAMS'!A38</f>
        <v>46089</v>
      </c>
      <c r="B209" s="87">
        <f>'14U BOYS SILVER-16 TEAMS'!B38</f>
        <v>0.53472222222222199</v>
      </c>
      <c r="C209" s="87" t="str">
        <f>'14U BOYS SILVER-16 TEAMS'!C38&amp;""</f>
        <v>ALISO NIGUEL HS</v>
      </c>
      <c r="D209" s="36" t="str">
        <f>'14U BOYS SILVER-16 TEAMS'!D38&amp;""</f>
        <v>14Bag31</v>
      </c>
      <c r="E209" s="36" t="str">
        <f>'14U BOYS SILVER-16 TEAMS'!E38&amp;""</f>
        <v>W#27-SAND CANYON</v>
      </c>
      <c r="F209" s="36" t="str">
        <f>'14U BOYS SILVER-16 TEAMS'!F38&amp;""</f>
        <v>9</v>
      </c>
      <c r="G209" s="36" t="str">
        <f>'14U BOYS SILVER-16 TEAMS'!G38&amp;""</f>
        <v>W#28-GOLD COAST</v>
      </c>
      <c r="H209" s="36" t="str">
        <f>'14U BOYS SILVER-16 TEAMS'!H38&amp;""</f>
        <v>17</v>
      </c>
      <c r="I209" s="36" t="str">
        <f>'14U BOYS SILVER-16 TEAMS'!I38&amp;""</f>
        <v>9th</v>
      </c>
      <c r="J209" s="36" t="str">
        <f>'14U BOYS SILVER-16 TEAMS'!J38&amp;""</f>
        <v>14U_BOYS_SILVER</v>
      </c>
      <c r="K209" s="36" t="str">
        <f t="shared" si="3"/>
        <v>202603081250</v>
      </c>
    </row>
    <row r="210" spans="1:11">
      <c r="A210" s="77">
        <f>'12U BOYS-16 TEAMS'!A55</f>
        <v>46089</v>
      </c>
      <c r="B210" s="76">
        <f>'12U BOYS-16 TEAMS'!B55</f>
        <v>0.53472222222222199</v>
      </c>
      <c r="C210" s="76" t="str">
        <f>'12U BOYS-16 TEAMS'!C55&amp;""</f>
        <v>COSTA MESA HS 2</v>
      </c>
      <c r="D210" s="26" t="str">
        <f>'12U BOYS-16 TEAMS'!D55&amp;""</f>
        <v>12B29</v>
      </c>
      <c r="E210" s="26" t="str">
        <f>'12U BOYS-16 TEAMS'!E55&amp;""</f>
        <v>2ndE-ORWP B</v>
      </c>
      <c r="F210" s="26" t="str">
        <f>'12U BOYS-16 TEAMS'!F55&amp;""</f>
        <v>1</v>
      </c>
      <c r="G210" s="26" t="str">
        <f>'12U BOYS-16 TEAMS'!G55&amp;""</f>
        <v>3rdD-NEWPORT BEACH 10 BLUE</v>
      </c>
      <c r="H210" s="26" t="str">
        <f>'12U BOYS-16 TEAMS'!H55&amp;""</f>
        <v>14</v>
      </c>
      <c r="I210" s="26" t="str">
        <f>'12U BOYS-16 TEAMS'!I55&amp;""</f>
        <v>cross</v>
      </c>
      <c r="J210" s="26" t="str">
        <f>'12U BOYS-16 TEAMS'!J55&amp;""</f>
        <v>12U_BOYS</v>
      </c>
      <c r="K210" s="26" t="str">
        <f t="shared" si="3"/>
        <v>202603081250</v>
      </c>
    </row>
    <row r="211" spans="1:11">
      <c r="A211" s="91">
        <f>'14U BOYS GOLD-16 TEAMS'!A39</f>
        <v>46089</v>
      </c>
      <c r="B211" s="35">
        <f>'14U BOYS GOLD-16 TEAMS'!B39</f>
        <v>0.53472222222222199</v>
      </c>
      <c r="C211" s="91" t="str">
        <f>'14U BOYS GOLD-16 TEAMS'!C39&amp;""</f>
        <v>EL TORO HS 1</v>
      </c>
      <c r="D211" s="35" t="str">
        <f>'14U BOYS GOLD-16 TEAMS'!D39&amp;""</f>
        <v>14Bau31</v>
      </c>
      <c r="E211" s="35" t="str">
        <f>'14U BOYS GOLD-16 TEAMS'!E39&amp;""</f>
        <v>W#27-PRIDE RED</v>
      </c>
      <c r="F211" s="33" t="str">
        <f>'14U BOYS GOLD-16 TEAMS'!F39&amp;""</f>
        <v>9</v>
      </c>
      <c r="G211" s="33" t="str">
        <f>'14U BOYS GOLD-16 TEAMS'!G39&amp;""</f>
        <v>W#28-NEWPORT BEACH WHITE</v>
      </c>
      <c r="H211" s="33" t="str">
        <f>'14U BOYS GOLD-16 TEAMS'!H39&amp;""</f>
        <v>11</v>
      </c>
      <c r="I211" s="33" t="str">
        <f>'14U BOYS GOLD-16 TEAMS'!I39&amp;""</f>
        <v>9th</v>
      </c>
      <c r="J211" s="33" t="str">
        <f>'14U BOYS GOLD-16 TEAMS'!J39&amp;""</f>
        <v>14U_BOYS_GOLD</v>
      </c>
      <c r="K211" s="33" t="str">
        <f t="shared" si="3"/>
        <v>202603081250</v>
      </c>
    </row>
    <row r="212" spans="1:11">
      <c r="A212" s="88">
        <f>'14U BOYS SILVER-16 TEAMS'!A37</f>
        <v>46089</v>
      </c>
      <c r="B212" s="87">
        <f>'14U BOYS SILVER-16 TEAMS'!B37</f>
        <v>0.53472222222222199</v>
      </c>
      <c r="C212" s="87" t="str">
        <f>'14U BOYS SILVER-16 TEAMS'!C37&amp;""</f>
        <v>ESTANCIA HS 2</v>
      </c>
      <c r="D212" s="36" t="str">
        <f>'14U BOYS SILVER-16 TEAMS'!D37&amp;""</f>
        <v>14Bag25</v>
      </c>
      <c r="E212" s="36" t="str">
        <f>'14U BOYS SILVER-16 TEAMS'!E37&amp;""</f>
        <v>W#21-ORWP B</v>
      </c>
      <c r="F212" s="36" t="str">
        <f>'14U BOYS SILVER-16 TEAMS'!F37&amp;""</f>
        <v>7</v>
      </c>
      <c r="G212" s="36" t="str">
        <f>'14U BOYS SILVER-16 TEAMS'!G37&amp;""</f>
        <v>W#22-PASADENA AC ORANGE</v>
      </c>
      <c r="H212" s="36" t="str">
        <f>'14U BOYS SILVER-16 TEAMS'!H37&amp;""</f>
        <v>20</v>
      </c>
      <c r="I212" s="36" t="str">
        <f>'14U BOYS SILVER-16 TEAMS'!I37&amp;""</f>
        <v>5th</v>
      </c>
      <c r="J212" s="36" t="str">
        <f>'14U BOYS SILVER-16 TEAMS'!J37&amp;""</f>
        <v>14U_BOYS_SILVER</v>
      </c>
      <c r="K212" s="36" t="str">
        <f t="shared" si="3"/>
        <v>202603081250</v>
      </c>
    </row>
    <row r="213" spans="1:11">
      <c r="A213" s="86">
        <f>'12U COED GIRLS-9 TEAMS CUSTOM'!A33</f>
        <v>46089</v>
      </c>
      <c r="B213" s="85">
        <f>'12U COED GIRLS-9 TEAMS CUSTOM'!B33</f>
        <v>0.53472222222222199</v>
      </c>
      <c r="C213" s="24" t="str">
        <f>'12U COED GIRLS-9 TEAMS CUSTOM'!C33&amp;""</f>
        <v>LAGUNA HILLS HS</v>
      </c>
      <c r="D213" s="24" t="str">
        <f>'12U COED GIRLS-9 TEAMS CUSTOM'!D33&amp;""</f>
        <v>12GC16</v>
      </c>
      <c r="E213" s="24" t="str">
        <f>'12U COED GIRLS-9 TEAMS CUSTOM'!E33&amp;""</f>
        <v>D1(1stA)-TRILOGY</v>
      </c>
      <c r="F213" s="24" t="str">
        <f>'12U COED GIRLS-9 TEAMS CUSTOM'!F33&amp;""</f>
        <v>3</v>
      </c>
      <c r="G213" s="24" t="str">
        <f>'12U COED GIRLS-9 TEAMS CUSTOM'!G33&amp;""</f>
        <v>D2(1stB)-VIKING</v>
      </c>
      <c r="H213" s="24" t="str">
        <f>'12U COED GIRLS-9 TEAMS CUSTOM'!H33&amp;""</f>
        <v>4</v>
      </c>
      <c r="I213" s="24" t="str">
        <f>'12U COED GIRLS-9 TEAMS CUSTOM'!I33&amp;""</f>
        <v>D bracket D1,D2 Coed 1st-3rd</v>
      </c>
      <c r="J213" s="24" t="str">
        <f>'12U COED GIRLS-9 TEAMS CUSTOM'!J33&amp;""</f>
        <v>12U_COED_GIRLS</v>
      </c>
      <c r="K213" s="24" t="str">
        <f t="shared" si="3"/>
        <v>202603081250</v>
      </c>
    </row>
    <row r="214" spans="1:11">
      <c r="A214" s="91">
        <f>'14U BOYS GOLD-16 TEAMS'!A38</f>
        <v>46089</v>
      </c>
      <c r="B214" s="35">
        <f>'14U BOYS GOLD-16 TEAMS'!B38</f>
        <v>0.53472222222222199</v>
      </c>
      <c r="C214" s="91" t="str">
        <f>'14U BOYS GOLD-16 TEAMS'!C38&amp;""</f>
        <v>SAN JUAN HILLS HS</v>
      </c>
      <c r="D214" s="35" t="str">
        <f>'14U BOYS GOLD-16 TEAMS'!D38&amp;""</f>
        <v>14Bau25</v>
      </c>
      <c r="E214" s="35" t="str">
        <f>'14U BOYS GOLD-16 TEAMS'!E38&amp;""</f>
        <v>W#21-SAN DIEGO DONS 14 BLACK</v>
      </c>
      <c r="F214" s="33" t="str">
        <f>'14U BOYS GOLD-16 TEAMS'!F38&amp;""</f>
        <v>10</v>
      </c>
      <c r="G214" s="33" t="str">
        <f>'14U BOYS GOLD-16 TEAMS'!G38&amp;""</f>
        <v>W#22-SD ECA</v>
      </c>
      <c r="H214" s="33" t="str">
        <f>'14U BOYS GOLD-16 TEAMS'!H38&amp;""</f>
        <v>5</v>
      </c>
      <c r="I214" s="33" t="str">
        <f>'14U BOYS GOLD-16 TEAMS'!I38&amp;""</f>
        <v>5th</v>
      </c>
      <c r="J214" s="33" t="str">
        <f>'14U BOYS GOLD-16 TEAMS'!J38&amp;""</f>
        <v>14U_BOYS_GOLD</v>
      </c>
      <c r="K214" s="33" t="str">
        <f t="shared" si="3"/>
        <v>202603081250</v>
      </c>
    </row>
    <row r="215" spans="1:11">
      <c r="A215" s="94">
        <f>'14U BOYS PLATINUM-10 TEAMS'!A29</f>
        <v>46089</v>
      </c>
      <c r="B215" s="93">
        <f>'14U BOYS PLATINUM-10 TEAMS'!B29</f>
        <v>0.53472222222222199</v>
      </c>
      <c r="C215" s="93" t="str">
        <f>'14U BOYS PLATINUM-10 TEAMS'!C29&amp;""</f>
        <v>WESTMINSTER HS</v>
      </c>
      <c r="D215" s="32" t="str">
        <f>'14U BOYS PLATINUM-10 TEAMS'!D29&amp;""</f>
        <v>14Bpt18</v>
      </c>
      <c r="E215" s="32" t="str">
        <f>'14U BOYS PLATINUM-10 TEAMS'!E29&amp;""</f>
        <v>L#13-TROJAN CARDINAL</v>
      </c>
      <c r="F215" s="32" t="str">
        <f>'14U BOYS PLATINUM-10 TEAMS'!F29&amp;""</f>
        <v>5</v>
      </c>
      <c r="G215" s="32" t="str">
        <f>'14U BOYS PLATINUM-10 TEAMS'!G29&amp;""</f>
        <v>3rdC-RANCHO TSUNAMI BLUE</v>
      </c>
      <c r="H215" s="32" t="str">
        <f>'14U BOYS PLATINUM-10 TEAMS'!H29&amp;""</f>
        <v>13</v>
      </c>
      <c r="I215" s="32" t="str">
        <f>'14U BOYS PLATINUM-10 TEAMS'!I29&amp;""</f>
        <v>7th-10th</v>
      </c>
      <c r="J215" s="32" t="str">
        <f>'14U BOYS PLATINUM-10 TEAMS'!J29&amp;""</f>
        <v>14U_BOYS_PLATINUM</v>
      </c>
      <c r="K215" s="32" t="str">
        <f t="shared" si="3"/>
        <v>202603081250</v>
      </c>
    </row>
    <row r="216" spans="1:11">
      <c r="A216" s="113">
        <f>'16U BOYS SILVER-8 TEAMS'!A26</f>
        <v>46089</v>
      </c>
      <c r="B216" s="112">
        <f>'16U BOYS SILVER-8 TEAMS'!B26</f>
        <v>0.54166666666666696</v>
      </c>
      <c r="C216" s="27" t="str">
        <f>'16U BOYS SILVER-8 TEAMS'!C26&amp;""</f>
        <v>COSTA MESA HS 1</v>
      </c>
      <c r="D216" s="27" t="str">
        <f>'16U BOYS SILVER-8 TEAMS'!D26&amp;""</f>
        <v>16Bag14</v>
      </c>
      <c r="E216" s="27" t="str">
        <f>'16U BOYS SILVER-8 TEAMS'!E26&amp;""</f>
        <v>3rdA-SUPREME</v>
      </c>
      <c r="F216" s="27" t="str">
        <f>'16U BOYS SILVER-8 TEAMS'!F26&amp;""</f>
        <v>5</v>
      </c>
      <c r="G216" s="27" t="str">
        <f>'16U BOYS SILVER-8 TEAMS'!G26&amp;""</f>
        <v>3rdB-SAN CLEMENTE BLACK</v>
      </c>
      <c r="H216" s="27" t="str">
        <f>'16U BOYS SILVER-8 TEAMS'!H26&amp;""</f>
        <v>6</v>
      </c>
      <c r="I216" s="27" t="str">
        <f>'16U BOYS SILVER-8 TEAMS'!I26&amp;""</f>
        <v>5th</v>
      </c>
      <c r="J216" s="27" t="str">
        <f>'16U BOYS SILVER-8 TEAMS'!J26&amp;""</f>
        <v>16U_BOYS_SILVER</v>
      </c>
      <c r="K216" s="27" t="str">
        <f t="shared" si="3"/>
        <v>202603081300</v>
      </c>
    </row>
    <row r="217" spans="1:11">
      <c r="A217" s="67">
        <f>'10U GIRLS COED AU AG-12 TEAMS'!A32</f>
        <v>46089</v>
      </c>
      <c r="B217" s="152">
        <f>'10U GIRLS COED AU AG-12 TEAMS'!B32</f>
        <v>0.54166666666666696</v>
      </c>
      <c r="C217" s="66" t="str">
        <f>'10U GIRLS COED AU AG-12 TEAMS'!C32&amp;""</f>
        <v>EL TORO HS 2</v>
      </c>
      <c r="D217" s="20" t="str">
        <f>'10U GIRLS COED AU AG-12 TEAMS'!D32&amp;""</f>
        <v>10GCauag20</v>
      </c>
      <c r="E217" s="20" t="str">
        <f>'10U GIRLS COED AU AG-12 TEAMS'!E32&amp;""</f>
        <v>4thA-SAN CLEMENTE BLACK au</v>
      </c>
      <c r="F217" s="20" t="str">
        <f>'10U GIRLS COED AU AG-12 TEAMS'!F32&amp;""</f>
        <v>14</v>
      </c>
      <c r="G217" s="20" t="str">
        <f>'10U GIRLS COED AU AG-12 TEAMS'!G32&amp;""</f>
        <v>C4-NEWPORT BEACH GIRLS WHITE</v>
      </c>
      <c r="H217" s="20" t="str">
        <f>'10U GIRLS COED AU AG-12 TEAMS'!H32&amp;""</f>
        <v>8</v>
      </c>
      <c r="I217" s="20" t="str">
        <f>'10U GIRLS COED AU AG-12 TEAMS'!I32&amp;""</f>
        <v>cross</v>
      </c>
      <c r="J217" s="20" t="str">
        <f>'10U GIRLS COED AU AG-12 TEAMS'!J32&amp;""</f>
        <v>10U_GIRLS_COED_GOLD_SILVER</v>
      </c>
      <c r="K217" s="20" t="str">
        <f t="shared" si="3"/>
        <v>202603081300</v>
      </c>
    </row>
    <row r="218" spans="1:11">
      <c r="A218" s="127">
        <f>'19U BOYS SILVER-5 TEAMS'!A25</f>
        <v>46089</v>
      </c>
      <c r="B218" s="126">
        <f>'19U BOYS SILVER-5 TEAMS'!B25</f>
        <v>0.54166666666666696</v>
      </c>
      <c r="C218" s="126" t="str">
        <f>'19U BOYS SILVER-5 TEAMS'!C25&amp;""</f>
        <v>ESTANCIA HS 1</v>
      </c>
      <c r="D218" s="30" t="str">
        <f>'19U BOYS SILVER-5 TEAMS'!D25&amp;""</f>
        <v>19Bag09</v>
      </c>
      <c r="E218" s="30" t="str">
        <f>'19U BOYS SILVER-5 TEAMS'!E25&amp;""</f>
        <v>A3-PASADENA AC ORANGE</v>
      </c>
      <c r="F218" s="30" t="str">
        <f>'19U BOYS SILVER-5 TEAMS'!F25&amp;""</f>
        <v>20</v>
      </c>
      <c r="G218" s="30" t="str">
        <f>'19U BOYS SILVER-5 TEAMS'!G25&amp;""</f>
        <v>A4-SFV</v>
      </c>
      <c r="H218" s="30" t="str">
        <f>'19U BOYS SILVER-5 TEAMS'!H25&amp;""</f>
        <v>9</v>
      </c>
      <c r="I218" s="30" t="str">
        <f>'19U BOYS SILVER-5 TEAMS'!I25&amp;""</f>
        <v>A bracket 3/4</v>
      </c>
      <c r="J218" s="30" t="str">
        <f>'19U BOYS SILVER-5 TEAMS'!J25&amp;""</f>
        <v>19U_BOYS_SILVER</v>
      </c>
      <c r="K218" s="30" t="str">
        <f t="shared" si="3"/>
        <v>202603081300</v>
      </c>
    </row>
    <row r="219" spans="1:11">
      <c r="A219" s="153">
        <f>'10U BOYS &amp; COED PT-7 CUSTOM'!A28</f>
        <v>46089</v>
      </c>
      <c r="B219" s="54">
        <f>'10U BOYS &amp; COED PT-7 CUSTOM'!B28</f>
        <v>0.54166666666666696</v>
      </c>
      <c r="C219" s="21" t="str">
        <f>'10U BOYS &amp; COED PT-7 CUSTOM'!C28&amp;""</f>
        <v>WOOLLETT FAR LEFT</v>
      </c>
      <c r="D219" s="21" t="str">
        <f>'10U BOYS &amp; COED PT-7 CUSTOM'!D28&amp;""</f>
        <v>10BCpt13</v>
      </c>
      <c r="E219" s="21" t="str">
        <f>'10U BOYS &amp; COED PT-7 CUSTOM'!E28&amp;""</f>
        <v>3rdA-VIKING</v>
      </c>
      <c r="F219" s="21" t="str">
        <f>'10U BOYS &amp; COED PT-7 CUSTOM'!F28&amp;""</f>
        <v>2</v>
      </c>
      <c r="G219" s="21" t="str">
        <f>'10U BOYS &amp; COED PT-7 CUSTOM'!G28&amp;""</f>
        <v>3rdB-CDM BLUE</v>
      </c>
      <c r="H219" s="21" t="str">
        <f>'10U BOYS &amp; COED PT-7 CUSTOM'!H28&amp;""</f>
        <v>7</v>
      </c>
      <c r="I219" s="21" t="str">
        <f>'10U BOYS &amp; COED PT-7 CUSTOM'!I28&amp;""</f>
        <v>cross</v>
      </c>
      <c r="J219" s="21" t="str">
        <f>'10U BOYS &amp; COED PT-7 CUSTOM'!J28&amp;""</f>
        <v>10U_BOYS_&amp;_COED_PLATINUM</v>
      </c>
      <c r="K219" s="21" t="str">
        <f t="shared" si="3"/>
        <v>202603081300</v>
      </c>
    </row>
    <row r="220" spans="1:11">
      <c r="A220" s="142">
        <f>'19U BOYS PLATINUM GOLD-11 TEAMS'!A33</f>
        <v>46089</v>
      </c>
      <c r="B220" s="143">
        <f>'19U BOYS PLATINUM GOLD-11 TEAMS'!B33</f>
        <v>0.54166666666666696</v>
      </c>
      <c r="C220" s="142" t="str">
        <f>'19U BOYS PLATINUM GOLD-11 TEAMS'!C33&amp;""</f>
        <v>WOOLLETT NEAR LEFT</v>
      </c>
      <c r="D220" s="31" t="str">
        <f>'19U BOYS PLATINUM GOLD-11 TEAMS'!D33&amp;""</f>
        <v>19Bptau18</v>
      </c>
      <c r="E220" s="142" t="str">
        <f>'19U BOYS PLATINUM GOLD-11 TEAMS'!E33&amp;""</f>
        <v>D2(1stB)-PEAK POLO LIGHTNING pt</v>
      </c>
      <c r="F220" s="31" t="str">
        <f>'19U BOYS PLATINUM GOLD-11 TEAMS'!F33&amp;""</f>
        <v>14</v>
      </c>
      <c r="G220" s="142" t="str">
        <f>'19U BOYS PLATINUM GOLD-11 TEAMS'!G33&amp;""</f>
        <v>D3(1stC)-PEAK POLO BOLTZ pt</v>
      </c>
      <c r="H220" s="31" t="str">
        <f>'19U BOYS PLATINUM GOLD-11 TEAMS'!H33&amp;""</f>
        <v>7</v>
      </c>
      <c r="I220" s="31" t="str">
        <f>'19U BOYS PLATINUM GOLD-11 TEAMS'!I33&amp;""</f>
        <v>D2,D3 1st-3rd</v>
      </c>
      <c r="J220" s="31" t="str">
        <f>'19U BOYS PLATINUM GOLD-11 TEAMS'!J33&amp;""</f>
        <v>19U_BOYS_PLATINUM_GOLD</v>
      </c>
      <c r="K220" s="31" t="str">
        <f t="shared" si="3"/>
        <v>202603081300</v>
      </c>
    </row>
    <row r="221" spans="1:11">
      <c r="A221" s="157">
        <f>'16U BOYS PLATINUM GOLD-10 TEAMS'!A28</f>
        <v>46089</v>
      </c>
      <c r="B221" s="158">
        <f>'16U BOYS PLATINUM GOLD-10 TEAMS'!B28</f>
        <v>0.54166666666666696</v>
      </c>
      <c r="C221" s="158" t="str">
        <f>'16U BOYS PLATINUM GOLD-10 TEAMS'!C28&amp;""</f>
        <v>WOOLLETT NEAR RIGHT</v>
      </c>
      <c r="D221" s="157" t="str">
        <f>'16U BOYS PLATINUM GOLD-10 TEAMS'!D28&amp;""</f>
        <v>16Bptau16</v>
      </c>
      <c r="E221" s="158" t="str">
        <f>'16U BOYS PLATINUM GOLD-10 TEAMS'!E28&amp;""</f>
        <v>1stB-ALAMEDA</v>
      </c>
      <c r="F221" s="158" t="str">
        <f>'16U BOYS PLATINUM GOLD-10 TEAMS'!F28&amp;""</f>
        <v>9</v>
      </c>
      <c r="G221" s="159" t="str">
        <f>'16U BOYS PLATINUM GOLD-10 TEAMS'!G28&amp;""</f>
        <v>1stC-VANGUARD SILVER</v>
      </c>
      <c r="H221" s="159" t="str">
        <f>'16U BOYS PLATINUM GOLD-10 TEAMS'!H28&amp;""</f>
        <v>7</v>
      </c>
      <c r="I221" s="159" t="str">
        <f>'16U BOYS PLATINUM GOLD-10 TEAMS'!I28&amp;""</f>
        <v>Gold 1st</v>
      </c>
      <c r="J221" s="159" t="str">
        <f>'16U BOYS PLATINUM GOLD-10 TEAMS'!J28&amp;""</f>
        <v>16U_BOYS_PLATINUM_GOLD</v>
      </c>
      <c r="K221" s="159" t="str">
        <f t="shared" si="3"/>
        <v>202603081300</v>
      </c>
    </row>
    <row r="222" spans="1:11">
      <c r="A222" s="88">
        <f>'14U BOYS SILVER-16 TEAMS'!A40</f>
        <v>46089</v>
      </c>
      <c r="B222" s="87">
        <f>'14U BOYS SILVER-16 TEAMS'!B40</f>
        <v>0.56944444444444497</v>
      </c>
      <c r="C222" s="87" t="str">
        <f>'14U BOYS SILVER-16 TEAMS'!C40&amp;""</f>
        <v>ALISO NIGUEL HS</v>
      </c>
      <c r="D222" s="36" t="str">
        <f>'14U BOYS SILVER-16 TEAMS'!D40&amp;""</f>
        <v>14Bag32</v>
      </c>
      <c r="E222" s="36" t="str">
        <f>'14U BOYS SILVER-16 TEAMS'!E40&amp;""</f>
        <v>L#27-TITANS</v>
      </c>
      <c r="F222" s="36" t="str">
        <f>'14U BOYS SILVER-16 TEAMS'!F40&amp;""</f>
        <v>0</v>
      </c>
      <c r="G222" s="36" t="str">
        <f>'14U BOYS SILVER-16 TEAMS'!G40&amp;""</f>
        <v>L#28-SAN CLEMENTE BLACK</v>
      </c>
      <c r="H222" s="36" t="str">
        <f>'14U BOYS SILVER-16 TEAMS'!H40&amp;""</f>
        <v>14</v>
      </c>
      <c r="I222" s="36" t="str">
        <f>'14U BOYS SILVER-16 TEAMS'!I40&amp;""</f>
        <v>11th</v>
      </c>
      <c r="J222" s="36" t="str">
        <f>'14U BOYS SILVER-16 TEAMS'!J40&amp;""</f>
        <v>14U_BOYS_SILVER</v>
      </c>
      <c r="K222" s="36" t="str">
        <f t="shared" si="3"/>
        <v>202603081340</v>
      </c>
    </row>
    <row r="223" spans="1:11">
      <c r="A223" s="77">
        <f>'12U BOYS-16 TEAMS'!A56</f>
        <v>46089</v>
      </c>
      <c r="B223" s="76">
        <f>'12U BOYS-16 TEAMS'!B56</f>
        <v>0.56944444444444497</v>
      </c>
      <c r="C223" s="76" t="str">
        <f>'12U BOYS-16 TEAMS'!C56&amp;""</f>
        <v>COSTA MESA HS 2</v>
      </c>
      <c r="D223" s="26" t="str">
        <f>'12U BOYS-16 TEAMS'!D56&amp;""</f>
        <v>12B30</v>
      </c>
      <c r="E223" s="26" t="str">
        <f>'12U BOYS-16 TEAMS'!E56&amp;""</f>
        <v>3rdA-LA PREMIER</v>
      </c>
      <c r="F223" s="26" t="str">
        <f>'12U BOYS-16 TEAMS'!F56&amp;""</f>
        <v>24</v>
      </c>
      <c r="G223" s="26" t="str">
        <f>'12U BOYS-16 TEAMS'!G56&amp;""</f>
        <v>1stE-ORANGE COUNTY WPC B</v>
      </c>
      <c r="H223" s="26" t="str">
        <f>'12U BOYS-16 TEAMS'!H56&amp;""</f>
        <v>0</v>
      </c>
      <c r="I223" s="26" t="str">
        <f>'12U BOYS-16 TEAMS'!I56&amp;""</f>
        <v>cross</v>
      </c>
      <c r="J223" s="26" t="str">
        <f>'12U BOYS-16 TEAMS'!J56&amp;""</f>
        <v>12U_BOYS</v>
      </c>
      <c r="K223" s="26" t="str">
        <f t="shared" si="3"/>
        <v>202603081340</v>
      </c>
    </row>
    <row r="224" spans="1:11">
      <c r="A224" s="91">
        <f>'14U BOYS GOLD-16 TEAMS'!A41</f>
        <v>46089</v>
      </c>
      <c r="B224" s="35">
        <f>'14U BOYS GOLD-16 TEAMS'!B41</f>
        <v>0.56944444444444497</v>
      </c>
      <c r="C224" s="91" t="str">
        <f>'14U BOYS GOLD-16 TEAMS'!C41&amp;""</f>
        <v>EL TORO HS 1</v>
      </c>
      <c r="D224" s="35" t="str">
        <f>'14U BOYS GOLD-16 TEAMS'!D41&amp;""</f>
        <v>14Bau32</v>
      </c>
      <c r="E224" s="35" t="str">
        <f>'14U BOYS GOLD-16 TEAMS'!E41&amp;""</f>
        <v>L#27-TRILOGY BLACK</v>
      </c>
      <c r="F224" s="33" t="str">
        <f>'14U BOYS GOLD-16 TEAMS'!F41&amp;""</f>
        <v>3</v>
      </c>
      <c r="G224" s="33" t="str">
        <f>'14U BOYS GOLD-16 TEAMS'!G41&amp;""</f>
        <v>L#28-SOCAL 12 BLACK</v>
      </c>
      <c r="H224" s="33" t="str">
        <f>'14U BOYS GOLD-16 TEAMS'!H41&amp;""</f>
        <v>7</v>
      </c>
      <c r="I224" s="33" t="str">
        <f>'14U BOYS GOLD-16 TEAMS'!I41&amp;""</f>
        <v>11th</v>
      </c>
      <c r="J224" s="33" t="str">
        <f>'14U BOYS GOLD-16 TEAMS'!J41&amp;""</f>
        <v>14U_BOYS_GOLD</v>
      </c>
      <c r="K224" s="33" t="str">
        <f t="shared" si="3"/>
        <v>202603081340</v>
      </c>
    </row>
    <row r="225" spans="1:11">
      <c r="A225" s="88">
        <f>'14U BOYS SILVER-16 TEAMS'!A39</f>
        <v>46089</v>
      </c>
      <c r="B225" s="87">
        <f>'14U BOYS SILVER-16 TEAMS'!B39</f>
        <v>0.56944444444444497</v>
      </c>
      <c r="C225" s="87" t="str">
        <f>'14U BOYS SILVER-16 TEAMS'!C39&amp;""</f>
        <v>ESTANCIA HS 2</v>
      </c>
      <c r="D225" s="36" t="str">
        <f>'14U BOYS SILVER-16 TEAMS'!D39&amp;""</f>
        <v>14Bag26</v>
      </c>
      <c r="E225" s="36" t="str">
        <f>'14U BOYS SILVER-16 TEAMS'!E39&amp;""</f>
        <v>L#21-SAN DIEGO DONS 12 BLACK</v>
      </c>
      <c r="F225" s="36" t="str">
        <f>'14U BOYS SILVER-16 TEAMS'!F39&amp;""</f>
        <v>9</v>
      </c>
      <c r="G225" s="89" t="str">
        <f>'14U BOYS SILVER-16 TEAMS'!G39&amp;""</f>
        <v>L#22-NORTH IRVINE 12 BLACK</v>
      </c>
      <c r="H225" s="36" t="str">
        <f>'14U BOYS SILVER-16 TEAMS'!H39&amp;""</f>
        <v>15</v>
      </c>
      <c r="I225" s="36" t="str">
        <f>'14U BOYS SILVER-16 TEAMS'!I39&amp;""</f>
        <v>7th</v>
      </c>
      <c r="J225" s="36" t="str">
        <f>'14U BOYS SILVER-16 TEAMS'!J39&amp;""</f>
        <v>14U_BOYS_SILVER</v>
      </c>
      <c r="K225" s="36" t="str">
        <f t="shared" si="3"/>
        <v>202603081340</v>
      </c>
    </row>
    <row r="226" spans="1:11">
      <c r="A226" s="86">
        <f>'12U COED GIRLS-9 TEAMS CUSTOM'!A34</f>
        <v>46089</v>
      </c>
      <c r="B226" s="85">
        <f>'12U COED GIRLS-9 TEAMS CUSTOM'!B34</f>
        <v>0.56944444444444497</v>
      </c>
      <c r="C226" s="24" t="str">
        <f>'12U COED GIRLS-9 TEAMS CUSTOM'!C34&amp;""</f>
        <v>LAGUNA HILLS HS</v>
      </c>
      <c r="D226" s="24" t="str">
        <f>'12U COED GIRLS-9 TEAMS CUSTOM'!D34&amp;""</f>
        <v>12GC17</v>
      </c>
      <c r="E226" s="24" t="str">
        <f>'12U COED GIRLS-9 TEAMS CUSTOM'!E34&amp;""</f>
        <v>E1(2ndA)-PALOS VERDES</v>
      </c>
      <c r="F226" s="24" t="str">
        <f>'12U COED GIRLS-9 TEAMS CUSTOM'!F34&amp;""</f>
        <v>12</v>
      </c>
      <c r="G226" s="24" t="str">
        <f>'12U COED GIRLS-9 TEAMS CUSTOM'!G34&amp;""</f>
        <v>E2(2ndB)-ARROYO GRANDE</v>
      </c>
      <c r="H226" s="24" t="str">
        <f>'12U COED GIRLS-9 TEAMS CUSTOM'!H34&amp;""</f>
        <v>10</v>
      </c>
      <c r="I226" s="24" t="str">
        <f>'12U COED GIRLS-9 TEAMS CUSTOM'!I34&amp;""</f>
        <v>E bracket E1,E2 Coed 4th</v>
      </c>
      <c r="J226" s="24" t="str">
        <f>'12U COED GIRLS-9 TEAMS CUSTOM'!J34&amp;""</f>
        <v>12U_COED_GIRLS</v>
      </c>
      <c r="K226" s="24" t="str">
        <f t="shared" si="3"/>
        <v>202603081340</v>
      </c>
    </row>
    <row r="227" spans="1:11">
      <c r="A227" s="91">
        <f>'14U BOYS GOLD-16 TEAMS'!A40</f>
        <v>46089</v>
      </c>
      <c r="B227" s="35">
        <f>'14U BOYS GOLD-16 TEAMS'!B40</f>
        <v>0.56944444444444497</v>
      </c>
      <c r="C227" s="91" t="str">
        <f>'14U BOYS GOLD-16 TEAMS'!C40&amp;""</f>
        <v>SAN JUAN HILLS HS</v>
      </c>
      <c r="D227" s="35" t="str">
        <f>'14U BOYS GOLD-16 TEAMS'!D40&amp;""</f>
        <v>14Bau26</v>
      </c>
      <c r="E227" s="35" t="str">
        <f>'14U BOYS GOLD-16 TEAMS'!E40&amp;""</f>
        <v>L#21-MISSION 12A</v>
      </c>
      <c r="F227" s="33" t="str">
        <f>'14U BOYS GOLD-16 TEAMS'!F40&amp;""</f>
        <v>12</v>
      </c>
      <c r="G227" s="33" t="str">
        <f>'14U BOYS GOLD-16 TEAMS'!G40&amp;""</f>
        <v>L#22-HIELAND</v>
      </c>
      <c r="H227" s="33" t="str">
        <f>'14U BOYS GOLD-16 TEAMS'!H40&amp;""</f>
        <v>4</v>
      </c>
      <c r="I227" s="33" t="str">
        <f>'14U BOYS GOLD-16 TEAMS'!I40&amp;""</f>
        <v>7th</v>
      </c>
      <c r="J227" s="33" t="str">
        <f>'14U BOYS GOLD-16 TEAMS'!J40&amp;""</f>
        <v>14U_BOYS_GOLD</v>
      </c>
      <c r="K227" s="33" t="str">
        <f t="shared" si="3"/>
        <v>202603081340</v>
      </c>
    </row>
    <row r="228" spans="1:11">
      <c r="A228" s="94">
        <f>'14U BOYS PLATINUM-10 TEAMS'!A30</f>
        <v>46089</v>
      </c>
      <c r="B228" s="93">
        <f>'14U BOYS PLATINUM-10 TEAMS'!B30</f>
        <v>0.56944444444444497</v>
      </c>
      <c r="C228" s="93" t="str">
        <f>'14U BOYS PLATINUM-10 TEAMS'!C30&amp;""</f>
        <v>WESTMINSTER HS</v>
      </c>
      <c r="D228" s="32" t="str">
        <f>'14U BOYS PLATINUM-10 TEAMS'!D30&amp;""</f>
        <v>14Bpt20</v>
      </c>
      <c r="E228" s="32" t="str">
        <f>'14U BOYS PLATINUM-10 TEAMS'!E30&amp;""</f>
        <v>L#15-MISSION A</v>
      </c>
      <c r="F228" s="32" t="str">
        <f>'14U BOYS PLATINUM-10 TEAMS'!F30&amp;""</f>
        <v>8</v>
      </c>
      <c r="G228" s="32" t="str">
        <f>'14U BOYS PLATINUM-10 TEAMS'!G30&amp;""</f>
        <v>L#16-VANGUARD BLUE</v>
      </c>
      <c r="H228" s="32" t="str">
        <f>'14U BOYS PLATINUM-10 TEAMS'!H30&amp;""</f>
        <v>7</v>
      </c>
      <c r="I228" s="32" t="str">
        <f>'14U BOYS PLATINUM-10 TEAMS'!I30&amp;""</f>
        <v>3rd</v>
      </c>
      <c r="J228" s="32" t="str">
        <f>'14U BOYS PLATINUM-10 TEAMS'!J30&amp;""</f>
        <v>14U_BOYS_PLATINUM</v>
      </c>
      <c r="K228" s="32" t="str">
        <f t="shared" si="3"/>
        <v>202603081340</v>
      </c>
    </row>
    <row r="229" spans="1:11">
      <c r="A229" s="77">
        <f>'12U BOYS-16 TEAMS'!A46</f>
        <v>46089</v>
      </c>
      <c r="B229" s="76">
        <f>'12U BOYS-16 TEAMS'!B46</f>
        <v>0.56944444444444497</v>
      </c>
      <c r="C229" s="76" t="str">
        <f>'12U BOYS-16 TEAMS'!C46&amp;""</f>
        <v>WOOLLETT FAR RIGHT</v>
      </c>
      <c r="D229" s="26" t="str">
        <f>'12U BOYS-16 TEAMS'!D46&amp;""</f>
        <v>12B25</v>
      </c>
      <c r="E229" s="26" t="str">
        <f>'12U BOYS-16 TEAMS'!E46&amp;""</f>
        <v>G1(2ndB)-TROJAN</v>
      </c>
      <c r="F229" s="26" t="str">
        <f>'12U BOYS-16 TEAMS'!F46&amp;""</f>
        <v>9</v>
      </c>
      <c r="G229" s="26" t="str">
        <f>'12U BOYS-16 TEAMS'!G46&amp;""</f>
        <v>G2(2ndC)-LAWPC</v>
      </c>
      <c r="H229" s="26" t="str">
        <f>'12U BOYS-16 TEAMS'!H46&amp;""</f>
        <v>14</v>
      </c>
      <c r="I229" s="26" t="str">
        <f>'12U BOYS-16 TEAMS'!I46&amp;""</f>
        <v>G bracket G1,G2 gold 4th-6th</v>
      </c>
      <c r="J229" s="26" t="str">
        <f>'12U BOYS-16 TEAMS'!J46&amp;""</f>
        <v>12U_BOYS</v>
      </c>
      <c r="K229" s="26" t="str">
        <f t="shared" si="3"/>
        <v>202603081340</v>
      </c>
    </row>
    <row r="230" spans="1:11">
      <c r="A230" s="67">
        <f>'10U GIRLS COED AU AG-12 TEAMS'!A33</f>
        <v>46089</v>
      </c>
      <c r="B230" s="152">
        <f>'10U GIRLS COED AU AG-12 TEAMS'!B33</f>
        <v>0.57638888888888895</v>
      </c>
      <c r="C230" s="66" t="str">
        <f>'10U GIRLS COED AU AG-12 TEAMS'!C33&amp;""</f>
        <v>EL TORO HS 2</v>
      </c>
      <c r="D230" s="20" t="str">
        <f>'10U GIRLS COED AU AG-12 TEAMS'!D33&amp;""</f>
        <v>10GCauag21</v>
      </c>
      <c r="E230" s="20" t="str">
        <f>'10U GIRLS COED AU AG-12 TEAMS'!E33&amp;""</f>
        <v>1stB-TROJAN NORTH ag</v>
      </c>
      <c r="F230" s="20" t="str">
        <f>'10U GIRLS COED AU AG-12 TEAMS'!F33&amp;""</f>
        <v>4</v>
      </c>
      <c r="G230" s="20" t="str">
        <f>'10U GIRLS COED AU AG-12 TEAMS'!G33&amp;""</f>
        <v>C1-DEL MAR GIRLS BLUE</v>
      </c>
      <c r="H230" s="20" t="str">
        <f>'10U GIRLS COED AU AG-12 TEAMS'!H33&amp;""</f>
        <v>16</v>
      </c>
      <c r="I230" s="20" t="str">
        <f>'10U GIRLS COED AU AG-12 TEAMS'!I33&amp;""</f>
        <v>cross</v>
      </c>
      <c r="J230" s="20" t="str">
        <f>'10U GIRLS COED AU AG-12 TEAMS'!J33&amp;""</f>
        <v>10U_GIRLS_COED_GOLD_SILVER</v>
      </c>
      <c r="K230" s="20" t="str">
        <f t="shared" si="3"/>
        <v>202603081350</v>
      </c>
    </row>
    <row r="231" spans="1:11">
      <c r="A231" s="153">
        <f>'10U BOYS &amp; COED PT-7 CUSTOM'!A29</f>
        <v>46089</v>
      </c>
      <c r="B231" s="54">
        <f>'10U BOYS &amp; COED PT-7 CUSTOM'!B29</f>
        <v>0.57638888888888895</v>
      </c>
      <c r="C231" s="21" t="str">
        <f>'10U BOYS &amp; COED PT-7 CUSTOM'!C29&amp;""</f>
        <v>WOOLLETT FAR LEFT</v>
      </c>
      <c r="D231" s="21" t="str">
        <f>'10U BOYS &amp; COED PT-7 CUSTOM'!D29&amp;""</f>
        <v>10BCpt14</v>
      </c>
      <c r="E231" s="21" t="str">
        <f>'10U BOYS &amp; COED PT-7 CUSTOM'!E29&amp;""</f>
        <v>1stA-NORTH IRVINE BLACK</v>
      </c>
      <c r="F231" s="21" t="str">
        <f>'10U BOYS &amp; COED PT-7 CUSTOM'!F29&amp;""</f>
        <v>14</v>
      </c>
      <c r="G231" s="21" t="str">
        <f>'10U BOYS &amp; COED PT-7 CUSTOM'!G29&amp;""</f>
        <v>1stB-ORWP A</v>
      </c>
      <c r="H231" s="21" t="str">
        <f>'10U BOYS &amp; COED PT-7 CUSTOM'!H29&amp;""</f>
        <v>1</v>
      </c>
      <c r="I231" s="21" t="str">
        <f>'10U BOYS &amp; COED PT-7 CUSTOM'!I29&amp;""</f>
        <v>cross</v>
      </c>
      <c r="J231" s="21" t="str">
        <f>'10U BOYS &amp; COED PT-7 CUSTOM'!J29&amp;""</f>
        <v>10U_BOYS_&amp;_COED_PLATINUM</v>
      </c>
      <c r="K231" s="21" t="str">
        <f t="shared" si="3"/>
        <v>202603081350</v>
      </c>
    </row>
    <row r="232" spans="1:11">
      <c r="A232" s="113">
        <f>'16U BOYS SILVER-8 TEAMS'!A27</f>
        <v>46089</v>
      </c>
      <c r="B232" s="112">
        <f>'16U BOYS SILVER-8 TEAMS'!B27</f>
        <v>0.58333333333333304</v>
      </c>
      <c r="C232" s="27" t="str">
        <f>'16U BOYS SILVER-8 TEAMS'!C27&amp;""</f>
        <v>COSTA MESA HS 1</v>
      </c>
      <c r="D232" s="27" t="str">
        <f>'16U BOYS SILVER-8 TEAMS'!D27&amp;""</f>
        <v>16Bag15</v>
      </c>
      <c r="E232" s="27" t="str">
        <f>'16U BOYS SILVER-8 TEAMS'!E27&amp;""</f>
        <v>2ndA-HIELAND</v>
      </c>
      <c r="F232" s="27" t="str">
        <f>'16U BOYS SILVER-8 TEAMS'!F27&amp;""</f>
        <v>16</v>
      </c>
      <c r="G232" s="27" t="str">
        <f>'16U BOYS SILVER-8 TEAMS'!G27&amp;""</f>
        <v>2ndB-NORTH IRVINE 14 BLACK</v>
      </c>
      <c r="H232" s="27" t="str">
        <f>'16U BOYS SILVER-8 TEAMS'!H27&amp;""</f>
        <v>7</v>
      </c>
      <c r="I232" s="27" t="str">
        <f>'16U BOYS SILVER-8 TEAMS'!I27&amp;""</f>
        <v>3rd</v>
      </c>
      <c r="J232" s="27" t="str">
        <f>'16U BOYS SILVER-8 TEAMS'!J27&amp;""</f>
        <v>16U_BOYS_SILVER</v>
      </c>
      <c r="K232" s="27" t="str">
        <f t="shared" si="3"/>
        <v>202603081400</v>
      </c>
    </row>
    <row r="233" spans="1:11">
      <c r="A233" s="142">
        <f>'19U BOYS PLATINUM GOLD-11 TEAMS'!A35</f>
        <v>46089</v>
      </c>
      <c r="B233" s="143">
        <f>'19U BOYS PLATINUM GOLD-11 TEAMS'!B35</f>
        <v>0.58333333333333304</v>
      </c>
      <c r="C233" s="142" t="str">
        <f>'19U BOYS PLATINUM GOLD-11 TEAMS'!C35&amp;""</f>
        <v>ESTANCIA HS 1</v>
      </c>
      <c r="D233" s="31" t="str">
        <f>'19U BOYS PLATINUM GOLD-11 TEAMS'!D35&amp;""</f>
        <v>19Bptau22</v>
      </c>
      <c r="E233" s="142" t="str">
        <f>'19U BOYS PLATINUM GOLD-11 TEAMS'!E35&amp;""</f>
        <v>E1(2ndA)-VANGUARD SILVER</v>
      </c>
      <c r="F233" s="31" t="str">
        <f>'19U BOYS PLATINUM GOLD-11 TEAMS'!F35&amp;""</f>
        <v>11</v>
      </c>
      <c r="G233" s="142" t="str">
        <f>'19U BOYS PLATINUM GOLD-11 TEAMS'!G35&amp;""</f>
        <v>E2(2ndB)-ALAMEDA</v>
      </c>
      <c r="H233" s="31" t="str">
        <f>'19U BOYS PLATINUM GOLD-11 TEAMS'!H35&amp;""</f>
        <v>13</v>
      </c>
      <c r="I233" s="31" t="str">
        <f>'19U BOYS PLATINUM GOLD-11 TEAMS'!I35&amp;""</f>
        <v>E1,E2 4th-6th</v>
      </c>
      <c r="J233" s="31" t="str">
        <f>'19U BOYS PLATINUM GOLD-11 TEAMS'!J35&amp;""</f>
        <v>19U_BOYS_PLATINUM_GOLD</v>
      </c>
      <c r="K233" s="31" t="str">
        <f t="shared" si="3"/>
        <v>202603081400</v>
      </c>
    </row>
    <row r="234" spans="1:11">
      <c r="A234" s="142">
        <f>'19U BOYS PLATINUM GOLD-11 TEAMS'!A34</f>
        <v>46089</v>
      </c>
      <c r="B234" s="143">
        <f>'19U BOYS PLATINUM GOLD-11 TEAMS'!B34</f>
        <v>0.58333333333333304</v>
      </c>
      <c r="C234" s="142" t="str">
        <f>'19U BOYS PLATINUM GOLD-11 TEAMS'!C34&amp;""</f>
        <v>WOOLLETT NEAR LEFT</v>
      </c>
      <c r="D234" s="31" t="str">
        <f>'19U BOYS PLATINUM GOLD-11 TEAMS'!D34&amp;""</f>
        <v>19Bptau20</v>
      </c>
      <c r="E234" s="142" t="str">
        <f>'19U BOYS PLATINUM GOLD-11 TEAMS'!E34&amp;""</f>
        <v>F4(4thC)-ROUTE 66</v>
      </c>
      <c r="F234" s="31" t="str">
        <f>'19U BOYS PLATINUM GOLD-11 TEAMS'!F34&amp;""</f>
        <v>9</v>
      </c>
      <c r="G234" s="142" t="str">
        <f>'19U BOYS PLATINUM GOLD-11 TEAMS'!G34&amp;""</f>
        <v>F5(4thB)-SAND CANYON RED</v>
      </c>
      <c r="H234" s="31" t="str">
        <f>'19U BOYS PLATINUM GOLD-11 TEAMS'!H34&amp;""</f>
        <v>6</v>
      </c>
      <c r="I234" s="31" t="str">
        <f>'19U BOYS PLATINUM GOLD-11 TEAMS'!I34&amp;""</f>
        <v>F4,F5 7th-11th</v>
      </c>
      <c r="J234" s="31" t="str">
        <f>'19U BOYS PLATINUM GOLD-11 TEAMS'!J34&amp;""</f>
        <v>19U_BOYS_PLATINUM_GOLD</v>
      </c>
      <c r="K234" s="31" t="str">
        <f t="shared" si="3"/>
        <v>202603081400</v>
      </c>
    </row>
    <row r="235" spans="1:11">
      <c r="A235" s="157">
        <f>'16U BOYS PLATINUM GOLD-10 TEAMS'!A29</f>
        <v>46089</v>
      </c>
      <c r="B235" s="158">
        <f>'16U BOYS PLATINUM GOLD-10 TEAMS'!B29</f>
        <v>0.58333333333333304</v>
      </c>
      <c r="C235" s="158" t="str">
        <f>'16U BOYS PLATINUM GOLD-10 TEAMS'!C29&amp;""</f>
        <v>WOOLLETT NEAR RIGHT</v>
      </c>
      <c r="D235" s="157" t="str">
        <f>'16U BOYS PLATINUM GOLD-10 TEAMS'!D29&amp;""</f>
        <v>16Bptau17</v>
      </c>
      <c r="E235" s="158" t="str">
        <f>'16U BOYS PLATINUM GOLD-10 TEAMS'!E29&amp;""</f>
        <v>1stA-ORWP A</v>
      </c>
      <c r="F235" s="158" t="str">
        <f>'16U BOYS PLATINUM GOLD-10 TEAMS'!F29&amp;""</f>
        <v>10</v>
      </c>
      <c r="G235" s="159" t="str">
        <f>'16U BOYS PLATINUM GOLD-10 TEAMS'!G29&amp;""</f>
        <v>3rdB-INNIS ARDEN</v>
      </c>
      <c r="H235" s="159" t="str">
        <f>'16U BOYS PLATINUM GOLD-10 TEAMS'!H29&amp;""</f>
        <v>2</v>
      </c>
      <c r="I235" s="159" t="str">
        <f>'16U BOYS PLATINUM GOLD-10 TEAMS'!I29&amp;""</f>
        <v>cross</v>
      </c>
      <c r="J235" s="159" t="str">
        <f>'16U BOYS PLATINUM GOLD-10 TEAMS'!J29&amp;""</f>
        <v>16U_BOYS_PLATINUM_GOLD</v>
      </c>
      <c r="K235" s="159" t="str">
        <f t="shared" si="3"/>
        <v>202603081400</v>
      </c>
    </row>
    <row r="236" spans="1:11">
      <c r="A236" s="88">
        <f>'14U BOYS SILVER-16 TEAMS'!A41</f>
        <v>46089</v>
      </c>
      <c r="B236" s="87">
        <f>'14U BOYS SILVER-16 TEAMS'!B41</f>
        <v>0.60416666666666696</v>
      </c>
      <c r="C236" s="87" t="str">
        <f>'14U BOYS SILVER-16 TEAMS'!C41&amp;""</f>
        <v>ALISO NIGUEL HS</v>
      </c>
      <c r="D236" s="36" t="str">
        <f>'14U BOYS SILVER-16 TEAMS'!D41&amp;""</f>
        <v>14Bag34</v>
      </c>
      <c r="E236" s="36" t="str">
        <f>'14U BOYS SILVER-16 TEAMS'!E41&amp;""</f>
        <v>W#29-TROJAN GOLD</v>
      </c>
      <c r="F236" s="36" t="str">
        <f>'14U BOYS SILVER-16 TEAMS'!F41&amp;""</f>
        <v>12</v>
      </c>
      <c r="G236" s="36" t="str">
        <f>'14U BOYS SILVER-16 TEAMS'!G41&amp;""</f>
        <v>W#30-RIVERSIDE</v>
      </c>
      <c r="H236" s="36" t="str">
        <f>'14U BOYS SILVER-16 TEAMS'!H41&amp;""</f>
        <v>13</v>
      </c>
      <c r="I236" s="36" t="str">
        <f>'14U BOYS SILVER-16 TEAMS'!I41&amp;""</f>
        <v>13th</v>
      </c>
      <c r="J236" s="36" t="str">
        <f>'14U BOYS SILVER-16 TEAMS'!J41&amp;""</f>
        <v>14U_BOYS_SILVER</v>
      </c>
      <c r="K236" s="36" t="str">
        <f t="shared" si="3"/>
        <v>202603081430</v>
      </c>
    </row>
    <row r="237" spans="1:11">
      <c r="A237" s="77">
        <f>'12U BOYS-16 TEAMS'!A57</f>
        <v>46089</v>
      </c>
      <c r="B237" s="76">
        <f>'12U BOYS-16 TEAMS'!B57</f>
        <v>0.60416666666666696</v>
      </c>
      <c r="C237" s="76" t="str">
        <f>'12U BOYS-16 TEAMS'!C57&amp;""</f>
        <v>COSTA MESA HS 2</v>
      </c>
      <c r="D237" s="26" t="str">
        <f>'12U BOYS-16 TEAMS'!D57&amp;""</f>
        <v>12B31</v>
      </c>
      <c r="E237" s="26" t="str">
        <f>'12U BOYS-16 TEAMS'!E57&amp;""</f>
        <v>3rdB-LAGUNA BEACH</v>
      </c>
      <c r="F237" s="26" t="str">
        <f>'12U BOYS-16 TEAMS'!F57&amp;""</f>
        <v>0</v>
      </c>
      <c r="G237" s="26" t="str">
        <f>'12U BOYS-16 TEAMS'!G57&amp;""</f>
        <v>3rdC-NORTH IRVINE RED</v>
      </c>
      <c r="H237" s="26" t="str">
        <f>'12U BOYS-16 TEAMS'!H57&amp;""</f>
        <v>8</v>
      </c>
      <c r="I237" s="26" t="str">
        <f>'12U BOYS-16 TEAMS'!I57&amp;""</f>
        <v>cross</v>
      </c>
      <c r="J237" s="26" t="str">
        <f>'12U BOYS-16 TEAMS'!J57&amp;""</f>
        <v>12U_BOYS</v>
      </c>
      <c r="K237" s="26" t="str">
        <f t="shared" si="3"/>
        <v>202603081430</v>
      </c>
    </row>
    <row r="238" spans="1:11">
      <c r="A238" s="107">
        <f>'14U GIRLS-9 TEAMS'!A35</f>
        <v>46089</v>
      </c>
      <c r="B238" s="106">
        <f>'14U GIRLS-9 TEAMS'!B35</f>
        <v>0.60416666666666696</v>
      </c>
      <c r="C238" s="105" t="str">
        <f>'14U GIRLS-9 TEAMS'!C35&amp;""</f>
        <v>EL TORO HS 1</v>
      </c>
      <c r="D238" s="28" t="str">
        <f>'14U GIRLS-9 TEAMS'!D35&amp;""</f>
        <v>14G16</v>
      </c>
      <c r="E238" s="28" t="str">
        <f>'14U GIRLS-9 TEAMS'!E35&amp;""</f>
        <v>D1(3rdA)-NORTH IRVINE</v>
      </c>
      <c r="F238" s="28" t="str">
        <f>'14U GIRLS-9 TEAMS'!F35&amp;""</f>
        <v>6</v>
      </c>
      <c r="G238" s="28" t="str">
        <f>'14U GIRLS-9 TEAMS'!G35&amp;""</f>
        <v>D2(3rdB)-ELITE</v>
      </c>
      <c r="H238" s="28" t="str">
        <f>'14U GIRLS-9 TEAMS'!H35&amp;""</f>
        <v>11</v>
      </c>
      <c r="I238" s="28" t="str">
        <f>'14U GIRLS-9 TEAMS'!I35&amp;""</f>
        <v>plat-gold-silver D1,D2</v>
      </c>
      <c r="J238" s="28" t="str">
        <f>'14U GIRLS-9 TEAMS'!J35&amp;""</f>
        <v>14U_GIRLS</v>
      </c>
      <c r="K238" s="28" t="str">
        <f t="shared" si="3"/>
        <v>202603081430</v>
      </c>
    </row>
    <row r="239" spans="1:11">
      <c r="A239" s="88">
        <f>'14U BOYS SILVER-16 TEAMS'!A42</f>
        <v>46089</v>
      </c>
      <c r="B239" s="87">
        <f>'14U BOYS SILVER-16 TEAMS'!B42</f>
        <v>0.60416666666666696</v>
      </c>
      <c r="C239" s="87" t="str">
        <f>'14U BOYS SILVER-16 TEAMS'!C42&amp;""</f>
        <v>ESTANCIA HS 2</v>
      </c>
      <c r="D239" s="36" t="str">
        <f>'14U BOYS SILVER-16 TEAMS'!D42&amp;""</f>
        <v>14Bag23</v>
      </c>
      <c r="E239" s="36" t="str">
        <f>'14U BOYS SILVER-16 TEAMS'!E42&amp;""</f>
        <v>L#19-NEWPORT BEACH SILVER</v>
      </c>
      <c r="F239" s="36" t="str">
        <f>'14U BOYS SILVER-16 TEAMS'!F42&amp;""</f>
        <v>9</v>
      </c>
      <c r="G239" s="36" t="str">
        <f>'14U BOYS SILVER-16 TEAMS'!G42&amp;""</f>
        <v>L#20-RANCHO TSUNAMI 12 BLUE</v>
      </c>
      <c r="H239" s="36" t="str">
        <f>'14U BOYS SILVER-16 TEAMS'!H42&amp;""</f>
        <v>10</v>
      </c>
      <c r="I239" s="36" t="str">
        <f>'14U BOYS SILVER-16 TEAMS'!I42&amp;""</f>
        <v>3rd</v>
      </c>
      <c r="J239" s="36" t="str">
        <f>'14U BOYS SILVER-16 TEAMS'!J42&amp;""</f>
        <v>14U_BOYS_SILVER</v>
      </c>
      <c r="K239" s="36" t="str">
        <f t="shared" si="3"/>
        <v>202603081430</v>
      </c>
    </row>
    <row r="240" spans="1:11">
      <c r="A240" s="91">
        <f>'14U BOYS GOLD-16 TEAMS'!A42</f>
        <v>46089</v>
      </c>
      <c r="B240" s="35">
        <f>'14U BOYS GOLD-16 TEAMS'!B42</f>
        <v>0.60416666666666696</v>
      </c>
      <c r="C240" s="91" t="str">
        <f>'14U BOYS GOLD-16 TEAMS'!C42&amp;""</f>
        <v>SAN JUAN HILLS HS</v>
      </c>
      <c r="D240" s="35" t="str">
        <f>'14U BOYS GOLD-16 TEAMS'!D42&amp;""</f>
        <v>14Bau23</v>
      </c>
      <c r="E240" s="35" t="str">
        <f>'14U BOYS GOLD-16 TEAMS'!E42&amp;""</f>
        <v>L#19-ALAMEDA</v>
      </c>
      <c r="F240" s="33" t="str">
        <f>'14U BOYS GOLD-16 TEAMS'!F42&amp;""</f>
        <v>7</v>
      </c>
      <c r="G240" s="33" t="str">
        <f>'14U BOYS GOLD-16 TEAMS'!G42&amp;""</f>
        <v>L#20-VANGUARD SILVER</v>
      </c>
      <c r="H240" s="33" t="str">
        <f>'14U BOYS GOLD-16 TEAMS'!H42&amp;""</f>
        <v>8</v>
      </c>
      <c r="I240" s="33" t="str">
        <f>'14U BOYS GOLD-16 TEAMS'!I42&amp;""</f>
        <v>3rd</v>
      </c>
      <c r="J240" s="33" t="str">
        <f>'14U BOYS GOLD-16 TEAMS'!J42&amp;""</f>
        <v>14U_BOYS_GOLD</v>
      </c>
      <c r="K240" s="33" t="str">
        <f t="shared" si="3"/>
        <v>202603081430</v>
      </c>
    </row>
    <row r="241" spans="1:11">
      <c r="A241" s="94">
        <f>'14U BOYS PLATINUM-10 TEAMS'!A31</f>
        <v>46089</v>
      </c>
      <c r="B241" s="93">
        <f>'14U BOYS PLATINUM-10 TEAMS'!B31</f>
        <v>0.60416666666666696</v>
      </c>
      <c r="C241" s="93" t="str">
        <f>'14U BOYS PLATINUM-10 TEAMS'!C31&amp;""</f>
        <v>WESTMINSTER HS</v>
      </c>
      <c r="D241" s="32" t="str">
        <f>'14U BOYS PLATINUM-10 TEAMS'!D31&amp;""</f>
        <v>14Bpt21</v>
      </c>
      <c r="E241" s="32" t="str">
        <f>'14U BOYS PLATINUM-10 TEAMS'!E31&amp;""</f>
        <v>W#15-SAN DIEGO DONS</v>
      </c>
      <c r="F241" s="32" t="str">
        <f>'14U BOYS PLATINUM-10 TEAMS'!F31&amp;""</f>
        <v>13</v>
      </c>
      <c r="G241" s="32" t="str">
        <f>'14U BOYS PLATINUM-10 TEAMS'!G31&amp;""</f>
        <v>W#16-NEWPORT BEACH BLUE</v>
      </c>
      <c r="H241" s="32" t="str">
        <f>'14U BOYS PLATINUM-10 TEAMS'!H31&amp;""</f>
        <v>15</v>
      </c>
      <c r="I241" s="32" t="str">
        <f>'14U BOYS PLATINUM-10 TEAMS'!I31&amp;""</f>
        <v>1st</v>
      </c>
      <c r="J241" s="32" t="str">
        <f>'14U BOYS PLATINUM-10 TEAMS'!J31&amp;""</f>
        <v>14U_BOYS_PLATINUM</v>
      </c>
      <c r="K241" s="32" t="str">
        <f t="shared" si="3"/>
        <v>202603081430</v>
      </c>
    </row>
    <row r="242" spans="1:11">
      <c r="A242" s="77">
        <f>'12U BOYS-16 TEAMS'!A47</f>
        <v>46089</v>
      </c>
      <c r="B242" s="76">
        <f>'12U BOYS-16 TEAMS'!B47</f>
        <v>0.60416666666666696</v>
      </c>
      <c r="C242" s="76" t="str">
        <f>'12U BOYS-16 TEAMS'!C47&amp;""</f>
        <v>WOOLLETT FAR RIGHT</v>
      </c>
      <c r="D242" s="26" t="str">
        <f>'12U BOYS-16 TEAMS'!D47&amp;""</f>
        <v>12B26</v>
      </c>
      <c r="E242" s="26" t="str">
        <f>'12U BOYS-16 TEAMS'!E47&amp;""</f>
        <v>F1(1stB)-ROUTE 66</v>
      </c>
      <c r="F242" s="26" t="str">
        <f>'12U BOYS-16 TEAMS'!F47&amp;""</f>
        <v>5</v>
      </c>
      <c r="G242" s="26" t="str">
        <f>'12U BOYS-16 TEAMS'!G47&amp;""</f>
        <v>F2(1stC)-MISSION B</v>
      </c>
      <c r="H242" s="26" t="str">
        <f>'12U BOYS-16 TEAMS'!H47&amp;""</f>
        <v>14</v>
      </c>
      <c r="I242" s="26" t="str">
        <f>'12U BOYS-16 TEAMS'!I47&amp;""</f>
        <v>F bracket F1,F2 gold 1st-3rd</v>
      </c>
      <c r="J242" s="26" t="str">
        <f>'12U BOYS-16 TEAMS'!J47&amp;""</f>
        <v>12U_BOYS</v>
      </c>
      <c r="K242" s="26" t="str">
        <f t="shared" si="3"/>
        <v>202603081430</v>
      </c>
    </row>
    <row r="243" spans="1:11">
      <c r="A243" s="67">
        <f>'10U GIRLS COED AU AG-12 TEAMS'!A34</f>
        <v>46089</v>
      </c>
      <c r="B243" s="152">
        <f>'10U GIRLS COED AU AG-12 TEAMS'!B34</f>
        <v>0.61111111111111105</v>
      </c>
      <c r="C243" s="66" t="str">
        <f>'10U GIRLS COED AU AG-12 TEAMS'!C34&amp;""</f>
        <v>EL TORO HS 2</v>
      </c>
      <c r="D243" s="20" t="str">
        <f>'10U GIRLS COED AU AG-12 TEAMS'!D34&amp;""</f>
        <v>10GCauag22</v>
      </c>
      <c r="E243" s="20" t="str">
        <f>'10U GIRLS COED AU AG-12 TEAMS'!E34&amp;""</f>
        <v>3rdB-SAN CLEMENTE RED GIRLS ag</v>
      </c>
      <c r="F243" s="20" t="str">
        <f>'10U GIRLS COED AU AG-12 TEAMS'!F34&amp;""</f>
        <v>8</v>
      </c>
      <c r="G243" s="20" t="str">
        <f>'10U GIRLS COED AU AG-12 TEAMS'!G34&amp;""</f>
        <v>C3-DEL MAR GIRLS WHITE</v>
      </c>
      <c r="H243" s="20" t="str">
        <f>'10U GIRLS COED AU AG-12 TEAMS'!H34&amp;""</f>
        <v>6</v>
      </c>
      <c r="I243" s="20" t="str">
        <f>'10U GIRLS COED AU AG-12 TEAMS'!I34&amp;""</f>
        <v>cross</v>
      </c>
      <c r="J243" s="20" t="str">
        <f>'10U GIRLS COED AU AG-12 TEAMS'!J34&amp;""</f>
        <v>10U_GIRLS_COED_GOLD_SILVER</v>
      </c>
      <c r="K243" s="20" t="str">
        <f t="shared" si="3"/>
        <v>202603081440</v>
      </c>
    </row>
    <row r="244" spans="1:11">
      <c r="A244" s="153">
        <f>'10U BOYS &amp; COED PT-7 CUSTOM'!A30</f>
        <v>46089</v>
      </c>
      <c r="B244" s="54">
        <f>'10U BOYS &amp; COED PT-7 CUSTOM'!B30</f>
        <v>0.61111111111111105</v>
      </c>
      <c r="C244" s="21" t="str">
        <f>'10U BOYS &amp; COED PT-7 CUSTOM'!C30&amp;""</f>
        <v>WOOLLETT FAR LEFT</v>
      </c>
      <c r="D244" s="21" t="str">
        <f>'10U BOYS &amp; COED PT-7 CUSTOM'!D30&amp;""</f>
        <v>10BCpt15</v>
      </c>
      <c r="E244" s="21" t="str">
        <f>'10U BOYS &amp; COED PT-7 CUSTOM'!E30&amp;""</f>
        <v>2ndA-SAN DIEGO DONS BLACK</v>
      </c>
      <c r="F244" s="21" t="str">
        <f>'10U BOYS &amp; COED PT-7 CUSTOM'!F30&amp;""</f>
        <v>9</v>
      </c>
      <c r="G244" s="21" t="str">
        <f>'10U BOYS &amp; COED PT-7 CUSTOM'!G30&amp;""</f>
        <v>2ndB-SAN CLEMENTE RED</v>
      </c>
      <c r="H244" s="21" t="str">
        <f>'10U BOYS &amp; COED PT-7 CUSTOM'!H30&amp;""</f>
        <v>14</v>
      </c>
      <c r="I244" s="21" t="str">
        <f>'10U BOYS &amp; COED PT-7 CUSTOM'!I30&amp;""</f>
        <v>cross</v>
      </c>
      <c r="J244" s="21" t="str">
        <f>'10U BOYS &amp; COED PT-7 CUSTOM'!J30&amp;""</f>
        <v>10U_BOYS_&amp;_COED_PLATINUM</v>
      </c>
      <c r="K244" s="21" t="str">
        <f t="shared" si="3"/>
        <v>202603081440</v>
      </c>
    </row>
    <row r="245" spans="1:11">
      <c r="A245" s="113">
        <f>'16U BOYS SILVER-8 TEAMS'!A28</f>
        <v>46089</v>
      </c>
      <c r="B245" s="112">
        <f>'16U BOYS SILVER-8 TEAMS'!B28</f>
        <v>0.625</v>
      </c>
      <c r="C245" s="156" t="str">
        <f>'16U BOYS SILVER-8 TEAMS'!C28&amp;""</f>
        <v>COSTA MESA HS 1</v>
      </c>
      <c r="D245" s="27" t="str">
        <f>'16U BOYS SILVER-8 TEAMS'!D28&amp;""</f>
        <v>16Bag16</v>
      </c>
      <c r="E245" s="27" t="str">
        <f>'16U BOYS SILVER-8 TEAMS'!E28&amp;""</f>
        <v>1stA-CMAC</v>
      </c>
      <c r="F245" s="27" t="str">
        <f>'16U BOYS SILVER-8 TEAMS'!F28&amp;""</f>
        <v>13</v>
      </c>
      <c r="G245" s="27" t="str">
        <f>'16U BOYS SILVER-8 TEAMS'!G28&amp;""</f>
        <v>1stB-TRILOGY WHITE</v>
      </c>
      <c r="H245" s="27" t="str">
        <f>'16U BOYS SILVER-8 TEAMS'!H28&amp;""</f>
        <v>9</v>
      </c>
      <c r="I245" s="27" t="str">
        <f>'16U BOYS SILVER-8 TEAMS'!I28&amp;""</f>
        <v>1st</v>
      </c>
      <c r="J245" s="27" t="str">
        <f>'16U BOYS SILVER-8 TEAMS'!J28&amp;""</f>
        <v>16U_BOYS_SILVER</v>
      </c>
      <c r="K245" s="27" t="str">
        <f t="shared" si="3"/>
        <v>202603081500</v>
      </c>
    </row>
    <row r="246" spans="1:11">
      <c r="A246" s="127">
        <f>'19U BOYS SILVER-5 TEAMS'!A27</f>
        <v>46089</v>
      </c>
      <c r="B246" s="126">
        <f>'19U BOYS SILVER-5 TEAMS'!B27</f>
        <v>0.625</v>
      </c>
      <c r="C246" s="126" t="str">
        <f>'19U BOYS SILVER-5 TEAMS'!C27&amp;""</f>
        <v>ESTANCIA HS 1</v>
      </c>
      <c r="D246" s="30" t="str">
        <f>'19U BOYS SILVER-5 TEAMS'!D27&amp;""</f>
        <v>19Bag10</v>
      </c>
      <c r="E246" s="30" t="str">
        <f>'19U BOYS SILVER-5 TEAMS'!E27&amp;""</f>
        <v>A1-SET</v>
      </c>
      <c r="F246" s="30" t="str">
        <f>'19U BOYS SILVER-5 TEAMS'!F27&amp;""</f>
        <v>10</v>
      </c>
      <c r="G246" s="30" t="str">
        <f>'19U BOYS SILVER-5 TEAMS'!G27&amp;""</f>
        <v>A5-OHANA</v>
      </c>
      <c r="H246" s="30" t="str">
        <f>'19U BOYS SILVER-5 TEAMS'!H27&amp;""</f>
        <v>17</v>
      </c>
      <c r="I246" s="30" t="str">
        <f>'19U BOYS SILVER-5 TEAMS'!I27&amp;""</f>
        <v>A bracket 1/5</v>
      </c>
      <c r="J246" s="30" t="str">
        <f>'19U BOYS SILVER-5 TEAMS'!J27&amp;""</f>
        <v>19U_BOYS_SILVER</v>
      </c>
      <c r="K246" s="30" t="str">
        <f t="shared" si="3"/>
        <v>202603081500</v>
      </c>
    </row>
    <row r="247" spans="1:11">
      <c r="A247" s="142">
        <f>'19U BOYS PLATINUM GOLD-11 TEAMS'!A36</f>
        <v>46089</v>
      </c>
      <c r="B247" s="143">
        <f>'19U BOYS PLATINUM GOLD-11 TEAMS'!B36</f>
        <v>0.625</v>
      </c>
      <c r="C247" s="142" t="str">
        <f>'19U BOYS PLATINUM GOLD-11 TEAMS'!C36&amp;""</f>
        <v>WOOLLETT NEAR LEFT</v>
      </c>
      <c r="D247" s="31" t="str">
        <f>'19U BOYS PLATINUM GOLD-11 TEAMS'!D36&amp;""</f>
        <v>19Bptau21</v>
      </c>
      <c r="E247" s="142" t="str">
        <f>'19U BOYS PLATINUM GOLD-11 TEAMS'!E36&amp;""</f>
        <v>D1(1stA)-SAND CANYON BLACK pt</v>
      </c>
      <c r="F247" s="31" t="str">
        <f>'19U BOYS PLATINUM GOLD-11 TEAMS'!F36&amp;""</f>
        <v>12</v>
      </c>
      <c r="G247" s="142" t="str">
        <f>'19U BOYS PLATINUM GOLD-11 TEAMS'!G36&amp;""</f>
        <v>D2(1stB)-PEAK POLO LIGHTNING pt</v>
      </c>
      <c r="H247" s="31" t="str">
        <f>'19U BOYS PLATINUM GOLD-11 TEAMS'!H36&amp;""</f>
        <v>9</v>
      </c>
      <c r="I247" s="31" t="str">
        <f>'19U BOYS PLATINUM GOLD-11 TEAMS'!I36&amp;""</f>
        <v>D1,D2 1st-3rd</v>
      </c>
      <c r="J247" s="31" t="str">
        <f>'19U BOYS PLATINUM GOLD-11 TEAMS'!J36&amp;""</f>
        <v>19U_BOYS_PLATINUM_GOLD</v>
      </c>
      <c r="K247" s="31" t="str">
        <f t="shared" si="3"/>
        <v>202603081500</v>
      </c>
    </row>
    <row r="248" spans="1:11">
      <c r="A248" s="157">
        <f>'16U BOYS PLATINUM GOLD-10 TEAMS'!A30</f>
        <v>46089</v>
      </c>
      <c r="B248" s="158">
        <f>'16U BOYS PLATINUM GOLD-10 TEAMS'!B30</f>
        <v>0.625</v>
      </c>
      <c r="C248" s="158" t="str">
        <f>'16U BOYS PLATINUM GOLD-10 TEAMS'!C30&amp;""</f>
        <v>WOOLLETT NEAR RIGHT</v>
      </c>
      <c r="D248" s="157" t="str">
        <f>'16U BOYS PLATINUM GOLD-10 TEAMS'!D30&amp;""</f>
        <v>16Bptau18</v>
      </c>
      <c r="E248" s="158" t="str">
        <f>'16U BOYS PLATINUM GOLD-10 TEAMS'!E30&amp;""</f>
        <v>3rdA-DEVILS GATE</v>
      </c>
      <c r="F248" s="158" t="str">
        <f>'16U BOYS PLATINUM GOLD-10 TEAMS'!F30&amp;""</f>
        <v>14</v>
      </c>
      <c r="G248" s="159" t="str">
        <f>'16U BOYS PLATINUM GOLD-10 TEAMS'!G30&amp;""</f>
        <v>4thC-ELITE</v>
      </c>
      <c r="H248" s="159" t="str">
        <f>'16U BOYS PLATINUM GOLD-10 TEAMS'!H30&amp;""</f>
        <v>9</v>
      </c>
      <c r="I248" s="159" t="str">
        <f>'16U BOYS PLATINUM GOLD-10 TEAMS'!I30&amp;""</f>
        <v>cross</v>
      </c>
      <c r="J248" s="159" t="str">
        <f>'16U BOYS PLATINUM GOLD-10 TEAMS'!J30&amp;""</f>
        <v>16U_BOYS_PLATINUM_GOLD</v>
      </c>
      <c r="K248" s="159" t="str">
        <f t="shared" si="3"/>
        <v>202603081500</v>
      </c>
    </row>
    <row r="249" spans="1:11">
      <c r="A249" s="88">
        <f>'14U BOYS SILVER-16 TEAMS'!A43</f>
        <v>46089</v>
      </c>
      <c r="B249" s="87">
        <f>'14U BOYS SILVER-16 TEAMS'!B43</f>
        <v>0.63888888888888895</v>
      </c>
      <c r="C249" s="87" t="str">
        <f>'14U BOYS SILVER-16 TEAMS'!C43&amp;""</f>
        <v>ALISO NIGUEL HS</v>
      </c>
      <c r="D249" s="36" t="str">
        <f>'14U BOYS SILVER-16 TEAMS'!D43&amp;""</f>
        <v>14Bag33</v>
      </c>
      <c r="E249" s="36" t="str">
        <f>'14U BOYS SILVER-16 TEAMS'!E43&amp;""</f>
        <v>L#29-SET</v>
      </c>
      <c r="F249" s="36" t="str">
        <f>'14U BOYS SILVER-16 TEAMS'!F43&amp;""</f>
        <v>5</v>
      </c>
      <c r="G249" s="36" t="str">
        <f>'14U BOYS SILVER-16 TEAMS'!G43&amp;""</f>
        <v>L#30-TSM</v>
      </c>
      <c r="H249" s="36" t="str">
        <f>'14U BOYS SILVER-16 TEAMS'!H43&amp;""</f>
        <v>3</v>
      </c>
      <c r="I249" s="36" t="str">
        <f>'14U BOYS SILVER-16 TEAMS'!I43&amp;""</f>
        <v>15th</v>
      </c>
      <c r="J249" s="36" t="str">
        <f>'14U BOYS SILVER-16 TEAMS'!J43&amp;""</f>
        <v>14U_BOYS_SILVER</v>
      </c>
      <c r="K249" s="36" t="str">
        <f t="shared" si="3"/>
        <v>202603081520</v>
      </c>
    </row>
    <row r="250" spans="1:11">
      <c r="A250" s="77">
        <f>'12U BOYS-16 TEAMS'!A58</f>
        <v>46089</v>
      </c>
      <c r="B250" s="76">
        <f>'12U BOYS-16 TEAMS'!B58</f>
        <v>0.63888888888888895</v>
      </c>
      <c r="C250" s="76" t="str">
        <f>'12U BOYS-16 TEAMS'!C58&amp;""</f>
        <v>COSTA MESA HS 2</v>
      </c>
      <c r="D250" s="26" t="str">
        <f>'12U BOYS-16 TEAMS'!D58&amp;""</f>
        <v>12B32</v>
      </c>
      <c r="E250" s="26" t="str">
        <f>'12U BOYS-16 TEAMS'!E58&amp;""</f>
        <v>3rdA-LA PREMIER</v>
      </c>
      <c r="F250" s="26" t="str">
        <f>'12U BOYS-16 TEAMS'!F58&amp;""</f>
        <v>6</v>
      </c>
      <c r="G250" s="26" t="str">
        <f>'12U BOYS-16 TEAMS'!G58&amp;""</f>
        <v>3rdE-CDM</v>
      </c>
      <c r="H250" s="26" t="str">
        <f>'12U BOYS-16 TEAMS'!H58&amp;""</f>
        <v>1</v>
      </c>
      <c r="I250" s="26" t="str">
        <f>'12U BOYS-16 TEAMS'!I58&amp;""</f>
        <v>cross</v>
      </c>
      <c r="J250" s="26" t="str">
        <f>'12U BOYS-16 TEAMS'!J58&amp;""</f>
        <v>12U_BOYS</v>
      </c>
      <c r="K250" s="26" t="str">
        <f t="shared" si="3"/>
        <v>202603081520</v>
      </c>
    </row>
    <row r="251" spans="1:11">
      <c r="A251" s="107">
        <f>'14U GIRLS-9 TEAMS'!A36</f>
        <v>46089</v>
      </c>
      <c r="B251" s="106">
        <f>'14U GIRLS-9 TEAMS'!B36</f>
        <v>0.63888888888888895</v>
      </c>
      <c r="C251" s="105" t="str">
        <f>'14U GIRLS-9 TEAMS'!C36&amp;""</f>
        <v>EL TORO HS 1</v>
      </c>
      <c r="D251" s="28" t="str">
        <f>'14U GIRLS-9 TEAMS'!D36&amp;""</f>
        <v>14G17</v>
      </c>
      <c r="E251" s="28" t="str">
        <f>'14U GIRLS-9 TEAMS'!E36&amp;""</f>
        <v>E1(2ndA)-VIKING</v>
      </c>
      <c r="F251" s="28" t="str">
        <f>'14U GIRLS-9 TEAMS'!F36&amp;""</f>
        <v>11</v>
      </c>
      <c r="G251" s="28" t="str">
        <f>'14U GIRLS-9 TEAMS'!G36&amp;""</f>
        <v>E2(2ndB)-SET</v>
      </c>
      <c r="H251" s="28" t="str">
        <f>'14U GIRLS-9 TEAMS'!H36&amp;""</f>
        <v>6</v>
      </c>
      <c r="I251" s="28" t="str">
        <f>'14U GIRLS-9 TEAMS'!I36&amp;""</f>
        <v>plat-gold-silver E1,E2</v>
      </c>
      <c r="J251" s="28" t="str">
        <f>'14U GIRLS-9 TEAMS'!J36&amp;""</f>
        <v>14U_GIRLS</v>
      </c>
      <c r="K251" s="28" t="str">
        <f t="shared" si="3"/>
        <v>202603081520</v>
      </c>
    </row>
    <row r="252" spans="1:11">
      <c r="A252" s="88">
        <f>'14U BOYS SILVER-16 TEAMS'!A44</f>
        <v>46089</v>
      </c>
      <c r="B252" s="87">
        <f>'14U BOYS SILVER-16 TEAMS'!B44</f>
        <v>0.63888888888888895</v>
      </c>
      <c r="C252" s="87" t="str">
        <f>'14U BOYS SILVER-16 TEAMS'!C44&amp;""</f>
        <v>ESTANCIA HS 2</v>
      </c>
      <c r="D252" s="36" t="str">
        <f>'14U BOYS SILVER-16 TEAMS'!D44&amp;""</f>
        <v>14Bag24</v>
      </c>
      <c r="E252" s="36" t="str">
        <f>'14U BOYS SILVER-16 TEAMS'!E44&amp;""</f>
        <v>W#19-BREA OLINDA GOLD</v>
      </c>
      <c r="F252" s="36" t="str">
        <f>'14U BOYS SILVER-16 TEAMS'!F44&amp;""</f>
        <v>3</v>
      </c>
      <c r="G252" s="36" t="str">
        <f>'14U BOYS SILVER-16 TEAMS'!G44&amp;""</f>
        <v>W#20-PALOS VERDES B</v>
      </c>
      <c r="H252" s="36" t="str">
        <f>'14U BOYS SILVER-16 TEAMS'!H44&amp;""</f>
        <v>12</v>
      </c>
      <c r="I252" s="36" t="str">
        <f>'14U BOYS SILVER-16 TEAMS'!I44&amp;""</f>
        <v>1st</v>
      </c>
      <c r="J252" s="36" t="str">
        <f>'14U BOYS SILVER-16 TEAMS'!J44&amp;""</f>
        <v>14U_BOYS_SILVER</v>
      </c>
      <c r="K252" s="36" t="str">
        <f t="shared" si="3"/>
        <v>202603081520</v>
      </c>
    </row>
    <row r="253" spans="1:11">
      <c r="A253" s="91">
        <f>'14U BOYS GOLD-16 TEAMS'!A43</f>
        <v>46089</v>
      </c>
      <c r="B253" s="35">
        <f>'14U BOYS GOLD-16 TEAMS'!B43</f>
        <v>0.63888888888888895</v>
      </c>
      <c r="C253" s="91" t="str">
        <f>'14U BOYS GOLD-16 TEAMS'!C43&amp;""</f>
        <v>SAN JUAN HILLS HS</v>
      </c>
      <c r="D253" s="35" t="str">
        <f>'14U BOYS GOLD-16 TEAMS'!D43&amp;""</f>
        <v>14Bau24</v>
      </c>
      <c r="E253" s="35" t="str">
        <f>'14U BOYS GOLD-16 TEAMS'!E43&amp;""</f>
        <v>W#19-NORTH IRVINE RED</v>
      </c>
      <c r="F253" s="33" t="str">
        <f>'14U BOYS GOLD-16 TEAMS'!F43&amp;""</f>
        <v>7</v>
      </c>
      <c r="G253" s="33" t="str">
        <f>'14U BOYS GOLD-16 TEAMS'!G43&amp;""</f>
        <v>W#20-ORANGE COUNTY WPC B</v>
      </c>
      <c r="H253" s="33" t="str">
        <f>'14U BOYS GOLD-16 TEAMS'!H43&amp;""</f>
        <v>6</v>
      </c>
      <c r="I253" s="33" t="str">
        <f>'14U BOYS GOLD-16 TEAMS'!I43&amp;""</f>
        <v>1st</v>
      </c>
      <c r="J253" s="33" t="str">
        <f>'14U BOYS GOLD-16 TEAMS'!J43&amp;""</f>
        <v>14U_BOYS_GOLD</v>
      </c>
      <c r="K253" s="33" t="str">
        <f t="shared" si="3"/>
        <v>202603081520</v>
      </c>
    </row>
    <row r="254" spans="1:11">
      <c r="A254" s="94">
        <f>'14U BOYS PLATINUM-10 TEAMS'!A32</f>
        <v>46089</v>
      </c>
      <c r="B254" s="93">
        <f>'14U BOYS PLATINUM-10 TEAMS'!B32</f>
        <v>0.63888888888888895</v>
      </c>
      <c r="C254" s="93" t="str">
        <f>'14U BOYS PLATINUM-10 TEAMS'!C32&amp;""</f>
        <v>WESTMINSTER HS</v>
      </c>
      <c r="D254" s="32" t="str">
        <f>'14U BOYS PLATINUM-10 TEAMS'!D32&amp;""</f>
        <v>14Bpt17</v>
      </c>
      <c r="E254" s="32" t="str">
        <f>'14U BOYS PLATINUM-10 TEAMS'!E32&amp;""</f>
        <v>W#13-ORWP A</v>
      </c>
      <c r="F254" s="32" t="str">
        <f>'14U BOYS PLATINUM-10 TEAMS'!F32&amp;""</f>
        <v>9</v>
      </c>
      <c r="G254" s="32" t="str">
        <f>'14U BOYS PLATINUM-10 TEAMS'!G32&amp;""</f>
        <v>W#14-PATRIOT RED</v>
      </c>
      <c r="H254" s="32" t="str">
        <f>'14U BOYS PLATINUM-10 TEAMS'!H32&amp;""</f>
        <v>8</v>
      </c>
      <c r="I254" s="32" t="str">
        <f>'14U BOYS PLATINUM-10 TEAMS'!I32&amp;""</f>
        <v>5th</v>
      </c>
      <c r="J254" s="32" t="str">
        <f>'14U BOYS PLATINUM-10 TEAMS'!J32&amp;""</f>
        <v>14U_BOYS_PLATINUM</v>
      </c>
      <c r="K254" s="32" t="str">
        <f t="shared" si="3"/>
        <v>202603081520</v>
      </c>
    </row>
    <row r="255" spans="1:11">
      <c r="A255" s="67">
        <f>'10U GIRLS COED AU AG-12 TEAMS'!A35</f>
        <v>46089</v>
      </c>
      <c r="B255" s="152">
        <f>'10U GIRLS COED AU AG-12 TEAMS'!B35</f>
        <v>0.64583333333333304</v>
      </c>
      <c r="C255" s="66" t="str">
        <f>'10U GIRLS COED AU AG-12 TEAMS'!C35&amp;""</f>
        <v>EL TORO HS 2</v>
      </c>
      <c r="D255" s="20" t="str">
        <f>'10U GIRLS COED AU AG-12 TEAMS'!D35&amp;""</f>
        <v>10GCauag23</v>
      </c>
      <c r="E255" s="20" t="str">
        <f>'10U GIRLS COED AU AG-12 TEAMS'!E35&amp;""</f>
        <v>2ndB-LAGUNA BEACH ag</v>
      </c>
      <c r="F255" s="20" t="str">
        <f>'10U GIRLS COED AU AG-12 TEAMS'!F35&amp;""</f>
        <v>4</v>
      </c>
      <c r="G255" s="20" t="str">
        <f>'10U GIRLS COED AU AG-12 TEAMS'!G35&amp;""</f>
        <v>C2-NEWPORT BEACH GIRLS BLUE</v>
      </c>
      <c r="H255" s="20" t="str">
        <f>'10U GIRLS COED AU AG-12 TEAMS'!H35&amp;""</f>
        <v>19</v>
      </c>
      <c r="I255" s="20" t="str">
        <f>'10U GIRLS COED AU AG-12 TEAMS'!I35&amp;""</f>
        <v>cross</v>
      </c>
      <c r="J255" s="20" t="str">
        <f>'10U GIRLS COED AU AG-12 TEAMS'!J35&amp;""</f>
        <v>10U_GIRLS_COED_GOLD_SILVER</v>
      </c>
      <c r="K255" s="20" t="str">
        <f t="shared" si="3"/>
        <v>202603081530</v>
      </c>
    </row>
    <row r="256" spans="1:11">
      <c r="A256" s="86">
        <f>'12U COED GIRLS-9 TEAMS CUSTOM'!A36</f>
        <v>46089</v>
      </c>
      <c r="B256" s="85">
        <f>'12U COED GIRLS-9 TEAMS CUSTOM'!B36</f>
        <v>0.64583333333333304</v>
      </c>
      <c r="C256" s="24" t="str">
        <f>'12U COED GIRLS-9 TEAMS CUSTOM'!C36&amp;""</f>
        <v>WOOLLETT FAR RIGHT</v>
      </c>
      <c r="D256" s="24" t="str">
        <f>'12U COED GIRLS-9 TEAMS CUSTOM'!D36&amp;""</f>
        <v>12GC18</v>
      </c>
      <c r="E256" s="24" t="str">
        <f>'12U COED GIRLS-9 TEAMS CUSTOM'!E36&amp;""</f>
        <v>F1(3rdA)-HEILAND</v>
      </c>
      <c r="F256" s="24" t="str">
        <f>'12U COED GIRLS-9 TEAMS CUSTOM'!F36&amp;""</f>
        <v>5</v>
      </c>
      <c r="G256" s="24" t="str">
        <f>'12U COED GIRLS-9 TEAMS CUSTOM'!G36&amp;""</f>
        <v>F2(3rdB)-SET</v>
      </c>
      <c r="H256" s="24" t="str">
        <f>'12U COED GIRLS-9 TEAMS CUSTOM'!H36&amp;""</f>
        <v>7</v>
      </c>
      <c r="I256" s="24" t="str">
        <f>'12U COED GIRLS-9 TEAMS CUSTOM'!I36&amp;""</f>
        <v>F bracket F1,F2 Coed 6th</v>
      </c>
      <c r="J256" s="24" t="str">
        <f>'12U COED GIRLS-9 TEAMS CUSTOM'!J36&amp;""</f>
        <v>12U_COED_GIRLS</v>
      </c>
      <c r="K256" s="24" t="str">
        <f t="shared" si="3"/>
        <v>202603081530</v>
      </c>
    </row>
    <row r="257" spans="1:11">
      <c r="A257" s="157">
        <f>'16U BOYS PLATINUM GOLD-10 TEAMS'!A32</f>
        <v>46089</v>
      </c>
      <c r="B257" s="158">
        <f>'16U BOYS PLATINUM GOLD-10 TEAMS'!B32</f>
        <v>0.66666666666666696</v>
      </c>
      <c r="C257" s="158" t="str">
        <f>'16U BOYS PLATINUM GOLD-10 TEAMS'!C32&amp;""</f>
        <v>WOOLLETT NEAR LEFT</v>
      </c>
      <c r="D257" s="157" t="str">
        <f>'16U BOYS PLATINUM GOLD-10 TEAMS'!D32&amp;""</f>
        <v>16Bptau20</v>
      </c>
      <c r="E257" s="158" t="str">
        <f>'16U BOYS PLATINUM GOLD-10 TEAMS'!E32&amp;""</f>
        <v>1stA-ORWP A</v>
      </c>
      <c r="F257" s="158" t="str">
        <f>'16U BOYS PLATINUM GOLD-10 TEAMS'!F32&amp;""</f>
        <v>4</v>
      </c>
      <c r="G257" s="159" t="str">
        <f>'16U BOYS PLATINUM GOLD-10 TEAMS'!G32&amp;""</f>
        <v>1stB-ALAMEDA</v>
      </c>
      <c r="H257" s="159" t="str">
        <f>'16U BOYS PLATINUM GOLD-10 TEAMS'!H32&amp;""</f>
        <v>8</v>
      </c>
      <c r="I257" s="159" t="str">
        <f>'16U BOYS PLATINUM GOLD-10 TEAMS'!I32&amp;""</f>
        <v>cross</v>
      </c>
      <c r="J257" s="159" t="str">
        <f>'16U BOYS PLATINUM GOLD-10 TEAMS'!J32&amp;""</f>
        <v>16U_BOYS_PLATINUM_GOLD</v>
      </c>
      <c r="K257" s="159" t="str">
        <f t="shared" si="3"/>
        <v>202603081600</v>
      </c>
    </row>
    <row r="258" spans="1:11">
      <c r="A258" s="157">
        <f>'16U BOYS PLATINUM GOLD-10 TEAMS'!A31</f>
        <v>46089</v>
      </c>
      <c r="B258" s="158">
        <f>'16U BOYS PLATINUM GOLD-10 TEAMS'!B31</f>
        <v>0.66666666666666696</v>
      </c>
      <c r="C258" s="158" t="str">
        <f>'16U BOYS PLATINUM GOLD-10 TEAMS'!C31&amp;""</f>
        <v>WOOLLETT NEAR RIGHT</v>
      </c>
      <c r="D258" s="157" t="str">
        <f>'16U BOYS PLATINUM GOLD-10 TEAMS'!D31&amp;""</f>
        <v>16Bptau19</v>
      </c>
      <c r="E258" s="158" t="str">
        <f>'16U BOYS PLATINUM GOLD-10 TEAMS'!E31&amp;""</f>
        <v>2ndA-CHANNEL ISLANDS UNITED BLUE</v>
      </c>
      <c r="F258" s="158" t="str">
        <f>'16U BOYS PLATINUM GOLD-10 TEAMS'!F31&amp;""</f>
        <v>5</v>
      </c>
      <c r="G258" s="159" t="str">
        <f>'16U BOYS PLATINUM GOLD-10 TEAMS'!G31&amp;""</f>
        <v>2ndB-TROJAN GOLD</v>
      </c>
      <c r="H258" s="159" t="str">
        <f>'16U BOYS PLATINUM GOLD-10 TEAMS'!H31&amp;""</f>
        <v>8</v>
      </c>
      <c r="I258" s="159" t="str">
        <f>'16U BOYS PLATINUM GOLD-10 TEAMS'!I31&amp;""</f>
        <v>cross</v>
      </c>
      <c r="J258" s="159" t="str">
        <f>'16U BOYS PLATINUM GOLD-10 TEAMS'!J31&amp;""</f>
        <v>16U_BOYS_PLATINUM_GOLD</v>
      </c>
      <c r="K258" s="159" t="str">
        <f t="shared" si="3"/>
        <v>202603081600</v>
      </c>
    </row>
    <row r="259" spans="1:11">
      <c r="A259" s="107">
        <f>'14U GIRLS-9 TEAMS'!A37</f>
        <v>46089</v>
      </c>
      <c r="B259" s="106">
        <f>'14U GIRLS-9 TEAMS'!B37</f>
        <v>0.67361111111111105</v>
      </c>
      <c r="C259" s="105" t="str">
        <f>'14U GIRLS-9 TEAMS'!C37&amp;""</f>
        <v>EL TORO HS 1</v>
      </c>
      <c r="D259" s="28" t="str">
        <f>'14U GIRLS-9 TEAMS'!D37&amp;""</f>
        <v>14G18</v>
      </c>
      <c r="E259" s="28" t="str">
        <f>'14U GIRLS-9 TEAMS'!E37&amp;""</f>
        <v>F1(1stA)-ROGUE 619</v>
      </c>
      <c r="F259" s="28" t="str">
        <f>'14U GIRLS-9 TEAMS'!F37&amp;""</f>
        <v>10</v>
      </c>
      <c r="G259" s="28" t="str">
        <f>'14U GIRLS-9 TEAMS'!G37&amp;""</f>
        <v>F2(1stB)-PALOS VERDES BLACK</v>
      </c>
      <c r="H259" s="28" t="str">
        <f>'14U GIRLS-9 TEAMS'!H37&amp;""</f>
        <v>9</v>
      </c>
      <c r="I259" s="28" t="str">
        <f>'14U GIRLS-9 TEAMS'!I37&amp;""</f>
        <v>plat-gold-silver F1,F2</v>
      </c>
      <c r="J259" s="28" t="str">
        <f>'14U GIRLS-9 TEAMS'!J37&amp;""</f>
        <v>14U_GIRLS</v>
      </c>
      <c r="K259" s="28" t="str">
        <f t="shared" si="3"/>
        <v>202603081610</v>
      </c>
    </row>
    <row r="260" spans="1:11">
      <c r="A260" s="94">
        <f>'14U BOYS PLATINUM-10 TEAMS'!A33</f>
        <v>46089</v>
      </c>
      <c r="B260" s="93">
        <f>'14U BOYS PLATINUM-10 TEAMS'!B33</f>
        <v>0.67361111111111105</v>
      </c>
      <c r="C260" s="93" t="str">
        <f>'14U BOYS PLATINUM-10 TEAMS'!C33&amp;""</f>
        <v>WESTMINSTER HS</v>
      </c>
      <c r="D260" s="32" t="str">
        <f>'14U BOYS PLATINUM-10 TEAMS'!D33&amp;""</f>
        <v>14Bpt19</v>
      </c>
      <c r="E260" s="32" t="str">
        <f>'14U BOYS PLATINUM-10 TEAMS'!E33&amp;""</f>
        <v>L#14-ROUTE 66</v>
      </c>
      <c r="F260" s="32" t="str">
        <f>'14U BOYS PLATINUM-10 TEAMS'!F33&amp;""</f>
        <v>8</v>
      </c>
      <c r="G260" s="32" t="str">
        <f>'14U BOYS PLATINUM-10 TEAMS'!G33&amp;""</f>
        <v>4thC-DEVILS GATE</v>
      </c>
      <c r="H260" s="32" t="str">
        <f>'14U BOYS PLATINUM-10 TEAMS'!H33&amp;""</f>
        <v>11</v>
      </c>
      <c r="I260" s="32" t="str">
        <f>'14U BOYS PLATINUM-10 TEAMS'!I33&amp;""</f>
        <v>7th-10th</v>
      </c>
      <c r="J260" s="32" t="str">
        <f>'14U BOYS PLATINUM-10 TEAMS'!J33&amp;""</f>
        <v>14U_BOYS_PLATINUM</v>
      </c>
      <c r="K260" s="32" t="str">
        <f t="shared" si="3"/>
        <v>202603081610</v>
      </c>
    </row>
    <row r="261" spans="1:11">
      <c r="A261" s="67">
        <f>'10U GIRLS COED AU AG-12 TEAMS'!A36</f>
        <v>46089</v>
      </c>
      <c r="B261" s="152">
        <f>'10U GIRLS COED AU AG-12 TEAMS'!B36</f>
        <v>0.68055555555555602</v>
      </c>
      <c r="C261" s="66" t="str">
        <f>'10U GIRLS COED AU AG-12 TEAMS'!C36&amp;""</f>
        <v>EL TORO HS 2</v>
      </c>
      <c r="D261" s="20" t="str">
        <f>'10U GIRLS COED AU AG-12 TEAMS'!D36&amp;""</f>
        <v>10GCauag24</v>
      </c>
      <c r="E261" s="20" t="str">
        <f>'10U GIRLS COED AU AG-12 TEAMS'!E36&amp;""</f>
        <v>4thB-CDM BOYS WHITE ag</v>
      </c>
      <c r="F261" s="20" t="str">
        <f>'10U GIRLS COED AU AG-12 TEAMS'!F36&amp;""</f>
        <v>20</v>
      </c>
      <c r="G261" s="20" t="str">
        <f>'10U GIRLS COED AU AG-12 TEAMS'!G36&amp;""</f>
        <v>C4-NEWPORT BEACH GIRLS WHITE</v>
      </c>
      <c r="H261" s="20" t="str">
        <f>'10U GIRLS COED AU AG-12 TEAMS'!H36&amp;""</f>
        <v>2</v>
      </c>
      <c r="I261" s="20" t="str">
        <f>'10U GIRLS COED AU AG-12 TEAMS'!I36&amp;""</f>
        <v>cross</v>
      </c>
      <c r="J261" s="20" t="str">
        <f>'10U GIRLS COED AU AG-12 TEAMS'!J36&amp;""</f>
        <v>10U_GIRLS_COED_GOLD_SILVER</v>
      </c>
      <c r="K261" s="20" t="str">
        <f t="shared" si="3"/>
        <v>202603081620</v>
      </c>
    </row>
  </sheetData>
  <sortState xmlns:xlrd2="http://schemas.microsoft.com/office/spreadsheetml/2017/richdata2" ref="A1:K261">
    <sortCondition ref="A2:A261"/>
    <sortCondition ref="B2:B261"/>
    <sortCondition ref="C2:C261"/>
    <sortCondition ref="D2:D261"/>
  </sortState>
  <pageMargins left="0.7" right="0.7" top="0.75" bottom="0.75" header="0.3" footer="0.3"/>
  <pageSetup scale="4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C7AC-0922-493E-9884-6F89D16F8F9F}">
  <sheetPr>
    <tabColor rgb="FFBE5014"/>
    <pageSetUpPr fitToPage="1"/>
  </sheetPr>
  <dimension ref="A1:K51"/>
  <sheetViews>
    <sheetView tabSelected="1" workbookViewId="0"/>
  </sheetViews>
  <sheetFormatPr defaultColWidth="9.140625" defaultRowHeight="18.75"/>
  <cols>
    <col min="1" max="1" width="35.140625" style="64" customWidth="1"/>
    <col min="2" max="2" width="38.7109375" style="64" customWidth="1"/>
    <col min="3" max="3" width="39.140625" style="64" customWidth="1"/>
    <col min="4" max="4" width="20.28515625" style="64" customWidth="1"/>
    <col min="5" max="5" width="38.42578125" style="64" customWidth="1"/>
    <col min="6" max="6" width="8.42578125" style="64" customWidth="1"/>
    <col min="7" max="7" width="42.85546875" style="64" customWidth="1"/>
    <col min="8" max="8" width="25.85546875" style="64" bestFit="1" customWidth="1"/>
    <col min="9" max="9" width="39.5703125" style="64" customWidth="1"/>
    <col min="10" max="10" width="44.5703125" style="64" customWidth="1"/>
    <col min="11" max="11" width="22.7109375" style="64" bestFit="1" customWidth="1"/>
    <col min="12" max="16384" width="9.140625" style="64"/>
  </cols>
  <sheetData>
    <row r="1" spans="1:11">
      <c r="A1" s="69" t="s">
        <v>355</v>
      </c>
      <c r="B1" s="69" t="s">
        <v>356</v>
      </c>
      <c r="C1" s="63" t="s">
        <v>357</v>
      </c>
      <c r="D1" s="69" t="s">
        <v>358</v>
      </c>
      <c r="E1" s="69" t="s">
        <v>359</v>
      </c>
      <c r="F1" s="46"/>
      <c r="G1" s="46"/>
      <c r="H1" s="46"/>
      <c r="I1" s="46"/>
      <c r="J1" s="46"/>
      <c r="K1" s="41"/>
    </row>
    <row r="2" spans="1:11">
      <c r="A2" s="187" t="s">
        <v>360</v>
      </c>
      <c r="B2" s="61" t="s">
        <v>361</v>
      </c>
      <c r="C2" s="60" t="s">
        <v>362</v>
      </c>
      <c r="D2" s="69"/>
      <c r="E2" s="1"/>
      <c r="F2" s="46"/>
      <c r="G2" s="46"/>
      <c r="H2" s="46"/>
      <c r="I2" s="46"/>
      <c r="J2" s="46"/>
      <c r="K2" s="41"/>
    </row>
    <row r="3" spans="1:11">
      <c r="A3" s="3" t="s">
        <v>24</v>
      </c>
      <c r="B3" s="3" t="s">
        <v>34</v>
      </c>
      <c r="C3" s="3" t="s">
        <v>45</v>
      </c>
      <c r="D3" s="69"/>
      <c r="E3" s="1"/>
      <c r="F3" s="46"/>
      <c r="G3" s="46"/>
      <c r="H3" s="46"/>
      <c r="I3" s="46"/>
      <c r="J3" s="46"/>
      <c r="K3" s="41"/>
    </row>
    <row r="4" spans="1:11">
      <c r="A4" s="1" t="s">
        <v>27</v>
      </c>
      <c r="B4" s="1" t="s">
        <v>37</v>
      </c>
      <c r="C4" s="1" t="s">
        <v>48</v>
      </c>
      <c r="D4" s="1"/>
      <c r="E4" s="1"/>
      <c r="F4" s="46"/>
      <c r="G4" s="46"/>
      <c r="H4" s="46"/>
      <c r="I4" s="46"/>
      <c r="J4" s="46"/>
      <c r="K4" s="41"/>
    </row>
    <row r="5" spans="1:11">
      <c r="A5" s="1" t="s">
        <v>29</v>
      </c>
      <c r="B5" s="1" t="s">
        <v>39</v>
      </c>
      <c r="C5" s="1" t="s">
        <v>50</v>
      </c>
      <c r="D5" s="1"/>
      <c r="E5" s="1"/>
      <c r="F5" s="46"/>
      <c r="G5" s="46"/>
      <c r="H5" s="46"/>
      <c r="I5" s="46"/>
      <c r="J5" s="46"/>
      <c r="K5" s="41"/>
    </row>
    <row r="6" spans="1:11">
      <c r="A6" s="1" t="s">
        <v>31</v>
      </c>
      <c r="B6" s="1" t="s">
        <v>41</v>
      </c>
      <c r="C6" s="1" t="s">
        <v>52</v>
      </c>
      <c r="D6" s="1"/>
      <c r="E6" s="1"/>
      <c r="F6" s="46"/>
      <c r="G6" s="46"/>
      <c r="H6" s="46"/>
      <c r="I6" s="46"/>
      <c r="J6" s="46"/>
      <c r="K6" s="41"/>
    </row>
    <row r="7" spans="1:11">
      <c r="A7" s="1" t="s">
        <v>33</v>
      </c>
      <c r="B7" s="1" t="s">
        <v>43</v>
      </c>
      <c r="C7" s="1" t="s">
        <v>54</v>
      </c>
      <c r="D7" s="1"/>
      <c r="E7" s="1"/>
      <c r="F7" s="46"/>
      <c r="G7" s="46"/>
      <c r="H7" s="46"/>
      <c r="I7" s="46"/>
      <c r="J7" s="46"/>
      <c r="K7" s="41"/>
    </row>
    <row r="8" spans="1:11">
      <c r="A8" s="46"/>
      <c r="B8" s="46"/>
      <c r="C8" s="71"/>
      <c r="D8" s="46"/>
      <c r="E8" s="46"/>
      <c r="F8" s="46"/>
      <c r="G8" s="46"/>
      <c r="H8" s="46"/>
      <c r="I8" s="46"/>
      <c r="J8" s="46"/>
      <c r="K8" s="41"/>
    </row>
    <row r="9" spans="1:11">
      <c r="A9" s="69" t="s">
        <v>346</v>
      </c>
      <c r="B9" s="70" t="s">
        <v>347</v>
      </c>
      <c r="C9" s="69" t="s">
        <v>348</v>
      </c>
      <c r="D9" s="69" t="s">
        <v>349</v>
      </c>
      <c r="E9" s="69" t="s">
        <v>350</v>
      </c>
      <c r="F9" s="69" t="s">
        <v>351</v>
      </c>
      <c r="G9" s="69" t="s">
        <v>352</v>
      </c>
      <c r="H9" s="69" t="s">
        <v>351</v>
      </c>
      <c r="I9" s="69" t="s">
        <v>353</v>
      </c>
      <c r="J9" s="69" t="s">
        <v>0</v>
      </c>
      <c r="K9" s="41"/>
    </row>
    <row r="10" spans="1:11">
      <c r="A10" s="67">
        <v>46088</v>
      </c>
      <c r="B10" s="66">
        <f>'CHICLETS MASTER'!B5</f>
        <v>0.33333333333333331</v>
      </c>
      <c r="C10" s="20" t="str">
        <f>'CHICLETS MASTER'!$D$3</f>
        <v>EL TORO HS 2</v>
      </c>
      <c r="D10" s="20" t="s">
        <v>363</v>
      </c>
      <c r="E10" s="20" t="str">
        <f>B4</f>
        <v>B1-SAN CLEMENTE GIRLS RED ag</v>
      </c>
      <c r="F10" s="20">
        <v>6</v>
      </c>
      <c r="G10" s="20" t="str">
        <f>B7</f>
        <v>B4-TROJAN NORTH ag</v>
      </c>
      <c r="H10" s="20">
        <v>14</v>
      </c>
      <c r="I10" s="20" t="s">
        <v>364</v>
      </c>
      <c r="J10" s="20" t="s">
        <v>22</v>
      </c>
    </row>
    <row r="11" spans="1:11">
      <c r="A11" s="67">
        <v>46088</v>
      </c>
      <c r="B11" s="66">
        <f>'CHICLETS MASTER'!B6</f>
        <v>0.36805555555555558</v>
      </c>
      <c r="C11" s="20" t="str">
        <f>'CHICLETS MASTER'!$D$3</f>
        <v>EL TORO HS 2</v>
      </c>
      <c r="D11" s="20" t="s">
        <v>365</v>
      </c>
      <c r="E11" s="20" t="str">
        <f>B5</f>
        <v>B2-CDM BOYS WHITE ag</v>
      </c>
      <c r="F11" s="20">
        <v>8</v>
      </c>
      <c r="G11" s="20" t="str">
        <f>B6</f>
        <v>B3-LAGUNA BEACH ag</v>
      </c>
      <c r="H11" s="20">
        <v>10</v>
      </c>
      <c r="I11" s="20" t="s">
        <v>366</v>
      </c>
      <c r="J11" s="20" t="s">
        <v>22</v>
      </c>
    </row>
    <row r="12" spans="1:11">
      <c r="A12" s="67">
        <v>46088</v>
      </c>
      <c r="B12" s="66">
        <f>'CHICLETS MASTER'!B7</f>
        <v>0.40277777777777779</v>
      </c>
      <c r="C12" s="20" t="str">
        <f>'CHICLETS MASTER'!$D$3</f>
        <v>EL TORO HS 2</v>
      </c>
      <c r="D12" s="20" t="s">
        <v>367</v>
      </c>
      <c r="E12" s="20" t="str">
        <f>A4</f>
        <v>A1-TROJAN SOUTH au</v>
      </c>
      <c r="F12" s="20">
        <v>3</v>
      </c>
      <c r="G12" s="20" t="str">
        <f>A7</f>
        <v>A4-ORANGE COUNTY WPC B au</v>
      </c>
      <c r="H12" s="20">
        <v>14</v>
      </c>
      <c r="I12" s="20" t="s">
        <v>368</v>
      </c>
      <c r="J12" s="20" t="s">
        <v>22</v>
      </c>
    </row>
    <row r="13" spans="1:11">
      <c r="A13" s="67">
        <v>46088</v>
      </c>
      <c r="B13" s="66">
        <f>'CHICLETS MASTER'!B7</f>
        <v>0.40277777777777779</v>
      </c>
      <c r="C13" s="20" t="str">
        <f>'CHICLETS MASTER'!$C$3</f>
        <v>WOOLLETT FAR LEFT</v>
      </c>
      <c r="D13" s="20" t="s">
        <v>369</v>
      </c>
      <c r="E13" s="20" t="str">
        <f>C4</f>
        <v>C1-DEL MAR GIRLS BLUE</v>
      </c>
      <c r="F13" s="20">
        <v>20</v>
      </c>
      <c r="G13" s="20" t="str">
        <f>C7</f>
        <v>C4-NEWPORT BEACH GIRLS WHITE</v>
      </c>
      <c r="H13" s="20">
        <v>0</v>
      </c>
      <c r="I13" s="20" t="s">
        <v>370</v>
      </c>
      <c r="J13" s="20" t="s">
        <v>22</v>
      </c>
    </row>
    <row r="14" spans="1:11">
      <c r="A14" s="67">
        <v>46088</v>
      </c>
      <c r="B14" s="66">
        <f>'CHICLETS MASTER'!B8</f>
        <v>0.4375</v>
      </c>
      <c r="C14" s="20" t="str">
        <f>'CHICLETS MASTER'!$D$3</f>
        <v>EL TORO HS 2</v>
      </c>
      <c r="D14" s="20" t="s">
        <v>371</v>
      </c>
      <c r="E14" s="20" t="str">
        <f>A5</f>
        <v>A2-VANGUARD BLUE au</v>
      </c>
      <c r="F14" s="20">
        <v>17</v>
      </c>
      <c r="G14" s="20" t="str">
        <f>A6</f>
        <v>A3-SAN CLEMENTE BLACK au</v>
      </c>
      <c r="H14" s="20">
        <v>3</v>
      </c>
      <c r="I14" s="20" t="s">
        <v>372</v>
      </c>
      <c r="J14" s="20" t="s">
        <v>22</v>
      </c>
    </row>
    <row r="15" spans="1:11">
      <c r="A15" s="67">
        <v>46088</v>
      </c>
      <c r="B15" s="66">
        <f>'CHICLETS MASTER'!B8</f>
        <v>0.4375</v>
      </c>
      <c r="C15" s="20" t="str">
        <f>'CHICLETS MASTER'!$C$3</f>
        <v>WOOLLETT FAR LEFT</v>
      </c>
      <c r="D15" s="20" t="s">
        <v>373</v>
      </c>
      <c r="E15" s="20" t="str">
        <f>C5</f>
        <v>C2-NEWPORT BEACH GIRLS BLUE</v>
      </c>
      <c r="F15" s="20">
        <v>17</v>
      </c>
      <c r="G15" s="20" t="str">
        <f>C6</f>
        <v>C3-DEL MAR GIRLS WHITE</v>
      </c>
      <c r="H15" s="20">
        <v>1</v>
      </c>
      <c r="I15" s="20" t="s">
        <v>374</v>
      </c>
      <c r="J15" s="20" t="s">
        <v>22</v>
      </c>
    </row>
    <row r="16" spans="1:11">
      <c r="A16" s="67">
        <v>46088</v>
      </c>
      <c r="B16" s="66">
        <f>'CHICLETS MASTER'!B9</f>
        <v>0.47222222222222199</v>
      </c>
      <c r="C16" s="20" t="str">
        <f>'CHICLETS MASTER'!$D$3</f>
        <v>EL TORO HS 2</v>
      </c>
      <c r="D16" s="20" t="s">
        <v>375</v>
      </c>
      <c r="E16" s="20" t="str">
        <f>B5</f>
        <v>B2-CDM BOYS WHITE ag</v>
      </c>
      <c r="F16" s="20">
        <v>4</v>
      </c>
      <c r="G16" s="20" t="str">
        <f>B7</f>
        <v>B4-TROJAN NORTH ag</v>
      </c>
      <c r="H16" s="20">
        <v>14</v>
      </c>
      <c r="I16" s="20" t="s">
        <v>376</v>
      </c>
      <c r="J16" s="20" t="s">
        <v>22</v>
      </c>
    </row>
    <row r="17" spans="1:10">
      <c r="A17" s="67">
        <v>46088</v>
      </c>
      <c r="B17" s="66">
        <f>'CHICLETS MASTER'!B10</f>
        <v>0.50694444444444398</v>
      </c>
      <c r="C17" s="20" t="str">
        <f>'CHICLETS MASTER'!$D$3</f>
        <v>EL TORO HS 2</v>
      </c>
      <c r="D17" s="20" t="s">
        <v>377</v>
      </c>
      <c r="E17" s="20" t="str">
        <f>B4</f>
        <v>B1-SAN CLEMENTE GIRLS RED ag</v>
      </c>
      <c r="F17" s="20">
        <v>9</v>
      </c>
      <c r="G17" s="20" t="str">
        <f>B6</f>
        <v>B3-LAGUNA BEACH ag</v>
      </c>
      <c r="H17" s="20">
        <v>10</v>
      </c>
      <c r="I17" s="20" t="s">
        <v>378</v>
      </c>
      <c r="J17" s="20" t="s">
        <v>22</v>
      </c>
    </row>
    <row r="18" spans="1:10">
      <c r="A18" s="67">
        <v>46088</v>
      </c>
      <c r="B18" s="66">
        <f>'CHICLETS MASTER'!B11</f>
        <v>0.54166666666666696</v>
      </c>
      <c r="C18" s="20" t="str">
        <f>'CHICLETS MASTER'!$D$3</f>
        <v>EL TORO HS 2</v>
      </c>
      <c r="D18" s="20" t="s">
        <v>379</v>
      </c>
      <c r="E18" s="20" t="str">
        <f>A4</f>
        <v>A1-TROJAN SOUTH au</v>
      </c>
      <c r="F18" s="20">
        <v>15</v>
      </c>
      <c r="G18" s="20" t="str">
        <f>A6</f>
        <v>A3-SAN CLEMENTE BLACK au</v>
      </c>
      <c r="H18" s="20">
        <v>6</v>
      </c>
      <c r="I18" s="20" t="s">
        <v>380</v>
      </c>
      <c r="J18" s="20" t="s">
        <v>22</v>
      </c>
    </row>
    <row r="19" spans="1:10">
      <c r="A19" s="67">
        <v>46088</v>
      </c>
      <c r="B19" s="66">
        <f>'CHICLETS MASTER'!B11</f>
        <v>0.54166666666666696</v>
      </c>
      <c r="C19" s="20" t="str">
        <f>'CHICLETS MASTER'!$C$3</f>
        <v>WOOLLETT FAR LEFT</v>
      </c>
      <c r="D19" s="20" t="s">
        <v>381</v>
      </c>
      <c r="E19" s="20" t="str">
        <f>C4</f>
        <v>C1-DEL MAR GIRLS BLUE</v>
      </c>
      <c r="F19" s="20">
        <v>7</v>
      </c>
      <c r="G19" s="20" t="str">
        <f>C5</f>
        <v>C2-NEWPORT BEACH GIRLS BLUE</v>
      </c>
      <c r="H19" s="20">
        <v>3</v>
      </c>
      <c r="I19" s="20" t="s">
        <v>382</v>
      </c>
      <c r="J19" s="20" t="s">
        <v>22</v>
      </c>
    </row>
    <row r="20" spans="1:10">
      <c r="A20" s="67">
        <v>46088</v>
      </c>
      <c r="B20" s="66">
        <f>'CHICLETS MASTER'!B12</f>
        <v>0.57638888888888895</v>
      </c>
      <c r="C20" s="20" t="str">
        <f>'CHICLETS MASTER'!$D$3</f>
        <v>EL TORO HS 2</v>
      </c>
      <c r="D20" s="20" t="s">
        <v>383</v>
      </c>
      <c r="E20" s="20" t="str">
        <f>A5</f>
        <v>A2-VANGUARD BLUE au</v>
      </c>
      <c r="F20" s="20">
        <v>5</v>
      </c>
      <c r="G20" s="20" t="str">
        <f>A7</f>
        <v>A4-ORANGE COUNTY WPC B au</v>
      </c>
      <c r="H20" s="20">
        <v>11</v>
      </c>
      <c r="I20" s="20" t="s">
        <v>384</v>
      </c>
      <c r="J20" s="20" t="s">
        <v>22</v>
      </c>
    </row>
    <row r="21" spans="1:10">
      <c r="A21" s="67">
        <v>46088</v>
      </c>
      <c r="B21" s="66">
        <f>'CHICLETS MASTER'!B12</f>
        <v>0.57638888888888895</v>
      </c>
      <c r="C21" s="20" t="str">
        <f>'CHICLETS MASTER'!$C$3</f>
        <v>WOOLLETT FAR LEFT</v>
      </c>
      <c r="D21" s="20" t="s">
        <v>385</v>
      </c>
      <c r="E21" s="20" t="str">
        <f>C6</f>
        <v>C3-DEL MAR GIRLS WHITE</v>
      </c>
      <c r="F21" s="20">
        <v>16</v>
      </c>
      <c r="G21" s="20" t="str">
        <f>C7</f>
        <v>C4-NEWPORT BEACH GIRLS WHITE</v>
      </c>
      <c r="H21" s="20">
        <v>0</v>
      </c>
      <c r="I21" s="20" t="s">
        <v>386</v>
      </c>
      <c r="J21" s="20" t="s">
        <v>22</v>
      </c>
    </row>
    <row r="22" spans="1:10">
      <c r="A22" s="68"/>
      <c r="B22" s="68"/>
      <c r="C22" s="68"/>
      <c r="E22" s="68"/>
      <c r="F22" s="68"/>
      <c r="G22" s="68"/>
      <c r="H22" s="68"/>
      <c r="I22" s="68"/>
      <c r="J22" s="68"/>
    </row>
    <row r="23" spans="1:10">
      <c r="A23" s="55"/>
      <c r="B23" s="56"/>
      <c r="C23" s="55"/>
      <c r="D23" s="55"/>
      <c r="E23" s="55"/>
      <c r="F23" s="55"/>
      <c r="G23" s="55"/>
      <c r="H23" s="55"/>
      <c r="I23" s="55"/>
      <c r="J23" s="55"/>
    </row>
    <row r="24" spans="1:10">
      <c r="A24" s="52"/>
      <c r="B24" s="53"/>
      <c r="C24" s="52"/>
      <c r="D24" s="52"/>
      <c r="E24" s="52"/>
      <c r="F24" s="52"/>
      <c r="G24" s="52"/>
      <c r="H24" s="52"/>
      <c r="I24" s="52"/>
      <c r="J24" s="52"/>
    </row>
    <row r="25" spans="1:10">
      <c r="A25" s="67">
        <v>46089</v>
      </c>
      <c r="B25" s="152">
        <f>'CHICLETS MASTER'!B31</f>
        <v>0.33333333333333331</v>
      </c>
      <c r="C25" s="66" t="str">
        <f>'CHICLETS MASTER'!$D$29</f>
        <v>EL TORO HS 2</v>
      </c>
      <c r="D25" s="20" t="s">
        <v>387</v>
      </c>
      <c r="E25" s="20" t="str">
        <f>A4</f>
        <v>A1-TROJAN SOUTH au</v>
      </c>
      <c r="F25" s="20">
        <v>9</v>
      </c>
      <c r="G25" s="20" t="str">
        <f>A5</f>
        <v>A2-VANGUARD BLUE au</v>
      </c>
      <c r="H25" s="20">
        <v>15</v>
      </c>
      <c r="I25" s="20" t="s">
        <v>388</v>
      </c>
      <c r="J25" s="20" t="s">
        <v>22</v>
      </c>
    </row>
    <row r="26" spans="1:10">
      <c r="A26" s="67">
        <v>46089</v>
      </c>
      <c r="B26" s="152">
        <f>'CHICLETS MASTER'!B32</f>
        <v>0.36805555555555558</v>
      </c>
      <c r="C26" s="66" t="str">
        <f>'CHICLETS MASTER'!$D$29</f>
        <v>EL TORO HS 2</v>
      </c>
      <c r="D26" s="20" t="s">
        <v>389</v>
      </c>
      <c r="E26" s="20" t="str">
        <f>A6</f>
        <v>A3-SAN CLEMENTE BLACK au</v>
      </c>
      <c r="F26" s="20">
        <v>3</v>
      </c>
      <c r="G26" s="20" t="str">
        <f>A7</f>
        <v>A4-ORANGE COUNTY WPC B au</v>
      </c>
      <c r="H26" s="20">
        <v>17</v>
      </c>
      <c r="I26" s="20" t="s">
        <v>390</v>
      </c>
      <c r="J26" s="20" t="s">
        <v>22</v>
      </c>
    </row>
    <row r="27" spans="1:10">
      <c r="A27" s="67">
        <v>46089</v>
      </c>
      <c r="B27" s="152">
        <f>'CHICLETS MASTER'!B33</f>
        <v>0.40277777777777801</v>
      </c>
      <c r="C27" s="66" t="str">
        <f>'CHICLETS MASTER'!$C$29</f>
        <v>WOOLLETT FAR LEFT</v>
      </c>
      <c r="D27" s="20" t="s">
        <v>391</v>
      </c>
      <c r="E27" s="20" t="str">
        <f>B4</f>
        <v>B1-SAN CLEMENTE GIRLS RED ag</v>
      </c>
      <c r="F27" s="20">
        <v>10</v>
      </c>
      <c r="G27" s="20" t="str">
        <f>B5</f>
        <v>B2-CDM BOYS WHITE ag</v>
      </c>
      <c r="H27" s="20">
        <v>3</v>
      </c>
      <c r="I27" s="20" t="s">
        <v>392</v>
      </c>
      <c r="J27" s="20" t="s">
        <v>22</v>
      </c>
    </row>
    <row r="28" spans="1:10">
      <c r="A28" s="67">
        <v>46089</v>
      </c>
      <c r="B28" s="152">
        <f>'CHICLETS MASTER'!B33</f>
        <v>0.40277777777777801</v>
      </c>
      <c r="C28" s="66" t="str">
        <f>'CHICLETS MASTER'!$D$29</f>
        <v>EL TORO HS 2</v>
      </c>
      <c r="D28" s="20" t="s">
        <v>393</v>
      </c>
      <c r="E28" s="20" t="str">
        <f>B6</f>
        <v>B3-LAGUNA BEACH ag</v>
      </c>
      <c r="F28" s="20">
        <v>4</v>
      </c>
      <c r="G28" s="20" t="str">
        <f>B7</f>
        <v>B4-TROJAN NORTH ag</v>
      </c>
      <c r="H28" s="20">
        <v>15</v>
      </c>
      <c r="I28" s="20" t="s">
        <v>394</v>
      </c>
      <c r="J28" s="20" t="s">
        <v>22</v>
      </c>
    </row>
    <row r="29" spans="1:10">
      <c r="A29" s="67">
        <v>46089</v>
      </c>
      <c r="B29" s="152">
        <f>'CHICLETS MASTER'!B34</f>
        <v>0.4375</v>
      </c>
      <c r="C29" s="66" t="str">
        <f>'CHICLETS MASTER'!$D$29</f>
        <v>EL TORO HS 2</v>
      </c>
      <c r="D29" s="20" t="s">
        <v>395</v>
      </c>
      <c r="E29" s="20" t="s">
        <v>396</v>
      </c>
      <c r="F29" s="20">
        <v>7</v>
      </c>
      <c r="G29" s="20" t="str">
        <f>C4</f>
        <v>C1-DEL MAR GIRLS BLUE</v>
      </c>
      <c r="H29" s="20">
        <v>9</v>
      </c>
      <c r="I29" s="20" t="s">
        <v>397</v>
      </c>
      <c r="J29" s="20" t="s">
        <v>22</v>
      </c>
    </row>
    <row r="30" spans="1:10">
      <c r="A30" s="67">
        <v>46089</v>
      </c>
      <c r="B30" s="152">
        <f>'CHICLETS MASTER'!B35</f>
        <v>0.47222222222222199</v>
      </c>
      <c r="C30" s="66" t="str">
        <f>'CHICLETS MASTER'!$D$29</f>
        <v>EL TORO HS 2</v>
      </c>
      <c r="D30" s="20" t="s">
        <v>398</v>
      </c>
      <c r="E30" s="20" t="s">
        <v>399</v>
      </c>
      <c r="F30" s="20">
        <v>13</v>
      </c>
      <c r="G30" s="20" t="str">
        <f>C6</f>
        <v>C3-DEL MAR GIRLS WHITE</v>
      </c>
      <c r="H30" s="20">
        <v>7</v>
      </c>
      <c r="I30" s="20" t="s">
        <v>397</v>
      </c>
      <c r="J30" s="20" t="s">
        <v>22</v>
      </c>
    </row>
    <row r="31" spans="1:10">
      <c r="A31" s="67">
        <v>46089</v>
      </c>
      <c r="B31" s="152">
        <f>'CHICLETS MASTER'!B36</f>
        <v>0.50694444444444398</v>
      </c>
      <c r="C31" s="66" t="str">
        <f>'CHICLETS MASTER'!$D$29</f>
        <v>EL TORO HS 2</v>
      </c>
      <c r="D31" s="20" t="s">
        <v>400</v>
      </c>
      <c r="E31" s="20" t="s">
        <v>401</v>
      </c>
      <c r="F31" s="20">
        <v>7</v>
      </c>
      <c r="G31" s="20" t="str">
        <f>C5</f>
        <v>C2-NEWPORT BEACH GIRLS BLUE</v>
      </c>
      <c r="H31" s="20">
        <v>21</v>
      </c>
      <c r="I31" s="20" t="s">
        <v>397</v>
      </c>
      <c r="J31" s="20" t="s">
        <v>22</v>
      </c>
    </row>
    <row r="32" spans="1:10">
      <c r="A32" s="67">
        <v>46089</v>
      </c>
      <c r="B32" s="152">
        <f>'CHICLETS MASTER'!B37</f>
        <v>0.54166666666666696</v>
      </c>
      <c r="C32" s="66" t="str">
        <f>'CHICLETS MASTER'!$D$29</f>
        <v>EL TORO HS 2</v>
      </c>
      <c r="D32" s="20" t="s">
        <v>402</v>
      </c>
      <c r="E32" s="20" t="s">
        <v>403</v>
      </c>
      <c r="F32" s="20">
        <v>14</v>
      </c>
      <c r="G32" s="20" t="str">
        <f>C7</f>
        <v>C4-NEWPORT BEACH GIRLS WHITE</v>
      </c>
      <c r="H32" s="20">
        <v>8</v>
      </c>
      <c r="I32" s="20" t="s">
        <v>397</v>
      </c>
      <c r="J32" s="20" t="s">
        <v>22</v>
      </c>
    </row>
    <row r="33" spans="1:11">
      <c r="A33" s="67">
        <v>46089</v>
      </c>
      <c r="B33" s="152">
        <f>'CHICLETS MASTER'!B38</f>
        <v>0.57638888888888895</v>
      </c>
      <c r="C33" s="66" t="str">
        <f>'CHICLETS MASTER'!$D$29</f>
        <v>EL TORO HS 2</v>
      </c>
      <c r="D33" s="20" t="s">
        <v>404</v>
      </c>
      <c r="E33" s="162" t="s">
        <v>405</v>
      </c>
      <c r="F33" s="20">
        <v>4</v>
      </c>
      <c r="G33" s="20" t="str">
        <f>C4</f>
        <v>C1-DEL MAR GIRLS BLUE</v>
      </c>
      <c r="H33" s="20">
        <v>16</v>
      </c>
      <c r="I33" s="20" t="s">
        <v>397</v>
      </c>
      <c r="J33" s="20" t="s">
        <v>22</v>
      </c>
    </row>
    <row r="34" spans="1:11">
      <c r="A34" s="67">
        <v>46089</v>
      </c>
      <c r="B34" s="152">
        <f>'CHICLETS MASTER'!B39</f>
        <v>0.61111111111111105</v>
      </c>
      <c r="C34" s="66" t="str">
        <f>'CHICLETS MASTER'!$D$29</f>
        <v>EL TORO HS 2</v>
      </c>
      <c r="D34" s="20" t="s">
        <v>406</v>
      </c>
      <c r="E34" s="162" t="s">
        <v>407</v>
      </c>
      <c r="F34" s="20">
        <v>8</v>
      </c>
      <c r="G34" s="20" t="str">
        <f>C6</f>
        <v>C3-DEL MAR GIRLS WHITE</v>
      </c>
      <c r="H34" s="20">
        <v>6</v>
      </c>
      <c r="I34" s="20" t="s">
        <v>397</v>
      </c>
      <c r="J34" s="20" t="s">
        <v>22</v>
      </c>
    </row>
    <row r="35" spans="1:11">
      <c r="A35" s="67">
        <v>46089</v>
      </c>
      <c r="B35" s="152">
        <f>'CHICLETS MASTER'!B40</f>
        <v>0.64583333333333304</v>
      </c>
      <c r="C35" s="66" t="str">
        <f>'CHICLETS MASTER'!$D$29</f>
        <v>EL TORO HS 2</v>
      </c>
      <c r="D35" s="20" t="s">
        <v>408</v>
      </c>
      <c r="E35" s="162" t="s">
        <v>409</v>
      </c>
      <c r="F35" s="20">
        <v>4</v>
      </c>
      <c r="G35" s="20" t="str">
        <f>C5</f>
        <v>C2-NEWPORT BEACH GIRLS BLUE</v>
      </c>
      <c r="H35" s="20">
        <v>19</v>
      </c>
      <c r="I35" s="20" t="s">
        <v>397</v>
      </c>
      <c r="J35" s="20" t="s">
        <v>22</v>
      </c>
    </row>
    <row r="36" spans="1:11">
      <c r="A36" s="67">
        <v>46089</v>
      </c>
      <c r="B36" s="152">
        <f>'CHICLETS MASTER'!B41</f>
        <v>0.68055555555555602</v>
      </c>
      <c r="C36" s="66" t="str">
        <f>'CHICLETS MASTER'!$D$29</f>
        <v>EL TORO HS 2</v>
      </c>
      <c r="D36" s="20" t="s">
        <v>410</v>
      </c>
      <c r="E36" s="162" t="s">
        <v>411</v>
      </c>
      <c r="F36" s="20">
        <v>20</v>
      </c>
      <c r="G36" s="20" t="str">
        <f>C7</f>
        <v>C4-NEWPORT BEACH GIRLS WHITE</v>
      </c>
      <c r="H36" s="20">
        <v>2</v>
      </c>
      <c r="I36" s="20" t="s">
        <v>397</v>
      </c>
      <c r="J36" s="20" t="s">
        <v>22</v>
      </c>
    </row>
    <row r="37" spans="1:11">
      <c r="E37" s="65"/>
    </row>
    <row r="38" spans="1:11">
      <c r="I38" s="1" t="s">
        <v>412</v>
      </c>
      <c r="J38" s="1" t="s">
        <v>413</v>
      </c>
    </row>
    <row r="39" spans="1:11">
      <c r="I39" s="20" t="s">
        <v>414</v>
      </c>
      <c r="J39" s="20" t="s">
        <v>26</v>
      </c>
    </row>
    <row r="40" spans="1:11">
      <c r="I40" s="20" t="s">
        <v>415</v>
      </c>
      <c r="J40" s="20" t="s">
        <v>32</v>
      </c>
    </row>
    <row r="41" spans="1:11">
      <c r="I41" s="20" t="s">
        <v>416</v>
      </c>
      <c r="J41" s="20" t="s">
        <v>30</v>
      </c>
    </row>
    <row r="43" spans="1:11">
      <c r="H43" s="1" t="s">
        <v>417</v>
      </c>
      <c r="I43" s="1" t="s">
        <v>418</v>
      </c>
      <c r="J43" s="1" t="s">
        <v>419</v>
      </c>
    </row>
    <row r="44" spans="1:11">
      <c r="I44" s="20" t="s">
        <v>414</v>
      </c>
      <c r="J44" s="20" t="s">
        <v>42</v>
      </c>
      <c r="K44" s="64" t="s">
        <v>420</v>
      </c>
    </row>
    <row r="45" spans="1:11">
      <c r="I45" s="20" t="s">
        <v>415</v>
      </c>
      <c r="J45" s="20" t="s">
        <v>38</v>
      </c>
      <c r="K45" s="64" t="s">
        <v>420</v>
      </c>
    </row>
    <row r="46" spans="1:11">
      <c r="I46" s="20" t="s">
        <v>416</v>
      </c>
      <c r="J46" s="20" t="s">
        <v>421</v>
      </c>
      <c r="K46" s="64" t="s">
        <v>420</v>
      </c>
    </row>
    <row r="48" spans="1:11">
      <c r="I48" s="1" t="s">
        <v>422</v>
      </c>
      <c r="J48" s="1" t="s">
        <v>423</v>
      </c>
    </row>
    <row r="49" spans="9:11">
      <c r="I49" s="20" t="s">
        <v>414</v>
      </c>
      <c r="J49" s="20" t="s">
        <v>47</v>
      </c>
      <c r="K49" s="64" t="s">
        <v>420</v>
      </c>
    </row>
    <row r="50" spans="9:11">
      <c r="I50" s="20" t="s">
        <v>415</v>
      </c>
      <c r="J50" s="20" t="s">
        <v>51</v>
      </c>
      <c r="K50" s="64" t="s">
        <v>420</v>
      </c>
    </row>
    <row r="51" spans="9:11">
      <c r="I51" s="20" t="s">
        <v>416</v>
      </c>
      <c r="J51" s="20" t="s">
        <v>49</v>
      </c>
      <c r="K51" s="64" t="s">
        <v>420</v>
      </c>
    </row>
  </sheetData>
  <hyperlinks>
    <hyperlink ref="B2" r:id="rId1" xr:uid="{29A3FEB1-8D2B-4136-ABB2-8651D411125F}"/>
    <hyperlink ref="C2" r:id="rId2" xr:uid="{A06E5514-1F67-4FED-A06D-38E2F6C7A7C2}"/>
    <hyperlink ref="A2" r:id="rId3" xr:uid="{B256DD2D-CEDA-44A0-ACF2-BE74F0D2BB96}"/>
  </hyperlinks>
  <pageMargins left="0.7" right="0.7" top="0.75" bottom="0.75" header="0.3" footer="0.3"/>
  <pageSetup scale="58" orientation="landscape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CBAC-73ED-405F-978B-D0BF4E5C90B6}">
  <sheetPr>
    <tabColor rgb="FFCAEDFB"/>
    <pageSetUpPr fitToPage="1"/>
  </sheetPr>
  <dimension ref="A1:K45"/>
  <sheetViews>
    <sheetView workbookViewId="0"/>
  </sheetViews>
  <sheetFormatPr defaultColWidth="9.140625" defaultRowHeight="18"/>
  <cols>
    <col min="1" max="1" width="34.5703125" style="22" customWidth="1"/>
    <col min="2" max="2" width="39.140625" style="22" customWidth="1"/>
    <col min="3" max="3" width="27.5703125" style="22" bestFit="1" customWidth="1"/>
    <col min="4" max="4" width="19.85546875" style="22" bestFit="1" customWidth="1"/>
    <col min="5" max="5" width="35.7109375" style="22" customWidth="1"/>
    <col min="6" max="6" width="9.28515625" style="22" bestFit="1" customWidth="1"/>
    <col min="7" max="7" width="36.5703125" style="22" customWidth="1"/>
    <col min="8" max="8" width="10.85546875" style="22" customWidth="1"/>
    <col min="9" max="9" width="37.42578125" style="22" customWidth="1"/>
    <col min="10" max="10" width="44.42578125" style="22" customWidth="1"/>
    <col min="11" max="16384" width="9.140625" style="22"/>
  </cols>
  <sheetData>
    <row r="1" spans="1:10">
      <c r="A1" s="52" t="s">
        <v>424</v>
      </c>
      <c r="B1" s="53" t="s">
        <v>425</v>
      </c>
      <c r="C1" s="63" t="s">
        <v>357</v>
      </c>
      <c r="D1" s="52" t="s">
        <v>426</v>
      </c>
      <c r="E1" s="52" t="s">
        <v>427</v>
      </c>
      <c r="F1" s="41"/>
      <c r="G1" s="59"/>
      <c r="H1" s="59"/>
      <c r="I1" s="59"/>
      <c r="J1" s="1"/>
    </row>
    <row r="2" spans="1:10">
      <c r="A2" s="62" t="s">
        <v>360</v>
      </c>
      <c r="B2" s="61" t="s">
        <v>361</v>
      </c>
      <c r="C2" s="60" t="s">
        <v>362</v>
      </c>
      <c r="D2" s="59"/>
      <c r="E2" s="59"/>
      <c r="F2" s="41"/>
      <c r="G2" s="59"/>
      <c r="H2" s="59"/>
      <c r="I2" s="59"/>
      <c r="J2" s="1"/>
    </row>
    <row r="3" spans="1:10">
      <c r="A3" s="52" t="s">
        <v>4</v>
      </c>
      <c r="B3" s="52" t="s">
        <v>5</v>
      </c>
      <c r="C3" s="53"/>
      <c r="D3" s="52"/>
      <c r="E3" s="52"/>
      <c r="F3" s="41"/>
      <c r="G3" s="59"/>
      <c r="H3" s="59"/>
      <c r="I3" s="59"/>
      <c r="J3" s="41"/>
    </row>
    <row r="4" spans="1:10">
      <c r="A4" s="41" t="s">
        <v>8</v>
      </c>
      <c r="B4" s="41" t="s">
        <v>9</v>
      </c>
      <c r="C4" s="57"/>
      <c r="D4" s="41"/>
      <c r="E4" s="41"/>
      <c r="F4" s="41"/>
      <c r="G4" s="59"/>
      <c r="H4" s="59"/>
      <c r="I4" s="59"/>
      <c r="J4" s="41"/>
    </row>
    <row r="5" spans="1:10">
      <c r="A5" s="41" t="s">
        <v>11</v>
      </c>
      <c r="B5" s="41" t="s">
        <v>12</v>
      </c>
      <c r="C5" s="57"/>
      <c r="D5" s="41"/>
      <c r="E5" s="41"/>
      <c r="F5" s="41"/>
      <c r="G5" s="59"/>
      <c r="H5" s="59"/>
      <c r="I5" s="59"/>
      <c r="J5" s="41"/>
    </row>
    <row r="6" spans="1:10">
      <c r="A6" s="41" t="s">
        <v>14</v>
      </c>
      <c r="B6" s="41" t="s">
        <v>15</v>
      </c>
      <c r="C6" s="57"/>
      <c r="D6" s="41"/>
      <c r="E6" s="41"/>
      <c r="F6" s="41"/>
      <c r="G6" s="58"/>
      <c r="H6" s="41"/>
      <c r="I6" s="41"/>
      <c r="J6" s="41"/>
    </row>
    <row r="7" spans="1:10">
      <c r="A7" s="41"/>
      <c r="B7" s="41" t="s">
        <v>17</v>
      </c>
      <c r="C7" s="57"/>
      <c r="D7" s="41"/>
      <c r="I7" s="167"/>
      <c r="J7" s="41"/>
    </row>
    <row r="8" spans="1:10">
      <c r="A8" s="41"/>
      <c r="B8" s="41"/>
      <c r="C8" s="57"/>
      <c r="D8" s="41"/>
      <c r="J8" s="41"/>
    </row>
    <row r="9" spans="1:10">
      <c r="A9" s="52" t="s">
        <v>346</v>
      </c>
      <c r="B9" s="53" t="s">
        <v>347</v>
      </c>
      <c r="C9" s="52" t="s">
        <v>348</v>
      </c>
      <c r="D9" s="52" t="s">
        <v>349</v>
      </c>
      <c r="E9" s="52" t="s">
        <v>350</v>
      </c>
      <c r="F9" s="52" t="s">
        <v>351</v>
      </c>
      <c r="G9" s="52" t="s">
        <v>352</v>
      </c>
      <c r="H9" s="52" t="s">
        <v>351</v>
      </c>
      <c r="I9" s="52" t="s">
        <v>353</v>
      </c>
      <c r="J9" s="52" t="s">
        <v>0</v>
      </c>
    </row>
    <row r="10" spans="1:10">
      <c r="A10" s="153">
        <v>46088</v>
      </c>
      <c r="B10" s="54">
        <f>'CHICLETS MASTER'!B5</f>
        <v>0.33333333333333331</v>
      </c>
      <c r="C10" s="21" t="str">
        <f>'CHICLETS MASTER'!$C$3</f>
        <v>WOOLLETT FAR LEFT</v>
      </c>
      <c r="D10" s="21" t="s">
        <v>428</v>
      </c>
      <c r="E10" s="21" t="str">
        <f>A4</f>
        <v>A1-NORTH IRVINE BLACK</v>
      </c>
      <c r="F10" s="21">
        <v>22</v>
      </c>
      <c r="G10" s="154" t="str">
        <f>A6</f>
        <v>A3-VIKING</v>
      </c>
      <c r="H10" s="21">
        <v>8</v>
      </c>
      <c r="I10" s="21" t="s">
        <v>429</v>
      </c>
      <c r="J10" s="21" t="s">
        <v>2</v>
      </c>
    </row>
    <row r="11" spans="1:10">
      <c r="A11" s="153">
        <v>46088</v>
      </c>
      <c r="B11" s="54">
        <f>'CHICLETS MASTER'!B6</f>
        <v>0.36805555555555558</v>
      </c>
      <c r="C11" s="21" t="str">
        <f>'CHICLETS MASTER'!$C$3</f>
        <v>WOOLLETT FAR LEFT</v>
      </c>
      <c r="D11" s="21" t="s">
        <v>430</v>
      </c>
      <c r="E11" s="21" t="str">
        <f>A5</f>
        <v>A2-SAN DIEGO DONS BLACK</v>
      </c>
      <c r="F11" s="21">
        <v>15</v>
      </c>
      <c r="G11" s="160" t="str">
        <f>A6</f>
        <v>A3-VIKING</v>
      </c>
      <c r="H11" s="21">
        <v>7</v>
      </c>
      <c r="I11" s="21" t="s">
        <v>431</v>
      </c>
      <c r="J11" s="21" t="s">
        <v>2</v>
      </c>
    </row>
    <row r="12" spans="1:10">
      <c r="A12" s="41"/>
      <c r="B12" s="41"/>
      <c r="C12" s="57"/>
      <c r="D12" s="41"/>
      <c r="J12" s="41"/>
    </row>
    <row r="13" spans="1:10">
      <c r="A13" s="153">
        <v>46088</v>
      </c>
      <c r="B13" s="54">
        <f>'CHICLETS MASTER'!B9</f>
        <v>0.47222222222222199</v>
      </c>
      <c r="C13" s="21" t="str">
        <f>'CHICLETS MASTER'!$C$3</f>
        <v>WOOLLETT FAR LEFT</v>
      </c>
      <c r="D13" s="21" t="s">
        <v>432</v>
      </c>
      <c r="E13" s="21" t="str">
        <f>B4</f>
        <v>B1-ORWP A</v>
      </c>
      <c r="F13" s="21">
        <v>10</v>
      </c>
      <c r="G13" s="21" t="str">
        <f>B7</f>
        <v>B4-NEWPORT BEACH WHITE</v>
      </c>
      <c r="H13" s="21">
        <v>7</v>
      </c>
      <c r="I13" s="21" t="s">
        <v>433</v>
      </c>
      <c r="J13" s="21" t="s">
        <v>2</v>
      </c>
    </row>
    <row r="14" spans="1:10">
      <c r="A14" s="153">
        <v>46088</v>
      </c>
      <c r="B14" s="54">
        <f>'CHICLETS MASTER'!B10</f>
        <v>0.50694444444444398</v>
      </c>
      <c r="C14" s="21" t="str">
        <f>'CHICLETS MASTER'!$C$3</f>
        <v>WOOLLETT FAR LEFT</v>
      </c>
      <c r="D14" s="21" t="s">
        <v>434</v>
      </c>
      <c r="E14" s="21" t="str">
        <f>B5</f>
        <v>B2-CDM BLUE</v>
      </c>
      <c r="F14" s="21">
        <v>11</v>
      </c>
      <c r="G14" s="21" t="str">
        <f>B6</f>
        <v>B3-SAN CLEMENTE RED</v>
      </c>
      <c r="H14" s="21">
        <v>14</v>
      </c>
      <c r="I14" s="21" t="s">
        <v>435</v>
      </c>
      <c r="J14" s="21" t="s">
        <v>2</v>
      </c>
    </row>
    <row r="15" spans="1:10">
      <c r="A15" s="41"/>
      <c r="B15" s="41"/>
      <c r="C15" s="57"/>
      <c r="D15" s="41"/>
      <c r="J15" s="41"/>
    </row>
    <row r="16" spans="1:10">
      <c r="A16" s="153">
        <v>46088</v>
      </c>
      <c r="B16" s="54">
        <f>'CHICLETS MASTER'!B13</f>
        <v>0.61111111111111105</v>
      </c>
      <c r="C16" s="21" t="str">
        <f>'CHICLETS MASTER'!$C$3</f>
        <v>WOOLLETT FAR LEFT</v>
      </c>
      <c r="D16" s="21" t="s">
        <v>436</v>
      </c>
      <c r="E16" s="21" t="str">
        <f>A4</f>
        <v>A1-NORTH IRVINE BLACK</v>
      </c>
      <c r="F16" s="21">
        <v>16</v>
      </c>
      <c r="G16" s="21" t="str">
        <f>A5</f>
        <v>A2-SAN DIEGO DONS BLACK</v>
      </c>
      <c r="H16" s="21">
        <v>5</v>
      </c>
      <c r="I16" s="21" t="s">
        <v>437</v>
      </c>
      <c r="J16" s="21" t="s">
        <v>2</v>
      </c>
    </row>
    <row r="17" spans="1:10">
      <c r="A17" s="153">
        <v>46088</v>
      </c>
      <c r="B17" s="54">
        <f>'CHICLETS MASTER'!B13</f>
        <v>0.61111111111111105</v>
      </c>
      <c r="C17" s="21" t="str">
        <f>'CHICLETS MASTER'!$D$3</f>
        <v>EL TORO HS 2</v>
      </c>
      <c r="D17" s="21" t="s">
        <v>438</v>
      </c>
      <c r="E17" s="21" t="str">
        <f>B4</f>
        <v>B1-ORWP A</v>
      </c>
      <c r="F17" s="21">
        <v>9</v>
      </c>
      <c r="G17" s="21" t="str">
        <f>B6</f>
        <v>B3-SAN CLEMENTE RED</v>
      </c>
      <c r="H17" s="21">
        <v>8</v>
      </c>
      <c r="I17" s="21" t="s">
        <v>439</v>
      </c>
      <c r="J17" s="21" t="s">
        <v>2</v>
      </c>
    </row>
    <row r="18" spans="1:10">
      <c r="A18" s="153">
        <v>46088</v>
      </c>
      <c r="B18" s="54">
        <f>'CHICLETS MASTER'!B14</f>
        <v>0.64583333333333304</v>
      </c>
      <c r="C18" s="21" t="str">
        <f>'CHICLETS MASTER'!$D$3</f>
        <v>EL TORO HS 2</v>
      </c>
      <c r="D18" s="21" t="s">
        <v>440</v>
      </c>
      <c r="E18" s="21" t="str">
        <f>B5</f>
        <v>B2-CDM BLUE</v>
      </c>
      <c r="F18" s="21">
        <v>13</v>
      </c>
      <c r="G18" s="21" t="str">
        <f>B7</f>
        <v>B4-NEWPORT BEACH WHITE</v>
      </c>
      <c r="H18" s="21">
        <v>10</v>
      </c>
      <c r="I18" s="21" t="s">
        <v>441</v>
      </c>
      <c r="J18" s="21" t="s">
        <v>2</v>
      </c>
    </row>
    <row r="19" spans="1:10">
      <c r="A19" s="41"/>
      <c r="C19" s="41"/>
      <c r="E19" s="41"/>
      <c r="F19" s="41"/>
      <c r="G19" s="41"/>
      <c r="H19" s="41"/>
      <c r="I19" s="41"/>
      <c r="J19" s="41"/>
    </row>
    <row r="20" spans="1:10">
      <c r="A20" s="55"/>
      <c r="B20" s="56"/>
      <c r="C20" s="55"/>
      <c r="D20" s="55"/>
      <c r="E20" s="55"/>
      <c r="F20" s="55"/>
      <c r="G20" s="55"/>
      <c r="H20" s="55"/>
      <c r="I20" s="55"/>
      <c r="J20" s="55"/>
    </row>
    <row r="21" spans="1:10">
      <c r="A21" s="52"/>
      <c r="B21" s="53"/>
      <c r="C21" s="52"/>
      <c r="D21" s="52"/>
      <c r="E21" s="52"/>
      <c r="F21" s="52"/>
      <c r="G21" s="52"/>
      <c r="H21" s="52"/>
      <c r="I21" s="52"/>
      <c r="J21" s="52"/>
    </row>
    <row r="22" spans="1:10">
      <c r="A22" s="153">
        <v>46089</v>
      </c>
      <c r="B22" s="54">
        <f>'CHICLETS MASTER'!B31</f>
        <v>0.33333333333333331</v>
      </c>
      <c r="C22" s="21" t="str">
        <f>'CHICLETS MASTER'!$C$29</f>
        <v>WOOLLETT FAR LEFT</v>
      </c>
      <c r="D22" s="21" t="s">
        <v>442</v>
      </c>
      <c r="E22" s="21" t="str">
        <f>B6</f>
        <v>B3-SAN CLEMENTE RED</v>
      </c>
      <c r="F22" s="21">
        <v>17</v>
      </c>
      <c r="G22" s="21" t="str">
        <f>B7</f>
        <v>B4-NEWPORT BEACH WHITE</v>
      </c>
      <c r="H22" s="21">
        <v>4</v>
      </c>
      <c r="I22" s="21" t="s">
        <v>443</v>
      </c>
      <c r="J22" s="21" t="s">
        <v>2</v>
      </c>
    </row>
    <row r="23" spans="1:10">
      <c r="A23" s="153">
        <v>46089</v>
      </c>
      <c r="B23" s="54">
        <f>'CHICLETS MASTER'!B32</f>
        <v>0.36805555555555558</v>
      </c>
      <c r="C23" s="21" t="str">
        <f>'CHICLETS MASTER'!$C$29</f>
        <v>WOOLLETT FAR LEFT</v>
      </c>
      <c r="D23" s="21" t="s">
        <v>444</v>
      </c>
      <c r="E23" s="21" t="str">
        <f>B4</f>
        <v>B1-ORWP A</v>
      </c>
      <c r="F23" s="21">
        <v>8</v>
      </c>
      <c r="G23" s="21" t="str">
        <f>B5</f>
        <v>B2-CDM BLUE</v>
      </c>
      <c r="H23" s="21">
        <v>7</v>
      </c>
      <c r="I23" s="21" t="s">
        <v>445</v>
      </c>
      <c r="J23" s="21" t="s">
        <v>2</v>
      </c>
    </row>
    <row r="24" spans="1:10">
      <c r="A24" s="52"/>
      <c r="B24" s="53"/>
      <c r="C24" s="52"/>
      <c r="E24" s="52"/>
      <c r="F24" s="52"/>
      <c r="G24" s="52"/>
      <c r="H24" s="52"/>
      <c r="I24" s="52"/>
      <c r="J24" s="52"/>
    </row>
    <row r="25" spans="1:10">
      <c r="A25" s="153">
        <v>46089</v>
      </c>
      <c r="B25" s="54">
        <f>'CHICLETS MASTER'!B34</f>
        <v>0.4375</v>
      </c>
      <c r="C25" s="21" t="str">
        <f>'CHICLETS MASTER'!$C$29</f>
        <v>WOOLLETT FAR LEFT</v>
      </c>
      <c r="D25" s="21" t="s">
        <v>446</v>
      </c>
      <c r="E25" s="21" t="s">
        <v>447</v>
      </c>
      <c r="F25" s="21">
        <v>4</v>
      </c>
      <c r="G25" s="21" t="s">
        <v>448</v>
      </c>
      <c r="H25" s="21">
        <v>9</v>
      </c>
      <c r="I25" s="21" t="s">
        <v>397</v>
      </c>
      <c r="J25" s="21" t="s">
        <v>2</v>
      </c>
    </row>
    <row r="26" spans="1:10">
      <c r="A26" s="153">
        <v>46089</v>
      </c>
      <c r="B26" s="54">
        <f>'CHICLETS MASTER'!B35</f>
        <v>0.47222222222222199</v>
      </c>
      <c r="C26" s="21" t="str">
        <f>'CHICLETS MASTER'!$C$29</f>
        <v>WOOLLETT FAR LEFT</v>
      </c>
      <c r="D26" s="21" t="s">
        <v>449</v>
      </c>
      <c r="E26" s="21" t="s">
        <v>450</v>
      </c>
      <c r="F26" s="21">
        <v>12</v>
      </c>
      <c r="G26" s="21" t="s">
        <v>451</v>
      </c>
      <c r="H26" s="21">
        <v>9</v>
      </c>
      <c r="I26" s="21" t="s">
        <v>397</v>
      </c>
      <c r="J26" s="21" t="s">
        <v>2</v>
      </c>
    </row>
    <row r="27" spans="1:10">
      <c r="A27" s="153">
        <v>46089</v>
      </c>
      <c r="B27" s="54">
        <f>'CHICLETS MASTER'!B36</f>
        <v>0.50694444444444398</v>
      </c>
      <c r="C27" s="21" t="str">
        <f>'CHICLETS MASTER'!$C$29</f>
        <v>WOOLLETT FAR LEFT</v>
      </c>
      <c r="D27" s="21" t="s">
        <v>452</v>
      </c>
      <c r="E27" s="21" t="s">
        <v>453</v>
      </c>
      <c r="F27" s="21">
        <v>10</v>
      </c>
      <c r="G27" s="21" t="s">
        <v>454</v>
      </c>
      <c r="H27" s="21">
        <v>6</v>
      </c>
      <c r="I27" s="21" t="s">
        <v>397</v>
      </c>
      <c r="J27" s="21" t="s">
        <v>2</v>
      </c>
    </row>
    <row r="28" spans="1:10">
      <c r="A28" s="153">
        <v>46089</v>
      </c>
      <c r="B28" s="54">
        <f>'CHICLETS MASTER'!B37</f>
        <v>0.54166666666666696</v>
      </c>
      <c r="C28" s="21" t="str">
        <f>'CHICLETS MASTER'!$C$29</f>
        <v>WOOLLETT FAR LEFT</v>
      </c>
      <c r="D28" s="21" t="s">
        <v>455</v>
      </c>
      <c r="E28" s="21" t="s">
        <v>447</v>
      </c>
      <c r="F28" s="21">
        <v>2</v>
      </c>
      <c r="G28" s="21" t="s">
        <v>456</v>
      </c>
      <c r="H28" s="21">
        <v>7</v>
      </c>
      <c r="I28" s="21" t="s">
        <v>397</v>
      </c>
      <c r="J28" s="21" t="s">
        <v>2</v>
      </c>
    </row>
    <row r="29" spans="1:10">
      <c r="A29" s="153">
        <v>46089</v>
      </c>
      <c r="B29" s="54">
        <f>'CHICLETS MASTER'!B38</f>
        <v>0.57638888888888895</v>
      </c>
      <c r="C29" s="21" t="str">
        <f>'CHICLETS MASTER'!$C$29</f>
        <v>WOOLLETT FAR LEFT</v>
      </c>
      <c r="D29" s="21" t="s">
        <v>457</v>
      </c>
      <c r="E29" s="21" t="s">
        <v>450</v>
      </c>
      <c r="F29" s="21">
        <v>14</v>
      </c>
      <c r="G29" s="21" t="s">
        <v>453</v>
      </c>
      <c r="H29" s="21">
        <v>1</v>
      </c>
      <c r="I29" s="21" t="s">
        <v>397</v>
      </c>
      <c r="J29" s="21" t="s">
        <v>2</v>
      </c>
    </row>
    <row r="30" spans="1:10">
      <c r="A30" s="153">
        <v>46089</v>
      </c>
      <c r="B30" s="54">
        <f>'CHICLETS MASTER'!B39</f>
        <v>0.61111111111111105</v>
      </c>
      <c r="C30" s="21" t="str">
        <f>'CHICLETS MASTER'!$C$29</f>
        <v>WOOLLETT FAR LEFT</v>
      </c>
      <c r="D30" s="21" t="s">
        <v>458</v>
      </c>
      <c r="E30" s="21" t="s">
        <v>454</v>
      </c>
      <c r="F30" s="21">
        <v>9</v>
      </c>
      <c r="G30" s="21" t="s">
        <v>451</v>
      </c>
      <c r="H30" s="21">
        <v>14</v>
      </c>
      <c r="I30" s="21" t="s">
        <v>397</v>
      </c>
      <c r="J30" s="21" t="s">
        <v>2</v>
      </c>
    </row>
    <row r="32" spans="1:10">
      <c r="D32" s="41"/>
      <c r="E32" s="41"/>
      <c r="I32" s="41" t="s">
        <v>6</v>
      </c>
      <c r="J32" s="41" t="s">
        <v>459</v>
      </c>
    </row>
    <row r="33" spans="2:11">
      <c r="E33" s="41"/>
      <c r="G33" s="22" t="s">
        <v>460</v>
      </c>
      <c r="I33" s="21" t="s">
        <v>414</v>
      </c>
      <c r="J33" s="21" t="s">
        <v>13</v>
      </c>
      <c r="K33" s="22" t="s">
        <v>420</v>
      </c>
    </row>
    <row r="34" spans="2:11">
      <c r="E34" s="41"/>
      <c r="G34" s="22" t="s">
        <v>460</v>
      </c>
      <c r="I34" s="21" t="s">
        <v>415</v>
      </c>
      <c r="J34" s="21" t="s">
        <v>16</v>
      </c>
      <c r="K34" s="22" t="s">
        <v>420</v>
      </c>
    </row>
    <row r="35" spans="2:11">
      <c r="E35" s="41"/>
      <c r="G35" s="22" t="s">
        <v>460</v>
      </c>
      <c r="H35" s="50"/>
      <c r="I35" s="21" t="s">
        <v>416</v>
      </c>
      <c r="J35" s="21" t="s">
        <v>7</v>
      </c>
      <c r="K35" s="22" t="s">
        <v>420</v>
      </c>
    </row>
    <row r="36" spans="2:11">
      <c r="B36" s="44" t="s">
        <v>316</v>
      </c>
      <c r="E36" s="41"/>
      <c r="G36" s="51" t="s">
        <v>461</v>
      </c>
      <c r="H36" s="50"/>
      <c r="I36" s="188"/>
      <c r="J36" s="188"/>
    </row>
    <row r="37" spans="2:11">
      <c r="B37" s="44">
        <f>SUM(C37:F37)</f>
        <v>12</v>
      </c>
      <c r="D37" s="189">
        <v>4</v>
      </c>
      <c r="E37" s="46">
        <v>4</v>
      </c>
      <c r="F37" s="42">
        <v>4</v>
      </c>
      <c r="G37" s="41" t="str">
        <f>B4</f>
        <v>B1-ORWP A</v>
      </c>
      <c r="H37" s="42" t="s">
        <v>462</v>
      </c>
      <c r="I37" s="45" t="s">
        <v>463</v>
      </c>
      <c r="J37" s="189" t="s">
        <v>464</v>
      </c>
    </row>
    <row r="38" spans="2:11">
      <c r="B38" s="44">
        <f>SUM(C38:F38)</f>
        <v>6</v>
      </c>
      <c r="D38" s="189">
        <v>1</v>
      </c>
      <c r="E38" s="7">
        <v>4</v>
      </c>
      <c r="F38" s="45">
        <v>1</v>
      </c>
      <c r="G38" s="41" t="str">
        <f>B5</f>
        <v>B2-CDM BLUE</v>
      </c>
      <c r="H38" s="45" t="s">
        <v>465</v>
      </c>
      <c r="I38" s="186" t="s">
        <v>466</v>
      </c>
      <c r="J38" s="189" t="s">
        <v>467</v>
      </c>
    </row>
    <row r="39" spans="2:11">
      <c r="B39" s="44">
        <f>SUM(C39:F39)</f>
        <v>9</v>
      </c>
      <c r="D39" s="47">
        <v>4</v>
      </c>
      <c r="E39" s="46">
        <v>1</v>
      </c>
      <c r="F39" s="45">
        <v>4</v>
      </c>
      <c r="G39" s="41" t="str">
        <f>B6</f>
        <v>B3-SAN CLEMENTE RED</v>
      </c>
      <c r="H39" s="45" t="s">
        <v>468</v>
      </c>
      <c r="I39" s="45" t="s">
        <v>469</v>
      </c>
      <c r="J39" s="45" t="s">
        <v>470</v>
      </c>
    </row>
    <row r="40" spans="2:11">
      <c r="B40" s="44">
        <f>SUM(C40:F40)</f>
        <v>3</v>
      </c>
      <c r="D40" s="47">
        <v>1</v>
      </c>
      <c r="E40" s="7">
        <v>1</v>
      </c>
      <c r="F40" s="42">
        <v>1</v>
      </c>
      <c r="G40" s="41" t="str">
        <f>B7</f>
        <v>B4-NEWPORT BEACH WHITE</v>
      </c>
      <c r="H40" s="42" t="s">
        <v>471</v>
      </c>
      <c r="I40" s="186" t="s">
        <v>472</v>
      </c>
      <c r="J40" s="45" t="s">
        <v>473</v>
      </c>
    </row>
    <row r="41" spans="2:11">
      <c r="E41" s="41"/>
      <c r="I41" s="41" t="s">
        <v>474</v>
      </c>
      <c r="J41" s="41" t="s">
        <v>459</v>
      </c>
    </row>
    <row r="42" spans="2:11">
      <c r="E42" s="41"/>
      <c r="I42" s="21" t="s">
        <v>414</v>
      </c>
      <c r="J42" s="21" t="s">
        <v>19</v>
      </c>
      <c r="K42" s="22" t="s">
        <v>420</v>
      </c>
    </row>
    <row r="43" spans="2:11">
      <c r="E43" s="41"/>
      <c r="I43" s="21" t="s">
        <v>415</v>
      </c>
      <c r="J43" s="21" t="s">
        <v>20</v>
      </c>
      <c r="K43" s="22" t="s">
        <v>420</v>
      </c>
    </row>
    <row r="44" spans="2:11">
      <c r="I44" s="21" t="s">
        <v>416</v>
      </c>
      <c r="J44" s="21" t="s">
        <v>21</v>
      </c>
      <c r="K44" s="22" t="s">
        <v>420</v>
      </c>
    </row>
    <row r="45" spans="2:11">
      <c r="I45" s="168"/>
      <c r="J45" s="168"/>
    </row>
  </sheetData>
  <hyperlinks>
    <hyperlink ref="B2" r:id="rId1" xr:uid="{57567CE0-477E-4ADF-B87D-42FB44C763F8}"/>
    <hyperlink ref="C2" r:id="rId2" xr:uid="{2B8617CE-7A29-49A6-89B5-085D52DE252E}"/>
    <hyperlink ref="A2" r:id="rId3" xr:uid="{C0D75A7B-8A96-48E6-BEEE-A5E5D4875FB4}"/>
  </hyperlinks>
  <pageMargins left="0.7" right="0.7" top="0.75" bottom="0.75" header="0.3" footer="0.3"/>
  <pageSetup scale="70" orientation="landscape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5DE5-F846-470B-BEAF-064497B30C56}">
  <sheetPr>
    <tabColor rgb="FFBE5014"/>
    <pageSetUpPr fitToPage="1"/>
  </sheetPr>
  <dimension ref="A1:K40"/>
  <sheetViews>
    <sheetView workbookViewId="0"/>
  </sheetViews>
  <sheetFormatPr defaultColWidth="9.140625" defaultRowHeight="18.75"/>
  <cols>
    <col min="1" max="1" width="35.140625" style="64" customWidth="1"/>
    <col min="2" max="2" width="38.7109375" style="64" customWidth="1"/>
    <col min="3" max="3" width="34.42578125" style="64" customWidth="1"/>
    <col min="4" max="4" width="20.28515625" style="64" customWidth="1"/>
    <col min="5" max="5" width="38.42578125" style="64" customWidth="1"/>
    <col min="6" max="6" width="8.42578125" style="64" customWidth="1"/>
    <col min="7" max="7" width="39.28515625" style="64" customWidth="1"/>
    <col min="8" max="8" width="25.85546875" style="64" bestFit="1" customWidth="1"/>
    <col min="9" max="9" width="33" style="64" customWidth="1"/>
    <col min="10" max="10" width="31.85546875" style="64" customWidth="1"/>
    <col min="11" max="11" width="22.7109375" style="64" bestFit="1" customWidth="1"/>
    <col min="12" max="16384" width="9.140625" style="64"/>
  </cols>
  <sheetData>
    <row r="1" spans="1:11">
      <c r="A1" s="69" t="s">
        <v>475</v>
      </c>
      <c r="B1" s="69" t="s">
        <v>476</v>
      </c>
      <c r="C1" s="63" t="s">
        <v>357</v>
      </c>
      <c r="D1" s="69" t="s">
        <v>477</v>
      </c>
      <c r="E1" s="69" t="s">
        <v>478</v>
      </c>
      <c r="F1" s="46"/>
      <c r="G1" s="46"/>
      <c r="H1" s="46"/>
      <c r="I1" s="46"/>
      <c r="J1" s="46"/>
      <c r="K1" s="41"/>
    </row>
    <row r="2" spans="1:11">
      <c r="A2" s="62" t="s">
        <v>360</v>
      </c>
      <c r="B2" s="61" t="s">
        <v>361</v>
      </c>
      <c r="C2" s="60" t="s">
        <v>362</v>
      </c>
      <c r="D2" s="69"/>
      <c r="E2" s="46"/>
      <c r="F2" s="46"/>
      <c r="G2" s="46"/>
      <c r="H2" s="46"/>
      <c r="I2" s="46"/>
      <c r="J2" s="46"/>
      <c r="K2" s="41"/>
    </row>
    <row r="3" spans="1:11">
      <c r="A3" s="3" t="s">
        <v>24</v>
      </c>
      <c r="B3" s="3" t="s">
        <v>34</v>
      </c>
      <c r="C3" s="70"/>
      <c r="D3" s="69"/>
      <c r="E3" s="46"/>
      <c r="F3" s="46"/>
      <c r="G3" s="46"/>
      <c r="H3" s="46"/>
      <c r="I3" s="46"/>
      <c r="J3" s="46"/>
      <c r="K3" s="41"/>
    </row>
    <row r="4" spans="1:11">
      <c r="A4" s="1" t="s">
        <v>479</v>
      </c>
      <c r="B4" s="1" t="s">
        <v>37</v>
      </c>
      <c r="C4" s="72"/>
      <c r="D4" s="46"/>
      <c r="E4" s="46"/>
      <c r="F4" s="46"/>
      <c r="G4" s="46"/>
      <c r="H4" s="46"/>
      <c r="I4" s="46"/>
      <c r="J4" s="46"/>
      <c r="K4" s="41"/>
    </row>
    <row r="5" spans="1:11">
      <c r="A5" s="1" t="s">
        <v>29</v>
      </c>
      <c r="B5" s="1" t="s">
        <v>39</v>
      </c>
      <c r="C5" s="71"/>
      <c r="D5" s="46"/>
      <c r="E5" s="46"/>
      <c r="F5" s="46"/>
      <c r="G5" s="46"/>
      <c r="H5" s="46"/>
      <c r="I5" s="46"/>
      <c r="J5" s="46"/>
      <c r="K5" s="41"/>
    </row>
    <row r="6" spans="1:11">
      <c r="A6" s="1" t="s">
        <v>31</v>
      </c>
      <c r="B6" s="1" t="s">
        <v>41</v>
      </c>
      <c r="C6" s="71"/>
      <c r="D6" s="46"/>
      <c r="E6" s="46"/>
      <c r="F6" s="46"/>
      <c r="G6" s="46"/>
      <c r="H6" s="46"/>
      <c r="I6" s="46"/>
      <c r="J6" s="46"/>
      <c r="K6" s="41"/>
    </row>
    <row r="7" spans="1:11">
      <c r="A7" s="1" t="s">
        <v>33</v>
      </c>
      <c r="B7" s="1" t="s">
        <v>43</v>
      </c>
      <c r="C7" s="71"/>
      <c r="D7" s="46"/>
      <c r="E7" s="46"/>
      <c r="F7" s="46"/>
      <c r="G7" s="46"/>
      <c r="H7" s="46"/>
      <c r="I7" s="46"/>
      <c r="J7" s="46"/>
      <c r="K7" s="41"/>
    </row>
    <row r="8" spans="1:11">
      <c r="A8" s="46"/>
      <c r="B8" s="46"/>
      <c r="C8" s="71"/>
      <c r="D8" s="46"/>
      <c r="E8" s="46"/>
      <c r="F8" s="46"/>
      <c r="G8" s="46"/>
      <c r="H8" s="46"/>
      <c r="I8" s="46"/>
      <c r="J8" s="46"/>
      <c r="K8" s="41"/>
    </row>
    <row r="9" spans="1:11">
      <c r="A9" s="69" t="s">
        <v>346</v>
      </c>
      <c r="B9" s="70" t="s">
        <v>347</v>
      </c>
      <c r="C9" s="69" t="s">
        <v>348</v>
      </c>
      <c r="D9" s="69" t="s">
        <v>349</v>
      </c>
      <c r="E9" s="69" t="s">
        <v>350</v>
      </c>
      <c r="F9" s="69" t="s">
        <v>351</v>
      </c>
      <c r="G9" s="69" t="s">
        <v>352</v>
      </c>
      <c r="H9" s="69" t="s">
        <v>351</v>
      </c>
      <c r="I9" s="69" t="s">
        <v>353</v>
      </c>
      <c r="J9" s="69" t="s">
        <v>0</v>
      </c>
      <c r="K9" s="41"/>
    </row>
    <row r="10" spans="1:11">
      <c r="A10" s="67">
        <v>46088</v>
      </c>
      <c r="B10" s="66">
        <f>'CHICLETS MASTER'!B5</f>
        <v>0.33333333333333331</v>
      </c>
      <c r="C10" s="20" t="str">
        <f>'CHICLETS MASTER'!$D$3</f>
        <v>EL TORO HS 2</v>
      </c>
      <c r="D10" s="20" t="s">
        <v>480</v>
      </c>
      <c r="E10" s="20" t="str">
        <f>B4</f>
        <v>B1-SAN CLEMENTE GIRLS RED ag</v>
      </c>
      <c r="F10" s="20"/>
      <c r="G10" s="20" t="str">
        <f>B7</f>
        <v>B4-TROJAN NORTH ag</v>
      </c>
      <c r="H10" s="20"/>
      <c r="I10" s="20" t="s">
        <v>481</v>
      </c>
      <c r="J10" s="20" t="s">
        <v>482</v>
      </c>
    </row>
    <row r="11" spans="1:11">
      <c r="A11" s="67">
        <v>46088</v>
      </c>
      <c r="B11" s="66">
        <f>'CHICLETS MASTER'!B6</f>
        <v>0.36805555555555558</v>
      </c>
      <c r="C11" s="20" t="str">
        <f>'CHICLETS MASTER'!$D$3</f>
        <v>EL TORO HS 2</v>
      </c>
      <c r="D11" s="20" t="s">
        <v>483</v>
      </c>
      <c r="E11" s="20" t="str">
        <f>B5</f>
        <v>B2-CDM BOYS WHITE ag</v>
      </c>
      <c r="F11" s="20"/>
      <c r="G11" s="20" t="str">
        <f>B6</f>
        <v>B3-LAGUNA BEACH ag</v>
      </c>
      <c r="H11" s="20"/>
      <c r="I11" s="20" t="s">
        <v>484</v>
      </c>
      <c r="J11" s="20" t="s">
        <v>482</v>
      </c>
    </row>
    <row r="12" spans="1:11">
      <c r="A12" s="67">
        <v>46088</v>
      </c>
      <c r="B12" s="66">
        <f>'CHICLETS MASTER'!B7</f>
        <v>0.40277777777777779</v>
      </c>
      <c r="C12" s="20" t="str">
        <f>'CHICLETS MASTER'!$D$3</f>
        <v>EL TORO HS 2</v>
      </c>
      <c r="D12" s="20" t="s">
        <v>485</v>
      </c>
      <c r="E12" s="20" t="str">
        <f>A4</f>
        <v>A1-TROJAN au</v>
      </c>
      <c r="F12" s="20"/>
      <c r="G12" s="20" t="str">
        <f>A7</f>
        <v>A4-ORANGE COUNTY WPC B au</v>
      </c>
      <c r="H12" s="20"/>
      <c r="I12" s="20" t="s">
        <v>486</v>
      </c>
      <c r="J12" s="20" t="s">
        <v>482</v>
      </c>
    </row>
    <row r="13" spans="1:11">
      <c r="A13" s="67">
        <v>46088</v>
      </c>
      <c r="B13" s="66">
        <f>'CHICLETS MASTER'!B8</f>
        <v>0.4375</v>
      </c>
      <c r="C13" s="20" t="str">
        <f>'CHICLETS MASTER'!$D$3</f>
        <v>EL TORO HS 2</v>
      </c>
      <c r="D13" s="20" t="s">
        <v>487</v>
      </c>
      <c r="E13" s="20" t="str">
        <f>A5</f>
        <v>A2-VANGUARD BLUE au</v>
      </c>
      <c r="F13" s="20"/>
      <c r="G13" s="20" t="str">
        <f>A6</f>
        <v>A3-SAN CLEMENTE BLACK au</v>
      </c>
      <c r="H13" s="20"/>
      <c r="I13" s="20" t="s">
        <v>488</v>
      </c>
      <c r="J13" s="20" t="s">
        <v>482</v>
      </c>
    </row>
    <row r="14" spans="1:11">
      <c r="A14" s="67">
        <v>46088</v>
      </c>
      <c r="B14" s="66">
        <f>'CHICLETS MASTER'!B9</f>
        <v>0.47222222222222199</v>
      </c>
      <c r="C14" s="20" t="str">
        <f>'CHICLETS MASTER'!$D$3</f>
        <v>EL TORO HS 2</v>
      </c>
      <c r="D14" s="20" t="s">
        <v>489</v>
      </c>
      <c r="E14" s="20" t="str">
        <f>B5</f>
        <v>B2-CDM BOYS WHITE ag</v>
      </c>
      <c r="F14" s="20"/>
      <c r="G14" s="20" t="str">
        <f>B7</f>
        <v>B4-TROJAN NORTH ag</v>
      </c>
      <c r="H14" s="20"/>
      <c r="I14" s="20" t="s">
        <v>490</v>
      </c>
      <c r="J14" s="20" t="s">
        <v>482</v>
      </c>
    </row>
    <row r="15" spans="1:11">
      <c r="A15" s="67">
        <v>46088</v>
      </c>
      <c r="B15" s="66">
        <f>'CHICLETS MASTER'!B10</f>
        <v>0.50694444444444398</v>
      </c>
      <c r="C15" s="20" t="str">
        <f>'CHICLETS MASTER'!$D$3</f>
        <v>EL TORO HS 2</v>
      </c>
      <c r="D15" s="20" t="s">
        <v>491</v>
      </c>
      <c r="E15" s="20" t="str">
        <f>B4</f>
        <v>B1-SAN CLEMENTE GIRLS RED ag</v>
      </c>
      <c r="F15" s="20"/>
      <c r="G15" s="20" t="str">
        <f>B6</f>
        <v>B3-LAGUNA BEACH ag</v>
      </c>
      <c r="H15" s="20"/>
      <c r="I15" s="20" t="s">
        <v>492</v>
      </c>
      <c r="J15" s="20" t="s">
        <v>482</v>
      </c>
    </row>
    <row r="16" spans="1:11">
      <c r="A16" s="67">
        <v>46088</v>
      </c>
      <c r="B16" s="66">
        <f>'CHICLETS MASTER'!B11</f>
        <v>0.54166666666666696</v>
      </c>
      <c r="C16" s="20" t="str">
        <f>'CHICLETS MASTER'!$D$3</f>
        <v>EL TORO HS 2</v>
      </c>
      <c r="D16" s="20" t="s">
        <v>493</v>
      </c>
      <c r="E16" s="20" t="str">
        <f>A4</f>
        <v>A1-TROJAN au</v>
      </c>
      <c r="F16" s="20"/>
      <c r="G16" s="20" t="str">
        <f>A6</f>
        <v>A3-SAN CLEMENTE BLACK au</v>
      </c>
      <c r="H16" s="20"/>
      <c r="I16" s="20" t="s">
        <v>494</v>
      </c>
      <c r="J16" s="20" t="s">
        <v>482</v>
      </c>
    </row>
    <row r="17" spans="1:10">
      <c r="A17" s="67">
        <v>46088</v>
      </c>
      <c r="B17" s="66">
        <f>'CHICLETS MASTER'!B12</f>
        <v>0.57638888888888895</v>
      </c>
      <c r="C17" s="20" t="str">
        <f>'CHICLETS MASTER'!$D$3</f>
        <v>EL TORO HS 2</v>
      </c>
      <c r="D17" s="20" t="s">
        <v>495</v>
      </c>
      <c r="E17" s="20" t="str">
        <f>A5</f>
        <v>A2-VANGUARD BLUE au</v>
      </c>
      <c r="F17" s="20"/>
      <c r="G17" s="20" t="str">
        <f>A7</f>
        <v>A4-ORANGE COUNTY WPC B au</v>
      </c>
      <c r="H17" s="20"/>
      <c r="I17" s="20" t="s">
        <v>496</v>
      </c>
      <c r="J17" s="20" t="s">
        <v>482</v>
      </c>
    </row>
    <row r="18" spans="1:10">
      <c r="A18" s="68"/>
      <c r="B18" s="68"/>
      <c r="C18" s="68"/>
      <c r="D18" s="68"/>
      <c r="E18" s="68"/>
      <c r="F18" s="68"/>
      <c r="G18" s="68"/>
      <c r="H18" s="68"/>
      <c r="I18" s="68"/>
      <c r="J18" s="68"/>
    </row>
    <row r="19" spans="1:10">
      <c r="A19" s="55"/>
      <c r="B19" s="56"/>
      <c r="C19" s="55"/>
      <c r="D19" s="55"/>
      <c r="E19" s="55"/>
      <c r="F19" s="55"/>
      <c r="G19" s="55"/>
      <c r="H19" s="55"/>
      <c r="I19" s="55"/>
      <c r="J19" s="55"/>
    </row>
    <row r="20" spans="1:10">
      <c r="A20" s="52"/>
      <c r="B20" s="53"/>
      <c r="C20" s="52"/>
      <c r="D20" s="52"/>
      <c r="E20" s="52"/>
      <c r="F20" s="52"/>
      <c r="G20" s="52"/>
      <c r="H20" s="52"/>
      <c r="I20" s="52"/>
      <c r="J20" s="52"/>
    </row>
    <row r="21" spans="1:10">
      <c r="A21" s="67">
        <v>46089</v>
      </c>
      <c r="B21" s="152">
        <f>'CHICLETS MASTER'!B31</f>
        <v>0.33333333333333331</v>
      </c>
      <c r="C21" s="66" t="str">
        <f>'CHICLETS MASTER'!$D$29</f>
        <v>EL TORO HS 2</v>
      </c>
      <c r="D21" s="20" t="s">
        <v>497</v>
      </c>
      <c r="E21" s="20" t="str">
        <f>B6</f>
        <v>B3-LAGUNA BEACH ag</v>
      </c>
      <c r="F21" s="20"/>
      <c r="G21" s="20" t="str">
        <f>B7</f>
        <v>B4-TROJAN NORTH ag</v>
      </c>
      <c r="H21" s="20"/>
      <c r="I21" s="20" t="s">
        <v>498</v>
      </c>
      <c r="J21" s="20" t="s">
        <v>482</v>
      </c>
    </row>
    <row r="22" spans="1:10">
      <c r="A22" s="67">
        <v>46089</v>
      </c>
      <c r="B22" s="152">
        <f>'CHICLETS MASTER'!B32</f>
        <v>0.36805555555555558</v>
      </c>
      <c r="C22" s="66" t="str">
        <f>'CHICLETS MASTER'!$D$29</f>
        <v>EL TORO HS 2</v>
      </c>
      <c r="D22" s="20" t="s">
        <v>499</v>
      </c>
      <c r="E22" s="20" t="str">
        <f>A6</f>
        <v>A3-SAN CLEMENTE BLACK au</v>
      </c>
      <c r="F22" s="20"/>
      <c r="G22" s="20" t="str">
        <f>A7</f>
        <v>A4-ORANGE COUNTY WPC B au</v>
      </c>
      <c r="H22" s="20"/>
      <c r="I22" s="20" t="s">
        <v>500</v>
      </c>
      <c r="J22" s="20" t="s">
        <v>482</v>
      </c>
    </row>
    <row r="23" spans="1:10">
      <c r="A23" s="67">
        <v>46089</v>
      </c>
      <c r="B23" s="152">
        <f>'CHICLETS MASTER'!B33</f>
        <v>0.40277777777777801</v>
      </c>
      <c r="C23" s="66" t="str">
        <f>'CHICLETS MASTER'!$D$29</f>
        <v>EL TORO HS 2</v>
      </c>
      <c r="D23" s="20" t="s">
        <v>501</v>
      </c>
      <c r="E23" s="20" t="str">
        <f>B4</f>
        <v>B1-SAN CLEMENTE GIRLS RED ag</v>
      </c>
      <c r="F23" s="20"/>
      <c r="G23" s="20" t="str">
        <f>B5</f>
        <v>B2-CDM BOYS WHITE ag</v>
      </c>
      <c r="H23" s="20"/>
      <c r="I23" s="20" t="s">
        <v>502</v>
      </c>
      <c r="J23" s="20" t="s">
        <v>482</v>
      </c>
    </row>
    <row r="24" spans="1:10">
      <c r="A24" s="67">
        <v>46089</v>
      </c>
      <c r="B24" s="152">
        <f>'CHICLETS MASTER'!B34</f>
        <v>0.4375</v>
      </c>
      <c r="C24" s="66" t="str">
        <f>'CHICLETS MASTER'!$D$29</f>
        <v>EL TORO HS 2</v>
      </c>
      <c r="D24" s="20" t="s">
        <v>503</v>
      </c>
      <c r="E24" s="20" t="str">
        <f>A4</f>
        <v>A1-TROJAN au</v>
      </c>
      <c r="F24" s="20"/>
      <c r="G24" s="20" t="str">
        <f>A5</f>
        <v>A2-VANGUARD BLUE au</v>
      </c>
      <c r="H24" s="20"/>
      <c r="I24" s="20" t="s">
        <v>504</v>
      </c>
      <c r="J24" s="20" t="s">
        <v>482</v>
      </c>
    </row>
    <row r="25" spans="1:10">
      <c r="A25" s="52"/>
      <c r="B25" s="53"/>
      <c r="C25" s="52"/>
      <c r="D25" s="52"/>
      <c r="E25" s="52"/>
      <c r="F25" s="52"/>
      <c r="G25" s="52"/>
      <c r="H25" s="52"/>
      <c r="I25" s="52"/>
      <c r="J25" s="52"/>
    </row>
    <row r="26" spans="1:10">
      <c r="A26" s="67">
        <v>46089</v>
      </c>
      <c r="B26" s="152">
        <f>'CHICLETS MASTER'!B36</f>
        <v>0.50694444444444398</v>
      </c>
      <c r="C26" s="66" t="str">
        <f>'CHICLETS MASTER'!$D$29</f>
        <v>EL TORO HS 2</v>
      </c>
      <c r="D26" s="20" t="s">
        <v>505</v>
      </c>
      <c r="E26" s="20" t="s">
        <v>99</v>
      </c>
      <c r="F26" s="20"/>
      <c r="G26" s="20" t="s">
        <v>506</v>
      </c>
      <c r="H26" s="20"/>
      <c r="I26" s="20" t="s">
        <v>397</v>
      </c>
      <c r="J26" s="20" t="s">
        <v>482</v>
      </c>
    </row>
    <row r="27" spans="1:10">
      <c r="A27" s="67">
        <v>46089</v>
      </c>
      <c r="B27" s="152">
        <f>'CHICLETS MASTER'!B37</f>
        <v>0.54166666666666696</v>
      </c>
      <c r="C27" s="66" t="str">
        <f>'CHICLETS MASTER'!$D$29</f>
        <v>EL TORO HS 2</v>
      </c>
      <c r="D27" s="20" t="s">
        <v>507</v>
      </c>
      <c r="E27" s="20" t="s">
        <v>94</v>
      </c>
      <c r="F27" s="20"/>
      <c r="G27" s="20" t="s">
        <v>508</v>
      </c>
      <c r="H27" s="20"/>
      <c r="I27" s="20" t="s">
        <v>397</v>
      </c>
      <c r="J27" s="20" t="s">
        <v>482</v>
      </c>
    </row>
    <row r="28" spans="1:10">
      <c r="A28" s="52"/>
      <c r="B28" s="53"/>
      <c r="C28" s="52"/>
      <c r="D28" s="52"/>
      <c r="E28" s="52"/>
      <c r="F28" s="52"/>
      <c r="G28" s="52"/>
      <c r="H28" s="52"/>
      <c r="I28" s="52"/>
      <c r="J28" s="52"/>
    </row>
    <row r="29" spans="1:10">
      <c r="A29" s="67">
        <v>46089</v>
      </c>
      <c r="B29" s="152">
        <f>'CHICLETS MASTER'!B39</f>
        <v>0.61111111111111105</v>
      </c>
      <c r="C29" s="66" t="str">
        <f>'CHICLETS MASTER'!$D$29</f>
        <v>EL TORO HS 2</v>
      </c>
      <c r="D29" s="20" t="s">
        <v>509</v>
      </c>
      <c r="E29" s="20" t="s">
        <v>104</v>
      </c>
      <c r="F29" s="20"/>
      <c r="G29" s="20" t="s">
        <v>92</v>
      </c>
      <c r="H29" s="20"/>
      <c r="I29" s="20" t="s">
        <v>397</v>
      </c>
      <c r="J29" s="20" t="s">
        <v>482</v>
      </c>
    </row>
    <row r="30" spans="1:10">
      <c r="A30" s="67">
        <v>46089</v>
      </c>
      <c r="B30" s="152">
        <f>'CHICLETS MASTER'!B40</f>
        <v>0.64583333333333304</v>
      </c>
      <c r="C30" s="66" t="str">
        <f>'CHICLETS MASTER'!$D$29</f>
        <v>EL TORO HS 2</v>
      </c>
      <c r="D30" s="20" t="s">
        <v>510</v>
      </c>
      <c r="E30" s="20" t="s">
        <v>511</v>
      </c>
      <c r="F30" s="20"/>
      <c r="G30" s="20" t="s">
        <v>512</v>
      </c>
      <c r="H30" s="20"/>
      <c r="I30" s="20" t="s">
        <v>397</v>
      </c>
      <c r="J30" s="20" t="s">
        <v>482</v>
      </c>
    </row>
    <row r="31" spans="1:10">
      <c r="E31" s="65"/>
    </row>
    <row r="32" spans="1:10">
      <c r="I32" s="1" t="s">
        <v>412</v>
      </c>
    </row>
    <row r="33" spans="9:10">
      <c r="I33" s="20" t="s">
        <v>414</v>
      </c>
      <c r="J33" s="20"/>
    </row>
    <row r="34" spans="9:10">
      <c r="I34" s="20" t="s">
        <v>415</v>
      </c>
      <c r="J34" s="20"/>
    </row>
    <row r="35" spans="9:10">
      <c r="I35" s="20" t="s">
        <v>416</v>
      </c>
      <c r="J35" s="20"/>
    </row>
    <row r="37" spans="9:10">
      <c r="I37" s="1" t="s">
        <v>418</v>
      </c>
    </row>
    <row r="38" spans="9:10">
      <c r="I38" s="20" t="s">
        <v>414</v>
      </c>
      <c r="J38" s="20"/>
    </row>
    <row r="39" spans="9:10">
      <c r="I39" s="20" t="s">
        <v>415</v>
      </c>
      <c r="J39" s="20"/>
    </row>
    <row r="40" spans="9:10">
      <c r="I40" s="20" t="s">
        <v>416</v>
      </c>
      <c r="J40" s="20"/>
    </row>
  </sheetData>
  <hyperlinks>
    <hyperlink ref="B2" r:id="rId1" xr:uid="{C35A591F-8757-4465-A3EE-5CD1B5747F01}"/>
    <hyperlink ref="C2" r:id="rId2" xr:uid="{9B81D6D8-14E2-43E0-A900-1A052A2A725D}"/>
  </hyperlinks>
  <pageMargins left="0.7" right="0.7" top="0.75" bottom="0.75" header="0.3" footer="0.3"/>
  <pageSetup scale="58" orientation="landscape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E57A-E47A-425F-B3DC-A1E1F5EB0760}">
  <sheetPr>
    <tabColor rgb="FFF2CEEF"/>
    <pageSetUpPr fitToPage="1"/>
  </sheetPr>
  <dimension ref="A1:K38"/>
  <sheetViews>
    <sheetView workbookViewId="0"/>
  </sheetViews>
  <sheetFormatPr defaultColWidth="9.140625" defaultRowHeight="18.75"/>
  <cols>
    <col min="1" max="1" width="35.140625" style="64" customWidth="1"/>
    <col min="2" max="2" width="38.7109375" style="64" customWidth="1"/>
    <col min="3" max="3" width="34.42578125" style="64" customWidth="1"/>
    <col min="4" max="4" width="20.28515625" style="64" customWidth="1"/>
    <col min="5" max="5" width="38.42578125" style="64" customWidth="1"/>
    <col min="6" max="6" width="8.42578125" style="64" customWidth="1"/>
    <col min="7" max="7" width="39.28515625" style="64" customWidth="1"/>
    <col min="8" max="8" width="25.85546875" style="64" bestFit="1" customWidth="1"/>
    <col min="9" max="9" width="23.42578125" style="64" customWidth="1"/>
    <col min="10" max="10" width="31.85546875" style="64" customWidth="1"/>
    <col min="11" max="11" width="22.7109375" style="64" bestFit="1" customWidth="1"/>
    <col min="12" max="16384" width="9.140625" style="64"/>
  </cols>
  <sheetData>
    <row r="1" spans="1:11">
      <c r="A1" s="69" t="s">
        <v>513</v>
      </c>
      <c r="B1" s="69" t="s">
        <v>514</v>
      </c>
      <c r="C1" s="63" t="s">
        <v>515</v>
      </c>
      <c r="D1" s="69" t="s">
        <v>516</v>
      </c>
      <c r="E1" s="69" t="s">
        <v>478</v>
      </c>
      <c r="F1" s="46"/>
      <c r="G1" s="46"/>
      <c r="H1" s="46"/>
      <c r="I1" s="46"/>
      <c r="J1" s="46"/>
      <c r="K1" s="41"/>
    </row>
    <row r="2" spans="1:11">
      <c r="A2" s="62" t="s">
        <v>360</v>
      </c>
      <c r="B2" s="61" t="s">
        <v>361</v>
      </c>
      <c r="C2" s="60" t="s">
        <v>362</v>
      </c>
      <c r="D2" s="69"/>
      <c r="E2" s="46"/>
      <c r="F2" s="46"/>
      <c r="G2" s="46"/>
      <c r="H2" s="46"/>
      <c r="I2" s="46"/>
      <c r="J2" s="46"/>
      <c r="K2" s="41"/>
    </row>
    <row r="3" spans="1:11">
      <c r="A3" s="3" t="s">
        <v>118</v>
      </c>
      <c r="B3" s="3"/>
      <c r="C3" s="70"/>
      <c r="D3" s="69"/>
      <c r="E3" s="46"/>
      <c r="F3" s="46"/>
      <c r="G3" s="46"/>
      <c r="H3" s="46"/>
      <c r="I3" s="46"/>
      <c r="J3" s="46"/>
      <c r="K3" s="41"/>
    </row>
    <row r="4" spans="1:11">
      <c r="A4" s="1" t="s">
        <v>517</v>
      </c>
      <c r="B4" s="1"/>
      <c r="C4" s="72"/>
      <c r="D4" s="46"/>
      <c r="E4" s="46"/>
      <c r="F4" s="46"/>
      <c r="G4" s="46"/>
      <c r="H4" s="46"/>
      <c r="I4" s="46"/>
      <c r="J4" s="46"/>
      <c r="K4" s="41"/>
    </row>
    <row r="5" spans="1:11">
      <c r="A5" s="1" t="s">
        <v>518</v>
      </c>
      <c r="B5" s="1"/>
      <c r="C5" s="71"/>
      <c r="D5" s="46"/>
      <c r="E5" s="46"/>
      <c r="F5" s="46"/>
      <c r="G5" s="46"/>
      <c r="H5" s="46"/>
      <c r="I5" s="46"/>
      <c r="J5" s="46"/>
      <c r="K5" s="41"/>
    </row>
    <row r="6" spans="1:11">
      <c r="A6" s="1" t="s">
        <v>519</v>
      </c>
      <c r="B6" s="1"/>
      <c r="C6" s="71"/>
      <c r="D6" s="46"/>
      <c r="E6" s="46"/>
      <c r="F6" s="46"/>
      <c r="G6" s="46"/>
      <c r="H6" s="46"/>
      <c r="I6" s="46"/>
      <c r="J6" s="46"/>
      <c r="K6" s="41"/>
    </row>
    <row r="7" spans="1:11">
      <c r="A7" s="1" t="s">
        <v>520</v>
      </c>
      <c r="B7" s="1"/>
      <c r="C7" s="71"/>
      <c r="D7" s="46"/>
      <c r="E7" s="46"/>
      <c r="F7" s="46"/>
      <c r="G7" s="46"/>
      <c r="H7" s="46"/>
      <c r="I7" s="46"/>
      <c r="J7" s="46"/>
      <c r="K7" s="41"/>
    </row>
    <row r="8" spans="1:11">
      <c r="A8" s="1" t="s">
        <v>521</v>
      </c>
      <c r="B8" s="1"/>
      <c r="C8" s="71"/>
      <c r="D8" s="46"/>
      <c r="E8" s="46"/>
      <c r="F8" s="46"/>
      <c r="G8" s="46"/>
      <c r="H8" s="46"/>
      <c r="I8" s="46"/>
      <c r="J8" s="46"/>
      <c r="K8" s="41"/>
    </row>
    <row r="9" spans="1:11">
      <c r="A9" s="1" t="s">
        <v>522</v>
      </c>
      <c r="B9" s="1"/>
      <c r="C9" s="71"/>
      <c r="D9" s="46"/>
      <c r="E9" s="46"/>
      <c r="F9" s="46"/>
      <c r="G9" s="46"/>
      <c r="H9" s="46"/>
      <c r="I9" s="46"/>
      <c r="J9" s="46"/>
      <c r="K9" s="41"/>
    </row>
    <row r="10" spans="1:11">
      <c r="A10" s="46"/>
      <c r="B10" s="46"/>
      <c r="C10" s="71"/>
      <c r="D10" s="46"/>
      <c r="E10" s="46"/>
      <c r="F10" s="46"/>
      <c r="G10" s="46"/>
      <c r="H10" s="46"/>
      <c r="I10" s="46"/>
      <c r="J10" s="46"/>
      <c r="K10" s="41"/>
    </row>
    <row r="11" spans="1:11">
      <c r="A11" s="69" t="s">
        <v>346</v>
      </c>
      <c r="B11" s="70" t="s">
        <v>347</v>
      </c>
      <c r="C11" s="69" t="s">
        <v>348</v>
      </c>
      <c r="D11" s="69" t="s">
        <v>349</v>
      </c>
      <c r="E11" s="69" t="s">
        <v>350</v>
      </c>
      <c r="F11" s="69" t="s">
        <v>351</v>
      </c>
      <c r="G11" s="69" t="s">
        <v>352</v>
      </c>
      <c r="H11" s="69" t="s">
        <v>351</v>
      </c>
      <c r="I11" s="69" t="s">
        <v>353</v>
      </c>
      <c r="J11" s="69" t="s">
        <v>0</v>
      </c>
      <c r="K11" s="41"/>
    </row>
    <row r="12" spans="1:11">
      <c r="A12" s="146">
        <v>46088</v>
      </c>
      <c r="B12" s="73">
        <f>'CHICLETS MASTER'!B7</f>
        <v>0.40277777777777779</v>
      </c>
      <c r="C12" s="23" t="str">
        <f>'CHICLETS MASTER'!$C$3</f>
        <v>WOOLLETT FAR LEFT</v>
      </c>
      <c r="D12" s="23" t="s">
        <v>523</v>
      </c>
      <c r="E12" s="23" t="str">
        <f>A5</f>
        <v>A2-NEWPORT BEACH BLUE</v>
      </c>
      <c r="F12" s="23"/>
      <c r="G12" s="23" t="str">
        <f>A9</f>
        <v>A6-DEL MAR WHITE</v>
      </c>
      <c r="H12" s="23"/>
      <c r="I12" s="23" t="s">
        <v>524</v>
      </c>
      <c r="J12" s="23" t="s">
        <v>525</v>
      </c>
    </row>
    <row r="13" spans="1:11">
      <c r="A13" s="146">
        <v>46088</v>
      </c>
      <c r="B13" s="73">
        <f>'CHICLETS MASTER'!B8</f>
        <v>0.4375</v>
      </c>
      <c r="C13" s="23" t="str">
        <f>'CHICLETS MASTER'!$C$3</f>
        <v>WOOLLETT FAR LEFT</v>
      </c>
      <c r="D13" s="23" t="s">
        <v>526</v>
      </c>
      <c r="E13" s="23" t="str">
        <f>A4</f>
        <v>A1-DEL MAR BLUE</v>
      </c>
      <c r="F13" s="23"/>
      <c r="G13" s="23" t="str">
        <f>A8</f>
        <v>A5-NEWPORT BEACH WHITE</v>
      </c>
      <c r="H13" s="23"/>
      <c r="I13" s="23" t="s">
        <v>527</v>
      </c>
      <c r="J13" s="23" t="s">
        <v>525</v>
      </c>
    </row>
    <row r="14" spans="1:11">
      <c r="A14" s="46"/>
      <c r="B14" s="46"/>
      <c r="C14" s="71"/>
      <c r="D14" s="46"/>
      <c r="E14" s="46"/>
      <c r="F14" s="46"/>
      <c r="G14" s="46"/>
      <c r="H14" s="46"/>
      <c r="I14" s="46"/>
      <c r="J14" s="46"/>
      <c r="K14" s="41"/>
    </row>
    <row r="15" spans="1:11">
      <c r="A15" s="146">
        <v>46088</v>
      </c>
      <c r="B15" s="73">
        <f>'CHICLETS MASTER'!B11</f>
        <v>0.54166666666666696</v>
      </c>
      <c r="C15" s="23" t="str">
        <f>'CHICLETS MASTER'!$C$3</f>
        <v>WOOLLETT FAR LEFT</v>
      </c>
      <c r="D15" s="23" t="s">
        <v>528</v>
      </c>
      <c r="E15" s="23" t="str">
        <f>A7</f>
        <v>A4-LAGUNA BEACH 12</v>
      </c>
      <c r="F15" s="23"/>
      <c r="G15" s="23" t="str">
        <f>A9</f>
        <v>A6-DEL MAR WHITE</v>
      </c>
      <c r="H15" s="23"/>
      <c r="I15" s="23" t="s">
        <v>529</v>
      </c>
      <c r="J15" s="23" t="s">
        <v>525</v>
      </c>
    </row>
    <row r="16" spans="1:11">
      <c r="A16" s="146">
        <v>46088</v>
      </c>
      <c r="B16" s="73">
        <f>'CHICLETS MASTER'!B12</f>
        <v>0.57638888888888895</v>
      </c>
      <c r="C16" s="23" t="str">
        <f>'CHICLETS MASTER'!$C$3</f>
        <v>WOOLLETT FAR LEFT</v>
      </c>
      <c r="D16" s="23" t="s">
        <v>530</v>
      </c>
      <c r="E16" s="23" t="str">
        <f>A4</f>
        <v>A1-DEL MAR BLUE</v>
      </c>
      <c r="F16" s="23"/>
      <c r="G16" s="23" t="str">
        <f>A6</f>
        <v>A3-CMAC 12</v>
      </c>
      <c r="H16" s="23"/>
      <c r="I16" s="23" t="s">
        <v>531</v>
      </c>
      <c r="J16" s="23" t="s">
        <v>525</v>
      </c>
    </row>
    <row r="17" spans="1:11">
      <c r="A17" s="46"/>
      <c r="B17" s="46"/>
      <c r="C17" s="71"/>
      <c r="D17" s="46"/>
      <c r="E17" s="46"/>
      <c r="F17" s="46"/>
      <c r="G17" s="46"/>
      <c r="H17" s="46"/>
      <c r="I17" s="46"/>
      <c r="J17" s="46"/>
      <c r="K17" s="41"/>
    </row>
    <row r="18" spans="1:11">
      <c r="A18" s="146">
        <v>46088</v>
      </c>
      <c r="B18" s="73">
        <f>'CHICLETS MASTER'!B14</f>
        <v>0.64583333333333304</v>
      </c>
      <c r="C18" s="23" t="str">
        <f>'CHICLETS MASTER'!$C$3</f>
        <v>WOOLLETT FAR LEFT</v>
      </c>
      <c r="D18" s="23" t="s">
        <v>532</v>
      </c>
      <c r="E18" s="23" t="str">
        <f>A5</f>
        <v>A2-NEWPORT BEACH BLUE</v>
      </c>
      <c r="F18" s="23"/>
      <c r="G18" s="23" t="str">
        <f>A7</f>
        <v>A4-LAGUNA BEACH 12</v>
      </c>
      <c r="H18" s="23"/>
      <c r="I18" s="23" t="s">
        <v>533</v>
      </c>
      <c r="J18" s="23" t="s">
        <v>525</v>
      </c>
    </row>
    <row r="19" spans="1:11">
      <c r="A19" s="146">
        <v>46088</v>
      </c>
      <c r="B19" s="73">
        <f>'CHICLETS MASTER'!B15</f>
        <v>0.68055555555555602</v>
      </c>
      <c r="C19" s="23" t="str">
        <f>'CHICLETS MASTER'!$C$3</f>
        <v>WOOLLETT FAR LEFT</v>
      </c>
      <c r="D19" s="23" t="s">
        <v>534</v>
      </c>
      <c r="E19" s="23" t="str">
        <f>A6</f>
        <v>A3-CMAC 12</v>
      </c>
      <c r="F19" s="147"/>
      <c r="G19" s="23" t="str">
        <f>A8</f>
        <v>A5-NEWPORT BEACH WHITE</v>
      </c>
      <c r="H19" s="23"/>
      <c r="I19" s="23" t="s">
        <v>535</v>
      </c>
      <c r="J19" s="23" t="s">
        <v>525</v>
      </c>
    </row>
    <row r="20" spans="1:11">
      <c r="A20" s="68"/>
      <c r="B20" s="68"/>
      <c r="C20" s="68"/>
      <c r="D20" s="68"/>
      <c r="E20" s="68"/>
      <c r="F20" s="68"/>
      <c r="G20" s="68"/>
      <c r="H20" s="68"/>
      <c r="I20" s="68"/>
      <c r="J20" s="68"/>
    </row>
    <row r="21" spans="1:11">
      <c r="A21" s="55"/>
      <c r="B21" s="56"/>
      <c r="C21" s="55"/>
      <c r="D21" s="55"/>
      <c r="E21" s="55"/>
      <c r="F21" s="55"/>
      <c r="G21" s="55"/>
      <c r="H21" s="55"/>
      <c r="I21" s="55"/>
      <c r="J21" s="55"/>
    </row>
    <row r="22" spans="1:11">
      <c r="A22" s="52"/>
      <c r="B22" s="53"/>
      <c r="C22" s="52"/>
      <c r="D22" s="52"/>
      <c r="E22" s="52"/>
      <c r="F22" s="52"/>
      <c r="G22" s="52"/>
      <c r="H22" s="52"/>
      <c r="I22" s="52"/>
      <c r="J22" s="52"/>
    </row>
    <row r="23" spans="1:11">
      <c r="A23" s="146">
        <v>46089</v>
      </c>
      <c r="B23" s="73">
        <f>'CHICLETS MASTER'!B33</f>
        <v>0.40277777777777801</v>
      </c>
      <c r="C23" s="23" t="str">
        <f>'CHICLETS MASTER'!$C$29</f>
        <v>WOOLLETT FAR LEFT</v>
      </c>
      <c r="D23" s="23" t="s">
        <v>536</v>
      </c>
      <c r="E23" s="23" t="str">
        <f>A8</f>
        <v>A5-NEWPORT BEACH WHITE</v>
      </c>
      <c r="F23" s="23"/>
      <c r="G23" s="23" t="str">
        <f>A9</f>
        <v>A6-DEL MAR WHITE</v>
      </c>
      <c r="H23" s="23"/>
      <c r="I23" s="23" t="s">
        <v>537</v>
      </c>
      <c r="J23" s="23" t="s">
        <v>525</v>
      </c>
    </row>
    <row r="24" spans="1:11">
      <c r="A24" s="146">
        <v>46089</v>
      </c>
      <c r="B24" s="73">
        <f>'CHICLETS MASTER'!B34</f>
        <v>0.4375</v>
      </c>
      <c r="C24" s="23" t="str">
        <f>'CHICLETS MASTER'!$C$29</f>
        <v>WOOLLETT FAR LEFT</v>
      </c>
      <c r="D24" s="23" t="s">
        <v>538</v>
      </c>
      <c r="E24" s="23" t="str">
        <f>A4</f>
        <v>A1-DEL MAR BLUE</v>
      </c>
      <c r="F24" s="23"/>
      <c r="G24" s="23" t="str">
        <f>A5</f>
        <v>A2-NEWPORT BEACH BLUE</v>
      </c>
      <c r="H24" s="23"/>
      <c r="I24" s="23" t="s">
        <v>539</v>
      </c>
      <c r="J24" s="23" t="s">
        <v>525</v>
      </c>
    </row>
    <row r="25" spans="1:11">
      <c r="A25" s="146">
        <v>46089</v>
      </c>
      <c r="B25" s="73">
        <f>'CHICLETS MASTER'!B35</f>
        <v>0.47222222222222199</v>
      </c>
      <c r="C25" s="23" t="str">
        <f>'CHICLETS MASTER'!$C$29</f>
        <v>WOOLLETT FAR LEFT</v>
      </c>
      <c r="D25" s="23" t="s">
        <v>540</v>
      </c>
      <c r="E25" s="23" t="str">
        <f>A6</f>
        <v>A3-CMAC 12</v>
      </c>
      <c r="F25" s="23"/>
      <c r="G25" s="23" t="str">
        <f>A7</f>
        <v>A4-LAGUNA BEACH 12</v>
      </c>
      <c r="H25" s="23"/>
      <c r="I25" s="23" t="s">
        <v>541</v>
      </c>
      <c r="J25" s="23" t="s">
        <v>525</v>
      </c>
    </row>
    <row r="26" spans="1:11">
      <c r="A26" s="46"/>
      <c r="B26" s="46"/>
      <c r="C26" s="71"/>
      <c r="D26" s="46"/>
      <c r="E26" s="46"/>
      <c r="F26" s="46"/>
      <c r="G26" s="46"/>
      <c r="H26" s="46"/>
      <c r="I26" s="46"/>
      <c r="J26" s="46"/>
      <c r="K26" s="41"/>
    </row>
    <row r="27" spans="1:11">
      <c r="A27" s="146">
        <v>46089</v>
      </c>
      <c r="B27" s="73">
        <f>'CHICLETS MASTER'!B38</f>
        <v>0.57638888888888895</v>
      </c>
      <c r="C27" s="23" t="str">
        <f>'CHICLETS MASTER'!$C$29</f>
        <v>WOOLLETT FAR LEFT</v>
      </c>
      <c r="D27" s="23" t="s">
        <v>542</v>
      </c>
      <c r="E27" s="148" t="str">
        <f>A8</f>
        <v>A5-NEWPORT BEACH WHITE</v>
      </c>
      <c r="F27" s="148"/>
      <c r="G27" s="148" t="str">
        <f>A9</f>
        <v>A6-DEL MAR WHITE</v>
      </c>
      <c r="H27" s="23"/>
      <c r="I27" s="23" t="s">
        <v>543</v>
      </c>
      <c r="J27" s="23" t="s">
        <v>525</v>
      </c>
    </row>
    <row r="28" spans="1:11">
      <c r="A28" s="146">
        <v>46089</v>
      </c>
      <c r="B28" s="73">
        <f>'CHICLETS MASTER'!B39</f>
        <v>0.61111111111111105</v>
      </c>
      <c r="C28" s="23" t="str">
        <f>'CHICLETS MASTER'!$C$29</f>
        <v>WOOLLETT FAR LEFT</v>
      </c>
      <c r="D28" s="23" t="s">
        <v>544</v>
      </c>
      <c r="E28" s="23" t="str">
        <f>A4</f>
        <v>A1-DEL MAR BLUE</v>
      </c>
      <c r="F28" s="23"/>
      <c r="G28" s="23" t="str">
        <f>A7</f>
        <v>A4-LAGUNA BEACH 12</v>
      </c>
      <c r="H28" s="23"/>
      <c r="I28" s="23" t="s">
        <v>416</v>
      </c>
      <c r="J28" s="23" t="s">
        <v>525</v>
      </c>
    </row>
    <row r="29" spans="1:11">
      <c r="A29" s="146">
        <v>46089</v>
      </c>
      <c r="B29" s="73">
        <f>'CHICLETS MASTER'!B40</f>
        <v>0.64583333333333304</v>
      </c>
      <c r="C29" s="23" t="str">
        <f>'CHICLETS MASTER'!$C$29</f>
        <v>WOOLLETT FAR LEFT</v>
      </c>
      <c r="D29" s="23" t="s">
        <v>545</v>
      </c>
      <c r="E29" s="23" t="str">
        <f>A5</f>
        <v>A2-NEWPORT BEACH BLUE</v>
      </c>
      <c r="F29" s="23"/>
      <c r="G29" s="23" t="str">
        <f>A6</f>
        <v>A3-CMAC 12</v>
      </c>
      <c r="H29" s="23"/>
      <c r="I29" s="23" t="s">
        <v>414</v>
      </c>
      <c r="J29" s="23" t="s">
        <v>525</v>
      </c>
    </row>
    <row r="30" spans="1:11">
      <c r="E30" s="65"/>
    </row>
    <row r="32" spans="1:11">
      <c r="I32" s="23" t="s">
        <v>414</v>
      </c>
      <c r="J32" s="23"/>
    </row>
    <row r="33" spans="9:10">
      <c r="I33" s="23" t="s">
        <v>415</v>
      </c>
      <c r="J33" s="23"/>
    </row>
    <row r="36" spans="9:10">
      <c r="I36" s="23" t="s">
        <v>414</v>
      </c>
      <c r="J36" s="23"/>
    </row>
    <row r="37" spans="9:10">
      <c r="I37" s="23" t="s">
        <v>415</v>
      </c>
      <c r="J37" s="23"/>
    </row>
    <row r="38" spans="9:10">
      <c r="I38" s="23" t="s">
        <v>416</v>
      </c>
      <c r="J38" s="23"/>
    </row>
  </sheetData>
  <hyperlinks>
    <hyperlink ref="B2" r:id="rId1" xr:uid="{5238B9C1-5AF7-42EE-8B80-BEC86B2976B2}"/>
    <hyperlink ref="C2" r:id="rId2" xr:uid="{E9DE20F6-A012-4FBA-97EC-473F4F635EA9}"/>
  </hyperlinks>
  <pageMargins left="0.7" right="0.7" top="0.75" bottom="0.75" header="0.3" footer="0.3"/>
  <pageSetup scale="58" orientation="landscape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6C8D-92FD-4C2B-AE51-3E77039D0A2A}">
  <sheetPr>
    <tabColor rgb="FF6699FF"/>
    <pageSetUpPr fitToPage="1"/>
  </sheetPr>
  <dimension ref="A1:K73"/>
  <sheetViews>
    <sheetView workbookViewId="0"/>
  </sheetViews>
  <sheetFormatPr defaultColWidth="9.140625" defaultRowHeight="18"/>
  <cols>
    <col min="1" max="1" width="40.5703125" style="75" bestFit="1" customWidth="1"/>
    <col min="2" max="2" width="39.28515625" style="74" bestFit="1" customWidth="1"/>
    <col min="3" max="3" width="28" style="74" customWidth="1"/>
    <col min="4" max="4" width="35.5703125" style="74" customWidth="1"/>
    <col min="5" max="5" width="46.85546875" style="74" bestFit="1" customWidth="1"/>
    <col min="6" max="6" width="5" style="74" bestFit="1" customWidth="1"/>
    <col min="7" max="7" width="45.5703125" style="74" bestFit="1" customWidth="1"/>
    <col min="8" max="8" width="5" style="74" bestFit="1" customWidth="1"/>
    <col min="9" max="9" width="38.140625" style="74" customWidth="1"/>
    <col min="10" max="10" width="38" style="74" bestFit="1" customWidth="1"/>
    <col min="11" max="16384" width="9.140625" style="74"/>
  </cols>
  <sheetData>
    <row r="1" spans="1:10">
      <c r="A1" s="82" t="s">
        <v>546</v>
      </c>
      <c r="B1" s="84" t="s">
        <v>547</v>
      </c>
      <c r="C1" s="83" t="s">
        <v>548</v>
      </c>
      <c r="D1" s="74" t="s">
        <v>549</v>
      </c>
      <c r="E1" s="82"/>
      <c r="F1" s="82"/>
      <c r="G1" s="82"/>
    </row>
    <row r="2" spans="1:10">
      <c r="A2" s="62" t="s">
        <v>360</v>
      </c>
      <c r="B2" s="61" t="s">
        <v>361</v>
      </c>
      <c r="C2" s="60" t="s">
        <v>362</v>
      </c>
      <c r="D2" s="82"/>
      <c r="E2" s="82"/>
      <c r="F2" s="82"/>
      <c r="G2" s="82"/>
      <c r="H2" s="82"/>
    </row>
    <row r="3" spans="1:10">
      <c r="A3" s="6" t="s">
        <v>61</v>
      </c>
      <c r="B3" s="10" t="s">
        <v>62</v>
      </c>
      <c r="C3" s="10" t="s">
        <v>63</v>
      </c>
      <c r="D3" s="10" t="s">
        <v>64</v>
      </c>
      <c r="E3" s="81" t="s">
        <v>65</v>
      </c>
      <c r="F3" s="79"/>
      <c r="H3" s="80"/>
      <c r="I3" s="80"/>
      <c r="J3" s="80"/>
    </row>
    <row r="4" spans="1:10">
      <c r="A4" s="7" t="s">
        <v>66</v>
      </c>
      <c r="B4" s="11" t="s">
        <v>67</v>
      </c>
      <c r="C4" s="11" t="s">
        <v>68</v>
      </c>
      <c r="D4" s="11" t="s">
        <v>69</v>
      </c>
      <c r="E4" s="4" t="s">
        <v>70</v>
      </c>
      <c r="F4" s="79"/>
      <c r="H4" s="79"/>
      <c r="I4" s="79"/>
      <c r="J4" s="79"/>
    </row>
    <row r="5" spans="1:10">
      <c r="A5" s="7" t="s">
        <v>71</v>
      </c>
      <c r="B5" s="11" t="s">
        <v>72</v>
      </c>
      <c r="C5" s="11" t="s">
        <v>73</v>
      </c>
      <c r="D5" s="11" t="s">
        <v>74</v>
      </c>
      <c r="E5" s="4" t="s">
        <v>75</v>
      </c>
      <c r="J5" s="79"/>
    </row>
    <row r="6" spans="1:10">
      <c r="A6" s="7" t="s">
        <v>78</v>
      </c>
      <c r="B6" s="11" t="s">
        <v>79</v>
      </c>
      <c r="C6" s="11" t="s">
        <v>80</v>
      </c>
      <c r="D6" s="11" t="s">
        <v>81</v>
      </c>
      <c r="E6" s="4" t="s">
        <v>82</v>
      </c>
      <c r="J6" s="79"/>
    </row>
    <row r="7" spans="1:10">
      <c r="A7" s="1"/>
      <c r="B7" s="11"/>
      <c r="C7" s="11"/>
      <c r="D7" s="11" t="s">
        <v>84</v>
      </c>
      <c r="E7" s="1"/>
      <c r="F7" s="79"/>
      <c r="G7" s="79"/>
      <c r="H7" s="79"/>
      <c r="I7" s="79"/>
      <c r="J7" s="79"/>
    </row>
    <row r="8" spans="1:10">
      <c r="A8" s="1"/>
      <c r="B8" s="11"/>
      <c r="C8" s="11"/>
      <c r="D8" s="11"/>
      <c r="E8" s="1"/>
      <c r="F8" s="79"/>
      <c r="G8" s="79"/>
      <c r="H8" s="79"/>
      <c r="I8" s="79"/>
      <c r="J8" s="79"/>
    </row>
    <row r="9" spans="1:10">
      <c r="A9" s="1"/>
      <c r="B9" s="11"/>
      <c r="C9" s="11"/>
      <c r="D9" s="11"/>
      <c r="E9" s="1" t="s">
        <v>99</v>
      </c>
      <c r="G9" s="79" t="s">
        <v>102</v>
      </c>
      <c r="H9" s="79"/>
      <c r="I9" s="79"/>
      <c r="J9" s="79"/>
    </row>
    <row r="10" spans="1:10">
      <c r="A10" s="1"/>
      <c r="B10" s="11" t="s">
        <v>90</v>
      </c>
      <c r="C10" s="11" t="s">
        <v>91</v>
      </c>
      <c r="D10" s="11" t="s">
        <v>550</v>
      </c>
      <c r="E10" s="1" t="s">
        <v>110</v>
      </c>
      <c r="G10" s="79" t="s">
        <v>107</v>
      </c>
      <c r="H10" s="79"/>
      <c r="I10" s="79"/>
      <c r="J10" s="79"/>
    </row>
    <row r="11" spans="1:10">
      <c r="A11" s="1" t="s">
        <v>551</v>
      </c>
      <c r="B11" s="11" t="s">
        <v>552</v>
      </c>
      <c r="C11" s="11" t="s">
        <v>553</v>
      </c>
      <c r="D11" s="11" t="s">
        <v>554</v>
      </c>
      <c r="E11" s="1" t="s">
        <v>94</v>
      </c>
      <c r="G11" s="79" t="s">
        <v>92</v>
      </c>
      <c r="H11" s="79"/>
      <c r="I11" s="79"/>
      <c r="J11" s="79"/>
    </row>
    <row r="12" spans="1:10">
      <c r="A12" s="1" t="s">
        <v>555</v>
      </c>
      <c r="B12" s="11" t="s">
        <v>556</v>
      </c>
      <c r="C12" s="11" t="s">
        <v>557</v>
      </c>
      <c r="D12" s="11" t="str">
        <f>IF(F35="","3rdD-",IF(F35&gt;H35,_xlfn.CONCAT("3rdD-",RIGHT(E35,LEN(E35) - FIND("-",E35))), _xlfn.CONCAT("3rdD-",RIGHT(G35,LEN(G35) - FIND("-",G35)))))</f>
        <v>3rdD-NEWPORT BEACH 10 BLUE</v>
      </c>
      <c r="E12" s="1" t="s">
        <v>99</v>
      </c>
      <c r="G12" s="79" t="s">
        <v>109</v>
      </c>
      <c r="H12" s="79"/>
      <c r="I12" s="79"/>
      <c r="J12" s="79"/>
    </row>
    <row r="13" spans="1:10">
      <c r="A13" s="1" t="s">
        <v>558</v>
      </c>
      <c r="B13" s="11" t="str">
        <f>IF(F36="","F3(1stD)-",IF(F36&gt;H36,_xlfn.CONCAT("F3(1stD)-",RIGHT(E36,LEN(E36) - FIND("-",E36))), _xlfn.CONCAT("F3(1stD)-",RIGHT(G36,LEN(G36) - FIND("-",G36)))))</f>
        <v>F3(1stD)-PEGASUS WPA BLUE</v>
      </c>
      <c r="C13" s="11" t="str">
        <f>IF(F36="","G3(2ndD)-",IF(F36&lt;H36,_xlfn.CONCAT("G3(2ndD)-",RIGHT(E36,LEN(E36) - FIND("-",E36))), _xlfn.CONCAT("G3(2ndD)-",RIGHT(G36,LEN(G36) - FIND("-",G36)))))</f>
        <v>G3(2ndD)-SAN DIEGO DONS 10 RED</v>
      </c>
      <c r="D13" s="11" t="str">
        <f>IF(F35="","4thD-",IF(F35&lt;H35,_xlfn.CONCAT("4thD-",RIGHT(E35,LEN(E35) - FIND("-",E35))), _xlfn.CONCAT("4thD-",RIGHT(G35,LEN(G35) - FIND("-",G35)))))</f>
        <v>4thD-VANGUARD SILVER</v>
      </c>
      <c r="E13" s="1" t="s">
        <v>113</v>
      </c>
      <c r="G13" s="79" t="s">
        <v>107</v>
      </c>
      <c r="H13" s="79"/>
      <c r="I13" s="79"/>
      <c r="J13" s="79"/>
    </row>
    <row r="14" spans="1:10">
      <c r="A14" s="1"/>
      <c r="B14" s="11"/>
      <c r="C14" s="11"/>
      <c r="D14" s="11"/>
      <c r="E14" s="1" t="s">
        <v>94</v>
      </c>
      <c r="G14" s="79" t="s">
        <v>97</v>
      </c>
      <c r="H14" s="79"/>
      <c r="I14" s="79"/>
      <c r="J14" s="79"/>
    </row>
    <row r="15" spans="1:10">
      <c r="A15" s="1" t="s">
        <v>559</v>
      </c>
      <c r="B15" s="11"/>
      <c r="C15" s="11"/>
      <c r="D15" s="11"/>
      <c r="E15" s="1" t="s">
        <v>110</v>
      </c>
      <c r="G15" s="79" t="s">
        <v>102</v>
      </c>
      <c r="H15" s="79"/>
      <c r="I15" s="79"/>
      <c r="J15" s="79"/>
    </row>
    <row r="16" spans="1:10">
      <c r="A16" s="1" t="s">
        <v>560</v>
      </c>
      <c r="B16" s="11"/>
      <c r="C16" s="11"/>
      <c r="D16" s="11"/>
      <c r="E16" s="1" t="s">
        <v>104</v>
      </c>
      <c r="G16" s="79" t="s">
        <v>109</v>
      </c>
      <c r="H16" s="79"/>
      <c r="I16" s="79"/>
      <c r="J16" s="79"/>
    </row>
    <row r="17" spans="1:10">
      <c r="A17" s="1" t="s">
        <v>561</v>
      </c>
      <c r="B17" s="11"/>
      <c r="C17" s="11"/>
      <c r="D17" s="11"/>
      <c r="E17" s="1" t="s">
        <v>92</v>
      </c>
      <c r="G17" s="79" t="s">
        <v>97</v>
      </c>
      <c r="H17" s="79"/>
      <c r="I17" s="79"/>
      <c r="J17" s="79"/>
    </row>
    <row r="18" spans="1:10">
      <c r="A18" s="1"/>
      <c r="B18" s="11"/>
      <c r="C18" s="11"/>
      <c r="D18" s="11"/>
      <c r="E18" s="1" t="s">
        <v>104</v>
      </c>
      <c r="G18" s="79" t="s">
        <v>113</v>
      </c>
      <c r="H18" s="79"/>
      <c r="I18" s="79"/>
      <c r="J18" s="79"/>
    </row>
    <row r="20" spans="1:10">
      <c r="A20" s="52" t="s">
        <v>346</v>
      </c>
      <c r="B20" s="53" t="s">
        <v>347</v>
      </c>
      <c r="C20" s="52" t="s">
        <v>348</v>
      </c>
      <c r="D20" s="52" t="s">
        <v>349</v>
      </c>
      <c r="E20" s="52" t="s">
        <v>350</v>
      </c>
      <c r="F20" s="52" t="s">
        <v>351</v>
      </c>
      <c r="G20" s="52" t="s">
        <v>352</v>
      </c>
      <c r="H20" s="52" t="s">
        <v>351</v>
      </c>
      <c r="I20" s="52" t="s">
        <v>353</v>
      </c>
      <c r="J20" s="52" t="s">
        <v>0</v>
      </c>
    </row>
    <row r="21" spans="1:10">
      <c r="A21" s="77">
        <v>46088</v>
      </c>
      <c r="B21" s="76">
        <f>'CHICLETS MASTER'!F5</f>
        <v>0.3263888888888889</v>
      </c>
      <c r="C21" s="76" t="str">
        <f>'CHICLETS MASTER'!$I$3</f>
        <v>COSTA MESA HS 2</v>
      </c>
      <c r="D21" s="26" t="s">
        <v>562</v>
      </c>
      <c r="E21" s="26" t="str">
        <f>A4</f>
        <v>A1-LA PREMIER</v>
      </c>
      <c r="F21" s="26">
        <v>6</v>
      </c>
      <c r="G21" s="26" t="str">
        <f>A6</f>
        <v>A3-CMAC</v>
      </c>
      <c r="H21" s="26">
        <v>9</v>
      </c>
      <c r="I21" s="26" t="s">
        <v>563</v>
      </c>
      <c r="J21" s="26" t="s">
        <v>55</v>
      </c>
    </row>
    <row r="22" spans="1:10">
      <c r="A22" s="77">
        <v>46088</v>
      </c>
      <c r="B22" s="76">
        <f>'CHICLETS MASTER'!F6</f>
        <v>0.36111111111111099</v>
      </c>
      <c r="C22" s="76" t="str">
        <f>'CHICLETS MASTER'!$I$3</f>
        <v>COSTA MESA HS 2</v>
      </c>
      <c r="D22" s="26" t="s">
        <v>564</v>
      </c>
      <c r="E22" s="26" t="str">
        <f>B4</f>
        <v>B1-TROJAN</v>
      </c>
      <c r="F22" s="26">
        <v>12</v>
      </c>
      <c r="G22" s="26" t="str">
        <f>B6</f>
        <v>B3-LAGUNA BEACH</v>
      </c>
      <c r="H22" s="26">
        <v>6</v>
      </c>
      <c r="I22" s="26" t="s">
        <v>565</v>
      </c>
      <c r="J22" s="26" t="s">
        <v>55</v>
      </c>
    </row>
    <row r="23" spans="1:10">
      <c r="A23" s="77">
        <v>46088</v>
      </c>
      <c r="B23" s="76">
        <f>'CHICLETS MASTER'!F7</f>
        <v>0.39583333333333398</v>
      </c>
      <c r="C23" s="76" t="str">
        <f>'CHICLETS MASTER'!$I$3</f>
        <v>COSTA MESA HS 2</v>
      </c>
      <c r="D23" s="26" t="s">
        <v>566</v>
      </c>
      <c r="E23" s="26" t="str">
        <f>E4</f>
        <v>E1-CDM</v>
      </c>
      <c r="F23" s="26">
        <v>7</v>
      </c>
      <c r="G23" s="26" t="str">
        <f>E6</f>
        <v>E3-ORANGE COUNTY WPC B</v>
      </c>
      <c r="H23" s="26">
        <v>11</v>
      </c>
      <c r="I23" s="26" t="s">
        <v>567</v>
      </c>
      <c r="J23" s="26" t="s">
        <v>55</v>
      </c>
    </row>
    <row r="24" spans="1:10">
      <c r="A24" s="77">
        <v>46088</v>
      </c>
      <c r="B24" s="76">
        <f>'CHICLETS MASTER'!F8</f>
        <v>0.43055555555555602</v>
      </c>
      <c r="C24" s="76" t="str">
        <f>'CHICLETS MASTER'!$I$3</f>
        <v>COSTA MESA HS 2</v>
      </c>
      <c r="D24" s="26" t="s">
        <v>568</v>
      </c>
      <c r="E24" s="26" t="str">
        <f>A5</f>
        <v>A2-ORANGE COUNTY WPC A</v>
      </c>
      <c r="F24" s="26">
        <v>12</v>
      </c>
      <c r="G24" s="26" t="str">
        <f>A6</f>
        <v>A3-CMAC</v>
      </c>
      <c r="H24" s="26">
        <v>5</v>
      </c>
      <c r="I24" s="26" t="s">
        <v>569</v>
      </c>
      <c r="J24" s="26" t="s">
        <v>55</v>
      </c>
    </row>
    <row r="25" spans="1:10">
      <c r="A25" s="77">
        <v>46088</v>
      </c>
      <c r="B25" s="76">
        <f>'CHICLETS MASTER'!F9</f>
        <v>0.46527777777777801</v>
      </c>
      <c r="C25" s="76" t="str">
        <f>'CHICLETS MASTER'!$I$3</f>
        <v>COSTA MESA HS 2</v>
      </c>
      <c r="D25" s="26" t="s">
        <v>570</v>
      </c>
      <c r="E25" s="26" t="str">
        <f>B5</f>
        <v>B2-ROUTE 66</v>
      </c>
      <c r="F25" s="26">
        <v>12</v>
      </c>
      <c r="G25" s="26" t="str">
        <f>B6</f>
        <v>B3-LAGUNA BEACH</v>
      </c>
      <c r="H25" s="26">
        <v>5</v>
      </c>
      <c r="I25" s="26" t="s">
        <v>571</v>
      </c>
      <c r="J25" s="26" t="s">
        <v>55</v>
      </c>
    </row>
    <row r="26" spans="1:10">
      <c r="A26" s="77">
        <v>46088</v>
      </c>
      <c r="B26" s="76">
        <f>'CHICLETS MASTER'!F10</f>
        <v>0.5</v>
      </c>
      <c r="C26" s="76" t="str">
        <f>'CHICLETS MASTER'!$I$3</f>
        <v>COSTA MESA HS 2</v>
      </c>
      <c r="D26" s="26" t="s">
        <v>572</v>
      </c>
      <c r="E26" s="26" t="str">
        <f>E5</f>
        <v>E2-ORWP B</v>
      </c>
      <c r="F26" s="26">
        <v>9.1</v>
      </c>
      <c r="G26" s="26" t="str">
        <f>E6</f>
        <v>E3-ORANGE COUNTY WPC B</v>
      </c>
      <c r="H26" s="26">
        <v>9.1999999999999993</v>
      </c>
      <c r="I26" s="26" t="s">
        <v>573</v>
      </c>
      <c r="J26" s="26" t="s">
        <v>55</v>
      </c>
    </row>
    <row r="27" spans="1:10">
      <c r="A27" s="77">
        <v>46088</v>
      </c>
      <c r="B27" s="76">
        <f>'CHICLETS MASTER'!F11</f>
        <v>0.53472222222222199</v>
      </c>
      <c r="C27" s="76" t="str">
        <f>'CHICLETS MASTER'!$I$3</f>
        <v>COSTA MESA HS 2</v>
      </c>
      <c r="D27" s="26" t="s">
        <v>574</v>
      </c>
      <c r="E27" s="26" t="str">
        <f>A4</f>
        <v>A1-LA PREMIER</v>
      </c>
      <c r="F27" s="26">
        <v>4</v>
      </c>
      <c r="G27" s="26" t="str">
        <f>A5</f>
        <v>A2-ORANGE COUNTY WPC A</v>
      </c>
      <c r="H27" s="26">
        <v>8</v>
      </c>
      <c r="I27" s="26" t="s">
        <v>575</v>
      </c>
      <c r="J27" s="26" t="s">
        <v>55</v>
      </c>
    </row>
    <row r="28" spans="1:10">
      <c r="A28" s="77">
        <v>46088</v>
      </c>
      <c r="B28" s="76">
        <f>'CHICLETS MASTER'!F12</f>
        <v>0.56944444444444497</v>
      </c>
      <c r="C28" s="76" t="str">
        <f>'CHICLETS MASTER'!$I$3</f>
        <v>COSTA MESA HS 2</v>
      </c>
      <c r="D28" s="26" t="s">
        <v>576</v>
      </c>
      <c r="E28" s="26" t="str">
        <f>B4</f>
        <v>B1-TROJAN</v>
      </c>
      <c r="F28" s="26">
        <v>5</v>
      </c>
      <c r="G28" s="26" t="str">
        <f>B5</f>
        <v>B2-ROUTE 66</v>
      </c>
      <c r="H28" s="26">
        <v>8</v>
      </c>
      <c r="I28" s="26" t="s">
        <v>577</v>
      </c>
      <c r="J28" s="26" t="s">
        <v>55</v>
      </c>
    </row>
    <row r="29" spans="1:10">
      <c r="A29" s="77">
        <v>46088</v>
      </c>
      <c r="B29" s="76">
        <f>'CHICLETS MASTER'!F13</f>
        <v>0.60416666666666696</v>
      </c>
      <c r="C29" s="76" t="str">
        <f>'CHICLETS MASTER'!$I$3</f>
        <v>COSTA MESA HS 2</v>
      </c>
      <c r="D29" s="26" t="s">
        <v>578</v>
      </c>
      <c r="E29" s="26" t="str">
        <f>E4</f>
        <v>E1-CDM</v>
      </c>
      <c r="F29" s="26">
        <v>6</v>
      </c>
      <c r="G29" s="26" t="str">
        <f>E5</f>
        <v>E2-ORWP B</v>
      </c>
      <c r="H29" s="26">
        <v>11</v>
      </c>
      <c r="I29" s="26" t="s">
        <v>579</v>
      </c>
      <c r="J29" s="26" t="s">
        <v>55</v>
      </c>
    </row>
    <row r="30" spans="1:10">
      <c r="A30" s="74"/>
    </row>
    <row r="31" spans="1:10">
      <c r="A31" s="77">
        <v>46088</v>
      </c>
      <c r="B31" s="76">
        <f>'CHICLETS MASTER'!F6</f>
        <v>0.36111111111111099</v>
      </c>
      <c r="C31" s="76" t="str">
        <f>'CHICLETS MASTER'!$G$3</f>
        <v>WOOLLETT FAR RIGHT</v>
      </c>
      <c r="D31" s="26" t="s">
        <v>580</v>
      </c>
      <c r="E31" s="26" t="str">
        <f>C4</f>
        <v>C1-LAWPC</v>
      </c>
      <c r="F31" s="26">
        <v>8</v>
      </c>
      <c r="G31" s="26" t="str">
        <f>C6</f>
        <v>C3-NORTH IRVINE RED</v>
      </c>
      <c r="H31" s="26">
        <v>5</v>
      </c>
      <c r="I31" s="26" t="s">
        <v>581</v>
      </c>
      <c r="J31" s="26" t="s">
        <v>55</v>
      </c>
    </row>
    <row r="32" spans="1:10">
      <c r="A32" s="77">
        <v>46088</v>
      </c>
      <c r="B32" s="76">
        <f>'CHICLETS MASTER'!F7</f>
        <v>0.39583333333333398</v>
      </c>
      <c r="C32" s="76" t="str">
        <f>'CHICLETS MASTER'!$G$3</f>
        <v>WOOLLETT FAR RIGHT</v>
      </c>
      <c r="D32" s="26" t="s">
        <v>582</v>
      </c>
      <c r="E32" s="26" t="str">
        <f>D4</f>
        <v>D1-PEGASUS WPA BLUE</v>
      </c>
      <c r="F32" s="26">
        <v>11</v>
      </c>
      <c r="G32" s="26" t="str">
        <f>D7</f>
        <v>D4-NEWPORT BEACH 10 BLUE</v>
      </c>
      <c r="H32" s="26">
        <v>7</v>
      </c>
      <c r="I32" s="26" t="s">
        <v>583</v>
      </c>
      <c r="J32" s="26" t="s">
        <v>55</v>
      </c>
    </row>
    <row r="33" spans="1:10">
      <c r="A33" s="77">
        <v>46088</v>
      </c>
      <c r="B33" s="76">
        <f>'CHICLETS MASTER'!F8</f>
        <v>0.43055555555555602</v>
      </c>
      <c r="C33" s="76" t="str">
        <f>'CHICLETS MASTER'!$G$3</f>
        <v>WOOLLETT FAR RIGHT</v>
      </c>
      <c r="D33" s="26" t="s">
        <v>584</v>
      </c>
      <c r="E33" s="26" t="str">
        <f>D5</f>
        <v>D2-VANGUARD SILVER</v>
      </c>
      <c r="F33" s="170">
        <v>8</v>
      </c>
      <c r="G33" s="26" t="str">
        <f>D6</f>
        <v>D3-SAN DIEGO DONS 10 RED</v>
      </c>
      <c r="H33" s="170">
        <v>10</v>
      </c>
      <c r="I33" s="26" t="s">
        <v>585</v>
      </c>
      <c r="J33" s="26" t="s">
        <v>55</v>
      </c>
    </row>
    <row r="34" spans="1:10">
      <c r="A34" s="77">
        <v>46088</v>
      </c>
      <c r="B34" s="76">
        <f>'CHICLETS MASTER'!F9</f>
        <v>0.46527777777777801</v>
      </c>
      <c r="C34" s="76" t="str">
        <f>'CHICLETS MASTER'!$G$3</f>
        <v>WOOLLETT FAR RIGHT</v>
      </c>
      <c r="D34" s="26" t="s">
        <v>586</v>
      </c>
      <c r="E34" s="26" t="str">
        <f>C5</f>
        <v>C2-MISSION B</v>
      </c>
      <c r="F34" s="26">
        <v>16</v>
      </c>
      <c r="G34" s="26" t="str">
        <f>C6</f>
        <v>C3-NORTH IRVINE RED</v>
      </c>
      <c r="H34" s="26">
        <v>2</v>
      </c>
      <c r="I34" s="26" t="s">
        <v>587</v>
      </c>
      <c r="J34" s="26" t="s">
        <v>55</v>
      </c>
    </row>
    <row r="35" spans="1:10">
      <c r="A35" s="77">
        <v>46088</v>
      </c>
      <c r="B35" s="76">
        <f>'CHICLETS MASTER'!F10</f>
        <v>0.5</v>
      </c>
      <c r="C35" s="76" t="str">
        <f>'CHICLETS MASTER'!$G$3</f>
        <v>WOOLLETT FAR RIGHT</v>
      </c>
      <c r="D35" s="26" t="s">
        <v>588</v>
      </c>
      <c r="E35" s="26" t="str">
        <f>IF(F32="","L#D1/D4",IF(F32&lt;H32,_xlfn.CONCAT("L#D1/D4-",RIGHT(E32,LEN(E32) - FIND("-",E32))), _xlfn.CONCAT("L#D1/D4-",RIGHT(G32,LEN(G32) - FIND("-",G32)))))</f>
        <v>L#D1/D4-NEWPORT BEACH 10 BLUE</v>
      </c>
      <c r="F35" s="26">
        <v>7</v>
      </c>
      <c r="G35" s="26" t="str">
        <f>IF(F33="","L#D2/D3",IF(F33&lt;H33,_xlfn.CONCAT("L#D2/D3-",RIGHT(E33,LEN(E33) - FIND("-",E33))), _xlfn.CONCAT("L#D2/D3-",RIGHT(G33,LEN(G33) - FIND("-",G33)))))</f>
        <v>L#D2/D3-VANGUARD SILVER</v>
      </c>
      <c r="H35" s="26">
        <v>4</v>
      </c>
      <c r="I35" s="26" t="s">
        <v>589</v>
      </c>
      <c r="J35" s="26" t="s">
        <v>55</v>
      </c>
    </row>
    <row r="36" spans="1:10">
      <c r="A36" s="77">
        <v>46088</v>
      </c>
      <c r="B36" s="76">
        <f>'CHICLETS MASTER'!F11</f>
        <v>0.53472222222222199</v>
      </c>
      <c r="C36" s="76" t="str">
        <f>'CHICLETS MASTER'!$G$3</f>
        <v>WOOLLETT FAR RIGHT</v>
      </c>
      <c r="D36" s="26" t="s">
        <v>590</v>
      </c>
      <c r="E36" s="26" t="str">
        <f>IF(F32="","W#D1/D4",IF(F32&gt;H32,_xlfn.CONCAT("W#D1/D4-",RIGHT(E32,LEN(E32) - FIND("-",E32))), _xlfn.CONCAT("W#D1/D4-",RIGHT(G32,LEN(G32) - FIND("-",G32)))))</f>
        <v>W#D1/D4-PEGASUS WPA BLUE</v>
      </c>
      <c r="F36" s="26">
        <v>14</v>
      </c>
      <c r="G36" s="26" t="str">
        <f>IF(F33="","W#D2/D3",IF(F33&gt;H33,_xlfn.CONCAT("W#D2/D3-",RIGHT(E33,LEN(E33) - FIND("-",E33))), _xlfn.CONCAT("W#D2/D3-",RIGHT(G33,LEN(G33) - FIND("-",G33)))))</f>
        <v>W#D2/D3-SAN DIEGO DONS 10 RED</v>
      </c>
      <c r="H36" s="26">
        <v>10</v>
      </c>
      <c r="I36" s="26" t="s">
        <v>591</v>
      </c>
      <c r="J36" s="26" t="s">
        <v>55</v>
      </c>
    </row>
    <row r="37" spans="1:10">
      <c r="A37" s="77">
        <v>46088</v>
      </c>
      <c r="B37" s="76">
        <f>'CHICLETS MASTER'!F12</f>
        <v>0.56944444444444497</v>
      </c>
      <c r="C37" s="76" t="str">
        <f>'CHICLETS MASTER'!$G$3</f>
        <v>WOOLLETT FAR RIGHT</v>
      </c>
      <c r="D37" s="26" t="s">
        <v>592</v>
      </c>
      <c r="E37" s="26" t="str">
        <f>C4</f>
        <v>C1-LAWPC</v>
      </c>
      <c r="F37" s="26">
        <v>9</v>
      </c>
      <c r="G37" s="26" t="str">
        <f>C5</f>
        <v>C2-MISSION B</v>
      </c>
      <c r="H37" s="26">
        <v>14</v>
      </c>
      <c r="I37" s="26" t="s">
        <v>593</v>
      </c>
      <c r="J37" s="26" t="s">
        <v>55</v>
      </c>
    </row>
    <row r="38" spans="1:10">
      <c r="A38" s="74"/>
    </row>
    <row r="39" spans="1:10">
      <c r="A39" s="74"/>
    </row>
    <row r="40" spans="1:10">
      <c r="A40" s="77">
        <v>46089</v>
      </c>
      <c r="B40" s="76">
        <f>'CHICLETS MASTER'!F32</f>
        <v>0.36111111111111099</v>
      </c>
      <c r="C40" s="76" t="str">
        <f>'CHICLETS MASTER'!$G$29</f>
        <v>WOOLLETT FAR RIGHT</v>
      </c>
      <c r="D40" s="26" t="s">
        <v>594</v>
      </c>
      <c r="E40" s="26" t="str">
        <f>C11</f>
        <v>G1(2ndB)-TROJAN</v>
      </c>
      <c r="F40" s="26">
        <v>5</v>
      </c>
      <c r="G40" s="26" t="str">
        <f>C13</f>
        <v>G3(2ndD)-SAN DIEGO DONS 10 RED</v>
      </c>
      <c r="H40" s="26">
        <v>12</v>
      </c>
      <c r="I40" s="26" t="s">
        <v>595</v>
      </c>
      <c r="J40" s="26" t="s">
        <v>55</v>
      </c>
    </row>
    <row r="41" spans="1:10">
      <c r="A41" s="77">
        <v>46089</v>
      </c>
      <c r="B41" s="76">
        <f>'CHICLETS MASTER'!F33</f>
        <v>0.39583333333333398</v>
      </c>
      <c r="C41" s="76" t="str">
        <f>'CHICLETS MASTER'!$G$29</f>
        <v>WOOLLETT FAR RIGHT</v>
      </c>
      <c r="D41" s="26" t="s">
        <v>596</v>
      </c>
      <c r="E41" s="26" t="str">
        <f>B11</f>
        <v>F1(1stB)-ROUTE 66</v>
      </c>
      <c r="F41" s="26">
        <v>8</v>
      </c>
      <c r="G41" s="26" t="str">
        <f>B13</f>
        <v>F3(1stD)-PEGASUS WPA BLUE</v>
      </c>
      <c r="H41" s="26">
        <v>11</v>
      </c>
      <c r="I41" s="26" t="s">
        <v>597</v>
      </c>
      <c r="J41" s="26" t="s">
        <v>55</v>
      </c>
    </row>
    <row r="42" spans="1:10">
      <c r="A42" s="74"/>
    </row>
    <row r="43" spans="1:10">
      <c r="A43" s="77">
        <v>46089</v>
      </c>
      <c r="B43" s="76">
        <f>'CHICLETS MASTER'!F35</f>
        <v>0.46527777777777801</v>
      </c>
      <c r="C43" s="76" t="str">
        <f>'CHICLETS MASTER'!$G$29</f>
        <v>WOOLLETT FAR RIGHT</v>
      </c>
      <c r="D43" s="26" t="s">
        <v>598</v>
      </c>
      <c r="E43" s="26" t="str">
        <f>C12</f>
        <v>G2(2ndC)-LAWPC</v>
      </c>
      <c r="F43" s="26">
        <v>9</v>
      </c>
      <c r="G43" s="26" t="str">
        <f>C13</f>
        <v>G3(2ndD)-SAN DIEGO DONS 10 RED</v>
      </c>
      <c r="H43" s="26">
        <v>10</v>
      </c>
      <c r="I43" s="26" t="s">
        <v>599</v>
      </c>
      <c r="J43" s="26" t="s">
        <v>55</v>
      </c>
    </row>
    <row r="44" spans="1:10">
      <c r="A44" s="77">
        <v>46089</v>
      </c>
      <c r="B44" s="76">
        <f>'CHICLETS MASTER'!F36</f>
        <v>0.5</v>
      </c>
      <c r="C44" s="76" t="str">
        <f>'CHICLETS MASTER'!$G$29</f>
        <v>WOOLLETT FAR RIGHT</v>
      </c>
      <c r="D44" s="26" t="s">
        <v>600</v>
      </c>
      <c r="E44" s="26" t="str">
        <f>B12</f>
        <v>F2(1stC)-MISSION B</v>
      </c>
      <c r="F44" s="26">
        <v>11</v>
      </c>
      <c r="G44" s="26" t="str">
        <f>B13</f>
        <v>F3(1stD)-PEGASUS WPA BLUE</v>
      </c>
      <c r="H44" s="26">
        <v>6</v>
      </c>
      <c r="I44" s="26" t="s">
        <v>601</v>
      </c>
      <c r="J44" s="26" t="s">
        <v>55</v>
      </c>
    </row>
    <row r="45" spans="1:10">
      <c r="A45" s="74"/>
    </row>
    <row r="46" spans="1:10">
      <c r="A46" s="77">
        <v>46089</v>
      </c>
      <c r="B46" s="76">
        <f>'CHICLETS MASTER'!F38</f>
        <v>0.56944444444444497</v>
      </c>
      <c r="C46" s="76" t="str">
        <f>'CHICLETS MASTER'!$G$29</f>
        <v>WOOLLETT FAR RIGHT</v>
      </c>
      <c r="D46" s="26" t="s">
        <v>602</v>
      </c>
      <c r="E46" s="26" t="str">
        <f>C11</f>
        <v>G1(2ndB)-TROJAN</v>
      </c>
      <c r="F46" s="26">
        <v>9</v>
      </c>
      <c r="G46" s="26" t="str">
        <f>C12</f>
        <v>G2(2ndC)-LAWPC</v>
      </c>
      <c r="H46" s="26">
        <v>14</v>
      </c>
      <c r="I46" s="26" t="s">
        <v>603</v>
      </c>
      <c r="J46" s="26" t="s">
        <v>55</v>
      </c>
    </row>
    <row r="47" spans="1:10">
      <c r="A47" s="77">
        <v>46089</v>
      </c>
      <c r="B47" s="76">
        <f>'CHICLETS MASTER'!F39</f>
        <v>0.60416666666666696</v>
      </c>
      <c r="C47" s="76" t="str">
        <f>'CHICLETS MASTER'!$G$29</f>
        <v>WOOLLETT FAR RIGHT</v>
      </c>
      <c r="D47" s="26" t="s">
        <v>604</v>
      </c>
      <c r="E47" s="26" t="str">
        <f>B11</f>
        <v>F1(1stB)-ROUTE 66</v>
      </c>
      <c r="F47" s="26">
        <v>5</v>
      </c>
      <c r="G47" s="26" t="str">
        <f>B12</f>
        <v>F2(1stC)-MISSION B</v>
      </c>
      <c r="H47" s="26">
        <v>14</v>
      </c>
      <c r="I47" s="26" t="s">
        <v>605</v>
      </c>
      <c r="J47" s="26" t="s">
        <v>55</v>
      </c>
    </row>
    <row r="48" spans="1:10">
      <c r="A48" s="74"/>
    </row>
    <row r="49" spans="1:10">
      <c r="A49" s="77">
        <v>46089</v>
      </c>
      <c r="B49" s="76">
        <f>'CHICLETS MASTER'!F31</f>
        <v>0.3263888888888889</v>
      </c>
      <c r="C49" s="76" t="str">
        <f>'CHICLETS MASTER'!$I$29</f>
        <v>COSTA MESA HS 2</v>
      </c>
      <c r="D49" s="26" t="s">
        <v>606</v>
      </c>
      <c r="E49" s="26" t="str">
        <f>A12</f>
        <v>2ndA-CMAC</v>
      </c>
      <c r="F49" s="26">
        <v>8</v>
      </c>
      <c r="G49" s="26" t="str">
        <f>D12</f>
        <v>3rdD-NEWPORT BEACH 10 BLUE</v>
      </c>
      <c r="H49" s="26">
        <v>6</v>
      </c>
      <c r="I49" s="26" t="s">
        <v>397</v>
      </c>
      <c r="J49" s="26" t="s">
        <v>55</v>
      </c>
    </row>
    <row r="50" spans="1:10">
      <c r="A50" s="77">
        <v>46089</v>
      </c>
      <c r="B50" s="76">
        <f>'CHICLETS MASTER'!F32</f>
        <v>0.36111111111111099</v>
      </c>
      <c r="C50" s="76" t="str">
        <f>'CHICLETS MASTER'!$I$29</f>
        <v>COSTA MESA HS 2</v>
      </c>
      <c r="D50" s="26" t="s">
        <v>607</v>
      </c>
      <c r="E50" s="26" t="str">
        <f>A16</f>
        <v>2ndE-ORWP B</v>
      </c>
      <c r="F50" s="26">
        <v>6</v>
      </c>
      <c r="G50" s="26" t="str">
        <f>D13</f>
        <v>4thD-VANGUARD SILVER</v>
      </c>
      <c r="H50" s="26">
        <v>16</v>
      </c>
      <c r="I50" s="26" t="s">
        <v>397</v>
      </c>
      <c r="J50" s="26" t="s">
        <v>55</v>
      </c>
    </row>
    <row r="51" spans="1:10">
      <c r="A51" s="77">
        <v>46089</v>
      </c>
      <c r="B51" s="76">
        <f>'CHICLETS MASTER'!F33</f>
        <v>0.39583333333333398</v>
      </c>
      <c r="C51" s="76" t="str">
        <f>'CHICLETS MASTER'!$I$29</f>
        <v>COSTA MESA HS 2</v>
      </c>
      <c r="D51" s="26" t="s">
        <v>608</v>
      </c>
      <c r="E51" s="26" t="str">
        <f>A11</f>
        <v>1stA-ORANGE COUNTY WPC A</v>
      </c>
      <c r="F51" s="26">
        <v>18</v>
      </c>
      <c r="G51" s="26" t="str">
        <f>D10</f>
        <v>3rdB-LAGUNA BEACH</v>
      </c>
      <c r="H51" s="26">
        <v>2</v>
      </c>
      <c r="I51" s="26" t="s">
        <v>397</v>
      </c>
      <c r="J51" s="26" t="s">
        <v>55</v>
      </c>
    </row>
    <row r="52" spans="1:10">
      <c r="A52" s="77">
        <v>46089</v>
      </c>
      <c r="B52" s="76">
        <f>'CHICLETS MASTER'!F34</f>
        <v>0.43055555555555602</v>
      </c>
      <c r="C52" s="76" t="str">
        <f>'CHICLETS MASTER'!$I$29</f>
        <v>COSTA MESA HS 2</v>
      </c>
      <c r="D52" s="26" t="s">
        <v>609</v>
      </c>
      <c r="E52" s="26" t="str">
        <f>A12</f>
        <v>2ndA-CMAC</v>
      </c>
      <c r="F52" s="26">
        <v>16</v>
      </c>
      <c r="G52" s="26" t="str">
        <f>A15</f>
        <v>1stE-ORANGE COUNTY WPC B</v>
      </c>
      <c r="H52" s="26">
        <v>6</v>
      </c>
      <c r="I52" s="26" t="s">
        <v>397</v>
      </c>
      <c r="J52" s="26" t="s">
        <v>55</v>
      </c>
    </row>
    <row r="53" spans="1:10">
      <c r="A53" s="77">
        <v>46089</v>
      </c>
      <c r="B53" s="76">
        <f>'CHICLETS MASTER'!F35</f>
        <v>0.46527777777777801</v>
      </c>
      <c r="C53" s="76" t="str">
        <f>'CHICLETS MASTER'!$I$29</f>
        <v>COSTA MESA HS 2</v>
      </c>
      <c r="D53" s="26" t="s">
        <v>610</v>
      </c>
      <c r="E53" s="26" t="str">
        <f>A17</f>
        <v>3rdE-CDM</v>
      </c>
      <c r="F53" s="26">
        <v>6</v>
      </c>
      <c r="G53" s="26" t="str">
        <f>D13</f>
        <v>4thD-VANGUARD SILVER</v>
      </c>
      <c r="H53" s="26">
        <v>11</v>
      </c>
      <c r="I53" s="26" t="s">
        <v>397</v>
      </c>
      <c r="J53" s="26" t="s">
        <v>55</v>
      </c>
    </row>
    <row r="54" spans="1:10">
      <c r="A54" s="77">
        <v>46089</v>
      </c>
      <c r="B54" s="76">
        <f>'CHICLETS MASTER'!F36</f>
        <v>0.5</v>
      </c>
      <c r="C54" s="76" t="str">
        <f>'CHICLETS MASTER'!$I$29</f>
        <v>COSTA MESA HS 2</v>
      </c>
      <c r="D54" s="26" t="s">
        <v>611</v>
      </c>
      <c r="E54" s="26" t="str">
        <f>A11</f>
        <v>1stA-ORANGE COUNTY WPC A</v>
      </c>
      <c r="F54" s="26">
        <v>19</v>
      </c>
      <c r="G54" s="26" t="str">
        <f>D11</f>
        <v>3rdC-NORTH IRVINE RED</v>
      </c>
      <c r="H54" s="26">
        <v>2</v>
      </c>
      <c r="I54" s="26" t="s">
        <v>397</v>
      </c>
      <c r="J54" s="26" t="s">
        <v>55</v>
      </c>
    </row>
    <row r="55" spans="1:10">
      <c r="A55" s="77">
        <v>46089</v>
      </c>
      <c r="B55" s="76">
        <f>'CHICLETS MASTER'!F37</f>
        <v>0.53472222222222199</v>
      </c>
      <c r="C55" s="76" t="str">
        <f>'CHICLETS MASTER'!$I$29</f>
        <v>COSTA MESA HS 2</v>
      </c>
      <c r="D55" s="26" t="s">
        <v>612</v>
      </c>
      <c r="E55" s="26" t="str">
        <f>A16</f>
        <v>2ndE-ORWP B</v>
      </c>
      <c r="F55" s="26">
        <v>1</v>
      </c>
      <c r="G55" s="26" t="str">
        <f>D12</f>
        <v>3rdD-NEWPORT BEACH 10 BLUE</v>
      </c>
      <c r="H55" s="26">
        <v>14</v>
      </c>
      <c r="I55" s="26" t="s">
        <v>397</v>
      </c>
      <c r="J55" s="26" t="s">
        <v>55</v>
      </c>
    </row>
    <row r="56" spans="1:10">
      <c r="A56" s="77">
        <v>46089</v>
      </c>
      <c r="B56" s="76">
        <f>'CHICLETS MASTER'!F38</f>
        <v>0.56944444444444497</v>
      </c>
      <c r="C56" s="76" t="str">
        <f>'CHICLETS MASTER'!$I$29</f>
        <v>COSTA MESA HS 2</v>
      </c>
      <c r="D56" s="26" t="s">
        <v>613</v>
      </c>
      <c r="E56" s="26" t="str">
        <f>A13</f>
        <v>3rdA-LA PREMIER</v>
      </c>
      <c r="F56" s="26">
        <v>24</v>
      </c>
      <c r="G56" s="26" t="str">
        <f>A15</f>
        <v>1stE-ORANGE COUNTY WPC B</v>
      </c>
      <c r="H56" s="26">
        <v>0</v>
      </c>
      <c r="I56" s="26" t="s">
        <v>397</v>
      </c>
      <c r="J56" s="26" t="s">
        <v>55</v>
      </c>
    </row>
    <row r="57" spans="1:10">
      <c r="A57" s="77">
        <v>46089</v>
      </c>
      <c r="B57" s="76">
        <f>'CHICLETS MASTER'!F39</f>
        <v>0.60416666666666696</v>
      </c>
      <c r="C57" s="76" t="str">
        <f>'CHICLETS MASTER'!$I$29</f>
        <v>COSTA MESA HS 2</v>
      </c>
      <c r="D57" s="26" t="s">
        <v>614</v>
      </c>
      <c r="E57" s="26" t="str">
        <f>D10</f>
        <v>3rdB-LAGUNA BEACH</v>
      </c>
      <c r="F57" s="26">
        <v>0</v>
      </c>
      <c r="G57" s="26" t="str">
        <f>D11</f>
        <v>3rdC-NORTH IRVINE RED</v>
      </c>
      <c r="H57" s="26">
        <v>8</v>
      </c>
      <c r="I57" s="26" t="s">
        <v>397</v>
      </c>
      <c r="J57" s="26" t="s">
        <v>55</v>
      </c>
    </row>
    <row r="58" spans="1:10">
      <c r="A58" s="77">
        <v>46089</v>
      </c>
      <c r="B58" s="76">
        <f>'CHICLETS MASTER'!Q40</f>
        <v>0.63888888888888895</v>
      </c>
      <c r="C58" s="76" t="str">
        <f>'CHICLETS MASTER'!$I$29</f>
        <v>COSTA MESA HS 2</v>
      </c>
      <c r="D58" s="26" t="s">
        <v>615</v>
      </c>
      <c r="E58" s="26" t="str">
        <f>A13</f>
        <v>3rdA-LA PREMIER</v>
      </c>
      <c r="F58" s="26">
        <v>6</v>
      </c>
      <c r="G58" s="26" t="str">
        <f>A17</f>
        <v>3rdE-CDM</v>
      </c>
      <c r="H58" s="26">
        <v>1</v>
      </c>
      <c r="I58" s="26" t="s">
        <v>397</v>
      </c>
      <c r="J58" s="26" t="s">
        <v>55</v>
      </c>
    </row>
    <row r="60" spans="1:10">
      <c r="I60" s="74" t="s">
        <v>616</v>
      </c>
      <c r="J60" s="74" t="s">
        <v>617</v>
      </c>
    </row>
    <row r="61" spans="1:10">
      <c r="I61" s="26" t="s">
        <v>414</v>
      </c>
      <c r="J61" s="26" t="s">
        <v>618</v>
      </c>
    </row>
    <row r="62" spans="1:10">
      <c r="I62" s="26" t="s">
        <v>415</v>
      </c>
      <c r="J62" s="26" t="s">
        <v>255</v>
      </c>
    </row>
    <row r="63" spans="1:10">
      <c r="I63" s="26" t="s">
        <v>416</v>
      </c>
      <c r="J63" s="26" t="s">
        <v>619</v>
      </c>
    </row>
    <row r="65" spans="9:11">
      <c r="I65" s="74" t="s">
        <v>620</v>
      </c>
      <c r="J65" s="74" t="s">
        <v>621</v>
      </c>
    </row>
    <row r="66" spans="9:11">
      <c r="I66" s="26" t="s">
        <v>414</v>
      </c>
      <c r="J66" s="26" t="s">
        <v>622</v>
      </c>
      <c r="K66" s="74" t="s">
        <v>420</v>
      </c>
    </row>
    <row r="67" spans="9:11">
      <c r="I67" s="26" t="s">
        <v>415</v>
      </c>
      <c r="J67" s="26" t="s">
        <v>623</v>
      </c>
    </row>
    <row r="68" spans="9:11">
      <c r="I68" s="26" t="s">
        <v>416</v>
      </c>
      <c r="J68" s="26" t="s">
        <v>228</v>
      </c>
      <c r="K68" s="74" t="s">
        <v>420</v>
      </c>
    </row>
    <row r="70" spans="9:11">
      <c r="I70" s="74" t="s">
        <v>624</v>
      </c>
      <c r="J70" s="74" t="s">
        <v>617</v>
      </c>
    </row>
    <row r="71" spans="9:11">
      <c r="I71" s="26" t="s">
        <v>414</v>
      </c>
      <c r="J71" s="26" t="s">
        <v>204</v>
      </c>
    </row>
    <row r="72" spans="9:11">
      <c r="I72" s="26" t="s">
        <v>415</v>
      </c>
      <c r="J72" s="26" t="s">
        <v>166</v>
      </c>
    </row>
    <row r="73" spans="9:11">
      <c r="I73" s="26" t="s">
        <v>416</v>
      </c>
      <c r="J73" s="26" t="s">
        <v>625</v>
      </c>
    </row>
  </sheetData>
  <hyperlinks>
    <hyperlink ref="B2" r:id="rId1" xr:uid="{6B8B7572-3C8F-4377-8D6E-2651C09D26AE}"/>
    <hyperlink ref="C2" r:id="rId2" xr:uid="{CE27B487-286C-48CF-984C-0479E2380DE0}"/>
    <hyperlink ref="A2" r:id="rId3" xr:uid="{4C082CC0-C600-41FB-8F61-6DBDC82713D7}"/>
  </hyperlinks>
  <pageMargins left="0.7" right="0.7" top="0.75" bottom="0.75" header="0.3" footer="0.3"/>
  <pageSetup scale="84" orientation="landscape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0340-EC93-4524-B19F-FA043F83C488}">
  <sheetPr>
    <tabColor rgb="FFFBE2D5"/>
    <pageSetUpPr fitToPage="1"/>
  </sheetPr>
  <dimension ref="A1:J40"/>
  <sheetViews>
    <sheetView workbookViewId="0"/>
  </sheetViews>
  <sheetFormatPr defaultColWidth="9.140625" defaultRowHeight="18"/>
  <cols>
    <col min="1" max="1" width="34.5703125" style="22" customWidth="1"/>
    <col min="2" max="2" width="39.140625" style="22" customWidth="1"/>
    <col min="3" max="3" width="27.5703125" style="22" bestFit="1" customWidth="1"/>
    <col min="4" max="4" width="19.85546875" style="22" bestFit="1" customWidth="1"/>
    <col min="5" max="5" width="35.7109375" style="22" customWidth="1"/>
    <col min="6" max="6" width="9.28515625" style="22" bestFit="1" customWidth="1"/>
    <col min="7" max="7" width="36.5703125" style="22" customWidth="1"/>
    <col min="8" max="8" width="10.85546875" style="22" customWidth="1"/>
    <col min="9" max="9" width="37.42578125" style="22" customWidth="1"/>
    <col min="10" max="10" width="31.140625" style="22" customWidth="1"/>
    <col min="11" max="16384" width="9.140625" style="22"/>
  </cols>
  <sheetData>
    <row r="1" spans="1:10">
      <c r="A1" s="52" t="s">
        <v>626</v>
      </c>
      <c r="B1" s="53" t="s">
        <v>627</v>
      </c>
      <c r="C1" s="63" t="s">
        <v>515</v>
      </c>
      <c r="D1" s="52" t="s">
        <v>426</v>
      </c>
      <c r="E1" s="52" t="s">
        <v>427</v>
      </c>
      <c r="F1" s="41"/>
      <c r="G1" s="59"/>
      <c r="H1" s="59"/>
      <c r="I1" s="59"/>
      <c r="J1" s="1"/>
    </row>
    <row r="2" spans="1:10">
      <c r="A2" s="62" t="s">
        <v>360</v>
      </c>
      <c r="B2" s="61" t="s">
        <v>361</v>
      </c>
      <c r="C2" s="60" t="s">
        <v>362</v>
      </c>
      <c r="D2" s="59"/>
      <c r="E2" s="59"/>
      <c r="F2" s="41"/>
      <c r="G2" s="59"/>
      <c r="H2" s="59"/>
      <c r="I2" s="59"/>
      <c r="J2" s="1"/>
    </row>
    <row r="3" spans="1:10">
      <c r="A3" s="3" t="s">
        <v>118</v>
      </c>
      <c r="B3" s="3" t="s">
        <v>119</v>
      </c>
      <c r="C3" s="53"/>
      <c r="D3" s="52"/>
      <c r="E3" s="52"/>
      <c r="F3" s="41"/>
      <c r="G3" s="59"/>
      <c r="H3" s="59"/>
      <c r="I3" s="59"/>
      <c r="J3" s="41"/>
    </row>
    <row r="4" spans="1:10">
      <c r="A4" s="1" t="s">
        <v>122</v>
      </c>
      <c r="B4" s="1" t="s">
        <v>123</v>
      </c>
      <c r="C4" s="57"/>
      <c r="D4" s="41"/>
      <c r="E4" s="41"/>
      <c r="F4" s="41"/>
      <c r="G4" s="59"/>
      <c r="H4" s="59"/>
      <c r="I4" s="59"/>
      <c r="J4" s="41"/>
    </row>
    <row r="5" spans="1:10">
      <c r="A5" s="1" t="s">
        <v>126</v>
      </c>
      <c r="B5" s="1" t="s">
        <v>275</v>
      </c>
      <c r="C5" s="57"/>
      <c r="D5" s="41"/>
      <c r="E5" s="41"/>
      <c r="F5" s="41"/>
      <c r="G5" s="59"/>
      <c r="H5" s="59"/>
      <c r="I5" s="59"/>
      <c r="J5" s="41"/>
    </row>
    <row r="6" spans="1:10">
      <c r="A6" s="1" t="s">
        <v>130</v>
      </c>
      <c r="B6" s="1" t="s">
        <v>131</v>
      </c>
      <c r="C6" s="57"/>
      <c r="D6" s="41"/>
      <c r="E6" s="41"/>
      <c r="F6" s="41"/>
      <c r="G6" s="58"/>
      <c r="H6" s="41"/>
      <c r="I6" s="41"/>
      <c r="J6" s="41"/>
    </row>
    <row r="7" spans="1:10">
      <c r="A7" s="1"/>
      <c r="B7" s="1" t="s">
        <v>628</v>
      </c>
      <c r="C7" s="57"/>
      <c r="D7" s="41"/>
      <c r="J7" s="41"/>
    </row>
    <row r="8" spans="1:10">
      <c r="A8" s="41"/>
      <c r="B8" s="41"/>
      <c r="C8" s="57"/>
      <c r="D8" s="41"/>
      <c r="J8" s="41"/>
    </row>
    <row r="9" spans="1:10">
      <c r="A9" s="52" t="s">
        <v>346</v>
      </c>
      <c r="B9" s="53" t="s">
        <v>347</v>
      </c>
      <c r="C9" s="52" t="s">
        <v>348</v>
      </c>
      <c r="D9" s="52" t="s">
        <v>349</v>
      </c>
      <c r="E9" s="52" t="s">
        <v>350</v>
      </c>
      <c r="F9" s="52" t="s">
        <v>351</v>
      </c>
      <c r="G9" s="52" t="s">
        <v>352</v>
      </c>
      <c r="H9" s="52" t="s">
        <v>351</v>
      </c>
      <c r="I9" s="52" t="s">
        <v>353</v>
      </c>
      <c r="J9" s="52" t="s">
        <v>0</v>
      </c>
    </row>
    <row r="10" spans="1:10">
      <c r="A10" s="86">
        <v>46088</v>
      </c>
      <c r="B10" s="85">
        <f>'CHICLETS MASTER'!F6</f>
        <v>0.36111111111111099</v>
      </c>
      <c r="C10" s="24" t="str">
        <f>'CHICLETS MASTER'!$H$3</f>
        <v>LAGUNA HILLS HS</v>
      </c>
      <c r="D10" s="24" t="s">
        <v>629</v>
      </c>
      <c r="E10" s="24" t="str">
        <f>A4</f>
        <v>A1-HIELAND</v>
      </c>
      <c r="F10" s="24"/>
      <c r="G10" s="24" t="str">
        <f>A6</f>
        <v>A3-TRILOGY</v>
      </c>
      <c r="H10" s="24"/>
      <c r="I10" s="24" t="s">
        <v>630</v>
      </c>
      <c r="J10" s="24" t="s">
        <v>631</v>
      </c>
    </row>
    <row r="11" spans="1:10">
      <c r="A11" s="86">
        <v>46088</v>
      </c>
      <c r="B11" s="85">
        <f>'CHICLETS MASTER'!F7</f>
        <v>0.39583333333333398</v>
      </c>
      <c r="C11" s="24" t="str">
        <f>'CHICLETS MASTER'!$H$3</f>
        <v>LAGUNA HILLS HS</v>
      </c>
      <c r="D11" s="24" t="s">
        <v>632</v>
      </c>
      <c r="E11" s="24" t="str">
        <f>B4</f>
        <v>B1-ARROYO GRANDE</v>
      </c>
      <c r="F11" s="24"/>
      <c r="G11" s="24" t="str">
        <f>B7</f>
        <v>B4-SET</v>
      </c>
      <c r="H11" s="24"/>
      <c r="I11" s="24" t="s">
        <v>633</v>
      </c>
      <c r="J11" s="24" t="s">
        <v>631</v>
      </c>
    </row>
    <row r="12" spans="1:10">
      <c r="A12" s="86">
        <v>46088</v>
      </c>
      <c r="B12" s="85">
        <f>'CHICLETS MASTER'!F8</f>
        <v>0.43055555555555602</v>
      </c>
      <c r="C12" s="24" t="str">
        <f>'CHICLETS MASTER'!$H$3</f>
        <v>LAGUNA HILLS HS</v>
      </c>
      <c r="D12" s="24" t="s">
        <v>634</v>
      </c>
      <c r="E12" s="24" t="str">
        <f>B5</f>
        <v>B2-INNIS ARDEN</v>
      </c>
      <c r="F12" s="24"/>
      <c r="G12" s="24" t="str">
        <f>B6</f>
        <v>B3-VIKING</v>
      </c>
      <c r="H12" s="24"/>
      <c r="I12" s="24" t="s">
        <v>571</v>
      </c>
      <c r="J12" s="24" t="s">
        <v>631</v>
      </c>
    </row>
    <row r="13" spans="1:10">
      <c r="A13" s="86">
        <v>46088</v>
      </c>
      <c r="B13" s="85">
        <f>'CHICLETS MASTER'!F9</f>
        <v>0.46527777777777801</v>
      </c>
      <c r="C13" s="24" t="str">
        <f>'CHICLETS MASTER'!$H$3</f>
        <v>LAGUNA HILLS HS</v>
      </c>
      <c r="D13" s="24" t="s">
        <v>635</v>
      </c>
      <c r="E13" s="24" t="str">
        <f>A4</f>
        <v>A1-HIELAND</v>
      </c>
      <c r="F13" s="24"/>
      <c r="G13" s="24" t="str">
        <f>A5</f>
        <v>A2-PALOS VERDES</v>
      </c>
      <c r="H13" s="24"/>
      <c r="I13" s="24" t="s">
        <v>636</v>
      </c>
      <c r="J13" s="24" t="s">
        <v>631</v>
      </c>
    </row>
    <row r="14" spans="1:10">
      <c r="A14" s="86">
        <v>46088</v>
      </c>
      <c r="B14" s="85">
        <f>'CHICLETS MASTER'!F10</f>
        <v>0.5</v>
      </c>
      <c r="C14" s="24" t="str">
        <f>'CHICLETS MASTER'!$H$3</f>
        <v>LAGUNA HILLS HS</v>
      </c>
      <c r="D14" s="24" t="s">
        <v>637</v>
      </c>
      <c r="E14" s="24" t="str">
        <f>B4</f>
        <v>B1-ARROYO GRANDE</v>
      </c>
      <c r="F14" s="24"/>
      <c r="G14" s="24" t="str">
        <f>B6</f>
        <v>B3-VIKING</v>
      </c>
      <c r="H14" s="24"/>
      <c r="I14" s="24" t="s">
        <v>565</v>
      </c>
      <c r="J14" s="24" t="s">
        <v>631</v>
      </c>
    </row>
    <row r="15" spans="1:10">
      <c r="A15" s="86">
        <v>46088</v>
      </c>
      <c r="B15" s="85">
        <f>'CHICLETS MASTER'!F11</f>
        <v>0.53472222222222199</v>
      </c>
      <c r="C15" s="24" t="str">
        <f>'CHICLETS MASTER'!$H$3</f>
        <v>LAGUNA HILLS HS</v>
      </c>
      <c r="D15" s="24" t="s">
        <v>638</v>
      </c>
      <c r="E15" s="24" t="str">
        <f>B5</f>
        <v>B2-INNIS ARDEN</v>
      </c>
      <c r="F15" s="24"/>
      <c r="G15" s="24" t="str">
        <f>B7</f>
        <v>B4-SET</v>
      </c>
      <c r="H15" s="24"/>
      <c r="I15" s="24" t="s">
        <v>639</v>
      </c>
      <c r="J15" s="24" t="s">
        <v>631</v>
      </c>
    </row>
    <row r="16" spans="1:10">
      <c r="A16" s="86">
        <v>46088</v>
      </c>
      <c r="B16" s="85">
        <f>'CHICLETS MASTER'!F12</f>
        <v>0.56944444444444497</v>
      </c>
      <c r="C16" s="24" t="str">
        <f>'CHICLETS MASTER'!$H$3</f>
        <v>LAGUNA HILLS HS</v>
      </c>
      <c r="D16" s="24" t="s">
        <v>640</v>
      </c>
      <c r="E16" s="24" t="str">
        <f>A5</f>
        <v>A2-PALOS VERDES</v>
      </c>
      <c r="F16" s="24"/>
      <c r="G16" s="24" t="str">
        <f>A6</f>
        <v>A3-TRILOGY</v>
      </c>
      <c r="H16" s="24"/>
      <c r="I16" s="24" t="s">
        <v>641</v>
      </c>
      <c r="J16" s="24" t="s">
        <v>631</v>
      </c>
    </row>
    <row r="17" spans="1:10">
      <c r="A17" s="41"/>
      <c r="C17" s="41"/>
      <c r="E17" s="41"/>
      <c r="F17" s="41"/>
      <c r="G17" s="41"/>
      <c r="H17" s="41"/>
      <c r="I17" s="41"/>
      <c r="J17" s="41"/>
    </row>
    <row r="18" spans="1:10">
      <c r="A18" s="55"/>
      <c r="B18" s="56"/>
      <c r="C18" s="55"/>
      <c r="D18" s="55"/>
      <c r="E18" s="55"/>
      <c r="F18" s="55"/>
      <c r="G18" s="55"/>
      <c r="H18" s="55"/>
      <c r="I18" s="55"/>
      <c r="J18" s="55"/>
    </row>
    <row r="19" spans="1:10">
      <c r="A19" s="52"/>
      <c r="B19" s="53"/>
      <c r="C19" s="52"/>
      <c r="D19" s="52"/>
      <c r="E19" s="52"/>
      <c r="F19" s="52"/>
      <c r="G19" s="52"/>
      <c r="H19" s="52"/>
      <c r="I19" s="52"/>
      <c r="J19" s="52"/>
    </row>
    <row r="20" spans="1:10">
      <c r="A20" s="86">
        <v>46089</v>
      </c>
      <c r="B20" s="85">
        <f>'CHICLETS MASTER'!F31</f>
        <v>0.3263888888888889</v>
      </c>
      <c r="C20" s="24" t="str">
        <f>'CHICLETS MASTER'!$H$29</f>
        <v>LAGUNA HILLS HS</v>
      </c>
      <c r="D20" s="24" t="s">
        <v>642</v>
      </c>
      <c r="E20" s="24" t="str">
        <f>B6</f>
        <v>B3-VIKING</v>
      </c>
      <c r="F20" s="24"/>
      <c r="G20" s="24" t="str">
        <f>B7</f>
        <v>B4-SET</v>
      </c>
      <c r="H20" s="24"/>
      <c r="I20" s="24" t="s">
        <v>643</v>
      </c>
      <c r="J20" s="24" t="s">
        <v>631</v>
      </c>
    </row>
    <row r="21" spans="1:10">
      <c r="A21" s="86">
        <v>46089</v>
      </c>
      <c r="B21" s="85">
        <f>'CHICLETS MASTER'!F32</f>
        <v>0.36111111111111099</v>
      </c>
      <c r="C21" s="24" t="str">
        <f>'CHICLETS MASTER'!$H$29</f>
        <v>LAGUNA HILLS HS</v>
      </c>
      <c r="D21" s="24" t="s">
        <v>644</v>
      </c>
      <c r="E21" s="24" t="str">
        <f>B4</f>
        <v>B1-ARROYO GRANDE</v>
      </c>
      <c r="F21" s="24"/>
      <c r="G21" s="24" t="str">
        <f>B5</f>
        <v>B2-INNIS ARDEN</v>
      </c>
      <c r="H21" s="24"/>
      <c r="I21" s="24" t="s">
        <v>577</v>
      </c>
      <c r="J21" s="24" t="s">
        <v>631</v>
      </c>
    </row>
    <row r="22" spans="1:10">
      <c r="A22" s="86">
        <v>46089</v>
      </c>
      <c r="B22" s="85">
        <f>'CHICLETS MASTER'!F33</f>
        <v>0.39583333333333398</v>
      </c>
      <c r="C22" s="24" t="str">
        <f>'CHICLETS MASTER'!$H$29</f>
        <v>LAGUNA HILLS HS</v>
      </c>
      <c r="D22" s="24" t="s">
        <v>645</v>
      </c>
      <c r="E22" s="24" t="s">
        <v>104</v>
      </c>
      <c r="F22" s="24"/>
      <c r="G22" s="24" t="s">
        <v>512</v>
      </c>
      <c r="H22" s="24"/>
      <c r="I22" s="24" t="s">
        <v>646</v>
      </c>
      <c r="J22" s="24" t="s">
        <v>631</v>
      </c>
    </row>
    <row r="23" spans="1:10">
      <c r="A23" s="86">
        <v>46089</v>
      </c>
      <c r="B23" s="85">
        <f>'CHICLETS MASTER'!F34</f>
        <v>0.43055555555555602</v>
      </c>
      <c r="C23" s="24" t="str">
        <f>'CHICLETS MASTER'!$H$29</f>
        <v>LAGUNA HILLS HS</v>
      </c>
      <c r="D23" s="24" t="s">
        <v>647</v>
      </c>
      <c r="E23" s="24" t="s">
        <v>94</v>
      </c>
      <c r="F23" s="24"/>
      <c r="G23" s="24" t="s">
        <v>506</v>
      </c>
      <c r="H23" s="24"/>
      <c r="I23" s="24" t="s">
        <v>648</v>
      </c>
      <c r="J23" s="24" t="s">
        <v>631</v>
      </c>
    </row>
    <row r="24" spans="1:10">
      <c r="A24" s="86">
        <v>46089</v>
      </c>
      <c r="B24" s="85">
        <f>'CHICLETS MASTER'!F35</f>
        <v>0.46527777777777801</v>
      </c>
      <c r="C24" s="24" t="str">
        <f>'CHICLETS MASTER'!$H$29</f>
        <v>LAGUNA HILLS HS</v>
      </c>
      <c r="D24" s="24" t="s">
        <v>649</v>
      </c>
      <c r="E24" s="24" t="s">
        <v>508</v>
      </c>
      <c r="F24" s="24"/>
      <c r="G24" s="24" t="s">
        <v>99</v>
      </c>
      <c r="H24" s="24"/>
      <c r="I24" s="24" t="s">
        <v>648</v>
      </c>
      <c r="J24" s="24" t="s">
        <v>631</v>
      </c>
    </row>
    <row r="25" spans="1:10">
      <c r="A25" s="86">
        <v>46089</v>
      </c>
      <c r="B25" s="85">
        <f>'CHICLETS MASTER'!F36</f>
        <v>0.5</v>
      </c>
      <c r="C25" s="24" t="str">
        <f>'CHICLETS MASTER'!$H$29</f>
        <v>LAGUNA HILLS HS</v>
      </c>
      <c r="D25" s="24" t="s">
        <v>650</v>
      </c>
      <c r="E25" s="24" t="s">
        <v>104</v>
      </c>
      <c r="F25" s="24"/>
      <c r="G25" s="24" t="s">
        <v>92</v>
      </c>
      <c r="H25" s="24"/>
      <c r="I25" s="24" t="s">
        <v>646</v>
      </c>
      <c r="J25" s="24" t="s">
        <v>631</v>
      </c>
    </row>
    <row r="26" spans="1:10">
      <c r="A26" s="86">
        <v>46089</v>
      </c>
      <c r="B26" s="85">
        <f>'CHICLETS MASTER'!F37</f>
        <v>0.53472222222222199</v>
      </c>
      <c r="C26" s="24" t="str">
        <f>'CHICLETS MASTER'!$H$29</f>
        <v>LAGUNA HILLS HS</v>
      </c>
      <c r="D26" s="25" t="s">
        <v>651</v>
      </c>
      <c r="E26" s="24" t="str">
        <f>IF(F23="","L#11",IF(F23&lt;H23,_xlfn.CONCAT("L#11-",RIGHT(E23,LEN(E23) - FIND("-",E23))), _xlfn.CONCAT("L#11-",RIGHT(G23,LEN(G23) - FIND("-",G23)))))</f>
        <v>L#11</v>
      </c>
      <c r="F26" s="24"/>
      <c r="G26" s="24" t="str">
        <f>IF(F24="","L#12",IF(F24&lt;H24,_xlfn.CONCAT("L#12-",RIGHT(E24,LEN(E24) - FIND("-",E24))), _xlfn.CONCAT("L#12-",RIGHT(G24,LEN(G24) - FIND("-",G24)))))</f>
        <v>L#12</v>
      </c>
      <c r="H26" s="24"/>
      <c r="I26" s="24" t="s">
        <v>416</v>
      </c>
      <c r="J26" s="24" t="s">
        <v>631</v>
      </c>
    </row>
    <row r="27" spans="1:10">
      <c r="A27" s="86">
        <v>46089</v>
      </c>
      <c r="B27" s="85">
        <f>'CHICLETS MASTER'!F38</f>
        <v>0.56944444444444497</v>
      </c>
      <c r="C27" s="24" t="str">
        <f>'CHICLETS MASTER'!$H$29</f>
        <v>LAGUNA HILLS HS</v>
      </c>
      <c r="D27" s="24" t="s">
        <v>652</v>
      </c>
      <c r="E27" s="24" t="str">
        <f>IF(F23="","W#11",IF(F23&gt;H23,_xlfn.CONCAT("W#11-",RIGHT(E23,LEN(E23) - FIND("-",E23))), _xlfn.CONCAT("W#11-",RIGHT(G23,LEN(G23) - FIND("-",G23)))))</f>
        <v>W#11</v>
      </c>
      <c r="F27" s="24"/>
      <c r="G27" s="24" t="str">
        <f>IF(F24="","W#12",IF(F24&gt;H24,_xlfn.CONCAT("W#12-",RIGHT(E24,LEN(E24) - FIND("-",E24))), _xlfn.CONCAT("W#12-",RIGHT(G24,LEN(G24) - FIND("-",G24)))))</f>
        <v>W#12</v>
      </c>
      <c r="H27" s="24"/>
      <c r="I27" s="24" t="s">
        <v>414</v>
      </c>
      <c r="J27" s="24" t="s">
        <v>631</v>
      </c>
    </row>
    <row r="29" spans="1:10">
      <c r="D29" s="41"/>
      <c r="E29" s="41"/>
      <c r="I29" s="41"/>
    </row>
    <row r="30" spans="1:10">
      <c r="E30" s="41"/>
      <c r="G30" s="22" t="s">
        <v>460</v>
      </c>
      <c r="I30" s="24" t="s">
        <v>414</v>
      </c>
      <c r="J30" s="24"/>
    </row>
    <row r="31" spans="1:10">
      <c r="E31" s="41"/>
      <c r="G31" s="22" t="s">
        <v>460</v>
      </c>
      <c r="I31" s="24" t="s">
        <v>415</v>
      </c>
      <c r="J31" s="24"/>
    </row>
    <row r="32" spans="1:10">
      <c r="E32" s="41"/>
      <c r="G32" s="22" t="s">
        <v>460</v>
      </c>
      <c r="H32" s="50"/>
      <c r="I32" s="24" t="s">
        <v>416</v>
      </c>
      <c r="J32" s="24"/>
    </row>
    <row r="33" spans="2:10">
      <c r="B33" s="44" t="s">
        <v>316</v>
      </c>
      <c r="E33" s="41"/>
      <c r="G33" s="51" t="s">
        <v>461</v>
      </c>
      <c r="H33" s="50"/>
      <c r="I33" s="49"/>
      <c r="J33" s="48"/>
    </row>
    <row r="34" spans="2:10">
      <c r="B34" s="44">
        <f>SUM(C34:F34)</f>
        <v>0</v>
      </c>
      <c r="D34" s="47"/>
      <c r="E34" s="46"/>
      <c r="F34" s="42"/>
      <c r="G34" s="41" t="str">
        <f>B4</f>
        <v>B1-ARROYO GRANDE</v>
      </c>
      <c r="H34" s="42"/>
      <c r="I34" s="49"/>
      <c r="J34" s="48"/>
    </row>
    <row r="35" spans="2:10">
      <c r="B35" s="44">
        <f>SUM(C35:F35)</f>
        <v>0</v>
      </c>
      <c r="D35" s="47"/>
      <c r="E35" s="43"/>
      <c r="F35" s="45"/>
      <c r="G35" s="41" t="str">
        <f>B5</f>
        <v>B2-INNIS ARDEN</v>
      </c>
      <c r="H35" s="45"/>
      <c r="I35" s="49"/>
      <c r="J35" s="48"/>
    </row>
    <row r="36" spans="2:10">
      <c r="B36" s="44">
        <f>SUM(C36:F36)</f>
        <v>0</v>
      </c>
      <c r="D36" s="42"/>
      <c r="E36" s="46"/>
      <c r="F36" s="45"/>
      <c r="G36" s="41" t="str">
        <f>B6</f>
        <v>B3-VIKING</v>
      </c>
      <c r="H36" s="45"/>
      <c r="I36" s="49"/>
      <c r="J36" s="48"/>
    </row>
    <row r="37" spans="2:10">
      <c r="B37" s="44">
        <f>SUM(C37:F37)</f>
        <v>0</v>
      </c>
      <c r="D37" s="42"/>
      <c r="E37" s="43"/>
      <c r="F37" s="42"/>
      <c r="G37" s="41" t="str">
        <f>B7</f>
        <v>B4-SET</v>
      </c>
      <c r="H37" s="42"/>
      <c r="I37" s="49"/>
      <c r="J37" s="48"/>
    </row>
    <row r="38" spans="2:10">
      <c r="E38" s="41"/>
      <c r="I38" s="49"/>
      <c r="J38" s="48"/>
    </row>
    <row r="39" spans="2:10">
      <c r="E39" s="41"/>
      <c r="I39" s="49"/>
      <c r="J39" s="48"/>
    </row>
    <row r="40" spans="2:10">
      <c r="E40" s="41"/>
    </row>
  </sheetData>
  <hyperlinks>
    <hyperlink ref="B2" r:id="rId1" xr:uid="{513B3269-3773-4ED7-B297-C17567DBA979}"/>
    <hyperlink ref="C2" r:id="rId2" xr:uid="{571E1944-1FDC-41E0-B6B0-70E54BB3CD7B}"/>
  </hyperlinks>
  <pageMargins left="0.7" right="0.7" top="0.75" bottom="0.75" header="0.3" footer="0.3"/>
  <pageSetup scale="70" orientation="landscape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2B85-14E7-49A4-A46F-B55F2FB49C79}">
  <sheetPr>
    <tabColor rgb="FFFBE2D5"/>
    <pageSetUpPr fitToPage="1"/>
  </sheetPr>
  <dimension ref="A1:J47"/>
  <sheetViews>
    <sheetView workbookViewId="0"/>
  </sheetViews>
  <sheetFormatPr defaultColWidth="9.140625" defaultRowHeight="18"/>
  <cols>
    <col min="1" max="1" width="34.5703125" style="22" customWidth="1"/>
    <col min="2" max="2" width="39.140625" style="22" customWidth="1"/>
    <col min="3" max="3" width="31.7109375" style="22" customWidth="1"/>
    <col min="4" max="4" width="19.85546875" style="22" bestFit="1" customWidth="1"/>
    <col min="5" max="5" width="35.7109375" style="22" customWidth="1"/>
    <col min="6" max="6" width="9.28515625" style="22" bestFit="1" customWidth="1"/>
    <col min="7" max="7" width="39.42578125" style="22" customWidth="1"/>
    <col min="8" max="8" width="10.85546875" style="22" customWidth="1"/>
    <col min="9" max="9" width="40" style="22" bestFit="1" customWidth="1"/>
    <col min="10" max="10" width="31.140625" style="22" customWidth="1"/>
    <col min="11" max="16384" width="9.140625" style="22"/>
  </cols>
  <sheetData>
    <row r="1" spans="1:10">
      <c r="A1" s="52" t="s">
        <v>653</v>
      </c>
      <c r="B1" s="53" t="s">
        <v>425</v>
      </c>
      <c r="C1" s="63" t="s">
        <v>515</v>
      </c>
      <c r="D1" s="52" t="s">
        <v>426</v>
      </c>
      <c r="E1" s="52" t="s">
        <v>427</v>
      </c>
      <c r="F1" s="41"/>
      <c r="G1" s="59"/>
      <c r="H1" s="59"/>
      <c r="I1" s="59"/>
      <c r="J1" s="1"/>
    </row>
    <row r="2" spans="1:10">
      <c r="A2" s="62" t="s">
        <v>360</v>
      </c>
      <c r="B2" s="61" t="s">
        <v>361</v>
      </c>
      <c r="C2" s="60" t="s">
        <v>362</v>
      </c>
      <c r="D2" s="59"/>
      <c r="E2" s="59"/>
      <c r="F2" s="41"/>
      <c r="G2" s="59"/>
      <c r="H2" s="59"/>
      <c r="I2" s="59"/>
      <c r="J2" s="1"/>
    </row>
    <row r="3" spans="1:10">
      <c r="A3" s="3" t="s">
        <v>118</v>
      </c>
      <c r="B3" s="3" t="s">
        <v>119</v>
      </c>
      <c r="C3" s="53" t="s">
        <v>120</v>
      </c>
      <c r="D3" s="52"/>
      <c r="E3" s="52"/>
      <c r="F3" s="41"/>
      <c r="G3" s="59"/>
      <c r="H3" s="59"/>
      <c r="I3" s="59"/>
      <c r="J3" s="41"/>
    </row>
    <row r="4" spans="1:10">
      <c r="A4" s="1" t="s">
        <v>122</v>
      </c>
      <c r="B4" s="1" t="s">
        <v>123</v>
      </c>
      <c r="C4" s="57" t="s">
        <v>124</v>
      </c>
      <c r="D4" s="41"/>
      <c r="E4" s="41"/>
      <c r="F4" s="41"/>
      <c r="G4" s="59"/>
      <c r="H4" s="59"/>
      <c r="I4" s="59"/>
      <c r="J4" s="41"/>
    </row>
    <row r="5" spans="1:10">
      <c r="A5" s="1" t="s">
        <v>126</v>
      </c>
      <c r="B5" s="1" t="s">
        <v>127</v>
      </c>
      <c r="C5" s="57" t="s">
        <v>128</v>
      </c>
      <c r="D5" s="41"/>
      <c r="E5" s="41"/>
      <c r="F5" s="41"/>
      <c r="G5" s="59"/>
      <c r="H5" s="59"/>
      <c r="I5" s="59"/>
      <c r="J5" s="41"/>
    </row>
    <row r="6" spans="1:10">
      <c r="A6" s="1" t="s">
        <v>130</v>
      </c>
      <c r="B6" s="1" t="s">
        <v>131</v>
      </c>
      <c r="C6" s="57" t="s">
        <v>132</v>
      </c>
      <c r="D6" s="41"/>
      <c r="E6" s="41"/>
      <c r="F6" s="41"/>
      <c r="G6" s="58"/>
      <c r="H6" s="41"/>
      <c r="I6" s="41"/>
      <c r="J6" s="41"/>
    </row>
    <row r="7" spans="1:10">
      <c r="A7" s="1"/>
      <c r="B7" s="1"/>
      <c r="C7" s="57"/>
      <c r="D7" s="41"/>
      <c r="E7" s="41"/>
      <c r="F7" s="41"/>
      <c r="G7" s="58"/>
      <c r="H7" s="41"/>
      <c r="I7" s="41"/>
      <c r="J7" s="41"/>
    </row>
    <row r="8" spans="1:10">
      <c r="A8" s="3" t="s">
        <v>135</v>
      </c>
      <c r="B8" s="3" t="s">
        <v>136</v>
      </c>
      <c r="C8" s="53" t="s">
        <v>137</v>
      </c>
      <c r="D8" s="41"/>
      <c r="E8" s="41"/>
      <c r="F8" s="41"/>
      <c r="G8" s="58"/>
      <c r="H8" s="41"/>
      <c r="I8" s="41"/>
      <c r="J8" s="41"/>
    </row>
    <row r="9" spans="1:10">
      <c r="A9" s="1" t="s">
        <v>654</v>
      </c>
      <c r="B9" s="1" t="s">
        <v>655</v>
      </c>
      <c r="C9" s="1" t="s">
        <v>656</v>
      </c>
      <c r="D9" s="41"/>
      <c r="E9" s="41"/>
      <c r="F9" s="41"/>
      <c r="G9" s="58"/>
      <c r="H9" s="41"/>
      <c r="I9" s="41"/>
      <c r="J9" s="41"/>
    </row>
    <row r="10" spans="1:10">
      <c r="A10" s="1" t="s">
        <v>657</v>
      </c>
      <c r="B10" s="1" t="s">
        <v>658</v>
      </c>
      <c r="C10" s="1" t="s">
        <v>659</v>
      </c>
      <c r="D10" s="41"/>
      <c r="E10" s="41"/>
      <c r="F10" s="41"/>
      <c r="G10" s="58"/>
      <c r="H10" s="41"/>
      <c r="I10" s="41"/>
      <c r="J10" s="41"/>
    </row>
    <row r="11" spans="1:10">
      <c r="A11" s="1" t="s">
        <v>660</v>
      </c>
      <c r="B11" s="1" t="s">
        <v>661</v>
      </c>
      <c r="C11" s="1" t="s">
        <v>662</v>
      </c>
      <c r="D11" s="41"/>
      <c r="J11" s="41"/>
    </row>
    <row r="12" spans="1:10">
      <c r="A12" s="41"/>
      <c r="B12" s="41"/>
      <c r="C12" s="57"/>
      <c r="D12" s="41"/>
      <c r="J12" s="41"/>
    </row>
    <row r="13" spans="1:10">
      <c r="A13" s="52" t="s">
        <v>346</v>
      </c>
      <c r="B13" s="53" t="s">
        <v>347</v>
      </c>
      <c r="C13" s="52" t="s">
        <v>348</v>
      </c>
      <c r="D13" s="52" t="s">
        <v>349</v>
      </c>
      <c r="E13" s="52" t="s">
        <v>350</v>
      </c>
      <c r="F13" s="52" t="s">
        <v>351</v>
      </c>
      <c r="G13" s="52" t="s">
        <v>352</v>
      </c>
      <c r="H13" s="52" t="s">
        <v>351</v>
      </c>
      <c r="I13" s="52" t="s">
        <v>353</v>
      </c>
      <c r="J13" s="52" t="s">
        <v>0</v>
      </c>
    </row>
    <row r="14" spans="1:10">
      <c r="A14" s="86">
        <v>46088</v>
      </c>
      <c r="B14" s="85">
        <f>'CHICLETS MASTER'!F6</f>
        <v>0.36111111111111099</v>
      </c>
      <c r="C14" s="24" t="str">
        <f>'CHICLETS MASTER'!$H$3</f>
        <v>LAGUNA HILLS HS</v>
      </c>
      <c r="D14" s="24" t="s">
        <v>663</v>
      </c>
      <c r="E14" s="24" t="str">
        <f>A4</f>
        <v>A1-HIELAND</v>
      </c>
      <c r="F14" s="24">
        <v>2</v>
      </c>
      <c r="G14" s="24" t="str">
        <f>A6</f>
        <v>A3-TRILOGY</v>
      </c>
      <c r="H14" s="24">
        <v>7</v>
      </c>
      <c r="I14" s="24" t="s">
        <v>630</v>
      </c>
      <c r="J14" s="24" t="s">
        <v>116</v>
      </c>
    </row>
    <row r="15" spans="1:10">
      <c r="A15" s="86">
        <v>46088</v>
      </c>
      <c r="B15" s="85">
        <f>'CHICLETS MASTER'!F7</f>
        <v>0.39583333333333398</v>
      </c>
      <c r="C15" s="24" t="str">
        <f>'CHICLETS MASTER'!$H$3</f>
        <v>LAGUNA HILLS HS</v>
      </c>
      <c r="D15" s="24" t="s">
        <v>664</v>
      </c>
      <c r="E15" s="24" t="str">
        <f>B4</f>
        <v>B1-ARROYO GRANDE</v>
      </c>
      <c r="F15" s="24">
        <v>4</v>
      </c>
      <c r="G15" s="24" t="str">
        <f>B6</f>
        <v>B3-VIKING</v>
      </c>
      <c r="H15" s="24">
        <v>8</v>
      </c>
      <c r="I15" s="24" t="s">
        <v>565</v>
      </c>
      <c r="J15" s="24" t="s">
        <v>116</v>
      </c>
    </row>
    <row r="16" spans="1:10">
      <c r="A16" s="86">
        <v>46088</v>
      </c>
      <c r="B16" s="85">
        <f>'CHICLETS MASTER'!F8</f>
        <v>0.43055555555555602</v>
      </c>
      <c r="C16" s="24" t="str">
        <f>'CHICLETS MASTER'!$H$3</f>
        <v>LAGUNA HILLS HS</v>
      </c>
      <c r="D16" s="24" t="s">
        <v>665</v>
      </c>
      <c r="E16" s="85" t="str">
        <f>C4</f>
        <v>C1-INNIS ARDEN</v>
      </c>
      <c r="F16" s="24">
        <v>15</v>
      </c>
      <c r="G16" s="85" t="str">
        <f>C6</f>
        <v>C3-LAGUNA BEACH GIRLS</v>
      </c>
      <c r="H16" s="24">
        <v>5</v>
      </c>
      <c r="I16" s="24" t="s">
        <v>581</v>
      </c>
      <c r="J16" s="24" t="s">
        <v>116</v>
      </c>
    </row>
    <row r="17" spans="1:10">
      <c r="A17" s="86">
        <v>46088</v>
      </c>
      <c r="B17" s="85">
        <f>'CHICLETS MASTER'!F9</f>
        <v>0.46527777777777801</v>
      </c>
      <c r="C17" s="24" t="str">
        <f>'CHICLETS MASTER'!$H$3</f>
        <v>LAGUNA HILLS HS</v>
      </c>
      <c r="D17" s="24" t="s">
        <v>666</v>
      </c>
      <c r="E17" s="24" t="str">
        <f>A5</f>
        <v>A2-PALOS VERDES</v>
      </c>
      <c r="F17" s="24">
        <v>4</v>
      </c>
      <c r="G17" s="24" t="str">
        <f>A6</f>
        <v>A3-TRILOGY</v>
      </c>
      <c r="H17" s="24">
        <v>11</v>
      </c>
      <c r="I17" s="24" t="s">
        <v>641</v>
      </c>
      <c r="J17" s="24" t="s">
        <v>116</v>
      </c>
    </row>
    <row r="18" spans="1:10">
      <c r="A18" s="86">
        <v>46088</v>
      </c>
      <c r="B18" s="85">
        <f>'CHICLETS MASTER'!F10</f>
        <v>0.5</v>
      </c>
      <c r="C18" s="24" t="str">
        <f>'CHICLETS MASTER'!$H$3</f>
        <v>LAGUNA HILLS HS</v>
      </c>
      <c r="D18" s="24" t="s">
        <v>667</v>
      </c>
      <c r="E18" s="24" t="str">
        <f>B5</f>
        <v>B2-SET</v>
      </c>
      <c r="F18" s="24">
        <v>5</v>
      </c>
      <c r="G18" s="24" t="str">
        <f>B6</f>
        <v>B3-VIKING</v>
      </c>
      <c r="H18" s="24">
        <v>15</v>
      </c>
      <c r="I18" s="24" t="s">
        <v>571</v>
      </c>
      <c r="J18" s="24" t="s">
        <v>116</v>
      </c>
    </row>
    <row r="19" spans="1:10">
      <c r="A19" s="86">
        <v>46088</v>
      </c>
      <c r="B19" s="85">
        <f>'CHICLETS MASTER'!F11</f>
        <v>0.53472222222222199</v>
      </c>
      <c r="C19" s="24" t="str">
        <f>'CHICLETS MASTER'!$H$3</f>
        <v>LAGUNA HILLS HS</v>
      </c>
      <c r="D19" s="24" t="s">
        <v>668</v>
      </c>
      <c r="E19" s="85" t="str">
        <f>C5</f>
        <v>C2-CMAC GIRLS</v>
      </c>
      <c r="F19" s="24">
        <v>9</v>
      </c>
      <c r="G19" s="85" t="str">
        <f>C6</f>
        <v>C3-LAGUNA BEACH GIRLS</v>
      </c>
      <c r="H19" s="24">
        <v>10</v>
      </c>
      <c r="I19" s="24" t="s">
        <v>669</v>
      </c>
      <c r="J19" s="24" t="s">
        <v>116</v>
      </c>
    </row>
    <row r="20" spans="1:10">
      <c r="A20" s="86">
        <v>46088</v>
      </c>
      <c r="B20" s="85">
        <f>'CHICLETS MASTER'!F12</f>
        <v>0.56944444444444497</v>
      </c>
      <c r="C20" s="24" t="str">
        <f>'CHICLETS MASTER'!$H$3</f>
        <v>LAGUNA HILLS HS</v>
      </c>
      <c r="D20" s="24" t="s">
        <v>670</v>
      </c>
      <c r="E20" s="24" t="str">
        <f>A4</f>
        <v>A1-HIELAND</v>
      </c>
      <c r="F20" s="24">
        <v>6</v>
      </c>
      <c r="G20" s="24" t="str">
        <f>A5</f>
        <v>A2-PALOS VERDES</v>
      </c>
      <c r="H20" s="24">
        <v>12</v>
      </c>
      <c r="I20" s="24" t="s">
        <v>636</v>
      </c>
      <c r="J20" s="24" t="s">
        <v>116</v>
      </c>
    </row>
    <row r="21" spans="1:10">
      <c r="A21" s="41"/>
      <c r="C21" s="41"/>
      <c r="E21" s="41"/>
      <c r="F21" s="41"/>
      <c r="G21" s="41"/>
      <c r="H21" s="41"/>
      <c r="I21" s="41"/>
      <c r="J21" s="41"/>
    </row>
    <row r="22" spans="1:10">
      <c r="A22" s="86">
        <v>46088</v>
      </c>
      <c r="B22" s="85">
        <f>'CHICLETS MASTER'!B14</f>
        <v>0.64583333333333304</v>
      </c>
      <c r="C22" s="184" t="str">
        <f>'CHICLETS MASTER'!$G$29</f>
        <v>WOOLLETT FAR RIGHT</v>
      </c>
      <c r="D22" s="24" t="s">
        <v>671</v>
      </c>
      <c r="E22" s="24" t="str">
        <f>B4</f>
        <v>B1-ARROYO GRANDE</v>
      </c>
      <c r="F22" s="24">
        <v>14</v>
      </c>
      <c r="G22" s="24" t="str">
        <f>B5</f>
        <v>B2-SET</v>
      </c>
      <c r="H22" s="24">
        <v>6</v>
      </c>
      <c r="I22" s="24" t="s">
        <v>577</v>
      </c>
      <c r="J22" s="24" t="s">
        <v>116</v>
      </c>
    </row>
    <row r="23" spans="1:10">
      <c r="A23" s="86">
        <v>46088</v>
      </c>
      <c r="B23" s="85">
        <f>'CHICLETS MASTER'!B15</f>
        <v>0.68055555555555602</v>
      </c>
      <c r="C23" s="184" t="str">
        <f>'CHICLETS MASTER'!$G$29</f>
        <v>WOOLLETT FAR RIGHT</v>
      </c>
      <c r="D23" s="24" t="s">
        <v>672</v>
      </c>
      <c r="E23" s="85" t="str">
        <f>C4</f>
        <v>C1-INNIS ARDEN</v>
      </c>
      <c r="F23" s="24">
        <v>12</v>
      </c>
      <c r="G23" s="85" t="str">
        <f>C5</f>
        <v>C2-CMAC GIRLS</v>
      </c>
      <c r="H23" s="24">
        <v>7</v>
      </c>
      <c r="I23" s="24" t="s">
        <v>593</v>
      </c>
      <c r="J23" s="24" t="s">
        <v>116</v>
      </c>
    </row>
    <row r="24" spans="1:10">
      <c r="A24" s="41"/>
      <c r="C24" s="41"/>
      <c r="E24" s="41"/>
      <c r="F24" s="41"/>
      <c r="G24" s="41"/>
      <c r="H24" s="41"/>
      <c r="I24" s="41"/>
      <c r="J24" s="41"/>
    </row>
    <row r="25" spans="1:10">
      <c r="A25" s="55"/>
      <c r="B25" s="56"/>
      <c r="C25" s="55"/>
      <c r="D25" s="55"/>
      <c r="E25" s="55"/>
      <c r="F25" s="55"/>
      <c r="G25" s="55"/>
      <c r="H25" s="55"/>
      <c r="I25" s="55"/>
      <c r="J25" s="55"/>
    </row>
    <row r="26" spans="1:10">
      <c r="A26" s="52"/>
      <c r="B26" s="53"/>
      <c r="C26" s="52"/>
      <c r="D26" s="52"/>
      <c r="E26" s="52"/>
      <c r="F26" s="52"/>
      <c r="G26" s="52"/>
      <c r="H26" s="52"/>
      <c r="I26" s="52"/>
      <c r="J26" s="52"/>
    </row>
    <row r="27" spans="1:10">
      <c r="A27" s="86">
        <v>46089</v>
      </c>
      <c r="B27" s="85">
        <f>'CHICLETS MASTER'!F31</f>
        <v>0.3263888888888889</v>
      </c>
      <c r="C27" s="24" t="str">
        <f>'CHICLETS MASTER'!$H$29</f>
        <v>LAGUNA HILLS HS</v>
      </c>
      <c r="D27" s="24" t="s">
        <v>673</v>
      </c>
      <c r="E27" s="24" t="str">
        <f>A9</f>
        <v>D1(1stA)-TRILOGY</v>
      </c>
      <c r="F27" s="24">
        <v>10</v>
      </c>
      <c r="G27" s="24" t="str">
        <f>A11</f>
        <v>D3(1stC)-INNIS ARDEN</v>
      </c>
      <c r="H27" s="24">
        <v>8</v>
      </c>
      <c r="I27" s="24" t="s">
        <v>674</v>
      </c>
      <c r="J27" s="24" t="s">
        <v>116</v>
      </c>
    </row>
    <row r="28" spans="1:10">
      <c r="A28" s="86">
        <v>46089</v>
      </c>
      <c r="B28" s="85">
        <f>'CHICLETS MASTER'!F32</f>
        <v>0.36111111111111099</v>
      </c>
      <c r="C28" s="24" t="str">
        <f>'CHICLETS MASTER'!$H$29</f>
        <v>LAGUNA HILLS HS</v>
      </c>
      <c r="D28" s="24" t="s">
        <v>675</v>
      </c>
      <c r="E28" s="24" t="str">
        <f>B9</f>
        <v>E1(2ndA)-PALOS VERDES</v>
      </c>
      <c r="F28" s="24">
        <v>10</v>
      </c>
      <c r="G28" s="24" t="str">
        <f>B11</f>
        <v>E3(2ndC)-LAGUNA BEACH GIRLS</v>
      </c>
      <c r="H28" s="24">
        <v>3</v>
      </c>
      <c r="I28" s="24" t="s">
        <v>676</v>
      </c>
      <c r="J28" s="24" t="s">
        <v>116</v>
      </c>
    </row>
    <row r="29" spans="1:10">
      <c r="A29" s="86">
        <v>46089</v>
      </c>
      <c r="B29" s="85">
        <f>'CHICLETS MASTER'!F33</f>
        <v>0.39583333333333398</v>
      </c>
      <c r="C29" s="24" t="str">
        <f>'CHICLETS MASTER'!$H$29</f>
        <v>LAGUNA HILLS HS</v>
      </c>
      <c r="D29" s="24" t="s">
        <v>677</v>
      </c>
      <c r="E29" s="24" t="str">
        <f>C9</f>
        <v>F1(3rdA)-HEILAND</v>
      </c>
      <c r="F29" s="24">
        <v>8</v>
      </c>
      <c r="G29" s="24" t="str">
        <f>C11</f>
        <v>F3(3rdC)-CMAC GIRLS</v>
      </c>
      <c r="H29" s="24">
        <v>5</v>
      </c>
      <c r="I29" s="24" t="s">
        <v>678</v>
      </c>
      <c r="J29" s="24" t="s">
        <v>116</v>
      </c>
    </row>
    <row r="30" spans="1:10">
      <c r="A30" s="86">
        <v>46089</v>
      </c>
      <c r="B30" s="85">
        <f>'CHICLETS MASTER'!F34</f>
        <v>0.43055555555555602</v>
      </c>
      <c r="C30" s="24" t="str">
        <f>'CHICLETS MASTER'!$H$29</f>
        <v>LAGUNA HILLS HS</v>
      </c>
      <c r="D30" s="24" t="s">
        <v>679</v>
      </c>
      <c r="E30" s="24" t="str">
        <f>A10</f>
        <v>D2(1stB)-VIKING</v>
      </c>
      <c r="F30" s="24">
        <v>9</v>
      </c>
      <c r="G30" s="24" t="str">
        <f>A11</f>
        <v>D3(1stC)-INNIS ARDEN</v>
      </c>
      <c r="H30" s="24">
        <v>6</v>
      </c>
      <c r="I30" s="24" t="s">
        <v>680</v>
      </c>
      <c r="J30" s="24" t="s">
        <v>116</v>
      </c>
    </row>
    <row r="31" spans="1:10">
      <c r="A31" s="86">
        <v>46089</v>
      </c>
      <c r="B31" s="85">
        <f>'CHICLETS MASTER'!F35</f>
        <v>0.46527777777777801</v>
      </c>
      <c r="C31" s="24" t="str">
        <f>'CHICLETS MASTER'!$H$29</f>
        <v>LAGUNA HILLS HS</v>
      </c>
      <c r="D31" s="24" t="s">
        <v>681</v>
      </c>
      <c r="E31" s="24" t="str">
        <f>B10</f>
        <v>E2(2ndB)-ARROYO GRANDE</v>
      </c>
      <c r="F31" s="24">
        <v>9</v>
      </c>
      <c r="G31" s="24" t="str">
        <f>B11</f>
        <v>E3(2ndC)-LAGUNA BEACH GIRLS</v>
      </c>
      <c r="H31" s="24">
        <v>10</v>
      </c>
      <c r="I31" s="24" t="s">
        <v>682</v>
      </c>
      <c r="J31" s="24" t="s">
        <v>116</v>
      </c>
    </row>
    <row r="32" spans="1:10">
      <c r="A32" s="86">
        <v>46089</v>
      </c>
      <c r="B32" s="85">
        <f>'CHICLETS MASTER'!F36</f>
        <v>0.5</v>
      </c>
      <c r="C32" s="24" t="str">
        <f>'CHICLETS MASTER'!$H$29</f>
        <v>LAGUNA HILLS HS</v>
      </c>
      <c r="D32" s="24" t="s">
        <v>683</v>
      </c>
      <c r="E32" s="24" t="str">
        <f>C10</f>
        <v>F2(3rdB)-SET</v>
      </c>
      <c r="F32" s="24">
        <v>4</v>
      </c>
      <c r="G32" s="24" t="str">
        <f>C11</f>
        <v>F3(3rdC)-CMAC GIRLS</v>
      </c>
      <c r="H32" s="24">
        <v>9</v>
      </c>
      <c r="I32" s="24" t="s">
        <v>684</v>
      </c>
      <c r="J32" s="24" t="s">
        <v>116</v>
      </c>
    </row>
    <row r="33" spans="1:10">
      <c r="A33" s="86">
        <v>46089</v>
      </c>
      <c r="B33" s="85">
        <f>'CHICLETS MASTER'!F37</f>
        <v>0.53472222222222199</v>
      </c>
      <c r="C33" s="24" t="str">
        <f>'CHICLETS MASTER'!$H$29</f>
        <v>LAGUNA HILLS HS</v>
      </c>
      <c r="D33" s="24" t="s">
        <v>685</v>
      </c>
      <c r="E33" s="24" t="str">
        <f>A9</f>
        <v>D1(1stA)-TRILOGY</v>
      </c>
      <c r="F33" s="24">
        <v>3</v>
      </c>
      <c r="G33" s="24" t="str">
        <f>A10</f>
        <v>D2(1stB)-VIKING</v>
      </c>
      <c r="H33" s="24">
        <v>4</v>
      </c>
      <c r="I33" s="24" t="s">
        <v>686</v>
      </c>
      <c r="J33" s="24" t="s">
        <v>116</v>
      </c>
    </row>
    <row r="34" spans="1:10">
      <c r="A34" s="86">
        <v>46089</v>
      </c>
      <c r="B34" s="85">
        <f>'CHICLETS MASTER'!F38</f>
        <v>0.56944444444444497</v>
      </c>
      <c r="C34" s="24" t="str">
        <f>'CHICLETS MASTER'!$H$29</f>
        <v>LAGUNA HILLS HS</v>
      </c>
      <c r="D34" s="24" t="s">
        <v>687</v>
      </c>
      <c r="E34" s="24" t="str">
        <f>B9</f>
        <v>E1(2ndA)-PALOS VERDES</v>
      </c>
      <c r="F34" s="24">
        <v>12</v>
      </c>
      <c r="G34" s="24" t="str">
        <f>B10</f>
        <v>E2(2ndB)-ARROYO GRANDE</v>
      </c>
      <c r="H34" s="24">
        <v>10</v>
      </c>
      <c r="I34" s="24" t="s">
        <v>688</v>
      </c>
      <c r="J34" s="24" t="s">
        <v>116</v>
      </c>
    </row>
    <row r="35" spans="1:10">
      <c r="E35" s="41"/>
      <c r="G35" s="22" t="s">
        <v>460</v>
      </c>
    </row>
    <row r="36" spans="1:10">
      <c r="A36" s="86">
        <v>46089</v>
      </c>
      <c r="B36" s="85">
        <f>'CHICLETS MASTER'!B40</f>
        <v>0.64583333333333304</v>
      </c>
      <c r="C36" s="184" t="str">
        <f>'CHICLETS MASTER'!$G$29</f>
        <v>WOOLLETT FAR RIGHT</v>
      </c>
      <c r="D36" s="24" t="s">
        <v>689</v>
      </c>
      <c r="E36" s="24" t="str">
        <f>C9</f>
        <v>F1(3rdA)-HEILAND</v>
      </c>
      <c r="F36" s="24">
        <v>5</v>
      </c>
      <c r="G36" s="24" t="str">
        <f>C10</f>
        <v>F2(3rdB)-SET</v>
      </c>
      <c r="H36" s="24">
        <v>7</v>
      </c>
      <c r="I36" s="24" t="s">
        <v>690</v>
      </c>
      <c r="J36" s="24" t="s">
        <v>116</v>
      </c>
    </row>
    <row r="37" spans="1:10">
      <c r="E37" s="41"/>
      <c r="G37" s="22" t="s">
        <v>460</v>
      </c>
      <c r="J37" s="181" t="s">
        <v>691</v>
      </c>
    </row>
    <row r="38" spans="1:10">
      <c r="E38" s="41"/>
      <c r="G38" s="22" t="s">
        <v>460</v>
      </c>
      <c r="I38" s="41" t="s">
        <v>626</v>
      </c>
      <c r="J38" s="45" t="s">
        <v>692</v>
      </c>
    </row>
    <row r="39" spans="1:10">
      <c r="E39" s="41"/>
      <c r="G39" s="22" t="s">
        <v>460</v>
      </c>
      <c r="H39" s="50"/>
      <c r="I39" s="24" t="s">
        <v>414</v>
      </c>
      <c r="J39" s="24" t="s">
        <v>21</v>
      </c>
    </row>
    <row r="40" spans="1:10">
      <c r="E40" s="41"/>
      <c r="G40" s="22" t="s">
        <v>460</v>
      </c>
      <c r="H40" s="50"/>
      <c r="I40" s="24" t="s">
        <v>415</v>
      </c>
      <c r="J40" s="24" t="s">
        <v>134</v>
      </c>
    </row>
    <row r="41" spans="1:10">
      <c r="D41" s="47"/>
      <c r="E41" s="46"/>
      <c r="F41" s="42"/>
      <c r="G41" s="22" t="s">
        <v>460</v>
      </c>
      <c r="H41" s="42"/>
      <c r="I41" s="24" t="s">
        <v>416</v>
      </c>
      <c r="J41" s="24" t="s">
        <v>125</v>
      </c>
    </row>
    <row r="42" spans="1:10">
      <c r="D42" s="47"/>
      <c r="E42" s="43"/>
      <c r="F42" s="45"/>
      <c r="G42" s="22" t="s">
        <v>460</v>
      </c>
      <c r="H42" s="45"/>
      <c r="I42" s="49"/>
      <c r="J42" s="181" t="s">
        <v>691</v>
      </c>
    </row>
    <row r="43" spans="1:10">
      <c r="D43" s="42"/>
      <c r="E43" s="46"/>
      <c r="F43" s="45"/>
      <c r="G43" s="22" t="s">
        <v>460</v>
      </c>
      <c r="H43" s="45"/>
      <c r="I43" s="45" t="s">
        <v>693</v>
      </c>
      <c r="J43" s="45" t="s">
        <v>694</v>
      </c>
    </row>
    <row r="44" spans="1:10">
      <c r="D44" s="42"/>
      <c r="E44" s="43"/>
      <c r="F44" s="42"/>
      <c r="G44" s="22" t="s">
        <v>460</v>
      </c>
      <c r="H44" s="42"/>
      <c r="I44" s="24" t="s">
        <v>414</v>
      </c>
      <c r="J44" s="24" t="s">
        <v>145</v>
      </c>
    </row>
    <row r="45" spans="1:10">
      <c r="E45" s="41"/>
      <c r="G45" s="22" t="s">
        <v>460</v>
      </c>
      <c r="I45" s="24" t="s">
        <v>415</v>
      </c>
      <c r="J45" s="24" t="s">
        <v>141</v>
      </c>
    </row>
    <row r="46" spans="1:10">
      <c r="E46" s="41"/>
      <c r="G46" s="22" t="s">
        <v>460</v>
      </c>
      <c r="I46" s="49"/>
      <c r="J46" s="48"/>
    </row>
    <row r="47" spans="1:10">
      <c r="E47" s="41"/>
    </row>
  </sheetData>
  <hyperlinks>
    <hyperlink ref="B2" r:id="rId1" xr:uid="{95412768-461F-45F9-8DF5-F0406A3EA3B3}"/>
    <hyperlink ref="C2" r:id="rId2" xr:uid="{5BAF0661-9664-473E-8D83-2F043610B874}"/>
    <hyperlink ref="A2" r:id="rId3" xr:uid="{B25F994A-7DF5-4608-8BB4-264014BBE060}"/>
  </hyperlinks>
  <pageMargins left="0.7" right="0.7" top="0.75" bottom="0.75" header="0.3" footer="0.3"/>
  <pageSetup scale="70" orientation="landscape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D9C5-EBDD-4C2F-9B2B-AAC3566975D3}">
  <sheetPr>
    <tabColor rgb="FF3C7D22"/>
    <pageSetUpPr fitToPage="1"/>
  </sheetPr>
  <dimension ref="A1:J49"/>
  <sheetViews>
    <sheetView workbookViewId="0"/>
  </sheetViews>
  <sheetFormatPr defaultColWidth="9.140625" defaultRowHeight="18"/>
  <cols>
    <col min="1" max="1" width="39.140625" style="75" customWidth="1"/>
    <col min="2" max="2" width="40.140625" style="74" bestFit="1" customWidth="1"/>
    <col min="3" max="3" width="31.85546875" style="74" customWidth="1"/>
    <col min="4" max="4" width="38.85546875" style="74" customWidth="1"/>
    <col min="5" max="5" width="46.85546875" style="74" bestFit="1" customWidth="1"/>
    <col min="6" max="6" width="4.28515625" style="74" bestFit="1" customWidth="1"/>
    <col min="7" max="7" width="45.5703125" style="74" bestFit="1" customWidth="1"/>
    <col min="8" max="8" width="4.28515625" style="74" bestFit="1" customWidth="1"/>
    <col min="9" max="9" width="22.140625" style="74" customWidth="1"/>
    <col min="10" max="10" width="38.42578125" style="74" bestFit="1" customWidth="1"/>
    <col min="11" max="16384" width="9.140625" style="74"/>
  </cols>
  <sheetData>
    <row r="1" spans="1:10">
      <c r="A1" s="82" t="s">
        <v>695</v>
      </c>
      <c r="B1" s="84" t="s">
        <v>696</v>
      </c>
      <c r="C1" s="83" t="s">
        <v>548</v>
      </c>
      <c r="D1" s="74" t="s">
        <v>549</v>
      </c>
      <c r="E1" s="82"/>
      <c r="F1" s="82"/>
      <c r="G1" s="82"/>
    </row>
    <row r="2" spans="1:10">
      <c r="A2" s="62" t="s">
        <v>360</v>
      </c>
      <c r="B2" s="61" t="s">
        <v>361</v>
      </c>
      <c r="C2" s="60" t="s">
        <v>362</v>
      </c>
      <c r="D2" s="82"/>
      <c r="E2" s="82"/>
      <c r="F2" s="82"/>
      <c r="G2" s="82"/>
      <c r="H2" s="82"/>
    </row>
    <row r="3" spans="1:10">
      <c r="A3" s="3" t="s">
        <v>118</v>
      </c>
      <c r="B3" s="3" t="s">
        <v>119</v>
      </c>
      <c r="C3" s="3" t="s">
        <v>120</v>
      </c>
      <c r="D3" s="3" t="s">
        <v>135</v>
      </c>
      <c r="F3" s="79"/>
      <c r="H3" s="80"/>
      <c r="I3" s="80"/>
      <c r="J3" s="80"/>
    </row>
    <row r="4" spans="1:10">
      <c r="A4" s="1" t="s">
        <v>152</v>
      </c>
      <c r="B4" s="1" t="s">
        <v>153</v>
      </c>
      <c r="C4" s="1" t="s">
        <v>154</v>
      </c>
      <c r="D4" s="1" t="s">
        <v>155</v>
      </c>
      <c r="F4" s="79"/>
      <c r="H4" s="79"/>
      <c r="I4" s="79"/>
      <c r="J4" s="79"/>
    </row>
    <row r="5" spans="1:10">
      <c r="A5" s="1" t="s">
        <v>157</v>
      </c>
      <c r="B5" s="1" t="s">
        <v>158</v>
      </c>
      <c r="C5" s="1" t="s">
        <v>159</v>
      </c>
      <c r="D5" s="1" t="s">
        <v>160</v>
      </c>
      <c r="J5" s="79"/>
    </row>
    <row r="6" spans="1:10">
      <c r="A6" s="1" t="s">
        <v>162</v>
      </c>
      <c r="B6" s="1" t="s">
        <v>163</v>
      </c>
      <c r="C6" s="1" t="s">
        <v>164</v>
      </c>
      <c r="D6" s="1" t="s">
        <v>165</v>
      </c>
      <c r="J6" s="79"/>
    </row>
    <row r="7" spans="1:10">
      <c r="A7" s="1" t="s">
        <v>167</v>
      </c>
      <c r="B7" s="1" t="s">
        <v>168</v>
      </c>
      <c r="C7" s="1" t="s">
        <v>169</v>
      </c>
      <c r="D7" s="1" t="s">
        <v>170</v>
      </c>
      <c r="E7" s="79"/>
      <c r="F7" s="79"/>
      <c r="G7" s="79"/>
      <c r="H7" s="79"/>
      <c r="I7" s="79"/>
      <c r="J7" s="79"/>
    </row>
    <row r="9" spans="1:10">
      <c r="A9" s="52" t="s">
        <v>346</v>
      </c>
      <c r="B9" s="53" t="s">
        <v>347</v>
      </c>
      <c r="C9" s="52" t="s">
        <v>348</v>
      </c>
      <c r="D9" s="52" t="s">
        <v>349</v>
      </c>
      <c r="E9" s="52" t="s">
        <v>350</v>
      </c>
      <c r="F9" s="52" t="s">
        <v>351</v>
      </c>
      <c r="G9" s="52" t="s">
        <v>352</v>
      </c>
      <c r="H9" s="52" t="s">
        <v>351</v>
      </c>
      <c r="I9" s="52" t="s">
        <v>353</v>
      </c>
      <c r="J9" s="52" t="s">
        <v>0</v>
      </c>
    </row>
    <row r="10" spans="1:10">
      <c r="A10" s="88">
        <v>46088</v>
      </c>
      <c r="B10" s="87">
        <f>'CHICLETS MASTER'!Q5</f>
        <v>0.3263888888888889</v>
      </c>
      <c r="C10" s="87" t="str">
        <f>'CHICLETS MASTER'!$V$3</f>
        <v>ESTANCIA HS 2</v>
      </c>
      <c r="D10" s="36" t="s">
        <v>697</v>
      </c>
      <c r="E10" s="36" t="str">
        <f>A5</f>
        <v>A2-BREA OLINDA GOLD</v>
      </c>
      <c r="F10" s="36">
        <v>18</v>
      </c>
      <c r="G10" s="36" t="str">
        <f>A6</f>
        <v>A3-TROJAN GOLD</v>
      </c>
      <c r="H10" s="36">
        <v>9</v>
      </c>
      <c r="I10" s="36" t="s">
        <v>698</v>
      </c>
      <c r="J10" s="36" t="s">
        <v>149</v>
      </c>
    </row>
    <row r="11" spans="1:10">
      <c r="A11" s="88">
        <v>46088</v>
      </c>
      <c r="B11" s="87">
        <f>'CHICLETS MASTER'!Q6</f>
        <v>0.36111111111111099</v>
      </c>
      <c r="C11" s="87" t="str">
        <f>'CHICLETS MASTER'!$V$3</f>
        <v>ESTANCIA HS 2</v>
      </c>
      <c r="D11" s="36" t="s">
        <v>699</v>
      </c>
      <c r="E11" s="36" t="str">
        <f>A4</f>
        <v>A1-SAND CANYON</v>
      </c>
      <c r="F11" s="36">
        <v>7</v>
      </c>
      <c r="G11" s="36" t="str">
        <f>A7</f>
        <v>A4-SAN DIEGO DONS 12 BLACK</v>
      </c>
      <c r="H11" s="36">
        <v>8</v>
      </c>
      <c r="I11" s="36" t="s">
        <v>700</v>
      </c>
      <c r="J11" s="36" t="s">
        <v>149</v>
      </c>
    </row>
    <row r="12" spans="1:10">
      <c r="A12" s="88">
        <v>46088</v>
      </c>
      <c r="B12" s="87">
        <f>'CHICLETS MASTER'!Q7</f>
        <v>0.39583333333333398</v>
      </c>
      <c r="C12" s="87" t="str">
        <f>'CHICLETS MASTER'!$V$3</f>
        <v>ESTANCIA HS 2</v>
      </c>
      <c r="D12" s="36" t="s">
        <v>701</v>
      </c>
      <c r="E12" s="36" t="str">
        <f>C5</f>
        <v>C2-GOLD COAST</v>
      </c>
      <c r="F12" s="36">
        <v>4</v>
      </c>
      <c r="G12" s="36" t="str">
        <f>C6</f>
        <v>C3-PALOS VERDES B</v>
      </c>
      <c r="H12" s="36">
        <v>7</v>
      </c>
      <c r="I12" s="36" t="s">
        <v>702</v>
      </c>
      <c r="J12" s="36" t="s">
        <v>149</v>
      </c>
    </row>
    <row r="13" spans="1:10">
      <c r="A13" s="88">
        <v>46088</v>
      </c>
      <c r="B13" s="87">
        <f>'CHICLETS MASTER'!Q7</f>
        <v>0.39583333333333398</v>
      </c>
      <c r="C13" s="87" t="str">
        <f>'CHICLETS MASTER'!$R$3</f>
        <v>EL TORO HS 1</v>
      </c>
      <c r="D13" s="36" t="s">
        <v>703</v>
      </c>
      <c r="E13" s="36" t="str">
        <f>D4</f>
        <v>D1-TITANS</v>
      </c>
      <c r="F13" s="36">
        <v>1</v>
      </c>
      <c r="G13" s="36" t="str">
        <f>D7</f>
        <v>D4-NEWPORT BEACH SILVER</v>
      </c>
      <c r="H13" s="36">
        <v>18</v>
      </c>
      <c r="I13" s="36" t="s">
        <v>583</v>
      </c>
      <c r="J13" s="36" t="s">
        <v>149</v>
      </c>
    </row>
    <row r="14" spans="1:10">
      <c r="A14" s="88">
        <v>46088</v>
      </c>
      <c r="B14" s="87">
        <f>'CHICLETS MASTER'!Q8</f>
        <v>0.43055555555555602</v>
      </c>
      <c r="C14" s="87" t="str">
        <f>'CHICLETS MASTER'!$R$3</f>
        <v>EL TORO HS 1</v>
      </c>
      <c r="D14" s="36" t="s">
        <v>704</v>
      </c>
      <c r="E14" s="36" t="str">
        <f>D5</f>
        <v>D2-SET</v>
      </c>
      <c r="F14" s="36">
        <v>5</v>
      </c>
      <c r="G14" s="36" t="str">
        <f>D6</f>
        <v>D3-ORWP B</v>
      </c>
      <c r="H14" s="36">
        <v>19</v>
      </c>
      <c r="I14" s="36" t="s">
        <v>585</v>
      </c>
      <c r="J14" s="36" t="s">
        <v>149</v>
      </c>
    </row>
    <row r="15" spans="1:10">
      <c r="A15" s="88">
        <v>46088</v>
      </c>
      <c r="B15" s="87">
        <f>'CHICLETS MASTER'!Q8</f>
        <v>0.43055555555555602</v>
      </c>
      <c r="C15" s="87" t="str">
        <f>'CHICLETS MASTER'!$V$3</f>
        <v>ESTANCIA HS 2</v>
      </c>
      <c r="D15" s="36" t="s">
        <v>705</v>
      </c>
      <c r="E15" s="36" t="str">
        <f>C4</f>
        <v>C1-TSM</v>
      </c>
      <c r="F15" s="169">
        <v>2</v>
      </c>
      <c r="G15" s="36" t="str">
        <f>C7</f>
        <v>C4-NORTH IRVINE 12 BLACK</v>
      </c>
      <c r="H15" s="169">
        <v>12</v>
      </c>
      <c r="I15" s="36" t="s">
        <v>706</v>
      </c>
      <c r="J15" s="36" t="s">
        <v>149</v>
      </c>
    </row>
    <row r="16" spans="1:10">
      <c r="A16" s="88">
        <v>46088</v>
      </c>
      <c r="B16" s="87">
        <f>'CHICLETS MASTER'!Q9</f>
        <v>0.46527777777777801</v>
      </c>
      <c r="C16" s="87" t="str">
        <f>'CHICLETS MASTER'!$V$3</f>
        <v>ESTANCIA HS 2</v>
      </c>
      <c r="D16" s="36" t="s">
        <v>707</v>
      </c>
      <c r="E16" s="36" t="str">
        <f>IF(F10="","L#1-",IF(F10&lt;H10,_xlfn.CONCAT("L#1-",RIGHT(E10,LEN(E10) - FIND("-",E10))), _xlfn.CONCAT("L#1-",RIGHT(G10,LEN(G10) - FIND("-",G10)))))</f>
        <v>L#1-TROJAN GOLD</v>
      </c>
      <c r="F16" s="36">
        <v>9</v>
      </c>
      <c r="G16" s="36" t="str">
        <f>IF(F11="","L#2-",IF(F11&lt;H11,_xlfn.CONCAT("L#2-",RIGHT(E11,LEN(E11) - FIND("-",E11))), _xlfn.CONCAT("L#2-",RIGHT(G11,LEN(G11) - FIND("-",G11)))))</f>
        <v>L#2-SAND CANYON</v>
      </c>
      <c r="H16" s="36">
        <v>18</v>
      </c>
      <c r="I16" s="36" t="s">
        <v>708</v>
      </c>
      <c r="J16" s="36" t="s">
        <v>149</v>
      </c>
    </row>
    <row r="17" spans="1:10">
      <c r="A17" s="88">
        <v>46088</v>
      </c>
      <c r="B17" s="87">
        <f>'CHICLETS MASTER'!Q10</f>
        <v>0.5</v>
      </c>
      <c r="C17" s="87" t="str">
        <f>'CHICLETS MASTER'!$V$3</f>
        <v>ESTANCIA HS 2</v>
      </c>
      <c r="D17" s="36" t="s">
        <v>709</v>
      </c>
      <c r="E17" s="36" t="str">
        <f>IF(F10="","W#1-",IF(F10&gt;H10,_xlfn.CONCAT("W#1-",RIGHT(E10,LEN(E10) - FIND("-",E10))), _xlfn.CONCAT("W#1-",RIGHT(G10,LEN(G10) - FIND("-",G10)))))</f>
        <v>W#1-BREA OLINDA GOLD</v>
      </c>
      <c r="F17" s="36">
        <v>17</v>
      </c>
      <c r="G17" s="36" t="str">
        <f>IF(F11="","W#2-",IF(F11&gt;H11,_xlfn.CONCAT("W#2-",RIGHT(E11,LEN(E11) - FIND("-",E11))), _xlfn.CONCAT("W#2-",RIGHT(G11,LEN(G11) - FIND("-",G11)))))</f>
        <v>W#2-SAN DIEGO DONS 12 BLACK</v>
      </c>
      <c r="H17" s="36">
        <v>12</v>
      </c>
      <c r="I17" s="36" t="s">
        <v>710</v>
      </c>
      <c r="J17" s="36" t="s">
        <v>149</v>
      </c>
    </row>
    <row r="18" spans="1:10">
      <c r="A18" s="88">
        <v>46088</v>
      </c>
      <c r="B18" s="87">
        <f>'CHICLETS MASTER'!Q11</f>
        <v>0.53472222222222199</v>
      </c>
      <c r="C18" s="87" t="str">
        <f>'CHICLETS MASTER'!$V$3</f>
        <v>ESTANCIA HS 2</v>
      </c>
      <c r="D18" s="36" t="s">
        <v>711</v>
      </c>
      <c r="E18" s="36" t="str">
        <f>B5</f>
        <v>B2-PASADENA AC ORANGE</v>
      </c>
      <c r="F18" s="36">
        <v>15</v>
      </c>
      <c r="G18" s="36" t="str">
        <f>B6</f>
        <v>B3-SAN CLEMENTE BLACK</v>
      </c>
      <c r="H18" s="36">
        <v>9</v>
      </c>
      <c r="I18" s="36" t="s">
        <v>712</v>
      </c>
      <c r="J18" s="36" t="s">
        <v>149</v>
      </c>
    </row>
    <row r="19" spans="1:10">
      <c r="A19" s="88">
        <v>46088</v>
      </c>
      <c r="B19" s="87">
        <f>'CHICLETS MASTER'!Q12</f>
        <v>0.56944444444444497</v>
      </c>
      <c r="C19" s="87" t="str">
        <f>'CHICLETS MASTER'!$V$3</f>
        <v>ESTANCIA HS 2</v>
      </c>
      <c r="D19" s="36" t="s">
        <v>713</v>
      </c>
      <c r="E19" s="36" t="str">
        <f>B4</f>
        <v>B1-RIVERSIDE</v>
      </c>
      <c r="F19" s="36">
        <v>8</v>
      </c>
      <c r="G19" s="36" t="str">
        <f>B7</f>
        <v>B4-RANCHO TSUNAMI 12 BLUE</v>
      </c>
      <c r="H19" s="36">
        <v>12</v>
      </c>
      <c r="I19" s="36" t="s">
        <v>714</v>
      </c>
      <c r="J19" s="36" t="s">
        <v>149</v>
      </c>
    </row>
    <row r="20" spans="1:10">
      <c r="A20" s="88">
        <v>46088</v>
      </c>
      <c r="B20" s="87">
        <f>'CHICLETS MASTER'!Q12</f>
        <v>0.56944444444444497</v>
      </c>
      <c r="C20" s="87" t="str">
        <f>'CHICLETS MASTER'!$R$3</f>
        <v>EL TORO HS 1</v>
      </c>
      <c r="D20" s="36" t="s">
        <v>715</v>
      </c>
      <c r="E20" s="36" t="str">
        <f>IF(F13="","L#9-",IF(F13&lt;H13,_xlfn.CONCAT("L#9-",RIGHT(E13,LEN(E13) - FIND("-",E13))), _xlfn.CONCAT("L#9-",RIGHT(G13,LEN(G13) - FIND("-",G13)))))</f>
        <v>L#9-TITANS</v>
      </c>
      <c r="F20" s="36">
        <v>11</v>
      </c>
      <c r="G20" s="36" t="str">
        <f>IF(F14="","L#10-",IF(F14&lt;H14,_xlfn.CONCAT("L#10-",RIGHT(E14,LEN(E14) - FIND("-",E14))), _xlfn.CONCAT("L#10-",RIGHT(G14,LEN(G14) - FIND("-",G14)))))</f>
        <v>L#10-SET</v>
      </c>
      <c r="H20" s="36">
        <v>10</v>
      </c>
      <c r="I20" s="36" t="s">
        <v>589</v>
      </c>
      <c r="J20" s="36" t="s">
        <v>149</v>
      </c>
    </row>
    <row r="21" spans="1:10">
      <c r="A21" s="88">
        <v>46088</v>
      </c>
      <c r="B21" s="87">
        <f>'CHICLETS MASTER'!Q13</f>
        <v>0.60416666666666696</v>
      </c>
      <c r="C21" s="87" t="str">
        <f>'CHICLETS MASTER'!$V$3</f>
        <v>ESTANCIA HS 2</v>
      </c>
      <c r="D21" s="36" t="s">
        <v>716</v>
      </c>
      <c r="E21" s="36" t="str">
        <f>IF(F12="","L#3-",IF(F12&lt;H12,_xlfn.CONCAT("L#3-",RIGHT(E12,LEN(E12) - FIND("-",E12))), _xlfn.CONCAT("L#3-",RIGHT(G12,LEN(G12) - FIND("-",G12)))))</f>
        <v>L#3-GOLD COAST</v>
      </c>
      <c r="F21" s="36">
        <v>17</v>
      </c>
      <c r="G21" s="36" t="str">
        <f>IF(F15="","L#4-",IF(F15&lt;H15,_xlfn.CONCAT("L#4-",RIGHT(E15,LEN(E15) - FIND("-",E15))), _xlfn.CONCAT("L#4-",RIGHT(G15,LEN(G15) - FIND("-",G15)))))</f>
        <v>L#4-TSM</v>
      </c>
      <c r="H21" s="36">
        <v>3</v>
      </c>
      <c r="I21" s="36" t="s">
        <v>717</v>
      </c>
      <c r="J21" s="36" t="s">
        <v>149</v>
      </c>
    </row>
    <row r="22" spans="1:10">
      <c r="A22" s="88">
        <v>46088</v>
      </c>
      <c r="B22" s="87">
        <f>'CHICLETS MASTER'!Q13</f>
        <v>0.60416666666666696</v>
      </c>
      <c r="C22" s="87" t="str">
        <f>'CHICLETS MASTER'!$R$3</f>
        <v>EL TORO HS 1</v>
      </c>
      <c r="D22" s="36" t="s">
        <v>718</v>
      </c>
      <c r="E22" s="36" t="str">
        <f>IF(F13="","W#9-",IF(F13&gt;H13,_xlfn.CONCAT("W#9-",RIGHT(E13,LEN(E13) - FIND("-",E13))), _xlfn.CONCAT("W#9-",RIGHT(G13,LEN(G13) - FIND("-",G13)))))</f>
        <v>W#9-NEWPORT BEACH SILVER</v>
      </c>
      <c r="F22" s="36">
        <v>8</v>
      </c>
      <c r="G22" s="36" t="str">
        <f>IF(F14="","W#10-",IF(F14&gt;H14,_xlfn.CONCAT("W#10-",RIGHT(E14,LEN(E14) - FIND("-",E14))), _xlfn.CONCAT("W#10-",RIGHT(G14,LEN(G14) - FIND("-",G14)))))</f>
        <v>W#10-ORWP B</v>
      </c>
      <c r="H22" s="36">
        <v>7</v>
      </c>
      <c r="I22" s="36" t="s">
        <v>591</v>
      </c>
      <c r="J22" s="36" t="s">
        <v>149</v>
      </c>
    </row>
    <row r="23" spans="1:10">
      <c r="A23" s="88">
        <v>46088</v>
      </c>
      <c r="B23" s="87">
        <f>'CHICLETS MASTER'!K12</f>
        <v>0.625</v>
      </c>
      <c r="C23" s="87" t="str">
        <f>'CHICLETS MASTER'!$N$3</f>
        <v>COSTA MESA HS 1</v>
      </c>
      <c r="D23" s="36" t="s">
        <v>719</v>
      </c>
      <c r="E23" s="36" t="str">
        <f>IF(F12="","W#3-",IF(F12&gt;H12,_xlfn.CONCAT("W#3-",RIGHT(E12,LEN(E12) - FIND("-",E12))), _xlfn.CONCAT("W#3-",RIGHT(G12,LEN(G12) - FIND("-",G12)))))</f>
        <v>W#3-PALOS VERDES B</v>
      </c>
      <c r="F23" s="36">
        <v>13</v>
      </c>
      <c r="G23" s="36" t="str">
        <f>IF(F15="","W#4-",IF(F15&gt;H15,_xlfn.CONCAT("W#4-",RIGHT(E15,LEN(E15) - FIND("-",E15))), _xlfn.CONCAT("W#4-",RIGHT(G15,LEN(G15) - FIND("-",G15)))))</f>
        <v>W#4-NORTH IRVINE 12 BLACK</v>
      </c>
      <c r="H23" s="36">
        <v>9</v>
      </c>
      <c r="I23" s="36" t="s">
        <v>720</v>
      </c>
      <c r="J23" s="36" t="s">
        <v>149</v>
      </c>
    </row>
    <row r="24" spans="1:10">
      <c r="A24" s="88">
        <v>46088</v>
      </c>
      <c r="B24" s="87">
        <f>'CHICLETS MASTER'!Q14</f>
        <v>0.63888888888888895</v>
      </c>
      <c r="C24" s="87" t="str">
        <f>'CHICLETS MASTER'!$V$3</f>
        <v>ESTANCIA HS 2</v>
      </c>
      <c r="D24" s="36" t="s">
        <v>721</v>
      </c>
      <c r="E24" s="36" t="str">
        <f>IF(F18="","L#11-",IF(F18&lt;H18,_xlfn.CONCAT("L#11-",RIGHT(E18,LEN(E18) - FIND("-",E18))), _xlfn.CONCAT("L#11-",RIGHT(G18,LEN(G18) - FIND("-",G18)))))</f>
        <v>L#11-SAN CLEMENTE BLACK</v>
      </c>
      <c r="F24" s="36">
        <v>16</v>
      </c>
      <c r="G24" s="36" t="str">
        <f>IF(F19="","L#12-",IF(F19&lt;H19,_xlfn.CONCAT("L#12-",RIGHT(E19,LEN(E19) - FIND("-",E19))), _xlfn.CONCAT("L#12-",RIGHT(G19,LEN(G19) - FIND("-",G19)))))</f>
        <v>L#12-RIVERSIDE</v>
      </c>
      <c r="H24" s="36">
        <v>12</v>
      </c>
      <c r="I24" s="36" t="s">
        <v>722</v>
      </c>
      <c r="J24" s="36" t="s">
        <v>149</v>
      </c>
    </row>
    <row r="25" spans="1:10">
      <c r="A25" s="88">
        <v>46088</v>
      </c>
      <c r="B25" s="150">
        <v>0.65972222222222221</v>
      </c>
      <c r="C25" s="87" t="str">
        <f>'CHICLETS MASTER'!$N$3</f>
        <v>COSTA MESA HS 1</v>
      </c>
      <c r="D25" s="36" t="s">
        <v>723</v>
      </c>
      <c r="E25" s="36" t="str">
        <f>IF(F18="","W#11-",IF(F18&gt;H18,_xlfn.CONCAT("W#11-",RIGHT(E18,LEN(E18) - FIND("-",E18))), _xlfn.CONCAT("W#11-",RIGHT(G18,LEN(G18) - FIND("-",G18)))))</f>
        <v>W#11-PASADENA AC ORANGE</v>
      </c>
      <c r="F25" s="36">
        <v>10</v>
      </c>
      <c r="G25" s="36" t="str">
        <f>IF(F19="","W#12-",IF(F19&gt;H19,_xlfn.CONCAT("W#12-",RIGHT(E19,LEN(E19) - FIND("-",E19))), _xlfn.CONCAT("W#12-",RIGHT(G19,LEN(G19) - FIND("-",G19)))))</f>
        <v>W#12-RANCHO TSUNAMI 12 BLUE</v>
      </c>
      <c r="H25" s="36">
        <v>13</v>
      </c>
      <c r="I25" s="36" t="s">
        <v>724</v>
      </c>
      <c r="J25" s="36" t="s">
        <v>149</v>
      </c>
    </row>
    <row r="26" spans="1:10">
      <c r="A26" s="74"/>
    </row>
    <row r="27" spans="1:10">
      <c r="A27" s="74"/>
    </row>
    <row r="28" spans="1:10">
      <c r="A28" s="74"/>
    </row>
    <row r="29" spans="1:10">
      <c r="A29" s="88">
        <v>46089</v>
      </c>
      <c r="B29" s="87">
        <f>'CHICLETS MASTER'!Q31</f>
        <v>0.3263888888888889</v>
      </c>
      <c r="C29" s="87" t="str">
        <f>'CHICLETS MASTER'!$V$29</f>
        <v>ESTANCIA HS 2</v>
      </c>
      <c r="D29" s="36" t="s">
        <v>725</v>
      </c>
      <c r="E29" s="36" t="str">
        <f>IF(F16="","3rdA-",IF(F16&gt;H16,_xlfn.CONCAT("3rdA-",RIGHT(E16,LEN(E16) - FIND("-",E16))), _xlfn.CONCAT("3rdA-",RIGHT(G16,LEN(G16) - FIND("-",G16)))))</f>
        <v>3rdA-SAND CANYON</v>
      </c>
      <c r="F29" s="36">
        <v>17</v>
      </c>
      <c r="G29" s="36" t="str">
        <f>IF(F20="","3rdD-",IF(F20&gt;H20,_xlfn.CONCAT("3rdD-",RIGHT(E20,LEN(E20) - FIND("-",E20))), _xlfn.CONCAT("3rdD-",RIGHT(G20,LEN(G20) - FIND("-",G20)))))</f>
        <v>3rdD-TITANS</v>
      </c>
      <c r="H29" s="36">
        <v>8</v>
      </c>
      <c r="I29" s="36" t="s">
        <v>726</v>
      </c>
      <c r="J29" s="36" t="s">
        <v>149</v>
      </c>
    </row>
    <row r="30" spans="1:10">
      <c r="A30" s="88">
        <v>46089</v>
      </c>
      <c r="B30" s="87">
        <f>'CHICLETS MASTER'!Q32</f>
        <v>0.36111111111111099</v>
      </c>
      <c r="C30" s="87" t="str">
        <f>'CHICLETS MASTER'!$V$29</f>
        <v>ESTANCIA HS 2</v>
      </c>
      <c r="D30" s="36" t="s">
        <v>727</v>
      </c>
      <c r="E30" s="36" t="str">
        <f>IF(F24="","3rdB-",IF(F24&gt;H24,_xlfn.CONCAT("3rdB-",RIGHT(E24,LEN(E24) - FIND("-",E24))), _xlfn.CONCAT("3rdB-",RIGHT(G24,LEN(G24) - FIND("-",G24)))))</f>
        <v>3rdB-SAN CLEMENTE BLACK</v>
      </c>
      <c r="F30" s="36">
        <v>10</v>
      </c>
      <c r="G30" s="36" t="str">
        <f>IF(F21="","3rdC-",IF(F21&gt;H21,_xlfn.CONCAT("3rdC-",RIGHT(E21,LEN(E21) - FIND("-",E21))), _xlfn.CONCAT("3rdC-",RIGHT(G21,LEN(G21) - FIND("-",G21)))))</f>
        <v>3rdC-GOLD COAST</v>
      </c>
      <c r="H30" s="36">
        <v>11</v>
      </c>
      <c r="I30" s="36" t="s">
        <v>728</v>
      </c>
      <c r="J30" s="36" t="s">
        <v>149</v>
      </c>
    </row>
    <row r="31" spans="1:10">
      <c r="A31" s="88">
        <v>46089</v>
      </c>
      <c r="B31" s="87">
        <f>'CHICLETS MASTER'!Q33</f>
        <v>0.39583333333333398</v>
      </c>
      <c r="C31" s="87" t="str">
        <f>'CHICLETS MASTER'!$V$29</f>
        <v>ESTANCIA HS 2</v>
      </c>
      <c r="D31" s="36" t="s">
        <v>729</v>
      </c>
      <c r="E31" s="36" t="str">
        <f>IF(F22="","2ndD-",IF(F22&lt;H22,_xlfn.CONCAT("2ndD-",RIGHT(E22,LEN(E22) - FIND("-",E22))), _xlfn.CONCAT("2ndD-",RIGHT(G22,LEN(G22) - FIND("-",G22)))))</f>
        <v>2ndD-ORWP B</v>
      </c>
      <c r="F31" s="36">
        <v>10</v>
      </c>
      <c r="G31" s="36" t="str">
        <f>IF(F17="","2ndA-",IF(F17&lt;H17,_xlfn.CONCAT("2ndA-",RIGHT(E17,LEN(E17) - FIND("-",E17))), _xlfn.CONCAT("2ndA-",RIGHT(G17,LEN(G17) - FIND("-",G17)))))</f>
        <v>2ndA-SAN DIEGO DONS 12 BLACK</v>
      </c>
      <c r="H31" s="36">
        <v>7</v>
      </c>
      <c r="I31" s="36" t="s">
        <v>730</v>
      </c>
      <c r="J31" s="36" t="s">
        <v>149</v>
      </c>
    </row>
    <row r="32" spans="1:10">
      <c r="A32" s="88">
        <v>46089</v>
      </c>
      <c r="B32" s="87">
        <f>'CHICLETS MASTER'!Q33</f>
        <v>0.39583333333333398</v>
      </c>
      <c r="C32" s="87" t="str">
        <f>'CHICLETS MASTER'!$T$29</f>
        <v>ALISO NIGUEL HS</v>
      </c>
      <c r="D32" s="36" t="s">
        <v>731</v>
      </c>
      <c r="E32" s="36" t="str">
        <f>IF(F20="","4thD-",IF(F20&lt;H20,_xlfn.CONCAT("4thD-",RIGHT(E20,LEN(E20) - FIND("-",E20))), _xlfn.CONCAT("4thD-",RIGHT(G20,LEN(G20) - FIND("-",G20)))))</f>
        <v>4thD-SET</v>
      </c>
      <c r="F32" s="36">
        <v>3</v>
      </c>
      <c r="G32" s="36" t="str">
        <f>IF(F16="","4thA-",IF(F16&lt;H16,_xlfn.CONCAT("4thA-",RIGHT(E16,LEN(E16) - FIND("-",E16))), _xlfn.CONCAT("4thA-",RIGHT(G16,LEN(G16) - FIND("-",G16)))))</f>
        <v>4thA-TROJAN GOLD</v>
      </c>
      <c r="H32" s="36">
        <v>15</v>
      </c>
      <c r="I32" s="36" t="s">
        <v>732</v>
      </c>
      <c r="J32" s="36" t="s">
        <v>149</v>
      </c>
    </row>
    <row r="33" spans="1:10">
      <c r="A33" s="88">
        <v>46089</v>
      </c>
      <c r="B33" s="87">
        <f>'CHICLETS MASTER'!Q34</f>
        <v>0.43055555555555602</v>
      </c>
      <c r="C33" s="87" t="str">
        <f>'CHICLETS MASTER'!$T$29</f>
        <v>ALISO NIGUEL HS</v>
      </c>
      <c r="D33" s="36" t="s">
        <v>733</v>
      </c>
      <c r="E33" s="36" t="str">
        <f>IF(F21="","4thC-",IF(F21&lt;H21,_xlfn.CONCAT("4thC-",RIGHT(E21,LEN(E21) - FIND("-",E21))), _xlfn.CONCAT("4thC-",RIGHT(G21,LEN(G21) - FIND("-",G21)))))</f>
        <v>4thC-TSM</v>
      </c>
      <c r="F33" s="36">
        <v>7</v>
      </c>
      <c r="G33" s="36" t="str">
        <f>IF(F24="","4thB-",IF(F24&lt;H24,_xlfn.CONCAT("4thB-",RIGHT(E24,LEN(E24) - FIND("-",E24))), _xlfn.CONCAT("4thB-",RIGHT(G24,LEN(G24) - FIND("-",G24)))))</f>
        <v>4thB-RIVERSIDE</v>
      </c>
      <c r="H33" s="36">
        <v>14</v>
      </c>
      <c r="I33" s="36" t="s">
        <v>732</v>
      </c>
      <c r="J33" s="36" t="s">
        <v>149</v>
      </c>
    </row>
    <row r="34" spans="1:10">
      <c r="A34" s="88">
        <v>46089</v>
      </c>
      <c r="B34" s="87">
        <f>'CHICLETS MASTER'!Q34</f>
        <v>0.43055555555555602</v>
      </c>
      <c r="C34" s="87" t="str">
        <f>'CHICLETS MASTER'!$V$29</f>
        <v>ESTANCIA HS 2</v>
      </c>
      <c r="D34" s="36" t="s">
        <v>734</v>
      </c>
      <c r="E34" s="36" t="str">
        <f>IF(F23="","2ndC-",IF(F23&lt;H23,_xlfn.CONCAT("2ndC-",RIGHT(E23,LEN(E23) - FIND("-",E23))), _xlfn.CONCAT("2ndC-",RIGHT(G23,LEN(G23) - FIND("-",G23)))))</f>
        <v>2ndC-NORTH IRVINE 12 BLACK</v>
      </c>
      <c r="F34" s="36">
        <v>5</v>
      </c>
      <c r="G34" s="36" t="str">
        <f>IF(F25="","2ndB-",IF(F25&lt;H25,_xlfn.CONCAT("2ndB-",RIGHT(E25,LEN(E25) - FIND("-",E25))), _xlfn.CONCAT("2ndB-",RIGHT(G25,LEN(G25) - FIND("-",G25)))))</f>
        <v>2ndB-PASADENA AC ORANGE</v>
      </c>
      <c r="H34" s="36">
        <v>8</v>
      </c>
      <c r="I34" s="36" t="s">
        <v>735</v>
      </c>
      <c r="J34" s="36" t="s">
        <v>149</v>
      </c>
    </row>
    <row r="35" spans="1:10">
      <c r="A35" s="88">
        <v>46089</v>
      </c>
      <c r="B35" s="87">
        <f>'CHICLETS MASTER'!Q35</f>
        <v>0.46527777777777801</v>
      </c>
      <c r="C35" s="87" t="str">
        <f>'CHICLETS MASTER'!$V$29</f>
        <v>ESTANCIA HS 2</v>
      </c>
      <c r="D35" s="36" t="s">
        <v>736</v>
      </c>
      <c r="E35" s="36" t="str">
        <f>IF(F17="","1stA-",IF(F17&gt;H17,_xlfn.CONCAT("1stA-",RIGHT(E17,LEN(E17) - FIND("-",E17))), _xlfn.CONCAT("1stA-",RIGHT(G17,LEN(G17) - FIND("-",G17)))))</f>
        <v>1stA-BREA OLINDA GOLD</v>
      </c>
      <c r="F35" s="36">
        <v>9</v>
      </c>
      <c r="G35" s="36" t="str">
        <f>IF(F22="","1stD-",IF(F22&gt;H22,_xlfn.CONCAT("1stD-",RIGHT(E22,LEN(E22) - FIND("-",E22))), _xlfn.CONCAT("1stD-",RIGHT(G22,LEN(G22) - FIND("-",G22)))))</f>
        <v>1stD-NEWPORT BEACH SILVER</v>
      </c>
      <c r="H35" s="36">
        <v>3</v>
      </c>
      <c r="I35" s="36" t="s">
        <v>737</v>
      </c>
      <c r="J35" s="36" t="s">
        <v>149</v>
      </c>
    </row>
    <row r="36" spans="1:10">
      <c r="A36" s="88">
        <v>46089</v>
      </c>
      <c r="B36" s="87">
        <f>'CHICLETS MASTER'!Q36</f>
        <v>0.5</v>
      </c>
      <c r="C36" s="87" t="str">
        <f>'CHICLETS MASTER'!$V$29</f>
        <v>ESTANCIA HS 2</v>
      </c>
      <c r="D36" s="36" t="s">
        <v>738</v>
      </c>
      <c r="E36" s="36" t="str">
        <f>IF(F25="","1stB-",IF(F25&gt;H25,_xlfn.CONCAT("1stB-",RIGHT(E25,LEN(E25) - FIND("-",E25))), _xlfn.CONCAT("1stB-",RIGHT(G25,LEN(G25) - FIND("-",G25)))))</f>
        <v>1stB-RANCHO TSUNAMI 12 BLUE</v>
      </c>
      <c r="F36" s="36">
        <v>7</v>
      </c>
      <c r="G36" s="36" t="str">
        <f>IF(F23="","1stC-",IF(F23&gt;H23,_xlfn.CONCAT("1stC-",RIGHT(E23,LEN(E23) - FIND("-",E23))), _xlfn.CONCAT("1stC-",RIGHT(G23,LEN(G23) - FIND("-",G23)))))</f>
        <v>1stC-PALOS VERDES B</v>
      </c>
      <c r="H36" s="36">
        <v>9</v>
      </c>
      <c r="I36" s="36" t="s">
        <v>739</v>
      </c>
      <c r="J36" s="36" t="s">
        <v>149</v>
      </c>
    </row>
    <row r="37" spans="1:10">
      <c r="A37" s="88">
        <v>46089</v>
      </c>
      <c r="B37" s="87">
        <f>'CHICLETS MASTER'!Q37</f>
        <v>0.53472222222222199</v>
      </c>
      <c r="C37" s="87" t="str">
        <f>'CHICLETS MASTER'!$V$29</f>
        <v>ESTANCIA HS 2</v>
      </c>
      <c r="D37" s="36" t="s">
        <v>740</v>
      </c>
      <c r="E37" s="36" t="str">
        <f>IF(F31="","W#21-",IF(F31&gt;H31,_xlfn.CONCAT("W#21-",RIGHT(E31,LEN(E31) - FIND("-",E31))), _xlfn.CONCAT("W#21-",RIGHT(G31,LEN(G31) - FIND("-",G31)))))</f>
        <v>W#21-ORWP B</v>
      </c>
      <c r="F37" s="36">
        <v>7</v>
      </c>
      <c r="G37" s="36" t="str">
        <f>IF(F34="","W#22-",IF(F34&gt;H34,_xlfn.CONCAT("W#22-",RIGHT(E34,LEN(E34) - FIND("-",E34))), _xlfn.CONCAT("W#22-",RIGHT(G34,LEN(G34) - FIND("-",G34)))))</f>
        <v>W#22-PASADENA AC ORANGE</v>
      </c>
      <c r="H37" s="36">
        <v>20</v>
      </c>
      <c r="I37" s="36" t="s">
        <v>741</v>
      </c>
      <c r="J37" s="36" t="s">
        <v>149</v>
      </c>
    </row>
    <row r="38" spans="1:10">
      <c r="A38" s="88">
        <v>46089</v>
      </c>
      <c r="B38" s="87">
        <f>'CHICLETS MASTER'!Q37</f>
        <v>0.53472222222222199</v>
      </c>
      <c r="C38" s="87" t="str">
        <f>'CHICLETS MASTER'!$T$29</f>
        <v>ALISO NIGUEL HS</v>
      </c>
      <c r="D38" s="36" t="s">
        <v>742</v>
      </c>
      <c r="E38" s="36" t="str">
        <f>IF(F29="","W#27-",IF(F29&gt;H29,_xlfn.CONCAT("W#27-",RIGHT(E29,LEN(E29) - FIND("-",E29))), _xlfn.CONCAT("W#27-",RIGHT(G29,LEN(G29) - FIND("-",G29)))))</f>
        <v>W#27-SAND CANYON</v>
      </c>
      <c r="F38" s="36">
        <v>9</v>
      </c>
      <c r="G38" s="36" t="str">
        <f>IF(F30="","W#28-",IF(F30&gt;H30,_xlfn.CONCAT("W#28-",RIGHT(E30,LEN(E30) - FIND("-",E30))), _xlfn.CONCAT("W#28-",RIGHT(G30,LEN(G30) - FIND("-",G30)))))</f>
        <v>W#28-GOLD COAST</v>
      </c>
      <c r="H38" s="36">
        <v>17</v>
      </c>
      <c r="I38" s="36" t="s">
        <v>743</v>
      </c>
      <c r="J38" s="36" t="s">
        <v>149</v>
      </c>
    </row>
    <row r="39" spans="1:10">
      <c r="A39" s="88">
        <v>46089</v>
      </c>
      <c r="B39" s="87">
        <f>'CHICLETS MASTER'!Q38</f>
        <v>0.56944444444444497</v>
      </c>
      <c r="C39" s="87" t="str">
        <f>'CHICLETS MASTER'!$V$29</f>
        <v>ESTANCIA HS 2</v>
      </c>
      <c r="D39" s="36" t="s">
        <v>744</v>
      </c>
      <c r="E39" s="36" t="str">
        <f>IF(F31="","L#21-",IF(F31&lt;H31,_xlfn.CONCAT("L#21-",RIGHT(E31,LEN(E31) - FIND("-",E31))), _xlfn.CONCAT("L#21-",RIGHT(G31,LEN(G31) - FIND("-",G31)))))</f>
        <v>L#21-SAN DIEGO DONS 12 BLACK</v>
      </c>
      <c r="F39" s="36">
        <v>9</v>
      </c>
      <c r="G39" s="36" t="str">
        <f>IF(F34="","L#22-",IF(F34&lt;H34,_xlfn.CONCAT("L#22-",RIGHT(E34,LEN(E34) - FIND("-",E34))), _xlfn.CONCAT("L#22-",RIGHT(G34,LEN(G34) - FIND("-",G34)))))</f>
        <v>L#22-NORTH IRVINE 12 BLACK</v>
      </c>
      <c r="H39" s="36">
        <v>15</v>
      </c>
      <c r="I39" s="36" t="s">
        <v>745</v>
      </c>
      <c r="J39" s="36" t="s">
        <v>149</v>
      </c>
    </row>
    <row r="40" spans="1:10">
      <c r="A40" s="88">
        <v>46089</v>
      </c>
      <c r="B40" s="87">
        <f>'CHICLETS MASTER'!Q38</f>
        <v>0.56944444444444497</v>
      </c>
      <c r="C40" s="87" t="str">
        <f>'CHICLETS MASTER'!$T$29</f>
        <v>ALISO NIGUEL HS</v>
      </c>
      <c r="D40" s="36" t="s">
        <v>746</v>
      </c>
      <c r="E40" s="36" t="str">
        <f>IF(F29="","L#27-",IF(F29&lt;H29,_xlfn.CONCAT("L#27-",RIGHT(E29,LEN(E29) - FIND("-",E29))), _xlfn.CONCAT("L#27-",RIGHT(G29,LEN(G29) - FIND("-",G29)))))</f>
        <v>L#27-TITANS</v>
      </c>
      <c r="F40" s="36">
        <v>0</v>
      </c>
      <c r="G40" s="36" t="str">
        <f>IF(F30="","L#28-",IF(F30&lt;H30,_xlfn.CONCAT("L#28-",RIGHT(E30,LEN(E30) - FIND("-",E30))), _xlfn.CONCAT("L#28-",RIGHT(G30,LEN(G30) - FIND("-",G30)))))</f>
        <v>L#28-SAN CLEMENTE BLACK</v>
      </c>
      <c r="H40" s="36">
        <v>14</v>
      </c>
      <c r="I40" s="36" t="s">
        <v>747</v>
      </c>
      <c r="J40" s="36" t="s">
        <v>149</v>
      </c>
    </row>
    <row r="41" spans="1:10">
      <c r="A41" s="88">
        <v>46089</v>
      </c>
      <c r="B41" s="87">
        <f>'CHICLETS MASTER'!Q39</f>
        <v>0.60416666666666696</v>
      </c>
      <c r="C41" s="87" t="str">
        <f>'CHICLETS MASTER'!$T$29</f>
        <v>ALISO NIGUEL HS</v>
      </c>
      <c r="D41" s="36" t="s">
        <v>748</v>
      </c>
      <c r="E41" s="36" t="str">
        <f>IF(F32="","W#29-",IF(F32&gt;H32,_xlfn.CONCAT("W#29-",RIGHT(E32,LEN(E32) - FIND("-",E32))), _xlfn.CONCAT("W#29-",RIGHT(G32,LEN(G32) - FIND("-",G32)))))</f>
        <v>W#29-TROJAN GOLD</v>
      </c>
      <c r="F41" s="36">
        <v>12</v>
      </c>
      <c r="G41" s="36" t="str">
        <f>IF(F33="","W#30-",IF(F33&gt;H33,_xlfn.CONCAT("W#30-",RIGHT(E33,LEN(E33) - FIND("-",E33))), _xlfn.CONCAT("W#30-",RIGHT(G33,LEN(G33) - FIND("-",G33)))))</f>
        <v>W#30-RIVERSIDE</v>
      </c>
      <c r="H41" s="36">
        <v>13</v>
      </c>
      <c r="I41" s="36" t="s">
        <v>749</v>
      </c>
      <c r="J41" s="36" t="s">
        <v>149</v>
      </c>
    </row>
    <row r="42" spans="1:10">
      <c r="A42" s="88">
        <v>46089</v>
      </c>
      <c r="B42" s="87">
        <f>'CHICLETS MASTER'!Q39</f>
        <v>0.60416666666666696</v>
      </c>
      <c r="C42" s="87" t="str">
        <f>'CHICLETS MASTER'!$V$29</f>
        <v>ESTANCIA HS 2</v>
      </c>
      <c r="D42" s="36" t="s">
        <v>750</v>
      </c>
      <c r="E42" s="36" t="str">
        <f>IF(F35="","L#19-",IF(F35&lt;H35,_xlfn.CONCAT("L#19-",RIGHT(E35,LEN(E35) - FIND("-",E35))), _xlfn.CONCAT("L#19-",RIGHT(G35,LEN(G35) - FIND("-",G35)))))</f>
        <v>L#19-NEWPORT BEACH SILVER</v>
      </c>
      <c r="F42" s="36">
        <v>9</v>
      </c>
      <c r="G42" s="36" t="str">
        <f>IF(F36="","L#20-",IF(F36&lt;H36,_xlfn.CONCAT("L#20-",RIGHT(E36,LEN(E36) - FIND("-",E36))), _xlfn.CONCAT("L#20-",RIGHT(G36,LEN(G36) - FIND("-",G36)))))</f>
        <v>L#20-RANCHO TSUNAMI 12 BLUE</v>
      </c>
      <c r="H42" s="36">
        <v>10</v>
      </c>
      <c r="I42" s="36" t="s">
        <v>416</v>
      </c>
      <c r="J42" s="36" t="s">
        <v>149</v>
      </c>
    </row>
    <row r="43" spans="1:10">
      <c r="A43" s="88">
        <v>46089</v>
      </c>
      <c r="B43" s="87">
        <f>'CHICLETS MASTER'!Q40</f>
        <v>0.63888888888888895</v>
      </c>
      <c r="C43" s="87" t="str">
        <f>'CHICLETS MASTER'!$T$29</f>
        <v>ALISO NIGUEL HS</v>
      </c>
      <c r="D43" s="36" t="s">
        <v>751</v>
      </c>
      <c r="E43" s="36" t="str">
        <f>IF(F32="","L#29-",IF(F32&lt;H32,_xlfn.CONCAT("L#29-",RIGHT(E32,LEN(E32) - FIND("-",E32))), _xlfn.CONCAT("L#29-",RIGHT(G32,LEN(G32) - FIND("-",G32)))))</f>
        <v>L#29-SET</v>
      </c>
      <c r="F43" s="36">
        <v>5</v>
      </c>
      <c r="G43" s="36" t="str">
        <f>IF(F33="","L#30-",IF(F33&lt;H33,_xlfn.CONCAT("L#30-",RIGHT(E33,LEN(E33) - FIND("-",E33))), _xlfn.CONCAT("L#30-",RIGHT(G33,LEN(G33) - FIND("-",G33)))))</f>
        <v>L#30-TSM</v>
      </c>
      <c r="H43" s="36">
        <v>3</v>
      </c>
      <c r="I43" s="36" t="s">
        <v>752</v>
      </c>
      <c r="J43" s="36" t="s">
        <v>149</v>
      </c>
    </row>
    <row r="44" spans="1:10">
      <c r="A44" s="88">
        <v>46089</v>
      </c>
      <c r="B44" s="87">
        <f>'CHICLETS MASTER'!Q40</f>
        <v>0.63888888888888895</v>
      </c>
      <c r="C44" s="87" t="str">
        <f>'CHICLETS MASTER'!$V$29</f>
        <v>ESTANCIA HS 2</v>
      </c>
      <c r="D44" s="36" t="s">
        <v>753</v>
      </c>
      <c r="E44" s="36" t="str">
        <f>IF(F35="","W#19-",IF(F35&gt;H35,_xlfn.CONCAT("W#19-",RIGHT(E35,LEN(E35) - FIND("-",E35))), _xlfn.CONCAT("W#19-",RIGHT(G35,LEN(G35) - FIND("-",G35)))))</f>
        <v>W#19-BREA OLINDA GOLD</v>
      </c>
      <c r="F44" s="36">
        <v>3</v>
      </c>
      <c r="G44" s="36" t="str">
        <f>IF(F36="","W#20-",IF(F36&gt;H36,_xlfn.CONCAT("W#20-",RIGHT(E36,LEN(E36) - FIND("-",E36))), _xlfn.CONCAT("W#20-",RIGHT(G36,LEN(G36) - FIND("-",G36)))))</f>
        <v>W#20-PALOS VERDES B</v>
      </c>
      <c r="H44" s="36">
        <v>12</v>
      </c>
      <c r="I44" s="36" t="s">
        <v>414</v>
      </c>
      <c r="J44" s="36" t="s">
        <v>149</v>
      </c>
    </row>
    <row r="46" spans="1:10">
      <c r="J46" s="74" t="s">
        <v>754</v>
      </c>
    </row>
    <row r="47" spans="1:10">
      <c r="I47" s="36" t="s">
        <v>414</v>
      </c>
      <c r="J47" s="36" t="str">
        <f>IF(F44="","W#24",IF(F44&gt;H44,_xlfn.CONCAT("W#24-",RIGHT(E44,LEN(E44) - FIND("-",E44))), _xlfn.CONCAT("W#24-",RIGHT(G44,LEN(G44) - FIND("-",G44)))))</f>
        <v>W#24-PALOS VERDES B</v>
      </c>
    </row>
    <row r="48" spans="1:10">
      <c r="I48" s="36" t="s">
        <v>415</v>
      </c>
      <c r="J48" s="36" t="str">
        <f>IF(F44="","L#24",IF(F44&lt;H44,_xlfn.CONCAT("L#24-",RIGHT(E44,LEN(E44) - FIND("-",E44))), _xlfn.CONCAT("L#24-",RIGHT(G44,LEN(G44) - FIND("-",G44)))))</f>
        <v>L#24-BREA OLINDA GOLD</v>
      </c>
    </row>
    <row r="49" spans="9:10">
      <c r="I49" s="36" t="s">
        <v>416</v>
      </c>
      <c r="J49" s="36" t="str">
        <f>IF(F42="","W#23",IF(F42&gt;H42,_xlfn.CONCAT("W#23-",RIGHT(E42,LEN(E42) - FIND("-",E42))), _xlfn.CONCAT("W#23-",RIGHT(G42,LEN(G42) - FIND("-",G42)))))</f>
        <v>W#23-RANCHO TSUNAMI 12 BLUE</v>
      </c>
    </row>
  </sheetData>
  <hyperlinks>
    <hyperlink ref="B2" r:id="rId1" xr:uid="{DE24F133-1B5F-4FC8-B3CF-98A9FE014B13}"/>
    <hyperlink ref="C2" r:id="rId2" xr:uid="{8F68E589-FFA4-4961-9693-D73CDE643B8A}"/>
    <hyperlink ref="A2" r:id="rId3" xr:uid="{C526066D-87BA-42ED-9E8A-817BDBD2EF9E}"/>
  </hyperlinks>
  <pageMargins left="0.7" right="0.7" top="0.75" bottom="0.75" header="0.3" footer="0.3"/>
  <pageSetup scale="84" orientation="landscape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B481-7EFC-48D4-87EF-24A1C5F6262B}">
  <sheetPr>
    <tabColor rgb="FFFFC000"/>
    <pageSetUpPr fitToPage="1"/>
  </sheetPr>
  <dimension ref="A1:J48"/>
  <sheetViews>
    <sheetView workbookViewId="0"/>
  </sheetViews>
  <sheetFormatPr defaultColWidth="9.140625" defaultRowHeight="18"/>
  <cols>
    <col min="1" max="1" width="39.140625" style="75" customWidth="1"/>
    <col min="2" max="2" width="40.140625" style="74" bestFit="1" customWidth="1"/>
    <col min="3" max="3" width="31.85546875" style="74" customWidth="1"/>
    <col min="4" max="4" width="31.140625" style="74" bestFit="1" customWidth="1"/>
    <col min="5" max="5" width="46.85546875" style="74" bestFit="1" customWidth="1"/>
    <col min="6" max="6" width="4.28515625" style="74" bestFit="1" customWidth="1"/>
    <col min="7" max="7" width="45.5703125" style="74" bestFit="1" customWidth="1"/>
    <col min="8" max="8" width="4.28515625" style="74" bestFit="1" customWidth="1"/>
    <col min="9" max="9" width="22.140625" style="74" customWidth="1"/>
    <col min="10" max="10" width="38.42578125" style="74" bestFit="1" customWidth="1"/>
    <col min="11" max="16384" width="9.140625" style="74"/>
  </cols>
  <sheetData>
    <row r="1" spans="1:10">
      <c r="A1" s="82">
        <v>2</v>
      </c>
      <c r="B1" s="84" t="s">
        <v>696</v>
      </c>
      <c r="C1" s="83" t="s">
        <v>548</v>
      </c>
      <c r="D1" s="74" t="s">
        <v>549</v>
      </c>
      <c r="E1" s="82"/>
      <c r="F1" s="82"/>
      <c r="G1" s="82"/>
    </row>
    <row r="2" spans="1:10">
      <c r="A2" s="62" t="s">
        <v>360</v>
      </c>
      <c r="B2" s="61" t="s">
        <v>361</v>
      </c>
      <c r="C2" s="60" t="s">
        <v>362</v>
      </c>
      <c r="D2" s="82"/>
      <c r="E2" s="82"/>
      <c r="F2" s="82"/>
      <c r="G2" s="82"/>
      <c r="H2" s="82"/>
    </row>
    <row r="3" spans="1:10">
      <c r="A3" s="3" t="s">
        <v>118</v>
      </c>
      <c r="B3" s="3" t="s">
        <v>119</v>
      </c>
      <c r="C3" s="3" t="s">
        <v>120</v>
      </c>
      <c r="D3" s="3" t="s">
        <v>135</v>
      </c>
      <c r="F3" s="79"/>
      <c r="H3" s="80"/>
      <c r="I3" s="80"/>
      <c r="J3" s="80"/>
    </row>
    <row r="4" spans="1:10">
      <c r="A4" s="1" t="s">
        <v>184</v>
      </c>
      <c r="B4" s="1" t="s">
        <v>185</v>
      </c>
      <c r="C4" s="1" t="s">
        <v>186</v>
      </c>
      <c r="D4" s="1" t="s">
        <v>187</v>
      </c>
      <c r="F4" s="79"/>
      <c r="H4" s="79"/>
      <c r="I4" s="79"/>
      <c r="J4" s="79"/>
    </row>
    <row r="5" spans="1:10">
      <c r="A5" s="1" t="s">
        <v>188</v>
      </c>
      <c r="B5" s="1" t="s">
        <v>189</v>
      </c>
      <c r="C5" s="1" t="s">
        <v>190</v>
      </c>
      <c r="D5" s="1" t="s">
        <v>191</v>
      </c>
      <c r="J5" s="79"/>
    </row>
    <row r="6" spans="1:10">
      <c r="A6" s="1" t="s">
        <v>193</v>
      </c>
      <c r="B6" s="1" t="s">
        <v>194</v>
      </c>
      <c r="C6" s="1" t="s">
        <v>195</v>
      </c>
      <c r="D6" s="1" t="s">
        <v>196</v>
      </c>
      <c r="J6" s="79"/>
    </row>
    <row r="7" spans="1:10">
      <c r="A7" s="1" t="s">
        <v>198</v>
      </c>
      <c r="B7" s="1" t="s">
        <v>199</v>
      </c>
      <c r="C7" s="1" t="s">
        <v>200</v>
      </c>
      <c r="D7" s="1" t="s">
        <v>201</v>
      </c>
      <c r="E7" s="79"/>
      <c r="F7" s="79"/>
      <c r="G7" s="79"/>
      <c r="H7" s="79"/>
      <c r="I7" s="79"/>
      <c r="J7" s="79"/>
    </row>
    <row r="9" spans="1:10">
      <c r="A9" s="52" t="s">
        <v>346</v>
      </c>
      <c r="B9" s="53" t="s">
        <v>347</v>
      </c>
      <c r="C9" s="52" t="s">
        <v>348</v>
      </c>
      <c r="D9" s="52" t="s">
        <v>349</v>
      </c>
      <c r="E9" s="52" t="s">
        <v>350</v>
      </c>
      <c r="F9" s="52" t="s">
        <v>351</v>
      </c>
      <c r="G9" s="52" t="s">
        <v>352</v>
      </c>
      <c r="H9" s="52" t="s">
        <v>351</v>
      </c>
      <c r="I9" s="52" t="s">
        <v>353</v>
      </c>
      <c r="J9" s="52" t="s">
        <v>0</v>
      </c>
    </row>
    <row r="10" spans="1:10">
      <c r="A10" s="91">
        <v>46088</v>
      </c>
      <c r="B10" s="35">
        <f>'CHICLETS MASTER'!Q5</f>
        <v>0.3263888888888889</v>
      </c>
      <c r="C10" s="35" t="str">
        <f>'CHICLETS MASTER'!$S$3</f>
        <v>SAN JUAN HILLS HS</v>
      </c>
      <c r="D10" s="33" t="s">
        <v>755</v>
      </c>
      <c r="E10" s="33" t="str">
        <f>A5</f>
        <v>A2-TRILOGY BLACK</v>
      </c>
      <c r="F10" s="33">
        <v>2</v>
      </c>
      <c r="G10" s="33" t="str">
        <f>A6</f>
        <v>A3-SAN DIEGO DONS 14 BLACK</v>
      </c>
      <c r="H10" s="33">
        <v>8</v>
      </c>
      <c r="I10" s="33" t="s">
        <v>698</v>
      </c>
      <c r="J10" s="33" t="s">
        <v>181</v>
      </c>
    </row>
    <row r="11" spans="1:10">
      <c r="A11" s="91">
        <v>46088</v>
      </c>
      <c r="B11" s="35">
        <f>'CHICLETS MASTER'!Q6</f>
        <v>0.36111111111111099</v>
      </c>
      <c r="C11" s="35" t="str">
        <f>'CHICLETS MASTER'!$S$3</f>
        <v>SAN JUAN HILLS HS</v>
      </c>
      <c r="D11" s="33" t="s">
        <v>756</v>
      </c>
      <c r="E11" s="33" t="str">
        <f>A4</f>
        <v>A1-LAWPC</v>
      </c>
      <c r="F11" s="33">
        <v>6</v>
      </c>
      <c r="G11" s="33" t="str">
        <f>A7</f>
        <v>A4-NORTH IRVINE RED</v>
      </c>
      <c r="H11" s="33">
        <v>7</v>
      </c>
      <c r="I11" s="33" t="s">
        <v>700</v>
      </c>
      <c r="J11" s="33" t="s">
        <v>181</v>
      </c>
    </row>
    <row r="12" spans="1:10">
      <c r="A12" s="91">
        <v>46088</v>
      </c>
      <c r="B12" s="35">
        <f>'CHICLETS MASTER'!Q7</f>
        <v>0.39583333333333398</v>
      </c>
      <c r="C12" s="35" t="str">
        <f>'CHICLETS MASTER'!$S$3</f>
        <v>SAN JUAN HILLS HS</v>
      </c>
      <c r="D12" s="33" t="s">
        <v>757</v>
      </c>
      <c r="E12" s="33" t="str">
        <f>C5</f>
        <v>C2-VANGUARD SILVER</v>
      </c>
      <c r="F12" s="33">
        <v>10</v>
      </c>
      <c r="G12" s="33" t="str">
        <f>C6</f>
        <v>C3-NEWPORT BEACH WHITE</v>
      </c>
      <c r="H12" s="33">
        <v>6</v>
      </c>
      <c r="I12" s="33" t="s">
        <v>702</v>
      </c>
      <c r="J12" s="33" t="s">
        <v>181</v>
      </c>
    </row>
    <row r="13" spans="1:10">
      <c r="A13" s="91">
        <v>46088</v>
      </c>
      <c r="B13" s="35">
        <f>'CHICLETS MASTER'!Q8</f>
        <v>0.43055555555555602</v>
      </c>
      <c r="C13" s="35" t="str">
        <f>'CHICLETS MASTER'!$S$3</f>
        <v>SAN JUAN HILLS HS</v>
      </c>
      <c r="D13" s="33" t="s">
        <v>758</v>
      </c>
      <c r="E13" s="33" t="str">
        <f>C4</f>
        <v>C1-HIELAND</v>
      </c>
      <c r="F13" s="171">
        <v>7</v>
      </c>
      <c r="G13" s="33" t="str">
        <f>C7</f>
        <v>C4-SAN DIEGO DONS 12 RED</v>
      </c>
      <c r="H13" s="171">
        <v>5</v>
      </c>
      <c r="I13" s="33" t="s">
        <v>706</v>
      </c>
      <c r="J13" s="33" t="s">
        <v>181</v>
      </c>
    </row>
    <row r="14" spans="1:10">
      <c r="A14" s="91">
        <v>46088</v>
      </c>
      <c r="B14" s="35">
        <f>'CHICLETS MASTER'!Q9</f>
        <v>0.46527777777777801</v>
      </c>
      <c r="C14" s="35" t="str">
        <f>'CHICLETS MASTER'!$S$3</f>
        <v>SAN JUAN HILLS HS</v>
      </c>
      <c r="D14" s="33" t="s">
        <v>759</v>
      </c>
      <c r="E14" s="33" t="str">
        <f>D4</f>
        <v>D1-PRIDE RED</v>
      </c>
      <c r="F14" s="33">
        <v>5</v>
      </c>
      <c r="G14" s="33" t="str">
        <f>D7</f>
        <v>D4-MISSION 12A</v>
      </c>
      <c r="H14" s="33">
        <v>7</v>
      </c>
      <c r="I14" s="33" t="s">
        <v>583</v>
      </c>
      <c r="J14" s="33" t="s">
        <v>181</v>
      </c>
    </row>
    <row r="15" spans="1:10">
      <c r="A15" s="91">
        <v>46088</v>
      </c>
      <c r="B15" s="35">
        <f>'CHICLETS MASTER'!Q9</f>
        <v>0.46527777777777801</v>
      </c>
      <c r="C15" s="35" t="str">
        <f>'CHICLETS MASTER'!$T$3</f>
        <v>ALISO NIGUEL HS</v>
      </c>
      <c r="D15" s="33" t="s">
        <v>760</v>
      </c>
      <c r="E15" s="33" t="str">
        <f>B5</f>
        <v>B2-MISSION 14B</v>
      </c>
      <c r="F15" s="33">
        <v>5</v>
      </c>
      <c r="G15" s="33" t="str">
        <f>B6</f>
        <v>B3-ORANGE COUNTY WPC B</v>
      </c>
      <c r="H15" s="33">
        <v>11</v>
      </c>
      <c r="I15" s="33" t="s">
        <v>712</v>
      </c>
      <c r="J15" s="33" t="s">
        <v>181</v>
      </c>
    </row>
    <row r="16" spans="1:10">
      <c r="A16" s="91">
        <v>46088</v>
      </c>
      <c r="B16" s="35">
        <f>'CHICLETS MASTER'!Q10</f>
        <v>0.5</v>
      </c>
      <c r="C16" s="35" t="str">
        <f>'CHICLETS MASTER'!$S$3</f>
        <v>SAN JUAN HILLS HS</v>
      </c>
      <c r="D16" s="33" t="s">
        <v>761</v>
      </c>
      <c r="E16" s="33" t="str">
        <f>D5</f>
        <v>D2-ALAMEDA</v>
      </c>
      <c r="F16" s="33">
        <v>11</v>
      </c>
      <c r="G16" s="33" t="str">
        <f>D6</f>
        <v>D3-CDM B</v>
      </c>
      <c r="H16" s="33">
        <v>3</v>
      </c>
      <c r="I16" s="33" t="s">
        <v>585</v>
      </c>
      <c r="J16" s="33" t="s">
        <v>181</v>
      </c>
    </row>
    <row r="17" spans="1:10">
      <c r="A17" s="91">
        <v>46088</v>
      </c>
      <c r="B17" s="35">
        <f>'CHICLETS MASTER'!Q10</f>
        <v>0.5</v>
      </c>
      <c r="C17" s="35" t="str">
        <f>'CHICLETS MASTER'!$T$3</f>
        <v>ALISO NIGUEL HS</v>
      </c>
      <c r="D17" s="33" t="s">
        <v>762</v>
      </c>
      <c r="E17" s="33" t="str">
        <f>B4</f>
        <v>B1-SD ECA</v>
      </c>
      <c r="F17" s="33">
        <v>16</v>
      </c>
      <c r="G17" s="33" t="str">
        <f>B7</f>
        <v>B4-SOCAL 12 BLACK</v>
      </c>
      <c r="H17" s="33">
        <v>8</v>
      </c>
      <c r="I17" s="33" t="s">
        <v>714</v>
      </c>
      <c r="J17" s="33" t="s">
        <v>181</v>
      </c>
    </row>
    <row r="18" spans="1:10">
      <c r="A18" s="91">
        <v>46088</v>
      </c>
      <c r="B18" s="35">
        <f>'CHICLETS MASTER'!Q11</f>
        <v>0.53472222222222199</v>
      </c>
      <c r="C18" s="35" t="str">
        <f>'CHICLETS MASTER'!$T$3</f>
        <v>ALISO NIGUEL HS</v>
      </c>
      <c r="D18" s="33" t="s">
        <v>763</v>
      </c>
      <c r="E18" s="33" t="str">
        <f>IF(F10="","L#1-",IF(F10&lt;H10,_xlfn.CONCAT("L#1-",RIGHT(E10,LEN(E10) - FIND("-",E10))), _xlfn.CONCAT("L#1-",RIGHT(G10,LEN(G10) - FIND("-",G10)))))</f>
        <v>L#1-TRILOGY BLACK</v>
      </c>
      <c r="F18" s="33">
        <v>5</v>
      </c>
      <c r="G18" s="33" t="str">
        <f>IF(F11="","L#2-",IF(F11&lt;H11,_xlfn.CONCAT("L#2-",RIGHT(E11,LEN(E11) - FIND("-",E11))), _xlfn.CONCAT("L#2-",RIGHT(G11,LEN(G11) - FIND("-",G11)))))</f>
        <v>L#2-LAWPC</v>
      </c>
      <c r="H18" s="33">
        <v>0</v>
      </c>
      <c r="I18" s="185" t="s">
        <v>764</v>
      </c>
      <c r="J18" s="33" t="s">
        <v>181</v>
      </c>
    </row>
    <row r="19" spans="1:10">
      <c r="A19" s="91">
        <v>46088</v>
      </c>
      <c r="B19" s="35">
        <f>'CHICLETS MASTER'!Q11</f>
        <v>0.53472222222222199</v>
      </c>
      <c r="C19" s="35" t="str">
        <f>'CHICLETS MASTER'!$S$3</f>
        <v>SAN JUAN HILLS HS</v>
      </c>
      <c r="D19" s="33" t="s">
        <v>765</v>
      </c>
      <c r="E19" s="33" t="str">
        <f>IF(F12="","L#3-",IF(F12&lt;H12,_xlfn.CONCAT("L#3-",RIGHT(E12,LEN(E12) - FIND("-",E12))), _xlfn.CONCAT("L#3-",RIGHT(G12,LEN(G12) - FIND("-",G12)))))</f>
        <v>L#3-NEWPORT BEACH WHITE</v>
      </c>
      <c r="F19" s="33">
        <v>7</v>
      </c>
      <c r="G19" s="33" t="str">
        <f>IF(F13="","L#4-",IF(F13&lt;H13,_xlfn.CONCAT("L#4-",RIGHT(E13,LEN(E13) - FIND("-",E13))), _xlfn.CONCAT("L#4-",RIGHT(G13,LEN(G13) - FIND("-",G13)))))</f>
        <v>L#4-SAN DIEGO DONS 12 RED</v>
      </c>
      <c r="H19" s="33">
        <v>3</v>
      </c>
      <c r="I19" s="33" t="s">
        <v>717</v>
      </c>
      <c r="J19" s="33" t="s">
        <v>181</v>
      </c>
    </row>
    <row r="20" spans="1:10">
      <c r="A20" s="91">
        <v>46088</v>
      </c>
      <c r="B20" s="35">
        <f>'CHICLETS MASTER'!Q12</f>
        <v>0.56944444444444497</v>
      </c>
      <c r="C20" s="35" t="str">
        <f>'CHICLETS MASTER'!$T$3</f>
        <v>ALISO NIGUEL HS</v>
      </c>
      <c r="D20" s="33" t="s">
        <v>766</v>
      </c>
      <c r="E20" s="33" t="str">
        <f>IF(F10="","W#1-",IF(F10&gt;H10,_xlfn.CONCAT("W#1-",RIGHT(E10,LEN(E10) - FIND("-",E10))), _xlfn.CONCAT("W#1-",RIGHT(G10,LEN(G10) - FIND("-",G10)))))</f>
        <v>W#1-SAN DIEGO DONS 14 BLACK</v>
      </c>
      <c r="F20" s="33">
        <v>5</v>
      </c>
      <c r="G20" s="33" t="str">
        <f>IF(F11="","W#2-",IF(F11&gt;H11,_xlfn.CONCAT("W#2-",RIGHT(E11,LEN(E11) - FIND("-",E11))), _xlfn.CONCAT("W#2-",RIGHT(G11,LEN(G11) - FIND("-",G11)))))</f>
        <v>W#2-NORTH IRVINE RED</v>
      </c>
      <c r="H20" s="33">
        <v>8</v>
      </c>
      <c r="I20" s="33" t="s">
        <v>710</v>
      </c>
      <c r="J20" s="33" t="s">
        <v>181</v>
      </c>
    </row>
    <row r="21" spans="1:10">
      <c r="A21" s="91">
        <v>46088</v>
      </c>
      <c r="B21" s="35">
        <f>'CHICLETS MASTER'!Q12</f>
        <v>0.56944444444444497</v>
      </c>
      <c r="C21" s="35" t="str">
        <f>'CHICLETS MASTER'!$S$3</f>
        <v>SAN JUAN HILLS HS</v>
      </c>
      <c r="D21" s="33" t="s">
        <v>767</v>
      </c>
      <c r="E21" s="33" t="str">
        <f>IF(F12="","W#3-",IF(F12&gt;H12,_xlfn.CONCAT("W#3-",RIGHT(E12,LEN(E12) - FIND("-",E12))), _xlfn.CONCAT("W#3-",RIGHT(G12,LEN(G12) - FIND("-",G12)))))</f>
        <v>W#3-VANGUARD SILVER</v>
      </c>
      <c r="F21" s="33">
        <v>7</v>
      </c>
      <c r="G21" s="33" t="str">
        <f>IF(F13="","W#4-",IF(F13&gt;H13,_xlfn.CONCAT("W#4-",RIGHT(E13,LEN(E13) - FIND("-",E13))), _xlfn.CONCAT("W#4-",RIGHT(G13,LEN(G13) - FIND("-",G13)))))</f>
        <v>W#4-HIELAND</v>
      </c>
      <c r="H21" s="33">
        <v>4</v>
      </c>
      <c r="I21" s="33" t="s">
        <v>720</v>
      </c>
      <c r="J21" s="33" t="s">
        <v>181</v>
      </c>
    </row>
    <row r="22" spans="1:10">
      <c r="A22" s="91">
        <v>46088</v>
      </c>
      <c r="B22" s="35">
        <f>'CHICLETS MASTER'!Q13</f>
        <v>0.60416666666666696</v>
      </c>
      <c r="C22" s="35" t="str">
        <f>'CHICLETS MASTER'!$S$3</f>
        <v>SAN JUAN HILLS HS</v>
      </c>
      <c r="D22" s="33" t="s">
        <v>768</v>
      </c>
      <c r="E22" s="33" t="str">
        <f>IF(F14="","L#5-",IF(F14&lt;H14,_xlfn.CONCAT("L#5-",RIGHT(E14,LEN(E14) - FIND("-",E14))), _xlfn.CONCAT("L#5-",RIGHT(G14,LEN(G14) - FIND("-",G14)))))</f>
        <v>L#5-PRIDE RED</v>
      </c>
      <c r="F22" s="33">
        <v>9</v>
      </c>
      <c r="G22" s="33" t="str">
        <f>IF(F16="","L#6-",IF(F16&lt;H16,_xlfn.CONCAT("L#6-",RIGHT(E16,LEN(E16) - FIND("-",E16))), _xlfn.CONCAT("L#6-",RIGHT(G16,LEN(G16) - FIND("-",G16)))))</f>
        <v>L#6-CDM B</v>
      </c>
      <c r="H22" s="33">
        <v>4</v>
      </c>
      <c r="I22" s="33" t="s">
        <v>589</v>
      </c>
      <c r="J22" s="33" t="s">
        <v>181</v>
      </c>
    </row>
    <row r="23" spans="1:10">
      <c r="A23" s="91">
        <v>46088</v>
      </c>
      <c r="B23" s="35">
        <f>'CHICLETS MASTER'!Q13</f>
        <v>0.60416666666666696</v>
      </c>
      <c r="C23" s="35" t="str">
        <f>'CHICLETS MASTER'!$T$3</f>
        <v>ALISO NIGUEL HS</v>
      </c>
      <c r="D23" s="33" t="s">
        <v>769</v>
      </c>
      <c r="E23" s="33" t="str">
        <f>IF(F15="","L#7-",IF(F15&lt;H15,_xlfn.CONCAT("L#7-",RIGHT(E15,LEN(E15) - FIND("-",E15))), _xlfn.CONCAT("L#7-",RIGHT(G15,LEN(G15) - FIND("-",G15)))))</f>
        <v>L#7-MISSION 14B</v>
      </c>
      <c r="F23" s="33">
        <v>8</v>
      </c>
      <c r="G23" s="33" t="str">
        <f>IF(F17="","L#8-",IF(F17&lt;H17,_xlfn.CONCAT("L#8-",RIGHT(E17,LEN(E17) - FIND("-",E17))), _xlfn.CONCAT("L#8-",RIGHT(G17,LEN(G17) - FIND("-",G17)))))</f>
        <v>L#8-SOCAL 12 BLACK</v>
      </c>
      <c r="H23" s="33">
        <v>11</v>
      </c>
      <c r="I23" s="33" t="s">
        <v>722</v>
      </c>
      <c r="J23" s="33" t="s">
        <v>181</v>
      </c>
    </row>
    <row r="24" spans="1:10">
      <c r="A24" s="91">
        <v>46088</v>
      </c>
      <c r="B24" s="35">
        <f>'CHICLETS MASTER'!Q14</f>
        <v>0.63888888888888895</v>
      </c>
      <c r="C24" s="35" t="str">
        <f>'CHICLETS MASTER'!$S$3</f>
        <v>SAN JUAN HILLS HS</v>
      </c>
      <c r="D24" s="33" t="s">
        <v>770</v>
      </c>
      <c r="E24" s="33" t="str">
        <f>IF(F14="","W#5-",IF(F14&gt;H14,_xlfn.CONCAT("W#5-",RIGHT(E14,LEN(E14) - FIND("-",E14))), _xlfn.CONCAT("W#5-",RIGHT(G14,LEN(G14) - FIND("-",G14)))))</f>
        <v>W#5-MISSION 12A</v>
      </c>
      <c r="F24" s="33">
        <v>7</v>
      </c>
      <c r="G24" s="33" t="str">
        <f>IF(F16="","W#6-",IF(F16&gt;H16,_xlfn.CONCAT("W#6-",RIGHT(E16,LEN(E16) - FIND("-",E16))), _xlfn.CONCAT("W#6-",RIGHT(G16,LEN(G16) - FIND("-",G16)))))</f>
        <v>W#6-ALAMEDA</v>
      </c>
      <c r="H24" s="33">
        <v>8</v>
      </c>
      <c r="I24" s="33" t="s">
        <v>591</v>
      </c>
      <c r="J24" s="33" t="s">
        <v>181</v>
      </c>
    </row>
    <row r="25" spans="1:10">
      <c r="A25" s="91">
        <v>46088</v>
      </c>
      <c r="B25" s="35">
        <f>'CHICLETS MASTER'!Q14</f>
        <v>0.63888888888888895</v>
      </c>
      <c r="C25" s="35" t="str">
        <f>'CHICLETS MASTER'!$T$3</f>
        <v>ALISO NIGUEL HS</v>
      </c>
      <c r="D25" s="33" t="s">
        <v>771</v>
      </c>
      <c r="E25" s="33" t="str">
        <f>IF(F15="","W#7-",IF(F15&gt;H15,_xlfn.CONCAT("W#7-",RIGHT(E15,LEN(E15) - FIND("-",E15))), _xlfn.CONCAT("W#7-",RIGHT(G15,LEN(G15) - FIND("-",G15)))))</f>
        <v>W#7-ORANGE COUNTY WPC B</v>
      </c>
      <c r="F25" s="33">
        <v>14</v>
      </c>
      <c r="G25" s="33" t="str">
        <f>IF(F17="","W#8-",IF(F17&gt;H17,_xlfn.CONCAT("W#8-",RIGHT(E17,LEN(E17) - FIND("-",E17))), _xlfn.CONCAT("W#8-",RIGHT(G17,LEN(G17) - FIND("-",G17)))))</f>
        <v>W#8-SD ECA</v>
      </c>
      <c r="H25" s="33">
        <v>8</v>
      </c>
      <c r="I25" s="33" t="s">
        <v>724</v>
      </c>
      <c r="J25" s="33" t="s">
        <v>181</v>
      </c>
    </row>
    <row r="26" spans="1:10">
      <c r="A26" s="74"/>
    </row>
    <row r="27" spans="1:10">
      <c r="A27" s="74"/>
    </row>
    <row r="28" spans="1:10">
      <c r="A28" s="91">
        <v>46089</v>
      </c>
      <c r="B28" s="35">
        <f>'CHICLETS MASTER'!Q31</f>
        <v>0.3263888888888889</v>
      </c>
      <c r="C28" s="91" t="str">
        <f>'CHICLETS MASTER'!$T$29</f>
        <v>ALISO NIGUEL HS</v>
      </c>
      <c r="D28" s="35" t="s">
        <v>772</v>
      </c>
      <c r="E28" s="35" t="str">
        <f>IF(F22="","4thD-",IF(F22&lt;H22,_xlfn.CONCAT("4thD-",RIGHT(E22,LEN(E22) - FIND("-",E22))), _xlfn.CONCAT("4thD-",RIGHT(G22,LEN(G22) - FIND("-",G22)))))</f>
        <v>4thD-CDM B</v>
      </c>
      <c r="F28" s="33">
        <v>1</v>
      </c>
      <c r="G28" s="185" t="str">
        <f>IF(F18="","4thA-",IF(F18&lt;H18,_xlfn.CONCAT("4thA-",RIGHT(E18,LEN(E18) - FIND("-",E18))), _xlfn.CONCAT("4thA-",RIGHT(G18,LEN(G18) - FIND("-",G18)))))</f>
        <v>4thA-LAWPC</v>
      </c>
      <c r="H28" s="33">
        <v>10</v>
      </c>
      <c r="I28" s="33" t="s">
        <v>732</v>
      </c>
      <c r="J28" s="33" t="s">
        <v>181</v>
      </c>
    </row>
    <row r="29" spans="1:10">
      <c r="A29" s="91">
        <v>46089</v>
      </c>
      <c r="B29" s="35">
        <f>'CHICLETS MASTER'!Q31</f>
        <v>0.3263888888888889</v>
      </c>
      <c r="C29" s="91" t="str">
        <f>'CHICLETS MASTER'!$S$29</f>
        <v>SAN JUAN HILLS HS</v>
      </c>
      <c r="D29" s="35" t="s">
        <v>773</v>
      </c>
      <c r="E29" s="35" t="str">
        <f>IF(F18="","3rdA-",IF(F18&gt;H18,_xlfn.CONCAT("3rdA-",RIGHT(E18,LEN(E18) - FIND("-",E18))), _xlfn.CONCAT("3rdA-",RIGHT(G18,LEN(G18) - FIND("-",G18)))))</f>
        <v>3rdA-TRILOGY BLACK</v>
      </c>
      <c r="F29" s="33">
        <v>4</v>
      </c>
      <c r="G29" s="33" t="str">
        <f>IF(F22="","3rdD-",IF(F22&gt;H22,_xlfn.CONCAT("3rdD-",RIGHT(E22,LEN(E22) - FIND("-",E22))), _xlfn.CONCAT("3rdD-",RIGHT(G22,LEN(G22) - FIND("-",G22)))))</f>
        <v>3rdD-PRIDE RED</v>
      </c>
      <c r="H29" s="33">
        <v>6</v>
      </c>
      <c r="I29" s="33" t="s">
        <v>726</v>
      </c>
      <c r="J29" s="33" t="s">
        <v>181</v>
      </c>
    </row>
    <row r="30" spans="1:10">
      <c r="A30" s="91">
        <v>46089</v>
      </c>
      <c r="B30" s="35">
        <f>'CHICLETS MASTER'!Q32</f>
        <v>0.36111111111111099</v>
      </c>
      <c r="C30" s="91" t="str">
        <f>'CHICLETS MASTER'!$T$29</f>
        <v>ALISO NIGUEL HS</v>
      </c>
      <c r="D30" s="35" t="s">
        <v>774</v>
      </c>
      <c r="E30" s="35" t="str">
        <f>IF(F19="","4thC-",IF(F19&lt;H19,_xlfn.CONCAT("4thC-",RIGHT(E19,LEN(E19) - FIND("-",E19))), _xlfn.CONCAT("4thC-",RIGHT(G19,LEN(G19) - FIND("-",G19)))))</f>
        <v>4thC-SAN DIEGO DONS 12 RED</v>
      </c>
      <c r="F30" s="33">
        <v>3</v>
      </c>
      <c r="G30" s="33" t="str">
        <f>IF(F23="","4thB-",IF(F23&lt;H23,_xlfn.CONCAT("4thB-",RIGHT(E23,LEN(E23) - FIND("-",E23))), _xlfn.CONCAT("4thB-",RIGHT(G23,LEN(G23) - FIND("-",G23)))))</f>
        <v>4thB-MISSION 14B</v>
      </c>
      <c r="H30" s="33">
        <v>7</v>
      </c>
      <c r="I30" s="33" t="s">
        <v>732</v>
      </c>
      <c r="J30" s="33" t="s">
        <v>181</v>
      </c>
    </row>
    <row r="31" spans="1:10">
      <c r="A31" s="91">
        <v>46089</v>
      </c>
      <c r="B31" s="35">
        <f>'CHICLETS MASTER'!Q32</f>
        <v>0.36111111111111099</v>
      </c>
      <c r="C31" s="91" t="str">
        <f>'CHICLETS MASTER'!$S$29</f>
        <v>SAN JUAN HILLS HS</v>
      </c>
      <c r="D31" s="35" t="s">
        <v>775</v>
      </c>
      <c r="E31" s="35" t="str">
        <f>IF(F23="","3rdB-",IF(F23&gt;H23,_xlfn.CONCAT("3rdB-",RIGHT(E23,LEN(E23) - FIND("-",E23))), _xlfn.CONCAT("3rdB-",RIGHT(G23,LEN(G23) - FIND("-",G23)))))</f>
        <v>3rdB-SOCAL 12 BLACK</v>
      </c>
      <c r="F31" s="33">
        <v>8</v>
      </c>
      <c r="G31" s="33" t="str">
        <f>IF(F19="","3rdC-",IF(F19&gt;H19,_xlfn.CONCAT("3rdC-",RIGHT(E19,LEN(E19) - FIND("-",E19))), _xlfn.CONCAT("3rdC-",RIGHT(G19,LEN(G19) - FIND("-",G19)))))</f>
        <v>3rdC-NEWPORT BEACH WHITE</v>
      </c>
      <c r="H31" s="33">
        <v>11</v>
      </c>
      <c r="I31" s="33" t="s">
        <v>728</v>
      </c>
      <c r="J31" s="33" t="s">
        <v>181</v>
      </c>
    </row>
    <row r="32" spans="1:10">
      <c r="A32" s="91">
        <v>46089</v>
      </c>
      <c r="B32" s="35">
        <f>'CHICLETS MASTER'!Q33</f>
        <v>0.39583333333333398</v>
      </c>
      <c r="C32" s="91" t="str">
        <f>'CHICLETS MASTER'!$S$29</f>
        <v>SAN JUAN HILLS HS</v>
      </c>
      <c r="D32" s="35" t="s">
        <v>776</v>
      </c>
      <c r="E32" s="35" t="str">
        <f>IF(F24="","2ndD-",IF(F24&lt;H24,_xlfn.CONCAT("2ndD-",RIGHT(E24,LEN(E24) - FIND("-",E24))), _xlfn.CONCAT("2ndD-",RIGHT(G24,LEN(G24) - FIND("-",G24)))))</f>
        <v>2ndD-MISSION 12A</v>
      </c>
      <c r="F32" s="33">
        <v>3</v>
      </c>
      <c r="G32" s="33" t="str">
        <f>IF(F20="","2ndA-",IF(F20&lt;H20,_xlfn.CONCAT("2ndA-",RIGHT(E20,LEN(E20) - FIND("-",E20))), _xlfn.CONCAT("2ndA-",RIGHT(G20,LEN(G20) - FIND("-",G20)))))</f>
        <v>2ndA-SAN DIEGO DONS 14 BLACK</v>
      </c>
      <c r="H32" s="33">
        <v>8</v>
      </c>
      <c r="I32" s="33" t="s">
        <v>730</v>
      </c>
      <c r="J32" s="33" t="s">
        <v>181</v>
      </c>
    </row>
    <row r="33" spans="1:10">
      <c r="A33" s="91">
        <v>46089</v>
      </c>
      <c r="B33" s="35">
        <f>'CHICLETS MASTER'!Q34</f>
        <v>0.43055555555555602</v>
      </c>
      <c r="C33" s="91" t="str">
        <f>'CHICLETS MASTER'!$S$29</f>
        <v>SAN JUAN HILLS HS</v>
      </c>
      <c r="D33" s="35" t="s">
        <v>777</v>
      </c>
      <c r="E33" s="35" t="str">
        <f>IF(F21="","2ndC-",IF(F21&lt;H21,_xlfn.CONCAT("2ndC-",RIGHT(E21,LEN(E21) - FIND("-",E21))), _xlfn.CONCAT("2ndC-",RIGHT(G21,LEN(G21) - FIND("-",G21)))))</f>
        <v>2ndC-HIELAND</v>
      </c>
      <c r="F33" s="33">
        <v>8</v>
      </c>
      <c r="G33" s="33" t="str">
        <f>IF(F25="","2ndB-",IF(F25&lt;H25,_xlfn.CONCAT("2ndB-",RIGHT(E25,LEN(E25) - FIND("-",E25))), _xlfn.CONCAT("2ndB-",RIGHT(G25,LEN(G25) - FIND("-",G25)))))</f>
        <v>2ndB-SD ECA</v>
      </c>
      <c r="H33" s="33">
        <v>10</v>
      </c>
      <c r="I33" s="33" t="s">
        <v>735</v>
      </c>
      <c r="J33" s="33" t="s">
        <v>181</v>
      </c>
    </row>
    <row r="34" spans="1:10">
      <c r="A34" s="91">
        <v>46089</v>
      </c>
      <c r="B34" s="35">
        <f>'CHICLETS MASTER'!Q35</f>
        <v>0.46527777777777801</v>
      </c>
      <c r="C34" s="91" t="str">
        <f>'CHICLETS MASTER'!$S$29</f>
        <v>SAN JUAN HILLS HS</v>
      </c>
      <c r="D34" s="35" t="s">
        <v>778</v>
      </c>
      <c r="E34" s="35" t="str">
        <f>IF(F20="","1stA-",IF(F20&gt;H20,_xlfn.CONCAT("1stA-",RIGHT(E20,LEN(E20) - FIND("-",E20))), _xlfn.CONCAT("1stA-",RIGHT(G20,LEN(G20) - FIND("-",G20)))))</f>
        <v>1stA-NORTH IRVINE RED</v>
      </c>
      <c r="F34" s="33">
        <v>7</v>
      </c>
      <c r="G34" s="33" t="str">
        <f>IF(F24="","1stD-",IF(F24&gt;H24,_xlfn.CONCAT("1stD-",RIGHT(E24,LEN(E24) - FIND("-",E24))), _xlfn.CONCAT("1stD-",RIGHT(G24,LEN(G24) - FIND("-",G24)))))</f>
        <v>1stD-ALAMEDA</v>
      </c>
      <c r="H34" s="33">
        <v>4</v>
      </c>
      <c r="I34" s="33" t="s">
        <v>737</v>
      </c>
      <c r="J34" s="33" t="s">
        <v>181</v>
      </c>
    </row>
    <row r="35" spans="1:10">
      <c r="A35" s="91">
        <v>46089</v>
      </c>
      <c r="B35" s="35">
        <f>'CHICLETS MASTER'!Q35</f>
        <v>0.46527777777777801</v>
      </c>
      <c r="C35" s="91" t="str">
        <f>'CHICLETS MASTER'!$T$29</f>
        <v>ALISO NIGUEL HS</v>
      </c>
      <c r="D35" s="35" t="s">
        <v>779</v>
      </c>
      <c r="E35" s="35" t="str">
        <f>IF(F28="","W#29-",IF(F28&gt;H28,_xlfn.CONCAT("W#29-",RIGHT(E28,LEN(E28) - FIND("-",E28))), _xlfn.CONCAT("W#29-",RIGHT(G28,LEN(G28) - FIND("-",G28)))))</f>
        <v>W#29-LAWPC</v>
      </c>
      <c r="F35" s="33">
        <v>10</v>
      </c>
      <c r="G35" s="33" t="str">
        <f>IF(F30="","W#30-",IF(F30&gt;H30,_xlfn.CONCAT("W#30-",RIGHT(E30,LEN(E30) - FIND("-",E30))), _xlfn.CONCAT("W#30-",RIGHT(G30,LEN(G30) - FIND("-",G30)))))</f>
        <v>W#30-MISSION 14B</v>
      </c>
      <c r="H35" s="33">
        <v>12</v>
      </c>
      <c r="I35" s="33" t="s">
        <v>749</v>
      </c>
      <c r="J35" s="33" t="s">
        <v>181</v>
      </c>
    </row>
    <row r="36" spans="1:10">
      <c r="A36" s="91">
        <v>46089</v>
      </c>
      <c r="B36" s="35">
        <f>'CHICLETS MASTER'!Q36</f>
        <v>0.5</v>
      </c>
      <c r="C36" s="91" t="str">
        <f>'CHICLETS MASTER'!$T$29</f>
        <v>ALISO NIGUEL HS</v>
      </c>
      <c r="D36" s="35" t="s">
        <v>780</v>
      </c>
      <c r="E36" s="35" t="str">
        <f>IF(F28="","L#29-",IF(F28&lt;H28,_xlfn.CONCAT("L#29-",RIGHT(E28,LEN(E28) - FIND("-",E28))), _xlfn.CONCAT("L#29-",RIGHT(G28,LEN(G28) - FIND("-",G28)))))</f>
        <v>L#29-CDM B</v>
      </c>
      <c r="F36" s="33">
        <v>3</v>
      </c>
      <c r="G36" s="33" t="str">
        <f>IF(F30="","L#30-",IF(F30&lt;H30,_xlfn.CONCAT("L#30-",RIGHT(E30,LEN(E30) - FIND("-",E30))), _xlfn.CONCAT("L#30-",RIGHT(G30,LEN(G30) - FIND("-",G30)))))</f>
        <v>L#30-SAN DIEGO DONS 12 RED</v>
      </c>
      <c r="H36" s="33">
        <v>13</v>
      </c>
      <c r="I36" s="33" t="s">
        <v>752</v>
      </c>
      <c r="J36" s="33" t="s">
        <v>181</v>
      </c>
    </row>
    <row r="37" spans="1:10">
      <c r="A37" s="91">
        <v>46089</v>
      </c>
      <c r="B37" s="35">
        <f>'CHICLETS MASTER'!Q36</f>
        <v>0.5</v>
      </c>
      <c r="C37" s="91" t="str">
        <f>'CHICLETS MASTER'!$S$29</f>
        <v>SAN JUAN HILLS HS</v>
      </c>
      <c r="D37" s="35" t="s">
        <v>781</v>
      </c>
      <c r="E37" s="35" t="str">
        <f>IF(F25="","1stB-",IF(F25&gt;H25,_xlfn.CONCAT("1stB-",RIGHT(E25,LEN(E25) - FIND("-",E25))), _xlfn.CONCAT("1stB-",RIGHT(G25,LEN(G25) - FIND("-",G25)))))</f>
        <v>1stB-ORANGE COUNTY WPC B</v>
      </c>
      <c r="F37" s="33">
        <v>6</v>
      </c>
      <c r="G37" s="33" t="str">
        <f>IF(F21="","1stC-",IF(F21&gt;H21,_xlfn.CONCAT("1stC-",RIGHT(E21,LEN(E21) - FIND("-",E21))), _xlfn.CONCAT("1stC-",RIGHT(G21,LEN(G21) - FIND("-",G21)))))</f>
        <v>1stC-VANGUARD SILVER</v>
      </c>
      <c r="H37" s="33">
        <v>3</v>
      </c>
      <c r="I37" s="33" t="s">
        <v>739</v>
      </c>
      <c r="J37" s="33" t="s">
        <v>181</v>
      </c>
    </row>
    <row r="38" spans="1:10">
      <c r="A38" s="91">
        <v>46089</v>
      </c>
      <c r="B38" s="35">
        <f>'CHICLETS MASTER'!Q37</f>
        <v>0.53472222222222199</v>
      </c>
      <c r="C38" s="91" t="str">
        <f>'CHICLETS MASTER'!$S$29</f>
        <v>SAN JUAN HILLS HS</v>
      </c>
      <c r="D38" s="35" t="s">
        <v>782</v>
      </c>
      <c r="E38" s="35" t="str">
        <f>IF(F32="","W#21-",IF(F32&gt;H32,_xlfn.CONCAT("W#21-",RIGHT(E32,LEN(E32) - FIND("-",E32))), _xlfn.CONCAT("W#21-",RIGHT(G32,LEN(G32) - FIND("-",G32)))))</f>
        <v>W#21-SAN DIEGO DONS 14 BLACK</v>
      </c>
      <c r="F38" s="33">
        <v>10</v>
      </c>
      <c r="G38" s="33" t="str">
        <f>IF(F33="","W#22-",IF(F33&gt;H33,_xlfn.CONCAT("W#22-",RIGHT(E33,LEN(E33) - FIND("-",E33))), _xlfn.CONCAT("W#22-",RIGHT(G33,LEN(G33) - FIND("-",G33)))))</f>
        <v>W#22-SD ECA</v>
      </c>
      <c r="H38" s="33">
        <v>5</v>
      </c>
      <c r="I38" s="33" t="s">
        <v>741</v>
      </c>
      <c r="J38" s="33" t="s">
        <v>181</v>
      </c>
    </row>
    <row r="39" spans="1:10">
      <c r="A39" s="91">
        <v>46089</v>
      </c>
      <c r="B39" s="35">
        <f>'CHICLETS MASTER'!Q37</f>
        <v>0.53472222222222199</v>
      </c>
      <c r="C39" s="91" t="str">
        <f>'CHICLETS MASTER'!$R$29</f>
        <v>EL TORO HS 1</v>
      </c>
      <c r="D39" s="35" t="s">
        <v>783</v>
      </c>
      <c r="E39" s="35" t="str">
        <f>IF(F29="","W#27-",IF(F29&gt;H29,_xlfn.CONCAT("W#27-",RIGHT(E29,LEN(E29) - FIND("-",E29))), _xlfn.CONCAT("W#27-",RIGHT(G29,LEN(G29) - FIND("-",G29)))))</f>
        <v>W#27-PRIDE RED</v>
      </c>
      <c r="F39" s="33">
        <v>9</v>
      </c>
      <c r="G39" s="33" t="str">
        <f>IF(F31="","W#28-",IF(F31&gt;H31,_xlfn.CONCAT("W#28-",RIGHT(E31,LEN(E31) - FIND("-",E31))), _xlfn.CONCAT("W#28-",RIGHT(G31,LEN(G31) - FIND("-",G31)))))</f>
        <v>W#28-NEWPORT BEACH WHITE</v>
      </c>
      <c r="H39" s="33">
        <v>11</v>
      </c>
      <c r="I39" s="33" t="s">
        <v>743</v>
      </c>
      <c r="J39" s="33" t="s">
        <v>181</v>
      </c>
    </row>
    <row r="40" spans="1:10">
      <c r="A40" s="91">
        <v>46089</v>
      </c>
      <c r="B40" s="35">
        <f>'CHICLETS MASTER'!Q38</f>
        <v>0.56944444444444497</v>
      </c>
      <c r="C40" s="91" t="str">
        <f>'CHICLETS MASTER'!$S$29</f>
        <v>SAN JUAN HILLS HS</v>
      </c>
      <c r="D40" s="35" t="s">
        <v>784</v>
      </c>
      <c r="E40" s="35" t="str">
        <f>IF(F32="","L#21-",IF(F32&lt;H32,_xlfn.CONCAT("L#21-",RIGHT(E32,LEN(E32) - FIND("-",E32))), _xlfn.CONCAT("L#21-",RIGHT(G32,LEN(G32) - FIND("-",G32)))))</f>
        <v>L#21-MISSION 12A</v>
      </c>
      <c r="F40" s="33">
        <v>12</v>
      </c>
      <c r="G40" s="33" t="str">
        <f>IF(F33="","L#22-",IF(F33&lt;H33,_xlfn.CONCAT("L#22-",RIGHT(E33,LEN(E33) - FIND("-",E33))), _xlfn.CONCAT("L#22-",RIGHT(G33,LEN(G33) - FIND("-",G33)))))</f>
        <v>L#22-HIELAND</v>
      </c>
      <c r="H40" s="33">
        <v>4</v>
      </c>
      <c r="I40" s="33" t="s">
        <v>745</v>
      </c>
      <c r="J40" s="33" t="s">
        <v>181</v>
      </c>
    </row>
    <row r="41" spans="1:10">
      <c r="A41" s="91">
        <v>46089</v>
      </c>
      <c r="B41" s="35">
        <f>'CHICLETS MASTER'!Q38</f>
        <v>0.56944444444444497</v>
      </c>
      <c r="C41" s="91" t="str">
        <f>'CHICLETS MASTER'!$R$29</f>
        <v>EL TORO HS 1</v>
      </c>
      <c r="D41" s="35" t="s">
        <v>785</v>
      </c>
      <c r="E41" s="35" t="str">
        <f>IF(F29="","L#27-",IF(F29&lt;H29,_xlfn.CONCAT("L#27-",RIGHT(E29,LEN(E29) - FIND("-",E29))), _xlfn.CONCAT("L#27-",RIGHT(G29,LEN(G29) - FIND("-",G29)))))</f>
        <v>L#27-TRILOGY BLACK</v>
      </c>
      <c r="F41" s="33">
        <v>3</v>
      </c>
      <c r="G41" s="33" t="str">
        <f>IF(F31="","L#28-",IF(F31&lt;H31,_xlfn.CONCAT("L#28-",RIGHT(E31,LEN(E31) - FIND("-",E31))), _xlfn.CONCAT("L#28-",RIGHT(G31,LEN(G31) - FIND("-",G31)))))</f>
        <v>L#28-SOCAL 12 BLACK</v>
      </c>
      <c r="H41" s="33">
        <v>7</v>
      </c>
      <c r="I41" s="33" t="s">
        <v>747</v>
      </c>
      <c r="J41" s="33" t="s">
        <v>181</v>
      </c>
    </row>
    <row r="42" spans="1:10">
      <c r="A42" s="91">
        <v>46089</v>
      </c>
      <c r="B42" s="35">
        <f>'CHICLETS MASTER'!Q39</f>
        <v>0.60416666666666696</v>
      </c>
      <c r="C42" s="91" t="str">
        <f>'CHICLETS MASTER'!$S$29</f>
        <v>SAN JUAN HILLS HS</v>
      </c>
      <c r="D42" s="35" t="s">
        <v>786</v>
      </c>
      <c r="E42" s="35" t="str">
        <f>IF(F34="","L#19-",IF(F34&lt;H34,_xlfn.CONCAT("L#19-",RIGHT(E34,LEN(E34) - FIND("-",E34))), _xlfn.CONCAT("L#19-",RIGHT(G34,LEN(G34) - FIND("-",G34)))))</f>
        <v>L#19-ALAMEDA</v>
      </c>
      <c r="F42" s="33">
        <v>7</v>
      </c>
      <c r="G42" s="33" t="str">
        <f>IF(F37="","L#20-",IF(F37&lt;H37,_xlfn.CONCAT("L#20-",RIGHT(E37,LEN(E37) - FIND("-",E37))), _xlfn.CONCAT("L#20-",RIGHT(G37,LEN(G37) - FIND("-",G37)))))</f>
        <v>L#20-VANGUARD SILVER</v>
      </c>
      <c r="H42" s="33">
        <v>8</v>
      </c>
      <c r="I42" s="33" t="s">
        <v>416</v>
      </c>
      <c r="J42" s="33" t="s">
        <v>181</v>
      </c>
    </row>
    <row r="43" spans="1:10">
      <c r="A43" s="91">
        <v>46089</v>
      </c>
      <c r="B43" s="35">
        <f>'CHICLETS MASTER'!Q40</f>
        <v>0.63888888888888895</v>
      </c>
      <c r="C43" s="91" t="str">
        <f>'CHICLETS MASTER'!$S$29</f>
        <v>SAN JUAN HILLS HS</v>
      </c>
      <c r="D43" s="35" t="s">
        <v>787</v>
      </c>
      <c r="E43" s="35" t="str">
        <f>IF(F34="","W#19-",IF(F34&gt;H34,_xlfn.CONCAT("W#19-",RIGHT(E34,LEN(E34) - FIND("-",E34))), _xlfn.CONCAT("W#19-",RIGHT(G34,LEN(G34) - FIND("-",G34)))))</f>
        <v>W#19-NORTH IRVINE RED</v>
      </c>
      <c r="F43" s="33">
        <v>7</v>
      </c>
      <c r="G43" s="33" t="str">
        <f>IF(F37="","W#20-",IF(F37&gt;H37,_xlfn.CONCAT("W#20-",RIGHT(E37,LEN(E37) - FIND("-",E37))), _xlfn.CONCAT("W#20-",RIGHT(G37,LEN(G37) - FIND("-",G37)))))</f>
        <v>W#20-ORANGE COUNTY WPC B</v>
      </c>
      <c r="H43" s="33">
        <v>6</v>
      </c>
      <c r="I43" s="33" t="s">
        <v>414</v>
      </c>
      <c r="J43" s="33" t="s">
        <v>181</v>
      </c>
    </row>
    <row r="45" spans="1:10">
      <c r="J45" s="74" t="s">
        <v>788</v>
      </c>
    </row>
    <row r="46" spans="1:10">
      <c r="I46" s="33" t="s">
        <v>414</v>
      </c>
      <c r="J46" s="33" t="str">
        <f>IF(F43="","W#24",IF(F43&gt;H43,_xlfn.CONCAT("W#24-",RIGHT(E43,LEN(E43) - FIND("-",E43))), _xlfn.CONCAT("W#24-",RIGHT(G43,LEN(G43) - FIND("-",G43)))))</f>
        <v>W#24-NORTH IRVINE RED</v>
      </c>
    </row>
    <row r="47" spans="1:10">
      <c r="I47" s="33" t="s">
        <v>415</v>
      </c>
      <c r="J47" s="33" t="str">
        <f>IF(F43="","L#24",IF(F43&lt;H43,_xlfn.CONCAT("L#24-",RIGHT(E43,LEN(E43) - FIND("-",E43))), _xlfn.CONCAT("L#24-",RIGHT(G43,LEN(G43) - FIND("-",G43)))))</f>
        <v>L#24-ORANGE COUNTY WPC B</v>
      </c>
    </row>
    <row r="48" spans="1:10">
      <c r="I48" s="33" t="s">
        <v>416</v>
      </c>
      <c r="J48" s="33" t="str">
        <f>IF(F42="","W#23",IF(F42&gt;H42,_xlfn.CONCAT("W#23-",RIGHT(E42,LEN(E42) - FIND("-",E42))), _xlfn.CONCAT("W#23-",RIGHT(G42,LEN(G42) - FIND("-",G42)))))</f>
        <v>W#23-VANGUARD SILVER</v>
      </c>
    </row>
  </sheetData>
  <hyperlinks>
    <hyperlink ref="B2" r:id="rId1" xr:uid="{7E260F48-7F01-4D50-A17E-1F108EB0DEEE}"/>
    <hyperlink ref="C2" r:id="rId2" xr:uid="{29B4B0EE-C858-4923-BED3-57B8AA668776}"/>
    <hyperlink ref="A2" r:id="rId3" xr:uid="{F6892AA5-C3CD-4FC5-8F8C-8E229F5751B6}"/>
  </hyperlinks>
  <pageMargins left="0.7" right="0.7" top="0.75" bottom="0.75" header="0.3" footer="0.3"/>
  <pageSetup scale="84" orientation="landscape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11C9-0265-4C9F-B0F4-2DFD1EDECF61}">
  <sheetPr>
    <tabColor rgb="FFFF0000"/>
    <pageSetUpPr fitToPage="1"/>
  </sheetPr>
  <dimension ref="A1:J38"/>
  <sheetViews>
    <sheetView workbookViewId="0"/>
  </sheetViews>
  <sheetFormatPr defaultColWidth="9.140625" defaultRowHeight="18"/>
  <cols>
    <col min="1" max="1" width="29.85546875" style="41" customWidth="1"/>
    <col min="2" max="2" width="31.5703125" style="41" customWidth="1"/>
    <col min="3" max="3" width="34.85546875" style="41" customWidth="1"/>
    <col min="4" max="4" width="20.85546875" style="41" customWidth="1"/>
    <col min="5" max="5" width="41.140625" style="41" customWidth="1"/>
    <col min="6" max="6" width="5" style="41" bestFit="1" customWidth="1"/>
    <col min="7" max="7" width="37.5703125" style="41" bestFit="1" customWidth="1"/>
    <col min="8" max="8" width="25.85546875" style="41" bestFit="1" customWidth="1"/>
    <col min="9" max="9" width="29.5703125" style="41" customWidth="1"/>
    <col min="10" max="10" width="32.5703125" style="41" customWidth="1"/>
    <col min="11" max="11" width="25.85546875" style="41" bestFit="1" customWidth="1"/>
    <col min="12" max="16384" width="9.140625" style="41"/>
  </cols>
  <sheetData>
    <row r="1" spans="1:10">
      <c r="A1" s="104" t="s">
        <v>789</v>
      </c>
      <c r="B1" s="104" t="s">
        <v>790</v>
      </c>
      <c r="C1" s="103" t="s">
        <v>548</v>
      </c>
      <c r="D1" s="52" t="s">
        <v>791</v>
      </c>
      <c r="E1" s="52" t="s">
        <v>792</v>
      </c>
    </row>
    <row r="2" spans="1:10">
      <c r="A2" s="62" t="s">
        <v>360</v>
      </c>
      <c r="B2" s="61" t="s">
        <v>361</v>
      </c>
      <c r="C2" s="60" t="s">
        <v>362</v>
      </c>
      <c r="D2" s="52"/>
      <c r="E2" s="52"/>
    </row>
    <row r="3" spans="1:10">
      <c r="A3" s="3" t="s">
        <v>118</v>
      </c>
      <c r="B3" s="3" t="s">
        <v>119</v>
      </c>
      <c r="C3" s="3" t="s">
        <v>120</v>
      </c>
      <c r="D3" s="80"/>
      <c r="F3" s="79"/>
      <c r="H3" s="80"/>
      <c r="I3" s="80"/>
      <c r="J3" s="80"/>
    </row>
    <row r="4" spans="1:10">
      <c r="A4" s="1" t="s">
        <v>215</v>
      </c>
      <c r="B4" s="1" t="s">
        <v>216</v>
      </c>
      <c r="C4" s="1" t="s">
        <v>217</v>
      </c>
      <c r="D4" s="79"/>
      <c r="F4" s="79"/>
      <c r="H4" s="79"/>
      <c r="I4" s="79"/>
      <c r="J4" s="79"/>
    </row>
    <row r="5" spans="1:10">
      <c r="A5" s="1" t="s">
        <v>219</v>
      </c>
      <c r="B5" s="1" t="s">
        <v>220</v>
      </c>
      <c r="C5" s="1" t="s">
        <v>221</v>
      </c>
      <c r="D5" s="79"/>
      <c r="F5" s="79"/>
      <c r="H5" s="79"/>
      <c r="I5" s="79"/>
      <c r="J5" s="79"/>
    </row>
    <row r="6" spans="1:10">
      <c r="A6" s="1" t="s">
        <v>222</v>
      </c>
      <c r="B6" s="1" t="s">
        <v>223</v>
      </c>
      <c r="C6" s="1" t="s">
        <v>224</v>
      </c>
      <c r="D6" s="79"/>
      <c r="F6" s="79"/>
      <c r="H6" s="79"/>
      <c r="I6" s="79"/>
      <c r="J6" s="79"/>
    </row>
    <row r="7" spans="1:10">
      <c r="A7" s="1"/>
      <c r="B7" s="1"/>
      <c r="C7" s="1" t="s">
        <v>226</v>
      </c>
      <c r="D7" s="79"/>
      <c r="J7" s="79"/>
    </row>
    <row r="8" spans="1:10">
      <c r="A8" s="79"/>
      <c r="B8" s="79"/>
      <c r="C8" s="79"/>
      <c r="D8" s="79"/>
      <c r="E8" s="79"/>
      <c r="F8" s="79"/>
      <c r="G8" s="79"/>
      <c r="H8" s="79"/>
      <c r="I8" s="79"/>
      <c r="J8" s="79"/>
    </row>
    <row r="9" spans="1:10">
      <c r="A9" s="102" t="s">
        <v>346</v>
      </c>
      <c r="B9" s="101" t="s">
        <v>347</v>
      </c>
      <c r="C9" s="101" t="s">
        <v>348</v>
      </c>
      <c r="D9" s="101" t="s">
        <v>349</v>
      </c>
      <c r="E9" s="101" t="s">
        <v>350</v>
      </c>
      <c r="F9" s="101" t="s">
        <v>351</v>
      </c>
      <c r="G9" s="101" t="s">
        <v>352</v>
      </c>
      <c r="H9" s="101" t="s">
        <v>351</v>
      </c>
      <c r="I9" s="101" t="s">
        <v>353</v>
      </c>
      <c r="J9" s="100" t="s">
        <v>0</v>
      </c>
    </row>
    <row r="10" spans="1:10">
      <c r="A10" s="94">
        <v>46088</v>
      </c>
      <c r="B10" s="93">
        <f>'CHICLETS MASTER'!Q5</f>
        <v>0.3263888888888889</v>
      </c>
      <c r="C10" s="93" t="str">
        <f>'CHICLETS MASTER'!$U$3</f>
        <v>WESTMINSTER HS</v>
      </c>
      <c r="D10" s="32" t="s">
        <v>793</v>
      </c>
      <c r="E10" s="155" t="str">
        <f>C4</f>
        <v>C1-SAN DIEGO DONS</v>
      </c>
      <c r="F10" s="32">
        <v>8.4</v>
      </c>
      <c r="G10" s="32" t="str">
        <f>C7</f>
        <v>C4-DEVILS GATE</v>
      </c>
      <c r="H10" s="32">
        <v>8.1999999999999993</v>
      </c>
      <c r="I10" s="32" t="s">
        <v>794</v>
      </c>
      <c r="J10" s="32" t="s">
        <v>212</v>
      </c>
    </row>
    <row r="11" spans="1:10">
      <c r="A11" s="94">
        <v>46088</v>
      </c>
      <c r="B11" s="93">
        <f>'CHICLETS MASTER'!Q6</f>
        <v>0.36111111111111099</v>
      </c>
      <c r="C11" s="93" t="str">
        <f>'CHICLETS MASTER'!$U$3</f>
        <v>WESTMINSTER HS</v>
      </c>
      <c r="D11" s="32" t="s">
        <v>795</v>
      </c>
      <c r="E11" s="32" t="str">
        <f>A4</f>
        <v>A1-MISSION A</v>
      </c>
      <c r="F11" s="32">
        <v>13</v>
      </c>
      <c r="G11" s="32" t="str">
        <f>A6</f>
        <v>A3-ROUTE 66</v>
      </c>
      <c r="H11" s="32">
        <v>2</v>
      </c>
      <c r="I11" s="32" t="s">
        <v>630</v>
      </c>
      <c r="J11" s="32" t="s">
        <v>212</v>
      </c>
    </row>
    <row r="12" spans="1:10">
      <c r="A12" s="94">
        <v>46088</v>
      </c>
      <c r="B12" s="93">
        <f>'CHICLETS MASTER'!Q7</f>
        <v>0.39583333333333398</v>
      </c>
      <c r="C12" s="93" t="str">
        <f>'CHICLETS MASTER'!$U$3</f>
        <v>WESTMINSTER HS</v>
      </c>
      <c r="D12" s="32" t="s">
        <v>796</v>
      </c>
      <c r="E12" s="32" t="str">
        <f>B4</f>
        <v>B1-NEWPORT BEACH BLUE</v>
      </c>
      <c r="F12" s="32">
        <v>13</v>
      </c>
      <c r="G12" s="32" t="str">
        <f>B6</f>
        <v>B3-PATRIOT RED</v>
      </c>
      <c r="H12" s="32">
        <v>3</v>
      </c>
      <c r="I12" s="32" t="s">
        <v>565</v>
      </c>
      <c r="J12" s="32" t="s">
        <v>212</v>
      </c>
    </row>
    <row r="13" spans="1:10">
      <c r="A13" s="94">
        <v>46088</v>
      </c>
      <c r="B13" s="93">
        <f>'CHICLETS MASTER'!Q8</f>
        <v>0.43055555555555602</v>
      </c>
      <c r="C13" s="93" t="str">
        <f>'CHICLETS MASTER'!$U$3</f>
        <v>WESTMINSTER HS</v>
      </c>
      <c r="D13" s="32" t="s">
        <v>797</v>
      </c>
      <c r="E13" s="155" t="str">
        <f>C4</f>
        <v>C1-SAN DIEGO DONS</v>
      </c>
      <c r="F13" s="32">
        <v>7</v>
      </c>
      <c r="G13" s="32" t="str">
        <f>C5</f>
        <v>C2-VANGUARD BLUE</v>
      </c>
      <c r="H13" s="32">
        <v>8</v>
      </c>
      <c r="I13" s="32" t="s">
        <v>593</v>
      </c>
      <c r="J13" s="32" t="s">
        <v>212</v>
      </c>
    </row>
    <row r="14" spans="1:10">
      <c r="A14" s="94">
        <v>46088</v>
      </c>
      <c r="B14" s="93">
        <f>'CHICLETS MASTER'!Q9</f>
        <v>0.46527777777777801</v>
      </c>
      <c r="C14" s="93" t="str">
        <f>'CHICLETS MASTER'!$U$3</f>
        <v>WESTMINSTER HS</v>
      </c>
      <c r="D14" s="32" t="s">
        <v>798</v>
      </c>
      <c r="E14" s="32" t="str">
        <f>A5</f>
        <v>A2-ORWP A</v>
      </c>
      <c r="F14" s="32">
        <v>9.6</v>
      </c>
      <c r="G14" s="32" t="str">
        <f>A6</f>
        <v>A3-ROUTE 66</v>
      </c>
      <c r="H14" s="32">
        <v>9.5</v>
      </c>
      <c r="I14" s="32" t="s">
        <v>641</v>
      </c>
      <c r="J14" s="32" t="s">
        <v>212</v>
      </c>
    </row>
    <row r="15" spans="1:10">
      <c r="A15" s="94">
        <v>46088</v>
      </c>
      <c r="B15" s="93">
        <f>'CHICLETS MASTER'!Q10</f>
        <v>0.5</v>
      </c>
      <c r="C15" s="93" t="str">
        <f>'CHICLETS MASTER'!$U$3</f>
        <v>WESTMINSTER HS</v>
      </c>
      <c r="D15" s="32" t="s">
        <v>799</v>
      </c>
      <c r="E15" s="32" t="str">
        <f>B5</f>
        <v>B2-TROJAN CARDINAL</v>
      </c>
      <c r="F15" s="32">
        <v>5</v>
      </c>
      <c r="G15" s="32" t="str">
        <f>B6</f>
        <v>B3-PATRIOT RED</v>
      </c>
      <c r="H15" s="32">
        <v>12</v>
      </c>
      <c r="I15" s="32" t="s">
        <v>571</v>
      </c>
      <c r="J15" s="32" t="s">
        <v>212</v>
      </c>
    </row>
    <row r="16" spans="1:10">
      <c r="A16" s="94">
        <v>46088</v>
      </c>
      <c r="B16" s="93">
        <f>'CHICLETS MASTER'!Q11</f>
        <v>0.53472222222222199</v>
      </c>
      <c r="C16" s="93" t="str">
        <f>'CHICLETS MASTER'!$U$3</f>
        <v>WESTMINSTER HS</v>
      </c>
      <c r="D16" s="32" t="s">
        <v>800</v>
      </c>
      <c r="E16" s="32" t="str">
        <f>C6</f>
        <v>C3-RANCHO TSUNAMI BLUE</v>
      </c>
      <c r="F16" s="32">
        <v>9</v>
      </c>
      <c r="G16" s="32" t="str">
        <f>C7</f>
        <v>C4-DEVILS GATE</v>
      </c>
      <c r="H16" s="32">
        <v>8</v>
      </c>
      <c r="I16" s="32" t="s">
        <v>801</v>
      </c>
      <c r="J16" s="32" t="s">
        <v>212</v>
      </c>
    </row>
    <row r="17" spans="1:10">
      <c r="A17" s="94">
        <v>46088</v>
      </c>
      <c r="B17" s="93">
        <f>'CHICLETS MASTER'!Q12</f>
        <v>0.56944444444444497</v>
      </c>
      <c r="C17" s="93" t="str">
        <f>'CHICLETS MASTER'!$U$3</f>
        <v>WESTMINSTER HS</v>
      </c>
      <c r="D17" s="32" t="s">
        <v>802</v>
      </c>
      <c r="E17" s="32" t="str">
        <f>A4</f>
        <v>A1-MISSION A</v>
      </c>
      <c r="F17" s="32">
        <v>13</v>
      </c>
      <c r="G17" s="32" t="str">
        <f>A5</f>
        <v>A2-ORWP A</v>
      </c>
      <c r="H17" s="32">
        <v>10</v>
      </c>
      <c r="I17" s="32" t="s">
        <v>636</v>
      </c>
      <c r="J17" s="32" t="s">
        <v>212</v>
      </c>
    </row>
    <row r="18" spans="1:10">
      <c r="A18" s="94">
        <v>46088</v>
      </c>
      <c r="B18" s="93">
        <f>'CHICLETS MASTER'!Q13</f>
        <v>0.60416666666666696</v>
      </c>
      <c r="C18" s="93" t="str">
        <f>'CHICLETS MASTER'!$U$3</f>
        <v>WESTMINSTER HS</v>
      </c>
      <c r="D18" s="32" t="s">
        <v>803</v>
      </c>
      <c r="E18" s="32" t="str">
        <f>B4</f>
        <v>B1-NEWPORT BEACH BLUE</v>
      </c>
      <c r="F18" s="32">
        <v>15</v>
      </c>
      <c r="G18" s="32" t="str">
        <f>B5</f>
        <v>B2-TROJAN CARDINAL</v>
      </c>
      <c r="H18" s="32">
        <v>2</v>
      </c>
      <c r="I18" s="32" t="s">
        <v>577</v>
      </c>
      <c r="J18" s="32" t="s">
        <v>212</v>
      </c>
    </row>
    <row r="19" spans="1:10">
      <c r="A19" s="94">
        <v>46088</v>
      </c>
      <c r="B19" s="93">
        <f>'CHICLETS MASTER'!Q14</f>
        <v>0.63888888888888895</v>
      </c>
      <c r="C19" s="93" t="str">
        <f>'CHICLETS MASTER'!$U$3</f>
        <v>WESTMINSTER HS</v>
      </c>
      <c r="D19" s="32" t="s">
        <v>804</v>
      </c>
      <c r="E19" s="32" t="str">
        <f>C5</f>
        <v>C2-VANGUARD BLUE</v>
      </c>
      <c r="F19" s="32">
        <v>8</v>
      </c>
      <c r="G19" s="32" t="str">
        <f>C6</f>
        <v>C3-RANCHO TSUNAMI BLUE</v>
      </c>
      <c r="H19" s="32">
        <v>6</v>
      </c>
      <c r="I19" s="32" t="s">
        <v>587</v>
      </c>
      <c r="J19" s="32" t="s">
        <v>212</v>
      </c>
    </row>
    <row r="20" spans="1:10">
      <c r="A20" s="96"/>
      <c r="B20" s="95"/>
      <c r="C20" s="79"/>
      <c r="H20" s="79"/>
      <c r="I20" s="79"/>
      <c r="J20" s="79"/>
    </row>
    <row r="21" spans="1:10">
      <c r="A21" s="99"/>
      <c r="B21" s="98"/>
      <c r="C21" s="97"/>
      <c r="D21" s="55"/>
      <c r="E21" s="55"/>
      <c r="F21" s="55"/>
      <c r="G21" s="55"/>
      <c r="H21" s="97"/>
      <c r="I21" s="97"/>
      <c r="J21" s="97"/>
    </row>
    <row r="22" spans="1:10">
      <c r="A22" s="96"/>
      <c r="B22" s="95"/>
      <c r="C22" s="79"/>
      <c r="H22" s="79"/>
      <c r="I22" s="79"/>
      <c r="J22" s="79"/>
    </row>
    <row r="23" spans="1:10">
      <c r="A23" s="94">
        <v>46089</v>
      </c>
      <c r="B23" s="93">
        <f>'CHICLETS MASTER'!Q31</f>
        <v>0.3263888888888889</v>
      </c>
      <c r="C23" s="93" t="str">
        <f>'CHICLETS MASTER'!$U$29</f>
        <v>WESTMINSTER HS</v>
      </c>
      <c r="D23" s="32" t="s">
        <v>805</v>
      </c>
      <c r="E23" s="32" t="str">
        <f>C5</f>
        <v>C2-VANGUARD BLUE</v>
      </c>
      <c r="F23" s="32">
        <v>14</v>
      </c>
      <c r="G23" s="32" t="str">
        <f>C7</f>
        <v>C4-DEVILS GATE</v>
      </c>
      <c r="H23" s="32">
        <v>6</v>
      </c>
      <c r="I23" s="32" t="s">
        <v>806</v>
      </c>
      <c r="J23" s="32" t="s">
        <v>212</v>
      </c>
    </row>
    <row r="24" spans="1:10">
      <c r="A24" s="94">
        <v>46089</v>
      </c>
      <c r="B24" s="93">
        <f>'CHICLETS MASTER'!Q32</f>
        <v>0.36111111111111099</v>
      </c>
      <c r="C24" s="93" t="str">
        <f>'CHICLETS MASTER'!$U$29</f>
        <v>WESTMINSTER HS</v>
      </c>
      <c r="D24" s="32" t="s">
        <v>807</v>
      </c>
      <c r="E24" s="32" t="str">
        <f>C4</f>
        <v>C1-SAN DIEGO DONS</v>
      </c>
      <c r="F24" s="32">
        <v>8</v>
      </c>
      <c r="G24" s="32" t="str">
        <f>C6</f>
        <v>C3-RANCHO TSUNAMI BLUE</v>
      </c>
      <c r="H24" s="32">
        <v>5</v>
      </c>
      <c r="I24" s="32" t="s">
        <v>581</v>
      </c>
      <c r="J24" s="32" t="s">
        <v>212</v>
      </c>
    </row>
    <row r="25" spans="1:10">
      <c r="A25" s="94">
        <v>46089</v>
      </c>
      <c r="B25" s="93">
        <f>'CHICLETS MASTER'!Q33</f>
        <v>0.39583333333333398</v>
      </c>
      <c r="C25" s="93" t="str">
        <f>'CHICLETS MASTER'!$U$29</f>
        <v>WESTMINSTER HS</v>
      </c>
      <c r="D25" s="32" t="s">
        <v>808</v>
      </c>
      <c r="E25" s="32" t="s">
        <v>809</v>
      </c>
      <c r="F25" s="32">
        <v>12</v>
      </c>
      <c r="G25" s="32" t="s">
        <v>810</v>
      </c>
      <c r="H25" s="32">
        <v>7</v>
      </c>
      <c r="I25" s="32" t="s">
        <v>811</v>
      </c>
      <c r="J25" s="32" t="s">
        <v>212</v>
      </c>
    </row>
    <row r="26" spans="1:10">
      <c r="A26" s="94">
        <v>46089</v>
      </c>
      <c r="B26" s="93">
        <f>'CHICLETS MASTER'!Q34</f>
        <v>0.43055555555555602</v>
      </c>
      <c r="C26" s="93" t="str">
        <f>'CHICLETS MASTER'!$U$29</f>
        <v>WESTMINSTER HS</v>
      </c>
      <c r="D26" s="32" t="s">
        <v>812</v>
      </c>
      <c r="E26" s="32" t="s">
        <v>813</v>
      </c>
      <c r="F26" s="32">
        <v>4</v>
      </c>
      <c r="G26" s="32" t="s">
        <v>814</v>
      </c>
      <c r="H26" s="32">
        <v>5</v>
      </c>
      <c r="I26" s="32" t="s">
        <v>815</v>
      </c>
      <c r="J26" s="32" t="s">
        <v>212</v>
      </c>
    </row>
    <row r="27" spans="1:10">
      <c r="A27" s="94">
        <v>46089</v>
      </c>
      <c r="B27" s="93">
        <f>'CHICLETS MASTER'!Q35</f>
        <v>0.46527777777777801</v>
      </c>
      <c r="C27" s="93" t="str">
        <f>'CHICLETS MASTER'!$U$29</f>
        <v>WESTMINSTER HS</v>
      </c>
      <c r="D27" s="32" t="s">
        <v>816</v>
      </c>
      <c r="E27" s="32" t="s">
        <v>817</v>
      </c>
      <c r="F27" s="32">
        <v>6</v>
      </c>
      <c r="G27" s="32" t="s">
        <v>818</v>
      </c>
      <c r="H27" s="32">
        <v>10</v>
      </c>
      <c r="I27" s="32" t="s">
        <v>819</v>
      </c>
      <c r="J27" s="32" t="s">
        <v>212</v>
      </c>
    </row>
    <row r="28" spans="1:10">
      <c r="A28" s="94">
        <v>46089</v>
      </c>
      <c r="B28" s="93">
        <f>'CHICLETS MASTER'!Q36</f>
        <v>0.5</v>
      </c>
      <c r="C28" s="93" t="str">
        <f>'CHICLETS MASTER'!$U$29</f>
        <v>WESTMINSTER HS</v>
      </c>
      <c r="D28" s="32" t="s">
        <v>820</v>
      </c>
      <c r="E28" s="32" t="s">
        <v>821</v>
      </c>
      <c r="F28" s="32">
        <v>12</v>
      </c>
      <c r="G28" s="32" t="s">
        <v>822</v>
      </c>
      <c r="H28" s="32">
        <v>6</v>
      </c>
      <c r="I28" s="32" t="s">
        <v>739</v>
      </c>
      <c r="J28" s="32" t="s">
        <v>212</v>
      </c>
    </row>
    <row r="29" spans="1:10">
      <c r="A29" s="94">
        <v>46089</v>
      </c>
      <c r="B29" s="93">
        <f>'CHICLETS MASTER'!Q37</f>
        <v>0.53472222222222199</v>
      </c>
      <c r="C29" s="93" t="str">
        <f>'CHICLETS MASTER'!$U$29</f>
        <v>WESTMINSTER HS</v>
      </c>
      <c r="D29" s="32" t="s">
        <v>823</v>
      </c>
      <c r="E29" s="32" t="str">
        <f>IF(F25="","L#13",IF(F25&lt;H25,_xlfn.CONCAT("L#13-",RIGHT(E25,LEN(E25) - FIND("-",E25))), _xlfn.CONCAT("L#13-",RIGHT(G25,LEN(G25) - FIND("-",G25)))))</f>
        <v>L#13-TROJAN CARDINAL</v>
      </c>
      <c r="F29" s="32">
        <v>5</v>
      </c>
      <c r="G29" s="32" t="s">
        <v>824</v>
      </c>
      <c r="H29" s="32">
        <v>13</v>
      </c>
      <c r="I29" s="32" t="s">
        <v>825</v>
      </c>
      <c r="J29" s="32" t="s">
        <v>212</v>
      </c>
    </row>
    <row r="30" spans="1:10">
      <c r="A30" s="94">
        <v>46089</v>
      </c>
      <c r="B30" s="93">
        <f>'CHICLETS MASTER'!Q38</f>
        <v>0.56944444444444497</v>
      </c>
      <c r="C30" s="93" t="str">
        <f>'CHICLETS MASTER'!$U$29</f>
        <v>WESTMINSTER HS</v>
      </c>
      <c r="D30" s="32" t="s">
        <v>826</v>
      </c>
      <c r="E30" s="32" t="str">
        <f>IF(F27="","L#15",IF(F27&lt;H27,_xlfn.CONCAT("L#15-",RIGHT(E27,LEN(E27) - FIND("-",E27))), _xlfn.CONCAT("L#15-",RIGHT(G27,LEN(G27) - FIND("-",G27)))))</f>
        <v>L#15-MISSION A</v>
      </c>
      <c r="F30" s="32">
        <v>8</v>
      </c>
      <c r="G30" s="32" t="str">
        <f>IF(F28="","L#16",IF(F28&lt;H28,_xlfn.CONCAT("L#16-",RIGHT(E28,LEN(E28) - FIND("-",E28))), _xlfn.CONCAT("L#16-",RIGHT(G28,LEN(G28) - FIND("-",G28)))))</f>
        <v>L#16-VANGUARD BLUE</v>
      </c>
      <c r="H30" s="32">
        <v>7</v>
      </c>
      <c r="I30" s="32" t="s">
        <v>416</v>
      </c>
      <c r="J30" s="32" t="s">
        <v>212</v>
      </c>
    </row>
    <row r="31" spans="1:10">
      <c r="A31" s="94">
        <v>46089</v>
      </c>
      <c r="B31" s="93">
        <f>'CHICLETS MASTER'!Q39</f>
        <v>0.60416666666666696</v>
      </c>
      <c r="C31" s="93" t="str">
        <f>'CHICLETS MASTER'!$U$29</f>
        <v>WESTMINSTER HS</v>
      </c>
      <c r="D31" s="32" t="s">
        <v>827</v>
      </c>
      <c r="E31" s="32" t="str">
        <f>IF(F27="","W#15",IF(F27&gt;H27,_xlfn.CONCAT("W#15-",RIGHT(E27,LEN(E27) - FIND("-",E27))), _xlfn.CONCAT("W#15-",RIGHT(G27,LEN(G27) - FIND("-",G27)))))</f>
        <v>W#15-SAN DIEGO DONS</v>
      </c>
      <c r="F31" s="32">
        <v>13</v>
      </c>
      <c r="G31" s="32" t="str">
        <f>IF(F28="","W#16",IF(F28&gt;H28,_xlfn.CONCAT("W#16-",RIGHT(E28,LEN(E28) - FIND("-",E28))), _xlfn.CONCAT("W#16-",RIGHT(G28,LEN(G28) - FIND("-",G28)))))</f>
        <v>W#16-NEWPORT BEACH BLUE</v>
      </c>
      <c r="H31" s="32">
        <v>15</v>
      </c>
      <c r="I31" s="32" t="s">
        <v>414</v>
      </c>
      <c r="J31" s="32" t="s">
        <v>212</v>
      </c>
    </row>
    <row r="32" spans="1:10">
      <c r="A32" s="94">
        <v>46089</v>
      </c>
      <c r="B32" s="93">
        <f>'CHICLETS MASTER'!Q40</f>
        <v>0.63888888888888895</v>
      </c>
      <c r="C32" s="93" t="str">
        <f>'CHICLETS MASTER'!$U$29</f>
        <v>WESTMINSTER HS</v>
      </c>
      <c r="D32" s="32" t="s">
        <v>828</v>
      </c>
      <c r="E32" s="32" t="str">
        <f>IF(F25="","W#13",IF(F25&gt;H25,_xlfn.CONCAT("W#13-",RIGHT(E25,LEN(E25) - FIND("-",E25))), _xlfn.CONCAT("W#13-",RIGHT(G25,LEN(G25) - FIND("-",G25)))))</f>
        <v>W#13-ORWP A</v>
      </c>
      <c r="F32" s="32">
        <v>9</v>
      </c>
      <c r="G32" s="32" t="str">
        <f>IF(F26="","W#14",IF(F26&gt;H26,_xlfn.CONCAT("W#14-",RIGHT(E26,LEN(E26) - FIND("-",E26))), _xlfn.CONCAT("W#14-",RIGHT(G26,LEN(G26) - FIND("-",G26)))))</f>
        <v>W#14-PATRIOT RED</v>
      </c>
      <c r="H32" s="32">
        <v>8</v>
      </c>
      <c r="I32" s="32" t="s">
        <v>741</v>
      </c>
      <c r="J32" s="32" t="s">
        <v>212</v>
      </c>
    </row>
    <row r="33" spans="1:10">
      <c r="A33" s="94">
        <v>46089</v>
      </c>
      <c r="B33" s="93">
        <f>'CHICLETS MASTER'!Q41</f>
        <v>0.67361111111111105</v>
      </c>
      <c r="C33" s="93" t="str">
        <f>'CHICLETS MASTER'!$U$29</f>
        <v>WESTMINSTER HS</v>
      </c>
      <c r="D33" s="32" t="s">
        <v>829</v>
      </c>
      <c r="E33" s="32" t="str">
        <f>IF(F26="","L#14",IF(F26&lt;H26,_xlfn.CONCAT("L#14-",RIGHT(E26,LEN(E26) - FIND("-",E26))), _xlfn.CONCAT("L#14-",RIGHT(G26,LEN(G26) - FIND("-",G26)))))</f>
        <v>L#14-ROUTE 66</v>
      </c>
      <c r="F33" s="32">
        <v>8</v>
      </c>
      <c r="G33" s="32" t="s">
        <v>830</v>
      </c>
      <c r="H33" s="32">
        <v>11</v>
      </c>
      <c r="I33" s="32" t="s">
        <v>825</v>
      </c>
      <c r="J33" s="32" t="s">
        <v>212</v>
      </c>
    </row>
    <row r="35" spans="1:10">
      <c r="J35" s="41" t="s">
        <v>831</v>
      </c>
    </row>
    <row r="36" spans="1:10">
      <c r="I36" s="32" t="s">
        <v>414</v>
      </c>
      <c r="J36" s="32" t="str">
        <f>IF(F31="","W#21",IF(F31&gt;H31,_xlfn.CONCAT("W#21-",RIGHT(E31,LEN(E31) - FIND("-",E31))), _xlfn.CONCAT("W#21-",RIGHT(G31,LEN(G31) - FIND("-",G31)))))</f>
        <v>W#21-NEWPORT BEACH BLUE</v>
      </c>
    </row>
    <row r="37" spans="1:10">
      <c r="I37" s="32" t="s">
        <v>415</v>
      </c>
      <c r="J37" s="32" t="str">
        <f>IF(F31="","L#21",IF(F31&lt;H31,_xlfn.CONCAT("L#21-",RIGHT(E31,LEN(E31) - FIND("-",E31))), _xlfn.CONCAT("L#21-",RIGHT(G31,LEN(G31) - FIND("-",G31)))))</f>
        <v>L#21-SAN DIEGO DONS</v>
      </c>
    </row>
    <row r="38" spans="1:10">
      <c r="I38" s="32" t="s">
        <v>416</v>
      </c>
      <c r="J38" s="32" t="str">
        <f>IF(F30="","W#20",IF(F30&gt;H30,_xlfn.CONCAT("W#20-",RIGHT(E30,LEN(E30) - FIND("-",E30))), _xlfn.CONCAT("W#20-",RIGHT(G30,LEN(G30) - FIND("-",G30)))))</f>
        <v>W#20-MISSION A</v>
      </c>
    </row>
  </sheetData>
  <hyperlinks>
    <hyperlink ref="B2" r:id="rId1" xr:uid="{7A9B1136-36EF-4255-B995-6F9E7220EE24}"/>
    <hyperlink ref="C2" r:id="rId2" xr:uid="{CE4D71C8-4725-437F-8AF0-89C3C019CB38}"/>
    <hyperlink ref="A2" r:id="rId3" xr:uid="{13AEC354-3EC8-4F79-B473-8EC5600B5DFE}"/>
  </hyperlinks>
  <pageMargins left="0.7" right="0.7" top="0.75" bottom="0.75" header="0.3" footer="0.3"/>
  <pageSetup scale="92" orientation="landscape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AD70-9BB6-4D86-9A8A-9F3460254AA9}">
  <sheetPr>
    <tabColor rgb="FFFF6699"/>
    <pageSetUpPr fitToPage="1"/>
  </sheetPr>
  <dimension ref="A1:J52"/>
  <sheetViews>
    <sheetView workbookViewId="0"/>
  </sheetViews>
  <sheetFormatPr defaultColWidth="7.7109375" defaultRowHeight="18"/>
  <cols>
    <col min="1" max="1" width="41" style="1" bestFit="1" customWidth="1"/>
    <col min="2" max="2" width="40.85546875" style="1" bestFit="1" customWidth="1"/>
    <col min="3" max="3" width="43" style="1" customWidth="1"/>
    <col min="4" max="4" width="15.5703125" style="1" customWidth="1"/>
    <col min="5" max="5" width="42.7109375" style="1" bestFit="1" customWidth="1"/>
    <col min="6" max="6" width="18.85546875" style="1" customWidth="1"/>
    <col min="7" max="7" width="43" style="1" customWidth="1"/>
    <col min="8" max="8" width="5.7109375" style="1" customWidth="1"/>
    <col min="9" max="9" width="33.140625" style="1" customWidth="1"/>
    <col min="10" max="10" width="28.85546875" style="1" customWidth="1"/>
    <col min="11" max="16384" width="7.7109375" style="1"/>
  </cols>
  <sheetData>
    <row r="1" spans="1:10">
      <c r="A1" s="110" t="s">
        <v>832</v>
      </c>
      <c r="B1" s="110" t="s">
        <v>833</v>
      </c>
      <c r="C1" s="111" t="s">
        <v>548</v>
      </c>
      <c r="D1" s="1" t="s">
        <v>834</v>
      </c>
      <c r="E1" s="110"/>
      <c r="F1" s="110"/>
      <c r="G1" s="110"/>
      <c r="J1" s="79"/>
    </row>
    <row r="2" spans="1:10">
      <c r="A2" s="62" t="s">
        <v>360</v>
      </c>
      <c r="B2" s="61" t="s">
        <v>361</v>
      </c>
      <c r="C2" s="60" t="s">
        <v>362</v>
      </c>
      <c r="D2" s="110"/>
      <c r="E2" s="110"/>
      <c r="F2" s="110"/>
      <c r="G2" s="110"/>
      <c r="H2" s="110"/>
      <c r="I2" s="110"/>
      <c r="J2" s="79"/>
    </row>
    <row r="3" spans="1:10">
      <c r="A3" s="3" t="s">
        <v>61</v>
      </c>
      <c r="B3" s="3" t="s">
        <v>234</v>
      </c>
      <c r="C3" s="3" t="s">
        <v>235</v>
      </c>
      <c r="D3" s="80"/>
      <c r="E3" s="109"/>
      <c r="F3" s="79"/>
      <c r="H3" s="80"/>
      <c r="J3" s="79"/>
    </row>
    <row r="4" spans="1:10">
      <c r="A4" s="1" t="s">
        <v>238</v>
      </c>
      <c r="B4" s="1" t="s">
        <v>239</v>
      </c>
      <c r="C4" s="1" t="s">
        <v>240</v>
      </c>
      <c r="D4" s="79"/>
      <c r="E4" s="109"/>
      <c r="F4" s="79"/>
      <c r="H4" s="79"/>
    </row>
    <row r="5" spans="1:10">
      <c r="A5" s="1" t="s">
        <v>241</v>
      </c>
      <c r="B5" s="1" t="s">
        <v>242</v>
      </c>
      <c r="C5" s="1" t="s">
        <v>243</v>
      </c>
      <c r="D5" s="79"/>
      <c r="E5" s="109"/>
      <c r="F5" s="79"/>
      <c r="H5" s="79"/>
    </row>
    <row r="6" spans="1:10">
      <c r="A6" s="1" t="s">
        <v>245</v>
      </c>
      <c r="B6" s="1" t="s">
        <v>246</v>
      </c>
      <c r="C6" s="1" t="s">
        <v>247</v>
      </c>
      <c r="D6" s="79"/>
      <c r="E6" s="109"/>
      <c r="F6" s="79"/>
      <c r="H6" s="79"/>
    </row>
    <row r="7" spans="1:10">
      <c r="A7" s="79"/>
      <c r="B7" s="79"/>
      <c r="C7" s="79"/>
      <c r="D7" s="79"/>
      <c r="E7" s="109"/>
      <c r="F7" s="79"/>
      <c r="H7" s="79"/>
      <c r="J7" s="79"/>
    </row>
    <row r="8" spans="1:10">
      <c r="A8" s="80" t="s">
        <v>135</v>
      </c>
      <c r="B8" s="80" t="s">
        <v>136</v>
      </c>
      <c r="C8" s="80" t="s">
        <v>137</v>
      </c>
      <c r="D8" s="79"/>
    </row>
    <row r="9" spans="1:10">
      <c r="A9" s="95" t="s">
        <v>835</v>
      </c>
      <c r="B9" s="95" t="s">
        <v>836</v>
      </c>
      <c r="C9" s="95" t="s">
        <v>837</v>
      </c>
      <c r="D9" s="79"/>
    </row>
    <row r="10" spans="1:10">
      <c r="A10" s="95" t="s">
        <v>838</v>
      </c>
      <c r="B10" s="95" t="s">
        <v>839</v>
      </c>
      <c r="C10" s="95" t="s">
        <v>840</v>
      </c>
      <c r="D10" s="79"/>
    </row>
    <row r="11" spans="1:10">
      <c r="A11" s="95" t="s">
        <v>841</v>
      </c>
      <c r="B11" s="95" t="s">
        <v>842</v>
      </c>
      <c r="C11" s="95" t="s">
        <v>843</v>
      </c>
      <c r="D11" s="79"/>
      <c r="J11" s="79"/>
    </row>
    <row r="12" spans="1:10">
      <c r="A12" s="79"/>
      <c r="B12" s="79"/>
      <c r="C12" s="79"/>
      <c r="D12" s="79"/>
      <c r="J12" s="79"/>
    </row>
    <row r="13" spans="1:10">
      <c r="A13" s="3" t="s">
        <v>346</v>
      </c>
      <c r="B13" s="108" t="s">
        <v>347</v>
      </c>
      <c r="C13" s="3" t="s">
        <v>348</v>
      </c>
      <c r="D13" s="3" t="s">
        <v>349</v>
      </c>
      <c r="E13" s="3" t="s">
        <v>350</v>
      </c>
      <c r="F13" s="3" t="s">
        <v>351</v>
      </c>
      <c r="G13" s="3" t="s">
        <v>352</v>
      </c>
      <c r="H13" s="3"/>
      <c r="I13" s="3" t="s">
        <v>353</v>
      </c>
      <c r="J13" s="3" t="s">
        <v>0</v>
      </c>
    </row>
    <row r="14" spans="1:10">
      <c r="A14" s="107">
        <v>46088</v>
      </c>
      <c r="B14" s="106">
        <f>'CHICLETS MASTER'!Q4</f>
        <v>0.29166666666666669</v>
      </c>
      <c r="C14" s="105" t="str">
        <f>'CHICLETS MASTER'!$R$3</f>
        <v>EL TORO HS 1</v>
      </c>
      <c r="D14" s="28" t="s">
        <v>844</v>
      </c>
      <c r="E14" s="28" t="str">
        <f>C4</f>
        <v>C1-CV PREMIER</v>
      </c>
      <c r="F14" s="28">
        <v>6</v>
      </c>
      <c r="G14" s="28" t="str">
        <f>C5</f>
        <v>C2-INNIS ARDEN</v>
      </c>
      <c r="H14" s="28">
        <v>16</v>
      </c>
      <c r="I14" s="28" t="s">
        <v>845</v>
      </c>
      <c r="J14" s="28" t="s">
        <v>232</v>
      </c>
    </row>
    <row r="15" spans="1:10">
      <c r="A15" s="107">
        <v>46088</v>
      </c>
      <c r="B15" s="106">
        <f>'CHICLETS MASTER'!Q5</f>
        <v>0.3263888888888889</v>
      </c>
      <c r="C15" s="105" t="str">
        <f>'CHICLETS MASTER'!$R$3</f>
        <v>EL TORO HS 1</v>
      </c>
      <c r="D15" s="28" t="s">
        <v>846</v>
      </c>
      <c r="E15" s="28" t="str">
        <f>B4</f>
        <v>B1-SET</v>
      </c>
      <c r="F15" s="28">
        <v>5</v>
      </c>
      <c r="G15" s="28" t="str">
        <f>B6</f>
        <v>B3-ELITE</v>
      </c>
      <c r="H15" s="28">
        <v>4</v>
      </c>
      <c r="I15" s="28" t="s">
        <v>847</v>
      </c>
      <c r="J15" s="28" t="s">
        <v>232</v>
      </c>
    </row>
    <row r="16" spans="1:10">
      <c r="A16" s="107">
        <v>46088</v>
      </c>
      <c r="B16" s="106">
        <f>'CHICLETS MASTER'!Q6</f>
        <v>0.36111111111111099</v>
      </c>
      <c r="C16" s="105" t="str">
        <f>'CHICLETS MASTER'!$R$3</f>
        <v>EL TORO HS 1</v>
      </c>
      <c r="D16" s="28" t="s">
        <v>848</v>
      </c>
      <c r="E16" s="28" t="str">
        <f>A5</f>
        <v>A2-ROGUE 619</v>
      </c>
      <c r="F16" s="28">
        <v>17</v>
      </c>
      <c r="G16" s="28" t="str">
        <f>A6</f>
        <v>A3-NORTH IRVINE</v>
      </c>
      <c r="H16" s="28">
        <v>5</v>
      </c>
      <c r="I16" s="28" t="s">
        <v>849</v>
      </c>
      <c r="J16" s="28" t="s">
        <v>232</v>
      </c>
    </row>
    <row r="17" spans="1:10">
      <c r="A17" s="96"/>
      <c r="B17" s="79"/>
      <c r="C17" s="95"/>
      <c r="H17" s="79"/>
      <c r="I17" s="79"/>
      <c r="J17" s="79"/>
    </row>
    <row r="18" spans="1:10">
      <c r="A18" s="107">
        <v>46088</v>
      </c>
      <c r="B18" s="106">
        <f>'CHICLETS MASTER'!Q9</f>
        <v>0.46527777777777801</v>
      </c>
      <c r="C18" s="105" t="str">
        <f>'CHICLETS MASTER'!$R$3</f>
        <v>EL TORO HS 1</v>
      </c>
      <c r="D18" s="28" t="s">
        <v>850</v>
      </c>
      <c r="E18" s="28" t="str">
        <f>C4</f>
        <v>C1-CV PREMIER</v>
      </c>
      <c r="F18" s="28">
        <v>10</v>
      </c>
      <c r="G18" s="149" t="str">
        <f>C6</f>
        <v>C3-TROJAN</v>
      </c>
      <c r="H18" s="28">
        <v>5</v>
      </c>
      <c r="I18" s="28" t="s">
        <v>845</v>
      </c>
      <c r="J18" s="28" t="s">
        <v>232</v>
      </c>
    </row>
    <row r="19" spans="1:10">
      <c r="A19" s="107">
        <v>46088</v>
      </c>
      <c r="B19" s="106">
        <f>'CHICLETS MASTER'!Q10</f>
        <v>0.5</v>
      </c>
      <c r="C19" s="105" t="str">
        <f>'CHICLETS MASTER'!$R$3</f>
        <v>EL TORO HS 1</v>
      </c>
      <c r="D19" s="28" t="s">
        <v>851</v>
      </c>
      <c r="E19" s="28" t="str">
        <f>B4</f>
        <v>B1-SET</v>
      </c>
      <c r="F19" s="28">
        <v>4</v>
      </c>
      <c r="G19" s="28" t="str">
        <f>B5</f>
        <v>B2-PALOS VERDES BLACK</v>
      </c>
      <c r="H19" s="28">
        <v>9</v>
      </c>
      <c r="I19" s="28" t="s">
        <v>847</v>
      </c>
      <c r="J19" s="28" t="s">
        <v>232</v>
      </c>
    </row>
    <row r="20" spans="1:10">
      <c r="A20" s="107">
        <v>46088</v>
      </c>
      <c r="B20" s="106">
        <f>'CHICLETS MASTER'!Q11</f>
        <v>0.53472222222222199</v>
      </c>
      <c r="C20" s="105" t="str">
        <f>'CHICLETS MASTER'!$R$3</f>
        <v>EL TORO HS 1</v>
      </c>
      <c r="D20" s="28" t="s">
        <v>852</v>
      </c>
      <c r="E20" s="28" t="str">
        <f>A4</f>
        <v>A1-VIKING</v>
      </c>
      <c r="F20" s="28">
        <v>17</v>
      </c>
      <c r="G20" s="28" t="str">
        <f>A6</f>
        <v>A3-NORTH IRVINE</v>
      </c>
      <c r="H20" s="28">
        <v>8</v>
      </c>
      <c r="I20" s="28" t="s">
        <v>849</v>
      </c>
      <c r="J20" s="28" t="s">
        <v>232</v>
      </c>
    </row>
    <row r="21" spans="1:10">
      <c r="A21" s="96"/>
      <c r="B21" s="79"/>
      <c r="C21" s="95"/>
      <c r="H21" s="79"/>
      <c r="I21" s="79"/>
      <c r="J21" s="79"/>
    </row>
    <row r="22" spans="1:10">
      <c r="A22" s="107">
        <v>46088</v>
      </c>
      <c r="B22" s="106">
        <f>'CHICLETS MASTER'!Q14</f>
        <v>0.63888888888888895</v>
      </c>
      <c r="C22" s="105" t="str">
        <f>'CHICLETS MASTER'!$R$3</f>
        <v>EL TORO HS 1</v>
      </c>
      <c r="D22" s="28" t="s">
        <v>853</v>
      </c>
      <c r="E22" s="28" t="str">
        <f>C5</f>
        <v>C2-INNIS ARDEN</v>
      </c>
      <c r="F22" s="28">
        <v>17</v>
      </c>
      <c r="G22" s="28" t="str">
        <f>C6</f>
        <v>C3-TROJAN</v>
      </c>
      <c r="H22" s="28">
        <v>4</v>
      </c>
      <c r="I22" s="28" t="s">
        <v>845</v>
      </c>
      <c r="J22" s="28" t="s">
        <v>232</v>
      </c>
    </row>
    <row r="23" spans="1:10">
      <c r="A23" s="107">
        <v>46088</v>
      </c>
      <c r="B23" s="106">
        <f>'CHICLETS MASTER'!Q15</f>
        <v>0.67361111111111105</v>
      </c>
      <c r="C23" s="105" t="str">
        <f>'CHICLETS MASTER'!$S$3</f>
        <v>SAN JUAN HILLS HS</v>
      </c>
      <c r="D23" s="28" t="s">
        <v>854</v>
      </c>
      <c r="E23" s="28" t="str">
        <f>B5</f>
        <v>B2-PALOS VERDES BLACK</v>
      </c>
      <c r="F23" s="28">
        <v>5</v>
      </c>
      <c r="G23" s="28" t="str">
        <f>B6</f>
        <v>B3-ELITE</v>
      </c>
      <c r="H23" s="28">
        <v>6</v>
      </c>
      <c r="I23" s="28" t="s">
        <v>847</v>
      </c>
      <c r="J23" s="28" t="s">
        <v>232</v>
      </c>
    </row>
    <row r="24" spans="1:10">
      <c r="A24" s="107">
        <v>46088</v>
      </c>
      <c r="B24" s="106">
        <f>'CHICLETS MASTER'!Q15</f>
        <v>0.67361111111111105</v>
      </c>
      <c r="C24" s="105" t="str">
        <f>'CHICLETS MASTER'!$R$3</f>
        <v>EL TORO HS 1</v>
      </c>
      <c r="D24" s="28" t="s">
        <v>855</v>
      </c>
      <c r="E24" s="28" t="str">
        <f>A4</f>
        <v>A1-VIKING</v>
      </c>
      <c r="F24" s="28">
        <v>5</v>
      </c>
      <c r="G24" s="28" t="str">
        <f>A5</f>
        <v>A2-ROGUE 619</v>
      </c>
      <c r="H24" s="28">
        <v>9</v>
      </c>
      <c r="I24" s="28" t="s">
        <v>849</v>
      </c>
      <c r="J24" s="28" t="s">
        <v>232</v>
      </c>
    </row>
    <row r="25" spans="1:10">
      <c r="A25" s="96"/>
      <c r="B25" s="79"/>
      <c r="C25" s="95"/>
      <c r="J25" s="79"/>
    </row>
    <row r="26" spans="1:10">
      <c r="A26" s="99"/>
      <c r="B26" s="97"/>
      <c r="C26" s="98"/>
      <c r="D26" s="2"/>
      <c r="E26" s="2"/>
      <c r="F26" s="2"/>
      <c r="G26" s="2"/>
      <c r="H26" s="97"/>
      <c r="I26" s="97"/>
      <c r="J26" s="97"/>
    </row>
    <row r="27" spans="1:10">
      <c r="A27" s="3"/>
      <c r="B27" s="108"/>
      <c r="C27" s="3"/>
      <c r="D27" s="3"/>
      <c r="E27" s="3"/>
      <c r="F27" s="3"/>
      <c r="G27" s="3"/>
      <c r="H27" s="3"/>
      <c r="I27" s="3"/>
      <c r="J27" s="3"/>
    </row>
    <row r="28" spans="1:10">
      <c r="A28" s="107">
        <v>46089</v>
      </c>
      <c r="B28" s="106">
        <f>'CHICLETS MASTER'!Q31</f>
        <v>0.3263888888888889</v>
      </c>
      <c r="C28" s="105" t="str">
        <f>'CHICLETS MASTER'!$R$29</f>
        <v>EL TORO HS 1</v>
      </c>
      <c r="D28" s="28" t="s">
        <v>856</v>
      </c>
      <c r="E28" s="28" t="str">
        <f>A9</f>
        <v>D1(3rdA)-NORTH IRVINE</v>
      </c>
      <c r="F28" s="28">
        <v>16</v>
      </c>
      <c r="G28" s="28" t="str">
        <f>A11</f>
        <v>D3(3rdC)-TROJAN</v>
      </c>
      <c r="H28" s="28">
        <v>3</v>
      </c>
      <c r="I28" s="28" t="s">
        <v>857</v>
      </c>
      <c r="J28" s="28" t="s">
        <v>232</v>
      </c>
    </row>
    <row r="29" spans="1:10">
      <c r="A29" s="107">
        <v>46089</v>
      </c>
      <c r="B29" s="106">
        <f>'CHICLETS MASTER'!Q32</f>
        <v>0.36111111111111099</v>
      </c>
      <c r="C29" s="105" t="str">
        <f>'CHICLETS MASTER'!$R$29</f>
        <v>EL TORO HS 1</v>
      </c>
      <c r="D29" s="28" t="s">
        <v>858</v>
      </c>
      <c r="E29" s="28" t="str">
        <f>B9</f>
        <v>E1(2ndA)-VIKING</v>
      </c>
      <c r="F29" s="28">
        <v>10</v>
      </c>
      <c r="G29" s="28" t="str">
        <f>B11</f>
        <v>E3(2ndC)-CV PREMIER</v>
      </c>
      <c r="H29" s="28">
        <v>3</v>
      </c>
      <c r="I29" s="28" t="s">
        <v>859</v>
      </c>
      <c r="J29" s="28" t="s">
        <v>232</v>
      </c>
    </row>
    <row r="30" spans="1:10">
      <c r="A30" s="107">
        <v>46089</v>
      </c>
      <c r="B30" s="106">
        <f>'CHICLETS MASTER'!Q33</f>
        <v>0.39583333333333398</v>
      </c>
      <c r="C30" s="105" t="str">
        <f>'CHICLETS MASTER'!$R$29</f>
        <v>EL TORO HS 1</v>
      </c>
      <c r="D30" s="28" t="s">
        <v>860</v>
      </c>
      <c r="E30" s="28" t="str">
        <f>C9</f>
        <v>F1(1stA)-ROGUE 619</v>
      </c>
      <c r="F30" s="28">
        <v>11</v>
      </c>
      <c r="G30" s="28" t="str">
        <f>C11</f>
        <v>F3(1stC)-INNIS ARDEN</v>
      </c>
      <c r="H30" s="28">
        <v>5</v>
      </c>
      <c r="I30" s="28" t="s">
        <v>861</v>
      </c>
      <c r="J30" s="28" t="s">
        <v>232</v>
      </c>
    </row>
    <row r="31" spans="1:10">
      <c r="A31" s="107">
        <v>46089</v>
      </c>
      <c r="B31" s="106">
        <f>'CHICLETS MASTER'!Q34</f>
        <v>0.43055555555555602</v>
      </c>
      <c r="C31" s="105" t="str">
        <f>'CHICLETS MASTER'!$R$29</f>
        <v>EL TORO HS 1</v>
      </c>
      <c r="D31" s="28" t="s">
        <v>862</v>
      </c>
      <c r="E31" s="28" t="str">
        <f>A10</f>
        <v>D2(3rdB)-ELITE</v>
      </c>
      <c r="F31" s="28">
        <v>18</v>
      </c>
      <c r="G31" s="28" t="str">
        <f>A11</f>
        <v>D3(3rdC)-TROJAN</v>
      </c>
      <c r="H31" s="28">
        <v>3</v>
      </c>
      <c r="I31" s="28" t="s">
        <v>863</v>
      </c>
      <c r="J31" s="28" t="s">
        <v>232</v>
      </c>
    </row>
    <row r="32" spans="1:10">
      <c r="A32" s="107">
        <v>46089</v>
      </c>
      <c r="B32" s="106">
        <f>'CHICLETS MASTER'!Q35</f>
        <v>0.46527777777777801</v>
      </c>
      <c r="C32" s="105" t="str">
        <f>'CHICLETS MASTER'!$R$29</f>
        <v>EL TORO HS 1</v>
      </c>
      <c r="D32" s="28" t="s">
        <v>864</v>
      </c>
      <c r="E32" s="28" t="str">
        <f>B10</f>
        <v>E2(2ndB)-SET</v>
      </c>
      <c r="F32" s="28">
        <v>11</v>
      </c>
      <c r="G32" s="28" t="str">
        <f>B11</f>
        <v>E3(2ndC)-CV PREMIER</v>
      </c>
      <c r="H32" s="28">
        <v>5</v>
      </c>
      <c r="I32" s="28" t="s">
        <v>865</v>
      </c>
      <c r="J32" s="28" t="s">
        <v>232</v>
      </c>
    </row>
    <row r="33" spans="1:10">
      <c r="A33" s="107">
        <v>46089</v>
      </c>
      <c r="B33" s="106">
        <f>'CHICLETS MASTER'!Q36</f>
        <v>0.5</v>
      </c>
      <c r="C33" s="105" t="str">
        <f>'CHICLETS MASTER'!$R$29</f>
        <v>EL TORO HS 1</v>
      </c>
      <c r="D33" s="28" t="s">
        <v>866</v>
      </c>
      <c r="E33" s="28" t="str">
        <f>C10</f>
        <v>F2(1stB)-PALOS VERDES BLACK</v>
      </c>
      <c r="F33" s="28">
        <v>10</v>
      </c>
      <c r="G33" s="28" t="str">
        <f>C11</f>
        <v>F3(1stC)-INNIS ARDEN</v>
      </c>
      <c r="H33" s="28">
        <v>7</v>
      </c>
      <c r="I33" s="28" t="s">
        <v>867</v>
      </c>
      <c r="J33" s="28" t="s">
        <v>232</v>
      </c>
    </row>
    <row r="34" spans="1:10">
      <c r="A34" s="96"/>
      <c r="B34" s="79"/>
      <c r="C34" s="95"/>
      <c r="H34" s="79"/>
      <c r="I34" s="79"/>
      <c r="J34" s="79"/>
    </row>
    <row r="35" spans="1:10">
      <c r="A35" s="107">
        <v>46089</v>
      </c>
      <c r="B35" s="106">
        <f>'CHICLETS MASTER'!Q39</f>
        <v>0.60416666666666696</v>
      </c>
      <c r="C35" s="105" t="str">
        <f>'CHICLETS MASTER'!$R$29</f>
        <v>EL TORO HS 1</v>
      </c>
      <c r="D35" s="28" t="s">
        <v>868</v>
      </c>
      <c r="E35" s="28" t="str">
        <f>A9</f>
        <v>D1(3rdA)-NORTH IRVINE</v>
      </c>
      <c r="F35" s="28">
        <v>6</v>
      </c>
      <c r="G35" s="28" t="str">
        <f>A10</f>
        <v>D2(3rdB)-ELITE</v>
      </c>
      <c r="H35" s="28">
        <v>11</v>
      </c>
      <c r="I35" s="28" t="s">
        <v>869</v>
      </c>
      <c r="J35" s="28" t="s">
        <v>232</v>
      </c>
    </row>
    <row r="36" spans="1:10">
      <c r="A36" s="107">
        <v>46089</v>
      </c>
      <c r="B36" s="106">
        <f>'CHICLETS MASTER'!Q40</f>
        <v>0.63888888888888895</v>
      </c>
      <c r="C36" s="105" t="str">
        <f>'CHICLETS MASTER'!$R$29</f>
        <v>EL TORO HS 1</v>
      </c>
      <c r="D36" s="28" t="s">
        <v>870</v>
      </c>
      <c r="E36" s="28" t="str">
        <f>B9</f>
        <v>E1(2ndA)-VIKING</v>
      </c>
      <c r="F36" s="28">
        <v>11</v>
      </c>
      <c r="G36" s="28" t="str">
        <f>B10</f>
        <v>E2(2ndB)-SET</v>
      </c>
      <c r="H36" s="28">
        <v>6</v>
      </c>
      <c r="I36" s="28" t="s">
        <v>871</v>
      </c>
      <c r="J36" s="28" t="s">
        <v>232</v>
      </c>
    </row>
    <row r="37" spans="1:10">
      <c r="A37" s="107">
        <v>46089</v>
      </c>
      <c r="B37" s="106">
        <f>'CHICLETS MASTER'!Q41</f>
        <v>0.67361111111111105</v>
      </c>
      <c r="C37" s="105" t="str">
        <f>'CHICLETS MASTER'!$R$29</f>
        <v>EL TORO HS 1</v>
      </c>
      <c r="D37" s="28" t="s">
        <v>872</v>
      </c>
      <c r="E37" s="28" t="str">
        <f>C9</f>
        <v>F1(1stA)-ROGUE 619</v>
      </c>
      <c r="F37" s="28">
        <v>10</v>
      </c>
      <c r="G37" s="28" t="str">
        <f>C10</f>
        <v>F2(1stB)-PALOS VERDES BLACK</v>
      </c>
      <c r="H37" s="28">
        <v>9</v>
      </c>
      <c r="I37" s="28" t="s">
        <v>873</v>
      </c>
      <c r="J37" s="28" t="s">
        <v>232</v>
      </c>
    </row>
    <row r="39" spans="1:10">
      <c r="I39" s="1" t="s">
        <v>874</v>
      </c>
      <c r="J39" s="1" t="s">
        <v>875</v>
      </c>
    </row>
    <row r="40" spans="1:10">
      <c r="I40" s="28" t="s">
        <v>414</v>
      </c>
      <c r="J40" s="28" t="s">
        <v>252</v>
      </c>
    </row>
    <row r="41" spans="1:10">
      <c r="I41" s="28" t="s">
        <v>415</v>
      </c>
      <c r="J41" s="28" t="s">
        <v>21</v>
      </c>
    </row>
    <row r="42" spans="1:10">
      <c r="I42" s="28" t="s">
        <v>416</v>
      </c>
      <c r="J42" s="28" t="s">
        <v>253</v>
      </c>
    </row>
    <row r="44" spans="1:10">
      <c r="G44" s="1" t="s">
        <v>876</v>
      </c>
      <c r="I44" s="1" t="s">
        <v>877</v>
      </c>
      <c r="J44" s="1" t="s">
        <v>875</v>
      </c>
    </row>
    <row r="45" spans="1:10">
      <c r="I45" s="28" t="s">
        <v>414</v>
      </c>
      <c r="J45" s="28" t="s">
        <v>250</v>
      </c>
    </row>
    <row r="46" spans="1:10">
      <c r="I46" s="28" t="s">
        <v>415</v>
      </c>
      <c r="J46" s="28" t="s">
        <v>133</v>
      </c>
    </row>
    <row r="47" spans="1:10">
      <c r="I47" s="28" t="s">
        <v>416</v>
      </c>
      <c r="J47" s="28" t="s">
        <v>249</v>
      </c>
    </row>
    <row r="49" spans="9:10">
      <c r="I49" s="1" t="s">
        <v>878</v>
      </c>
      <c r="J49" s="1" t="s">
        <v>875</v>
      </c>
    </row>
    <row r="50" spans="9:10">
      <c r="I50" s="28" t="s">
        <v>414</v>
      </c>
      <c r="J50" s="28" t="s">
        <v>125</v>
      </c>
    </row>
    <row r="51" spans="9:10">
      <c r="I51" s="28" t="s">
        <v>415</v>
      </c>
      <c r="J51" s="28" t="s">
        <v>237</v>
      </c>
    </row>
    <row r="52" spans="9:10">
      <c r="I52" s="28" t="s">
        <v>416</v>
      </c>
      <c r="J52" s="28" t="s">
        <v>244</v>
      </c>
    </row>
  </sheetData>
  <hyperlinks>
    <hyperlink ref="B2" r:id="rId1" xr:uid="{2821AB4F-44BA-4554-88AE-1EAA0BA6BF4F}"/>
    <hyperlink ref="C2" r:id="rId2" xr:uid="{B5AE62DB-CC2E-4D6E-A437-53CF0BD8F50C}"/>
    <hyperlink ref="A2" r:id="rId3" xr:uid="{2C3A6054-072E-4418-BEBF-902BF7823B36}"/>
  </hyperlinks>
  <pageMargins left="0.7" right="0.7" top="0.75" bottom="0.75" header="0.3" footer="0.3"/>
  <pageSetup scale="89" orientation="landscape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4AD8-97AF-46B0-9152-E3FE2ED5D103}">
  <sheetPr>
    <tabColor rgb="FFD9D9D9"/>
    <pageSetUpPr fitToPage="1"/>
  </sheetPr>
  <dimension ref="A1:J40"/>
  <sheetViews>
    <sheetView workbookViewId="0"/>
  </sheetViews>
  <sheetFormatPr defaultColWidth="9.140625" defaultRowHeight="18"/>
  <cols>
    <col min="1" max="1" width="34.5703125" style="22" customWidth="1"/>
    <col min="2" max="2" width="39.140625" style="22" customWidth="1"/>
    <col min="3" max="3" width="27.5703125" style="22" bestFit="1" customWidth="1"/>
    <col min="4" max="4" width="19.85546875" style="22" bestFit="1" customWidth="1"/>
    <col min="5" max="5" width="35.7109375" style="22" customWidth="1"/>
    <col min="6" max="6" width="9.28515625" style="22" bestFit="1" customWidth="1"/>
    <col min="7" max="7" width="36.5703125" style="22" customWidth="1"/>
    <col min="8" max="8" width="10.85546875" style="22" customWidth="1"/>
    <col min="9" max="9" width="37.42578125" style="22" customWidth="1"/>
    <col min="10" max="10" width="31.140625" style="22" customWidth="1"/>
    <col min="11" max="16384" width="9.140625" style="22"/>
  </cols>
  <sheetData>
    <row r="1" spans="1:10">
      <c r="A1" s="52" t="s">
        <v>879</v>
      </c>
      <c r="B1" s="53" t="s">
        <v>425</v>
      </c>
      <c r="C1" s="63" t="s">
        <v>880</v>
      </c>
      <c r="D1" s="52" t="s">
        <v>426</v>
      </c>
      <c r="E1" s="52" t="s">
        <v>427</v>
      </c>
      <c r="F1" s="41"/>
      <c r="G1" s="59"/>
      <c r="H1" s="59"/>
      <c r="I1" s="59"/>
      <c r="J1" s="1"/>
    </row>
    <row r="2" spans="1:10">
      <c r="A2" s="62" t="s">
        <v>360</v>
      </c>
      <c r="B2" s="61" t="s">
        <v>361</v>
      </c>
      <c r="C2" s="60" t="s">
        <v>362</v>
      </c>
      <c r="D2" s="59"/>
      <c r="E2" s="59"/>
      <c r="F2" s="41"/>
      <c r="G2" s="59"/>
      <c r="H2" s="59"/>
      <c r="I2" s="59"/>
      <c r="J2" s="1"/>
    </row>
    <row r="3" spans="1:10">
      <c r="A3" s="3" t="s">
        <v>118</v>
      </c>
      <c r="B3" s="3" t="s">
        <v>119</v>
      </c>
      <c r="C3" s="53"/>
      <c r="D3" s="52"/>
      <c r="E3" s="52"/>
      <c r="F3" s="41"/>
      <c r="G3" s="59"/>
      <c r="H3" s="59"/>
      <c r="I3" s="59"/>
      <c r="J3" s="41"/>
    </row>
    <row r="4" spans="1:10">
      <c r="A4" s="1" t="s">
        <v>122</v>
      </c>
      <c r="B4" s="1" t="s">
        <v>256</v>
      </c>
      <c r="C4" s="57"/>
      <c r="D4" s="41"/>
      <c r="E4" s="41"/>
      <c r="F4" s="41"/>
      <c r="G4" s="59"/>
      <c r="H4" s="59"/>
      <c r="I4" s="59"/>
      <c r="J4" s="41"/>
    </row>
    <row r="5" spans="1:10">
      <c r="A5" s="1" t="s">
        <v>258</v>
      </c>
      <c r="B5" s="1" t="s">
        <v>259</v>
      </c>
      <c r="C5" s="57"/>
      <c r="D5" s="41"/>
      <c r="E5" s="41"/>
      <c r="F5" s="41"/>
      <c r="G5" s="59"/>
      <c r="H5" s="59"/>
      <c r="I5" s="59"/>
      <c r="J5" s="41"/>
    </row>
    <row r="6" spans="1:10">
      <c r="A6" s="1" t="s">
        <v>261</v>
      </c>
      <c r="B6" s="1" t="s">
        <v>163</v>
      </c>
      <c r="C6" s="57"/>
      <c r="D6" s="41"/>
      <c r="E6" s="41"/>
      <c r="F6" s="41"/>
      <c r="G6" s="58"/>
      <c r="H6" s="41"/>
      <c r="I6" s="41"/>
      <c r="J6" s="41"/>
    </row>
    <row r="7" spans="1:10">
      <c r="A7" s="1"/>
      <c r="B7" s="1" t="s">
        <v>263</v>
      </c>
      <c r="C7" s="57"/>
      <c r="D7" s="41"/>
      <c r="J7" s="41"/>
    </row>
    <row r="8" spans="1:10">
      <c r="A8" s="41"/>
      <c r="B8" s="41"/>
      <c r="C8" s="57"/>
      <c r="D8" s="41"/>
      <c r="J8" s="41"/>
    </row>
    <row r="9" spans="1:10">
      <c r="A9" s="52" t="s">
        <v>346</v>
      </c>
      <c r="B9" s="53" t="s">
        <v>347</v>
      </c>
      <c r="C9" s="52" t="s">
        <v>348</v>
      </c>
      <c r="D9" s="52" t="s">
        <v>349</v>
      </c>
      <c r="E9" s="52" t="s">
        <v>350</v>
      </c>
      <c r="F9" s="52" t="s">
        <v>351</v>
      </c>
      <c r="G9" s="52" t="s">
        <v>352</v>
      </c>
      <c r="H9" s="52" t="s">
        <v>351</v>
      </c>
      <c r="I9" s="52" t="s">
        <v>353</v>
      </c>
      <c r="J9" s="52" t="s">
        <v>0</v>
      </c>
    </row>
    <row r="10" spans="1:10">
      <c r="A10" s="113">
        <v>46088</v>
      </c>
      <c r="B10" s="112">
        <f>'CHICLETS MASTER'!K5</f>
        <v>0.33333333333333298</v>
      </c>
      <c r="C10" s="27" t="str">
        <f>'CHICLETS MASTER'!$N$3</f>
        <v>COSTA MESA HS 1</v>
      </c>
      <c r="D10" s="27" t="s">
        <v>881</v>
      </c>
      <c r="E10" s="27" t="str">
        <f>A4</f>
        <v>A1-HIELAND</v>
      </c>
      <c r="F10" s="27"/>
      <c r="G10" s="27" t="str">
        <f>A6</f>
        <v>A3-PALOS VERDES BLUE</v>
      </c>
      <c r="H10" s="27"/>
      <c r="I10" s="27" t="s">
        <v>630</v>
      </c>
      <c r="J10" s="27" t="s">
        <v>254</v>
      </c>
    </row>
    <row r="11" spans="1:10">
      <c r="A11" s="113">
        <v>46088</v>
      </c>
      <c r="B11" s="112">
        <f>'CHICLETS MASTER'!K6</f>
        <v>0.375</v>
      </c>
      <c r="C11" s="27" t="str">
        <f>'CHICLETS MASTER'!$N$3</f>
        <v>COSTA MESA HS 1</v>
      </c>
      <c r="D11" s="27" t="s">
        <v>882</v>
      </c>
      <c r="E11" s="27" t="str">
        <f>B4</f>
        <v>B1-TITANS</v>
      </c>
      <c r="F11" s="27"/>
      <c r="G11" s="27" t="str">
        <f>B7</f>
        <v>B4-NORTH IRVINE 14 BLACK</v>
      </c>
      <c r="H11" s="27"/>
      <c r="I11" s="27" t="s">
        <v>633</v>
      </c>
      <c r="J11" s="27" t="s">
        <v>254</v>
      </c>
    </row>
    <row r="12" spans="1:10">
      <c r="A12" s="113">
        <v>46088</v>
      </c>
      <c r="B12" s="112">
        <f>'CHICLETS MASTER'!K7</f>
        <v>0.41666666666666702</v>
      </c>
      <c r="C12" s="27" t="str">
        <f>'CHICLETS MASTER'!$N$3</f>
        <v>COSTA MESA HS 1</v>
      </c>
      <c r="D12" s="27" t="s">
        <v>883</v>
      </c>
      <c r="E12" s="27" t="str">
        <f>B5</f>
        <v>B2-TRILOGY WHITE</v>
      </c>
      <c r="F12" s="27"/>
      <c r="G12" s="27" t="str">
        <f>B6</f>
        <v>B3-SAN CLEMENTE BLACK</v>
      </c>
      <c r="H12" s="27"/>
      <c r="I12" s="27" t="s">
        <v>571</v>
      </c>
      <c r="J12" s="27" t="s">
        <v>254</v>
      </c>
    </row>
    <row r="13" spans="1:10">
      <c r="A13" s="113">
        <v>46088</v>
      </c>
      <c r="B13" s="112">
        <f>'CHICLETS MASTER'!K8</f>
        <v>0.45833333333333298</v>
      </c>
      <c r="C13" s="27" t="str">
        <f>'CHICLETS MASTER'!$N$3</f>
        <v>COSTA MESA HS 1</v>
      </c>
      <c r="D13" s="27" t="s">
        <v>884</v>
      </c>
      <c r="E13" s="27" t="str">
        <f>A4</f>
        <v>A1-HIELAND</v>
      </c>
      <c r="F13" s="27"/>
      <c r="G13" s="27" t="str">
        <f>A5</f>
        <v>A2-CMAC</v>
      </c>
      <c r="H13" s="27"/>
      <c r="I13" s="27" t="s">
        <v>636</v>
      </c>
      <c r="J13" s="27" t="s">
        <v>254</v>
      </c>
    </row>
    <row r="14" spans="1:10">
      <c r="A14" s="113">
        <v>46088</v>
      </c>
      <c r="B14" s="112">
        <f>'CHICLETS MASTER'!K9</f>
        <v>0.5</v>
      </c>
      <c r="C14" s="27" t="str">
        <f>'CHICLETS MASTER'!$N$3</f>
        <v>COSTA MESA HS 1</v>
      </c>
      <c r="D14" s="27" t="s">
        <v>885</v>
      </c>
      <c r="E14" s="27" t="str">
        <f>B4</f>
        <v>B1-TITANS</v>
      </c>
      <c r="F14" s="27"/>
      <c r="G14" s="27" t="str">
        <f>B6</f>
        <v>B3-SAN CLEMENTE BLACK</v>
      </c>
      <c r="H14" s="27"/>
      <c r="I14" s="27" t="s">
        <v>565</v>
      </c>
      <c r="J14" s="27" t="s">
        <v>254</v>
      </c>
    </row>
    <row r="15" spans="1:10">
      <c r="A15" s="113">
        <v>46088</v>
      </c>
      <c r="B15" s="112">
        <f>'CHICLETS MASTER'!K10</f>
        <v>0.54166666666666696</v>
      </c>
      <c r="C15" s="27" t="str">
        <f>'CHICLETS MASTER'!$N$3</f>
        <v>COSTA MESA HS 1</v>
      </c>
      <c r="D15" s="27" t="s">
        <v>886</v>
      </c>
      <c r="E15" s="27" t="str">
        <f>B5</f>
        <v>B2-TRILOGY WHITE</v>
      </c>
      <c r="F15" s="27"/>
      <c r="G15" s="27" t="str">
        <f>B7</f>
        <v>B4-NORTH IRVINE 14 BLACK</v>
      </c>
      <c r="H15" s="27"/>
      <c r="I15" s="27" t="s">
        <v>639</v>
      </c>
      <c r="J15" s="27" t="s">
        <v>254</v>
      </c>
    </row>
    <row r="16" spans="1:10">
      <c r="A16" s="113">
        <v>46088</v>
      </c>
      <c r="B16" s="112">
        <f>'CHICLETS MASTER'!K11</f>
        <v>0.58333333333333304</v>
      </c>
      <c r="C16" s="27" t="str">
        <f>'CHICLETS MASTER'!$N$3</f>
        <v>COSTA MESA HS 1</v>
      </c>
      <c r="D16" s="27" t="s">
        <v>887</v>
      </c>
      <c r="E16" s="27" t="str">
        <f>A5</f>
        <v>A2-CMAC</v>
      </c>
      <c r="F16" s="27"/>
      <c r="G16" s="27" t="str">
        <f>A6</f>
        <v>A3-PALOS VERDES BLUE</v>
      </c>
      <c r="H16" s="27"/>
      <c r="I16" s="27" t="s">
        <v>641</v>
      </c>
      <c r="J16" s="27" t="s">
        <v>254</v>
      </c>
    </row>
    <row r="17" spans="1:10">
      <c r="A17" s="41"/>
      <c r="C17" s="41"/>
      <c r="E17" s="41"/>
      <c r="F17" s="41"/>
      <c r="G17" s="41"/>
      <c r="H17" s="41"/>
      <c r="I17" s="41"/>
      <c r="J17" s="41"/>
    </row>
    <row r="18" spans="1:10">
      <c r="A18" s="55"/>
      <c r="B18" s="56"/>
      <c r="C18" s="55"/>
      <c r="D18" s="55"/>
      <c r="E18" s="55"/>
      <c r="F18" s="55"/>
      <c r="G18" s="55"/>
      <c r="H18" s="55"/>
      <c r="I18" s="55"/>
      <c r="J18" s="55"/>
    </row>
    <row r="19" spans="1:10">
      <c r="A19" s="52"/>
      <c r="B19" s="53"/>
      <c r="C19" s="52"/>
      <c r="D19" s="52"/>
      <c r="E19" s="52"/>
      <c r="F19" s="52"/>
      <c r="G19" s="52"/>
      <c r="H19" s="52"/>
      <c r="I19" s="52"/>
      <c r="J19" s="52"/>
    </row>
    <row r="20" spans="1:10">
      <c r="A20" s="113">
        <v>46089</v>
      </c>
      <c r="B20" s="112">
        <f>'CHICLETS MASTER'!K32</f>
        <v>0.375</v>
      </c>
      <c r="C20" s="27" t="str">
        <f>'CHICLETS MASTER'!$N$29</f>
        <v>COSTA MESA HS 1</v>
      </c>
      <c r="D20" s="27" t="s">
        <v>888</v>
      </c>
      <c r="E20" s="27" t="str">
        <f>B6</f>
        <v>B3-SAN CLEMENTE BLACK</v>
      </c>
      <c r="F20" s="27"/>
      <c r="G20" s="27" t="str">
        <f>B7</f>
        <v>B4-NORTH IRVINE 14 BLACK</v>
      </c>
      <c r="H20" s="27"/>
      <c r="I20" s="27" t="s">
        <v>643</v>
      </c>
      <c r="J20" s="27" t="s">
        <v>254</v>
      </c>
    </row>
    <row r="21" spans="1:10">
      <c r="A21" s="113">
        <v>46089</v>
      </c>
      <c r="B21" s="112">
        <f>'CHICLETS MASTER'!K33</f>
        <v>0.41666666666666702</v>
      </c>
      <c r="C21" s="27" t="str">
        <f>'CHICLETS MASTER'!$N$29</f>
        <v>COSTA MESA HS 1</v>
      </c>
      <c r="D21" s="27" t="s">
        <v>889</v>
      </c>
      <c r="E21" s="27" t="str">
        <f>B4</f>
        <v>B1-TITANS</v>
      </c>
      <c r="F21" s="27"/>
      <c r="G21" s="27" t="str">
        <f>B5</f>
        <v>B2-TRILOGY WHITE</v>
      </c>
      <c r="H21" s="27"/>
      <c r="I21" s="27" t="s">
        <v>577</v>
      </c>
      <c r="J21" s="27" t="s">
        <v>254</v>
      </c>
    </row>
    <row r="22" spans="1:10">
      <c r="A22" s="113">
        <v>46089</v>
      </c>
      <c r="B22" s="112">
        <f>'CHICLETS MASTER'!K34</f>
        <v>0.45833333333333298</v>
      </c>
      <c r="C22" s="27" t="str">
        <f>'CHICLETS MASTER'!$N$29</f>
        <v>COSTA MESA HS 1</v>
      </c>
      <c r="D22" s="27" t="s">
        <v>890</v>
      </c>
      <c r="E22" s="27" t="s">
        <v>104</v>
      </c>
      <c r="F22" s="27"/>
      <c r="G22" s="27" t="s">
        <v>512</v>
      </c>
      <c r="H22" s="27"/>
      <c r="I22" s="27" t="s">
        <v>646</v>
      </c>
      <c r="J22" s="27" t="s">
        <v>254</v>
      </c>
    </row>
    <row r="23" spans="1:10">
      <c r="A23" s="113">
        <v>46089</v>
      </c>
      <c r="B23" s="112">
        <f>'CHICLETS MASTER'!K35</f>
        <v>0.5</v>
      </c>
      <c r="C23" s="27" t="str">
        <f>'CHICLETS MASTER'!$N$29</f>
        <v>COSTA MESA HS 1</v>
      </c>
      <c r="D23" s="27" t="s">
        <v>891</v>
      </c>
      <c r="E23" s="27" t="s">
        <v>94</v>
      </c>
      <c r="F23" s="27"/>
      <c r="G23" s="27" t="s">
        <v>506</v>
      </c>
      <c r="H23" s="27"/>
      <c r="I23" s="27" t="s">
        <v>648</v>
      </c>
      <c r="J23" s="27" t="s">
        <v>254</v>
      </c>
    </row>
    <row r="24" spans="1:10">
      <c r="A24" s="113">
        <v>46089</v>
      </c>
      <c r="B24" s="112">
        <f>'CHICLETS MASTER'!K36</f>
        <v>0.54166666666666696</v>
      </c>
      <c r="C24" s="27" t="str">
        <f>'CHICLETS MASTER'!$N$29</f>
        <v>COSTA MESA HS 1</v>
      </c>
      <c r="D24" s="27" t="s">
        <v>892</v>
      </c>
      <c r="E24" s="27" t="s">
        <v>508</v>
      </c>
      <c r="F24" s="27"/>
      <c r="G24" s="27" t="s">
        <v>99</v>
      </c>
      <c r="H24" s="27"/>
      <c r="I24" s="27" t="s">
        <v>648</v>
      </c>
      <c r="J24" s="27" t="s">
        <v>254</v>
      </c>
    </row>
    <row r="25" spans="1:10">
      <c r="A25" s="113">
        <v>46089</v>
      </c>
      <c r="B25" s="112">
        <f>'CHICLETS MASTER'!K37</f>
        <v>0.58333333333333304</v>
      </c>
      <c r="C25" s="27" t="str">
        <f>'CHICLETS MASTER'!$N$29</f>
        <v>COSTA MESA HS 1</v>
      </c>
      <c r="D25" s="27" t="s">
        <v>893</v>
      </c>
      <c r="E25" s="27" t="s">
        <v>104</v>
      </c>
      <c r="F25" s="27"/>
      <c r="G25" s="27" t="s">
        <v>92</v>
      </c>
      <c r="H25" s="27"/>
      <c r="I25" s="27" t="s">
        <v>646</v>
      </c>
      <c r="J25" s="27" t="s">
        <v>254</v>
      </c>
    </row>
    <row r="26" spans="1:10">
      <c r="A26" s="113">
        <v>46089</v>
      </c>
      <c r="B26" s="112">
        <f>'CHICLETS MASTER'!K38</f>
        <v>0.625</v>
      </c>
      <c r="C26" s="27" t="str">
        <f>'CHICLETS MASTER'!$N$29</f>
        <v>COSTA MESA HS 1</v>
      </c>
      <c r="D26" s="27" t="s">
        <v>894</v>
      </c>
      <c r="E26" s="27" t="str">
        <f>IF(F23="","L#11",IF(F23&lt;H23,_xlfn.CONCAT("L#11-",RIGHT(E23,LEN(E23) - FIND("-",E23))), _xlfn.CONCAT("L#11-",RIGHT(G23,LEN(G23) - FIND("-",G23)))))</f>
        <v>L#11</v>
      </c>
      <c r="F26" s="27"/>
      <c r="G26" s="27" t="str">
        <f>IF(F24="","L#12",IF(F24&lt;H24,_xlfn.CONCAT("L#12-",RIGHT(E24,LEN(E24) - FIND("-",E24))), _xlfn.CONCAT("L#12-",RIGHT(G24,LEN(G24) - FIND("-",G24)))))</f>
        <v>L#12</v>
      </c>
      <c r="H26" s="27"/>
      <c r="I26" s="27" t="s">
        <v>416</v>
      </c>
      <c r="J26" s="27" t="s">
        <v>254</v>
      </c>
    </row>
    <row r="27" spans="1:10">
      <c r="A27" s="113">
        <v>46089</v>
      </c>
      <c r="B27" s="112">
        <f>'CHICLETS MASTER'!K39</f>
        <v>0.66666666666666696</v>
      </c>
      <c r="C27" s="27" t="str">
        <f>'CHICLETS MASTER'!$N$29</f>
        <v>COSTA MESA HS 1</v>
      </c>
      <c r="D27" s="27" t="s">
        <v>895</v>
      </c>
      <c r="E27" s="27" t="str">
        <f>IF(F23="","W#11",IF(F23&gt;H23,_xlfn.CONCAT("W#11-",RIGHT(E23,LEN(E23) - FIND("-",E23))), _xlfn.CONCAT("W#11-",RIGHT(G23,LEN(G23) - FIND("-",G23)))))</f>
        <v>W#11</v>
      </c>
      <c r="F27" s="27"/>
      <c r="G27" s="27" t="str">
        <f>IF(F24="","W#12",IF(F24&gt;H24,_xlfn.CONCAT("W#12-",RIGHT(E24,LEN(E24) - FIND("-",E24))), _xlfn.CONCAT("W#12-",RIGHT(G24,LEN(G24) - FIND("-",G24)))))</f>
        <v>W#12</v>
      </c>
      <c r="H27" s="27"/>
      <c r="I27" s="27" t="s">
        <v>414</v>
      </c>
      <c r="J27" s="27" t="s">
        <v>254</v>
      </c>
    </row>
    <row r="29" spans="1:10">
      <c r="D29" s="41"/>
      <c r="E29" s="41"/>
      <c r="I29" s="41"/>
    </row>
    <row r="30" spans="1:10">
      <c r="E30" s="41"/>
      <c r="G30" s="22" t="s">
        <v>460</v>
      </c>
      <c r="I30" s="27" t="s">
        <v>414</v>
      </c>
      <c r="J30" s="27"/>
    </row>
    <row r="31" spans="1:10">
      <c r="E31" s="41"/>
      <c r="G31" s="22" t="s">
        <v>460</v>
      </c>
      <c r="I31" s="27" t="s">
        <v>415</v>
      </c>
      <c r="J31" s="27"/>
    </row>
    <row r="32" spans="1:10">
      <c r="E32" s="41"/>
      <c r="G32" s="22" t="s">
        <v>460</v>
      </c>
      <c r="H32" s="50"/>
      <c r="I32" s="27" t="s">
        <v>416</v>
      </c>
      <c r="J32" s="27"/>
    </row>
    <row r="33" spans="2:10">
      <c r="B33" s="44" t="s">
        <v>316</v>
      </c>
      <c r="E33" s="41"/>
      <c r="G33" s="51" t="s">
        <v>461</v>
      </c>
      <c r="H33" s="50"/>
      <c r="I33" s="49"/>
      <c r="J33" s="48"/>
    </row>
    <row r="34" spans="2:10">
      <c r="B34" s="44">
        <f>SUM(C34:F34)</f>
        <v>0</v>
      </c>
      <c r="D34" s="47"/>
      <c r="E34" s="46"/>
      <c r="F34" s="42"/>
      <c r="G34" s="41" t="str">
        <f>B4</f>
        <v>B1-TITANS</v>
      </c>
      <c r="H34" s="42"/>
      <c r="I34" s="49"/>
      <c r="J34" s="48"/>
    </row>
    <row r="35" spans="2:10">
      <c r="B35" s="44">
        <f>SUM(C35:F35)</f>
        <v>0</v>
      </c>
      <c r="D35" s="47"/>
      <c r="E35" s="43"/>
      <c r="F35" s="45"/>
      <c r="G35" s="41" t="str">
        <f>B5</f>
        <v>B2-TRILOGY WHITE</v>
      </c>
      <c r="H35" s="45"/>
      <c r="I35" s="49"/>
      <c r="J35" s="48"/>
    </row>
    <row r="36" spans="2:10">
      <c r="B36" s="44">
        <f>SUM(C36:F36)</f>
        <v>0</v>
      </c>
      <c r="D36" s="42"/>
      <c r="E36" s="46"/>
      <c r="F36" s="45"/>
      <c r="G36" s="41" t="str">
        <f>B6</f>
        <v>B3-SAN CLEMENTE BLACK</v>
      </c>
      <c r="H36" s="45"/>
      <c r="I36" s="49"/>
      <c r="J36" s="48"/>
    </row>
    <row r="37" spans="2:10">
      <c r="B37" s="44">
        <f>SUM(C37:F37)</f>
        <v>0</v>
      </c>
      <c r="D37" s="42"/>
      <c r="E37" s="43"/>
      <c r="F37" s="42"/>
      <c r="G37" s="41" t="str">
        <f>B7</f>
        <v>B4-NORTH IRVINE 14 BLACK</v>
      </c>
      <c r="H37" s="42"/>
      <c r="I37" s="49"/>
      <c r="J37" s="48"/>
    </row>
    <row r="38" spans="2:10">
      <c r="E38" s="41"/>
      <c r="I38" s="49"/>
      <c r="J38" s="48"/>
    </row>
    <row r="39" spans="2:10">
      <c r="E39" s="41"/>
      <c r="I39" s="49"/>
      <c r="J39" s="48"/>
    </row>
    <row r="40" spans="2:10">
      <c r="E40" s="41"/>
    </row>
  </sheetData>
  <hyperlinks>
    <hyperlink ref="B2" r:id="rId1" xr:uid="{504C32E7-8EAE-4BF1-BE1E-3F17715ED8BB}"/>
    <hyperlink ref="C2" r:id="rId2" xr:uid="{43A0E2CE-C377-4C3E-A2CF-EEE4695F485B}"/>
  </hyperlinks>
  <pageMargins left="0.7" right="0.7" top="0.75" bottom="0.75" header="0.3" footer="0.3"/>
  <pageSetup scale="70" orientation="landscape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FEC2-C577-4F8B-B0CC-3467DE931DBC}">
  <sheetPr>
    <tabColor rgb="FFD9D9D9"/>
    <pageSetUpPr fitToPage="1"/>
  </sheetPr>
  <dimension ref="A1:K33"/>
  <sheetViews>
    <sheetView workbookViewId="0"/>
  </sheetViews>
  <sheetFormatPr defaultColWidth="9.140625" defaultRowHeight="18.75"/>
  <cols>
    <col min="1" max="1" width="35.140625" style="64" customWidth="1"/>
    <col min="2" max="2" width="38.7109375" style="64" customWidth="1"/>
    <col min="3" max="3" width="34.42578125" style="64" customWidth="1"/>
    <col min="4" max="4" width="20.28515625" style="64" customWidth="1"/>
    <col min="5" max="5" width="38.140625" style="64" customWidth="1"/>
    <col min="6" max="6" width="8.42578125" style="64" customWidth="1"/>
    <col min="7" max="7" width="39.28515625" style="64" customWidth="1"/>
    <col min="8" max="8" width="25.85546875" style="64" bestFit="1" customWidth="1"/>
    <col min="9" max="9" width="23.42578125" style="64" customWidth="1"/>
    <col min="10" max="10" width="32.140625" style="64" bestFit="1" customWidth="1"/>
    <col min="11" max="11" width="22.7109375" style="64" bestFit="1" customWidth="1"/>
    <col min="12" max="16384" width="9.140625" style="64"/>
  </cols>
  <sheetData>
    <row r="1" spans="1:11">
      <c r="A1" s="69" t="s">
        <v>879</v>
      </c>
      <c r="B1" s="69" t="s">
        <v>896</v>
      </c>
      <c r="C1" s="63" t="s">
        <v>880</v>
      </c>
      <c r="D1" s="69" t="s">
        <v>477</v>
      </c>
      <c r="E1" s="69" t="s">
        <v>478</v>
      </c>
      <c r="F1" s="46"/>
      <c r="G1" s="46"/>
      <c r="H1" s="46"/>
      <c r="I1" s="46"/>
      <c r="J1" s="46"/>
      <c r="K1" s="41"/>
    </row>
    <row r="2" spans="1:11">
      <c r="A2" s="62" t="s">
        <v>360</v>
      </c>
      <c r="B2" s="61" t="s">
        <v>361</v>
      </c>
      <c r="C2" s="60" t="s">
        <v>362</v>
      </c>
      <c r="D2" s="69"/>
      <c r="E2" s="46"/>
      <c r="F2" s="46"/>
      <c r="G2" s="46"/>
      <c r="H2" s="46"/>
      <c r="I2" s="46"/>
      <c r="J2" s="46"/>
      <c r="K2" s="41"/>
    </row>
    <row r="3" spans="1:11">
      <c r="A3" s="3" t="s">
        <v>118</v>
      </c>
      <c r="B3" s="3" t="s">
        <v>119</v>
      </c>
      <c r="C3" s="70"/>
      <c r="D3" s="69"/>
      <c r="E3" s="46"/>
      <c r="F3" s="46"/>
      <c r="G3" s="46"/>
      <c r="H3" s="46"/>
      <c r="I3" s="46"/>
      <c r="J3" s="46"/>
      <c r="K3" s="41"/>
    </row>
    <row r="4" spans="1:11">
      <c r="A4" s="1" t="s">
        <v>122</v>
      </c>
      <c r="B4" s="1" t="s">
        <v>256</v>
      </c>
      <c r="C4" s="72"/>
      <c r="D4" s="46"/>
      <c r="E4" s="46"/>
      <c r="F4" s="46"/>
      <c r="G4" s="46"/>
      <c r="H4" s="46"/>
      <c r="I4" s="46"/>
      <c r="J4" s="46"/>
      <c r="K4" s="41"/>
    </row>
    <row r="5" spans="1:11">
      <c r="A5" s="1" t="s">
        <v>258</v>
      </c>
      <c r="B5" s="1" t="s">
        <v>259</v>
      </c>
      <c r="C5" s="71"/>
      <c r="D5" s="46"/>
      <c r="E5" s="46"/>
      <c r="F5" s="46"/>
      <c r="G5" s="46"/>
      <c r="H5" s="46"/>
      <c r="I5" s="46"/>
      <c r="J5" s="46"/>
      <c r="K5" s="41"/>
    </row>
    <row r="6" spans="1:11">
      <c r="A6" s="1" t="s">
        <v>261</v>
      </c>
      <c r="B6" s="1" t="s">
        <v>163</v>
      </c>
      <c r="C6" s="71"/>
      <c r="D6" s="46"/>
      <c r="E6" s="46"/>
      <c r="F6" s="46"/>
      <c r="G6" s="46"/>
      <c r="H6" s="46"/>
      <c r="I6" s="46"/>
      <c r="J6" s="46"/>
      <c r="K6" s="41"/>
    </row>
    <row r="7" spans="1:11">
      <c r="A7" s="1" t="s">
        <v>262</v>
      </c>
      <c r="B7" s="1" t="s">
        <v>263</v>
      </c>
      <c r="C7" s="71"/>
      <c r="D7" s="46"/>
      <c r="E7" s="46"/>
      <c r="F7" s="46"/>
      <c r="G7" s="46"/>
      <c r="H7" s="46"/>
      <c r="I7" s="46"/>
      <c r="J7" s="46"/>
      <c r="K7" s="41"/>
    </row>
    <row r="8" spans="1:11">
      <c r="A8" s="46"/>
      <c r="B8" s="46"/>
      <c r="C8" s="71"/>
      <c r="D8" s="46"/>
      <c r="E8" s="46"/>
      <c r="F8" s="46"/>
      <c r="G8" s="46"/>
      <c r="H8" s="46"/>
      <c r="I8" s="46"/>
      <c r="J8" s="46"/>
      <c r="K8" s="41"/>
    </row>
    <row r="9" spans="1:11">
      <c r="A9" s="69" t="s">
        <v>346</v>
      </c>
      <c r="B9" s="70" t="s">
        <v>347</v>
      </c>
      <c r="C9" s="69" t="s">
        <v>348</v>
      </c>
      <c r="D9" s="69" t="s">
        <v>349</v>
      </c>
      <c r="E9" s="69" t="s">
        <v>350</v>
      </c>
      <c r="F9" s="69" t="s">
        <v>351</v>
      </c>
      <c r="G9" s="69" t="s">
        <v>352</v>
      </c>
      <c r="H9" s="69" t="s">
        <v>351</v>
      </c>
      <c r="I9" s="69" t="s">
        <v>353</v>
      </c>
      <c r="J9" s="69" t="s">
        <v>0</v>
      </c>
      <c r="K9" s="41"/>
    </row>
    <row r="10" spans="1:11">
      <c r="A10" s="113">
        <v>46088</v>
      </c>
      <c r="B10" s="112">
        <f>'CHICLETS MASTER'!K5</f>
        <v>0.33333333333333298</v>
      </c>
      <c r="C10" s="27" t="str">
        <f>'CHICLETS MASTER'!$N$3</f>
        <v>COSTA MESA HS 1</v>
      </c>
      <c r="D10" s="27" t="s">
        <v>881</v>
      </c>
      <c r="E10" s="27" t="str">
        <f>B4</f>
        <v>B1-TITANS</v>
      </c>
      <c r="F10" s="27">
        <v>9</v>
      </c>
      <c r="G10" s="27" t="str">
        <f>B7</f>
        <v>B4-NORTH IRVINE 14 BLACK</v>
      </c>
      <c r="H10" s="27">
        <v>20</v>
      </c>
      <c r="I10" s="27" t="s">
        <v>524</v>
      </c>
      <c r="J10" s="27" t="s">
        <v>254</v>
      </c>
    </row>
    <row r="11" spans="1:11">
      <c r="A11" s="113">
        <v>46088</v>
      </c>
      <c r="B11" s="112">
        <f>'CHICLETS MASTER'!K6</f>
        <v>0.375</v>
      </c>
      <c r="C11" s="27" t="str">
        <f>'CHICLETS MASTER'!$N$3</f>
        <v>COSTA MESA HS 1</v>
      </c>
      <c r="D11" s="27" t="s">
        <v>882</v>
      </c>
      <c r="E11" s="27" t="str">
        <f>B5</f>
        <v>B2-TRILOGY WHITE</v>
      </c>
      <c r="F11" s="27">
        <v>12</v>
      </c>
      <c r="G11" s="27" t="str">
        <f>B6</f>
        <v>B3-SAN CLEMENTE BLACK</v>
      </c>
      <c r="H11" s="27">
        <v>14</v>
      </c>
      <c r="I11" s="27" t="s">
        <v>527</v>
      </c>
      <c r="J11" s="27" t="s">
        <v>254</v>
      </c>
    </row>
    <row r="12" spans="1:11">
      <c r="A12" s="113">
        <v>46088</v>
      </c>
      <c r="B12" s="112">
        <f>'CHICLETS MASTER'!K7</f>
        <v>0.41666666666666702</v>
      </c>
      <c r="C12" s="27" t="str">
        <f>'CHICLETS MASTER'!$N$3</f>
        <v>COSTA MESA HS 1</v>
      </c>
      <c r="D12" s="27" t="s">
        <v>883</v>
      </c>
      <c r="E12" s="27" t="str">
        <f>A5</f>
        <v>A2-CMAC</v>
      </c>
      <c r="F12" s="27">
        <v>10</v>
      </c>
      <c r="G12" s="27" t="str">
        <f>A6</f>
        <v>A3-PALOS VERDES BLUE</v>
      </c>
      <c r="H12" s="27">
        <v>6</v>
      </c>
      <c r="I12" s="27" t="s">
        <v>531</v>
      </c>
      <c r="J12" s="27" t="s">
        <v>254</v>
      </c>
    </row>
    <row r="13" spans="1:11">
      <c r="A13" s="113">
        <v>46088</v>
      </c>
      <c r="B13" s="112">
        <f>'CHICLETS MASTER'!K8</f>
        <v>0.45833333333333298</v>
      </c>
      <c r="C13" s="27" t="str">
        <f>'CHICLETS MASTER'!$N$3</f>
        <v>COSTA MESA HS 1</v>
      </c>
      <c r="D13" s="27" t="s">
        <v>884</v>
      </c>
      <c r="E13" s="27" t="str">
        <f>A4</f>
        <v>A1-HIELAND</v>
      </c>
      <c r="F13" s="27">
        <v>9</v>
      </c>
      <c r="G13" s="27" t="str">
        <f>A7</f>
        <v>A4-SUPREME</v>
      </c>
      <c r="H13" s="27">
        <v>10</v>
      </c>
      <c r="I13" s="27" t="s">
        <v>529</v>
      </c>
      <c r="J13" s="27" t="s">
        <v>254</v>
      </c>
    </row>
    <row r="14" spans="1:11">
      <c r="A14" s="113">
        <v>46088</v>
      </c>
      <c r="B14" s="112">
        <f>'CHICLETS MASTER'!K9</f>
        <v>0.5</v>
      </c>
      <c r="C14" s="27" t="str">
        <f>'CHICLETS MASTER'!$N$3</f>
        <v>COSTA MESA HS 1</v>
      </c>
      <c r="D14" s="27" t="s">
        <v>885</v>
      </c>
      <c r="E14" s="27" t="str">
        <f>B4</f>
        <v>B1-TITANS</v>
      </c>
      <c r="F14" s="27">
        <v>8</v>
      </c>
      <c r="G14" s="27" t="str">
        <f>B6</f>
        <v>B3-SAN CLEMENTE BLACK</v>
      </c>
      <c r="H14" s="27">
        <v>15</v>
      </c>
      <c r="I14" s="27" t="s">
        <v>535</v>
      </c>
      <c r="J14" s="27" t="s">
        <v>254</v>
      </c>
    </row>
    <row r="15" spans="1:11">
      <c r="A15" s="113">
        <v>46088</v>
      </c>
      <c r="B15" s="112">
        <f>'CHICLETS MASTER'!K10</f>
        <v>0.54166666666666696</v>
      </c>
      <c r="C15" s="27" t="str">
        <f>'CHICLETS MASTER'!$N$3</f>
        <v>COSTA MESA HS 1</v>
      </c>
      <c r="D15" s="27" t="s">
        <v>886</v>
      </c>
      <c r="E15" s="27" t="str">
        <f>B5</f>
        <v>B2-TRILOGY WHITE</v>
      </c>
      <c r="F15" s="27">
        <v>11</v>
      </c>
      <c r="G15" s="27" t="str">
        <f>B7</f>
        <v>B4-NORTH IRVINE 14 BLACK</v>
      </c>
      <c r="H15" s="27">
        <v>6</v>
      </c>
      <c r="I15" s="27" t="s">
        <v>533</v>
      </c>
      <c r="J15" s="27" t="s">
        <v>254</v>
      </c>
    </row>
    <row r="16" spans="1:11">
      <c r="A16" s="113">
        <v>46088</v>
      </c>
      <c r="B16" s="112">
        <f>'CHICLETS MASTER'!K11</f>
        <v>0.58333333333333304</v>
      </c>
      <c r="C16" s="27" t="str">
        <f>'CHICLETS MASTER'!$N$3</f>
        <v>COSTA MESA HS 1</v>
      </c>
      <c r="D16" s="27" t="s">
        <v>887</v>
      </c>
      <c r="E16" s="27" t="str">
        <f>A5</f>
        <v>A2-CMAC</v>
      </c>
      <c r="F16" s="27">
        <v>11</v>
      </c>
      <c r="G16" s="27" t="str">
        <f>A7</f>
        <v>A4-SUPREME</v>
      </c>
      <c r="H16" s="27">
        <v>6</v>
      </c>
      <c r="I16" s="27" t="s">
        <v>897</v>
      </c>
      <c r="J16" s="27" t="s">
        <v>254</v>
      </c>
    </row>
    <row r="17" spans="1:10">
      <c r="A17" s="113">
        <v>46088</v>
      </c>
      <c r="B17" s="112">
        <f>'CHICLETS MASTER'!K12</f>
        <v>0.625</v>
      </c>
      <c r="C17" s="27" t="str">
        <f>'CHICLETS MASTER'!$M$3</f>
        <v>ESTANCIA HS 1</v>
      </c>
      <c r="D17" s="27" t="s">
        <v>888</v>
      </c>
      <c r="E17" s="27" t="str">
        <f>A4</f>
        <v>A1-HIELAND</v>
      </c>
      <c r="F17" s="27">
        <v>17</v>
      </c>
      <c r="G17" s="27" t="str">
        <f>A6</f>
        <v>A3-PALOS VERDES BLUE</v>
      </c>
      <c r="H17" s="27">
        <v>2</v>
      </c>
      <c r="I17" s="27" t="s">
        <v>898</v>
      </c>
      <c r="J17" s="27" t="s">
        <v>254</v>
      </c>
    </row>
    <row r="18" spans="1:10">
      <c r="A18" s="68"/>
      <c r="B18" s="68"/>
      <c r="C18" s="68"/>
      <c r="D18" s="68"/>
      <c r="E18" s="68"/>
      <c r="F18" s="68"/>
      <c r="G18" s="68"/>
      <c r="H18" s="68"/>
      <c r="I18" s="68"/>
      <c r="J18" s="68"/>
    </row>
    <row r="19" spans="1:10">
      <c r="A19" s="55"/>
      <c r="B19" s="56"/>
      <c r="C19" s="55"/>
      <c r="D19" s="55"/>
      <c r="E19" s="55"/>
      <c r="F19" s="55"/>
      <c r="G19" s="55"/>
      <c r="H19" s="55"/>
      <c r="I19" s="55"/>
      <c r="J19" s="55"/>
    </row>
    <row r="20" spans="1:10">
      <c r="A20" s="52"/>
      <c r="B20" s="53"/>
      <c r="C20" s="52"/>
      <c r="D20" s="52"/>
      <c r="E20" s="52"/>
      <c r="F20" s="52"/>
      <c r="G20" s="52"/>
      <c r="H20" s="52"/>
      <c r="I20" s="52"/>
      <c r="J20" s="52"/>
    </row>
    <row r="21" spans="1:10">
      <c r="A21" s="113">
        <v>46089</v>
      </c>
      <c r="B21" s="112">
        <f>'CHICLETS MASTER'!K31</f>
        <v>0.33333333333333298</v>
      </c>
      <c r="C21" s="27" t="str">
        <f>'CHICLETS MASTER'!$N$29</f>
        <v>COSTA MESA HS 1</v>
      </c>
      <c r="D21" s="27" t="s">
        <v>889</v>
      </c>
      <c r="E21" s="27" t="str">
        <f>B6</f>
        <v>B3-SAN CLEMENTE BLACK</v>
      </c>
      <c r="F21" s="27">
        <v>16</v>
      </c>
      <c r="G21" s="27" t="str">
        <f>B7</f>
        <v>B4-NORTH IRVINE 14 BLACK</v>
      </c>
      <c r="H21" s="27">
        <v>17</v>
      </c>
      <c r="I21" s="27" t="s">
        <v>537</v>
      </c>
      <c r="J21" s="27" t="s">
        <v>254</v>
      </c>
    </row>
    <row r="22" spans="1:10">
      <c r="A22" s="113">
        <v>46089</v>
      </c>
      <c r="B22" s="112">
        <f>'CHICLETS MASTER'!K32</f>
        <v>0.375</v>
      </c>
      <c r="C22" s="27" t="str">
        <f>'CHICLETS MASTER'!$N$29</f>
        <v>COSTA MESA HS 1</v>
      </c>
      <c r="D22" s="27" t="s">
        <v>890</v>
      </c>
      <c r="E22" s="27" t="str">
        <f>A6</f>
        <v>A3-PALOS VERDES BLUE</v>
      </c>
      <c r="F22" s="27">
        <v>7</v>
      </c>
      <c r="G22" s="27" t="str">
        <f>A7</f>
        <v>A4-SUPREME</v>
      </c>
      <c r="H22" s="27">
        <v>6</v>
      </c>
      <c r="I22" s="27" t="s">
        <v>539</v>
      </c>
      <c r="J22" s="27" t="s">
        <v>254</v>
      </c>
    </row>
    <row r="23" spans="1:10">
      <c r="A23" s="113">
        <v>46089</v>
      </c>
      <c r="B23" s="112">
        <f>'CHICLETS MASTER'!K33</f>
        <v>0.41666666666666702</v>
      </c>
      <c r="C23" s="27" t="str">
        <f>'CHICLETS MASTER'!$N$29</f>
        <v>COSTA MESA HS 1</v>
      </c>
      <c r="D23" s="27" t="s">
        <v>891</v>
      </c>
      <c r="E23" s="27" t="str">
        <f>B4</f>
        <v>B1-TITANS</v>
      </c>
      <c r="F23" s="27">
        <v>10</v>
      </c>
      <c r="G23" s="27" t="str">
        <f>B5</f>
        <v>B2-TRILOGY WHITE</v>
      </c>
      <c r="H23" s="27">
        <v>16</v>
      </c>
      <c r="I23" s="27" t="s">
        <v>541</v>
      </c>
      <c r="J23" s="27" t="s">
        <v>254</v>
      </c>
    </row>
    <row r="24" spans="1:10">
      <c r="A24" s="113">
        <v>46089</v>
      </c>
      <c r="B24" s="112">
        <f>'CHICLETS MASTER'!K34</f>
        <v>0.45833333333333298</v>
      </c>
      <c r="C24" s="27" t="str">
        <f>'CHICLETS MASTER'!$N$29</f>
        <v>COSTA MESA HS 1</v>
      </c>
      <c r="D24" s="27" t="s">
        <v>892</v>
      </c>
      <c r="E24" s="27" t="str">
        <f>A4</f>
        <v>A1-HIELAND</v>
      </c>
      <c r="F24" s="27">
        <v>7</v>
      </c>
      <c r="G24" s="27" t="str">
        <f>A5</f>
        <v>A2-CMAC</v>
      </c>
      <c r="H24" s="27">
        <v>9</v>
      </c>
      <c r="I24" s="27" t="s">
        <v>543</v>
      </c>
      <c r="J24" s="27" t="s">
        <v>254</v>
      </c>
    </row>
    <row r="25" spans="1:10">
      <c r="A25" s="113">
        <v>46089</v>
      </c>
      <c r="B25" s="112">
        <f>'CHICLETS MASTER'!K35</f>
        <v>0.5</v>
      </c>
      <c r="C25" s="27" t="str">
        <f>'CHICLETS MASTER'!$N$29</f>
        <v>COSTA MESA HS 1</v>
      </c>
      <c r="D25" s="27" t="s">
        <v>893</v>
      </c>
      <c r="E25" s="27" t="s">
        <v>899</v>
      </c>
      <c r="F25" s="27">
        <v>14</v>
      </c>
      <c r="G25" s="27" t="s">
        <v>900</v>
      </c>
      <c r="H25" s="27">
        <v>7</v>
      </c>
      <c r="I25" s="27" t="s">
        <v>745</v>
      </c>
      <c r="J25" s="27" t="s">
        <v>254</v>
      </c>
    </row>
    <row r="26" spans="1:10">
      <c r="A26" s="113">
        <v>46089</v>
      </c>
      <c r="B26" s="112">
        <f>'CHICLETS MASTER'!K36</f>
        <v>0.54166666666666696</v>
      </c>
      <c r="C26" s="27" t="str">
        <f>'CHICLETS MASTER'!$N$29</f>
        <v>COSTA MESA HS 1</v>
      </c>
      <c r="D26" s="27" t="s">
        <v>894</v>
      </c>
      <c r="E26" s="27" t="s">
        <v>901</v>
      </c>
      <c r="F26" s="27">
        <v>5</v>
      </c>
      <c r="G26" s="27" t="s">
        <v>902</v>
      </c>
      <c r="H26" s="27">
        <v>6</v>
      </c>
      <c r="I26" s="27" t="s">
        <v>741</v>
      </c>
      <c r="J26" s="27" t="s">
        <v>254</v>
      </c>
    </row>
    <row r="27" spans="1:10">
      <c r="A27" s="113">
        <v>46089</v>
      </c>
      <c r="B27" s="112">
        <f>'CHICLETS MASTER'!K37</f>
        <v>0.58333333333333304</v>
      </c>
      <c r="C27" s="27" t="str">
        <f>'CHICLETS MASTER'!$N$29</f>
        <v>COSTA MESA HS 1</v>
      </c>
      <c r="D27" s="27" t="s">
        <v>895</v>
      </c>
      <c r="E27" s="27" t="s">
        <v>903</v>
      </c>
      <c r="F27" s="27">
        <v>16</v>
      </c>
      <c r="G27" s="27" t="s">
        <v>904</v>
      </c>
      <c r="H27" s="27">
        <v>7</v>
      </c>
      <c r="I27" s="27" t="s">
        <v>416</v>
      </c>
      <c r="J27" s="27" t="s">
        <v>254</v>
      </c>
    </row>
    <row r="28" spans="1:10">
      <c r="A28" s="113">
        <v>46089</v>
      </c>
      <c r="B28" s="112">
        <f>'CHICLETS MASTER'!K38</f>
        <v>0.625</v>
      </c>
      <c r="C28" s="156" t="str">
        <f>'CHICLETS MASTER'!$N$29</f>
        <v>COSTA MESA HS 1</v>
      </c>
      <c r="D28" s="27" t="s">
        <v>905</v>
      </c>
      <c r="E28" s="27" t="s">
        <v>906</v>
      </c>
      <c r="F28" s="27">
        <v>13</v>
      </c>
      <c r="G28" s="27" t="s">
        <v>907</v>
      </c>
      <c r="H28" s="27">
        <v>9</v>
      </c>
      <c r="I28" s="27" t="s">
        <v>414</v>
      </c>
      <c r="J28" s="27" t="s">
        <v>254</v>
      </c>
    </row>
    <row r="29" spans="1:10">
      <c r="E29" s="65"/>
    </row>
    <row r="30" spans="1:10">
      <c r="J30" s="41" t="s">
        <v>908</v>
      </c>
    </row>
    <row r="31" spans="1:10">
      <c r="I31" s="27" t="s">
        <v>414</v>
      </c>
      <c r="J31" s="27" t="str">
        <f>IF(F28="","W#16",IF(F28&gt;H28,_xlfn.CONCAT("W#16-",RIGHT(E28,LEN(E28) - FIND("-",E28))), _xlfn.CONCAT("W#16-",RIGHT(G28,LEN(G28) - FIND("-",G28)))))</f>
        <v>W#16-CMAC</v>
      </c>
    </row>
    <row r="32" spans="1:10">
      <c r="I32" s="27" t="s">
        <v>415</v>
      </c>
      <c r="J32" s="27" t="str">
        <f>IF(F28="","L#16",IF(F28&lt;H28,_xlfn.CONCAT("L#16-",RIGHT(E28,LEN(E28) - FIND("-",E28))), _xlfn.CONCAT("L#16-",RIGHT(G28,LEN(G28) - FIND("-",G28)))))</f>
        <v>L#16-TRILOGY WHITE</v>
      </c>
    </row>
    <row r="33" spans="9:10">
      <c r="I33" s="27" t="s">
        <v>416</v>
      </c>
      <c r="J33" s="27" t="str">
        <f>IF(F27="","W#15",IF(F27&gt;H27,_xlfn.CONCAT("W#15-",RIGHT(E27,LEN(E27) - FIND("-",E27))), _xlfn.CONCAT("W#15-",RIGHT(G27,LEN(G27) - FIND("-",G27)))))</f>
        <v>W#15-HIELAND</v>
      </c>
    </row>
  </sheetData>
  <hyperlinks>
    <hyperlink ref="B2" r:id="rId1" xr:uid="{37085A7B-2B1F-465C-90B3-926365014E30}"/>
    <hyperlink ref="C2" r:id="rId2" xr:uid="{35C7F5D4-2CE7-43B4-A860-0C3864883336}"/>
  </hyperlinks>
  <pageMargins left="0.7" right="0.7" top="0.75" bottom="0.75" header="0.3" footer="0.3"/>
  <pageSetup scale="58" orientation="landscape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48CC-968D-46F8-9F67-4C8A5CFA4436}">
  <sheetPr>
    <tabColor rgb="FF782170"/>
    <pageSetUpPr fitToPage="1"/>
  </sheetPr>
  <dimension ref="A1:K47"/>
  <sheetViews>
    <sheetView workbookViewId="0"/>
  </sheetViews>
  <sheetFormatPr defaultColWidth="10.85546875" defaultRowHeight="18"/>
  <cols>
    <col min="1" max="1" width="40" style="114" customWidth="1"/>
    <col min="2" max="2" width="38.85546875" style="114" customWidth="1"/>
    <col min="3" max="3" width="39.5703125" style="114" customWidth="1"/>
    <col min="4" max="4" width="42.7109375" style="114" bestFit="1" customWidth="1"/>
    <col min="5" max="5" width="44.5703125" style="114" customWidth="1"/>
    <col min="6" max="6" width="53" style="114" bestFit="1" customWidth="1"/>
    <col min="7" max="7" width="49" style="114" bestFit="1" customWidth="1"/>
    <col min="8" max="8" width="8.28515625" style="114" customWidth="1"/>
    <col min="9" max="9" width="37.5703125" style="114" customWidth="1"/>
    <col min="10" max="10" width="34.7109375" style="114" customWidth="1"/>
    <col min="11" max="11" width="10.28515625" style="114" bestFit="1" customWidth="1"/>
    <col min="12" max="16384" width="10.85546875" style="114"/>
  </cols>
  <sheetData>
    <row r="1" spans="1:11">
      <c r="A1" s="124" t="s">
        <v>909</v>
      </c>
      <c r="B1" s="121" t="s">
        <v>910</v>
      </c>
      <c r="C1" s="123" t="s">
        <v>911</v>
      </c>
      <c r="D1" s="121" t="s">
        <v>912</v>
      </c>
      <c r="E1" s="41"/>
      <c r="F1" s="41"/>
      <c r="G1" s="41"/>
      <c r="H1" s="41"/>
      <c r="I1" s="41"/>
      <c r="J1" s="41"/>
    </row>
    <row r="2" spans="1:11">
      <c r="A2" s="62" t="s">
        <v>360</v>
      </c>
      <c r="B2" s="61" t="s">
        <v>361</v>
      </c>
      <c r="C2" s="60" t="s">
        <v>362</v>
      </c>
      <c r="D2" s="59"/>
      <c r="E2" s="41"/>
      <c r="F2" s="41"/>
      <c r="G2" s="41"/>
      <c r="H2" s="41"/>
      <c r="I2" s="41"/>
      <c r="J2" s="41"/>
    </row>
    <row r="3" spans="1:11">
      <c r="A3" s="3" t="s">
        <v>61</v>
      </c>
      <c r="B3" s="3" t="s">
        <v>267</v>
      </c>
      <c r="C3" s="3" t="s">
        <v>268</v>
      </c>
      <c r="D3" s="121" t="s">
        <v>135</v>
      </c>
      <c r="E3" s="121" t="s">
        <v>913</v>
      </c>
      <c r="F3" s="121" t="s">
        <v>137</v>
      </c>
      <c r="H3" s="59"/>
      <c r="I3" s="41"/>
      <c r="J3" s="41"/>
      <c r="K3" s="41"/>
    </row>
    <row r="4" spans="1:11">
      <c r="A4" s="1" t="s">
        <v>270</v>
      </c>
      <c r="B4" s="1" t="s">
        <v>271</v>
      </c>
      <c r="C4" s="1" t="s">
        <v>914</v>
      </c>
      <c r="D4" s="59" t="s">
        <v>138</v>
      </c>
      <c r="E4" s="59" t="s">
        <v>915</v>
      </c>
      <c r="F4" s="59" t="s">
        <v>916</v>
      </c>
      <c r="G4" s="59"/>
      <c r="H4" s="59"/>
      <c r="I4" s="58"/>
      <c r="J4" s="41"/>
    </row>
    <row r="5" spans="1:11">
      <c r="A5" s="1" t="s">
        <v>274</v>
      </c>
      <c r="B5" s="1" t="s">
        <v>275</v>
      </c>
      <c r="C5" s="1" t="s">
        <v>190</v>
      </c>
      <c r="D5" s="59" t="s">
        <v>917</v>
      </c>
      <c r="E5" s="59" t="s">
        <v>143</v>
      </c>
      <c r="F5" s="59" t="s">
        <v>918</v>
      </c>
      <c r="G5" s="59"/>
      <c r="H5" s="59"/>
      <c r="I5" s="58"/>
      <c r="J5" s="59"/>
    </row>
    <row r="6" spans="1:11">
      <c r="A6" s="1" t="s">
        <v>277</v>
      </c>
      <c r="B6" s="1" t="s">
        <v>278</v>
      </c>
      <c r="C6" s="1" t="s">
        <v>919</v>
      </c>
      <c r="D6" s="59" t="s">
        <v>920</v>
      </c>
      <c r="E6" s="59" t="s">
        <v>921</v>
      </c>
      <c r="F6" s="59" t="s">
        <v>148</v>
      </c>
      <c r="G6" s="59"/>
      <c r="H6" s="59"/>
      <c r="J6" s="59"/>
    </row>
    <row r="7" spans="1:11">
      <c r="A7" s="1"/>
      <c r="B7" s="1" t="s">
        <v>922</v>
      </c>
      <c r="C7" s="1" t="s">
        <v>923</v>
      </c>
      <c r="D7" s="59"/>
      <c r="E7" s="59" t="s">
        <v>924</v>
      </c>
      <c r="F7" s="59" t="s">
        <v>925</v>
      </c>
      <c r="G7" s="59"/>
      <c r="H7" s="59"/>
      <c r="J7" s="59"/>
    </row>
    <row r="8" spans="1:11">
      <c r="A8" s="59"/>
      <c r="B8" s="59"/>
      <c r="C8" s="59"/>
      <c r="D8" s="121"/>
      <c r="J8" s="59"/>
    </row>
    <row r="9" spans="1:11">
      <c r="A9" s="121" t="s">
        <v>346</v>
      </c>
      <c r="B9" s="122" t="s">
        <v>347</v>
      </c>
      <c r="C9" s="121" t="s">
        <v>348</v>
      </c>
      <c r="D9" s="121" t="s">
        <v>349</v>
      </c>
      <c r="E9" s="121" t="s">
        <v>350</v>
      </c>
      <c r="F9" s="121" t="s">
        <v>351</v>
      </c>
      <c r="G9" s="121" t="s">
        <v>352</v>
      </c>
      <c r="H9" s="121" t="s">
        <v>351</v>
      </c>
      <c r="I9" s="121" t="s">
        <v>353</v>
      </c>
      <c r="J9" s="121" t="s">
        <v>0</v>
      </c>
    </row>
    <row r="10" spans="1:11">
      <c r="A10" s="144">
        <v>46088</v>
      </c>
      <c r="B10" s="120">
        <f>'CHICLETS MASTER'!K4</f>
        <v>0.29166666666666669</v>
      </c>
      <c r="C10" s="144" t="str">
        <f>'CHICLETS MASTER'!$O$3</f>
        <v>WOOLLETT NEAR RIGHT</v>
      </c>
      <c r="D10" s="34" t="s">
        <v>926</v>
      </c>
      <c r="E10" s="144" t="str">
        <f>B4</f>
        <v>B1-ALAMEDA</v>
      </c>
      <c r="F10" s="34"/>
      <c r="G10" s="144" t="str">
        <f>B7</f>
        <v>B4-ELITE</v>
      </c>
      <c r="H10" s="34"/>
      <c r="I10" s="34" t="s">
        <v>633</v>
      </c>
      <c r="J10" s="34" t="s">
        <v>266</v>
      </c>
    </row>
    <row r="11" spans="1:11">
      <c r="A11" s="144">
        <v>46088</v>
      </c>
      <c r="B11" s="120">
        <f>'CHICLETS MASTER'!K5</f>
        <v>0.33333333333333298</v>
      </c>
      <c r="C11" s="144" t="str">
        <f>'CHICLETS MASTER'!$O$3</f>
        <v>WOOLLETT NEAR RIGHT</v>
      </c>
      <c r="D11" s="34" t="s">
        <v>927</v>
      </c>
      <c r="E11" s="144" t="str">
        <f>B5</f>
        <v>B2-INNIS ARDEN</v>
      </c>
      <c r="F11" s="34"/>
      <c r="G11" s="144" t="str">
        <f>B6</f>
        <v>B3-TROJAN GOLD</v>
      </c>
      <c r="H11" s="34"/>
      <c r="I11" s="34" t="s">
        <v>571</v>
      </c>
      <c r="J11" s="34" t="s">
        <v>266</v>
      </c>
    </row>
    <row r="12" spans="1:11">
      <c r="A12" s="144">
        <v>46088</v>
      </c>
      <c r="B12" s="120">
        <f>'CHICLETS MASTER'!K6</f>
        <v>0.375</v>
      </c>
      <c r="C12" s="144" t="str">
        <f>'CHICLETS MASTER'!$O$3</f>
        <v>WOOLLETT NEAR RIGHT</v>
      </c>
      <c r="D12" s="34" t="s">
        <v>928</v>
      </c>
      <c r="E12" s="144" t="str">
        <f>C4</f>
        <v>C1-PUGET SOUND POLO</v>
      </c>
      <c r="F12" s="34"/>
      <c r="G12" s="144" t="str">
        <f>C7</f>
        <v>C4-BREA OLINDA</v>
      </c>
      <c r="H12" s="34"/>
      <c r="I12" s="34" t="s">
        <v>794</v>
      </c>
      <c r="J12" s="34" t="s">
        <v>266</v>
      </c>
    </row>
    <row r="13" spans="1:11">
      <c r="A13" s="144">
        <v>46088</v>
      </c>
      <c r="B13" s="120">
        <f>'CHICLETS MASTER'!K7</f>
        <v>0.41666666666666702</v>
      </c>
      <c r="C13" s="144" t="str">
        <f>'CHICLETS MASTER'!$O$3</f>
        <v>WOOLLETT NEAR RIGHT</v>
      </c>
      <c r="D13" s="34" t="s">
        <v>929</v>
      </c>
      <c r="E13" s="144" t="str">
        <f>C5</f>
        <v>C2-VANGUARD SILVER</v>
      </c>
      <c r="F13" s="34"/>
      <c r="G13" s="144" t="str">
        <f>C6</f>
        <v>C3-TRILOGY BLACK</v>
      </c>
      <c r="H13" s="34"/>
      <c r="I13" s="34" t="s">
        <v>587</v>
      </c>
      <c r="J13" s="34" t="s">
        <v>266</v>
      </c>
    </row>
    <row r="14" spans="1:11">
      <c r="A14" s="144">
        <v>46088</v>
      </c>
      <c r="B14" s="120">
        <f>'CHICLETS MASTER'!K7</f>
        <v>0.41666666666666702</v>
      </c>
      <c r="C14" s="144" t="str">
        <f>'CHICLETS MASTER'!L3</f>
        <v>WOOLLETT NEAR LEFT</v>
      </c>
      <c r="D14" s="34" t="s">
        <v>930</v>
      </c>
      <c r="E14" s="144" t="str">
        <f>A5</f>
        <v>A2-DEVILS GATE</v>
      </c>
      <c r="F14" s="34"/>
      <c r="G14" s="144" t="str">
        <f>A6</f>
        <v>A3-CHANNEL ISLANDS UNITED BLUE</v>
      </c>
      <c r="H14" s="34"/>
      <c r="I14" s="34" t="s">
        <v>569</v>
      </c>
      <c r="J14" s="34" t="s">
        <v>266</v>
      </c>
    </row>
    <row r="15" spans="1:11">
      <c r="A15" s="144">
        <v>46088</v>
      </c>
      <c r="B15" s="120">
        <f>'CHICLETS MASTER'!K8</f>
        <v>0.45833333333333298</v>
      </c>
      <c r="C15" s="144" t="str">
        <f>'CHICLETS MASTER'!$O$3</f>
        <v>WOOLLETT NEAR RIGHT</v>
      </c>
      <c r="D15" s="34" t="s">
        <v>931</v>
      </c>
      <c r="E15" s="144" t="str">
        <f>B4</f>
        <v>B1-ALAMEDA</v>
      </c>
      <c r="F15" s="34"/>
      <c r="G15" s="144" t="str">
        <f>B6</f>
        <v>B3-TROJAN GOLD</v>
      </c>
      <c r="H15" s="34"/>
      <c r="I15" s="34" t="s">
        <v>565</v>
      </c>
      <c r="J15" s="34" t="s">
        <v>266</v>
      </c>
    </row>
    <row r="16" spans="1:11">
      <c r="A16" s="144">
        <v>46088</v>
      </c>
      <c r="B16" s="120">
        <f>'CHICLETS MASTER'!K9</f>
        <v>0.5</v>
      </c>
      <c r="C16" s="144" t="str">
        <f>'CHICLETS MASTER'!$O$3</f>
        <v>WOOLLETT NEAR RIGHT</v>
      </c>
      <c r="D16" s="34" t="s">
        <v>932</v>
      </c>
      <c r="E16" s="144" t="str">
        <f>B5</f>
        <v>B2-INNIS ARDEN</v>
      </c>
      <c r="F16" s="34"/>
      <c r="G16" s="144" t="str">
        <f>B7</f>
        <v>B4-ELITE</v>
      </c>
      <c r="H16" s="34"/>
      <c r="I16" s="34" t="s">
        <v>639</v>
      </c>
      <c r="J16" s="34" t="s">
        <v>266</v>
      </c>
    </row>
    <row r="17" spans="1:10">
      <c r="A17" s="144">
        <v>46088</v>
      </c>
      <c r="B17" s="120">
        <f>'CHICLETS MASTER'!K10</f>
        <v>0.54166666666666696</v>
      </c>
      <c r="C17" s="144" t="str">
        <f>'CHICLETS MASTER'!$O$3</f>
        <v>WOOLLETT NEAR RIGHT</v>
      </c>
      <c r="D17" s="34" t="s">
        <v>933</v>
      </c>
      <c r="E17" s="144" t="str">
        <f>A4</f>
        <v>A1-ORWP A</v>
      </c>
      <c r="F17" s="34"/>
      <c r="G17" s="144" t="str">
        <f>A6</f>
        <v>A3-CHANNEL ISLANDS UNITED BLUE</v>
      </c>
      <c r="H17" s="34"/>
      <c r="I17" s="34" t="s">
        <v>563</v>
      </c>
      <c r="J17" s="34" t="s">
        <v>266</v>
      </c>
    </row>
    <row r="18" spans="1:10">
      <c r="A18" s="144">
        <v>46088</v>
      </c>
      <c r="B18" s="120">
        <f>'CHICLETS MASTER'!K11</f>
        <v>0.58333333333333304</v>
      </c>
      <c r="C18" s="144" t="str">
        <f>'CHICLETS MASTER'!$O$3</f>
        <v>WOOLLETT NEAR RIGHT</v>
      </c>
      <c r="D18" s="34" t="s">
        <v>934</v>
      </c>
      <c r="E18" s="144" t="str">
        <f>C4</f>
        <v>C1-PUGET SOUND POLO</v>
      </c>
      <c r="F18" s="34"/>
      <c r="G18" s="144" t="str">
        <f>C6</f>
        <v>C3-TRILOGY BLACK</v>
      </c>
      <c r="H18" s="34"/>
      <c r="I18" s="34" t="s">
        <v>581</v>
      </c>
      <c r="J18" s="34" t="s">
        <v>266</v>
      </c>
    </row>
    <row r="19" spans="1:10">
      <c r="A19" s="144">
        <v>46088</v>
      </c>
      <c r="B19" s="120">
        <f>'CHICLETS MASTER'!K12</f>
        <v>0.625</v>
      </c>
      <c r="C19" s="144" t="str">
        <f>'CHICLETS MASTER'!$O$3</f>
        <v>WOOLLETT NEAR RIGHT</v>
      </c>
      <c r="D19" s="34" t="s">
        <v>935</v>
      </c>
      <c r="E19" s="144" t="str">
        <f>C5</f>
        <v>C2-VANGUARD SILVER</v>
      </c>
      <c r="F19" s="34"/>
      <c r="G19" s="144" t="str">
        <f>C7</f>
        <v>C4-BREA OLINDA</v>
      </c>
      <c r="H19" s="34"/>
      <c r="I19" s="34" t="s">
        <v>806</v>
      </c>
      <c r="J19" s="34" t="s">
        <v>266</v>
      </c>
    </row>
    <row r="20" spans="1:10">
      <c r="A20" s="144">
        <v>46088</v>
      </c>
      <c r="B20" s="120">
        <f>'CHICLETS MASTER'!K13</f>
        <v>0.66666666666666696</v>
      </c>
      <c r="C20" s="144" t="str">
        <f>'CHICLETS MASTER'!$O$3</f>
        <v>WOOLLETT NEAR RIGHT</v>
      </c>
      <c r="D20" s="34" t="s">
        <v>936</v>
      </c>
      <c r="E20" s="144" t="str">
        <f>A4</f>
        <v>A1-ORWP A</v>
      </c>
      <c r="F20" s="34"/>
      <c r="G20" s="144" t="str">
        <f>A5</f>
        <v>A2-DEVILS GATE</v>
      </c>
      <c r="H20" s="34"/>
      <c r="I20" s="34" t="s">
        <v>575</v>
      </c>
      <c r="J20" s="34" t="s">
        <v>266</v>
      </c>
    </row>
    <row r="21" spans="1:10">
      <c r="A21" s="116"/>
      <c r="B21" s="59"/>
      <c r="C21" s="116"/>
    </row>
    <row r="22" spans="1:10">
      <c r="A22" s="118"/>
      <c r="B22" s="119"/>
      <c r="C22" s="118"/>
      <c r="D22" s="117"/>
      <c r="E22" s="117"/>
      <c r="F22" s="117"/>
      <c r="G22" s="117"/>
      <c r="H22" s="117"/>
      <c r="I22" s="117"/>
      <c r="J22" s="117"/>
    </row>
    <row r="23" spans="1:10">
      <c r="A23" s="116"/>
      <c r="B23" s="59"/>
      <c r="C23" s="116"/>
      <c r="H23" s="59"/>
      <c r="I23" s="59"/>
    </row>
    <row r="24" spans="1:10">
      <c r="A24" s="144">
        <v>46089</v>
      </c>
      <c r="B24" s="120">
        <f>'CHICLETS MASTER'!K31</f>
        <v>0.33333333333333298</v>
      </c>
      <c r="C24" s="144" t="str">
        <f>'CHICLETS MASTER'!$N$29</f>
        <v>COSTA MESA HS 1</v>
      </c>
      <c r="D24" s="34" t="s">
        <v>937</v>
      </c>
      <c r="E24" s="144" t="str">
        <f>B6</f>
        <v>B3-TROJAN GOLD</v>
      </c>
      <c r="F24" s="34"/>
      <c r="G24" s="144" t="str">
        <f>B7</f>
        <v>B4-ELITE</v>
      </c>
      <c r="H24" s="34"/>
      <c r="I24" s="34" t="s">
        <v>643</v>
      </c>
      <c r="J24" s="34" t="s">
        <v>266</v>
      </c>
    </row>
    <row r="25" spans="1:10">
      <c r="A25" s="144">
        <v>46089</v>
      </c>
      <c r="B25" s="120">
        <f>'CHICLETS MASTER'!K31</f>
        <v>0.33333333333333298</v>
      </c>
      <c r="C25" s="144" t="str">
        <f>'CHICLETS MASTER'!$O$29</f>
        <v>WOOLLETT NEAR RIGHT</v>
      </c>
      <c r="D25" s="34" t="s">
        <v>938</v>
      </c>
      <c r="E25" s="144" t="str">
        <f>C6</f>
        <v>C3-TRILOGY BLACK</v>
      </c>
      <c r="F25" s="34"/>
      <c r="G25" s="144" t="str">
        <f>C7</f>
        <v>C4-BREA OLINDA</v>
      </c>
      <c r="H25" s="34"/>
      <c r="I25" s="34" t="s">
        <v>801</v>
      </c>
      <c r="J25" s="34" t="s">
        <v>266</v>
      </c>
    </row>
    <row r="26" spans="1:10">
      <c r="A26" s="144">
        <v>46089</v>
      </c>
      <c r="B26" s="120">
        <f>'CHICLETS MASTER'!K32</f>
        <v>0.375</v>
      </c>
      <c r="C26" s="144" t="str">
        <f>'CHICLETS MASTER'!$O$29</f>
        <v>WOOLLETT NEAR RIGHT</v>
      </c>
      <c r="D26" s="34" t="s">
        <v>939</v>
      </c>
      <c r="E26" s="144" t="str">
        <f>B4</f>
        <v>B1-ALAMEDA</v>
      </c>
      <c r="F26" s="34"/>
      <c r="G26" s="144" t="str">
        <f>B5</f>
        <v>B2-INNIS ARDEN</v>
      </c>
      <c r="H26" s="34"/>
      <c r="I26" s="34" t="s">
        <v>577</v>
      </c>
      <c r="J26" s="34" t="s">
        <v>266</v>
      </c>
    </row>
    <row r="27" spans="1:10">
      <c r="A27" s="144">
        <v>46089</v>
      </c>
      <c r="B27" s="120">
        <f>'CHICLETS MASTER'!K33</f>
        <v>0.41666666666666702</v>
      </c>
      <c r="C27" s="144" t="str">
        <f>'CHICLETS MASTER'!$O$29</f>
        <v>WOOLLETT NEAR RIGHT</v>
      </c>
      <c r="D27" s="34" t="s">
        <v>940</v>
      </c>
      <c r="E27" s="144" t="str">
        <f>C4</f>
        <v>C1-PUGET SOUND POLO</v>
      </c>
      <c r="F27" s="145"/>
      <c r="G27" s="144" t="str">
        <f>C5</f>
        <v>C2-VANGUARD SILVER</v>
      </c>
      <c r="H27" s="34"/>
      <c r="I27" s="34" t="s">
        <v>593</v>
      </c>
      <c r="J27" s="34" t="s">
        <v>266</v>
      </c>
    </row>
    <row r="28" spans="1:10">
      <c r="A28" s="144">
        <v>46089</v>
      </c>
      <c r="B28" s="120">
        <f>'CHICLETS MASTER'!K34</f>
        <v>0.45833333333333298</v>
      </c>
      <c r="C28" s="144" t="str">
        <f>'CHICLETS MASTER'!$O$29</f>
        <v>WOOLLETT NEAR RIGHT</v>
      </c>
      <c r="D28" s="34" t="s">
        <v>941</v>
      </c>
      <c r="E28" s="144" t="str">
        <f>D4</f>
        <v>D1(1stA)-</v>
      </c>
      <c r="F28" s="34"/>
      <c r="G28" s="144" t="str">
        <f>F4</f>
        <v>F1(3rdB)-</v>
      </c>
      <c r="H28" s="34"/>
      <c r="I28" s="34" t="s">
        <v>397</v>
      </c>
      <c r="J28" s="34" t="s">
        <v>266</v>
      </c>
    </row>
    <row r="29" spans="1:10">
      <c r="A29" s="144">
        <v>46089</v>
      </c>
      <c r="B29" s="120">
        <f>'CHICLETS MASTER'!K35</f>
        <v>0.5</v>
      </c>
      <c r="C29" s="144" t="str">
        <f>'CHICLETS MASTER'!$O$29</f>
        <v>WOOLLETT NEAR RIGHT</v>
      </c>
      <c r="D29" s="34" t="s">
        <v>942</v>
      </c>
      <c r="E29" s="144" t="str">
        <f>D5</f>
        <v>D2(2ndA)-</v>
      </c>
      <c r="F29" s="34"/>
      <c r="G29" s="144" t="str">
        <f>F6</f>
        <v>F3(3rdC)-</v>
      </c>
      <c r="H29" s="34"/>
      <c r="I29" s="34" t="s">
        <v>397</v>
      </c>
      <c r="J29" s="34" t="s">
        <v>266</v>
      </c>
    </row>
    <row r="30" spans="1:10">
      <c r="A30" s="144">
        <v>46089</v>
      </c>
      <c r="B30" s="120">
        <f>'CHICLETS MASTER'!K36</f>
        <v>0.54166666666666696</v>
      </c>
      <c r="C30" s="144" t="str">
        <f>'CHICLETS MASTER'!$O$29</f>
        <v>WOOLLETT NEAR RIGHT</v>
      </c>
      <c r="D30" s="34" t="s">
        <v>943</v>
      </c>
      <c r="E30" s="144" t="str">
        <f>D6</f>
        <v>D3(3rdA)-</v>
      </c>
      <c r="F30" s="34"/>
      <c r="G30" s="144" t="str">
        <f>F5</f>
        <v>F2(4thB)-</v>
      </c>
      <c r="H30" s="34"/>
      <c r="I30" s="34" t="s">
        <v>397</v>
      </c>
      <c r="J30" s="34" t="s">
        <v>266</v>
      </c>
    </row>
    <row r="31" spans="1:10">
      <c r="A31" s="144">
        <v>46089</v>
      </c>
      <c r="B31" s="120">
        <f>'CHICLETS MASTER'!K37</f>
        <v>0.58333333333333304</v>
      </c>
      <c r="C31" s="144" t="str">
        <f>'CHICLETS MASTER'!$O$29</f>
        <v>WOOLLETT NEAR RIGHT</v>
      </c>
      <c r="D31" s="34" t="s">
        <v>944</v>
      </c>
      <c r="E31" s="144" t="str">
        <f>D4</f>
        <v>D1(1stA)-</v>
      </c>
      <c r="F31" s="34"/>
      <c r="G31" s="144" t="str">
        <f>F7</f>
        <v>F4(4thC)-</v>
      </c>
      <c r="H31" s="34"/>
      <c r="I31" s="34" t="s">
        <v>397</v>
      </c>
      <c r="J31" s="34" t="s">
        <v>266</v>
      </c>
    </row>
    <row r="32" spans="1:10">
      <c r="A32" s="144">
        <v>46089</v>
      </c>
      <c r="B32" s="120">
        <f>'CHICLETS MASTER'!K38</f>
        <v>0.625</v>
      </c>
      <c r="C32" s="144" t="str">
        <f>'CHICLETS MASTER'!$L$29</f>
        <v>WOOLLETT NEAR LEFT</v>
      </c>
      <c r="D32" s="34" t="s">
        <v>945</v>
      </c>
      <c r="E32" s="144" t="str">
        <f>E5</f>
        <v>E2(2ndB)-</v>
      </c>
      <c r="F32" s="34"/>
      <c r="G32" s="144" t="str">
        <f>E7</f>
        <v>E4(2ndC)-</v>
      </c>
      <c r="H32" s="34"/>
      <c r="I32" s="34" t="s">
        <v>946</v>
      </c>
      <c r="J32" s="34" t="s">
        <v>266</v>
      </c>
    </row>
    <row r="33" spans="1:10">
      <c r="A33" s="144">
        <v>46089</v>
      </c>
      <c r="B33" s="120">
        <f>'CHICLETS MASTER'!K38</f>
        <v>0.625</v>
      </c>
      <c r="C33" s="144" t="str">
        <f>'CHICLETS MASTER'!$O$29</f>
        <v>WOOLLETT NEAR RIGHT</v>
      </c>
      <c r="D33" s="34" t="s">
        <v>947</v>
      </c>
      <c r="E33" s="144" t="str">
        <f>D5</f>
        <v>D2(2ndA)-</v>
      </c>
      <c r="F33" s="34"/>
      <c r="G33" s="144" t="str">
        <f>F4</f>
        <v>F1(3rdB)-</v>
      </c>
      <c r="H33" s="34"/>
      <c r="I33" s="34" t="s">
        <v>397</v>
      </c>
      <c r="J33" s="34" t="s">
        <v>266</v>
      </c>
    </row>
    <row r="34" spans="1:10">
      <c r="A34" s="144">
        <v>46089</v>
      </c>
      <c r="B34" s="120">
        <f>'CHICLETS MASTER'!K39</f>
        <v>0.66666666666666696</v>
      </c>
      <c r="C34" s="144" t="str">
        <f>'CHICLETS MASTER'!$L$29</f>
        <v>WOOLLETT NEAR LEFT</v>
      </c>
      <c r="D34" s="34" t="s">
        <v>948</v>
      </c>
      <c r="E34" s="144" t="str">
        <f>E4</f>
        <v>E1(1stB)-</v>
      </c>
      <c r="F34" s="34"/>
      <c r="G34" s="144" t="str">
        <f>E6</f>
        <v>E3(1stC)-</v>
      </c>
      <c r="H34" s="34"/>
      <c r="I34" s="34" t="s">
        <v>949</v>
      </c>
      <c r="J34" s="34" t="s">
        <v>266</v>
      </c>
    </row>
    <row r="35" spans="1:10">
      <c r="A35" s="144">
        <v>46089</v>
      </c>
      <c r="B35" s="120">
        <f>'CHICLETS MASTER'!K39</f>
        <v>0.66666666666666696</v>
      </c>
      <c r="C35" s="144" t="str">
        <f>'CHICLETS MASTER'!$O$29</f>
        <v>WOOLLETT NEAR RIGHT</v>
      </c>
      <c r="D35" s="34" t="s">
        <v>950</v>
      </c>
      <c r="E35" s="144" t="str">
        <f>D6</f>
        <v>D3(3rdA)-</v>
      </c>
      <c r="F35" s="34"/>
      <c r="G35" s="144" t="str">
        <f>F7</f>
        <v>F4(4thC)-</v>
      </c>
      <c r="H35" s="34"/>
      <c r="I35" s="34" t="s">
        <v>397</v>
      </c>
      <c r="J35" s="34" t="s">
        <v>266</v>
      </c>
    </row>
    <row r="37" spans="1:10">
      <c r="I37" s="114" t="s">
        <v>951</v>
      </c>
    </row>
    <row r="38" spans="1:10">
      <c r="I38" s="115" t="s">
        <v>414</v>
      </c>
      <c r="J38" s="115"/>
    </row>
    <row r="39" spans="1:10">
      <c r="I39" s="115" t="s">
        <v>415</v>
      </c>
      <c r="J39" s="115"/>
    </row>
    <row r="40" spans="1:10">
      <c r="I40" s="115" t="s">
        <v>416</v>
      </c>
      <c r="J40" s="115"/>
    </row>
    <row r="42" spans="1:10">
      <c r="B42" s="41"/>
      <c r="I42" s="114" t="s">
        <v>952</v>
      </c>
    </row>
    <row r="43" spans="1:10">
      <c r="B43" s="41"/>
      <c r="I43" s="115" t="s">
        <v>414</v>
      </c>
      <c r="J43" s="115"/>
    </row>
    <row r="44" spans="1:10">
      <c r="B44" s="41"/>
      <c r="I44" s="115" t="s">
        <v>415</v>
      </c>
      <c r="J44" s="115"/>
    </row>
    <row r="45" spans="1:10">
      <c r="B45" s="41"/>
      <c r="I45" s="115" t="s">
        <v>416</v>
      </c>
      <c r="J45" s="115"/>
    </row>
    <row r="46" spans="1:10">
      <c r="B46" s="41"/>
    </row>
    <row r="47" spans="1:10">
      <c r="B47" s="41"/>
    </row>
  </sheetData>
  <hyperlinks>
    <hyperlink ref="B2" r:id="rId1" xr:uid="{3F40CF1F-20FE-4CBB-9B0B-BC594AFFA48F}"/>
    <hyperlink ref="C2" r:id="rId2" xr:uid="{5984BAFD-B946-4238-AA20-45E7CC60B2E8}"/>
  </hyperlinks>
  <pageMargins left="0.7" right="0.7" top="0.75" bottom="0.75" header="0.3" footer="0.3"/>
  <pageSetup scale="61" orientation="landscape"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9BEF-5161-4665-8651-083C31BD206F}">
  <sheetPr>
    <tabColor rgb="FF782170"/>
    <pageSetUpPr fitToPage="1"/>
  </sheetPr>
  <dimension ref="A1:K42"/>
  <sheetViews>
    <sheetView workbookViewId="0"/>
  </sheetViews>
  <sheetFormatPr defaultColWidth="9.140625" defaultRowHeight="18"/>
  <cols>
    <col min="1" max="1" width="41.42578125" style="41" customWidth="1"/>
    <col min="2" max="2" width="31.5703125" style="41" customWidth="1"/>
    <col min="3" max="3" width="34.85546875" style="41" customWidth="1"/>
    <col min="4" max="5" width="45" style="41" bestFit="1" customWidth="1"/>
    <col min="6" max="6" width="13.42578125" style="41" bestFit="1" customWidth="1"/>
    <col min="7" max="7" width="44.28515625" style="41" customWidth="1"/>
    <col min="8" max="8" width="25.85546875" style="41" bestFit="1" customWidth="1"/>
    <col min="9" max="9" width="36.5703125" style="41" customWidth="1"/>
    <col min="10" max="10" width="46.85546875" style="41" customWidth="1"/>
    <col min="11" max="16384" width="9.140625" style="41"/>
  </cols>
  <sheetData>
    <row r="1" spans="1:10">
      <c r="A1" s="104" t="s">
        <v>909</v>
      </c>
      <c r="B1" s="104" t="s">
        <v>953</v>
      </c>
      <c r="C1" s="103" t="s">
        <v>911</v>
      </c>
      <c r="D1" s="52" t="s">
        <v>954</v>
      </c>
      <c r="E1" s="52" t="s">
        <v>955</v>
      </c>
    </row>
    <row r="2" spans="1:10">
      <c r="A2" s="62" t="s">
        <v>360</v>
      </c>
      <c r="B2" s="61" t="s">
        <v>361</v>
      </c>
      <c r="C2" s="60" t="s">
        <v>362</v>
      </c>
      <c r="D2" s="52"/>
      <c r="E2" s="52"/>
    </row>
    <row r="3" spans="1:10">
      <c r="A3" s="3" t="s">
        <v>61</v>
      </c>
      <c r="B3" s="3" t="s">
        <v>267</v>
      </c>
      <c r="C3" s="3" t="s">
        <v>268</v>
      </c>
      <c r="D3" s="80"/>
      <c r="F3" s="79"/>
      <c r="H3" s="80"/>
      <c r="I3" s="80"/>
      <c r="J3" s="80"/>
    </row>
    <row r="4" spans="1:10">
      <c r="A4" s="1" t="s">
        <v>270</v>
      </c>
      <c r="B4" s="1" t="s">
        <v>271</v>
      </c>
      <c r="C4" s="1" t="s">
        <v>272</v>
      </c>
      <c r="D4" s="79" t="s">
        <v>956</v>
      </c>
      <c r="E4" s="41" t="s">
        <v>957</v>
      </c>
      <c r="F4" s="79"/>
      <c r="G4" s="41" t="s">
        <v>958</v>
      </c>
      <c r="H4" s="79"/>
      <c r="I4" s="79"/>
      <c r="J4" s="79"/>
    </row>
    <row r="5" spans="1:10">
      <c r="A5" s="1" t="s">
        <v>274</v>
      </c>
      <c r="B5" s="1" t="s">
        <v>275</v>
      </c>
      <c r="C5" s="1" t="s">
        <v>276</v>
      </c>
      <c r="D5" s="79" t="s">
        <v>959</v>
      </c>
      <c r="E5" s="41" t="s">
        <v>960</v>
      </c>
      <c r="F5" s="79"/>
      <c r="G5" s="41" t="s">
        <v>961</v>
      </c>
      <c r="H5" s="79"/>
      <c r="I5" s="79"/>
      <c r="J5" s="79"/>
    </row>
    <row r="6" spans="1:10">
      <c r="A6" s="1" t="s">
        <v>277</v>
      </c>
      <c r="B6" s="1" t="s">
        <v>278</v>
      </c>
      <c r="C6" s="1" t="s">
        <v>279</v>
      </c>
      <c r="D6" s="79" t="s">
        <v>962</v>
      </c>
      <c r="E6" s="41" t="s">
        <v>963</v>
      </c>
      <c r="G6" s="41" t="s">
        <v>964</v>
      </c>
      <c r="J6" s="79"/>
    </row>
    <row r="7" spans="1:10">
      <c r="A7" s="1"/>
      <c r="B7" s="1"/>
      <c r="C7" s="1" t="s">
        <v>280</v>
      </c>
      <c r="D7" s="79"/>
      <c r="E7" s="79"/>
      <c r="F7" s="79"/>
      <c r="G7" s="79" t="s">
        <v>965</v>
      </c>
      <c r="H7" s="79"/>
      <c r="I7" s="79"/>
      <c r="J7" s="79"/>
    </row>
    <row r="8" spans="1:10">
      <c r="A8" s="79"/>
      <c r="B8" s="79"/>
      <c r="C8" s="79"/>
      <c r="D8" s="79"/>
      <c r="E8" s="79"/>
      <c r="F8" s="79"/>
      <c r="G8" s="79"/>
      <c r="H8" s="79"/>
      <c r="I8" s="79"/>
      <c r="J8" s="79"/>
    </row>
    <row r="9" spans="1:10">
      <c r="A9" s="102" t="s">
        <v>346</v>
      </c>
      <c r="B9" s="101" t="s">
        <v>347</v>
      </c>
      <c r="C9" s="101" t="s">
        <v>348</v>
      </c>
      <c r="D9" s="101" t="s">
        <v>349</v>
      </c>
      <c r="E9" s="101" t="s">
        <v>350</v>
      </c>
      <c r="F9" s="101" t="s">
        <v>351</v>
      </c>
      <c r="G9" s="101" t="s">
        <v>352</v>
      </c>
      <c r="H9" s="101" t="s">
        <v>351</v>
      </c>
      <c r="I9" s="101" t="s">
        <v>353</v>
      </c>
      <c r="J9" s="100" t="s">
        <v>0</v>
      </c>
    </row>
    <row r="10" spans="1:10">
      <c r="A10" s="157">
        <v>46088</v>
      </c>
      <c r="B10" s="158">
        <f>'CHICLETS MASTER'!K4</f>
        <v>0.29166666666666669</v>
      </c>
      <c r="C10" s="158" t="str">
        <f>'CHICLETS MASTER'!$O$3</f>
        <v>WOOLLETT NEAR RIGHT</v>
      </c>
      <c r="D10" s="159" t="s">
        <v>926</v>
      </c>
      <c r="E10" s="158" t="str">
        <f>A4</f>
        <v>A1-ORWP A</v>
      </c>
      <c r="F10" s="159">
        <v>15</v>
      </c>
      <c r="G10" s="159" t="str">
        <f>A5</f>
        <v>A2-DEVILS GATE</v>
      </c>
      <c r="H10" s="159">
        <v>6</v>
      </c>
      <c r="I10" s="159" t="s">
        <v>575</v>
      </c>
      <c r="J10" s="159" t="s">
        <v>266</v>
      </c>
    </row>
    <row r="11" spans="1:10">
      <c r="A11" s="157">
        <v>46088</v>
      </c>
      <c r="B11" s="158">
        <f>'CHICLETS MASTER'!K5</f>
        <v>0.33333333333333298</v>
      </c>
      <c r="C11" s="158" t="str">
        <f>'CHICLETS MASTER'!$O$3</f>
        <v>WOOLLETT NEAR RIGHT</v>
      </c>
      <c r="D11" s="159" t="s">
        <v>927</v>
      </c>
      <c r="E11" s="159" t="str">
        <f>B4</f>
        <v>B1-ALAMEDA</v>
      </c>
      <c r="F11" s="159">
        <v>15</v>
      </c>
      <c r="G11" s="159" t="str">
        <f>B5</f>
        <v>B2-INNIS ARDEN</v>
      </c>
      <c r="H11" s="159">
        <v>8</v>
      </c>
      <c r="I11" s="159" t="s">
        <v>577</v>
      </c>
      <c r="J11" s="159" t="s">
        <v>266</v>
      </c>
    </row>
    <row r="12" spans="1:10">
      <c r="A12" s="157">
        <v>46088</v>
      </c>
      <c r="B12" s="158">
        <f>'CHICLETS MASTER'!K6</f>
        <v>0.375</v>
      </c>
      <c r="C12" s="158" t="str">
        <f>'CHICLETS MASTER'!$O$3</f>
        <v>WOOLLETT NEAR RIGHT</v>
      </c>
      <c r="D12" s="159" t="s">
        <v>928</v>
      </c>
      <c r="E12" s="159" t="str">
        <f>C4</f>
        <v>C1-VANGUARD SILVER</v>
      </c>
      <c r="F12" s="159">
        <v>22</v>
      </c>
      <c r="G12" s="159" t="str">
        <f>C7</f>
        <v>C4-ELITE</v>
      </c>
      <c r="H12" s="159">
        <v>5</v>
      </c>
      <c r="I12" s="159" t="s">
        <v>794</v>
      </c>
      <c r="J12" s="159" t="s">
        <v>266</v>
      </c>
    </row>
    <row r="13" spans="1:10">
      <c r="A13" s="157">
        <v>46088</v>
      </c>
      <c r="B13" s="158">
        <f>'CHICLETS MASTER'!K7</f>
        <v>0.41666666666666702</v>
      </c>
      <c r="C13" s="158" t="str">
        <f>'CHICLETS MASTER'!$O$3</f>
        <v>WOOLLETT NEAR RIGHT</v>
      </c>
      <c r="D13" s="159" t="s">
        <v>929</v>
      </c>
      <c r="E13" s="159" t="str">
        <f>C5</f>
        <v>C2-TRILOGY BLACK</v>
      </c>
      <c r="F13" s="159">
        <v>9</v>
      </c>
      <c r="G13" s="159" t="str">
        <f>C6</f>
        <v>C3-BREA OLINDA</v>
      </c>
      <c r="H13" s="159">
        <v>11</v>
      </c>
      <c r="I13" s="159" t="s">
        <v>587</v>
      </c>
      <c r="J13" s="159" t="s">
        <v>266</v>
      </c>
    </row>
    <row r="14" spans="1:10">
      <c r="A14" s="157">
        <v>46088</v>
      </c>
      <c r="B14" s="158">
        <f>'CHICLETS MASTER'!K8</f>
        <v>0.45833333333333298</v>
      </c>
      <c r="C14" s="158" t="str">
        <f>'CHICLETS MASTER'!$O$3</f>
        <v>WOOLLETT NEAR RIGHT</v>
      </c>
      <c r="D14" s="157" t="s">
        <v>930</v>
      </c>
      <c r="E14" s="158" t="str">
        <f>A5</f>
        <v>A2-DEVILS GATE</v>
      </c>
      <c r="F14" s="159">
        <v>10</v>
      </c>
      <c r="G14" s="159" t="str">
        <f>A6</f>
        <v>A3-CHANNEL ISLANDS UNITED BLUE</v>
      </c>
      <c r="H14" s="159">
        <v>11</v>
      </c>
      <c r="I14" s="159" t="s">
        <v>569</v>
      </c>
      <c r="J14" s="159" t="s">
        <v>266</v>
      </c>
    </row>
    <row r="15" spans="1:10">
      <c r="A15" s="157">
        <v>46088</v>
      </c>
      <c r="B15" s="158">
        <f>'CHICLETS MASTER'!K9</f>
        <v>0.5</v>
      </c>
      <c r="C15" s="158" t="str">
        <f>'CHICLETS MASTER'!$O$3</f>
        <v>WOOLLETT NEAR RIGHT</v>
      </c>
      <c r="D15" s="157" t="s">
        <v>931</v>
      </c>
      <c r="E15" s="158" t="str">
        <f>B5</f>
        <v>B2-INNIS ARDEN</v>
      </c>
      <c r="F15" s="159">
        <v>5</v>
      </c>
      <c r="G15" s="159" t="str">
        <f>B6</f>
        <v>B3-TROJAN GOLD</v>
      </c>
      <c r="H15" s="159">
        <v>14</v>
      </c>
      <c r="I15" s="159" t="s">
        <v>571</v>
      </c>
      <c r="J15" s="159" t="s">
        <v>266</v>
      </c>
    </row>
    <row r="16" spans="1:10">
      <c r="A16" s="157">
        <v>46088</v>
      </c>
      <c r="B16" s="158">
        <f>'CHICLETS MASTER'!K10</f>
        <v>0.54166666666666696</v>
      </c>
      <c r="C16" s="158" t="str">
        <f>'CHICLETS MASTER'!$O$3</f>
        <v>WOOLLETT NEAR RIGHT</v>
      </c>
      <c r="D16" s="157" t="s">
        <v>932</v>
      </c>
      <c r="E16" s="158" t="str">
        <f>C4</f>
        <v>C1-VANGUARD SILVER</v>
      </c>
      <c r="F16" s="159">
        <v>15</v>
      </c>
      <c r="G16" s="159" t="str">
        <f>C5</f>
        <v>C2-TRILOGY BLACK</v>
      </c>
      <c r="H16" s="159">
        <v>4</v>
      </c>
      <c r="I16" s="159" t="s">
        <v>593</v>
      </c>
      <c r="J16" s="159" t="s">
        <v>266</v>
      </c>
    </row>
    <row r="17" spans="1:10">
      <c r="A17" s="157">
        <v>46088</v>
      </c>
      <c r="B17" s="158">
        <f>'CHICLETS MASTER'!K11</f>
        <v>0.58333333333333304</v>
      </c>
      <c r="C17" s="158" t="str">
        <f>'CHICLETS MASTER'!$O$3</f>
        <v>WOOLLETT NEAR RIGHT</v>
      </c>
      <c r="D17" s="157" t="s">
        <v>933</v>
      </c>
      <c r="E17" s="158" t="str">
        <f>C6</f>
        <v>C3-BREA OLINDA</v>
      </c>
      <c r="F17" s="159">
        <v>11.4</v>
      </c>
      <c r="G17" s="159" t="str">
        <f>C7</f>
        <v>C4-ELITE</v>
      </c>
      <c r="H17" s="159">
        <v>11.5</v>
      </c>
      <c r="I17" s="159" t="s">
        <v>801</v>
      </c>
      <c r="J17" s="159" t="s">
        <v>266</v>
      </c>
    </row>
    <row r="18" spans="1:10">
      <c r="A18" s="157">
        <v>46088</v>
      </c>
      <c r="B18" s="158">
        <f>'CHICLETS MASTER'!K12</f>
        <v>0.625</v>
      </c>
      <c r="C18" s="158" t="str">
        <f>'CHICLETS MASTER'!$O$3</f>
        <v>WOOLLETT NEAR RIGHT</v>
      </c>
      <c r="D18" s="157" t="s">
        <v>934</v>
      </c>
      <c r="E18" s="159" t="str">
        <f>A4</f>
        <v>A1-ORWP A</v>
      </c>
      <c r="F18" s="159">
        <v>10</v>
      </c>
      <c r="G18" s="159" t="str">
        <f>A6</f>
        <v>A3-CHANNEL ISLANDS UNITED BLUE</v>
      </c>
      <c r="H18" s="159">
        <v>6</v>
      </c>
      <c r="I18" s="159" t="s">
        <v>563</v>
      </c>
      <c r="J18" s="159" t="s">
        <v>266</v>
      </c>
    </row>
    <row r="19" spans="1:10">
      <c r="A19" s="157">
        <v>46088</v>
      </c>
      <c r="B19" s="158">
        <f>'CHICLETS MASTER'!K13</f>
        <v>0.66666666666666696</v>
      </c>
      <c r="C19" s="158" t="str">
        <f>'CHICLETS MASTER'!$O$3</f>
        <v>WOOLLETT NEAR RIGHT</v>
      </c>
      <c r="D19" s="157" t="s">
        <v>935</v>
      </c>
      <c r="E19" s="158" t="str">
        <f>B4</f>
        <v>B1-ALAMEDA</v>
      </c>
      <c r="F19" s="159">
        <v>7</v>
      </c>
      <c r="G19" s="159" t="str">
        <f>B6</f>
        <v>B3-TROJAN GOLD</v>
      </c>
      <c r="H19" s="159">
        <v>4</v>
      </c>
      <c r="I19" s="159" t="s">
        <v>565</v>
      </c>
      <c r="J19" s="159" t="s">
        <v>266</v>
      </c>
    </row>
    <row r="20" spans="1:10">
      <c r="A20" s="96"/>
      <c r="B20" s="95"/>
      <c r="C20" s="79"/>
      <c r="J20" s="79"/>
    </row>
    <row r="21" spans="1:10">
      <c r="A21" s="99"/>
      <c r="B21" s="98"/>
      <c r="C21" s="97"/>
      <c r="D21" s="55"/>
      <c r="E21" s="55"/>
      <c r="F21" s="55"/>
      <c r="G21" s="55"/>
      <c r="H21" s="97"/>
      <c r="I21" s="97"/>
      <c r="J21" s="97"/>
    </row>
    <row r="22" spans="1:10">
      <c r="A22" s="96"/>
      <c r="B22" s="95"/>
      <c r="C22" s="79"/>
      <c r="H22" s="79"/>
      <c r="I22" s="79"/>
      <c r="J22" s="79"/>
    </row>
    <row r="23" spans="1:10">
      <c r="A23" s="157">
        <v>46089</v>
      </c>
      <c r="B23" s="158">
        <f>'CHICLETS MASTER'!K31</f>
        <v>0.33333333333333298</v>
      </c>
      <c r="C23" s="158" t="str">
        <f>'CHICLETS MASTER'!$O$29</f>
        <v>WOOLLETT NEAR RIGHT</v>
      </c>
      <c r="D23" s="157" t="s">
        <v>936</v>
      </c>
      <c r="E23" s="158" t="str">
        <f>C5</f>
        <v>C2-TRILOGY BLACK</v>
      </c>
      <c r="F23" s="159">
        <v>14</v>
      </c>
      <c r="G23" s="159" t="str">
        <f>C7</f>
        <v>C4-ELITE</v>
      </c>
      <c r="H23" s="159">
        <v>6</v>
      </c>
      <c r="I23" s="159" t="s">
        <v>806</v>
      </c>
      <c r="J23" s="159" t="s">
        <v>266</v>
      </c>
    </row>
    <row r="24" spans="1:10">
      <c r="A24" s="157">
        <v>46089</v>
      </c>
      <c r="B24" s="158">
        <f>'CHICLETS MASTER'!K32</f>
        <v>0.375</v>
      </c>
      <c r="C24" s="158" t="str">
        <f>'CHICLETS MASTER'!$O$29</f>
        <v>WOOLLETT NEAR RIGHT</v>
      </c>
      <c r="D24" s="157" t="s">
        <v>939</v>
      </c>
      <c r="E24" s="158" t="str">
        <f>C4</f>
        <v>C1-VANGUARD SILVER</v>
      </c>
      <c r="F24" s="159">
        <v>13</v>
      </c>
      <c r="G24" s="159" t="str">
        <f>C6</f>
        <v>C3-BREA OLINDA</v>
      </c>
      <c r="H24" s="159">
        <v>4</v>
      </c>
      <c r="I24" s="159" t="s">
        <v>581</v>
      </c>
      <c r="J24" s="159" t="s">
        <v>266</v>
      </c>
    </row>
    <row r="25" spans="1:10">
      <c r="A25" s="157">
        <v>46089</v>
      </c>
      <c r="B25" s="158">
        <f>'CHICLETS MASTER'!K33</f>
        <v>0.41666666666666702</v>
      </c>
      <c r="C25" s="158" t="str">
        <f>'CHICLETS MASTER'!$O$29</f>
        <v>WOOLLETT NEAR RIGHT</v>
      </c>
      <c r="D25" s="157" t="s">
        <v>940</v>
      </c>
      <c r="E25" s="158" t="str">
        <f>D5</f>
        <v>2ndA-CHANNEL ISLANDS UNITED BLUE</v>
      </c>
      <c r="F25" s="159">
        <v>13</v>
      </c>
      <c r="G25" s="159" t="str">
        <f>E4</f>
        <v>3rdB-INNIS ARDEN</v>
      </c>
      <c r="H25" s="159">
        <v>3</v>
      </c>
      <c r="I25" s="159" t="s">
        <v>397</v>
      </c>
      <c r="J25" s="159" t="s">
        <v>266</v>
      </c>
    </row>
    <row r="26" spans="1:10">
      <c r="A26" s="157">
        <v>46089</v>
      </c>
      <c r="B26" s="158">
        <f>'CHICLETS MASTER'!K34</f>
        <v>0.45833333333333298</v>
      </c>
      <c r="C26" s="158" t="str">
        <f>'CHICLETS MASTER'!$O$29</f>
        <v>WOOLLETT NEAR RIGHT</v>
      </c>
      <c r="D26" s="157" t="s">
        <v>937</v>
      </c>
      <c r="E26" s="158" t="str">
        <f>D6</f>
        <v>3rdA-DEVILS GATE</v>
      </c>
      <c r="F26" s="159">
        <v>17</v>
      </c>
      <c r="G26" s="159" t="str">
        <f>E5</f>
        <v>3rdC-TRILOGY BLACK</v>
      </c>
      <c r="H26" s="159">
        <v>15</v>
      </c>
      <c r="I26" s="159" t="s">
        <v>397</v>
      </c>
      <c r="J26" s="159" t="s">
        <v>266</v>
      </c>
    </row>
    <row r="27" spans="1:10">
      <c r="A27" s="157">
        <v>46089</v>
      </c>
      <c r="B27" s="158">
        <f>'CHICLETS MASTER'!K35</f>
        <v>0.5</v>
      </c>
      <c r="C27" s="158" t="str">
        <f>'CHICLETS MASTER'!$O$29</f>
        <v>WOOLLETT NEAR RIGHT</v>
      </c>
      <c r="D27" s="157" t="s">
        <v>938</v>
      </c>
      <c r="E27" s="158" t="str">
        <f>G5</f>
        <v>2ndB-TROJAN GOLD</v>
      </c>
      <c r="F27" s="159">
        <v>13</v>
      </c>
      <c r="G27" s="159" t="str">
        <f>G7</f>
        <v>2ndC-BREA OLINDA</v>
      </c>
      <c r="H27" s="159">
        <v>6</v>
      </c>
      <c r="I27" s="159" t="s">
        <v>966</v>
      </c>
      <c r="J27" s="159" t="s">
        <v>266</v>
      </c>
    </row>
    <row r="28" spans="1:10">
      <c r="A28" s="157">
        <v>46089</v>
      </c>
      <c r="B28" s="158">
        <f>'CHICLETS MASTER'!K36</f>
        <v>0.54166666666666696</v>
      </c>
      <c r="C28" s="158" t="str">
        <f>'CHICLETS MASTER'!$O$29</f>
        <v>WOOLLETT NEAR RIGHT</v>
      </c>
      <c r="D28" s="157" t="s">
        <v>941</v>
      </c>
      <c r="E28" s="158" t="str">
        <f>G4</f>
        <v>1stB-ALAMEDA</v>
      </c>
      <c r="F28" s="159">
        <v>9</v>
      </c>
      <c r="G28" s="159" t="str">
        <f>G6</f>
        <v>1stC-VANGUARD SILVER</v>
      </c>
      <c r="H28" s="159">
        <v>7</v>
      </c>
      <c r="I28" s="159" t="s">
        <v>967</v>
      </c>
      <c r="J28" s="159" t="s">
        <v>266</v>
      </c>
    </row>
    <row r="29" spans="1:10">
      <c r="A29" s="157">
        <v>46089</v>
      </c>
      <c r="B29" s="158">
        <f>'CHICLETS MASTER'!K37</f>
        <v>0.58333333333333304</v>
      </c>
      <c r="C29" s="158" t="str">
        <f>'CHICLETS MASTER'!$O$29</f>
        <v>WOOLLETT NEAR RIGHT</v>
      </c>
      <c r="D29" s="157" t="s">
        <v>942</v>
      </c>
      <c r="E29" s="158" t="str">
        <f>D4</f>
        <v>1stA-ORWP A</v>
      </c>
      <c r="F29" s="159">
        <v>10</v>
      </c>
      <c r="G29" s="159" t="str">
        <f>E4</f>
        <v>3rdB-INNIS ARDEN</v>
      </c>
      <c r="H29" s="159">
        <v>2</v>
      </c>
      <c r="I29" s="159" t="s">
        <v>397</v>
      </c>
      <c r="J29" s="159" t="s">
        <v>266</v>
      </c>
    </row>
    <row r="30" spans="1:10">
      <c r="A30" s="157">
        <v>46089</v>
      </c>
      <c r="B30" s="158">
        <f>'CHICLETS MASTER'!K38</f>
        <v>0.625</v>
      </c>
      <c r="C30" s="158" t="str">
        <f>'CHICLETS MASTER'!$O$29</f>
        <v>WOOLLETT NEAR RIGHT</v>
      </c>
      <c r="D30" s="157" t="s">
        <v>943</v>
      </c>
      <c r="E30" s="158" t="str">
        <f>D6</f>
        <v>3rdA-DEVILS GATE</v>
      </c>
      <c r="F30" s="159">
        <v>14</v>
      </c>
      <c r="G30" s="159" t="str">
        <f>E6</f>
        <v>4thC-ELITE</v>
      </c>
      <c r="H30" s="159">
        <v>9</v>
      </c>
      <c r="I30" s="159" t="s">
        <v>397</v>
      </c>
      <c r="J30" s="159" t="s">
        <v>266</v>
      </c>
    </row>
    <row r="31" spans="1:10">
      <c r="A31" s="157">
        <v>46089</v>
      </c>
      <c r="B31" s="158">
        <f>'CHICLETS MASTER'!K39</f>
        <v>0.66666666666666696</v>
      </c>
      <c r="C31" s="158" t="str">
        <f>'CHICLETS MASTER'!$O$29</f>
        <v>WOOLLETT NEAR RIGHT</v>
      </c>
      <c r="D31" s="157" t="s">
        <v>944</v>
      </c>
      <c r="E31" s="158" t="str">
        <f>D5</f>
        <v>2ndA-CHANNEL ISLANDS UNITED BLUE</v>
      </c>
      <c r="F31" s="159">
        <v>5</v>
      </c>
      <c r="G31" s="159" t="str">
        <f>G5</f>
        <v>2ndB-TROJAN GOLD</v>
      </c>
      <c r="H31" s="159">
        <v>8</v>
      </c>
      <c r="I31" s="159" t="s">
        <v>397</v>
      </c>
      <c r="J31" s="159" t="s">
        <v>266</v>
      </c>
    </row>
    <row r="32" spans="1:10">
      <c r="A32" s="157">
        <v>46089</v>
      </c>
      <c r="B32" s="158">
        <f>'CHICLETS MASTER'!K39</f>
        <v>0.66666666666666696</v>
      </c>
      <c r="C32" s="158" t="str">
        <f>'CHICLETS MASTER'!$L$29</f>
        <v>WOOLLETT NEAR LEFT</v>
      </c>
      <c r="D32" s="157" t="s">
        <v>945</v>
      </c>
      <c r="E32" s="158" t="str">
        <f>D4</f>
        <v>1stA-ORWP A</v>
      </c>
      <c r="F32" s="159">
        <v>4</v>
      </c>
      <c r="G32" s="159" t="str">
        <f>G4</f>
        <v>1stB-ALAMEDA</v>
      </c>
      <c r="H32" s="159">
        <v>8</v>
      </c>
      <c r="I32" s="159" t="s">
        <v>397</v>
      </c>
      <c r="J32" s="159" t="s">
        <v>266</v>
      </c>
    </row>
    <row r="34" spans="9:11">
      <c r="I34" s="41" t="s">
        <v>951</v>
      </c>
      <c r="J34" s="41" t="s">
        <v>968</v>
      </c>
    </row>
    <row r="35" spans="9:11">
      <c r="I35" s="159" t="s">
        <v>414</v>
      </c>
      <c r="J35" s="159" t="s">
        <v>13</v>
      </c>
      <c r="K35" s="41" t="s">
        <v>420</v>
      </c>
    </row>
    <row r="36" spans="9:11">
      <c r="I36" s="159" t="s">
        <v>415</v>
      </c>
      <c r="J36" s="159" t="s">
        <v>282</v>
      </c>
      <c r="K36" s="41" t="s">
        <v>420</v>
      </c>
    </row>
    <row r="37" spans="9:11">
      <c r="I37" s="159" t="s">
        <v>416</v>
      </c>
      <c r="J37" s="159" t="s">
        <v>213</v>
      </c>
      <c r="K37" s="41" t="s">
        <v>420</v>
      </c>
    </row>
    <row r="39" spans="9:11">
      <c r="I39" s="41" t="s">
        <v>952</v>
      </c>
      <c r="J39" s="41" t="s">
        <v>969</v>
      </c>
    </row>
    <row r="40" spans="9:11">
      <c r="I40" s="159" t="s">
        <v>414</v>
      </c>
      <c r="J40" s="159" t="str">
        <f>IF(F28="","W#16",IF(F28&gt;H28,_xlfn.CONCAT("W#16-",RIGHT(E28,LEN(E28) - FIND("-",E28))), _xlfn.CONCAT("W#16-",RIGHT(G28,LEN(G28) - FIND("-",G28)))))</f>
        <v>W#16-ALAMEDA</v>
      </c>
      <c r="K40" s="41" t="s">
        <v>420</v>
      </c>
    </row>
    <row r="41" spans="9:11">
      <c r="I41" s="159" t="s">
        <v>415</v>
      </c>
      <c r="J41" s="159" t="str">
        <f>IF(F28="","L#16",IF(F28&lt;H28,_xlfn.CONCAT("L#16-",RIGHT(E28,LEN(E28) - FIND("-",E28))), _xlfn.CONCAT("L#16-",RIGHT(G28,LEN(G28) - FIND("-",G28)))))</f>
        <v>L#16-VANGUARD SILVER</v>
      </c>
      <c r="K41" s="41" t="s">
        <v>420</v>
      </c>
    </row>
    <row r="42" spans="9:11">
      <c r="I42" s="159" t="s">
        <v>416</v>
      </c>
      <c r="J42" s="159" t="str">
        <f>IF(F27="","W#15",IF(F27&gt;H27,_xlfn.CONCAT("W#15-",RIGHT(E27,LEN(E27) - FIND("-",E27))), _xlfn.CONCAT("W#15-",RIGHT(G27,LEN(G27) - FIND("-",G27)))))</f>
        <v>W#15-TROJAN GOLD</v>
      </c>
      <c r="K42" s="41" t="s">
        <v>420</v>
      </c>
    </row>
  </sheetData>
  <hyperlinks>
    <hyperlink ref="B2" r:id="rId1" xr:uid="{5C1724FB-E8AB-42F2-8ED8-AEAB0F349BA2}"/>
    <hyperlink ref="C2" r:id="rId2" xr:uid="{B7E9691B-7BA0-4E11-97AE-1A630008163C}"/>
    <hyperlink ref="A2" r:id="rId3" xr:uid="{33409F89-A2BE-4131-855E-5B70F6BDE904}"/>
  </hyperlinks>
  <pageMargins left="0.7" right="0.7" top="0.75" bottom="0.75" header="0.3" footer="0.3"/>
  <pageSetup scale="92" orientation="landscape"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67AB-3283-48FD-9EC5-224783BFC214}">
  <sheetPr>
    <tabColor rgb="FF83C9B8"/>
    <pageSetUpPr fitToPage="1"/>
  </sheetPr>
  <dimension ref="A1:L38"/>
  <sheetViews>
    <sheetView workbookViewId="0"/>
  </sheetViews>
  <sheetFormatPr defaultColWidth="10.85546875" defaultRowHeight="18"/>
  <cols>
    <col min="1" max="1" width="46.42578125" style="51" customWidth="1"/>
    <col min="2" max="2" width="30.28515625" style="51" customWidth="1"/>
    <col min="3" max="3" width="30.7109375" style="51" bestFit="1" customWidth="1"/>
    <col min="4" max="4" width="17.85546875" style="51" customWidth="1"/>
    <col min="5" max="5" width="42" style="51" bestFit="1" customWidth="1"/>
    <col min="6" max="6" width="6.28515625" style="51" bestFit="1" customWidth="1"/>
    <col min="7" max="7" width="42" style="51" bestFit="1" customWidth="1"/>
    <col min="8" max="8" width="8.140625" style="51" customWidth="1"/>
    <col min="9" max="9" width="24.28515625" style="51" customWidth="1"/>
    <col min="10" max="10" width="39.85546875" style="51" bestFit="1" customWidth="1"/>
    <col min="11" max="16384" width="10.85546875" style="51"/>
  </cols>
  <sheetData>
    <row r="1" spans="1:10">
      <c r="A1" s="132" t="s">
        <v>970</v>
      </c>
      <c r="B1" s="134" t="s">
        <v>971</v>
      </c>
      <c r="C1" s="63" t="s">
        <v>880</v>
      </c>
      <c r="D1" s="132" t="s">
        <v>972</v>
      </c>
      <c r="E1" s="131"/>
      <c r="F1" s="131"/>
      <c r="G1" s="131"/>
      <c r="H1" s="131"/>
      <c r="I1" s="131"/>
      <c r="J1" s="131"/>
    </row>
    <row r="2" spans="1:10">
      <c r="A2" s="62" t="s">
        <v>360</v>
      </c>
      <c r="B2" s="61" t="s">
        <v>361</v>
      </c>
      <c r="C2" s="60" t="s">
        <v>362</v>
      </c>
      <c r="D2" s="131"/>
      <c r="E2" s="131"/>
      <c r="F2" s="131"/>
      <c r="G2" s="131"/>
      <c r="H2" s="131"/>
      <c r="I2" s="131"/>
      <c r="J2" s="131"/>
    </row>
    <row r="3" spans="1:10">
      <c r="A3" s="3" t="s">
        <v>118</v>
      </c>
      <c r="B3" s="133"/>
      <c r="C3" s="131"/>
      <c r="D3" s="131"/>
      <c r="E3" s="131"/>
      <c r="F3" s="131"/>
      <c r="G3" s="131"/>
      <c r="H3" s="131"/>
      <c r="I3" s="131"/>
      <c r="J3" s="131"/>
    </row>
    <row r="4" spans="1:10">
      <c r="A4" s="1" t="s">
        <v>285</v>
      </c>
      <c r="B4" s="133"/>
      <c r="C4" s="131"/>
      <c r="D4" s="131"/>
      <c r="E4" s="131"/>
      <c r="F4" s="131"/>
      <c r="G4" s="131"/>
      <c r="H4" s="131"/>
      <c r="I4" s="131"/>
      <c r="J4" s="131"/>
    </row>
    <row r="5" spans="1:10">
      <c r="A5" s="1" t="s">
        <v>286</v>
      </c>
      <c r="B5" s="133"/>
      <c r="C5" s="131"/>
      <c r="D5" s="131"/>
      <c r="E5" s="41"/>
      <c r="F5" s="131"/>
      <c r="G5" s="131"/>
      <c r="H5" s="131"/>
      <c r="I5" s="131"/>
      <c r="J5" s="131"/>
    </row>
    <row r="6" spans="1:10">
      <c r="A6" s="1" t="s">
        <v>288</v>
      </c>
      <c r="B6" s="133"/>
      <c r="C6" s="131"/>
      <c r="D6" s="131"/>
      <c r="E6" s="41"/>
      <c r="F6" s="131"/>
      <c r="G6" s="131"/>
      <c r="H6" s="131"/>
      <c r="I6" s="131"/>
      <c r="J6" s="131"/>
    </row>
    <row r="7" spans="1:10">
      <c r="A7" s="1" t="s">
        <v>290</v>
      </c>
      <c r="B7" s="133"/>
      <c r="C7" s="131"/>
      <c r="D7" s="131"/>
      <c r="E7" s="41"/>
      <c r="F7" s="131"/>
      <c r="G7" s="131"/>
      <c r="H7" s="131"/>
      <c r="I7" s="131"/>
      <c r="J7" s="131"/>
    </row>
    <row r="8" spans="1:10">
      <c r="A8" s="1" t="s">
        <v>291</v>
      </c>
      <c r="B8" s="131"/>
      <c r="C8" s="131"/>
      <c r="D8" s="131"/>
      <c r="J8" s="131"/>
    </row>
    <row r="9" spans="1:10">
      <c r="A9" s="131"/>
      <c r="B9" s="131"/>
      <c r="C9" s="131"/>
      <c r="D9" s="131"/>
      <c r="J9" s="131"/>
    </row>
    <row r="10" spans="1:10">
      <c r="A10" s="121" t="s">
        <v>346</v>
      </c>
      <c r="B10" s="122" t="s">
        <v>347</v>
      </c>
      <c r="C10" s="121" t="s">
        <v>348</v>
      </c>
      <c r="D10" s="121" t="s">
        <v>349</v>
      </c>
      <c r="E10" s="121" t="s">
        <v>350</v>
      </c>
      <c r="F10" s="121" t="s">
        <v>351</v>
      </c>
      <c r="G10" s="121" t="s">
        <v>352</v>
      </c>
      <c r="H10" s="121" t="s">
        <v>351</v>
      </c>
      <c r="I10" s="121" t="s">
        <v>353</v>
      </c>
      <c r="J10" s="121" t="s">
        <v>0</v>
      </c>
    </row>
    <row r="11" spans="1:10">
      <c r="A11" s="127">
        <v>46088</v>
      </c>
      <c r="B11" s="126">
        <f>'CHICLETS MASTER'!K5</f>
        <v>0.33333333333333298</v>
      </c>
      <c r="C11" s="126" t="str">
        <f>'CHICLETS MASTER'!$M$3</f>
        <v>ESTANCIA HS 1</v>
      </c>
      <c r="D11" s="30" t="s">
        <v>973</v>
      </c>
      <c r="E11" s="30" t="str">
        <f>A5</f>
        <v>A2-SOUTH COUNTY AQUATICS</v>
      </c>
      <c r="F11" s="30">
        <v>4</v>
      </c>
      <c r="G11" s="30" t="str">
        <f>A8</f>
        <v>A5-OHANA</v>
      </c>
      <c r="H11" s="30">
        <v>12</v>
      </c>
      <c r="I11" s="30" t="s">
        <v>974</v>
      </c>
      <c r="J11" s="30" t="s">
        <v>283</v>
      </c>
    </row>
    <row r="12" spans="1:10">
      <c r="A12" s="127">
        <v>46088</v>
      </c>
      <c r="B12" s="126">
        <f>'CHICLETS MASTER'!K6</f>
        <v>0.375</v>
      </c>
      <c r="C12" s="126" t="str">
        <f>'CHICLETS MASTER'!$M$3</f>
        <v>ESTANCIA HS 1</v>
      </c>
      <c r="D12" s="30" t="s">
        <v>975</v>
      </c>
      <c r="E12" s="30" t="str">
        <f>A4</f>
        <v>A1-SET</v>
      </c>
      <c r="F12" s="30">
        <v>6</v>
      </c>
      <c r="G12" s="30" t="str">
        <f>A6</f>
        <v>A3-PASADENA AC ORANGE</v>
      </c>
      <c r="H12" s="30">
        <v>15</v>
      </c>
      <c r="I12" s="30" t="s">
        <v>976</v>
      </c>
      <c r="J12" s="30" t="s">
        <v>283</v>
      </c>
    </row>
    <row r="13" spans="1:10">
      <c r="A13" s="132"/>
      <c r="B13" s="131"/>
      <c r="C13" s="131"/>
      <c r="E13" s="131"/>
      <c r="F13" s="131"/>
      <c r="G13" s="131"/>
      <c r="H13" s="131"/>
      <c r="I13" s="131"/>
      <c r="J13" s="131"/>
    </row>
    <row r="14" spans="1:10">
      <c r="A14" s="127">
        <v>46088</v>
      </c>
      <c r="B14" s="126">
        <f>'CHICLETS MASTER'!K8</f>
        <v>0.45833333333333298</v>
      </c>
      <c r="C14" s="126" t="str">
        <f>'CHICLETS MASTER'!$M$3</f>
        <v>ESTANCIA HS 1</v>
      </c>
      <c r="D14" s="30" t="s">
        <v>977</v>
      </c>
      <c r="E14" s="30" t="str">
        <f>A5</f>
        <v>A2-SOUTH COUNTY AQUATICS</v>
      </c>
      <c r="F14" s="30">
        <v>8</v>
      </c>
      <c r="G14" s="30" t="str">
        <f>A7</f>
        <v>A4-SFV</v>
      </c>
      <c r="H14" s="30">
        <v>9</v>
      </c>
      <c r="I14" s="30" t="s">
        <v>978</v>
      </c>
      <c r="J14" s="30" t="s">
        <v>283</v>
      </c>
    </row>
    <row r="15" spans="1:10">
      <c r="A15" s="127">
        <v>46088</v>
      </c>
      <c r="B15" s="126">
        <f>'CHICLETS MASTER'!K9</f>
        <v>0.5</v>
      </c>
      <c r="C15" s="126" t="str">
        <f>'CHICLETS MASTER'!$M$3</f>
        <v>ESTANCIA HS 1</v>
      </c>
      <c r="D15" s="30" t="s">
        <v>979</v>
      </c>
      <c r="E15" s="30" t="str">
        <f>A6</f>
        <v>A3-PASADENA AC ORANGE</v>
      </c>
      <c r="F15" s="30">
        <v>19</v>
      </c>
      <c r="G15" s="30" t="str">
        <f>A8</f>
        <v>A5-OHANA</v>
      </c>
      <c r="H15" s="30">
        <v>3</v>
      </c>
      <c r="I15" s="30" t="s">
        <v>980</v>
      </c>
      <c r="J15" s="30" t="s">
        <v>283</v>
      </c>
    </row>
    <row r="16" spans="1:10">
      <c r="A16" s="132"/>
      <c r="B16" s="131"/>
      <c r="C16" s="131"/>
      <c r="E16" s="131"/>
      <c r="F16" s="131"/>
      <c r="G16" s="131"/>
      <c r="H16" s="131"/>
      <c r="I16" s="131"/>
      <c r="J16" s="131"/>
    </row>
    <row r="17" spans="1:10">
      <c r="A17" s="127">
        <v>46088</v>
      </c>
      <c r="B17" s="126">
        <f>'CHICLETS MASTER'!K11</f>
        <v>0.58333333333333304</v>
      </c>
      <c r="C17" s="126" t="str">
        <f>'CHICLETS MASTER'!$M$3</f>
        <v>ESTANCIA HS 1</v>
      </c>
      <c r="D17" s="30" t="s">
        <v>981</v>
      </c>
      <c r="E17" s="30" t="str">
        <f>A4</f>
        <v>A1-SET</v>
      </c>
      <c r="F17" s="30">
        <v>15</v>
      </c>
      <c r="G17" s="30" t="str">
        <f>A7</f>
        <v>A4-SFV</v>
      </c>
      <c r="H17" s="30">
        <v>13</v>
      </c>
      <c r="I17" s="30" t="s">
        <v>982</v>
      </c>
      <c r="J17" s="30" t="s">
        <v>283</v>
      </c>
    </row>
    <row r="18" spans="1:10">
      <c r="A18" s="132"/>
      <c r="B18" s="131"/>
      <c r="C18" s="131"/>
      <c r="E18" s="131"/>
      <c r="F18" s="131"/>
      <c r="G18" s="131"/>
      <c r="H18" s="131"/>
      <c r="I18" s="131"/>
      <c r="J18" s="131"/>
    </row>
    <row r="19" spans="1:10">
      <c r="A19" s="130"/>
      <c r="B19" s="128"/>
      <c r="C19" s="128"/>
      <c r="D19" s="129"/>
      <c r="E19" s="128"/>
      <c r="F19" s="128"/>
      <c r="G19" s="128"/>
      <c r="H19" s="128"/>
      <c r="I19" s="128"/>
      <c r="J19" s="128"/>
    </row>
    <row r="20" spans="1:10">
      <c r="A20" s="121"/>
      <c r="B20" s="122"/>
      <c r="C20" s="121"/>
      <c r="E20" s="121"/>
      <c r="F20" s="121"/>
      <c r="G20" s="121"/>
      <c r="H20" s="121"/>
      <c r="I20" s="121"/>
      <c r="J20" s="121"/>
    </row>
    <row r="21" spans="1:10">
      <c r="A21" s="127">
        <v>46089</v>
      </c>
      <c r="B21" s="126">
        <f>'CHICLETS MASTER'!K32</f>
        <v>0.375</v>
      </c>
      <c r="C21" s="126" t="str">
        <f>'CHICLETS MASTER'!$M$29</f>
        <v>ESTANCIA HS 1</v>
      </c>
      <c r="D21" s="30" t="s">
        <v>983</v>
      </c>
      <c r="E21" s="30" t="str">
        <f>A5</f>
        <v>A2-SOUTH COUNTY AQUATICS</v>
      </c>
      <c r="F21" s="30">
        <v>5</v>
      </c>
      <c r="G21" s="30" t="str">
        <f>A6</f>
        <v>A3-PASADENA AC ORANGE</v>
      </c>
      <c r="H21" s="30">
        <v>15</v>
      </c>
      <c r="I21" s="30" t="s">
        <v>984</v>
      </c>
      <c r="J21" s="30" t="s">
        <v>283</v>
      </c>
    </row>
    <row r="22" spans="1:10">
      <c r="A22" s="127">
        <v>46089</v>
      </c>
      <c r="B22" s="126">
        <f>'CHICLETS MASTER'!K33</f>
        <v>0.41666666666666702</v>
      </c>
      <c r="C22" s="126" t="str">
        <f>'CHICLETS MASTER'!$M$29</f>
        <v>ESTANCIA HS 1</v>
      </c>
      <c r="D22" s="30" t="s">
        <v>985</v>
      </c>
      <c r="E22" s="30" t="str">
        <f>A7</f>
        <v>A4-SFV</v>
      </c>
      <c r="F22" s="30">
        <v>8</v>
      </c>
      <c r="G22" s="30" t="str">
        <f>A8</f>
        <v>A5-OHANA</v>
      </c>
      <c r="H22" s="30">
        <v>19</v>
      </c>
      <c r="I22" s="30" t="s">
        <v>986</v>
      </c>
      <c r="J22" s="30" t="s">
        <v>283</v>
      </c>
    </row>
    <row r="23" spans="1:10">
      <c r="G23" s="41"/>
    </row>
    <row r="24" spans="1:10">
      <c r="A24" s="127">
        <v>46089</v>
      </c>
      <c r="B24" s="126">
        <f>'CHICLETS MASTER'!K35</f>
        <v>0.5</v>
      </c>
      <c r="C24" s="126" t="str">
        <f>'CHICLETS MASTER'!$M$29</f>
        <v>ESTANCIA HS 1</v>
      </c>
      <c r="D24" s="30" t="s">
        <v>987</v>
      </c>
      <c r="E24" s="30" t="str">
        <f>A4</f>
        <v>A1-SET</v>
      </c>
      <c r="F24" s="30">
        <v>6</v>
      </c>
      <c r="G24" s="30" t="str">
        <f>A5</f>
        <v>A2-SOUTH COUNTY AQUATICS</v>
      </c>
      <c r="H24" s="30">
        <v>12</v>
      </c>
      <c r="I24" s="30" t="s">
        <v>988</v>
      </c>
      <c r="J24" s="30" t="s">
        <v>283</v>
      </c>
    </row>
    <row r="25" spans="1:10">
      <c r="A25" s="127">
        <v>46089</v>
      </c>
      <c r="B25" s="126">
        <f>'CHICLETS MASTER'!K36</f>
        <v>0.54166666666666696</v>
      </c>
      <c r="C25" s="126" t="str">
        <f>'CHICLETS MASTER'!$M$29</f>
        <v>ESTANCIA HS 1</v>
      </c>
      <c r="D25" s="30" t="s">
        <v>989</v>
      </c>
      <c r="E25" s="30" t="str">
        <f>A6</f>
        <v>A3-PASADENA AC ORANGE</v>
      </c>
      <c r="F25" s="30">
        <v>20</v>
      </c>
      <c r="G25" s="30" t="str">
        <f>A7</f>
        <v>A4-SFV</v>
      </c>
      <c r="H25" s="30">
        <v>9</v>
      </c>
      <c r="I25" s="30" t="s">
        <v>990</v>
      </c>
      <c r="J25" s="30" t="s">
        <v>283</v>
      </c>
    </row>
    <row r="26" spans="1:10">
      <c r="G26" s="41"/>
    </row>
    <row r="27" spans="1:10">
      <c r="A27" s="127">
        <v>46089</v>
      </c>
      <c r="B27" s="126">
        <f>'CHICLETS MASTER'!K38</f>
        <v>0.625</v>
      </c>
      <c r="C27" s="126" t="str">
        <f>'CHICLETS MASTER'!$M$29</f>
        <v>ESTANCIA HS 1</v>
      </c>
      <c r="D27" s="30" t="s">
        <v>991</v>
      </c>
      <c r="E27" s="30" t="str">
        <f>A4</f>
        <v>A1-SET</v>
      </c>
      <c r="F27" s="30">
        <v>10</v>
      </c>
      <c r="G27" s="30" t="str">
        <f>A8</f>
        <v>A5-OHANA</v>
      </c>
      <c r="H27" s="30">
        <v>17</v>
      </c>
      <c r="I27" s="30" t="s">
        <v>992</v>
      </c>
      <c r="J27" s="30" t="s">
        <v>283</v>
      </c>
    </row>
    <row r="29" spans="1:10">
      <c r="G29" s="41"/>
      <c r="J29" s="79" t="s">
        <v>993</v>
      </c>
    </row>
    <row r="30" spans="1:10">
      <c r="I30" s="30" t="s">
        <v>414</v>
      </c>
      <c r="J30" s="30" t="s">
        <v>172</v>
      </c>
    </row>
    <row r="31" spans="1:10">
      <c r="C31" s="1"/>
      <c r="I31" s="30" t="s">
        <v>415</v>
      </c>
      <c r="J31" s="30" t="s">
        <v>284</v>
      </c>
    </row>
    <row r="32" spans="1:10">
      <c r="C32" s="1"/>
      <c r="I32" s="30" t="s">
        <v>416</v>
      </c>
      <c r="J32" s="30" t="s">
        <v>289</v>
      </c>
    </row>
    <row r="33" spans="2:12">
      <c r="B33" s="51" t="s">
        <v>316</v>
      </c>
      <c r="C33" s="1"/>
      <c r="G33" s="51" t="s">
        <v>461</v>
      </c>
    </row>
    <row r="34" spans="2:12">
      <c r="B34" s="51">
        <f>SUM(C34:F34)</f>
        <v>7</v>
      </c>
      <c r="C34" s="191">
        <v>1</v>
      </c>
      <c r="D34" s="172">
        <v>1</v>
      </c>
      <c r="E34" s="173">
        <v>4</v>
      </c>
      <c r="F34" s="174">
        <v>1</v>
      </c>
      <c r="G34" s="1" t="str">
        <f>A4</f>
        <v>A1-SET</v>
      </c>
      <c r="H34" s="174" t="s">
        <v>994</v>
      </c>
      <c r="I34" s="173" t="s">
        <v>995</v>
      </c>
      <c r="J34" s="180" t="s">
        <v>996</v>
      </c>
      <c r="K34" s="190" t="s">
        <v>997</v>
      </c>
      <c r="L34" s="79"/>
    </row>
    <row r="35" spans="2:12">
      <c r="B35" s="51">
        <f>SUM(C35:F35)</f>
        <v>7</v>
      </c>
      <c r="C35" s="125">
        <v>4</v>
      </c>
      <c r="D35" s="175">
        <v>1</v>
      </c>
      <c r="E35" s="176">
        <v>1</v>
      </c>
      <c r="F35" s="131">
        <v>1</v>
      </c>
      <c r="G35" s="1" t="str">
        <f>A5</f>
        <v>A2-SOUTH COUNTY AQUATICS</v>
      </c>
      <c r="H35" s="131" t="s">
        <v>998</v>
      </c>
      <c r="I35" s="176" t="s">
        <v>469</v>
      </c>
      <c r="J35" s="175" t="s">
        <v>999</v>
      </c>
      <c r="K35" s="172" t="s">
        <v>1000</v>
      </c>
      <c r="L35" s="79"/>
    </row>
    <row r="36" spans="2:12">
      <c r="B36" s="51">
        <f>SUM(C36:F36)</f>
        <v>16</v>
      </c>
      <c r="C36" s="177">
        <v>4</v>
      </c>
      <c r="D36" s="175">
        <v>4</v>
      </c>
      <c r="E36" s="178">
        <v>4</v>
      </c>
      <c r="F36" s="174">
        <v>4</v>
      </c>
      <c r="G36" s="1" t="str">
        <f>A6</f>
        <v>A3-PASADENA AC ORANGE</v>
      </c>
      <c r="H36" s="174" t="s">
        <v>1001</v>
      </c>
      <c r="I36" s="178" t="s">
        <v>1002</v>
      </c>
      <c r="J36" s="175" t="s">
        <v>1003</v>
      </c>
      <c r="K36" s="177" t="s">
        <v>1004</v>
      </c>
      <c r="L36" s="79"/>
    </row>
    <row r="37" spans="2:12">
      <c r="B37" s="51">
        <f>SUM(C37:F37)</f>
        <v>7</v>
      </c>
      <c r="C37" s="177">
        <v>1</v>
      </c>
      <c r="D37" s="179">
        <v>1</v>
      </c>
      <c r="E37" s="173">
        <v>1</v>
      </c>
      <c r="F37" s="176">
        <v>4</v>
      </c>
      <c r="G37" s="1" t="str">
        <f>A7</f>
        <v>A4-SFV</v>
      </c>
      <c r="H37" s="176" t="s">
        <v>463</v>
      </c>
      <c r="I37" s="173" t="s">
        <v>1005</v>
      </c>
      <c r="J37" s="179" t="s">
        <v>1006</v>
      </c>
      <c r="K37" s="177" t="s">
        <v>1007</v>
      </c>
      <c r="L37" s="79"/>
    </row>
    <row r="38" spans="2:12">
      <c r="B38" s="51">
        <f>SUM(C38:F38)</f>
        <v>13</v>
      </c>
      <c r="C38" s="190">
        <v>4</v>
      </c>
      <c r="D38" s="179">
        <v>4</v>
      </c>
      <c r="E38" s="178">
        <v>1</v>
      </c>
      <c r="F38" s="131">
        <v>4</v>
      </c>
      <c r="G38" s="1" t="str">
        <f>A8</f>
        <v>A5-OHANA</v>
      </c>
      <c r="H38" s="131" t="s">
        <v>1008</v>
      </c>
      <c r="I38" s="178" t="s">
        <v>1009</v>
      </c>
      <c r="J38" s="179" t="s">
        <v>1010</v>
      </c>
      <c r="K38" s="190" t="s">
        <v>1011</v>
      </c>
      <c r="L38" s="79"/>
    </row>
  </sheetData>
  <hyperlinks>
    <hyperlink ref="B2" r:id="rId1" xr:uid="{816C87AF-2FE5-4831-AD08-5E899EF43E53}"/>
    <hyperlink ref="C2" r:id="rId2" xr:uid="{D5F6688B-EC35-4A6A-9306-C8067D602A85}"/>
    <hyperlink ref="A2" r:id="rId3" xr:uid="{40FE3D80-246C-44C5-BA0B-A6F7FC8AD965}"/>
  </hyperlinks>
  <pageMargins left="0.7" right="0.7" top="0.75" bottom="0.75" header="0.3" footer="0.3"/>
  <pageSetup scale="48" orientation="landscape"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F5C9-4FE2-4706-BBBB-811B573AD693}">
  <sheetPr>
    <tabColor rgb="FF0C769E"/>
    <pageSetUpPr fitToPage="1"/>
  </sheetPr>
  <dimension ref="A1:K48"/>
  <sheetViews>
    <sheetView workbookViewId="0"/>
  </sheetViews>
  <sheetFormatPr defaultColWidth="10.85546875" defaultRowHeight="18"/>
  <cols>
    <col min="1" max="1" width="40" style="114" customWidth="1"/>
    <col min="2" max="2" width="38.85546875" style="114" customWidth="1"/>
    <col min="3" max="3" width="39.5703125" style="114" customWidth="1"/>
    <col min="4" max="4" width="42.7109375" style="114" bestFit="1" customWidth="1"/>
    <col min="5" max="5" width="48.28515625" style="114" bestFit="1" customWidth="1"/>
    <col min="6" max="6" width="38.140625" style="114" customWidth="1"/>
    <col min="7" max="7" width="40.85546875" style="114" customWidth="1"/>
    <col min="8" max="8" width="6.42578125" style="114" customWidth="1"/>
    <col min="9" max="9" width="37.5703125" style="114" customWidth="1"/>
    <col min="10" max="10" width="34.7109375" style="114" customWidth="1"/>
    <col min="11" max="11" width="10.28515625" style="114" bestFit="1" customWidth="1"/>
    <col min="12" max="16384" width="10.85546875" style="114"/>
  </cols>
  <sheetData>
    <row r="1" spans="1:11">
      <c r="A1" s="124" t="s">
        <v>1012</v>
      </c>
      <c r="B1" s="121" t="s">
        <v>910</v>
      </c>
      <c r="C1" s="123" t="s">
        <v>911</v>
      </c>
      <c r="D1" s="121" t="s">
        <v>912</v>
      </c>
      <c r="E1" s="41"/>
      <c r="F1" s="41"/>
      <c r="G1" s="41"/>
      <c r="H1" s="41"/>
      <c r="I1" s="41"/>
      <c r="J1" s="41"/>
    </row>
    <row r="2" spans="1:11">
      <c r="A2" s="62" t="s">
        <v>360</v>
      </c>
      <c r="B2" s="61" t="s">
        <v>361</v>
      </c>
      <c r="C2" s="60" t="s">
        <v>362</v>
      </c>
      <c r="D2" s="59" t="s">
        <v>1013</v>
      </c>
      <c r="E2" s="41"/>
      <c r="F2" s="41"/>
      <c r="G2" s="59" t="str">
        <f>F4</f>
        <v>F1(3rdA)-TSM B</v>
      </c>
      <c r="I2" s="59" t="str">
        <f>F5</f>
        <v>F2(3rdB)-HIELAND</v>
      </c>
      <c r="J2" s="41"/>
    </row>
    <row r="3" spans="1:11">
      <c r="A3" s="3" t="s">
        <v>118</v>
      </c>
      <c r="B3" s="3" t="s">
        <v>119</v>
      </c>
      <c r="C3" s="3" t="s">
        <v>120</v>
      </c>
      <c r="D3" s="121" t="s">
        <v>135</v>
      </c>
      <c r="E3" s="121" t="s">
        <v>136</v>
      </c>
      <c r="F3" s="121" t="s">
        <v>137</v>
      </c>
      <c r="G3" s="59" t="str">
        <f>F6</f>
        <v>F3(3rdC)-SOUTH VALLEY</v>
      </c>
      <c r="H3" s="59"/>
      <c r="I3" s="58" t="str">
        <f>F8</f>
        <v>F5(4thB)-SAND CANYON RED</v>
      </c>
      <c r="J3" s="41"/>
      <c r="K3" s="41"/>
    </row>
    <row r="4" spans="1:11">
      <c r="A4" s="1" t="s">
        <v>294</v>
      </c>
      <c r="B4" s="1" t="s">
        <v>295</v>
      </c>
      <c r="C4" s="1" t="s">
        <v>296</v>
      </c>
      <c r="D4" s="59" t="s">
        <v>1014</v>
      </c>
      <c r="E4" s="59" t="s">
        <v>1015</v>
      </c>
      <c r="F4" s="59" t="s">
        <v>1016</v>
      </c>
      <c r="G4" s="59"/>
      <c r="H4" s="59"/>
      <c r="J4" s="41"/>
    </row>
    <row r="5" spans="1:11">
      <c r="A5" s="1" t="s">
        <v>297</v>
      </c>
      <c r="B5" s="1" t="s">
        <v>298</v>
      </c>
      <c r="C5" s="1" t="s">
        <v>299</v>
      </c>
      <c r="D5" s="59" t="str">
        <f>IF(F22="","D2(1stB)",IF(F22&gt;H22,_xlfn.CONCAT("D2(1stB)-",RIGHT(E22,LEN(E22) - FIND("-",E22))), _xlfn.CONCAT("D2(1stB)-",RIGHT(G22,LEN(G22) - FIND("-",G22)))))</f>
        <v>D2(1stB)-PEAK POLO LIGHTNING pt</v>
      </c>
      <c r="E5" s="59" t="str">
        <f>IF(F22="","E2(2ndB)",IF(F22&lt;H22,_xlfn.CONCAT("E2(2ndB)-",RIGHT(E22,LEN(E22) - FIND("-",E22))), _xlfn.CONCAT("E2(2ndB)-",RIGHT(G22,LEN(G22) - FIND("-",G22)))))</f>
        <v>E2(2ndB)-ALAMEDA</v>
      </c>
      <c r="F5" s="59" t="str">
        <f>IF(F20="","F2(3rdB)",IF(F20&gt;H20,_xlfn.CONCAT("F2(3rdB)-",RIGHT(E20,LEN(E20) - FIND("-",E20))), _xlfn.CONCAT("F2(3rdB)-",RIGHT(G20,LEN(G20) - FIND("-",G20)))))</f>
        <v>F2(3rdB)-HIELAND</v>
      </c>
      <c r="G5" s="59" t="str">
        <f>F5</f>
        <v>F2(3rdB)-HIELAND</v>
      </c>
      <c r="H5" s="59"/>
      <c r="I5" s="114" t="str">
        <f>F7</f>
        <v>F4(4thC)-ROUTE 66</v>
      </c>
      <c r="J5" s="59"/>
    </row>
    <row r="6" spans="1:11">
      <c r="A6" s="1" t="s">
        <v>301</v>
      </c>
      <c r="B6" s="1" t="s">
        <v>302</v>
      </c>
      <c r="C6" s="1" t="s">
        <v>303</v>
      </c>
      <c r="D6" s="59" t="str">
        <f>IF(F19="","D3(1stC)",IF(F19&gt;H19,_xlfn.CONCAT("D3(1stC)-",RIGHT(E19,LEN(E19) - FIND("-",E19))), _xlfn.CONCAT("D3(1stC)-",RIGHT(G19,LEN(G19) - FIND("-",G19)))))</f>
        <v>D3(1stC)-PEAK POLO BOLTZ pt</v>
      </c>
      <c r="E6" s="59" t="str">
        <f>IF(F19="","E3(2ndC)",IF(F19&lt;H19,_xlfn.CONCAT("E3(2ndC)-",RIGHT(E19,LEN(E19) - FIND("-",E19))), _xlfn.CONCAT("E3(2ndC)-",RIGHT(G19,LEN(G19) - FIND("-",G19)))))</f>
        <v>E3(2ndC)-TROJAN  16 CARDINAL pt</v>
      </c>
      <c r="F6" s="59" t="str">
        <f>IF(F18="","F3(3rdC)",IF(F18&gt;H18,_xlfn.CONCAT("F3(3rdC)-",RIGHT(E18,LEN(E18) - FIND("-",E18))), _xlfn.CONCAT("F3(3rdC)-",RIGHT(G18,LEN(G18) - FIND("-",G18)))))</f>
        <v>F3(3rdC)-SOUTH VALLEY</v>
      </c>
      <c r="G6" s="59" t="str">
        <f>F4</f>
        <v>F1(3rdA)-TSM B</v>
      </c>
      <c r="H6" s="59"/>
      <c r="I6" s="114" t="str">
        <f>F6</f>
        <v>F3(3rdC)-SOUTH VALLEY</v>
      </c>
      <c r="J6" s="59"/>
    </row>
    <row r="7" spans="1:11">
      <c r="A7" s="1"/>
      <c r="B7" s="1" t="s">
        <v>305</v>
      </c>
      <c r="C7" s="1" t="s">
        <v>306</v>
      </c>
      <c r="D7" s="59"/>
      <c r="E7" s="59"/>
      <c r="F7" s="59" t="str">
        <f>IF(F18="","F4(4thC)",IF(F18&lt;H18,_xlfn.CONCAT("F4(4thC)-",RIGHT(E18,LEN(E18) - FIND("-",E18))), _xlfn.CONCAT("F4(4thC)-",RIGHT(G18,LEN(G18) - FIND("-",G18)))))</f>
        <v>F4(4thC)-ROUTE 66</v>
      </c>
      <c r="J7" s="59"/>
    </row>
    <row r="8" spans="1:11">
      <c r="A8" s="1"/>
      <c r="B8" s="1"/>
      <c r="C8" s="1"/>
      <c r="D8" s="59"/>
      <c r="E8" s="59"/>
      <c r="F8" s="59" t="str">
        <f>IF(F20="","F5(4thB)",IF(F20&lt;H20,_xlfn.CONCAT("F5(4thB)-",RIGHT(E20,LEN(E20) - FIND("-",E20))), _xlfn.CONCAT("F5(4thB)-",RIGHT(G20,LEN(G20) - FIND("-",G20)))))</f>
        <v>F5(4thB)-SAND CANYON RED</v>
      </c>
      <c r="G8" s="114" t="str">
        <f>F7</f>
        <v>F4(4thC)-ROUTE 66</v>
      </c>
      <c r="I8" s="114" t="str">
        <f>F8</f>
        <v>F5(4thB)-SAND CANYON RED</v>
      </c>
      <c r="J8" s="59"/>
    </row>
    <row r="9" spans="1:11">
      <c r="A9" s="1"/>
      <c r="B9" s="1"/>
      <c r="C9" s="1"/>
      <c r="D9" s="59"/>
      <c r="E9" s="59"/>
      <c r="F9" s="59"/>
      <c r="G9" s="59"/>
      <c r="H9" s="59"/>
      <c r="J9" s="59"/>
    </row>
    <row r="10" spans="1:11">
      <c r="A10" s="59"/>
      <c r="B10" s="59"/>
      <c r="C10" s="59"/>
      <c r="D10" s="121"/>
      <c r="J10" s="59"/>
    </row>
    <row r="11" spans="1:11">
      <c r="A11" s="121" t="s">
        <v>346</v>
      </c>
      <c r="B11" s="122" t="s">
        <v>347</v>
      </c>
      <c r="C11" s="121" t="s">
        <v>348</v>
      </c>
      <c r="D11" s="121" t="s">
        <v>349</v>
      </c>
      <c r="E11" s="121" t="s">
        <v>350</v>
      </c>
      <c r="F11" s="121" t="s">
        <v>351</v>
      </c>
      <c r="G11" s="121" t="s">
        <v>352</v>
      </c>
      <c r="H11" s="121" t="s">
        <v>351</v>
      </c>
      <c r="I11" s="121" t="s">
        <v>353</v>
      </c>
      <c r="J11" s="121" t="s">
        <v>0</v>
      </c>
    </row>
    <row r="12" spans="1:11">
      <c r="A12" s="142">
        <v>46088</v>
      </c>
      <c r="B12" s="143">
        <f>'CHICLETS MASTER'!K4</f>
        <v>0.29166666666666669</v>
      </c>
      <c r="C12" s="142" t="str">
        <f>'CHICLETS MASTER'!$L$3</f>
        <v>WOOLLETT NEAR LEFT</v>
      </c>
      <c r="D12" s="31" t="s">
        <v>1017</v>
      </c>
      <c r="E12" s="142" t="str">
        <f>C4</f>
        <v>C1-TROJAN  16 CARDINAL pt</v>
      </c>
      <c r="F12" s="31">
        <v>13</v>
      </c>
      <c r="G12" s="142" t="str">
        <f>C7</f>
        <v>C4-ROUTE 66</v>
      </c>
      <c r="H12" s="31">
        <v>9</v>
      </c>
      <c r="I12" s="31" t="s">
        <v>706</v>
      </c>
      <c r="J12" s="31" t="s">
        <v>318</v>
      </c>
    </row>
    <row r="13" spans="1:11">
      <c r="A13" s="142">
        <v>46088</v>
      </c>
      <c r="B13" s="143">
        <f>'CHICLETS MASTER'!K5</f>
        <v>0.33333333333333298</v>
      </c>
      <c r="C13" s="142" t="str">
        <f>'CHICLETS MASTER'!$L$3</f>
        <v>WOOLLETT NEAR LEFT</v>
      </c>
      <c r="D13" s="31" t="s">
        <v>1018</v>
      </c>
      <c r="E13" s="142" t="str">
        <f>C5</f>
        <v>C2-PEAK POLO BOLTZ pt</v>
      </c>
      <c r="F13" s="31">
        <v>18</v>
      </c>
      <c r="G13" s="142" t="str">
        <f>C6</f>
        <v>C3-SOUTH VALLEY</v>
      </c>
      <c r="H13" s="31">
        <v>3</v>
      </c>
      <c r="I13" s="31" t="s">
        <v>702</v>
      </c>
      <c r="J13" s="31" t="s">
        <v>318</v>
      </c>
    </row>
    <row r="14" spans="1:11">
      <c r="A14" s="142">
        <v>46088</v>
      </c>
      <c r="B14" s="143">
        <f>'CHICLETS MASTER'!K6</f>
        <v>0.375</v>
      </c>
      <c r="C14" s="142" t="str">
        <f>'CHICLETS MASTER'!$L$3</f>
        <v>WOOLLETT NEAR LEFT</v>
      </c>
      <c r="D14" s="31" t="s">
        <v>1019</v>
      </c>
      <c r="E14" s="142" t="str">
        <f>A4</f>
        <v>A1-SAND CANYON BLACK pt</v>
      </c>
      <c r="F14" s="31">
        <v>15</v>
      </c>
      <c r="G14" s="142" t="str">
        <f>A6</f>
        <v>A3-TSM B</v>
      </c>
      <c r="H14" s="31">
        <v>4</v>
      </c>
      <c r="I14" s="31" t="s">
        <v>630</v>
      </c>
      <c r="J14" s="31" t="s">
        <v>318</v>
      </c>
    </row>
    <row r="15" spans="1:11">
      <c r="A15" s="142">
        <v>46088</v>
      </c>
      <c r="B15" s="143">
        <f>'CHICLETS MASTER'!K7</f>
        <v>0.41666666666666702</v>
      </c>
      <c r="C15" s="142" t="str">
        <f>'CHICLETS MASTER'!$L$3</f>
        <v>WOOLLETT NEAR LEFT</v>
      </c>
      <c r="D15" s="31" t="s">
        <v>1020</v>
      </c>
      <c r="E15" s="142" t="str">
        <f>B4</f>
        <v>B1-PEAK POLO LIGHTNING pt</v>
      </c>
      <c r="F15" s="31">
        <v>19</v>
      </c>
      <c r="G15" s="142" t="str">
        <f>B7</f>
        <v>B4-SAND CANYON RED</v>
      </c>
      <c r="H15" s="31">
        <v>4</v>
      </c>
      <c r="I15" s="31" t="s">
        <v>714</v>
      </c>
      <c r="J15" s="31" t="s">
        <v>318</v>
      </c>
    </row>
    <row r="16" spans="1:11">
      <c r="A16" s="142">
        <v>46088</v>
      </c>
      <c r="B16" s="143">
        <f>'CHICLETS MASTER'!K7</f>
        <v>0.41666666666666702</v>
      </c>
      <c r="C16" s="142" t="str">
        <f>'CHICLETS MASTER'!$M$3</f>
        <v>ESTANCIA HS 1</v>
      </c>
      <c r="D16" s="31" t="s">
        <v>1021</v>
      </c>
      <c r="E16" s="142" t="str">
        <f>B5</f>
        <v>B2-ALAMEDA</v>
      </c>
      <c r="F16" s="31">
        <v>10</v>
      </c>
      <c r="G16" s="142" t="str">
        <f>B6</f>
        <v>B3-HIELAND</v>
      </c>
      <c r="H16" s="31">
        <v>7</v>
      </c>
      <c r="I16" s="31" t="s">
        <v>712</v>
      </c>
      <c r="J16" s="31" t="s">
        <v>318</v>
      </c>
    </row>
    <row r="17" spans="1:10">
      <c r="A17" s="142">
        <v>46088</v>
      </c>
      <c r="B17" s="143">
        <f>'CHICLETS MASTER'!K8</f>
        <v>0.45833333333333298</v>
      </c>
      <c r="C17" s="142" t="str">
        <f>'CHICLETS MASTER'!$L$3</f>
        <v>WOOLLETT NEAR LEFT</v>
      </c>
      <c r="D17" s="31" t="s">
        <v>1022</v>
      </c>
      <c r="E17" s="142" t="str">
        <f>A5</f>
        <v>A2-VANGUARD SILVER</v>
      </c>
      <c r="F17" s="31">
        <v>11</v>
      </c>
      <c r="G17" s="142" t="str">
        <f>A6</f>
        <v>A3-TSM B</v>
      </c>
      <c r="H17" s="31">
        <v>10</v>
      </c>
      <c r="I17" s="31" t="s">
        <v>641</v>
      </c>
      <c r="J17" s="31" t="s">
        <v>318</v>
      </c>
    </row>
    <row r="18" spans="1:10">
      <c r="A18" s="142">
        <v>46088</v>
      </c>
      <c r="B18" s="143">
        <f>'CHICLETS MASTER'!K9</f>
        <v>0.5</v>
      </c>
      <c r="C18" s="142" t="str">
        <f>'CHICLETS MASTER'!$L$3</f>
        <v>WOOLLETT NEAR LEFT</v>
      </c>
      <c r="D18" s="31" t="s">
        <v>1023</v>
      </c>
      <c r="E18" s="142" t="str">
        <f>IF(F12="","L#C1/C4",IF(F12&lt;H12,_xlfn.CONCAT("L#C1/C4-",RIGHT(E12,LEN(E12) - FIND("-",E12))), _xlfn.CONCAT("L#C1/C4-",RIGHT(G12,LEN(G12) - FIND("-",G12)))))</f>
        <v>L#C1/C4-ROUTE 66</v>
      </c>
      <c r="F18" s="31">
        <v>12</v>
      </c>
      <c r="G18" s="142" t="str">
        <f>IF(F13="","L#C2/C3",IF(F13&lt;H13,_xlfn.CONCAT("L#C2/C3-",RIGHT(E13,LEN(E13) - FIND("-",E13))), _xlfn.CONCAT("L#C2/C3-",RIGHT(G13,LEN(G13) - FIND("-",G13)))))</f>
        <v>L#C2/C3-SOUTH VALLEY</v>
      </c>
      <c r="H18" s="31">
        <v>15</v>
      </c>
      <c r="I18" s="31" t="s">
        <v>717</v>
      </c>
      <c r="J18" s="31" t="s">
        <v>318</v>
      </c>
    </row>
    <row r="19" spans="1:10">
      <c r="A19" s="142">
        <v>46088</v>
      </c>
      <c r="B19" s="143">
        <f>'CHICLETS MASTER'!K10</f>
        <v>0.54166666666666696</v>
      </c>
      <c r="C19" s="142" t="str">
        <f>'CHICLETS MASTER'!$L$3</f>
        <v>WOOLLETT NEAR LEFT</v>
      </c>
      <c r="D19" s="31" t="s">
        <v>1024</v>
      </c>
      <c r="E19" s="142" t="str">
        <f>IF(F12="","W#C1/C4",IF(F12&gt;H12,_xlfn.CONCAT("W#C1/C4-",RIGHT(E12,LEN(E12) - FIND("-",E12))), _xlfn.CONCAT("W#C1/C4-",RIGHT(G12,LEN(G12) - FIND("-",G12)))))</f>
        <v>W#C1/C4-TROJAN  16 CARDINAL pt</v>
      </c>
      <c r="F19" s="31">
        <v>7</v>
      </c>
      <c r="G19" s="142" t="str">
        <f>IF(F13="","W#C2/C3",IF(F13&gt;H13,_xlfn.CONCAT("W#C2/C3-",RIGHT(E13,LEN(E13) - FIND("-",E13))), _xlfn.CONCAT("W#C2/C3-",RIGHT(G13,LEN(G13) - FIND("-",G13)))))</f>
        <v>W#C2/C3-PEAK POLO BOLTZ pt</v>
      </c>
      <c r="H19" s="31">
        <v>17</v>
      </c>
      <c r="I19" s="31" t="s">
        <v>720</v>
      </c>
      <c r="J19" s="31" t="s">
        <v>318</v>
      </c>
    </row>
    <row r="20" spans="1:10">
      <c r="A20" s="142">
        <v>46088</v>
      </c>
      <c r="B20" s="143">
        <f>'CHICLETS MASTER'!K10</f>
        <v>0.54166666666666696</v>
      </c>
      <c r="C20" s="142" t="str">
        <f>'CHICLETS MASTER'!$M$3</f>
        <v>ESTANCIA HS 1</v>
      </c>
      <c r="D20" s="31" t="s">
        <v>1025</v>
      </c>
      <c r="E20" s="142" t="str">
        <f>IF(F15="","L#B1/B4",IF(F15&lt;H15,_xlfn.CONCAT("L#B1/B4-",RIGHT(E15,LEN(E15) - FIND("-",E15))), _xlfn.CONCAT("L#B1/B4-",RIGHT(G15,LEN(G15) - FIND("-",G15)))))</f>
        <v>L#B1/B4-SAND CANYON RED</v>
      </c>
      <c r="F20" s="31">
        <v>5</v>
      </c>
      <c r="G20" s="142" t="str">
        <f>IF(F16="","L#B2/B3",IF(F16&lt;H16,_xlfn.CONCAT("L#B2/B3-",RIGHT(E16,LEN(E16) - FIND("-",E16))), _xlfn.CONCAT("L#B2/B3-",RIGHT(G16,LEN(G16) - FIND("-",G16)))))</f>
        <v>L#B2/B3-HIELAND</v>
      </c>
      <c r="H20" s="31">
        <v>17</v>
      </c>
      <c r="I20" s="31" t="s">
        <v>722</v>
      </c>
      <c r="J20" s="31" t="s">
        <v>318</v>
      </c>
    </row>
    <row r="21" spans="1:10">
      <c r="A21" s="142">
        <v>46088</v>
      </c>
      <c r="B21" s="143">
        <f>'CHICLETS MASTER'!K11</f>
        <v>0.58333333333333304</v>
      </c>
      <c r="C21" s="142" t="str">
        <f>'CHICLETS MASTER'!$L$3</f>
        <v>WOOLLETT NEAR LEFT</v>
      </c>
      <c r="D21" s="31" t="s">
        <v>1026</v>
      </c>
      <c r="E21" s="142" t="str">
        <f>A4</f>
        <v>A1-SAND CANYON BLACK pt</v>
      </c>
      <c r="F21" s="31">
        <v>19</v>
      </c>
      <c r="G21" s="142" t="str">
        <f>A5</f>
        <v>A2-VANGUARD SILVER</v>
      </c>
      <c r="H21" s="31">
        <v>2</v>
      </c>
      <c r="I21" s="31" t="s">
        <v>636</v>
      </c>
      <c r="J21" s="31" t="s">
        <v>318</v>
      </c>
    </row>
    <row r="22" spans="1:10">
      <c r="A22" s="142">
        <v>46088</v>
      </c>
      <c r="B22" s="143">
        <f>'CHICLETS MASTER'!K12</f>
        <v>0.625</v>
      </c>
      <c r="C22" s="142" t="str">
        <f>'CHICLETS MASTER'!$L$3</f>
        <v>WOOLLETT NEAR LEFT</v>
      </c>
      <c r="D22" s="31" t="s">
        <v>1027</v>
      </c>
      <c r="E22" s="142" t="str">
        <f>IF(F15="","W#B1/B4",IF(F15&gt;H15,_xlfn.CONCAT("W#B1/B4-",RIGHT(E15,LEN(E15) - FIND("-",E15))), _xlfn.CONCAT("W#B1/B4-",RIGHT(G15,LEN(G15) - FIND("-",G15)))))</f>
        <v>W#B1/B4-PEAK POLO LIGHTNING pt</v>
      </c>
      <c r="F22" s="31">
        <v>18</v>
      </c>
      <c r="G22" s="142" t="str">
        <f>IF(F16="","W#B2/B3",IF(F16&gt;H16,_xlfn.CONCAT("W#B2/B3-",RIGHT(E16,LEN(E16) - FIND("-",E16))), _xlfn.CONCAT("W#B2/B3-",RIGHT(G16,LEN(G16) - FIND("-",G16)))))</f>
        <v>W#B2/B3-ALAMEDA</v>
      </c>
      <c r="H22" s="31">
        <v>1</v>
      </c>
      <c r="I22" s="31" t="s">
        <v>724</v>
      </c>
      <c r="J22" s="31" t="s">
        <v>318</v>
      </c>
    </row>
    <row r="23" spans="1:10">
      <c r="A23" s="116"/>
      <c r="B23" s="59"/>
      <c r="C23" s="116"/>
    </row>
    <row r="24" spans="1:10">
      <c r="A24" s="118"/>
      <c r="B24" s="119"/>
      <c r="C24" s="118"/>
      <c r="D24" s="117"/>
      <c r="E24" s="117"/>
      <c r="F24" s="117"/>
      <c r="G24" s="117"/>
      <c r="H24" s="117"/>
      <c r="I24" s="117"/>
      <c r="J24" s="117"/>
    </row>
    <row r="25" spans="1:10">
      <c r="A25" s="116"/>
      <c r="B25" s="59"/>
      <c r="C25" s="116"/>
      <c r="H25" s="59"/>
      <c r="I25" s="59"/>
    </row>
    <row r="26" spans="1:10">
      <c r="A26" s="142">
        <v>46089</v>
      </c>
      <c r="B26" s="143">
        <f>'CHICLETS MASTER'!K31</f>
        <v>0.33333333333333298</v>
      </c>
      <c r="C26" s="142" t="str">
        <f>'CHICLETS MASTER'!$L$29</f>
        <v>WOOLLETT NEAR LEFT</v>
      </c>
      <c r="D26" s="31" t="s">
        <v>1028</v>
      </c>
      <c r="E26" s="142" t="str">
        <f>F4</f>
        <v>F1(3rdA)-TSM B</v>
      </c>
      <c r="F26" s="31">
        <v>11</v>
      </c>
      <c r="G26" s="142" t="str">
        <f>F5</f>
        <v>F2(3rdB)-HIELAND</v>
      </c>
      <c r="H26" s="31">
        <v>17</v>
      </c>
      <c r="I26" s="31" t="s">
        <v>1029</v>
      </c>
      <c r="J26" s="31" t="s">
        <v>318</v>
      </c>
    </row>
    <row r="27" spans="1:10">
      <c r="A27" s="142">
        <v>46089</v>
      </c>
      <c r="B27" s="143">
        <f>'CHICLETS MASTER'!K31</f>
        <v>0.33333333333333298</v>
      </c>
      <c r="C27" s="142" t="str">
        <f>'CHICLETS MASTER'!$M$29</f>
        <v>ESTANCIA HS 1</v>
      </c>
      <c r="D27" s="31" t="s">
        <v>1030</v>
      </c>
      <c r="E27" s="142" t="str">
        <f>E4</f>
        <v>E1(2ndA)-VANGUARD SILVER</v>
      </c>
      <c r="F27" s="31">
        <v>10</v>
      </c>
      <c r="G27" s="142" t="str">
        <f>E6</f>
        <v>E3(2ndC)-TROJAN  16 CARDINAL pt</v>
      </c>
      <c r="H27" s="31">
        <v>9</v>
      </c>
      <c r="I27" s="31" t="s">
        <v>1031</v>
      </c>
      <c r="J27" s="31" t="s">
        <v>318</v>
      </c>
    </row>
    <row r="28" spans="1:10">
      <c r="A28" s="142">
        <v>46089</v>
      </c>
      <c r="B28" s="143">
        <f>'CHICLETS MASTER'!K32</f>
        <v>0.375</v>
      </c>
      <c r="C28" s="142" t="str">
        <f>'CHICLETS MASTER'!$L$29</f>
        <v>WOOLLETT NEAR LEFT</v>
      </c>
      <c r="D28" s="31" t="s">
        <v>1032</v>
      </c>
      <c r="E28" s="142" t="str">
        <f>F6</f>
        <v>F3(3rdC)-SOUTH VALLEY</v>
      </c>
      <c r="F28" s="31">
        <v>9</v>
      </c>
      <c r="G28" s="142" t="str">
        <f>F8</f>
        <v>F5(4thB)-SAND CANYON RED</v>
      </c>
      <c r="H28" s="31">
        <v>12</v>
      </c>
      <c r="I28" s="31" t="s">
        <v>1033</v>
      </c>
      <c r="J28" s="31" t="s">
        <v>318</v>
      </c>
    </row>
    <row r="29" spans="1:10">
      <c r="A29" s="142">
        <v>46089</v>
      </c>
      <c r="B29" s="143">
        <f>'CHICLETS MASTER'!K33</f>
        <v>0.41666666666666702</v>
      </c>
      <c r="C29" s="142" t="str">
        <f>'CHICLETS MASTER'!$L$29</f>
        <v>WOOLLETT NEAR LEFT</v>
      </c>
      <c r="D29" s="31" t="s">
        <v>1034</v>
      </c>
      <c r="E29" s="142" t="str">
        <f>D4</f>
        <v>D1(1stA)-SAND CANYON BLACK pt</v>
      </c>
      <c r="F29" s="31">
        <v>7</v>
      </c>
      <c r="G29" s="142" t="str">
        <f>D6</f>
        <v>D3(1stC)-PEAK POLO BOLTZ pt</v>
      </c>
      <c r="H29" s="31">
        <v>9</v>
      </c>
      <c r="I29" s="31" t="s">
        <v>1035</v>
      </c>
      <c r="J29" s="31" t="s">
        <v>318</v>
      </c>
    </row>
    <row r="30" spans="1:10">
      <c r="A30" s="142">
        <v>46089</v>
      </c>
      <c r="B30" s="143">
        <f>'CHICLETS MASTER'!K34</f>
        <v>0.45833333333333298</v>
      </c>
      <c r="C30" s="142" t="str">
        <f>'CHICLETS MASTER'!$L$29</f>
        <v>WOOLLETT NEAR LEFT</v>
      </c>
      <c r="D30" s="31" t="s">
        <v>1036</v>
      </c>
      <c r="E30" s="142" t="str">
        <f>F5</f>
        <v>F2(3rdB)-HIELAND</v>
      </c>
      <c r="F30" s="31">
        <v>14</v>
      </c>
      <c r="G30" s="142" t="str">
        <f>F7</f>
        <v>F4(4thC)-ROUTE 66</v>
      </c>
      <c r="H30" s="31">
        <v>3</v>
      </c>
      <c r="I30" s="31" t="s">
        <v>1037</v>
      </c>
      <c r="J30" s="31" t="s">
        <v>318</v>
      </c>
    </row>
    <row r="31" spans="1:10">
      <c r="A31" s="142">
        <v>46089</v>
      </c>
      <c r="B31" s="143">
        <f>'CHICLETS MASTER'!K34</f>
        <v>0.45833333333333298</v>
      </c>
      <c r="C31" s="142" t="str">
        <f>'CHICLETS MASTER'!$M$29</f>
        <v>ESTANCIA HS 1</v>
      </c>
      <c r="D31" s="31" t="s">
        <v>1038</v>
      </c>
      <c r="E31" s="142" t="str">
        <f>E5</f>
        <v>E2(2ndB)-ALAMEDA</v>
      </c>
      <c r="F31" s="31">
        <v>10</v>
      </c>
      <c r="G31" s="142" t="str">
        <f>E6</f>
        <v>E3(2ndC)-TROJAN  16 CARDINAL pt</v>
      </c>
      <c r="H31" s="31">
        <v>9</v>
      </c>
      <c r="I31" s="31" t="s">
        <v>1039</v>
      </c>
      <c r="J31" s="31" t="s">
        <v>318</v>
      </c>
    </row>
    <row r="32" spans="1:10">
      <c r="A32" s="142">
        <v>46089</v>
      </c>
      <c r="B32" s="143">
        <f>'CHICLETS MASTER'!K35</f>
        <v>0.5</v>
      </c>
      <c r="C32" s="142" t="str">
        <f>'CHICLETS MASTER'!$L$29</f>
        <v>WOOLLETT NEAR LEFT</v>
      </c>
      <c r="D32" s="31" t="s">
        <v>1040</v>
      </c>
      <c r="E32" s="142" t="str">
        <f>F4</f>
        <v>F1(3rdA)-TSM B</v>
      </c>
      <c r="F32" s="31">
        <v>11</v>
      </c>
      <c r="G32" s="142" t="str">
        <f>F6</f>
        <v>F3(3rdC)-SOUTH VALLEY</v>
      </c>
      <c r="H32" s="31">
        <v>9</v>
      </c>
      <c r="I32" s="31" t="s">
        <v>1041</v>
      </c>
      <c r="J32" s="31" t="s">
        <v>318</v>
      </c>
    </row>
    <row r="33" spans="1:11">
      <c r="A33" s="142">
        <v>46089</v>
      </c>
      <c r="B33" s="143">
        <f>'CHICLETS MASTER'!K36</f>
        <v>0.54166666666666696</v>
      </c>
      <c r="C33" s="142" t="str">
        <f>'CHICLETS MASTER'!$L$29</f>
        <v>WOOLLETT NEAR LEFT</v>
      </c>
      <c r="D33" s="31" t="s">
        <v>1042</v>
      </c>
      <c r="E33" s="142" t="str">
        <f>D5</f>
        <v>D2(1stB)-PEAK POLO LIGHTNING pt</v>
      </c>
      <c r="F33" s="31">
        <v>14</v>
      </c>
      <c r="G33" s="142" t="str">
        <f>D6</f>
        <v>D3(1stC)-PEAK POLO BOLTZ pt</v>
      </c>
      <c r="H33" s="31">
        <v>7</v>
      </c>
      <c r="I33" s="31" t="s">
        <v>1043</v>
      </c>
      <c r="J33" s="31" t="s">
        <v>318</v>
      </c>
    </row>
    <row r="34" spans="1:11">
      <c r="A34" s="142">
        <v>46089</v>
      </c>
      <c r="B34" s="143">
        <f>'CHICLETS MASTER'!K37</f>
        <v>0.58333333333333304</v>
      </c>
      <c r="C34" s="142" t="str">
        <f>'CHICLETS MASTER'!$L$29</f>
        <v>WOOLLETT NEAR LEFT</v>
      </c>
      <c r="D34" s="31" t="s">
        <v>1044</v>
      </c>
      <c r="E34" s="142" t="str">
        <f>F7</f>
        <v>F4(4thC)-ROUTE 66</v>
      </c>
      <c r="F34" s="31">
        <v>9</v>
      </c>
      <c r="G34" s="142" t="str">
        <f>F8</f>
        <v>F5(4thB)-SAND CANYON RED</v>
      </c>
      <c r="H34" s="31">
        <v>6</v>
      </c>
      <c r="I34" s="31" t="s">
        <v>1045</v>
      </c>
      <c r="J34" s="31" t="s">
        <v>318</v>
      </c>
    </row>
    <row r="35" spans="1:11">
      <c r="A35" s="142">
        <v>46089</v>
      </c>
      <c r="B35" s="143">
        <f>'CHICLETS MASTER'!K37</f>
        <v>0.58333333333333304</v>
      </c>
      <c r="C35" s="142" t="str">
        <f>'CHICLETS MASTER'!$M$29</f>
        <v>ESTANCIA HS 1</v>
      </c>
      <c r="D35" s="31" t="s">
        <v>1046</v>
      </c>
      <c r="E35" s="142" t="str">
        <f>E4</f>
        <v>E1(2ndA)-VANGUARD SILVER</v>
      </c>
      <c r="F35" s="31">
        <v>11</v>
      </c>
      <c r="G35" s="142" t="str">
        <f>E5</f>
        <v>E2(2ndB)-ALAMEDA</v>
      </c>
      <c r="H35" s="31">
        <v>13</v>
      </c>
      <c r="I35" s="31" t="s">
        <v>1047</v>
      </c>
      <c r="J35" s="31" t="s">
        <v>318</v>
      </c>
    </row>
    <row r="36" spans="1:11">
      <c r="A36" s="142">
        <v>46089</v>
      </c>
      <c r="B36" s="143">
        <f>'CHICLETS MASTER'!K38</f>
        <v>0.625</v>
      </c>
      <c r="C36" s="142" t="str">
        <f>'CHICLETS MASTER'!$L$29</f>
        <v>WOOLLETT NEAR LEFT</v>
      </c>
      <c r="D36" s="31" t="s">
        <v>1048</v>
      </c>
      <c r="E36" s="142" t="str">
        <f>D4</f>
        <v>D1(1stA)-SAND CANYON BLACK pt</v>
      </c>
      <c r="F36" s="31">
        <v>12</v>
      </c>
      <c r="G36" s="142" t="str">
        <f>D5</f>
        <v>D2(1stB)-PEAK POLO LIGHTNING pt</v>
      </c>
      <c r="H36" s="31">
        <v>9</v>
      </c>
      <c r="I36" s="31" t="s">
        <v>1049</v>
      </c>
      <c r="J36" s="31" t="s">
        <v>318</v>
      </c>
    </row>
    <row r="38" spans="1:11">
      <c r="G38" s="59" t="s">
        <v>1013</v>
      </c>
      <c r="I38" s="114" t="s">
        <v>1050</v>
      </c>
      <c r="J38" s="114" t="s">
        <v>1051</v>
      </c>
    </row>
    <row r="39" spans="1:11">
      <c r="I39" s="31" t="s">
        <v>414</v>
      </c>
      <c r="J39" s="31" t="s">
        <v>310</v>
      </c>
      <c r="K39" s="114" t="s">
        <v>420</v>
      </c>
    </row>
    <row r="40" spans="1:11">
      <c r="I40" s="31" t="s">
        <v>415</v>
      </c>
      <c r="J40" s="31" t="s">
        <v>308</v>
      </c>
      <c r="K40" s="114" t="s">
        <v>420</v>
      </c>
    </row>
    <row r="41" spans="1:11">
      <c r="I41" s="31" t="s">
        <v>416</v>
      </c>
      <c r="J41" s="31" t="s">
        <v>311</v>
      </c>
      <c r="K41" s="114" t="s">
        <v>420</v>
      </c>
    </row>
    <row r="43" spans="1:11">
      <c r="B43" s="41"/>
      <c r="G43" s="59" t="s">
        <v>1013</v>
      </c>
      <c r="I43" s="114" t="s">
        <v>1052</v>
      </c>
      <c r="J43" s="114" t="s">
        <v>1051</v>
      </c>
    </row>
    <row r="44" spans="1:11">
      <c r="B44" s="41"/>
      <c r="I44" s="31" t="s">
        <v>414</v>
      </c>
      <c r="J44" s="31" t="str">
        <f>IF(F35="","W#22",IF(F35&gt;H35,_xlfn.CONCAT("W#22-",RIGHT(E35,LEN(E35) - FIND("-",E35))), _xlfn.CONCAT("W#22-",RIGHT(G35,LEN(G35) - FIND("-",G35)))))</f>
        <v>W#22-ALAMEDA</v>
      </c>
      <c r="K44" s="114" t="s">
        <v>420</v>
      </c>
    </row>
    <row r="45" spans="1:11">
      <c r="B45" s="41"/>
      <c r="I45" s="31" t="s">
        <v>415</v>
      </c>
      <c r="J45" s="31" t="str">
        <f>IF(F35="","L#22",IF(F35&lt;H35,_xlfn.CONCAT("L#22-",RIGHT(E35,LEN(E35) - FIND("-",E35))), _xlfn.CONCAT("L#22-",RIGHT(G35,LEN(G35) - FIND("-",G35)))))</f>
        <v>L#22-VANGUARD SILVER</v>
      </c>
    </row>
    <row r="46" spans="1:11">
      <c r="B46" s="41"/>
      <c r="I46" s="31" t="s">
        <v>416</v>
      </c>
      <c r="J46" s="31" t="s">
        <v>121</v>
      </c>
      <c r="K46" s="114" t="s">
        <v>420</v>
      </c>
    </row>
    <row r="47" spans="1:11">
      <c r="B47" s="41"/>
    </row>
    <row r="48" spans="1:11">
      <c r="B48" s="41"/>
    </row>
  </sheetData>
  <hyperlinks>
    <hyperlink ref="B2" r:id="rId1" xr:uid="{62CEB29B-A99A-4392-8F6A-87CE81DDB88B}"/>
    <hyperlink ref="C2" r:id="rId2" xr:uid="{4E99FF1B-A940-43FF-9250-C5C17F7623CF}"/>
    <hyperlink ref="A2" r:id="rId3" xr:uid="{587403C5-2FA2-44DA-B8F2-493B899544B7}"/>
  </hyperlinks>
  <pageMargins left="0.7" right="0.7" top="0.75" bottom="0.75" header="0.3" footer="0.3"/>
  <pageSetup scale="61" orientation="landscape"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51F6-B206-43C1-A8FA-83E14F9E26AA}">
  <sheetPr>
    <tabColor rgb="FFD9D9D9"/>
    <pageSetUpPr fitToPage="1"/>
  </sheetPr>
  <dimension ref="A1:J46"/>
  <sheetViews>
    <sheetView workbookViewId="0"/>
  </sheetViews>
  <sheetFormatPr defaultColWidth="9.140625" defaultRowHeight="18"/>
  <cols>
    <col min="1" max="1" width="34.5703125" style="45" customWidth="1"/>
    <col min="2" max="2" width="39.5703125" style="45" customWidth="1"/>
    <col min="3" max="3" width="37.7109375" style="45" customWidth="1"/>
    <col min="4" max="4" width="33.28515625" style="45" customWidth="1"/>
    <col min="5" max="5" width="46.7109375" style="45" bestFit="1" customWidth="1"/>
    <col min="6" max="6" width="8.28515625" style="45" customWidth="1"/>
    <col min="7" max="7" width="38.5703125" style="45" bestFit="1" customWidth="1"/>
    <col min="8" max="8" width="6.7109375" style="45" customWidth="1"/>
    <col min="9" max="9" width="23.7109375" style="45" customWidth="1"/>
    <col min="10" max="10" width="37.140625" style="45" customWidth="1"/>
    <col min="11" max="16384" width="9.140625" style="45"/>
  </cols>
  <sheetData>
    <row r="1" spans="1:10">
      <c r="A1" s="52" t="s">
        <v>1012</v>
      </c>
      <c r="B1" s="121" t="s">
        <v>1053</v>
      </c>
      <c r="C1" s="83" t="s">
        <v>911</v>
      </c>
      <c r="D1" s="121" t="s">
        <v>359</v>
      </c>
      <c r="E1" s="121"/>
      <c r="F1" s="121"/>
      <c r="G1" s="121"/>
      <c r="H1" s="121"/>
      <c r="I1" s="121"/>
      <c r="J1" s="121"/>
    </row>
    <row r="2" spans="1:10">
      <c r="A2" s="62" t="s">
        <v>360</v>
      </c>
      <c r="B2" s="61" t="s">
        <v>361</v>
      </c>
      <c r="C2" s="60" t="s">
        <v>362</v>
      </c>
      <c r="D2" s="121"/>
      <c r="E2" s="121"/>
      <c r="F2" s="121"/>
      <c r="G2" s="121"/>
      <c r="H2" s="121"/>
      <c r="I2" s="121"/>
      <c r="J2" s="121"/>
    </row>
    <row r="3" spans="1:10">
      <c r="A3" s="3" t="s">
        <v>118</v>
      </c>
      <c r="B3" s="3" t="s">
        <v>119</v>
      </c>
      <c r="C3" s="3" t="s">
        <v>120</v>
      </c>
      <c r="D3" s="3" t="s">
        <v>135</v>
      </c>
      <c r="E3" s="1"/>
      <c r="F3" s="59"/>
      <c r="H3" s="59"/>
      <c r="I3" s="59"/>
      <c r="J3" s="59"/>
    </row>
    <row r="4" spans="1:10">
      <c r="A4" s="1" t="s">
        <v>294</v>
      </c>
      <c r="B4" s="1" t="s">
        <v>295</v>
      </c>
      <c r="C4" s="1" t="s">
        <v>296</v>
      </c>
      <c r="D4" s="1" t="s">
        <v>1054</v>
      </c>
      <c r="E4" s="1"/>
      <c r="F4" s="59"/>
      <c r="H4" s="59"/>
      <c r="I4" s="59"/>
      <c r="J4" s="59"/>
    </row>
    <row r="5" spans="1:10">
      <c r="A5" s="1" t="s">
        <v>297</v>
      </c>
      <c r="B5" s="1" t="s">
        <v>298</v>
      </c>
      <c r="C5" s="1" t="s">
        <v>1055</v>
      </c>
      <c r="D5" s="1" t="s">
        <v>1056</v>
      </c>
      <c r="J5" s="59"/>
    </row>
    <row r="6" spans="1:10">
      <c r="A6" s="1" t="s">
        <v>301</v>
      </c>
      <c r="B6" s="1" t="s">
        <v>1057</v>
      </c>
      <c r="C6" s="1" t="s">
        <v>1058</v>
      </c>
      <c r="D6" s="1" t="s">
        <v>1059</v>
      </c>
      <c r="J6" s="59"/>
    </row>
    <row r="7" spans="1:10">
      <c r="A7" s="1"/>
      <c r="B7" s="1"/>
      <c r="C7" s="1"/>
      <c r="D7" s="41"/>
      <c r="J7" s="59"/>
    </row>
    <row r="8" spans="1:10">
      <c r="A8" s="52" t="s">
        <v>346</v>
      </c>
      <c r="B8" s="53" t="s">
        <v>347</v>
      </c>
      <c r="C8" s="52" t="s">
        <v>348</v>
      </c>
      <c r="D8" s="52" t="s">
        <v>349</v>
      </c>
      <c r="E8" s="52" t="s">
        <v>350</v>
      </c>
      <c r="F8" s="52" t="s">
        <v>351</v>
      </c>
      <c r="G8" s="52" t="s">
        <v>352</v>
      </c>
      <c r="H8" s="52" t="s">
        <v>351</v>
      </c>
      <c r="I8" s="52" t="s">
        <v>353</v>
      </c>
      <c r="J8" s="52" t="s">
        <v>0</v>
      </c>
    </row>
    <row r="9" spans="1:10">
      <c r="A9" s="142">
        <v>46088</v>
      </c>
      <c r="B9" s="143">
        <f>'CHICLETS MASTER'!K4</f>
        <v>0.29166666666666669</v>
      </c>
      <c r="C9" s="142" t="str">
        <f>'CHICLETS MASTER'!$L$3</f>
        <v>WOOLLETT NEAR LEFT</v>
      </c>
      <c r="D9" s="31" t="s">
        <v>1017</v>
      </c>
      <c r="E9" s="142" t="str">
        <f>B4</f>
        <v>B1-PEAK POLO LIGHTNING pt</v>
      </c>
      <c r="F9" s="31"/>
      <c r="G9" s="142" t="str">
        <f>B6</f>
        <v>B3-SAND CANYON RED</v>
      </c>
      <c r="H9" s="31"/>
      <c r="I9" s="31" t="s">
        <v>565</v>
      </c>
      <c r="J9" s="31" t="s">
        <v>318</v>
      </c>
    </row>
    <row r="10" spans="1:10">
      <c r="A10" s="142">
        <v>46088</v>
      </c>
      <c r="B10" s="143">
        <f>'CHICLETS MASTER'!K5</f>
        <v>0.33333333333333298</v>
      </c>
      <c r="C10" s="142" t="str">
        <f>'CHICLETS MASTER'!$L$3</f>
        <v>WOOLLETT NEAR LEFT</v>
      </c>
      <c r="D10" s="31" t="s">
        <v>1018</v>
      </c>
      <c r="E10" s="142" t="str">
        <f>D4</f>
        <v>D1-PEAK POLO BOLTZ pt</v>
      </c>
      <c r="F10" s="31"/>
      <c r="G10" s="142" t="str">
        <f>D6</f>
        <v>D3-PUGET SOUND POLO</v>
      </c>
      <c r="H10" s="31"/>
      <c r="I10" s="31" t="s">
        <v>1060</v>
      </c>
      <c r="J10" s="31" t="s">
        <v>318</v>
      </c>
    </row>
    <row r="11" spans="1:10">
      <c r="A11" s="142">
        <v>46088</v>
      </c>
      <c r="B11" s="143">
        <f>'CHICLETS MASTER'!K5</f>
        <v>0.33333333333333298</v>
      </c>
      <c r="C11" s="142" t="str">
        <f>'CHICLETS MASTER'!$M$3</f>
        <v>ESTANCIA HS 1</v>
      </c>
      <c r="D11" s="31" t="s">
        <v>1019</v>
      </c>
      <c r="E11" s="142" t="str">
        <f>A4</f>
        <v>A1-SAND CANYON BLACK pt</v>
      </c>
      <c r="F11" s="31"/>
      <c r="G11" s="142" t="str">
        <f>A6</f>
        <v>A3-TSM B</v>
      </c>
      <c r="H11" s="31"/>
      <c r="I11" s="31" t="s">
        <v>630</v>
      </c>
      <c r="J11" s="31" t="s">
        <v>318</v>
      </c>
    </row>
    <row r="12" spans="1:10">
      <c r="A12" s="142">
        <v>46088</v>
      </c>
      <c r="B12" s="143">
        <f>'CHICLETS MASTER'!K6</f>
        <v>0.375</v>
      </c>
      <c r="C12" s="142" t="str">
        <f>'CHICLETS MASTER'!$L$3</f>
        <v>WOOLLETT NEAR LEFT</v>
      </c>
      <c r="D12" s="31" t="s">
        <v>1020</v>
      </c>
      <c r="E12" s="142" t="str">
        <f>C4</f>
        <v>C1-TROJAN  16 CARDINAL pt</v>
      </c>
      <c r="F12" s="31"/>
      <c r="G12" s="142" t="str">
        <f>C6</f>
        <v>C3-ROUTE 66</v>
      </c>
      <c r="H12" s="31"/>
      <c r="I12" s="31" t="s">
        <v>581</v>
      </c>
      <c r="J12" s="31" t="s">
        <v>318</v>
      </c>
    </row>
    <row r="13" spans="1:10">
      <c r="A13" s="1"/>
      <c r="B13" s="1"/>
      <c r="C13" s="1"/>
      <c r="D13" s="41"/>
      <c r="J13" s="59"/>
    </row>
    <row r="14" spans="1:10">
      <c r="A14" s="142">
        <v>46088</v>
      </c>
      <c r="B14" s="143">
        <f>'CHICLETS MASTER'!K8</f>
        <v>0.45833333333333298</v>
      </c>
      <c r="C14" s="142" t="str">
        <f>'CHICLETS MASTER'!$L$3</f>
        <v>WOOLLETT NEAR LEFT</v>
      </c>
      <c r="D14" s="31" t="s">
        <v>1021</v>
      </c>
      <c r="E14" s="142" t="str">
        <f>B5</f>
        <v>B2-ALAMEDA</v>
      </c>
      <c r="F14" s="31"/>
      <c r="G14" s="142" t="str">
        <f>B6</f>
        <v>B3-SAND CANYON RED</v>
      </c>
      <c r="H14" s="31"/>
      <c r="I14" s="31" t="s">
        <v>571</v>
      </c>
      <c r="J14" s="31" t="s">
        <v>318</v>
      </c>
    </row>
    <row r="15" spans="1:10">
      <c r="A15" s="142">
        <v>46088</v>
      </c>
      <c r="B15" s="143">
        <f>'CHICLETS MASTER'!K8</f>
        <v>0.45833333333333298</v>
      </c>
      <c r="C15" s="142" t="str">
        <f>'CHICLETS MASTER'!$M$3</f>
        <v>ESTANCIA HS 1</v>
      </c>
      <c r="D15" s="31" t="s">
        <v>1023</v>
      </c>
      <c r="E15" s="142" t="str">
        <f>A5</f>
        <v>A2-VANGUARD SILVER</v>
      </c>
      <c r="F15" s="31"/>
      <c r="G15" s="142" t="str">
        <f>A6</f>
        <v>A3-TSM B</v>
      </c>
      <c r="H15" s="31"/>
      <c r="I15" s="31" t="s">
        <v>641</v>
      </c>
      <c r="J15" s="31" t="s">
        <v>318</v>
      </c>
    </row>
    <row r="16" spans="1:10">
      <c r="A16" s="142">
        <v>46088</v>
      </c>
      <c r="B16" s="143">
        <f>'CHICLETS MASTER'!K9</f>
        <v>0.5</v>
      </c>
      <c r="C16" s="142" t="str">
        <f>'CHICLETS MASTER'!$L$3</f>
        <v>WOOLLETT NEAR LEFT</v>
      </c>
      <c r="D16" s="31" t="s">
        <v>1022</v>
      </c>
      <c r="E16" s="142" t="str">
        <f>D5</f>
        <v>D2-HIELAND</v>
      </c>
      <c r="F16" s="31"/>
      <c r="G16" s="142" t="str">
        <f>D6</f>
        <v>D3-PUGET SOUND POLO</v>
      </c>
      <c r="H16" s="31"/>
      <c r="I16" s="31" t="s">
        <v>1061</v>
      </c>
      <c r="J16" s="31" t="s">
        <v>318</v>
      </c>
    </row>
    <row r="17" spans="1:10">
      <c r="A17" s="142">
        <v>46088</v>
      </c>
      <c r="B17" s="143">
        <f>'CHICLETS MASTER'!K10</f>
        <v>0.54166666666666696</v>
      </c>
      <c r="C17" s="142" t="str">
        <f>'CHICLETS MASTER'!$L$3</f>
        <v>WOOLLETT NEAR LEFT</v>
      </c>
      <c r="D17" s="31" t="s">
        <v>1024</v>
      </c>
      <c r="E17" s="142" t="str">
        <f>C5</f>
        <v>C2-SOUTH VALLEY</v>
      </c>
      <c r="F17" s="31"/>
      <c r="G17" s="142" t="str">
        <f>C6</f>
        <v>C3-ROUTE 66</v>
      </c>
      <c r="H17" s="31"/>
      <c r="I17" s="31" t="s">
        <v>587</v>
      </c>
      <c r="J17" s="31" t="s">
        <v>318</v>
      </c>
    </row>
    <row r="18" spans="1:10">
      <c r="A18" s="142">
        <v>46088</v>
      </c>
      <c r="B18" s="143">
        <f>'CHICLETS MASTER'!K11</f>
        <v>0.58333333333333304</v>
      </c>
      <c r="C18" s="142" t="str">
        <f>'CHICLETS MASTER'!$L$3</f>
        <v>WOOLLETT NEAR LEFT</v>
      </c>
      <c r="D18" s="31" t="s">
        <v>1026</v>
      </c>
      <c r="E18" s="142" t="str">
        <f>B4</f>
        <v>B1-PEAK POLO LIGHTNING pt</v>
      </c>
      <c r="F18" s="31"/>
      <c r="G18" s="142" t="str">
        <f>B5</f>
        <v>B2-ALAMEDA</v>
      </c>
      <c r="H18" s="31"/>
      <c r="I18" s="31" t="s">
        <v>577</v>
      </c>
      <c r="J18" s="31" t="s">
        <v>318</v>
      </c>
    </row>
    <row r="19" spans="1:10">
      <c r="A19" s="142">
        <v>46088</v>
      </c>
      <c r="B19" s="143">
        <f>'CHICLETS MASTER'!K11</f>
        <v>0.58333333333333304</v>
      </c>
      <c r="C19" s="142" t="str">
        <f>'CHICLETS MASTER'!$M$3</f>
        <v>ESTANCIA HS 1</v>
      </c>
      <c r="D19" s="31" t="s">
        <v>1027</v>
      </c>
      <c r="E19" s="142" t="str">
        <f>A4</f>
        <v>A1-SAND CANYON BLACK pt</v>
      </c>
      <c r="F19" s="31"/>
      <c r="G19" s="142" t="str">
        <f>A5</f>
        <v>A2-VANGUARD SILVER</v>
      </c>
      <c r="H19" s="31"/>
      <c r="I19" s="31" t="s">
        <v>636</v>
      </c>
      <c r="J19" s="31" t="s">
        <v>318</v>
      </c>
    </row>
    <row r="20" spans="1:10">
      <c r="A20" s="142">
        <v>46088</v>
      </c>
      <c r="B20" s="143">
        <f>'CHICLETS MASTER'!K12</f>
        <v>0.625</v>
      </c>
      <c r="C20" s="142" t="str">
        <f>'CHICLETS MASTER'!$L$3</f>
        <v>WOOLLETT NEAR LEFT</v>
      </c>
      <c r="D20" s="31" t="s">
        <v>1025</v>
      </c>
      <c r="E20" s="142" t="str">
        <f>D4</f>
        <v>D1-PEAK POLO BOLTZ pt</v>
      </c>
      <c r="F20" s="31"/>
      <c r="G20" s="142" t="str">
        <f>D5</f>
        <v>D2-HIELAND</v>
      </c>
      <c r="H20" s="31"/>
      <c r="I20" s="31" t="s">
        <v>1062</v>
      </c>
      <c r="J20" s="31" t="s">
        <v>318</v>
      </c>
    </row>
    <row r="21" spans="1:10">
      <c r="A21" s="142">
        <v>46088</v>
      </c>
      <c r="B21" s="143">
        <f>'CHICLETS MASTER'!K13</f>
        <v>0.66666666666666696</v>
      </c>
      <c r="C21" s="142" t="str">
        <f>'CHICLETS MASTER'!$L$3</f>
        <v>WOOLLETT NEAR LEFT</v>
      </c>
      <c r="D21" s="31" t="s">
        <v>1028</v>
      </c>
      <c r="E21" s="142" t="str">
        <f>C4</f>
        <v>C1-TROJAN  16 CARDINAL pt</v>
      </c>
      <c r="F21" s="31"/>
      <c r="G21" s="142" t="str">
        <f>C5</f>
        <v>C2-SOUTH VALLEY</v>
      </c>
      <c r="H21" s="31"/>
      <c r="I21" s="31" t="s">
        <v>593</v>
      </c>
      <c r="J21" s="31" t="s">
        <v>318</v>
      </c>
    </row>
    <row r="22" spans="1:10">
      <c r="A22" s="140"/>
      <c r="B22" s="141"/>
      <c r="C22" s="140"/>
      <c r="D22" s="139"/>
      <c r="J22" s="139"/>
    </row>
    <row r="23" spans="1:10">
      <c r="A23" s="137"/>
      <c r="B23" s="138"/>
      <c r="C23" s="137"/>
      <c r="D23" s="135"/>
      <c r="E23" s="136"/>
      <c r="F23" s="136"/>
      <c r="G23" s="136"/>
      <c r="H23" s="136"/>
      <c r="I23" s="136"/>
      <c r="J23" s="135"/>
    </row>
    <row r="24" spans="1:10">
      <c r="A24" s="52"/>
      <c r="B24" s="53"/>
      <c r="C24" s="52"/>
      <c r="J24" s="52"/>
    </row>
    <row r="25" spans="1:10">
      <c r="A25" s="142">
        <v>46089</v>
      </c>
      <c r="B25" s="143">
        <f>'CHICLETS MASTER'!K30</f>
        <v>0.29166666666666669</v>
      </c>
      <c r="C25" s="142" t="str">
        <f>'CHICLETS MASTER'!$L$29</f>
        <v>WOOLLETT NEAR LEFT</v>
      </c>
      <c r="D25" s="31" t="s">
        <v>1030</v>
      </c>
      <c r="E25" s="142" t="s">
        <v>99</v>
      </c>
      <c r="F25" s="31"/>
      <c r="G25" s="142" t="s">
        <v>1063</v>
      </c>
      <c r="H25" s="31"/>
      <c r="I25" s="31" t="s">
        <v>1064</v>
      </c>
      <c r="J25" s="31" t="s">
        <v>318</v>
      </c>
    </row>
    <row r="26" spans="1:10">
      <c r="A26" s="142">
        <v>46089</v>
      </c>
      <c r="B26" s="143">
        <f>'CHICLETS MASTER'!K31</f>
        <v>0.33333333333333298</v>
      </c>
      <c r="C26" s="142" t="str">
        <f>'CHICLETS MASTER'!$L$29</f>
        <v>WOOLLETT NEAR LEFT</v>
      </c>
      <c r="D26" s="31" t="s">
        <v>1036</v>
      </c>
      <c r="E26" s="142" t="s">
        <v>506</v>
      </c>
      <c r="F26" s="31"/>
      <c r="G26" s="142" t="s">
        <v>1065</v>
      </c>
      <c r="H26" s="31"/>
      <c r="I26" s="31" t="s">
        <v>1064</v>
      </c>
      <c r="J26" s="31" t="s">
        <v>318</v>
      </c>
    </row>
    <row r="27" spans="1:10">
      <c r="A27" s="142">
        <v>46089</v>
      </c>
      <c r="B27" s="143">
        <f>'CHICLETS MASTER'!K32</f>
        <v>0.375</v>
      </c>
      <c r="C27" s="142" t="str">
        <f>'CHICLETS MASTER'!$L$29</f>
        <v>WOOLLETT NEAR LEFT</v>
      </c>
      <c r="D27" s="31" t="s">
        <v>1032</v>
      </c>
      <c r="E27" s="142" t="s">
        <v>94</v>
      </c>
      <c r="F27" s="31"/>
      <c r="G27" s="142" t="s">
        <v>1066</v>
      </c>
      <c r="H27" s="31"/>
      <c r="I27" s="31" t="s">
        <v>648</v>
      </c>
      <c r="J27" s="31" t="s">
        <v>318</v>
      </c>
    </row>
    <row r="28" spans="1:10">
      <c r="A28" s="142">
        <v>46089</v>
      </c>
      <c r="B28" s="143">
        <f>'CHICLETS MASTER'!K33</f>
        <v>0.41666666666666702</v>
      </c>
      <c r="C28" s="142" t="str">
        <f>'CHICLETS MASTER'!$M$29</f>
        <v>ESTANCIA HS 1</v>
      </c>
      <c r="D28" s="31" t="s">
        <v>1048</v>
      </c>
      <c r="E28" s="142" t="s">
        <v>104</v>
      </c>
      <c r="F28" s="31"/>
      <c r="G28" s="142" t="s">
        <v>102</v>
      </c>
      <c r="H28" s="31"/>
      <c r="I28" s="31" t="s">
        <v>1067</v>
      </c>
      <c r="J28" s="31" t="s">
        <v>318</v>
      </c>
    </row>
    <row r="29" spans="1:10">
      <c r="A29" s="142">
        <v>46089</v>
      </c>
      <c r="B29" s="143">
        <f>'CHICLETS MASTER'!K33</f>
        <v>0.41666666666666702</v>
      </c>
      <c r="C29" s="142" t="str">
        <f>'CHICLETS MASTER'!$L$29</f>
        <v>WOOLLETT NEAR LEFT</v>
      </c>
      <c r="D29" s="31" t="s">
        <v>1034</v>
      </c>
      <c r="E29" s="142" t="s">
        <v>508</v>
      </c>
      <c r="F29" s="31"/>
      <c r="G29" s="142" t="s">
        <v>1068</v>
      </c>
      <c r="H29" s="31"/>
      <c r="I29" s="31" t="s">
        <v>648</v>
      </c>
      <c r="J29" s="31" t="s">
        <v>318</v>
      </c>
    </row>
    <row r="30" spans="1:10">
      <c r="A30" s="142">
        <v>46089</v>
      </c>
      <c r="B30" s="143">
        <f>'CHICLETS MASTER'!K34</f>
        <v>0.45833333333333298</v>
      </c>
      <c r="C30" s="142" t="str">
        <f>'CHICLETS MASTER'!$M$29</f>
        <v>ESTANCIA HS 1</v>
      </c>
      <c r="D30" s="31" t="s">
        <v>1046</v>
      </c>
      <c r="E30" s="142" t="s">
        <v>92</v>
      </c>
      <c r="F30" s="31"/>
      <c r="G30" s="142" t="s">
        <v>97</v>
      </c>
      <c r="H30" s="31"/>
      <c r="I30" s="31" t="s">
        <v>1067</v>
      </c>
      <c r="J30" s="31" t="s">
        <v>318</v>
      </c>
    </row>
    <row r="31" spans="1:10">
      <c r="A31" s="142">
        <v>46089</v>
      </c>
      <c r="B31" s="143">
        <f>'CHICLETS MASTER'!K34</f>
        <v>0.45833333333333298</v>
      </c>
      <c r="C31" s="142" t="str">
        <f>'CHICLETS MASTER'!$L$29</f>
        <v>WOOLLETT NEAR LEFT</v>
      </c>
      <c r="D31" s="31" t="s">
        <v>1038</v>
      </c>
      <c r="E31" s="142" t="str">
        <f>IF(F25="","W#15-",IF(F25&gt;H25,_xlfn.CONCAT("W#15-",RIGHT(E25,LEN(E25) - FIND("-",E25))), _xlfn.CONCAT("W#15-",RIGHT(G25,LEN(G25) - FIND("-",G25)))))</f>
        <v>W#15-</v>
      </c>
      <c r="F31" s="31"/>
      <c r="G31" s="142" t="str">
        <f>IF(F26="","W#16-",IF(F26&gt;H26,_xlfn.CONCAT("W#16-",RIGHT(E26,LEN(E26) - FIND("-",E26))), _xlfn.CONCAT("W#16-",RIGHT(G26,LEN(G26) - FIND("-",G26)))))</f>
        <v>W#16-</v>
      </c>
      <c r="H31" s="31"/>
      <c r="I31" s="31" t="s">
        <v>741</v>
      </c>
      <c r="J31" s="31" t="s">
        <v>318</v>
      </c>
    </row>
    <row r="32" spans="1:10">
      <c r="A32" s="142">
        <v>46089</v>
      </c>
      <c r="B32" s="143">
        <f>'CHICLETS MASTER'!K35</f>
        <v>0.5</v>
      </c>
      <c r="C32" s="142" t="str">
        <f>'CHICLETS MASTER'!$L$29</f>
        <v>WOOLLETT NEAR LEFT</v>
      </c>
      <c r="D32" s="31" t="s">
        <v>1044</v>
      </c>
      <c r="E32" s="142" t="str">
        <f>IF(F25="","L#15-",IF(F25&lt;H25,_xlfn.CONCAT("L#15-",RIGHT(E25,LEN(E25) - FIND("-",E25))), _xlfn.CONCAT("L#15-",RIGHT(G25,LEN(G25) - FIND("-",G25)))))</f>
        <v>L#15-</v>
      </c>
      <c r="F32" s="31"/>
      <c r="G32" s="142" t="str">
        <f>IF(F26="","L#16-",IF(F26&lt;H26,_xlfn.CONCAT("L#16-",RIGHT(E26,LEN(E26) - FIND("-",E26))), _xlfn.CONCAT("L#16-",RIGHT(G26,LEN(G26) - FIND("-",G26)))))</f>
        <v>L#16-</v>
      </c>
      <c r="H32" s="31"/>
      <c r="I32" s="31" t="s">
        <v>745</v>
      </c>
      <c r="J32" s="31" t="s">
        <v>318</v>
      </c>
    </row>
    <row r="33" spans="1:10">
      <c r="A33" s="142">
        <v>46089</v>
      </c>
      <c r="B33" s="143">
        <f>'CHICLETS MASTER'!K36</f>
        <v>0.54166666666666696</v>
      </c>
      <c r="C33" s="142" t="str">
        <f>'CHICLETS MASTER'!$L$29</f>
        <v>WOOLLETT NEAR LEFT</v>
      </c>
      <c r="D33" s="31" t="s">
        <v>1040</v>
      </c>
      <c r="E33" s="142" t="str">
        <f>IF(F27="","L#13-",IF(F27&lt;H27,_xlfn.CONCAT("L#13-",RIGHT(E27,LEN(E27) - FIND("-",E27))), _xlfn.CONCAT("L#13-",RIGHT(G27,LEN(G27) - FIND("-",G27)))))</f>
        <v>L#13-</v>
      </c>
      <c r="F33" s="31"/>
      <c r="G33" s="142" t="str">
        <f>IF(F29="","L#14-",IF(F29&lt;H29,_xlfn.CONCAT("L#14-",RIGHT(E29,LEN(E29) - FIND("-",E29))), _xlfn.CONCAT("L#14-",RIGHT(G29,LEN(G29) - FIND("-",G29)))))</f>
        <v>L#14-</v>
      </c>
      <c r="H33" s="31"/>
      <c r="I33" s="31" t="s">
        <v>416</v>
      </c>
      <c r="J33" s="31" t="s">
        <v>318</v>
      </c>
    </row>
    <row r="34" spans="1:10">
      <c r="A34" s="142">
        <v>46089</v>
      </c>
      <c r="B34" s="143">
        <f>'CHICLETS MASTER'!K37</f>
        <v>0.58333333333333304</v>
      </c>
      <c r="C34" s="142" t="str">
        <f>'CHICLETS MASTER'!$L$29</f>
        <v>WOOLLETT NEAR LEFT</v>
      </c>
      <c r="D34" s="31" t="s">
        <v>1042</v>
      </c>
      <c r="E34" s="142" t="str">
        <f>IF(F27="","W#13-",IF(F27&gt;H27,_xlfn.CONCAT("W#13-",RIGHT(E27,LEN(E27) - FIND("-",E27))), _xlfn.CONCAT("W#13-",RIGHT(G27,LEN(G27) - FIND("-",G27)))))</f>
        <v>W#13-</v>
      </c>
      <c r="F34" s="31"/>
      <c r="G34" s="142" t="str">
        <f>IF(F29="","W#14-",IF(F29&gt;H29,_xlfn.CONCAT("W#14-",RIGHT(E29,LEN(E29) - FIND("-",E29))), _xlfn.CONCAT("W#14-",RIGHT(G29,LEN(G29) - FIND("-",G29)))))</f>
        <v>W#14-</v>
      </c>
      <c r="H34" s="31"/>
      <c r="I34" s="31" t="s">
        <v>414</v>
      </c>
      <c r="J34" s="31" t="s">
        <v>318</v>
      </c>
    </row>
    <row r="35" spans="1:10">
      <c r="A35" s="142">
        <v>46089</v>
      </c>
      <c r="B35" s="143">
        <f>'CHICLETS MASTER'!K37</f>
        <v>0.58333333333333304</v>
      </c>
      <c r="C35" s="142" t="str">
        <f>'CHICLETS MASTER'!$M$29</f>
        <v>ESTANCIA HS 1</v>
      </c>
      <c r="D35" s="31" t="s">
        <v>1069</v>
      </c>
      <c r="E35" s="142" t="str">
        <f>IF(F28="","W#21-",IF(F28&gt;H28,_xlfn.CONCAT("W#21-",RIGHT(E28,LEN(E28) - FIND("-",E28))), _xlfn.CONCAT("W#21-",RIGHT(G28,LEN(G28) - FIND("-",G28)))))</f>
        <v>W#21-</v>
      </c>
      <c r="F35" s="31"/>
      <c r="G35" s="142" t="str">
        <f>IF(F30="","W#22-",IF(F30&gt;H30,_xlfn.CONCAT("W#22-",RIGHT(E30,LEN(E30) - FIND("-",E30))), _xlfn.CONCAT("W#22-",RIGHT(G30,LEN(G30) - FIND("-",G30)))))</f>
        <v>W#22-</v>
      </c>
      <c r="H35" s="31"/>
      <c r="I35" s="31" t="s">
        <v>743</v>
      </c>
      <c r="J35" s="31" t="s">
        <v>318</v>
      </c>
    </row>
    <row r="36" spans="1:10">
      <c r="A36" s="142">
        <v>46089</v>
      </c>
      <c r="B36" s="143">
        <f>'CHICLETS MASTER'!K38</f>
        <v>0.625</v>
      </c>
      <c r="C36" s="142" t="str">
        <f>'CHICLETS MASTER'!$M$29</f>
        <v>ESTANCIA HS 1</v>
      </c>
      <c r="D36" s="31" t="s">
        <v>1070</v>
      </c>
      <c r="E36" s="142" t="str">
        <f>IF(F28="","L#21-",IF(F28&lt;H28,_xlfn.CONCAT("L#21-",RIGHT(E28,LEN(E28) - FIND("-",E28))), _xlfn.CONCAT("L#21-",RIGHT(G28,LEN(G28) - FIND("-",G28)))))</f>
        <v>L#21-</v>
      </c>
      <c r="F36" s="31"/>
      <c r="G36" s="142" t="str">
        <f>IF(F30="","L#22-",IF(F30&lt;H30,_xlfn.CONCAT("L#22-",RIGHT(E30,LEN(E30) - FIND("-",E30))), _xlfn.CONCAT("L#22-",RIGHT(G30,LEN(G30) - FIND("-",G30)))))</f>
        <v>L#22-</v>
      </c>
      <c r="H36" s="31"/>
      <c r="I36" s="31" t="s">
        <v>747</v>
      </c>
      <c r="J36" s="31" t="s">
        <v>318</v>
      </c>
    </row>
    <row r="38" spans="1:10">
      <c r="I38" s="45" t="s">
        <v>1050</v>
      </c>
    </row>
    <row r="39" spans="1:10">
      <c r="I39" s="31" t="s">
        <v>414</v>
      </c>
      <c r="J39" s="31"/>
    </row>
    <row r="40" spans="1:10">
      <c r="I40" s="31" t="s">
        <v>415</v>
      </c>
      <c r="J40" s="31"/>
    </row>
    <row r="41" spans="1:10">
      <c r="I41" s="31" t="s">
        <v>416</v>
      </c>
      <c r="J41" s="31"/>
    </row>
    <row r="43" spans="1:10">
      <c r="I43" s="45" t="s">
        <v>1052</v>
      </c>
    </row>
    <row r="44" spans="1:10">
      <c r="I44" s="31" t="s">
        <v>414</v>
      </c>
      <c r="J44" s="31"/>
    </row>
    <row r="45" spans="1:10">
      <c r="I45" s="31" t="s">
        <v>415</v>
      </c>
      <c r="J45" s="31"/>
    </row>
    <row r="46" spans="1:10">
      <c r="I46" s="31" t="s">
        <v>416</v>
      </c>
      <c r="J46" s="31"/>
    </row>
  </sheetData>
  <hyperlinks>
    <hyperlink ref="B2" r:id="rId1" xr:uid="{0309A28E-5D04-46F6-B34C-B670DF64014F}"/>
    <hyperlink ref="C2" r:id="rId2" xr:uid="{1D5CBD47-DCC9-4C65-86E9-0901A4B05322}"/>
  </hyperlinks>
  <pageMargins left="0.7" right="0.7" top="0.75" bottom="0.75" header="0.3" footer="0.3"/>
  <pageSetup scale="85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J Baba</dc:creator>
  <cp:keywords/>
  <dc:description/>
  <cp:lastModifiedBy>Nicholas J Baba</cp:lastModifiedBy>
  <cp:revision/>
  <dcterms:created xsi:type="dcterms:W3CDTF">2015-06-05T18:17:20Z</dcterms:created>
  <dcterms:modified xsi:type="dcterms:W3CDTF">2026-03-23T22:01:33Z</dcterms:modified>
  <cp:category/>
  <cp:contentStatus/>
</cp:coreProperties>
</file>