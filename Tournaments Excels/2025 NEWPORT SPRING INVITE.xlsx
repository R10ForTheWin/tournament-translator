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6f253ef3afcfe1c8/2025 EVENTS/2025 NEWPORT SPRING INVITE/"/>
    </mc:Choice>
  </mc:AlternateContent>
  <xr:revisionPtr revIDLastSave="0" documentId="8_{5C2C847C-6B81-4AAB-908C-E414F268E593}" xr6:coauthVersionLast="47" xr6:coauthVersionMax="47" xr10:uidLastSave="{00000000-0000-0000-0000-000000000000}"/>
  <bookViews>
    <workbookView xWindow="-20" yWindow="580" windowWidth="24810" windowHeight="9400" firstSheet="9" activeTab="9" xr2:uid="{DF7B94EE-280B-42A6-B2B5-4D5BCE673D19}"/>
  </bookViews>
  <sheets>
    <sheet name="MASTER BY DIVISION" sheetId="8" r:id="rId1"/>
    <sheet name="MASTER BY TIME" sheetId="9" r:id="rId2"/>
    <sheet name="TEAM LISTING AND BRACKETS" sheetId="6" r:id="rId3"/>
    <sheet name="MASTER BY LOCATION" sheetId="10" r:id="rId4"/>
    <sheet name="CHICLETS" sheetId="4" r:id="rId5"/>
    <sheet name="CHICLETS NEW" sheetId="11" state="hidden" r:id="rId6"/>
    <sheet name="16U BOYS GOLD-9 TEAMS" sheetId="3" r:id="rId7"/>
    <sheet name="18U BOYS GOLD-4 TEAMS" sheetId="5" state="hidden" r:id="rId8"/>
    <sheet name="16U BOYS PLATINUM-19 TEAMS" sheetId="2" r:id="rId9"/>
    <sheet name="18U BOYS-24 TEAMS" sheetId="13" r:id="rId10"/>
    <sheet name="18U BOYS PLATINUM-23 TEAMS" sheetId="7" state="hidden" r:id="rId11"/>
    <sheet name="18U BOYS-27 TEAMS" sheetId="12" state="hidden" r:id="rId12"/>
    <sheet name="18U BOYS PLATINUM-22 TEAMS" sheetId="1" state="hidden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2" l="1"/>
  <c r="B81" i="2"/>
  <c r="B80" i="2"/>
  <c r="B79" i="2"/>
  <c r="B76" i="2"/>
  <c r="B75" i="2"/>
  <c r="F73" i="2"/>
  <c r="B89" i="13"/>
  <c r="B88" i="13"/>
  <c r="B87" i="13"/>
  <c r="B94" i="13"/>
  <c r="F109" i="4" s="1"/>
  <c r="B93" i="13"/>
  <c r="F108" i="4" s="1"/>
  <c r="B92" i="13"/>
  <c r="F86" i="13"/>
  <c r="E73" i="13"/>
  <c r="E67" i="2"/>
  <c r="B53" i="13"/>
  <c r="B78" i="10" s="1"/>
  <c r="B54" i="13"/>
  <c r="B52" i="13"/>
  <c r="B50" i="13"/>
  <c r="B76" i="10" s="1"/>
  <c r="J79" i="10"/>
  <c r="I79" i="10"/>
  <c r="H79" i="10"/>
  <c r="F79" i="10"/>
  <c r="D79" i="10"/>
  <c r="C79" i="10"/>
  <c r="B79" i="10"/>
  <c r="A79" i="10"/>
  <c r="J30" i="10"/>
  <c r="I30" i="10"/>
  <c r="H30" i="10"/>
  <c r="F30" i="10"/>
  <c r="D30" i="10"/>
  <c r="C30" i="10"/>
  <c r="B30" i="10"/>
  <c r="A30" i="10"/>
  <c r="J89" i="10"/>
  <c r="I89" i="10"/>
  <c r="H89" i="10"/>
  <c r="F89" i="10"/>
  <c r="D89" i="10"/>
  <c r="C89" i="10"/>
  <c r="B89" i="10"/>
  <c r="A89" i="10"/>
  <c r="J39" i="10"/>
  <c r="I39" i="10"/>
  <c r="H39" i="10"/>
  <c r="F39" i="10"/>
  <c r="D39" i="10"/>
  <c r="C39" i="10"/>
  <c r="B39" i="10"/>
  <c r="A39" i="10"/>
  <c r="J88" i="10"/>
  <c r="I88" i="10"/>
  <c r="H88" i="10"/>
  <c r="F88" i="10"/>
  <c r="D88" i="10"/>
  <c r="C88" i="10"/>
  <c r="B88" i="10"/>
  <c r="A88" i="10"/>
  <c r="J38" i="10"/>
  <c r="I38" i="10"/>
  <c r="H38" i="10"/>
  <c r="F38" i="10"/>
  <c r="D38" i="10"/>
  <c r="C38" i="10"/>
  <c r="B38" i="10"/>
  <c r="A38" i="10"/>
  <c r="J87" i="10"/>
  <c r="I87" i="10"/>
  <c r="H87" i="10"/>
  <c r="F87" i="10"/>
  <c r="D87" i="10"/>
  <c r="C87" i="10"/>
  <c r="B87" i="10"/>
  <c r="A87" i="10"/>
  <c r="J37" i="10"/>
  <c r="I37" i="10"/>
  <c r="H37" i="10"/>
  <c r="F37" i="10"/>
  <c r="D37" i="10"/>
  <c r="C37" i="10"/>
  <c r="B37" i="10"/>
  <c r="A37" i="10"/>
  <c r="J86" i="10"/>
  <c r="I86" i="10"/>
  <c r="H86" i="10"/>
  <c r="F86" i="10"/>
  <c r="D86" i="10"/>
  <c r="C86" i="10"/>
  <c r="B86" i="10"/>
  <c r="A86" i="10"/>
  <c r="J56" i="10"/>
  <c r="I56" i="10"/>
  <c r="H56" i="10"/>
  <c r="F56" i="10"/>
  <c r="D56" i="10"/>
  <c r="C56" i="10"/>
  <c r="B56" i="10"/>
  <c r="A56" i="10"/>
  <c r="J36" i="10"/>
  <c r="I36" i="10"/>
  <c r="H36" i="10"/>
  <c r="F36" i="10"/>
  <c r="D36" i="10"/>
  <c r="C36" i="10"/>
  <c r="B36" i="10"/>
  <c r="A36" i="10"/>
  <c r="J85" i="10"/>
  <c r="I85" i="10"/>
  <c r="H85" i="10"/>
  <c r="F85" i="10"/>
  <c r="D85" i="10"/>
  <c r="C85" i="10"/>
  <c r="B85" i="10"/>
  <c r="A85" i="10"/>
  <c r="J55" i="10"/>
  <c r="I55" i="10"/>
  <c r="H55" i="10"/>
  <c r="F55" i="10"/>
  <c r="D55" i="10"/>
  <c r="C55" i="10"/>
  <c r="B55" i="10"/>
  <c r="A55" i="10"/>
  <c r="J35" i="10"/>
  <c r="I35" i="10"/>
  <c r="H35" i="10"/>
  <c r="F35" i="10"/>
  <c r="D35" i="10"/>
  <c r="C35" i="10"/>
  <c r="B35" i="10"/>
  <c r="A35" i="10"/>
  <c r="J84" i="10"/>
  <c r="I84" i="10"/>
  <c r="H84" i="10"/>
  <c r="F84" i="10"/>
  <c r="D84" i="10"/>
  <c r="C84" i="10"/>
  <c r="B84" i="10"/>
  <c r="A84" i="10"/>
  <c r="J54" i="10"/>
  <c r="I54" i="10"/>
  <c r="H54" i="10"/>
  <c r="F54" i="10"/>
  <c r="D54" i="10"/>
  <c r="C54" i="10"/>
  <c r="B54" i="10"/>
  <c r="A54" i="10"/>
  <c r="J34" i="10"/>
  <c r="I34" i="10"/>
  <c r="H34" i="10"/>
  <c r="F34" i="10"/>
  <c r="D34" i="10"/>
  <c r="C34" i="10"/>
  <c r="B34" i="10"/>
  <c r="A34" i="10"/>
  <c r="J83" i="10"/>
  <c r="I83" i="10"/>
  <c r="H83" i="10"/>
  <c r="F83" i="10"/>
  <c r="D83" i="10"/>
  <c r="C83" i="10"/>
  <c r="B83" i="10"/>
  <c r="A83" i="10"/>
  <c r="J53" i="10"/>
  <c r="I53" i="10"/>
  <c r="H53" i="10"/>
  <c r="F53" i="10"/>
  <c r="D53" i="10"/>
  <c r="C53" i="10"/>
  <c r="B53" i="10"/>
  <c r="A53" i="10"/>
  <c r="J33" i="10"/>
  <c r="I33" i="10"/>
  <c r="H33" i="10"/>
  <c r="F33" i="10"/>
  <c r="D33" i="10"/>
  <c r="C33" i="10"/>
  <c r="B33" i="10"/>
  <c r="A33" i="10"/>
  <c r="J82" i="10"/>
  <c r="I82" i="10"/>
  <c r="H82" i="10"/>
  <c r="F82" i="10"/>
  <c r="D82" i="10"/>
  <c r="C82" i="10"/>
  <c r="B82" i="10"/>
  <c r="A82" i="10"/>
  <c r="J52" i="10"/>
  <c r="I52" i="10"/>
  <c r="H52" i="10"/>
  <c r="F52" i="10"/>
  <c r="D52" i="10"/>
  <c r="C52" i="10"/>
  <c r="B52" i="10"/>
  <c r="A52" i="10"/>
  <c r="J32" i="10"/>
  <c r="I32" i="10"/>
  <c r="H32" i="10"/>
  <c r="F32" i="10"/>
  <c r="D32" i="10"/>
  <c r="C32" i="10"/>
  <c r="B32" i="10"/>
  <c r="A32" i="10"/>
  <c r="J81" i="10"/>
  <c r="I81" i="10"/>
  <c r="H81" i="10"/>
  <c r="F81" i="10"/>
  <c r="D81" i="10"/>
  <c r="C81" i="10"/>
  <c r="B81" i="10"/>
  <c r="A81" i="10"/>
  <c r="J51" i="10"/>
  <c r="I51" i="10"/>
  <c r="H51" i="10"/>
  <c r="F51" i="10"/>
  <c r="D51" i="10"/>
  <c r="C51" i="10"/>
  <c r="B51" i="10"/>
  <c r="A51" i="10"/>
  <c r="J31" i="10"/>
  <c r="I31" i="10"/>
  <c r="H31" i="10"/>
  <c r="F31" i="10"/>
  <c r="D31" i="10"/>
  <c r="C31" i="10"/>
  <c r="B31" i="10"/>
  <c r="A31" i="10"/>
  <c r="J80" i="10"/>
  <c r="I80" i="10"/>
  <c r="H80" i="10"/>
  <c r="F80" i="10"/>
  <c r="D80" i="10"/>
  <c r="C80" i="10"/>
  <c r="B80" i="10"/>
  <c r="A80" i="10"/>
  <c r="J78" i="10"/>
  <c r="I78" i="10"/>
  <c r="H78" i="10"/>
  <c r="F78" i="10"/>
  <c r="D78" i="10"/>
  <c r="C78" i="10"/>
  <c r="A78" i="10"/>
  <c r="J29" i="10"/>
  <c r="I29" i="10"/>
  <c r="H29" i="10"/>
  <c r="F29" i="10"/>
  <c r="D29" i="10"/>
  <c r="C29" i="10"/>
  <c r="B29" i="10"/>
  <c r="A29" i="10"/>
  <c r="J77" i="10"/>
  <c r="I77" i="10"/>
  <c r="H77" i="10"/>
  <c r="F77" i="10"/>
  <c r="D77" i="10"/>
  <c r="C77" i="10"/>
  <c r="B77" i="10"/>
  <c r="A77" i="10"/>
  <c r="J99" i="10"/>
  <c r="I99" i="10"/>
  <c r="H99" i="10"/>
  <c r="F99" i="10"/>
  <c r="D99" i="10"/>
  <c r="C99" i="10"/>
  <c r="B99" i="10"/>
  <c r="A99" i="10"/>
  <c r="J28" i="10"/>
  <c r="I28" i="10"/>
  <c r="H28" i="10"/>
  <c r="F28" i="10"/>
  <c r="D28" i="10"/>
  <c r="C28" i="10"/>
  <c r="B28" i="10"/>
  <c r="A28" i="10"/>
  <c r="J76" i="10"/>
  <c r="I76" i="10"/>
  <c r="H76" i="10"/>
  <c r="F76" i="10"/>
  <c r="D76" i="10"/>
  <c r="C76" i="10"/>
  <c r="A76" i="10"/>
  <c r="J27" i="10"/>
  <c r="I27" i="10"/>
  <c r="H27" i="10"/>
  <c r="G27" i="10"/>
  <c r="F27" i="10"/>
  <c r="E27" i="10"/>
  <c r="D27" i="10"/>
  <c r="C27" i="10"/>
  <c r="B27" i="10"/>
  <c r="A27" i="10"/>
  <c r="J26" i="10"/>
  <c r="I26" i="10"/>
  <c r="H26" i="10"/>
  <c r="G26" i="10"/>
  <c r="F26" i="10"/>
  <c r="E26" i="10"/>
  <c r="D26" i="10"/>
  <c r="C26" i="10"/>
  <c r="B26" i="10"/>
  <c r="A26" i="10"/>
  <c r="J75" i="10"/>
  <c r="I75" i="10"/>
  <c r="H75" i="10"/>
  <c r="F75" i="10"/>
  <c r="D75" i="10"/>
  <c r="C75" i="10"/>
  <c r="B75" i="10"/>
  <c r="A75" i="10"/>
  <c r="J25" i="10"/>
  <c r="I25" i="10"/>
  <c r="H25" i="10"/>
  <c r="F25" i="10"/>
  <c r="D25" i="10"/>
  <c r="C25" i="10"/>
  <c r="B25" i="10"/>
  <c r="A25" i="10"/>
  <c r="J74" i="10"/>
  <c r="I74" i="10"/>
  <c r="H74" i="10"/>
  <c r="F74" i="10"/>
  <c r="D74" i="10"/>
  <c r="C74" i="10"/>
  <c r="B74" i="10"/>
  <c r="A74" i="10"/>
  <c r="J24" i="10"/>
  <c r="I24" i="10"/>
  <c r="H24" i="10"/>
  <c r="F24" i="10"/>
  <c r="D24" i="10"/>
  <c r="C24" i="10"/>
  <c r="B24" i="10"/>
  <c r="A24" i="10"/>
  <c r="J73" i="10"/>
  <c r="I73" i="10"/>
  <c r="H73" i="10"/>
  <c r="G73" i="10"/>
  <c r="F73" i="10"/>
  <c r="E73" i="10"/>
  <c r="D73" i="10"/>
  <c r="C73" i="10"/>
  <c r="B73" i="10"/>
  <c r="A73" i="10"/>
  <c r="J72" i="10"/>
  <c r="I72" i="10"/>
  <c r="H72" i="10"/>
  <c r="G72" i="10"/>
  <c r="F72" i="10"/>
  <c r="D72" i="10"/>
  <c r="C72" i="10"/>
  <c r="B72" i="10"/>
  <c r="A72" i="10"/>
  <c r="J93" i="10"/>
  <c r="I93" i="10"/>
  <c r="H93" i="10"/>
  <c r="G93" i="10"/>
  <c r="F93" i="10"/>
  <c r="E93" i="10"/>
  <c r="D93" i="10"/>
  <c r="C93" i="10"/>
  <c r="B93" i="10"/>
  <c r="A93" i="10"/>
  <c r="J23" i="10"/>
  <c r="I23" i="10"/>
  <c r="H23" i="10"/>
  <c r="G23" i="10"/>
  <c r="F23" i="10"/>
  <c r="E23" i="10"/>
  <c r="D23" i="10"/>
  <c r="C23" i="10"/>
  <c r="B23" i="10"/>
  <c r="A23" i="10"/>
  <c r="J59" i="10"/>
  <c r="I59" i="10"/>
  <c r="H59" i="10"/>
  <c r="G59" i="10"/>
  <c r="F59" i="10"/>
  <c r="E59" i="10"/>
  <c r="D59" i="10"/>
  <c r="C59" i="10"/>
  <c r="B59" i="10"/>
  <c r="A59" i="10"/>
  <c r="J71" i="10"/>
  <c r="I71" i="10"/>
  <c r="H71" i="10"/>
  <c r="G71" i="10"/>
  <c r="F71" i="10"/>
  <c r="E71" i="10"/>
  <c r="D71" i="10"/>
  <c r="C71" i="10"/>
  <c r="B71" i="10"/>
  <c r="A71" i="10"/>
  <c r="J22" i="10"/>
  <c r="I22" i="10"/>
  <c r="H22" i="10"/>
  <c r="G22" i="10"/>
  <c r="F22" i="10"/>
  <c r="E22" i="10"/>
  <c r="D22" i="10"/>
  <c r="C22" i="10"/>
  <c r="B22" i="10"/>
  <c r="A22" i="10"/>
  <c r="J70" i="10"/>
  <c r="I70" i="10"/>
  <c r="H70" i="10"/>
  <c r="G70" i="10"/>
  <c r="F70" i="10"/>
  <c r="E70" i="10"/>
  <c r="D70" i="10"/>
  <c r="C70" i="10"/>
  <c r="B70" i="10"/>
  <c r="A70" i="10"/>
  <c r="J58" i="10"/>
  <c r="I58" i="10"/>
  <c r="H58" i="10"/>
  <c r="G58" i="10"/>
  <c r="F58" i="10"/>
  <c r="E58" i="10"/>
  <c r="D58" i="10"/>
  <c r="C58" i="10"/>
  <c r="B58" i="10"/>
  <c r="A58" i="10"/>
  <c r="J21" i="10"/>
  <c r="I21" i="10"/>
  <c r="H21" i="10"/>
  <c r="G21" i="10"/>
  <c r="F21" i="10"/>
  <c r="E21" i="10"/>
  <c r="D21" i="10"/>
  <c r="C21" i="10"/>
  <c r="B21" i="10"/>
  <c r="A21" i="10"/>
  <c r="J57" i="10"/>
  <c r="I57" i="10"/>
  <c r="H57" i="10"/>
  <c r="G57" i="10"/>
  <c r="F57" i="10"/>
  <c r="E57" i="10"/>
  <c r="D57" i="10"/>
  <c r="C57" i="10"/>
  <c r="B57" i="10"/>
  <c r="A57" i="10"/>
  <c r="J20" i="10"/>
  <c r="I20" i="10"/>
  <c r="H20" i="10"/>
  <c r="G20" i="10"/>
  <c r="F20" i="10"/>
  <c r="E20" i="10"/>
  <c r="D20" i="10"/>
  <c r="C20" i="10"/>
  <c r="B20" i="10"/>
  <c r="A20" i="10"/>
  <c r="J50" i="10"/>
  <c r="I50" i="10"/>
  <c r="H50" i="10"/>
  <c r="F50" i="10"/>
  <c r="D50" i="10"/>
  <c r="A50" i="10"/>
  <c r="J69" i="10"/>
  <c r="I69" i="10"/>
  <c r="H69" i="10"/>
  <c r="F69" i="10"/>
  <c r="D69" i="10"/>
  <c r="A69" i="10"/>
  <c r="J111" i="10"/>
  <c r="I111" i="10"/>
  <c r="H111" i="10"/>
  <c r="F111" i="10"/>
  <c r="D111" i="10"/>
  <c r="A111" i="10"/>
  <c r="J68" i="10"/>
  <c r="I68" i="10"/>
  <c r="H68" i="10"/>
  <c r="F68" i="10"/>
  <c r="D68" i="10"/>
  <c r="A68" i="10"/>
  <c r="J110" i="10"/>
  <c r="I110" i="10"/>
  <c r="H110" i="10"/>
  <c r="F110" i="10"/>
  <c r="D110" i="10"/>
  <c r="A110" i="10"/>
  <c r="J67" i="10"/>
  <c r="I67" i="10"/>
  <c r="H67" i="10"/>
  <c r="F67" i="10"/>
  <c r="D67" i="10"/>
  <c r="A67" i="10"/>
  <c r="J109" i="10"/>
  <c r="I109" i="10"/>
  <c r="H109" i="10"/>
  <c r="F109" i="10"/>
  <c r="D109" i="10"/>
  <c r="A109" i="10"/>
  <c r="J66" i="10"/>
  <c r="I66" i="10"/>
  <c r="H66" i="10"/>
  <c r="F66" i="10"/>
  <c r="D66" i="10"/>
  <c r="A66" i="10"/>
  <c r="J108" i="10"/>
  <c r="I108" i="10"/>
  <c r="H108" i="10"/>
  <c r="F108" i="10"/>
  <c r="D108" i="10"/>
  <c r="A108" i="10"/>
  <c r="J65" i="10"/>
  <c r="I65" i="10"/>
  <c r="H65" i="10"/>
  <c r="F65" i="10"/>
  <c r="E65" i="10"/>
  <c r="D65" i="10"/>
  <c r="A65" i="10"/>
  <c r="J107" i="10"/>
  <c r="I107" i="10"/>
  <c r="H107" i="10"/>
  <c r="F107" i="10"/>
  <c r="D107" i="10"/>
  <c r="A107" i="10"/>
  <c r="J64" i="10"/>
  <c r="I64" i="10"/>
  <c r="H64" i="10"/>
  <c r="F64" i="10"/>
  <c r="D64" i="10"/>
  <c r="A64" i="10"/>
  <c r="J106" i="10"/>
  <c r="I106" i="10"/>
  <c r="H106" i="10"/>
  <c r="F106" i="10"/>
  <c r="D106" i="10"/>
  <c r="A106" i="10"/>
  <c r="J63" i="10"/>
  <c r="I63" i="10"/>
  <c r="H63" i="10"/>
  <c r="F63" i="10"/>
  <c r="D63" i="10"/>
  <c r="A63" i="10"/>
  <c r="J105" i="10"/>
  <c r="I105" i="10"/>
  <c r="H105" i="10"/>
  <c r="F105" i="10"/>
  <c r="D105" i="10"/>
  <c r="A105" i="10"/>
  <c r="J62" i="10"/>
  <c r="I62" i="10"/>
  <c r="H62" i="10"/>
  <c r="F62" i="10"/>
  <c r="D62" i="10"/>
  <c r="A62" i="10"/>
  <c r="J104" i="10"/>
  <c r="I104" i="10"/>
  <c r="H104" i="10"/>
  <c r="F104" i="10"/>
  <c r="D104" i="10"/>
  <c r="A104" i="10"/>
  <c r="J61" i="10"/>
  <c r="I61" i="10"/>
  <c r="H61" i="10"/>
  <c r="F61" i="10"/>
  <c r="D61" i="10"/>
  <c r="A61" i="10"/>
  <c r="J103" i="10"/>
  <c r="I103" i="10"/>
  <c r="H103" i="10"/>
  <c r="F103" i="10"/>
  <c r="D103" i="10"/>
  <c r="A103" i="10"/>
  <c r="J60" i="10"/>
  <c r="I60" i="10"/>
  <c r="H60" i="10"/>
  <c r="F60" i="10"/>
  <c r="D60" i="10"/>
  <c r="A60" i="10"/>
  <c r="J102" i="10"/>
  <c r="I102" i="10"/>
  <c r="H102" i="10"/>
  <c r="F102" i="10"/>
  <c r="D102" i="10"/>
  <c r="A102" i="10"/>
  <c r="J101" i="10"/>
  <c r="I101" i="10"/>
  <c r="H101" i="10"/>
  <c r="F101" i="10"/>
  <c r="D101" i="10"/>
  <c r="A101" i="10"/>
  <c r="J100" i="10"/>
  <c r="I100" i="10"/>
  <c r="H100" i="10"/>
  <c r="F100" i="10"/>
  <c r="D100" i="10"/>
  <c r="A100" i="10"/>
  <c r="J49" i="10"/>
  <c r="I49" i="10"/>
  <c r="H49" i="10"/>
  <c r="F49" i="10"/>
  <c r="D49" i="10"/>
  <c r="A49" i="10"/>
  <c r="J48" i="10"/>
  <c r="I48" i="10"/>
  <c r="H48" i="10"/>
  <c r="F48" i="10"/>
  <c r="D48" i="10"/>
  <c r="A48" i="10"/>
  <c r="J98" i="10"/>
  <c r="I98" i="10"/>
  <c r="H98" i="10"/>
  <c r="F98" i="10"/>
  <c r="D98" i="10"/>
  <c r="A98" i="10"/>
  <c r="J47" i="10"/>
  <c r="I47" i="10"/>
  <c r="H47" i="10"/>
  <c r="F47" i="10"/>
  <c r="D47" i="10"/>
  <c r="A47" i="10"/>
  <c r="J97" i="10"/>
  <c r="I97" i="10"/>
  <c r="H97" i="10"/>
  <c r="F97" i="10"/>
  <c r="D97" i="10"/>
  <c r="A97" i="10"/>
  <c r="J46" i="10"/>
  <c r="I46" i="10"/>
  <c r="H46" i="10"/>
  <c r="F46" i="10"/>
  <c r="D46" i="10"/>
  <c r="A46" i="10"/>
  <c r="J96" i="10"/>
  <c r="I96" i="10"/>
  <c r="H96" i="10"/>
  <c r="F96" i="10"/>
  <c r="D96" i="10"/>
  <c r="A96" i="10"/>
  <c r="J45" i="10"/>
  <c r="I45" i="10"/>
  <c r="H45" i="10"/>
  <c r="F45" i="10"/>
  <c r="D45" i="10"/>
  <c r="A45" i="10"/>
  <c r="J95" i="10"/>
  <c r="I95" i="10"/>
  <c r="H95" i="10"/>
  <c r="F95" i="10"/>
  <c r="D95" i="10"/>
  <c r="A95" i="10"/>
  <c r="J44" i="10"/>
  <c r="I44" i="10"/>
  <c r="H44" i="10"/>
  <c r="F44" i="10"/>
  <c r="D44" i="10"/>
  <c r="A44" i="10"/>
  <c r="J94" i="10"/>
  <c r="I94" i="10"/>
  <c r="H94" i="10"/>
  <c r="F94" i="10"/>
  <c r="D94" i="10"/>
  <c r="A94" i="10"/>
  <c r="J43" i="10"/>
  <c r="I43" i="10"/>
  <c r="H43" i="10"/>
  <c r="F43" i="10"/>
  <c r="D43" i="10"/>
  <c r="A43" i="10"/>
  <c r="J42" i="10"/>
  <c r="I42" i="10"/>
  <c r="H42" i="10"/>
  <c r="F42" i="10"/>
  <c r="D42" i="10"/>
  <c r="A42" i="10"/>
  <c r="J92" i="10"/>
  <c r="I92" i="10"/>
  <c r="H92" i="10"/>
  <c r="F92" i="10"/>
  <c r="D92" i="10"/>
  <c r="A92" i="10"/>
  <c r="J41" i="10"/>
  <c r="I41" i="10"/>
  <c r="H41" i="10"/>
  <c r="F41" i="10"/>
  <c r="D41" i="10"/>
  <c r="A41" i="10"/>
  <c r="J91" i="10"/>
  <c r="I91" i="10"/>
  <c r="H91" i="10"/>
  <c r="F91" i="10"/>
  <c r="D91" i="10"/>
  <c r="A91" i="10"/>
  <c r="J40" i="10"/>
  <c r="I40" i="10"/>
  <c r="H40" i="10"/>
  <c r="F40" i="10"/>
  <c r="D40" i="10"/>
  <c r="A40" i="10"/>
  <c r="J90" i="10"/>
  <c r="I90" i="10"/>
  <c r="H90" i="10"/>
  <c r="F90" i="10"/>
  <c r="D90" i="10"/>
  <c r="A90" i="10"/>
  <c r="J19" i="10"/>
  <c r="I19" i="10"/>
  <c r="H19" i="10"/>
  <c r="F19" i="10"/>
  <c r="D19" i="10"/>
  <c r="C19" i="10"/>
  <c r="B19" i="10"/>
  <c r="A19" i="10"/>
  <c r="J18" i="10"/>
  <c r="I18" i="10"/>
  <c r="H18" i="10"/>
  <c r="F18" i="10"/>
  <c r="D18" i="10"/>
  <c r="C18" i="10"/>
  <c r="B18" i="10"/>
  <c r="A18" i="10"/>
  <c r="J17" i="10"/>
  <c r="I17" i="10"/>
  <c r="H17" i="10"/>
  <c r="F17" i="10"/>
  <c r="D17" i="10"/>
  <c r="C17" i="10"/>
  <c r="B17" i="10"/>
  <c r="A17" i="10"/>
  <c r="J16" i="10"/>
  <c r="I16" i="10"/>
  <c r="H16" i="10"/>
  <c r="F16" i="10"/>
  <c r="D16" i="10"/>
  <c r="C16" i="10"/>
  <c r="B16" i="10"/>
  <c r="A16" i="10"/>
  <c r="J15" i="10"/>
  <c r="I15" i="10"/>
  <c r="H15" i="10"/>
  <c r="F15" i="10"/>
  <c r="D15" i="10"/>
  <c r="C15" i="10"/>
  <c r="B15" i="10"/>
  <c r="A15" i="10"/>
  <c r="J14" i="10"/>
  <c r="I14" i="10"/>
  <c r="H14" i="10"/>
  <c r="F14" i="10"/>
  <c r="D14" i="10"/>
  <c r="C14" i="10"/>
  <c r="B14" i="10"/>
  <c r="A14" i="10"/>
  <c r="J13" i="10"/>
  <c r="I13" i="10"/>
  <c r="H13" i="10"/>
  <c r="F13" i="10"/>
  <c r="D13" i="10"/>
  <c r="C13" i="10"/>
  <c r="B13" i="10"/>
  <c r="A13" i="10"/>
  <c r="J12" i="10"/>
  <c r="I12" i="10"/>
  <c r="H12" i="10"/>
  <c r="F12" i="10"/>
  <c r="D12" i="10"/>
  <c r="C12" i="10"/>
  <c r="B12" i="10"/>
  <c r="A12" i="10"/>
  <c r="J11" i="10"/>
  <c r="I11" i="10"/>
  <c r="H11" i="10"/>
  <c r="F11" i="10"/>
  <c r="D11" i="10"/>
  <c r="C11" i="10"/>
  <c r="B11" i="10"/>
  <c r="A11" i="10"/>
  <c r="J10" i="10"/>
  <c r="I10" i="10"/>
  <c r="H10" i="10"/>
  <c r="G10" i="10"/>
  <c r="F10" i="10"/>
  <c r="E10" i="10"/>
  <c r="D10" i="10"/>
  <c r="C10" i="10"/>
  <c r="B10" i="10"/>
  <c r="A10" i="10"/>
  <c r="J9" i="10"/>
  <c r="I9" i="10"/>
  <c r="H9" i="10"/>
  <c r="G9" i="10"/>
  <c r="F9" i="10"/>
  <c r="E9" i="10"/>
  <c r="D9" i="10"/>
  <c r="C9" i="10"/>
  <c r="B9" i="10"/>
  <c r="A9" i="10"/>
  <c r="J8" i="10"/>
  <c r="I8" i="10"/>
  <c r="H8" i="10"/>
  <c r="G8" i="10"/>
  <c r="F8" i="10"/>
  <c r="E8" i="10"/>
  <c r="D8" i="10"/>
  <c r="C8" i="10"/>
  <c r="B8" i="10"/>
  <c r="A8" i="10"/>
  <c r="J7" i="10"/>
  <c r="I7" i="10"/>
  <c r="H7" i="10"/>
  <c r="G7" i="10"/>
  <c r="F7" i="10"/>
  <c r="E7" i="10"/>
  <c r="D7" i="10"/>
  <c r="C7" i="10"/>
  <c r="B7" i="10"/>
  <c r="A7" i="10"/>
  <c r="J6" i="10"/>
  <c r="I6" i="10"/>
  <c r="H6" i="10"/>
  <c r="G6" i="10"/>
  <c r="F6" i="10"/>
  <c r="E6" i="10"/>
  <c r="D6" i="10"/>
  <c r="C6" i="10"/>
  <c r="B6" i="10"/>
  <c r="A6" i="10"/>
  <c r="J5" i="10"/>
  <c r="I5" i="10"/>
  <c r="H5" i="10"/>
  <c r="G5" i="10"/>
  <c r="F5" i="10"/>
  <c r="E5" i="10"/>
  <c r="D5" i="10"/>
  <c r="C5" i="10"/>
  <c r="B5" i="10"/>
  <c r="A5" i="10"/>
  <c r="J4" i="10"/>
  <c r="I4" i="10"/>
  <c r="H4" i="10"/>
  <c r="G4" i="10"/>
  <c r="F4" i="10"/>
  <c r="E4" i="10"/>
  <c r="D4" i="10"/>
  <c r="C4" i="10"/>
  <c r="B4" i="10"/>
  <c r="A4" i="10"/>
  <c r="J3" i="10"/>
  <c r="I3" i="10"/>
  <c r="H3" i="10"/>
  <c r="G3" i="10"/>
  <c r="F3" i="10"/>
  <c r="E3" i="10"/>
  <c r="D3" i="10"/>
  <c r="C3" i="10"/>
  <c r="B3" i="10"/>
  <c r="A3" i="10"/>
  <c r="J2" i="10"/>
  <c r="I2" i="10"/>
  <c r="H2" i="10"/>
  <c r="G2" i="10"/>
  <c r="F2" i="10"/>
  <c r="E2" i="10"/>
  <c r="D2" i="10"/>
  <c r="C2" i="10"/>
  <c r="B2" i="10"/>
  <c r="A2" i="10"/>
  <c r="J1" i="10"/>
  <c r="I1" i="10"/>
  <c r="H1" i="10"/>
  <c r="G1" i="10"/>
  <c r="F1" i="10"/>
  <c r="E1" i="10"/>
  <c r="D1" i="10"/>
  <c r="C1" i="10"/>
  <c r="B1" i="10"/>
  <c r="A1" i="10"/>
  <c r="J55" i="9"/>
  <c r="I55" i="9"/>
  <c r="H55" i="9"/>
  <c r="F55" i="9"/>
  <c r="D55" i="9"/>
  <c r="C55" i="9"/>
  <c r="B55" i="9"/>
  <c r="A55" i="9"/>
  <c r="J53" i="9"/>
  <c r="I53" i="9"/>
  <c r="H53" i="9"/>
  <c r="F53" i="9"/>
  <c r="D53" i="9"/>
  <c r="C53" i="9"/>
  <c r="B53" i="9"/>
  <c r="A53" i="9"/>
  <c r="J110" i="9"/>
  <c r="I110" i="9"/>
  <c r="H110" i="9"/>
  <c r="F110" i="9"/>
  <c r="D110" i="9"/>
  <c r="C110" i="9"/>
  <c r="B110" i="9"/>
  <c r="A110" i="9"/>
  <c r="J105" i="9"/>
  <c r="I105" i="9"/>
  <c r="H105" i="9"/>
  <c r="F105" i="9"/>
  <c r="D105" i="9"/>
  <c r="C105" i="9"/>
  <c r="B105" i="9"/>
  <c r="A105" i="9"/>
  <c r="J107" i="9"/>
  <c r="I107" i="9"/>
  <c r="H107" i="9"/>
  <c r="F107" i="9"/>
  <c r="D107" i="9"/>
  <c r="C107" i="9"/>
  <c r="B107" i="9"/>
  <c r="A107" i="9"/>
  <c r="J100" i="9"/>
  <c r="I100" i="9"/>
  <c r="H100" i="9"/>
  <c r="F100" i="9"/>
  <c r="D100" i="9"/>
  <c r="C100" i="9"/>
  <c r="B100" i="9"/>
  <c r="A100" i="9"/>
  <c r="J102" i="9"/>
  <c r="I102" i="9"/>
  <c r="H102" i="9"/>
  <c r="F102" i="9"/>
  <c r="D102" i="9"/>
  <c r="C102" i="9"/>
  <c r="B102" i="9"/>
  <c r="A102" i="9"/>
  <c r="J95" i="9"/>
  <c r="I95" i="9"/>
  <c r="H95" i="9"/>
  <c r="F95" i="9"/>
  <c r="D95" i="9"/>
  <c r="C95" i="9"/>
  <c r="B95" i="9"/>
  <c r="A95" i="9"/>
  <c r="J97" i="9"/>
  <c r="I97" i="9"/>
  <c r="H97" i="9"/>
  <c r="F97" i="9"/>
  <c r="D97" i="9"/>
  <c r="C97" i="9"/>
  <c r="B97" i="9"/>
  <c r="A97" i="9"/>
  <c r="J90" i="9"/>
  <c r="I90" i="9"/>
  <c r="H90" i="9"/>
  <c r="F90" i="9"/>
  <c r="D90" i="9"/>
  <c r="C90" i="9"/>
  <c r="B90" i="9"/>
  <c r="A90" i="9"/>
  <c r="J89" i="9"/>
  <c r="I89" i="9"/>
  <c r="H89" i="9"/>
  <c r="F89" i="9"/>
  <c r="D89" i="9"/>
  <c r="C89" i="9"/>
  <c r="B89" i="9"/>
  <c r="A89" i="9"/>
  <c r="J92" i="9"/>
  <c r="I92" i="9"/>
  <c r="H92" i="9"/>
  <c r="F92" i="9"/>
  <c r="D92" i="9"/>
  <c r="C92" i="9"/>
  <c r="B92" i="9"/>
  <c r="A92" i="9"/>
  <c r="J84" i="9"/>
  <c r="I84" i="9"/>
  <c r="H84" i="9"/>
  <c r="F84" i="9"/>
  <c r="D84" i="9"/>
  <c r="C84" i="9"/>
  <c r="B84" i="9"/>
  <c r="A84" i="9"/>
  <c r="J83" i="9"/>
  <c r="I83" i="9"/>
  <c r="H83" i="9"/>
  <c r="F83" i="9"/>
  <c r="D83" i="9"/>
  <c r="C83" i="9"/>
  <c r="B83" i="9"/>
  <c r="A83" i="9"/>
  <c r="J86" i="9"/>
  <c r="I86" i="9"/>
  <c r="H86" i="9"/>
  <c r="F86" i="9"/>
  <c r="D86" i="9"/>
  <c r="C86" i="9"/>
  <c r="B86" i="9"/>
  <c r="A86" i="9"/>
  <c r="J78" i="9"/>
  <c r="I78" i="9"/>
  <c r="H78" i="9"/>
  <c r="F78" i="9"/>
  <c r="D78" i="9"/>
  <c r="C78" i="9"/>
  <c r="B78" i="9"/>
  <c r="A78" i="9"/>
  <c r="J77" i="9"/>
  <c r="I77" i="9"/>
  <c r="H77" i="9"/>
  <c r="F77" i="9"/>
  <c r="D77" i="9"/>
  <c r="C77" i="9"/>
  <c r="B77" i="9"/>
  <c r="A77" i="9"/>
  <c r="J80" i="9"/>
  <c r="I80" i="9"/>
  <c r="H80" i="9"/>
  <c r="F80" i="9"/>
  <c r="D80" i="9"/>
  <c r="C80" i="9"/>
  <c r="B80" i="9"/>
  <c r="A80" i="9"/>
  <c r="J72" i="9"/>
  <c r="I72" i="9"/>
  <c r="H72" i="9"/>
  <c r="F72" i="9"/>
  <c r="D72" i="9"/>
  <c r="C72" i="9"/>
  <c r="B72" i="9"/>
  <c r="A72" i="9"/>
  <c r="J71" i="9"/>
  <c r="I71" i="9"/>
  <c r="H71" i="9"/>
  <c r="F71" i="9"/>
  <c r="D71" i="9"/>
  <c r="C71" i="9"/>
  <c r="B71" i="9"/>
  <c r="A71" i="9"/>
  <c r="J74" i="9"/>
  <c r="I74" i="9"/>
  <c r="H74" i="9"/>
  <c r="F74" i="9"/>
  <c r="D74" i="9"/>
  <c r="C74" i="9"/>
  <c r="B74" i="9"/>
  <c r="A74" i="9"/>
  <c r="J66" i="9"/>
  <c r="I66" i="9"/>
  <c r="H66" i="9"/>
  <c r="F66" i="9"/>
  <c r="D66" i="9"/>
  <c r="C66" i="9"/>
  <c r="B66" i="9"/>
  <c r="A66" i="9"/>
  <c r="J65" i="9"/>
  <c r="I65" i="9"/>
  <c r="H65" i="9"/>
  <c r="F65" i="9"/>
  <c r="D65" i="9"/>
  <c r="C65" i="9"/>
  <c r="B65" i="9"/>
  <c r="A65" i="9"/>
  <c r="J68" i="9"/>
  <c r="I68" i="9"/>
  <c r="H68" i="9"/>
  <c r="F68" i="9"/>
  <c r="D68" i="9"/>
  <c r="C68" i="9"/>
  <c r="B68" i="9"/>
  <c r="A68" i="9"/>
  <c r="J60" i="9"/>
  <c r="I60" i="9"/>
  <c r="H60" i="9"/>
  <c r="F60" i="9"/>
  <c r="D60" i="9"/>
  <c r="C60" i="9"/>
  <c r="B60" i="9"/>
  <c r="A60" i="9"/>
  <c r="J59" i="9"/>
  <c r="I59" i="9"/>
  <c r="H59" i="9"/>
  <c r="F59" i="9"/>
  <c r="D59" i="9"/>
  <c r="C59" i="9"/>
  <c r="B59" i="9"/>
  <c r="A59" i="9"/>
  <c r="J62" i="9"/>
  <c r="I62" i="9"/>
  <c r="H62" i="9"/>
  <c r="F62" i="9"/>
  <c r="D62" i="9"/>
  <c r="C62" i="9"/>
  <c r="B62" i="9"/>
  <c r="A62" i="9"/>
  <c r="J50" i="9"/>
  <c r="I50" i="9"/>
  <c r="H50" i="9"/>
  <c r="F50" i="9"/>
  <c r="D50" i="9"/>
  <c r="C50" i="9"/>
  <c r="B50" i="9"/>
  <c r="A50" i="9"/>
  <c r="J48" i="9"/>
  <c r="I48" i="9"/>
  <c r="H48" i="9"/>
  <c r="F48" i="9"/>
  <c r="D48" i="9"/>
  <c r="C48" i="9"/>
  <c r="B48" i="9"/>
  <c r="A48" i="9"/>
  <c r="J45" i="9"/>
  <c r="I45" i="9"/>
  <c r="H45" i="9"/>
  <c r="F45" i="9"/>
  <c r="D45" i="9"/>
  <c r="C45" i="9"/>
  <c r="B45" i="9"/>
  <c r="A45" i="9"/>
  <c r="J51" i="9"/>
  <c r="I51" i="9"/>
  <c r="H51" i="9"/>
  <c r="F51" i="9"/>
  <c r="D51" i="9"/>
  <c r="C51" i="9"/>
  <c r="B51" i="9"/>
  <c r="A51" i="9"/>
  <c r="J43" i="9"/>
  <c r="I43" i="9"/>
  <c r="H43" i="9"/>
  <c r="F43" i="9"/>
  <c r="D43" i="9"/>
  <c r="C43" i="9"/>
  <c r="B43" i="9"/>
  <c r="A43" i="9"/>
  <c r="J40" i="9"/>
  <c r="I40" i="9"/>
  <c r="H40" i="9"/>
  <c r="F40" i="9"/>
  <c r="D40" i="9"/>
  <c r="C40" i="9"/>
  <c r="B40" i="9"/>
  <c r="A40" i="9"/>
  <c r="J38" i="9"/>
  <c r="I38" i="9"/>
  <c r="H38" i="9"/>
  <c r="G38" i="9"/>
  <c r="F38" i="9"/>
  <c r="E38" i="9"/>
  <c r="D38" i="9"/>
  <c r="C38" i="9"/>
  <c r="B38" i="9"/>
  <c r="A38" i="9"/>
  <c r="J33" i="9"/>
  <c r="I33" i="9"/>
  <c r="H33" i="9"/>
  <c r="G33" i="9"/>
  <c r="F33" i="9"/>
  <c r="E33" i="9"/>
  <c r="D33" i="9"/>
  <c r="C33" i="9"/>
  <c r="B33" i="9"/>
  <c r="A33" i="9"/>
  <c r="J35" i="9"/>
  <c r="I35" i="9"/>
  <c r="H35" i="9"/>
  <c r="F35" i="9"/>
  <c r="D35" i="9"/>
  <c r="C35" i="9"/>
  <c r="B35" i="9"/>
  <c r="A35" i="9"/>
  <c r="J28" i="9"/>
  <c r="I28" i="9"/>
  <c r="H28" i="9"/>
  <c r="F28" i="9"/>
  <c r="D28" i="9"/>
  <c r="C28" i="9"/>
  <c r="B28" i="9"/>
  <c r="A28" i="9"/>
  <c r="J30" i="9"/>
  <c r="I30" i="9"/>
  <c r="H30" i="9"/>
  <c r="F30" i="9"/>
  <c r="D30" i="9"/>
  <c r="C30" i="9"/>
  <c r="B30" i="9"/>
  <c r="A30" i="9"/>
  <c r="J23" i="9"/>
  <c r="I23" i="9"/>
  <c r="H23" i="9"/>
  <c r="F23" i="9"/>
  <c r="D23" i="9"/>
  <c r="C23" i="9"/>
  <c r="B23" i="9"/>
  <c r="A23" i="9"/>
  <c r="J25" i="9"/>
  <c r="I25" i="9"/>
  <c r="H25" i="9"/>
  <c r="G25" i="9"/>
  <c r="F25" i="9"/>
  <c r="E25" i="9"/>
  <c r="D25" i="9"/>
  <c r="C25" i="9"/>
  <c r="B25" i="9"/>
  <c r="A25" i="9"/>
  <c r="J20" i="9"/>
  <c r="I20" i="9"/>
  <c r="H20" i="9"/>
  <c r="G20" i="9"/>
  <c r="F20" i="9"/>
  <c r="D20" i="9"/>
  <c r="C20" i="9"/>
  <c r="B20" i="9"/>
  <c r="A20" i="9"/>
  <c r="J21" i="9"/>
  <c r="I21" i="9"/>
  <c r="H21" i="9"/>
  <c r="G21" i="9"/>
  <c r="F21" i="9"/>
  <c r="E21" i="9"/>
  <c r="D21" i="9"/>
  <c r="C21" i="9"/>
  <c r="B21" i="9"/>
  <c r="A21" i="9"/>
  <c r="J18" i="9"/>
  <c r="I18" i="9"/>
  <c r="H18" i="9"/>
  <c r="G18" i="9"/>
  <c r="F18" i="9"/>
  <c r="E18" i="9"/>
  <c r="D18" i="9"/>
  <c r="C18" i="9"/>
  <c r="B18" i="9"/>
  <c r="A18" i="9"/>
  <c r="J14" i="9"/>
  <c r="I14" i="9"/>
  <c r="H14" i="9"/>
  <c r="G14" i="9"/>
  <c r="F14" i="9"/>
  <c r="E14" i="9"/>
  <c r="D14" i="9"/>
  <c r="C14" i="9"/>
  <c r="B14" i="9"/>
  <c r="A14" i="9"/>
  <c r="J15" i="9"/>
  <c r="I15" i="9"/>
  <c r="H15" i="9"/>
  <c r="G15" i="9"/>
  <c r="F15" i="9"/>
  <c r="E15" i="9"/>
  <c r="D15" i="9"/>
  <c r="C15" i="9"/>
  <c r="B15" i="9"/>
  <c r="A15" i="9"/>
  <c r="J12" i="9"/>
  <c r="I12" i="9"/>
  <c r="H12" i="9"/>
  <c r="G12" i="9"/>
  <c r="F12" i="9"/>
  <c r="E12" i="9"/>
  <c r="D12" i="9"/>
  <c r="C12" i="9"/>
  <c r="B12" i="9"/>
  <c r="A12" i="9"/>
  <c r="J9" i="9"/>
  <c r="I9" i="9"/>
  <c r="H9" i="9"/>
  <c r="G9" i="9"/>
  <c r="F9" i="9"/>
  <c r="E9" i="9"/>
  <c r="D9" i="9"/>
  <c r="C9" i="9"/>
  <c r="B9" i="9"/>
  <c r="A9" i="9"/>
  <c r="J8" i="9"/>
  <c r="I8" i="9"/>
  <c r="H8" i="9"/>
  <c r="G8" i="9"/>
  <c r="F8" i="9"/>
  <c r="E8" i="9"/>
  <c r="D8" i="9"/>
  <c r="C8" i="9"/>
  <c r="B8" i="9"/>
  <c r="A8" i="9"/>
  <c r="J6" i="9"/>
  <c r="I6" i="9"/>
  <c r="H6" i="9"/>
  <c r="G6" i="9"/>
  <c r="F6" i="9"/>
  <c r="E6" i="9"/>
  <c r="D6" i="9"/>
  <c r="C6" i="9"/>
  <c r="B6" i="9"/>
  <c r="A6" i="9"/>
  <c r="J4" i="9"/>
  <c r="I4" i="9"/>
  <c r="H4" i="9"/>
  <c r="G4" i="9"/>
  <c r="F4" i="9"/>
  <c r="E4" i="9"/>
  <c r="D4" i="9"/>
  <c r="C4" i="9"/>
  <c r="B4" i="9"/>
  <c r="A4" i="9"/>
  <c r="J2" i="9"/>
  <c r="I2" i="9"/>
  <c r="H2" i="9"/>
  <c r="G2" i="9"/>
  <c r="F2" i="9"/>
  <c r="E2" i="9"/>
  <c r="D2" i="9"/>
  <c r="C2" i="9"/>
  <c r="B2" i="9"/>
  <c r="A2" i="9"/>
  <c r="J54" i="9"/>
  <c r="I54" i="9"/>
  <c r="H54" i="9"/>
  <c r="F54" i="9"/>
  <c r="D54" i="9"/>
  <c r="A54" i="9"/>
  <c r="J109" i="9"/>
  <c r="I109" i="9"/>
  <c r="H109" i="9"/>
  <c r="F109" i="9"/>
  <c r="D109" i="9"/>
  <c r="A109" i="9"/>
  <c r="J111" i="9"/>
  <c r="I111" i="9"/>
  <c r="H111" i="9"/>
  <c r="F111" i="9"/>
  <c r="D111" i="9"/>
  <c r="A111" i="9"/>
  <c r="J106" i="9"/>
  <c r="I106" i="9"/>
  <c r="H106" i="9"/>
  <c r="F106" i="9"/>
  <c r="D106" i="9"/>
  <c r="A106" i="9"/>
  <c r="J108" i="9"/>
  <c r="I108" i="9"/>
  <c r="H108" i="9"/>
  <c r="F108" i="9"/>
  <c r="D108" i="9"/>
  <c r="A108" i="9"/>
  <c r="J101" i="9"/>
  <c r="I101" i="9"/>
  <c r="H101" i="9"/>
  <c r="F101" i="9"/>
  <c r="D101" i="9"/>
  <c r="A101" i="9"/>
  <c r="J103" i="9"/>
  <c r="I103" i="9"/>
  <c r="H103" i="9"/>
  <c r="F103" i="9"/>
  <c r="D103" i="9"/>
  <c r="A103" i="9"/>
  <c r="J96" i="9"/>
  <c r="I96" i="9"/>
  <c r="H96" i="9"/>
  <c r="F96" i="9"/>
  <c r="D96" i="9"/>
  <c r="A96" i="9"/>
  <c r="J98" i="9"/>
  <c r="I98" i="9"/>
  <c r="H98" i="9"/>
  <c r="F98" i="9"/>
  <c r="D98" i="9"/>
  <c r="A98" i="9"/>
  <c r="J91" i="9"/>
  <c r="I91" i="9"/>
  <c r="H91" i="9"/>
  <c r="F91" i="9"/>
  <c r="E91" i="9"/>
  <c r="D91" i="9"/>
  <c r="A91" i="9"/>
  <c r="J93" i="9"/>
  <c r="I93" i="9"/>
  <c r="H93" i="9"/>
  <c r="F93" i="9"/>
  <c r="D93" i="9"/>
  <c r="A93" i="9"/>
  <c r="J85" i="9"/>
  <c r="I85" i="9"/>
  <c r="H85" i="9"/>
  <c r="F85" i="9"/>
  <c r="D85" i="9"/>
  <c r="A85" i="9"/>
  <c r="J87" i="9"/>
  <c r="I87" i="9"/>
  <c r="H87" i="9"/>
  <c r="F87" i="9"/>
  <c r="D87" i="9"/>
  <c r="A87" i="9"/>
  <c r="J79" i="9"/>
  <c r="I79" i="9"/>
  <c r="H79" i="9"/>
  <c r="F79" i="9"/>
  <c r="D79" i="9"/>
  <c r="A79" i="9"/>
  <c r="J81" i="9"/>
  <c r="I81" i="9"/>
  <c r="H81" i="9"/>
  <c r="F81" i="9"/>
  <c r="D81" i="9"/>
  <c r="A81" i="9"/>
  <c r="J73" i="9"/>
  <c r="I73" i="9"/>
  <c r="H73" i="9"/>
  <c r="F73" i="9"/>
  <c r="D73" i="9"/>
  <c r="A73" i="9"/>
  <c r="J75" i="9"/>
  <c r="I75" i="9"/>
  <c r="H75" i="9"/>
  <c r="F75" i="9"/>
  <c r="D75" i="9"/>
  <c r="A75" i="9"/>
  <c r="J67" i="9"/>
  <c r="I67" i="9"/>
  <c r="H67" i="9"/>
  <c r="F67" i="9"/>
  <c r="D67" i="9"/>
  <c r="A67" i="9"/>
  <c r="J69" i="9"/>
  <c r="I69" i="9"/>
  <c r="H69" i="9"/>
  <c r="F69" i="9"/>
  <c r="D69" i="9"/>
  <c r="A69" i="9"/>
  <c r="J61" i="9"/>
  <c r="I61" i="9"/>
  <c r="H61" i="9"/>
  <c r="F61" i="9"/>
  <c r="D61" i="9"/>
  <c r="A61" i="9"/>
  <c r="J63" i="9"/>
  <c r="I63" i="9"/>
  <c r="H63" i="9"/>
  <c r="F63" i="9"/>
  <c r="D63" i="9"/>
  <c r="A63" i="9"/>
  <c r="J57" i="9"/>
  <c r="I57" i="9"/>
  <c r="H57" i="9"/>
  <c r="F57" i="9"/>
  <c r="D57" i="9"/>
  <c r="A57" i="9"/>
  <c r="J56" i="9"/>
  <c r="I56" i="9"/>
  <c r="H56" i="9"/>
  <c r="F56" i="9"/>
  <c r="D56" i="9"/>
  <c r="A56" i="9"/>
  <c r="J49" i="9"/>
  <c r="I49" i="9"/>
  <c r="H49" i="9"/>
  <c r="F49" i="9"/>
  <c r="D49" i="9"/>
  <c r="A49" i="9"/>
  <c r="J44" i="9"/>
  <c r="I44" i="9"/>
  <c r="H44" i="9"/>
  <c r="F44" i="9"/>
  <c r="D44" i="9"/>
  <c r="A44" i="9"/>
  <c r="J46" i="9"/>
  <c r="I46" i="9"/>
  <c r="H46" i="9"/>
  <c r="F46" i="9"/>
  <c r="D46" i="9"/>
  <c r="A46" i="9"/>
  <c r="J39" i="9"/>
  <c r="I39" i="9"/>
  <c r="H39" i="9"/>
  <c r="F39" i="9"/>
  <c r="D39" i="9"/>
  <c r="A39" i="9"/>
  <c r="J41" i="9"/>
  <c r="I41" i="9"/>
  <c r="H41" i="9"/>
  <c r="F41" i="9"/>
  <c r="D41" i="9"/>
  <c r="A41" i="9"/>
  <c r="J34" i="9"/>
  <c r="I34" i="9"/>
  <c r="H34" i="9"/>
  <c r="F34" i="9"/>
  <c r="D34" i="9"/>
  <c r="A34" i="9"/>
  <c r="J36" i="9"/>
  <c r="I36" i="9"/>
  <c r="H36" i="9"/>
  <c r="F36" i="9"/>
  <c r="D36" i="9"/>
  <c r="A36" i="9"/>
  <c r="J29" i="9"/>
  <c r="I29" i="9"/>
  <c r="H29" i="9"/>
  <c r="F29" i="9"/>
  <c r="D29" i="9"/>
  <c r="A29" i="9"/>
  <c r="J31" i="9"/>
  <c r="I31" i="9"/>
  <c r="H31" i="9"/>
  <c r="F31" i="9"/>
  <c r="D31" i="9"/>
  <c r="A31" i="9"/>
  <c r="J24" i="9"/>
  <c r="I24" i="9"/>
  <c r="H24" i="9"/>
  <c r="F24" i="9"/>
  <c r="D24" i="9"/>
  <c r="A24" i="9"/>
  <c r="J26" i="9"/>
  <c r="I26" i="9"/>
  <c r="H26" i="9"/>
  <c r="F26" i="9"/>
  <c r="D26" i="9"/>
  <c r="A26" i="9"/>
  <c r="J19" i="9"/>
  <c r="I19" i="9"/>
  <c r="H19" i="9"/>
  <c r="F19" i="9"/>
  <c r="D19" i="9"/>
  <c r="A19" i="9"/>
  <c r="J13" i="9"/>
  <c r="I13" i="9"/>
  <c r="H13" i="9"/>
  <c r="F13" i="9"/>
  <c r="D13" i="9"/>
  <c r="A13" i="9"/>
  <c r="J16" i="9"/>
  <c r="I16" i="9"/>
  <c r="H16" i="9"/>
  <c r="F16" i="9"/>
  <c r="D16" i="9"/>
  <c r="A16" i="9"/>
  <c r="J7" i="9"/>
  <c r="I7" i="9"/>
  <c r="H7" i="9"/>
  <c r="F7" i="9"/>
  <c r="D7" i="9"/>
  <c r="A7" i="9"/>
  <c r="J10" i="9"/>
  <c r="I10" i="9"/>
  <c r="H10" i="9"/>
  <c r="F10" i="9"/>
  <c r="D10" i="9"/>
  <c r="A10" i="9"/>
  <c r="J3" i="9"/>
  <c r="I3" i="9"/>
  <c r="H3" i="9"/>
  <c r="F3" i="9"/>
  <c r="D3" i="9"/>
  <c r="A3" i="9"/>
  <c r="J5" i="9"/>
  <c r="I5" i="9"/>
  <c r="H5" i="9"/>
  <c r="F5" i="9"/>
  <c r="D5" i="9"/>
  <c r="A5" i="9"/>
  <c r="J104" i="9"/>
  <c r="I104" i="9"/>
  <c r="H104" i="9"/>
  <c r="F104" i="9"/>
  <c r="D104" i="9"/>
  <c r="C104" i="9"/>
  <c r="B104" i="9"/>
  <c r="A104" i="9"/>
  <c r="J99" i="9"/>
  <c r="I99" i="9"/>
  <c r="H99" i="9"/>
  <c r="F99" i="9"/>
  <c r="D99" i="9"/>
  <c r="C99" i="9"/>
  <c r="B99" i="9"/>
  <c r="A99" i="9"/>
  <c r="J94" i="9"/>
  <c r="I94" i="9"/>
  <c r="H94" i="9"/>
  <c r="F94" i="9"/>
  <c r="D94" i="9"/>
  <c r="C94" i="9"/>
  <c r="B94" i="9"/>
  <c r="A94" i="9"/>
  <c r="J88" i="9"/>
  <c r="I88" i="9"/>
  <c r="H88" i="9"/>
  <c r="F88" i="9"/>
  <c r="D88" i="9"/>
  <c r="C88" i="9"/>
  <c r="B88" i="9"/>
  <c r="A88" i="9"/>
  <c r="J82" i="9"/>
  <c r="I82" i="9"/>
  <c r="H82" i="9"/>
  <c r="F82" i="9"/>
  <c r="D82" i="9"/>
  <c r="C82" i="9"/>
  <c r="B82" i="9"/>
  <c r="A82" i="9"/>
  <c r="J76" i="9"/>
  <c r="I76" i="9"/>
  <c r="H76" i="9"/>
  <c r="F76" i="9"/>
  <c r="D76" i="9"/>
  <c r="C76" i="9"/>
  <c r="B76" i="9"/>
  <c r="A76" i="9"/>
  <c r="J70" i="9"/>
  <c r="I70" i="9"/>
  <c r="H70" i="9"/>
  <c r="F70" i="9"/>
  <c r="D70" i="9"/>
  <c r="C70" i="9"/>
  <c r="B70" i="9"/>
  <c r="A70" i="9"/>
  <c r="J64" i="9"/>
  <c r="I64" i="9"/>
  <c r="H64" i="9"/>
  <c r="F64" i="9"/>
  <c r="D64" i="9"/>
  <c r="C64" i="9"/>
  <c r="B64" i="9"/>
  <c r="A64" i="9"/>
  <c r="J58" i="9"/>
  <c r="I58" i="9"/>
  <c r="H58" i="9"/>
  <c r="F58" i="9"/>
  <c r="D58" i="9"/>
  <c r="C58" i="9"/>
  <c r="B58" i="9"/>
  <c r="A58" i="9"/>
  <c r="J52" i="9"/>
  <c r="I52" i="9"/>
  <c r="H52" i="9"/>
  <c r="G52" i="9"/>
  <c r="F52" i="9"/>
  <c r="E52" i="9"/>
  <c r="D52" i="9"/>
  <c r="C52" i="9"/>
  <c r="B52" i="9"/>
  <c r="A52" i="9"/>
  <c r="J47" i="9"/>
  <c r="I47" i="9"/>
  <c r="H47" i="9"/>
  <c r="G47" i="9"/>
  <c r="F47" i="9"/>
  <c r="E47" i="9"/>
  <c r="D47" i="9"/>
  <c r="C47" i="9"/>
  <c r="B47" i="9"/>
  <c r="A47" i="9"/>
  <c r="J42" i="9"/>
  <c r="I42" i="9"/>
  <c r="H42" i="9"/>
  <c r="G42" i="9"/>
  <c r="F42" i="9"/>
  <c r="E42" i="9"/>
  <c r="D42" i="9"/>
  <c r="C42" i="9"/>
  <c r="B42" i="9"/>
  <c r="A42" i="9"/>
  <c r="J37" i="9"/>
  <c r="I37" i="9"/>
  <c r="H37" i="9"/>
  <c r="G37" i="9"/>
  <c r="F37" i="9"/>
  <c r="E37" i="9"/>
  <c r="D37" i="9"/>
  <c r="C37" i="9"/>
  <c r="B37" i="9"/>
  <c r="A37" i="9"/>
  <c r="J32" i="9"/>
  <c r="I32" i="9"/>
  <c r="H32" i="9"/>
  <c r="G32" i="9"/>
  <c r="F32" i="9"/>
  <c r="E32" i="9"/>
  <c r="D32" i="9"/>
  <c r="C32" i="9"/>
  <c r="B32" i="9"/>
  <c r="A32" i="9"/>
  <c r="J27" i="9"/>
  <c r="I27" i="9"/>
  <c r="H27" i="9"/>
  <c r="G27" i="9"/>
  <c r="F27" i="9"/>
  <c r="E27" i="9"/>
  <c r="D27" i="9"/>
  <c r="C27" i="9"/>
  <c r="B27" i="9"/>
  <c r="A27" i="9"/>
  <c r="J22" i="9"/>
  <c r="I22" i="9"/>
  <c r="H22" i="9"/>
  <c r="G22" i="9"/>
  <c r="F22" i="9"/>
  <c r="E22" i="9"/>
  <c r="D22" i="9"/>
  <c r="C22" i="9"/>
  <c r="B22" i="9"/>
  <c r="A22" i="9"/>
  <c r="J17" i="9"/>
  <c r="I17" i="9"/>
  <c r="H17" i="9"/>
  <c r="G17" i="9"/>
  <c r="F17" i="9"/>
  <c r="E17" i="9"/>
  <c r="D17" i="9"/>
  <c r="C17" i="9"/>
  <c r="B17" i="9"/>
  <c r="A17" i="9"/>
  <c r="J11" i="9"/>
  <c r="I11" i="9"/>
  <c r="H11" i="9"/>
  <c r="G11" i="9"/>
  <c r="F11" i="9"/>
  <c r="E11" i="9"/>
  <c r="D11" i="9"/>
  <c r="C11" i="9"/>
  <c r="B11" i="9"/>
  <c r="A11" i="9"/>
  <c r="J1" i="9"/>
  <c r="I1" i="9"/>
  <c r="H1" i="9"/>
  <c r="G1" i="9"/>
  <c r="F1" i="9"/>
  <c r="E1" i="9"/>
  <c r="D1" i="9"/>
  <c r="C1" i="9"/>
  <c r="B1" i="9"/>
  <c r="A1" i="9"/>
  <c r="I5" i="4"/>
  <c r="I6" i="4"/>
  <c r="I7" i="4"/>
  <c r="J104" i="8"/>
  <c r="I104" i="8"/>
  <c r="H104" i="8"/>
  <c r="F104" i="8"/>
  <c r="D104" i="8"/>
  <c r="J101" i="8"/>
  <c r="I101" i="8"/>
  <c r="H101" i="8"/>
  <c r="F101" i="8"/>
  <c r="D101" i="8"/>
  <c r="J98" i="8"/>
  <c r="I98" i="8"/>
  <c r="H98" i="8"/>
  <c r="F98" i="8"/>
  <c r="D98" i="8"/>
  <c r="J95" i="8"/>
  <c r="I95" i="8"/>
  <c r="H95" i="8"/>
  <c r="F95" i="8"/>
  <c r="D95" i="8"/>
  <c r="J92" i="8"/>
  <c r="I92" i="8"/>
  <c r="H92" i="8"/>
  <c r="F92" i="8"/>
  <c r="D92" i="8"/>
  <c r="J89" i="8"/>
  <c r="I89" i="8"/>
  <c r="H89" i="8"/>
  <c r="F89" i="8"/>
  <c r="D89" i="8"/>
  <c r="J110" i="8"/>
  <c r="I110" i="8"/>
  <c r="H110" i="8"/>
  <c r="F110" i="8"/>
  <c r="D110" i="8"/>
  <c r="J108" i="8"/>
  <c r="I108" i="8"/>
  <c r="H108" i="8"/>
  <c r="F108" i="8"/>
  <c r="D108" i="8"/>
  <c r="J106" i="8"/>
  <c r="I106" i="8"/>
  <c r="H106" i="8"/>
  <c r="F106" i="8"/>
  <c r="D106" i="8"/>
  <c r="J103" i="8"/>
  <c r="I103" i="8"/>
  <c r="H103" i="8"/>
  <c r="F103" i="8"/>
  <c r="D103" i="8"/>
  <c r="J100" i="8"/>
  <c r="I100" i="8"/>
  <c r="H100" i="8"/>
  <c r="F100" i="8"/>
  <c r="D100" i="8"/>
  <c r="J97" i="8"/>
  <c r="I97" i="8"/>
  <c r="H97" i="8"/>
  <c r="F97" i="8"/>
  <c r="D97" i="8"/>
  <c r="J94" i="8"/>
  <c r="I94" i="8"/>
  <c r="H94" i="8"/>
  <c r="F94" i="8"/>
  <c r="D94" i="8"/>
  <c r="J91" i="8"/>
  <c r="I91" i="8"/>
  <c r="H91" i="8"/>
  <c r="F91" i="8"/>
  <c r="D91" i="8"/>
  <c r="J88" i="8"/>
  <c r="I88" i="8"/>
  <c r="H88" i="8"/>
  <c r="F88" i="8"/>
  <c r="D88" i="8"/>
  <c r="J111" i="8"/>
  <c r="I111" i="8"/>
  <c r="H111" i="8"/>
  <c r="F111" i="8"/>
  <c r="D111" i="8"/>
  <c r="J109" i="8"/>
  <c r="I109" i="8"/>
  <c r="H109" i="8"/>
  <c r="F109" i="8"/>
  <c r="D109" i="8"/>
  <c r="J107" i="8"/>
  <c r="I107" i="8"/>
  <c r="H107" i="8"/>
  <c r="F107" i="8"/>
  <c r="D107" i="8"/>
  <c r="J105" i="8"/>
  <c r="I105" i="8"/>
  <c r="H105" i="8"/>
  <c r="F105" i="8"/>
  <c r="D105" i="8"/>
  <c r="J102" i="8"/>
  <c r="I102" i="8"/>
  <c r="H102" i="8"/>
  <c r="F102" i="8"/>
  <c r="D102" i="8"/>
  <c r="J99" i="8"/>
  <c r="I99" i="8"/>
  <c r="H99" i="8"/>
  <c r="F99" i="8"/>
  <c r="D99" i="8"/>
  <c r="J96" i="8"/>
  <c r="I96" i="8"/>
  <c r="H96" i="8"/>
  <c r="F96" i="8"/>
  <c r="D96" i="8"/>
  <c r="J93" i="8"/>
  <c r="I93" i="8"/>
  <c r="H93" i="8"/>
  <c r="F93" i="8"/>
  <c r="D93" i="8"/>
  <c r="J90" i="8"/>
  <c r="I90" i="8"/>
  <c r="H90" i="8"/>
  <c r="F90" i="8"/>
  <c r="D90" i="8"/>
  <c r="J87" i="8"/>
  <c r="I87" i="8"/>
  <c r="H87" i="8"/>
  <c r="F87" i="8"/>
  <c r="D87" i="8"/>
  <c r="J86" i="8"/>
  <c r="I86" i="8"/>
  <c r="H86" i="8"/>
  <c r="F86" i="8"/>
  <c r="D86" i="8"/>
  <c r="J84" i="8"/>
  <c r="I84" i="8"/>
  <c r="H84" i="8"/>
  <c r="F84" i="8"/>
  <c r="D84" i="8"/>
  <c r="J81" i="8"/>
  <c r="I81" i="8"/>
  <c r="H81" i="8"/>
  <c r="F81" i="8"/>
  <c r="D81" i="8"/>
  <c r="J82" i="8"/>
  <c r="I82" i="8"/>
  <c r="H82" i="8"/>
  <c r="F82" i="8"/>
  <c r="D82" i="8"/>
  <c r="J79" i="8"/>
  <c r="I79" i="8"/>
  <c r="H79" i="8"/>
  <c r="F79" i="8"/>
  <c r="D79" i="8"/>
  <c r="J76" i="8"/>
  <c r="I76" i="8"/>
  <c r="H76" i="8"/>
  <c r="F76" i="8"/>
  <c r="D76" i="8"/>
  <c r="J74" i="8"/>
  <c r="I74" i="8"/>
  <c r="H74" i="8"/>
  <c r="F74" i="8"/>
  <c r="D74" i="8"/>
  <c r="J72" i="8"/>
  <c r="I72" i="8"/>
  <c r="H72" i="8"/>
  <c r="F72" i="8"/>
  <c r="D72" i="8"/>
  <c r="J71" i="8"/>
  <c r="I71" i="8"/>
  <c r="H71" i="8"/>
  <c r="F71" i="8"/>
  <c r="D71" i="8"/>
  <c r="J65" i="8"/>
  <c r="I65" i="8"/>
  <c r="H65" i="8"/>
  <c r="F65" i="8"/>
  <c r="D65" i="8"/>
  <c r="J67" i="8"/>
  <c r="I67" i="8"/>
  <c r="H67" i="8"/>
  <c r="F67" i="8"/>
  <c r="D67" i="8"/>
  <c r="J64" i="8"/>
  <c r="I64" i="8"/>
  <c r="H64" i="8"/>
  <c r="F64" i="8"/>
  <c r="D64" i="8"/>
  <c r="J62" i="8"/>
  <c r="I62" i="8"/>
  <c r="H62" i="8"/>
  <c r="F62" i="8"/>
  <c r="D62" i="8"/>
  <c r="J85" i="8"/>
  <c r="I85" i="8"/>
  <c r="H85" i="8"/>
  <c r="F85" i="8"/>
  <c r="D85" i="8"/>
  <c r="J83" i="8"/>
  <c r="I83" i="8"/>
  <c r="H83" i="8"/>
  <c r="F83" i="8"/>
  <c r="D83" i="8"/>
  <c r="J80" i="8"/>
  <c r="I80" i="8"/>
  <c r="H80" i="8"/>
  <c r="F80" i="8"/>
  <c r="D80" i="8"/>
  <c r="J78" i="8"/>
  <c r="I78" i="8"/>
  <c r="H78" i="8"/>
  <c r="G78" i="8"/>
  <c r="F78" i="8"/>
  <c r="E78" i="8"/>
  <c r="D78" i="8"/>
  <c r="J77" i="8"/>
  <c r="I77" i="8"/>
  <c r="H77" i="8"/>
  <c r="G77" i="8"/>
  <c r="F77" i="8"/>
  <c r="E77" i="8"/>
  <c r="D77" i="8"/>
  <c r="J75" i="8"/>
  <c r="I75" i="8"/>
  <c r="H75" i="8"/>
  <c r="F75" i="8"/>
  <c r="D75" i="8"/>
  <c r="J73" i="8"/>
  <c r="I73" i="8"/>
  <c r="H73" i="8"/>
  <c r="F73" i="8"/>
  <c r="D73" i="8"/>
  <c r="J70" i="8"/>
  <c r="I70" i="8"/>
  <c r="H70" i="8"/>
  <c r="F70" i="8"/>
  <c r="D70" i="8"/>
  <c r="J69" i="8"/>
  <c r="I69" i="8"/>
  <c r="H69" i="8"/>
  <c r="F69" i="8"/>
  <c r="D69" i="8"/>
  <c r="J68" i="8"/>
  <c r="I68" i="8"/>
  <c r="H68" i="8"/>
  <c r="F68" i="8"/>
  <c r="D68" i="8"/>
  <c r="J66" i="8"/>
  <c r="I66" i="8"/>
  <c r="H66" i="8"/>
  <c r="F66" i="8"/>
  <c r="D66" i="8"/>
  <c r="J63" i="8"/>
  <c r="I63" i="8"/>
  <c r="H63" i="8"/>
  <c r="F63" i="8"/>
  <c r="D63" i="8"/>
  <c r="J61" i="8"/>
  <c r="I61" i="8"/>
  <c r="H61" i="8"/>
  <c r="F61" i="8"/>
  <c r="D61" i="8"/>
  <c r="A104" i="8"/>
  <c r="A101" i="8"/>
  <c r="A98" i="8"/>
  <c r="A95" i="8"/>
  <c r="A92" i="8"/>
  <c r="A89" i="8"/>
  <c r="A110" i="8"/>
  <c r="A108" i="8"/>
  <c r="A106" i="8"/>
  <c r="A103" i="8"/>
  <c r="A100" i="8"/>
  <c r="A97" i="8"/>
  <c r="A94" i="8"/>
  <c r="A91" i="8"/>
  <c r="A88" i="8"/>
  <c r="A111" i="8"/>
  <c r="A109" i="8"/>
  <c r="A107" i="8"/>
  <c r="A105" i="8"/>
  <c r="A102" i="8"/>
  <c r="A99" i="8"/>
  <c r="A96" i="8"/>
  <c r="A93" i="8"/>
  <c r="A90" i="8"/>
  <c r="A87" i="8"/>
  <c r="A86" i="8"/>
  <c r="A84" i="8"/>
  <c r="A81" i="8"/>
  <c r="A82" i="8"/>
  <c r="A79" i="8"/>
  <c r="A76" i="8"/>
  <c r="A74" i="8"/>
  <c r="A72" i="8"/>
  <c r="A71" i="8"/>
  <c r="A67" i="8"/>
  <c r="A65" i="8"/>
  <c r="A64" i="8"/>
  <c r="A62" i="8"/>
  <c r="A85" i="8"/>
  <c r="A83" i="8"/>
  <c r="A80" i="8"/>
  <c r="A78" i="8"/>
  <c r="A77" i="8"/>
  <c r="A75" i="8"/>
  <c r="A73" i="8"/>
  <c r="A70" i="8"/>
  <c r="A69" i="8"/>
  <c r="A68" i="8"/>
  <c r="A66" i="8"/>
  <c r="A63" i="8"/>
  <c r="A61" i="8"/>
  <c r="J60" i="8"/>
  <c r="I60" i="8"/>
  <c r="H60" i="8"/>
  <c r="F60" i="8"/>
  <c r="D60" i="8"/>
  <c r="J58" i="8"/>
  <c r="I58" i="8"/>
  <c r="H58" i="8"/>
  <c r="F58" i="8"/>
  <c r="D58" i="8"/>
  <c r="J56" i="8"/>
  <c r="I56" i="8"/>
  <c r="H56" i="8"/>
  <c r="F56" i="8"/>
  <c r="D56" i="8"/>
  <c r="J54" i="8"/>
  <c r="I54" i="8"/>
  <c r="H54" i="8"/>
  <c r="F54" i="8"/>
  <c r="D54" i="8"/>
  <c r="J52" i="8"/>
  <c r="I52" i="8"/>
  <c r="H52" i="8"/>
  <c r="F52" i="8"/>
  <c r="E52" i="8"/>
  <c r="D52" i="8"/>
  <c r="J50" i="8"/>
  <c r="I50" i="8"/>
  <c r="H50" i="8"/>
  <c r="F50" i="8"/>
  <c r="D50" i="8"/>
  <c r="J48" i="8"/>
  <c r="I48" i="8"/>
  <c r="H48" i="8"/>
  <c r="F48" i="8"/>
  <c r="D48" i="8"/>
  <c r="J46" i="8"/>
  <c r="I46" i="8"/>
  <c r="H46" i="8"/>
  <c r="F46" i="8"/>
  <c r="D46" i="8"/>
  <c r="J44" i="8"/>
  <c r="I44" i="8"/>
  <c r="H44" i="8"/>
  <c r="F44" i="8"/>
  <c r="D44" i="8"/>
  <c r="J42" i="8"/>
  <c r="I42" i="8"/>
  <c r="H42" i="8"/>
  <c r="F42" i="8"/>
  <c r="D42" i="8"/>
  <c r="J59" i="8"/>
  <c r="I59" i="8"/>
  <c r="H59" i="8"/>
  <c r="F59" i="8"/>
  <c r="D59" i="8"/>
  <c r="J57" i="8"/>
  <c r="I57" i="8"/>
  <c r="H57" i="8"/>
  <c r="F57" i="8"/>
  <c r="D57" i="8"/>
  <c r="J55" i="8"/>
  <c r="I55" i="8"/>
  <c r="H55" i="8"/>
  <c r="F55" i="8"/>
  <c r="D55" i="8"/>
  <c r="J53" i="8"/>
  <c r="I53" i="8"/>
  <c r="H53" i="8"/>
  <c r="F53" i="8"/>
  <c r="D53" i="8"/>
  <c r="J51" i="8"/>
  <c r="I51" i="8"/>
  <c r="H51" i="8"/>
  <c r="F51" i="8"/>
  <c r="D51" i="8"/>
  <c r="J49" i="8"/>
  <c r="I49" i="8"/>
  <c r="H49" i="8"/>
  <c r="F49" i="8"/>
  <c r="D49" i="8"/>
  <c r="J47" i="8"/>
  <c r="I47" i="8"/>
  <c r="H47" i="8"/>
  <c r="F47" i="8"/>
  <c r="D47" i="8"/>
  <c r="J45" i="8"/>
  <c r="I45" i="8"/>
  <c r="H45" i="8"/>
  <c r="F45" i="8"/>
  <c r="D45" i="8"/>
  <c r="J43" i="8"/>
  <c r="I43" i="8"/>
  <c r="H43" i="8"/>
  <c r="F43" i="8"/>
  <c r="D43" i="8"/>
  <c r="J41" i="8"/>
  <c r="I41" i="8"/>
  <c r="H41" i="8"/>
  <c r="F41" i="8"/>
  <c r="D41" i="8"/>
  <c r="J39" i="8"/>
  <c r="I39" i="8"/>
  <c r="H39" i="8"/>
  <c r="F39" i="8"/>
  <c r="D39" i="8"/>
  <c r="J37" i="8"/>
  <c r="I37" i="8"/>
  <c r="H37" i="8"/>
  <c r="F37" i="8"/>
  <c r="D37" i="8"/>
  <c r="J36" i="8"/>
  <c r="I36" i="8"/>
  <c r="H36" i="8"/>
  <c r="F36" i="8"/>
  <c r="D36" i="8"/>
  <c r="J34" i="8"/>
  <c r="I34" i="8"/>
  <c r="H34" i="8"/>
  <c r="F34" i="8"/>
  <c r="D34" i="8"/>
  <c r="J32" i="8"/>
  <c r="I32" i="8"/>
  <c r="H32" i="8"/>
  <c r="F32" i="8"/>
  <c r="D32" i="8"/>
  <c r="J30" i="8"/>
  <c r="I30" i="8"/>
  <c r="H30" i="8"/>
  <c r="F30" i="8"/>
  <c r="D30" i="8"/>
  <c r="J28" i="8"/>
  <c r="I28" i="8"/>
  <c r="H28" i="8"/>
  <c r="F28" i="8"/>
  <c r="D28" i="8"/>
  <c r="J26" i="8"/>
  <c r="I26" i="8"/>
  <c r="H26" i="8"/>
  <c r="F26" i="8"/>
  <c r="D26" i="8"/>
  <c r="J25" i="8"/>
  <c r="I25" i="8"/>
  <c r="H25" i="8"/>
  <c r="F25" i="8"/>
  <c r="D25" i="8"/>
  <c r="J23" i="8"/>
  <c r="I23" i="8"/>
  <c r="H23" i="8"/>
  <c r="F23" i="8"/>
  <c r="D23" i="8"/>
  <c r="J21" i="8"/>
  <c r="I21" i="8"/>
  <c r="H21" i="8"/>
  <c r="F21" i="8"/>
  <c r="D21" i="8"/>
  <c r="J40" i="8"/>
  <c r="I40" i="8"/>
  <c r="H40" i="8"/>
  <c r="F40" i="8"/>
  <c r="D40" i="8"/>
  <c r="J38" i="8"/>
  <c r="I38" i="8"/>
  <c r="H38" i="8"/>
  <c r="F38" i="8"/>
  <c r="D38" i="8"/>
  <c r="J35" i="8"/>
  <c r="I35" i="8"/>
  <c r="H35" i="8"/>
  <c r="F35" i="8"/>
  <c r="D35" i="8"/>
  <c r="J33" i="8"/>
  <c r="I33" i="8"/>
  <c r="H33" i="8"/>
  <c r="F33" i="8"/>
  <c r="D33" i="8"/>
  <c r="J31" i="8"/>
  <c r="I31" i="8"/>
  <c r="H31" i="8"/>
  <c r="F31" i="8"/>
  <c r="D31" i="8"/>
  <c r="J29" i="8"/>
  <c r="I29" i="8"/>
  <c r="H29" i="8"/>
  <c r="F29" i="8"/>
  <c r="D29" i="8"/>
  <c r="J27" i="8"/>
  <c r="I27" i="8"/>
  <c r="H27" i="8"/>
  <c r="F27" i="8"/>
  <c r="D27" i="8"/>
  <c r="J24" i="8"/>
  <c r="I24" i="8"/>
  <c r="H24" i="8"/>
  <c r="F24" i="8"/>
  <c r="D24" i="8"/>
  <c r="J22" i="8"/>
  <c r="I22" i="8"/>
  <c r="H22" i="8"/>
  <c r="F22" i="8"/>
  <c r="D22" i="8"/>
  <c r="J20" i="8"/>
  <c r="I20" i="8"/>
  <c r="H20" i="8"/>
  <c r="F20" i="8"/>
  <c r="D20" i="8"/>
  <c r="A60" i="8"/>
  <c r="A58" i="8"/>
  <c r="A56" i="8"/>
  <c r="A54" i="8"/>
  <c r="A52" i="8"/>
  <c r="A50" i="8"/>
  <c r="A48" i="8"/>
  <c r="A46" i="8"/>
  <c r="A44" i="8"/>
  <c r="A42" i="8"/>
  <c r="A59" i="8"/>
  <c r="A57" i="8"/>
  <c r="A55" i="8"/>
  <c r="A53" i="8"/>
  <c r="A51" i="8"/>
  <c r="A49" i="8"/>
  <c r="A47" i="8"/>
  <c r="A45" i="8"/>
  <c r="A43" i="8"/>
  <c r="A41" i="8"/>
  <c r="A39" i="8"/>
  <c r="A37" i="8"/>
  <c r="A36" i="8"/>
  <c r="A34" i="8"/>
  <c r="A32" i="8"/>
  <c r="A30" i="8"/>
  <c r="A28" i="8"/>
  <c r="A26" i="8"/>
  <c r="A25" i="8"/>
  <c r="A23" i="8"/>
  <c r="A21" i="8"/>
  <c r="A40" i="8"/>
  <c r="A38" i="8"/>
  <c r="A35" i="8"/>
  <c r="A33" i="8"/>
  <c r="A31" i="8"/>
  <c r="A29" i="8"/>
  <c r="A27" i="8"/>
  <c r="A24" i="8"/>
  <c r="A22" i="8"/>
  <c r="A20" i="8"/>
  <c r="J19" i="8"/>
  <c r="I19" i="8"/>
  <c r="H19" i="8"/>
  <c r="F19" i="8"/>
  <c r="D19" i="8"/>
  <c r="C19" i="8"/>
  <c r="J18" i="8"/>
  <c r="I18" i="8"/>
  <c r="H18" i="8"/>
  <c r="F18" i="8"/>
  <c r="D18" i="8"/>
  <c r="C18" i="8"/>
  <c r="J17" i="8"/>
  <c r="I17" i="8"/>
  <c r="H17" i="8"/>
  <c r="F17" i="8"/>
  <c r="D17" i="8"/>
  <c r="C17" i="8"/>
  <c r="J16" i="8"/>
  <c r="I16" i="8"/>
  <c r="H16" i="8"/>
  <c r="F16" i="8"/>
  <c r="D16" i="8"/>
  <c r="C16" i="8"/>
  <c r="J15" i="8"/>
  <c r="I15" i="8"/>
  <c r="H15" i="8"/>
  <c r="F15" i="8"/>
  <c r="D15" i="8"/>
  <c r="C15" i="8"/>
  <c r="J14" i="8"/>
  <c r="I14" i="8"/>
  <c r="H14" i="8"/>
  <c r="F14" i="8"/>
  <c r="D14" i="8"/>
  <c r="C14" i="8"/>
  <c r="J13" i="8"/>
  <c r="I13" i="8"/>
  <c r="H13" i="8"/>
  <c r="F13" i="8"/>
  <c r="D13" i="8"/>
  <c r="C13" i="8"/>
  <c r="J12" i="8"/>
  <c r="I12" i="8"/>
  <c r="H12" i="8"/>
  <c r="F12" i="8"/>
  <c r="D12" i="8"/>
  <c r="C12" i="8"/>
  <c r="J11" i="8"/>
  <c r="I11" i="8"/>
  <c r="H11" i="8"/>
  <c r="F11" i="8"/>
  <c r="D11" i="8"/>
  <c r="C11" i="8"/>
  <c r="J10" i="8"/>
  <c r="I10" i="8"/>
  <c r="H10" i="8"/>
  <c r="G10" i="8"/>
  <c r="F10" i="8"/>
  <c r="E10" i="8"/>
  <c r="D10" i="8"/>
  <c r="C10" i="8"/>
  <c r="J9" i="8"/>
  <c r="I9" i="8"/>
  <c r="H9" i="8"/>
  <c r="G9" i="8"/>
  <c r="F9" i="8"/>
  <c r="E9" i="8"/>
  <c r="D9" i="8"/>
  <c r="C9" i="8"/>
  <c r="J8" i="8"/>
  <c r="I8" i="8"/>
  <c r="H8" i="8"/>
  <c r="G8" i="8"/>
  <c r="F8" i="8"/>
  <c r="E8" i="8"/>
  <c r="D8" i="8"/>
  <c r="C8" i="8"/>
  <c r="J7" i="8"/>
  <c r="I7" i="8"/>
  <c r="H7" i="8"/>
  <c r="G7" i="8"/>
  <c r="F7" i="8"/>
  <c r="E7" i="8"/>
  <c r="D7" i="8"/>
  <c r="C7" i="8"/>
  <c r="J6" i="8"/>
  <c r="I6" i="8"/>
  <c r="H6" i="8"/>
  <c r="G6" i="8"/>
  <c r="F6" i="8"/>
  <c r="E6" i="8"/>
  <c r="D6" i="8"/>
  <c r="C6" i="8"/>
  <c r="J5" i="8"/>
  <c r="I5" i="8"/>
  <c r="H5" i="8"/>
  <c r="G5" i="8"/>
  <c r="F5" i="8"/>
  <c r="E5" i="8"/>
  <c r="D5" i="8"/>
  <c r="C5" i="8"/>
  <c r="J4" i="8"/>
  <c r="I4" i="8"/>
  <c r="H4" i="8"/>
  <c r="G4" i="8"/>
  <c r="F4" i="8"/>
  <c r="E4" i="8"/>
  <c r="D4" i="8"/>
  <c r="C4" i="8"/>
  <c r="J3" i="8"/>
  <c r="I3" i="8"/>
  <c r="H3" i="8"/>
  <c r="G3" i="8"/>
  <c r="F3" i="8"/>
  <c r="E3" i="8"/>
  <c r="D3" i="8"/>
  <c r="C3" i="8"/>
  <c r="J2" i="8"/>
  <c r="I2" i="8"/>
  <c r="H2" i="8"/>
  <c r="G2" i="8"/>
  <c r="F2" i="8"/>
  <c r="E2" i="8"/>
  <c r="D2" i="8"/>
  <c r="C2" i="8"/>
  <c r="J1" i="8"/>
  <c r="I1" i="8"/>
  <c r="H1" i="8"/>
  <c r="G1" i="8"/>
  <c r="F1" i="8"/>
  <c r="E1" i="8"/>
  <c r="D1" i="8"/>
  <c r="C1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B2" i="8"/>
  <c r="A2" i="8"/>
  <c r="B1" i="8"/>
  <c r="A1" i="8"/>
  <c r="G38" i="13"/>
  <c r="G37" i="13"/>
  <c r="E38" i="13"/>
  <c r="E37" i="13"/>
  <c r="F100" i="4"/>
  <c r="F101" i="4"/>
  <c r="F102" i="4"/>
  <c r="F103" i="4"/>
  <c r="F104" i="4"/>
  <c r="F105" i="4"/>
  <c r="F106" i="4"/>
  <c r="F107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B51" i="13"/>
  <c r="G13" i="4" s="1"/>
  <c r="C51" i="13"/>
  <c r="E68" i="6"/>
  <c r="D68" i="6"/>
  <c r="C58" i="13"/>
  <c r="B80" i="13"/>
  <c r="E23" i="4" s="1"/>
  <c r="B81" i="13"/>
  <c r="E24" i="4" s="1"/>
  <c r="B82" i="13"/>
  <c r="E25" i="4" s="1"/>
  <c r="B83" i="13"/>
  <c r="E26" i="4" s="1"/>
  <c r="B84" i="13"/>
  <c r="E27" i="4" s="1"/>
  <c r="B79" i="13"/>
  <c r="E22" i="4" s="1"/>
  <c r="B59" i="13"/>
  <c r="I23" i="4" s="1"/>
  <c r="B60" i="13"/>
  <c r="I24" i="4" s="1"/>
  <c r="B61" i="13"/>
  <c r="I25" i="4" s="1"/>
  <c r="B62" i="13"/>
  <c r="I26" i="4" s="1"/>
  <c r="B63" i="13"/>
  <c r="I27" i="4" s="1"/>
  <c r="B64" i="13"/>
  <c r="I28" i="4" s="1"/>
  <c r="B65" i="13"/>
  <c r="I29" i="4" s="1"/>
  <c r="B66" i="13"/>
  <c r="I30" i="4" s="1"/>
  <c r="B67" i="13"/>
  <c r="I31" i="4" s="1"/>
  <c r="B70" i="13"/>
  <c r="F23" i="4" s="1"/>
  <c r="B71" i="13"/>
  <c r="F24" i="4" s="1"/>
  <c r="B72" i="13"/>
  <c r="F25" i="4" s="1"/>
  <c r="B73" i="13"/>
  <c r="F26" i="4" s="1"/>
  <c r="B74" i="13"/>
  <c r="F27" i="4" s="1"/>
  <c r="B75" i="13"/>
  <c r="F28" i="4" s="1"/>
  <c r="B76" i="13"/>
  <c r="F29" i="4" s="1"/>
  <c r="B77" i="13"/>
  <c r="F30" i="4" s="1"/>
  <c r="B58" i="13"/>
  <c r="I22" i="4" s="1"/>
  <c r="B69" i="13"/>
  <c r="F22" i="4" s="1"/>
  <c r="C84" i="13"/>
  <c r="C83" i="13"/>
  <c r="C82" i="13"/>
  <c r="C81" i="13"/>
  <c r="C80" i="13"/>
  <c r="C79" i="13"/>
  <c r="C77" i="13"/>
  <c r="C76" i="13"/>
  <c r="C75" i="13"/>
  <c r="C74" i="13"/>
  <c r="C73" i="13"/>
  <c r="C100" i="8" s="1"/>
  <c r="C72" i="13"/>
  <c r="C71" i="13"/>
  <c r="C70" i="13"/>
  <c r="C91" i="8" s="1"/>
  <c r="C69" i="13"/>
  <c r="C67" i="13"/>
  <c r="C66" i="13"/>
  <c r="C109" i="8" s="1"/>
  <c r="C65" i="13"/>
  <c r="C64" i="13"/>
  <c r="C63" i="13"/>
  <c r="C62" i="13"/>
  <c r="C61" i="13"/>
  <c r="C60" i="13"/>
  <c r="C59" i="13"/>
  <c r="B45" i="13"/>
  <c r="B46" i="13"/>
  <c r="B47" i="13"/>
  <c r="I8" i="4" s="1"/>
  <c r="B48" i="13"/>
  <c r="I9" i="4" s="1"/>
  <c r="B49" i="13"/>
  <c r="I10" i="4" s="1"/>
  <c r="I11" i="4"/>
  <c r="I12" i="4"/>
  <c r="I13" i="4"/>
  <c r="I14" i="4"/>
  <c r="B44" i="13"/>
  <c r="B43" i="13"/>
  <c r="H5" i="4" s="1"/>
  <c r="B42" i="13"/>
  <c r="H4" i="4" s="1"/>
  <c r="C54" i="13"/>
  <c r="C53" i="13"/>
  <c r="C52" i="13"/>
  <c r="C50" i="13"/>
  <c r="C49" i="13"/>
  <c r="C48" i="13"/>
  <c r="C74" i="8" s="1"/>
  <c r="C47" i="13"/>
  <c r="C46" i="13"/>
  <c r="C45" i="13"/>
  <c r="C44" i="13"/>
  <c r="C43" i="13"/>
  <c r="C42" i="13"/>
  <c r="C62" i="8" s="1"/>
  <c r="B21" i="3"/>
  <c r="B22" i="3"/>
  <c r="B34" i="13"/>
  <c r="F9" i="4" s="1"/>
  <c r="B35" i="13"/>
  <c r="F10" i="4" s="1"/>
  <c r="B36" i="13"/>
  <c r="F11" i="4" s="1"/>
  <c r="B37" i="13"/>
  <c r="F12" i="4" s="1"/>
  <c r="B38" i="13"/>
  <c r="F13" i="4" s="1"/>
  <c r="B39" i="13"/>
  <c r="F14" i="4" s="1"/>
  <c r="B33" i="13"/>
  <c r="F8" i="4" s="1"/>
  <c r="C39" i="13"/>
  <c r="C38" i="13"/>
  <c r="C37" i="13"/>
  <c r="C80" i="8" s="1"/>
  <c r="C36" i="13"/>
  <c r="C35" i="13"/>
  <c r="C34" i="13"/>
  <c r="C33" i="13"/>
  <c r="B32" i="13"/>
  <c r="G7" i="4" s="1"/>
  <c r="B30" i="13"/>
  <c r="H6" i="4" s="1"/>
  <c r="B31" i="13"/>
  <c r="F7" i="4" s="1"/>
  <c r="B29" i="13"/>
  <c r="F6" i="4" s="1"/>
  <c r="B28" i="13"/>
  <c r="F5" i="4" s="1"/>
  <c r="B27" i="13"/>
  <c r="F4" i="4" s="1"/>
  <c r="C32" i="13"/>
  <c r="C30" i="13"/>
  <c r="C29" i="13"/>
  <c r="C31" i="13"/>
  <c r="C28" i="13"/>
  <c r="C27" i="13"/>
  <c r="G84" i="13"/>
  <c r="E84" i="13"/>
  <c r="G83" i="13"/>
  <c r="G84" i="9" s="1"/>
  <c r="E83" i="13"/>
  <c r="G82" i="13"/>
  <c r="E82" i="13"/>
  <c r="G80" i="13"/>
  <c r="G79" i="13"/>
  <c r="G51" i="10" s="1"/>
  <c r="G81" i="13"/>
  <c r="G53" i="10" s="1"/>
  <c r="E81" i="13"/>
  <c r="E72" i="9" s="1"/>
  <c r="E80" i="13"/>
  <c r="E79" i="13"/>
  <c r="G31" i="13"/>
  <c r="E31" i="13"/>
  <c r="E69" i="8" s="1"/>
  <c r="G29" i="13"/>
  <c r="E29" i="13"/>
  <c r="E39" i="13"/>
  <c r="A17" i="13"/>
  <c r="E62" i="13" s="1"/>
  <c r="B17" i="13"/>
  <c r="G54" i="13" s="1"/>
  <c r="C17" i="13"/>
  <c r="G64" i="13" s="1"/>
  <c r="D17" i="13"/>
  <c r="E17" i="13"/>
  <c r="E74" i="13" s="1"/>
  <c r="F17" i="13"/>
  <c r="G75" i="13" s="1"/>
  <c r="A18" i="13"/>
  <c r="G39" i="13" s="1"/>
  <c r="C18" i="13"/>
  <c r="G61" i="13" s="1"/>
  <c r="D18" i="13"/>
  <c r="G73" i="13" s="1"/>
  <c r="E18" i="13"/>
  <c r="G71" i="13" s="1"/>
  <c r="F18" i="13"/>
  <c r="G72" i="13" s="1"/>
  <c r="E27" i="13"/>
  <c r="G27" i="13"/>
  <c r="E28" i="13"/>
  <c r="E63" i="8" s="1"/>
  <c r="G28" i="13"/>
  <c r="E32" i="13"/>
  <c r="G32" i="13"/>
  <c r="G70" i="8" s="1"/>
  <c r="E30" i="13"/>
  <c r="G30" i="13"/>
  <c r="E33" i="13"/>
  <c r="G33" i="13"/>
  <c r="E34" i="13"/>
  <c r="G34" i="13"/>
  <c r="E42" i="13"/>
  <c r="E62" i="8" s="1"/>
  <c r="G42" i="13"/>
  <c r="E43" i="13"/>
  <c r="G43" i="13"/>
  <c r="G64" i="8" s="1"/>
  <c r="E45" i="13"/>
  <c r="G45" i="13"/>
  <c r="E44" i="13"/>
  <c r="G44" i="13"/>
  <c r="E46" i="13"/>
  <c r="G46" i="13"/>
  <c r="E47" i="13"/>
  <c r="G47" i="13"/>
  <c r="E48" i="13"/>
  <c r="G48" i="13"/>
  <c r="E49" i="13"/>
  <c r="G49" i="13"/>
  <c r="E51" i="13"/>
  <c r="G51" i="13"/>
  <c r="E50" i="13"/>
  <c r="G50" i="13"/>
  <c r="E52" i="13"/>
  <c r="G52" i="13"/>
  <c r="E53" i="13"/>
  <c r="B18" i="13" s="1"/>
  <c r="G60" i="13" s="1"/>
  <c r="G53" i="13"/>
  <c r="E54" i="13"/>
  <c r="E58" i="13"/>
  <c r="E80" i="10" s="1"/>
  <c r="E59" i="13"/>
  <c r="E60" i="13"/>
  <c r="E64" i="13"/>
  <c r="E86" i="10" s="1"/>
  <c r="E65" i="13"/>
  <c r="E87" i="10" s="1"/>
  <c r="G65" i="13"/>
  <c r="G102" i="9" s="1"/>
  <c r="E66" i="13"/>
  <c r="E109" i="8" s="1"/>
  <c r="G66" i="13"/>
  <c r="G88" i="10" s="1"/>
  <c r="E67" i="13"/>
  <c r="E89" i="10" s="1"/>
  <c r="G67" i="13"/>
  <c r="G111" i="8" s="1"/>
  <c r="E69" i="13"/>
  <c r="E70" i="13"/>
  <c r="E71" i="13"/>
  <c r="E75" i="13"/>
  <c r="E76" i="13"/>
  <c r="G76" i="13"/>
  <c r="E77" i="13"/>
  <c r="G107" i="9" l="1"/>
  <c r="G87" i="10"/>
  <c r="G110" i="9"/>
  <c r="G89" i="10"/>
  <c r="E102" i="9"/>
  <c r="E88" i="10"/>
  <c r="E107" i="9"/>
  <c r="E110" i="9"/>
  <c r="E53" i="10"/>
  <c r="G55" i="10"/>
  <c r="G60" i="9"/>
  <c r="G72" i="9"/>
  <c r="E97" i="9"/>
  <c r="E62" i="9"/>
  <c r="E72" i="10"/>
  <c r="E20" i="9"/>
  <c r="E51" i="10"/>
  <c r="E60" i="9"/>
  <c r="E101" i="8"/>
  <c r="E55" i="10"/>
  <c r="E84" i="9"/>
  <c r="E81" i="10"/>
  <c r="E68" i="9"/>
  <c r="E30" i="10"/>
  <c r="E53" i="9"/>
  <c r="G52" i="10"/>
  <c r="G66" i="9"/>
  <c r="G54" i="10"/>
  <c r="G78" i="9"/>
  <c r="E39" i="10"/>
  <c r="E105" i="9"/>
  <c r="E33" i="10"/>
  <c r="E71" i="9"/>
  <c r="E38" i="10"/>
  <c r="E100" i="9"/>
  <c r="E91" i="8"/>
  <c r="E32" i="10"/>
  <c r="E65" i="9"/>
  <c r="E82" i="10"/>
  <c r="E74" i="9"/>
  <c r="E86" i="8"/>
  <c r="E79" i="10"/>
  <c r="E55" i="9"/>
  <c r="E37" i="10"/>
  <c r="E95" i="9"/>
  <c r="E31" i="10"/>
  <c r="E59" i="9"/>
  <c r="G78" i="10"/>
  <c r="G50" i="9"/>
  <c r="G81" i="8"/>
  <c r="G77" i="10"/>
  <c r="G45" i="9"/>
  <c r="E54" i="10"/>
  <c r="E78" i="9"/>
  <c r="G56" i="10"/>
  <c r="G90" i="9"/>
  <c r="E92" i="8"/>
  <c r="E52" i="10"/>
  <c r="E66" i="9"/>
  <c r="E56" i="10"/>
  <c r="E90" i="9"/>
  <c r="E80" i="8"/>
  <c r="E28" i="10"/>
  <c r="E43" i="9"/>
  <c r="E29" i="10"/>
  <c r="E48" i="9"/>
  <c r="E78" i="10"/>
  <c r="E50" i="9"/>
  <c r="E77" i="10"/>
  <c r="E45" i="9"/>
  <c r="G34" i="10"/>
  <c r="G77" i="9"/>
  <c r="G35" i="10"/>
  <c r="G83" i="9"/>
  <c r="G82" i="10"/>
  <c r="G74" i="9"/>
  <c r="E36" i="10"/>
  <c r="E89" i="9"/>
  <c r="G105" i="8"/>
  <c r="G86" i="10"/>
  <c r="G97" i="9"/>
  <c r="E84" i="10"/>
  <c r="E86" i="9"/>
  <c r="G28" i="10"/>
  <c r="G43" i="9"/>
  <c r="G80" i="8"/>
  <c r="G29" i="10"/>
  <c r="G48" i="9"/>
  <c r="G76" i="10"/>
  <c r="G40" i="9"/>
  <c r="G99" i="10"/>
  <c r="G51" i="9"/>
  <c r="G38" i="10"/>
  <c r="G100" i="9"/>
  <c r="E100" i="8"/>
  <c r="E35" i="10"/>
  <c r="E83" i="9"/>
  <c r="E76" i="10"/>
  <c r="E40" i="9"/>
  <c r="E82" i="8"/>
  <c r="E99" i="10"/>
  <c r="E51" i="9"/>
  <c r="G37" i="10"/>
  <c r="G95" i="9"/>
  <c r="G79" i="10"/>
  <c r="G55" i="9"/>
  <c r="G25" i="10"/>
  <c r="G28" i="9"/>
  <c r="G24" i="10"/>
  <c r="G23" i="9"/>
  <c r="G76" i="8"/>
  <c r="G75" i="10"/>
  <c r="G35" i="9"/>
  <c r="G74" i="10"/>
  <c r="G30" i="9"/>
  <c r="E75" i="8"/>
  <c r="E25" i="10"/>
  <c r="E28" i="9"/>
  <c r="E24" i="10"/>
  <c r="E23" i="9"/>
  <c r="G33" i="10"/>
  <c r="G71" i="9"/>
  <c r="G96" i="8"/>
  <c r="G83" i="10"/>
  <c r="G80" i="9"/>
  <c r="G30" i="10"/>
  <c r="G53" i="9"/>
  <c r="E75" i="10"/>
  <c r="E35" i="9"/>
  <c r="E74" i="8"/>
  <c r="E74" i="10"/>
  <c r="E30" i="9"/>
  <c r="C61" i="8"/>
  <c r="G63" i="8"/>
  <c r="C68" i="8"/>
  <c r="G69" i="8"/>
  <c r="C73" i="8"/>
  <c r="G75" i="8"/>
  <c r="C78" i="8"/>
  <c r="C85" i="8"/>
  <c r="G62" i="8"/>
  <c r="C65" i="8"/>
  <c r="G65" i="8"/>
  <c r="C72" i="8"/>
  <c r="G74" i="8"/>
  <c r="C79" i="8"/>
  <c r="G82" i="8"/>
  <c r="C84" i="8"/>
  <c r="G86" i="8"/>
  <c r="C90" i="8"/>
  <c r="G93" i="8"/>
  <c r="C99" i="8"/>
  <c r="C107" i="8"/>
  <c r="G109" i="8"/>
  <c r="C88" i="8"/>
  <c r="C97" i="8"/>
  <c r="G100" i="8"/>
  <c r="C106" i="8"/>
  <c r="G108" i="8"/>
  <c r="C89" i="8"/>
  <c r="G92" i="8"/>
  <c r="C98" i="8"/>
  <c r="G101" i="8"/>
  <c r="B68" i="8"/>
  <c r="B78" i="8"/>
  <c r="B65" i="8"/>
  <c r="B79" i="8"/>
  <c r="B90" i="8"/>
  <c r="B107" i="8"/>
  <c r="B97" i="8"/>
  <c r="B89" i="8"/>
  <c r="E61" i="8"/>
  <c r="E68" i="8"/>
  <c r="E73" i="8"/>
  <c r="E85" i="8"/>
  <c r="E67" i="8"/>
  <c r="E72" i="8"/>
  <c r="E79" i="8"/>
  <c r="E84" i="8"/>
  <c r="E90" i="8"/>
  <c r="E99" i="8"/>
  <c r="E107" i="8"/>
  <c r="E88" i="8"/>
  <c r="E106" i="8"/>
  <c r="E89" i="8"/>
  <c r="E98" i="8"/>
  <c r="B69" i="8"/>
  <c r="B80" i="8"/>
  <c r="B67" i="8"/>
  <c r="B82" i="8"/>
  <c r="B93" i="8"/>
  <c r="B109" i="8"/>
  <c r="B100" i="8"/>
  <c r="B92" i="8"/>
  <c r="G61" i="8"/>
  <c r="C66" i="8"/>
  <c r="G68" i="8"/>
  <c r="C70" i="8"/>
  <c r="G73" i="8"/>
  <c r="C77" i="8"/>
  <c r="C83" i="8"/>
  <c r="G85" i="8"/>
  <c r="C64" i="8"/>
  <c r="G67" i="8"/>
  <c r="C71" i="8"/>
  <c r="G72" i="8"/>
  <c r="C76" i="8"/>
  <c r="G79" i="8"/>
  <c r="C81" i="8"/>
  <c r="G84" i="8"/>
  <c r="C87" i="8"/>
  <c r="C96" i="8"/>
  <c r="C105" i="8"/>
  <c r="G107" i="8"/>
  <c r="C111" i="8"/>
  <c r="C94" i="8"/>
  <c r="G97" i="8"/>
  <c r="C103" i="8"/>
  <c r="G106" i="8"/>
  <c r="C110" i="8"/>
  <c r="G89" i="8"/>
  <c r="C95" i="8"/>
  <c r="G98" i="8"/>
  <c r="C104" i="8"/>
  <c r="B70" i="8"/>
  <c r="B83" i="8"/>
  <c r="B71" i="8"/>
  <c r="B81" i="8"/>
  <c r="B96" i="8"/>
  <c r="B111" i="8"/>
  <c r="B103" i="8"/>
  <c r="B95" i="8"/>
  <c r="E66" i="8"/>
  <c r="E70" i="8"/>
  <c r="E83" i="8"/>
  <c r="E64" i="8"/>
  <c r="E71" i="8"/>
  <c r="E76" i="8"/>
  <c r="E81" i="8"/>
  <c r="E87" i="8"/>
  <c r="E105" i="8"/>
  <c r="E111" i="8"/>
  <c r="E94" i="8"/>
  <c r="E103" i="8"/>
  <c r="E110" i="8"/>
  <c r="E95" i="8"/>
  <c r="E104" i="8"/>
  <c r="B61" i="8"/>
  <c r="B73" i="8"/>
  <c r="B85" i="8"/>
  <c r="B72" i="8"/>
  <c r="B84" i="8"/>
  <c r="B99" i="8"/>
  <c r="B88" i="8"/>
  <c r="B106" i="8"/>
  <c r="B98" i="8"/>
  <c r="C63" i="8"/>
  <c r="G66" i="8"/>
  <c r="C69" i="8"/>
  <c r="C75" i="8"/>
  <c r="G83" i="8"/>
  <c r="C67" i="8"/>
  <c r="G71" i="8"/>
  <c r="C82" i="8"/>
  <c r="C86" i="8"/>
  <c r="C93" i="8"/>
  <c r="C102" i="8"/>
  <c r="G94" i="8"/>
  <c r="C108" i="8"/>
  <c r="C92" i="8"/>
  <c r="G95" i="8"/>
  <c r="C101" i="8"/>
  <c r="G104" i="8"/>
  <c r="B63" i="8"/>
  <c r="B75" i="8"/>
  <c r="B62" i="8"/>
  <c r="B74" i="8"/>
  <c r="B86" i="8"/>
  <c r="B102" i="8"/>
  <c r="B91" i="8"/>
  <c r="B108" i="8"/>
  <c r="B101" i="8"/>
  <c r="E65" i="8"/>
  <c r="E93" i="8"/>
  <c r="E108" i="8"/>
  <c r="B66" i="8"/>
  <c r="B77" i="8"/>
  <c r="B64" i="8"/>
  <c r="B76" i="8"/>
  <c r="B87" i="8"/>
  <c r="B105" i="8"/>
  <c r="B94" i="8"/>
  <c r="B110" i="8"/>
  <c r="B104" i="8"/>
  <c r="E33" i="4"/>
  <c r="F33" i="4"/>
  <c r="I33" i="4"/>
  <c r="I17" i="4"/>
  <c r="H17" i="4"/>
  <c r="E72" i="13"/>
  <c r="F17" i="4"/>
  <c r="G77" i="13"/>
  <c r="G59" i="13"/>
  <c r="E63" i="13"/>
  <c r="E61" i="13"/>
  <c r="G63" i="13"/>
  <c r="G62" i="13"/>
  <c r="G69" i="13"/>
  <c r="G58" i="13"/>
  <c r="G74" i="13"/>
  <c r="G70" i="13"/>
  <c r="E19" i="12"/>
  <c r="G19" i="12"/>
  <c r="E20" i="12"/>
  <c r="G20" i="12"/>
  <c r="E21" i="12"/>
  <c r="G21" i="12"/>
  <c r="E22" i="12"/>
  <c r="G22" i="12"/>
  <c r="E23" i="12"/>
  <c r="G23" i="12"/>
  <c r="E24" i="12"/>
  <c r="G24" i="12"/>
  <c r="E25" i="12"/>
  <c r="G25" i="12"/>
  <c r="E26" i="12"/>
  <c r="G26" i="12"/>
  <c r="E27" i="12"/>
  <c r="G27" i="12"/>
  <c r="E29" i="12"/>
  <c r="G29" i="12"/>
  <c r="E30" i="12"/>
  <c r="G30" i="12"/>
  <c r="E31" i="12"/>
  <c r="G31" i="12"/>
  <c r="E32" i="12"/>
  <c r="G32" i="12"/>
  <c r="E33" i="12"/>
  <c r="G33" i="12"/>
  <c r="E34" i="12"/>
  <c r="G34" i="12"/>
  <c r="E37" i="12"/>
  <c r="G37" i="12"/>
  <c r="E38" i="12"/>
  <c r="G38" i="12"/>
  <c r="E40" i="12"/>
  <c r="G40" i="12"/>
  <c r="E41" i="12"/>
  <c r="G41" i="12"/>
  <c r="E42" i="12"/>
  <c r="G42" i="12"/>
  <c r="E43" i="12"/>
  <c r="G43" i="12"/>
  <c r="E49" i="12"/>
  <c r="G49" i="12"/>
  <c r="E50" i="12"/>
  <c r="G50" i="12"/>
  <c r="E51" i="12"/>
  <c r="G51" i="12"/>
  <c r="E52" i="12"/>
  <c r="G52" i="12"/>
  <c r="E56" i="12"/>
  <c r="G56" i="12"/>
  <c r="E67" i="12"/>
  <c r="G67" i="12"/>
  <c r="E68" i="12"/>
  <c r="G68" i="12"/>
  <c r="E69" i="12"/>
  <c r="G69" i="12"/>
  <c r="E70" i="12"/>
  <c r="G70" i="12"/>
  <c r="E71" i="12"/>
  <c r="G71" i="12"/>
  <c r="E83" i="12"/>
  <c r="G83" i="12"/>
  <c r="I33" i="11"/>
  <c r="F33" i="11"/>
  <c r="E33" i="11"/>
  <c r="K21" i="11"/>
  <c r="I17" i="11"/>
  <c r="H17" i="11"/>
  <c r="F17" i="11"/>
  <c r="K3" i="11"/>
  <c r="G32" i="10" l="1"/>
  <c r="G65" i="9"/>
  <c r="G31" i="10"/>
  <c r="G59" i="9"/>
  <c r="G85" i="10"/>
  <c r="G92" i="9"/>
  <c r="E83" i="10"/>
  <c r="E80" i="9"/>
  <c r="G81" i="10"/>
  <c r="G68" i="9"/>
  <c r="G39" i="10"/>
  <c r="G105" i="9"/>
  <c r="E85" i="10"/>
  <c r="E92" i="9"/>
  <c r="E34" i="10"/>
  <c r="E77" i="9"/>
  <c r="G36" i="10"/>
  <c r="G89" i="9"/>
  <c r="G80" i="10"/>
  <c r="G62" i="9"/>
  <c r="G84" i="10"/>
  <c r="G86" i="9"/>
  <c r="G103" i="8"/>
  <c r="G99" i="8"/>
  <c r="G91" i="8"/>
  <c r="G87" i="8"/>
  <c r="G88" i="8"/>
  <c r="G102" i="8"/>
  <c r="E96" i="8"/>
  <c r="E102" i="8"/>
  <c r="G90" i="8"/>
  <c r="G110" i="8"/>
  <c r="E97" i="8"/>
  <c r="K21" i="4"/>
  <c r="K3" i="4"/>
  <c r="G37" i="7"/>
  <c r="G36" i="7"/>
  <c r="E37" i="7"/>
  <c r="E36" i="7"/>
  <c r="G52" i="7"/>
  <c r="E52" i="7"/>
  <c r="G51" i="7"/>
  <c r="E51" i="7"/>
  <c r="E34" i="7"/>
  <c r="E33" i="7"/>
  <c r="G34" i="7"/>
  <c r="G33" i="7"/>
  <c r="B15" i="5"/>
  <c r="B14" i="5"/>
  <c r="B20" i="3"/>
  <c r="B13" i="11" s="1"/>
  <c r="B32" i="2"/>
  <c r="B31" i="2"/>
  <c r="F66" i="6"/>
  <c r="F65" i="6"/>
  <c r="F64" i="6"/>
  <c r="I53" i="6"/>
  <c r="H53" i="6"/>
  <c r="G53" i="6"/>
  <c r="F53" i="6"/>
  <c r="E53" i="6"/>
  <c r="D53" i="6"/>
  <c r="I52" i="6"/>
  <c r="H52" i="6"/>
  <c r="G52" i="6"/>
  <c r="F52" i="6"/>
  <c r="E52" i="6"/>
  <c r="D52" i="6"/>
  <c r="G50" i="7"/>
  <c r="G49" i="7"/>
  <c r="E50" i="7"/>
  <c r="E49" i="7"/>
  <c r="G48" i="7"/>
  <c r="G47" i="7"/>
  <c r="E48" i="7"/>
  <c r="E47" i="7"/>
  <c r="G12" i="11" l="1"/>
  <c r="B35" i="8"/>
  <c r="B98" i="10"/>
  <c r="B46" i="9"/>
  <c r="G11" i="11"/>
  <c r="B33" i="8"/>
  <c r="B41" i="9"/>
  <c r="B97" i="10"/>
  <c r="F68" i="6"/>
  <c r="B69" i="7"/>
  <c r="B70" i="7"/>
  <c r="B71" i="7"/>
  <c r="B72" i="7"/>
  <c r="B73" i="7"/>
  <c r="B74" i="7"/>
  <c r="B75" i="7"/>
  <c r="B76" i="7"/>
  <c r="B68" i="7"/>
  <c r="C76" i="7"/>
  <c r="C75" i="7"/>
  <c r="C74" i="7"/>
  <c r="C73" i="7"/>
  <c r="C72" i="7"/>
  <c r="C71" i="7"/>
  <c r="C70" i="7"/>
  <c r="C69" i="7"/>
  <c r="C68" i="7"/>
  <c r="B83" i="7"/>
  <c r="B82" i="7"/>
  <c r="B81" i="7"/>
  <c r="B79" i="7"/>
  <c r="B78" i="7"/>
  <c r="C83" i="7"/>
  <c r="C82" i="7"/>
  <c r="C81" i="7"/>
  <c r="C79" i="7"/>
  <c r="C78" i="7"/>
  <c r="B53" i="7"/>
  <c r="B44" i="7"/>
  <c r="B45" i="7"/>
  <c r="B46" i="7"/>
  <c r="B47" i="7"/>
  <c r="B48" i="7"/>
  <c r="B49" i="7"/>
  <c r="B50" i="7"/>
  <c r="B51" i="7"/>
  <c r="B52" i="7"/>
  <c r="C44" i="7"/>
  <c r="C45" i="7"/>
  <c r="C46" i="7"/>
  <c r="C47" i="7"/>
  <c r="C48" i="7"/>
  <c r="C49" i="7"/>
  <c r="B19" i="3"/>
  <c r="G12" i="4"/>
  <c r="B34" i="2"/>
  <c r="B35" i="2"/>
  <c r="B29" i="2"/>
  <c r="B30" i="2"/>
  <c r="B28" i="2"/>
  <c r="C12" i="5"/>
  <c r="B12" i="5"/>
  <c r="B11" i="5"/>
  <c r="B42" i="7"/>
  <c r="C42" i="7"/>
  <c r="G16" i="7"/>
  <c r="H16" i="7" s="1"/>
  <c r="I16" i="7"/>
  <c r="A17" i="7"/>
  <c r="B17" i="7"/>
  <c r="E62" i="7" s="1"/>
  <c r="C17" i="7"/>
  <c r="G63" i="7" s="1"/>
  <c r="D17" i="7"/>
  <c r="E72" i="7" s="1"/>
  <c r="E17" i="7"/>
  <c r="E73" i="7" s="1"/>
  <c r="F17" i="7"/>
  <c r="E71" i="7" s="1"/>
  <c r="G17" i="7"/>
  <c r="E82" i="7" s="1"/>
  <c r="A18" i="7"/>
  <c r="B18" i="7"/>
  <c r="G59" i="7" s="1"/>
  <c r="C18" i="7"/>
  <c r="G60" i="7" s="1"/>
  <c r="D18" i="7"/>
  <c r="G69" i="7" s="1"/>
  <c r="E18" i="7"/>
  <c r="G70" i="7" s="1"/>
  <c r="F18" i="7"/>
  <c r="G68" i="7" s="1"/>
  <c r="G18" i="7"/>
  <c r="H22" i="7" s="1"/>
  <c r="G19" i="7"/>
  <c r="I22" i="7" s="1"/>
  <c r="I20" i="7"/>
  <c r="B27" i="7"/>
  <c r="C27" i="7"/>
  <c r="E30" i="7"/>
  <c r="G30" i="7"/>
  <c r="B28" i="7"/>
  <c r="C28" i="7"/>
  <c r="E31" i="7"/>
  <c r="G31" i="7"/>
  <c r="B29" i="7"/>
  <c r="C29" i="7"/>
  <c r="E29" i="7"/>
  <c r="G29" i="7"/>
  <c r="B30" i="7"/>
  <c r="C30" i="7"/>
  <c r="E27" i="7"/>
  <c r="G27" i="7"/>
  <c r="B31" i="7"/>
  <c r="C31" i="7"/>
  <c r="E28" i="7"/>
  <c r="G28" i="7"/>
  <c r="B32" i="7"/>
  <c r="C32" i="7"/>
  <c r="E32" i="7"/>
  <c r="G32" i="7"/>
  <c r="B33" i="7"/>
  <c r="C33" i="7"/>
  <c r="B34" i="7"/>
  <c r="C34" i="7"/>
  <c r="B35" i="7"/>
  <c r="C35" i="7"/>
  <c r="E35" i="7"/>
  <c r="G35" i="7"/>
  <c r="B36" i="7"/>
  <c r="C36" i="7"/>
  <c r="B37" i="7"/>
  <c r="C37" i="7"/>
  <c r="B38" i="7"/>
  <c r="C38" i="7"/>
  <c r="E38" i="7"/>
  <c r="B41" i="7"/>
  <c r="C41" i="7"/>
  <c r="E41" i="7"/>
  <c r="G41" i="7"/>
  <c r="E42" i="7"/>
  <c r="G42" i="7"/>
  <c r="B43" i="7"/>
  <c r="C43" i="7"/>
  <c r="E43" i="7"/>
  <c r="G43" i="7"/>
  <c r="E44" i="7"/>
  <c r="G44" i="7"/>
  <c r="E45" i="7"/>
  <c r="G45" i="7"/>
  <c r="E46" i="7"/>
  <c r="G46" i="7"/>
  <c r="C50" i="7"/>
  <c r="C51" i="7"/>
  <c r="C52" i="7"/>
  <c r="C53" i="7"/>
  <c r="E53" i="7"/>
  <c r="G53" i="7"/>
  <c r="B57" i="7"/>
  <c r="C57" i="7"/>
  <c r="E57" i="7"/>
  <c r="B58" i="7"/>
  <c r="C58" i="7"/>
  <c r="E58" i="7"/>
  <c r="B59" i="7"/>
  <c r="C59" i="7"/>
  <c r="E59" i="7"/>
  <c r="B60" i="7"/>
  <c r="C60" i="7"/>
  <c r="B61" i="7"/>
  <c r="C61" i="7"/>
  <c r="B62" i="7"/>
  <c r="C62" i="7"/>
  <c r="B63" i="7"/>
  <c r="C63" i="7"/>
  <c r="E63" i="7"/>
  <c r="B64" i="7"/>
  <c r="C64" i="7"/>
  <c r="E64" i="7"/>
  <c r="G64" i="7"/>
  <c r="B65" i="7"/>
  <c r="C65" i="7"/>
  <c r="E65" i="7"/>
  <c r="G65" i="7"/>
  <c r="B66" i="7"/>
  <c r="C66" i="7"/>
  <c r="E66" i="7"/>
  <c r="G66" i="7"/>
  <c r="E68" i="7"/>
  <c r="E69" i="7"/>
  <c r="E70" i="7"/>
  <c r="E74" i="7"/>
  <c r="E75" i="7"/>
  <c r="E76" i="7"/>
  <c r="G78" i="7"/>
  <c r="G82" i="7"/>
  <c r="I27" i="6"/>
  <c r="G26" i="6"/>
  <c r="B79" i="1"/>
  <c r="B78" i="1"/>
  <c r="B75" i="1"/>
  <c r="B74" i="1"/>
  <c r="B73" i="1"/>
  <c r="B72" i="1"/>
  <c r="B70" i="1"/>
  <c r="B68" i="1"/>
  <c r="B67" i="1"/>
  <c r="B77" i="1"/>
  <c r="B76" i="1"/>
  <c r="B71" i="1"/>
  <c r="B69" i="1"/>
  <c r="C79" i="1"/>
  <c r="C78" i="1"/>
  <c r="C75" i="1"/>
  <c r="C74" i="1"/>
  <c r="C73" i="1"/>
  <c r="C72" i="1"/>
  <c r="C70" i="1"/>
  <c r="C68" i="1"/>
  <c r="C67" i="1"/>
  <c r="C77" i="1"/>
  <c r="C76" i="1"/>
  <c r="C71" i="1"/>
  <c r="C69" i="1"/>
  <c r="B57" i="1"/>
  <c r="B58" i="1"/>
  <c r="B59" i="1"/>
  <c r="B60" i="1"/>
  <c r="B61" i="1"/>
  <c r="B62" i="1"/>
  <c r="B63" i="1"/>
  <c r="B64" i="1"/>
  <c r="B65" i="1"/>
  <c r="B56" i="1"/>
  <c r="C65" i="1"/>
  <c r="C64" i="1"/>
  <c r="C63" i="1"/>
  <c r="C62" i="1"/>
  <c r="C61" i="1"/>
  <c r="C60" i="1"/>
  <c r="C59" i="1"/>
  <c r="C58" i="1"/>
  <c r="C57" i="1"/>
  <c r="C56" i="1"/>
  <c r="B43" i="1"/>
  <c r="B44" i="1"/>
  <c r="B45" i="1"/>
  <c r="B46" i="1"/>
  <c r="B47" i="1"/>
  <c r="B48" i="1"/>
  <c r="B49" i="1"/>
  <c r="B50" i="1"/>
  <c r="B51" i="1"/>
  <c r="B52" i="1"/>
  <c r="B42" i="1"/>
  <c r="C52" i="1"/>
  <c r="C51" i="1"/>
  <c r="C50" i="1"/>
  <c r="C49" i="1"/>
  <c r="C48" i="1"/>
  <c r="C47" i="1"/>
  <c r="C46" i="1"/>
  <c r="C45" i="1"/>
  <c r="C44" i="1"/>
  <c r="C43" i="1"/>
  <c r="C42" i="1"/>
  <c r="B41" i="1"/>
  <c r="C41" i="1"/>
  <c r="B28" i="1"/>
  <c r="B29" i="1"/>
  <c r="B30" i="1"/>
  <c r="B31" i="1"/>
  <c r="B32" i="1"/>
  <c r="B33" i="1"/>
  <c r="B34" i="1"/>
  <c r="B35" i="1"/>
  <c r="B36" i="1"/>
  <c r="B37" i="1"/>
  <c r="B38" i="1"/>
  <c r="B27" i="1"/>
  <c r="C38" i="1"/>
  <c r="C37" i="1"/>
  <c r="C36" i="1"/>
  <c r="C35" i="1"/>
  <c r="C34" i="1"/>
  <c r="C33" i="1"/>
  <c r="C32" i="1"/>
  <c r="C31" i="1"/>
  <c r="C30" i="1"/>
  <c r="C29" i="1"/>
  <c r="C28" i="1"/>
  <c r="C27" i="1"/>
  <c r="B23" i="5"/>
  <c r="B22" i="5"/>
  <c r="B20" i="5"/>
  <c r="B19" i="5"/>
  <c r="C23" i="5"/>
  <c r="C22" i="5"/>
  <c r="C20" i="5"/>
  <c r="C19" i="5"/>
  <c r="C14" i="5"/>
  <c r="C15" i="5"/>
  <c r="C11" i="5"/>
  <c r="B63" i="2"/>
  <c r="B64" i="2"/>
  <c r="B65" i="2"/>
  <c r="B66" i="2"/>
  <c r="B67" i="2"/>
  <c r="B68" i="2"/>
  <c r="B69" i="2"/>
  <c r="B70" i="2"/>
  <c r="B71" i="2"/>
  <c r="B62" i="2"/>
  <c r="C71" i="2"/>
  <c r="C70" i="2"/>
  <c r="C69" i="2"/>
  <c r="C68" i="2"/>
  <c r="C67" i="2"/>
  <c r="C66" i="2"/>
  <c r="C65" i="2"/>
  <c r="C64" i="2"/>
  <c r="C63" i="2"/>
  <c r="C62" i="2"/>
  <c r="B52" i="2"/>
  <c r="B53" i="2"/>
  <c r="B54" i="2"/>
  <c r="B55" i="2"/>
  <c r="B56" i="2"/>
  <c r="B57" i="2"/>
  <c r="B58" i="2"/>
  <c r="B59" i="2"/>
  <c r="B60" i="2"/>
  <c r="B51" i="2"/>
  <c r="C52" i="2"/>
  <c r="C60" i="2"/>
  <c r="C59" i="2"/>
  <c r="C58" i="2"/>
  <c r="C57" i="2"/>
  <c r="C56" i="2"/>
  <c r="C55" i="2"/>
  <c r="C54" i="2"/>
  <c r="C53" i="2"/>
  <c r="C51" i="2"/>
  <c r="B38" i="2"/>
  <c r="B39" i="2"/>
  <c r="B40" i="2"/>
  <c r="B41" i="2"/>
  <c r="B42" i="2"/>
  <c r="B43" i="2"/>
  <c r="B44" i="2"/>
  <c r="B45" i="2"/>
  <c r="B46" i="2"/>
  <c r="B47" i="2"/>
  <c r="B37" i="2"/>
  <c r="C47" i="2"/>
  <c r="C46" i="2"/>
  <c r="C45" i="2"/>
  <c r="C44" i="2"/>
  <c r="C43" i="2"/>
  <c r="C42" i="2"/>
  <c r="C41" i="2"/>
  <c r="C40" i="2"/>
  <c r="C39" i="2"/>
  <c r="C38" i="2"/>
  <c r="C37" i="2"/>
  <c r="B25" i="2"/>
  <c r="B26" i="2"/>
  <c r="B24" i="2"/>
  <c r="C35" i="2"/>
  <c r="C34" i="2"/>
  <c r="C32" i="2"/>
  <c r="C31" i="2"/>
  <c r="C30" i="2"/>
  <c r="C29" i="2"/>
  <c r="C28" i="2"/>
  <c r="C26" i="2"/>
  <c r="C25" i="2"/>
  <c r="C24" i="2"/>
  <c r="B27" i="3"/>
  <c r="B28" i="3"/>
  <c r="B29" i="3"/>
  <c r="B30" i="3"/>
  <c r="B31" i="3"/>
  <c r="B32" i="3"/>
  <c r="B33" i="3"/>
  <c r="B34" i="3"/>
  <c r="B26" i="3"/>
  <c r="C34" i="3"/>
  <c r="C33" i="3"/>
  <c r="C32" i="3"/>
  <c r="C31" i="3"/>
  <c r="C30" i="3"/>
  <c r="C29" i="3"/>
  <c r="C28" i="3"/>
  <c r="C27" i="3"/>
  <c r="C26" i="3"/>
  <c r="B11" i="4"/>
  <c r="B18" i="3"/>
  <c r="B17" i="3"/>
  <c r="B16" i="3"/>
  <c r="B15" i="3"/>
  <c r="B14" i="3"/>
  <c r="C22" i="3"/>
  <c r="C21" i="3"/>
  <c r="C20" i="3"/>
  <c r="C19" i="3"/>
  <c r="C18" i="3"/>
  <c r="C17" i="3"/>
  <c r="C16" i="3"/>
  <c r="C15" i="3"/>
  <c r="C14" i="3"/>
  <c r="G77" i="1"/>
  <c r="E77" i="1"/>
  <c r="G76" i="1"/>
  <c r="E76" i="1"/>
  <c r="G20" i="5"/>
  <c r="E20" i="5"/>
  <c r="G19" i="5"/>
  <c r="E19" i="5"/>
  <c r="G14" i="5"/>
  <c r="E14" i="5"/>
  <c r="G15" i="5"/>
  <c r="E15" i="5"/>
  <c r="G12" i="5"/>
  <c r="E12" i="5"/>
  <c r="G11" i="5"/>
  <c r="E11" i="5"/>
  <c r="G69" i="2"/>
  <c r="G68" i="2"/>
  <c r="G63" i="1"/>
  <c r="E63" i="1"/>
  <c r="G58" i="2"/>
  <c r="E58" i="2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71" i="2"/>
  <c r="E71" i="2"/>
  <c r="G70" i="2"/>
  <c r="E70" i="2"/>
  <c r="G67" i="2"/>
  <c r="E66" i="2"/>
  <c r="E65" i="2"/>
  <c r="E64" i="2"/>
  <c r="G63" i="2"/>
  <c r="E63" i="2"/>
  <c r="E62" i="2"/>
  <c r="G60" i="2"/>
  <c r="E60" i="2"/>
  <c r="G59" i="2"/>
  <c r="E59" i="2"/>
  <c r="G57" i="2"/>
  <c r="E57" i="2"/>
  <c r="E47" i="2"/>
  <c r="G56" i="2"/>
  <c r="E56" i="2"/>
  <c r="G55" i="2"/>
  <c r="E55" i="2"/>
  <c r="G54" i="2"/>
  <c r="E54" i="2"/>
  <c r="G53" i="2"/>
  <c r="E53" i="2"/>
  <c r="G52" i="2"/>
  <c r="E52" i="2"/>
  <c r="E51" i="2"/>
  <c r="G35" i="2"/>
  <c r="E35" i="2"/>
  <c r="G43" i="2"/>
  <c r="E43" i="2"/>
  <c r="G46" i="2"/>
  <c r="E46" i="2"/>
  <c r="G40" i="2"/>
  <c r="E40" i="2"/>
  <c r="G42" i="2"/>
  <c r="E42" i="2"/>
  <c r="G41" i="2"/>
  <c r="E41" i="2"/>
  <c r="G39" i="2"/>
  <c r="E39" i="2"/>
  <c r="G37" i="2"/>
  <c r="E37" i="2"/>
  <c r="G38" i="2"/>
  <c r="E38" i="2"/>
  <c r="G31" i="2"/>
  <c r="E31" i="2"/>
  <c r="G34" i="2"/>
  <c r="E34" i="2"/>
  <c r="G32" i="2"/>
  <c r="E32" i="2"/>
  <c r="G28" i="2"/>
  <c r="E28" i="2"/>
  <c r="G26" i="2"/>
  <c r="E26" i="2"/>
  <c r="G29" i="2"/>
  <c r="E29" i="2"/>
  <c r="G24" i="2"/>
  <c r="E24" i="2"/>
  <c r="G30" i="2"/>
  <c r="E30" i="2"/>
  <c r="G25" i="2"/>
  <c r="E25" i="2"/>
  <c r="E79" i="1"/>
  <c r="E78" i="1"/>
  <c r="E75" i="1"/>
  <c r="E70" i="1"/>
  <c r="E68" i="1"/>
  <c r="E67" i="1"/>
  <c r="G65" i="1"/>
  <c r="E65" i="1"/>
  <c r="G64" i="1"/>
  <c r="E64" i="1"/>
  <c r="E62" i="1"/>
  <c r="E52" i="1"/>
  <c r="E38" i="1"/>
  <c r="E56" i="1"/>
  <c r="E58" i="1"/>
  <c r="E57" i="1"/>
  <c r="G49" i="1"/>
  <c r="E49" i="1"/>
  <c r="G51" i="1"/>
  <c r="G50" i="1"/>
  <c r="G16" i="1" s="1"/>
  <c r="E69" i="1" s="1"/>
  <c r="G46" i="1"/>
  <c r="E46" i="1"/>
  <c r="G48" i="1"/>
  <c r="D17" i="1" s="1"/>
  <c r="G47" i="1"/>
  <c r="G45" i="1"/>
  <c r="E45" i="1"/>
  <c r="G44" i="1"/>
  <c r="E50" i="1" s="1"/>
  <c r="F18" i="1" s="1"/>
  <c r="E44" i="1"/>
  <c r="E51" i="1" s="1"/>
  <c r="B18" i="1" s="1"/>
  <c r="G41" i="1"/>
  <c r="E41" i="1"/>
  <c r="G43" i="1"/>
  <c r="E43" i="1"/>
  <c r="G42" i="1"/>
  <c r="E47" i="1" s="1"/>
  <c r="F17" i="1" s="1"/>
  <c r="E42" i="1"/>
  <c r="E48" i="1" s="1"/>
  <c r="B17" i="1" s="1"/>
  <c r="G37" i="1"/>
  <c r="A18" i="1" s="1"/>
  <c r="G35" i="1"/>
  <c r="E35" i="1"/>
  <c r="G33" i="1"/>
  <c r="G18" i="1" s="1"/>
  <c r="G71" i="1" s="1"/>
  <c r="G32" i="1"/>
  <c r="E32" i="1"/>
  <c r="G31" i="1"/>
  <c r="G36" i="1" s="1"/>
  <c r="E18" i="1" s="1"/>
  <c r="E31" i="1"/>
  <c r="G30" i="1"/>
  <c r="E36" i="1" s="1"/>
  <c r="G17" i="1" s="1"/>
  <c r="E71" i="1" s="1"/>
  <c r="E30" i="1"/>
  <c r="E37" i="1" s="1"/>
  <c r="C18" i="1" s="1"/>
  <c r="G29" i="1"/>
  <c r="E29" i="1"/>
  <c r="G28" i="1"/>
  <c r="G34" i="1" s="1"/>
  <c r="A17" i="1" s="1"/>
  <c r="E28" i="1"/>
  <c r="G27" i="1"/>
  <c r="E33" i="1" s="1"/>
  <c r="E17" i="1" s="1"/>
  <c r="E27" i="1"/>
  <c r="E34" i="1" s="1"/>
  <c r="C17" i="1" s="1"/>
  <c r="G19" i="1"/>
  <c r="G69" i="1" s="1"/>
  <c r="D18" i="1"/>
  <c r="G68" i="1" s="1"/>
  <c r="G103" i="9" l="1"/>
  <c r="G55" i="8"/>
  <c r="G109" i="10"/>
  <c r="B81" i="9"/>
  <c r="B47" i="8"/>
  <c r="B105" i="10"/>
  <c r="C109" i="10"/>
  <c r="C103" i="9"/>
  <c r="C55" i="8"/>
  <c r="B60" i="10"/>
  <c r="B42" i="8"/>
  <c r="B61" i="9"/>
  <c r="E3" i="9"/>
  <c r="E40" i="10"/>
  <c r="E21" i="8"/>
  <c r="E34" i="9"/>
  <c r="E46" i="10"/>
  <c r="E32" i="8"/>
  <c r="C41" i="9"/>
  <c r="C33" i="8"/>
  <c r="C97" i="10"/>
  <c r="C45" i="10"/>
  <c r="C29" i="9"/>
  <c r="C30" i="8"/>
  <c r="E9" i="11"/>
  <c r="B45" i="10"/>
  <c r="B30" i="8"/>
  <c r="B29" i="9"/>
  <c r="C57" i="8"/>
  <c r="C108" i="9"/>
  <c r="C110" i="10"/>
  <c r="B103" i="10"/>
  <c r="B43" i="8"/>
  <c r="B69" i="9"/>
  <c r="B69" i="10"/>
  <c r="B60" i="8"/>
  <c r="B109" i="9"/>
  <c r="G9" i="11"/>
  <c r="B95" i="10"/>
  <c r="B29" i="8"/>
  <c r="B31" i="9"/>
  <c r="C60" i="8"/>
  <c r="C69" i="10"/>
  <c r="C109" i="9"/>
  <c r="C31" i="8"/>
  <c r="C96" i="10"/>
  <c r="C36" i="9"/>
  <c r="E10" i="11"/>
  <c r="B34" i="9"/>
  <c r="B32" i="8"/>
  <c r="B46" i="10"/>
  <c r="B104" i="10"/>
  <c r="B45" i="8"/>
  <c r="B75" i="9"/>
  <c r="G10" i="11"/>
  <c r="B36" i="9"/>
  <c r="B31" i="8"/>
  <c r="B96" i="10"/>
  <c r="E92" i="10"/>
  <c r="E24" i="8"/>
  <c r="E16" i="9"/>
  <c r="G16" i="9"/>
  <c r="G92" i="10"/>
  <c r="G24" i="8"/>
  <c r="G40" i="10"/>
  <c r="G21" i="8"/>
  <c r="G3" i="9"/>
  <c r="G46" i="10"/>
  <c r="G32" i="8"/>
  <c r="G34" i="9"/>
  <c r="C98" i="10"/>
  <c r="C46" i="9"/>
  <c r="C35" i="8"/>
  <c r="C32" i="8"/>
  <c r="C34" i="9"/>
  <c r="C46" i="10"/>
  <c r="E8" i="11"/>
  <c r="B44" i="10"/>
  <c r="B24" i="9"/>
  <c r="B28" i="8"/>
  <c r="C111" i="10"/>
  <c r="C59" i="8"/>
  <c r="C111" i="9"/>
  <c r="C61" i="9"/>
  <c r="C60" i="10"/>
  <c r="C42" i="8"/>
  <c r="B106" i="9"/>
  <c r="B58" i="8"/>
  <c r="B68" i="10"/>
  <c r="G15" i="11"/>
  <c r="B101" i="10"/>
  <c r="B40" i="8"/>
  <c r="B57" i="9"/>
  <c r="E49" i="9"/>
  <c r="E37" i="8"/>
  <c r="E49" i="10"/>
  <c r="E26" i="9"/>
  <c r="E27" i="8"/>
  <c r="E94" i="10"/>
  <c r="E42" i="10"/>
  <c r="E25" i="8"/>
  <c r="E13" i="9"/>
  <c r="E44" i="2"/>
  <c r="C100" i="10"/>
  <c r="C38" i="8"/>
  <c r="C56" i="9"/>
  <c r="C47" i="10"/>
  <c r="C34" i="8"/>
  <c r="C39" i="9"/>
  <c r="E7" i="11"/>
  <c r="B26" i="8"/>
  <c r="B19" i="9"/>
  <c r="B43" i="10"/>
  <c r="C103" i="10"/>
  <c r="C69" i="9"/>
  <c r="C43" i="8"/>
  <c r="C67" i="9"/>
  <c r="C44" i="8"/>
  <c r="C61" i="10"/>
  <c r="B67" i="10"/>
  <c r="B101" i="9"/>
  <c r="B56" i="8"/>
  <c r="G14" i="11"/>
  <c r="B100" i="10"/>
  <c r="B38" i="8"/>
  <c r="B56" i="9"/>
  <c r="C95" i="10"/>
  <c r="C31" i="9"/>
  <c r="C29" i="8"/>
  <c r="G49" i="9"/>
  <c r="G37" i="8"/>
  <c r="G49" i="10"/>
  <c r="C101" i="10"/>
  <c r="C40" i="8"/>
  <c r="C57" i="9"/>
  <c r="C44" i="9"/>
  <c r="C48" i="10"/>
  <c r="C36" i="8"/>
  <c r="E6" i="11"/>
  <c r="B13" i="9"/>
  <c r="B25" i="8"/>
  <c r="B42" i="10"/>
  <c r="C62" i="10"/>
  <c r="C73" i="9"/>
  <c r="C46" i="8"/>
  <c r="B54" i="8"/>
  <c r="B96" i="9"/>
  <c r="B66" i="10"/>
  <c r="B63" i="9"/>
  <c r="B102" i="10"/>
  <c r="B41" i="8"/>
  <c r="E10" i="9"/>
  <c r="E91" i="10"/>
  <c r="E22" i="8"/>
  <c r="E98" i="10"/>
  <c r="E46" i="9"/>
  <c r="E35" i="8"/>
  <c r="E24" i="9"/>
  <c r="E28" i="8"/>
  <c r="E44" i="10"/>
  <c r="G44" i="2"/>
  <c r="B5" i="9"/>
  <c r="B20" i="8"/>
  <c r="B90" i="10"/>
  <c r="C49" i="9"/>
  <c r="C37" i="8"/>
  <c r="C49" i="10"/>
  <c r="E5" i="11"/>
  <c r="B41" i="10"/>
  <c r="B23" i="8"/>
  <c r="B7" i="9"/>
  <c r="B111" i="10"/>
  <c r="B59" i="8"/>
  <c r="B111" i="9"/>
  <c r="C48" i="8"/>
  <c r="C79" i="9"/>
  <c r="C63" i="10"/>
  <c r="B52" i="8"/>
  <c r="B65" i="10"/>
  <c r="B91" i="9"/>
  <c r="C24" i="9"/>
  <c r="C28" i="8"/>
  <c r="C44" i="10"/>
  <c r="G24" i="9"/>
  <c r="G28" i="8"/>
  <c r="G44" i="10"/>
  <c r="G45" i="2"/>
  <c r="B92" i="10"/>
  <c r="B24" i="8"/>
  <c r="B16" i="9"/>
  <c r="B85" i="9"/>
  <c r="B50" i="8"/>
  <c r="B64" i="10"/>
  <c r="G8" i="11"/>
  <c r="B26" i="9"/>
  <c r="B94" i="10"/>
  <c r="B27" i="8"/>
  <c r="G23" i="8"/>
  <c r="G7" i="9"/>
  <c r="G41" i="10"/>
  <c r="G10" i="9"/>
  <c r="G91" i="10"/>
  <c r="G22" i="8"/>
  <c r="B57" i="8"/>
  <c r="B108" i="9"/>
  <c r="B110" i="10"/>
  <c r="E45" i="10"/>
  <c r="E29" i="9"/>
  <c r="E30" i="8"/>
  <c r="E108" i="9"/>
  <c r="E110" i="10"/>
  <c r="E57" i="8"/>
  <c r="C5" i="9"/>
  <c r="C90" i="10"/>
  <c r="C20" i="8"/>
  <c r="B91" i="10"/>
  <c r="B22" i="8"/>
  <c r="B10" i="9"/>
  <c r="E4" i="11"/>
  <c r="B3" i="9"/>
  <c r="B21" i="8"/>
  <c r="B40" i="10"/>
  <c r="C45" i="8"/>
  <c r="C75" i="9"/>
  <c r="C104" i="10"/>
  <c r="B109" i="10"/>
  <c r="B55" i="8"/>
  <c r="B103" i="9"/>
  <c r="C65" i="10"/>
  <c r="C52" i="8"/>
  <c r="C91" i="9"/>
  <c r="B63" i="10"/>
  <c r="B79" i="9"/>
  <c r="B48" i="8"/>
  <c r="E23" i="8"/>
  <c r="E7" i="9"/>
  <c r="E41" i="10"/>
  <c r="E11" i="11"/>
  <c r="B47" i="10"/>
  <c r="B34" i="8"/>
  <c r="B39" i="9"/>
  <c r="G31" i="9"/>
  <c r="G29" i="8"/>
  <c r="G95" i="10"/>
  <c r="G27" i="8"/>
  <c r="G94" i="10"/>
  <c r="G26" i="9"/>
  <c r="C54" i="9"/>
  <c r="C50" i="10"/>
  <c r="C39" i="8"/>
  <c r="C85" i="9"/>
  <c r="C64" i="10"/>
  <c r="C50" i="8"/>
  <c r="G96" i="10"/>
  <c r="G31" i="8"/>
  <c r="G36" i="9"/>
  <c r="G38" i="8"/>
  <c r="G56" i="9"/>
  <c r="G100" i="10"/>
  <c r="G29" i="9"/>
  <c r="G30" i="8"/>
  <c r="G45" i="10"/>
  <c r="G110" i="10"/>
  <c r="G108" i="9"/>
  <c r="G57" i="8"/>
  <c r="C10" i="9"/>
  <c r="C91" i="10"/>
  <c r="C22" i="8"/>
  <c r="C21" i="8"/>
  <c r="C3" i="9"/>
  <c r="C40" i="10"/>
  <c r="B54" i="9"/>
  <c r="B50" i="10"/>
  <c r="B39" i="8"/>
  <c r="C81" i="9"/>
  <c r="C105" i="10"/>
  <c r="C47" i="8"/>
  <c r="B98" i="9"/>
  <c r="B108" i="10"/>
  <c r="B53" i="8"/>
  <c r="C96" i="9"/>
  <c r="C66" i="10"/>
  <c r="C54" i="8"/>
  <c r="B62" i="10"/>
  <c r="B46" i="8"/>
  <c r="B73" i="9"/>
  <c r="C19" i="9"/>
  <c r="C26" i="8"/>
  <c r="C43" i="10"/>
  <c r="G42" i="10"/>
  <c r="G25" i="8"/>
  <c r="G13" i="9"/>
  <c r="E45" i="2"/>
  <c r="G98" i="10"/>
  <c r="G46" i="9"/>
  <c r="G35" i="8"/>
  <c r="C63" i="9"/>
  <c r="C41" i="8"/>
  <c r="C102" i="10"/>
  <c r="E90" i="10"/>
  <c r="E20" i="8"/>
  <c r="E5" i="9"/>
  <c r="E41" i="9"/>
  <c r="E33" i="8"/>
  <c r="E97" i="10"/>
  <c r="E43" i="10"/>
  <c r="E26" i="8"/>
  <c r="E19" i="9"/>
  <c r="E111" i="10"/>
  <c r="E59" i="8"/>
  <c r="E111" i="9"/>
  <c r="C92" i="10"/>
  <c r="C24" i="8"/>
  <c r="C16" i="9"/>
  <c r="C41" i="10"/>
  <c r="C23" i="8"/>
  <c r="C7" i="9"/>
  <c r="B37" i="8"/>
  <c r="B49" i="9"/>
  <c r="B49" i="10"/>
  <c r="C106" i="10"/>
  <c r="C49" i="8"/>
  <c r="C87" i="9"/>
  <c r="B107" i="10"/>
  <c r="B93" i="9"/>
  <c r="B51" i="8"/>
  <c r="C56" i="8"/>
  <c r="C67" i="10"/>
  <c r="C101" i="9"/>
  <c r="B67" i="9"/>
  <c r="B61" i="10"/>
  <c r="B44" i="8"/>
  <c r="E31" i="9"/>
  <c r="E29" i="8"/>
  <c r="E95" i="10"/>
  <c r="C98" i="9"/>
  <c r="C53" i="8"/>
  <c r="C108" i="10"/>
  <c r="G90" i="10"/>
  <c r="G20" i="8"/>
  <c r="G5" i="9"/>
  <c r="G41" i="9"/>
  <c r="G33" i="8"/>
  <c r="G97" i="10"/>
  <c r="G43" i="10"/>
  <c r="G19" i="9"/>
  <c r="G26" i="8"/>
  <c r="G59" i="8"/>
  <c r="G111" i="9"/>
  <c r="G111" i="10"/>
  <c r="E109" i="10"/>
  <c r="E103" i="9"/>
  <c r="E55" i="8"/>
  <c r="C26" i="9"/>
  <c r="C27" i="8"/>
  <c r="C94" i="10"/>
  <c r="C42" i="10"/>
  <c r="C13" i="9"/>
  <c r="C25" i="8"/>
  <c r="B44" i="9"/>
  <c r="B36" i="8"/>
  <c r="B48" i="10"/>
  <c r="C93" i="9"/>
  <c r="C107" i="10"/>
  <c r="C51" i="8"/>
  <c r="B49" i="8"/>
  <c r="B106" i="10"/>
  <c r="B87" i="9"/>
  <c r="C106" i="9"/>
  <c r="C68" i="10"/>
  <c r="C58" i="8"/>
  <c r="E36" i="9"/>
  <c r="E96" i="10"/>
  <c r="E31" i="8"/>
  <c r="E38" i="8"/>
  <c r="E56" i="9"/>
  <c r="E100" i="10"/>
  <c r="G98" i="9"/>
  <c r="G108" i="10"/>
  <c r="G53" i="8"/>
  <c r="E87" i="9"/>
  <c r="E106" i="10"/>
  <c r="E49" i="8"/>
  <c r="G11" i="10"/>
  <c r="G58" i="9"/>
  <c r="G11" i="8"/>
  <c r="G14" i="10"/>
  <c r="G76" i="9"/>
  <c r="G14" i="8"/>
  <c r="G12" i="10"/>
  <c r="G64" i="9"/>
  <c r="G12" i="8"/>
  <c r="G15" i="10"/>
  <c r="G82" i="9"/>
  <c r="G15" i="8"/>
  <c r="E61" i="10"/>
  <c r="E67" i="9"/>
  <c r="E44" i="8"/>
  <c r="E69" i="10"/>
  <c r="E109" i="9"/>
  <c r="E60" i="8"/>
  <c r="E103" i="10"/>
  <c r="E69" i="9"/>
  <c r="E43" i="8"/>
  <c r="E108" i="10"/>
  <c r="E98" i="9"/>
  <c r="E53" i="8"/>
  <c r="E60" i="10"/>
  <c r="E61" i="9"/>
  <c r="E42" i="8"/>
  <c r="E68" i="10"/>
  <c r="E106" i="9"/>
  <c r="E58" i="8"/>
  <c r="E102" i="10"/>
  <c r="E63" i="9"/>
  <c r="E41" i="8"/>
  <c r="E105" i="10"/>
  <c r="E81" i="9"/>
  <c r="E47" i="8"/>
  <c r="E104" i="10"/>
  <c r="E75" i="9"/>
  <c r="E45" i="8"/>
  <c r="G107" i="10"/>
  <c r="G93" i="9"/>
  <c r="G51" i="8"/>
  <c r="E14" i="10"/>
  <c r="E76" i="9"/>
  <c r="E14" i="8"/>
  <c r="G17" i="10"/>
  <c r="G94" i="9"/>
  <c r="G17" i="8"/>
  <c r="E15" i="10"/>
  <c r="E82" i="9"/>
  <c r="E15" i="8"/>
  <c r="G18" i="10"/>
  <c r="G99" i="9"/>
  <c r="G18" i="8"/>
  <c r="E101" i="10"/>
  <c r="E57" i="9"/>
  <c r="E40" i="8"/>
  <c r="E107" i="10"/>
  <c r="E93" i="9"/>
  <c r="E51" i="8"/>
  <c r="E12" i="10"/>
  <c r="E64" i="9"/>
  <c r="E12" i="8"/>
  <c r="E18" i="10"/>
  <c r="E99" i="9"/>
  <c r="E18" i="8"/>
  <c r="E13" i="10"/>
  <c r="E70" i="9"/>
  <c r="E13" i="8"/>
  <c r="E19" i="10"/>
  <c r="E104" i="9"/>
  <c r="E19" i="8"/>
  <c r="G103" i="10"/>
  <c r="G69" i="9"/>
  <c r="G43" i="8"/>
  <c r="G106" i="10"/>
  <c r="G87" i="9"/>
  <c r="G49" i="8"/>
  <c r="G101" i="10"/>
  <c r="G57" i="9"/>
  <c r="G40" i="8"/>
  <c r="G104" i="10"/>
  <c r="G75" i="9"/>
  <c r="G45" i="8"/>
  <c r="G13" i="10"/>
  <c r="G70" i="9"/>
  <c r="G13" i="8"/>
  <c r="G16" i="10"/>
  <c r="G88" i="9"/>
  <c r="G16" i="8"/>
  <c r="G69" i="10"/>
  <c r="G109" i="9"/>
  <c r="G60" i="8"/>
  <c r="E64" i="10"/>
  <c r="E85" i="9"/>
  <c r="E50" i="8"/>
  <c r="G68" i="10"/>
  <c r="G106" i="9"/>
  <c r="G58" i="8"/>
  <c r="G105" i="10"/>
  <c r="G81" i="9"/>
  <c r="G47" i="8"/>
  <c r="E50" i="10"/>
  <c r="E54" i="9"/>
  <c r="E39" i="8"/>
  <c r="E16" i="10"/>
  <c r="E88" i="9"/>
  <c r="E16" i="8"/>
  <c r="G19" i="10"/>
  <c r="G104" i="9"/>
  <c r="G19" i="8"/>
  <c r="E62" i="10"/>
  <c r="E73" i="9"/>
  <c r="E46" i="8"/>
  <c r="E11" i="10"/>
  <c r="E58" i="9"/>
  <c r="E11" i="8"/>
  <c r="E17" i="10"/>
  <c r="E94" i="9"/>
  <c r="E17" i="8"/>
  <c r="G61" i="10"/>
  <c r="G67" i="9"/>
  <c r="G44" i="8"/>
  <c r="G65" i="10"/>
  <c r="G91" i="9"/>
  <c r="G52" i="8"/>
  <c r="E63" i="10"/>
  <c r="E79" i="9"/>
  <c r="E48" i="8"/>
  <c r="G66" i="10"/>
  <c r="G96" i="9"/>
  <c r="G54" i="8"/>
  <c r="E67" i="10"/>
  <c r="E101" i="9"/>
  <c r="E56" i="8"/>
  <c r="G67" i="10"/>
  <c r="G101" i="9"/>
  <c r="G56" i="8"/>
  <c r="B26" i="4"/>
  <c r="B26" i="11"/>
  <c r="H29" i="4"/>
  <c r="H29" i="11"/>
  <c r="G22" i="4"/>
  <c r="G22" i="11"/>
  <c r="H28" i="4"/>
  <c r="H28" i="11"/>
  <c r="B5" i="4"/>
  <c r="B5" i="11"/>
  <c r="B24" i="4"/>
  <c r="B24" i="11"/>
  <c r="G4" i="4"/>
  <c r="G5" i="11"/>
  <c r="G31" i="4"/>
  <c r="G31" i="11"/>
  <c r="H27" i="4"/>
  <c r="H27" i="11"/>
  <c r="B10" i="4"/>
  <c r="B12" i="11"/>
  <c r="G26" i="4"/>
  <c r="G26" i="11"/>
  <c r="B25" i="4"/>
  <c r="B25" i="11"/>
  <c r="B6" i="4"/>
  <c r="B7" i="11"/>
  <c r="B23" i="4"/>
  <c r="B23" i="11"/>
  <c r="G6" i="4"/>
  <c r="G7" i="11"/>
  <c r="G30" i="4"/>
  <c r="G30" i="11"/>
  <c r="H26" i="4"/>
  <c r="H26" i="11"/>
  <c r="B13" i="4"/>
  <c r="B15" i="11"/>
  <c r="G29" i="4"/>
  <c r="G29" i="11"/>
  <c r="H25" i="4"/>
  <c r="H25" i="11"/>
  <c r="B8" i="4"/>
  <c r="B9" i="11"/>
  <c r="B7" i="4"/>
  <c r="B8" i="11"/>
  <c r="G5" i="4"/>
  <c r="G6" i="11"/>
  <c r="E14" i="4"/>
  <c r="E14" i="11"/>
  <c r="G28" i="4"/>
  <c r="G28" i="11"/>
  <c r="H24" i="4"/>
  <c r="H24" i="11"/>
  <c r="B9" i="4"/>
  <c r="B11" i="11"/>
  <c r="E13" i="4"/>
  <c r="E13" i="11"/>
  <c r="G27" i="4"/>
  <c r="G27" i="11"/>
  <c r="H23" i="4"/>
  <c r="H23" i="11"/>
  <c r="G25" i="4"/>
  <c r="G25" i="11"/>
  <c r="B29" i="4"/>
  <c r="B29" i="11"/>
  <c r="G24" i="4"/>
  <c r="G24" i="11"/>
  <c r="H22" i="4"/>
  <c r="H22" i="11"/>
  <c r="E12" i="4"/>
  <c r="E12" i="11"/>
  <c r="G23" i="4"/>
  <c r="G23" i="11"/>
  <c r="H31" i="4"/>
  <c r="H31" i="11"/>
  <c r="B22" i="4"/>
  <c r="B22" i="11"/>
  <c r="B12" i="4"/>
  <c r="B14" i="11"/>
  <c r="B30" i="4"/>
  <c r="B30" i="11"/>
  <c r="B28" i="4"/>
  <c r="B28" i="11"/>
  <c r="B27" i="4"/>
  <c r="B27" i="11"/>
  <c r="H30" i="4"/>
  <c r="H30" i="11"/>
  <c r="E61" i="7"/>
  <c r="G58" i="7"/>
  <c r="G61" i="7"/>
  <c r="G38" i="7"/>
  <c r="G8" i="4"/>
  <c r="E7" i="4"/>
  <c r="G10" i="4"/>
  <c r="E6" i="4"/>
  <c r="G9" i="4"/>
  <c r="E5" i="4"/>
  <c r="G11" i="4"/>
  <c r="E9" i="4"/>
  <c r="G15" i="4"/>
  <c r="E4" i="4"/>
  <c r="E8" i="4"/>
  <c r="E11" i="4"/>
  <c r="E10" i="4"/>
  <c r="G14" i="4"/>
  <c r="I26" i="6"/>
  <c r="G71" i="7"/>
  <c r="G72" i="7"/>
  <c r="G83" i="7"/>
  <c r="I17" i="7"/>
  <c r="E60" i="7"/>
  <c r="G76" i="7"/>
  <c r="E81" i="7"/>
  <c r="G79" i="7"/>
  <c r="G75" i="7"/>
  <c r="G73" i="7"/>
  <c r="E83" i="7"/>
  <c r="G81" i="7"/>
  <c r="I19" i="7"/>
  <c r="E78" i="7"/>
  <c r="G57" i="7"/>
  <c r="H19" i="7"/>
  <c r="G74" i="7"/>
  <c r="G62" i="7"/>
  <c r="E79" i="7"/>
  <c r="H20" i="7"/>
  <c r="H17" i="7"/>
  <c r="E26" i="6"/>
  <c r="G60" i="1"/>
  <c r="G57" i="1"/>
  <c r="G59" i="1"/>
  <c r="G56" i="1"/>
  <c r="G79" i="1"/>
  <c r="E74" i="1"/>
  <c r="G78" i="1"/>
  <c r="E73" i="1"/>
  <c r="G52" i="1"/>
  <c r="E61" i="1"/>
  <c r="G61" i="1"/>
  <c r="G58" i="1"/>
  <c r="E72" i="1"/>
  <c r="G75" i="1"/>
  <c r="G72" i="1"/>
  <c r="G67" i="1"/>
  <c r="G62" i="1"/>
  <c r="E59" i="1"/>
  <c r="G38" i="1"/>
  <c r="E60" i="1"/>
  <c r="G74" i="1"/>
  <c r="G70" i="1"/>
  <c r="G73" i="1"/>
  <c r="G44" i="9" l="1"/>
  <c r="G48" i="10"/>
  <c r="G36" i="8"/>
  <c r="F17" i="2"/>
  <c r="G65" i="2" s="1"/>
  <c r="E47" i="10"/>
  <c r="E39" i="9"/>
  <c r="E34" i="8"/>
  <c r="D17" i="2"/>
  <c r="G47" i="10"/>
  <c r="G39" i="9"/>
  <c r="G34" i="8"/>
  <c r="B17" i="2"/>
  <c r="E36" i="8"/>
  <c r="E48" i="10"/>
  <c r="E44" i="9"/>
  <c r="F18" i="2"/>
  <c r="G64" i="2" s="1"/>
  <c r="B17" i="4"/>
  <c r="H33" i="4"/>
  <c r="G33" i="4"/>
  <c r="E17" i="4"/>
  <c r="G17" i="4"/>
  <c r="B33" i="4"/>
  <c r="E17" i="11"/>
  <c r="H33" i="11"/>
  <c r="B17" i="11"/>
  <c r="G33" i="11"/>
  <c r="B33" i="11"/>
  <c r="G17" i="11"/>
  <c r="G62" i="2" l="1"/>
  <c r="G66" i="2"/>
  <c r="G47" i="2"/>
  <c r="G51" i="2"/>
  <c r="G48" i="8"/>
  <c r="G63" i="10"/>
  <c r="G79" i="9"/>
  <c r="G62" i="10"/>
  <c r="G73" i="9"/>
  <c r="G46" i="8"/>
  <c r="K33" i="4"/>
  <c r="K33" i="11"/>
  <c r="K17" i="11"/>
  <c r="K17" i="4"/>
  <c r="E96" i="9" l="1"/>
  <c r="E66" i="10"/>
  <c r="E54" i="8"/>
  <c r="G102" i="10"/>
  <c r="G63" i="9"/>
  <c r="G41" i="8"/>
  <c r="G54" i="9"/>
  <c r="G50" i="10"/>
  <c r="G39" i="8"/>
  <c r="G64" i="10"/>
  <c r="G85" i="9"/>
  <c r="G50" i="8"/>
  <c r="G61" i="9"/>
  <c r="G42" i="8"/>
  <c r="G60" i="10"/>
</calcChain>
</file>

<file path=xl/sharedStrings.xml><?xml version="1.0" encoding="utf-8"?>
<sst xmlns="http://schemas.openxmlformats.org/spreadsheetml/2006/main" count="1826" uniqueCount="748">
  <si>
    <t>2025 NEWPORT SPRING INVITE</t>
  </si>
  <si>
    <t>CC UNITED BLUE</t>
  </si>
  <si>
    <t>16U_GOLD</t>
  </si>
  <si>
    <t>A</t>
  </si>
  <si>
    <t>B</t>
  </si>
  <si>
    <t>C</t>
  </si>
  <si>
    <t>FOOTHILL BLACK</t>
  </si>
  <si>
    <t>A1-SAN FRANCISCO</t>
  </si>
  <si>
    <t>B1-LA PREMIER</t>
  </si>
  <si>
    <t>C1-TROJAN</t>
  </si>
  <si>
    <t>LA PEMIER</t>
  </si>
  <si>
    <t>A2-MISSION B</t>
  </si>
  <si>
    <t>B2-PEGASUS WP</t>
  </si>
  <si>
    <t>C2-CC UNITED BLUE</t>
  </si>
  <si>
    <t>MISSION B</t>
  </si>
  <si>
    <t>A3-FOOTHILL BLACK</t>
  </si>
  <si>
    <t>B3-OCWP RED</t>
  </si>
  <si>
    <t>C3-SD SHORES GOLD</t>
  </si>
  <si>
    <t>OCWP RED</t>
  </si>
  <si>
    <t>PEGASUS WP</t>
  </si>
  <si>
    <t>D</t>
  </si>
  <si>
    <t>E</t>
  </si>
  <si>
    <t>F</t>
  </si>
  <si>
    <t>SD SHORES GOLD</t>
  </si>
  <si>
    <t>D1(3rdA)-</t>
  </si>
  <si>
    <t>E1(2ndA)-</t>
  </si>
  <si>
    <t>F1(1stA)-</t>
  </si>
  <si>
    <t>SAN FRANCISCO</t>
  </si>
  <si>
    <t>D2(3rdB)-</t>
  </si>
  <si>
    <t>E2(2ndB)-</t>
  </si>
  <si>
    <t>F2(1stB)-</t>
  </si>
  <si>
    <t>TROJAN</t>
  </si>
  <si>
    <t>D3(3rdC)-</t>
  </si>
  <si>
    <t>E3(2ndC)-</t>
  </si>
  <si>
    <t>F3(1stC)-</t>
  </si>
  <si>
    <t>ATHERTON</t>
  </si>
  <si>
    <t>16U_PLATINUM</t>
  </si>
  <si>
    <t>CC UNITED BLACK</t>
  </si>
  <si>
    <t>CHANNEL ISLANDS GOLD</t>
  </si>
  <si>
    <t>CHAWP</t>
  </si>
  <si>
    <t>DEL MAR</t>
  </si>
  <si>
    <t>DIABLO RED</t>
  </si>
  <si>
    <t>FOOTHILL RED</t>
  </si>
  <si>
    <t>A1-DEL MAR</t>
  </si>
  <si>
    <t>B1-CHANNEL ISLANDS GOLD</t>
  </si>
  <si>
    <t>C1-STANFORD</t>
  </si>
  <si>
    <t>D1-CC UNITED BLACK</t>
  </si>
  <si>
    <t>E1-MISSION A</t>
  </si>
  <si>
    <t>F1-TROJAN</t>
  </si>
  <si>
    <t>LA JOLLA UNITED NAVY</t>
  </si>
  <si>
    <t>A2-DIABLO RED</t>
  </si>
  <si>
    <t>B2-ORANGE COUNTY WPC BLUE</t>
  </si>
  <si>
    <t>C2-LA JOLLA UNITED NAVY</t>
  </si>
  <si>
    <t>D2-NEWPORT</t>
  </si>
  <si>
    <t>E2-ATHERTON</t>
  </si>
  <si>
    <t>F2-SD SHORES BLACK</t>
  </si>
  <si>
    <t>MISSION A</t>
  </si>
  <si>
    <t>A3-NORTH IRVINE BLACK</t>
  </si>
  <si>
    <t>B3-ROSE BOWL RED</t>
  </si>
  <si>
    <t>C3-CHAWP</t>
  </si>
  <si>
    <t>D3-PATRIOT</t>
  </si>
  <si>
    <t>E3-VANGUARD BLUE</t>
  </si>
  <si>
    <t>F3-TEXAS THUINDER</t>
  </si>
  <si>
    <t>NEWPORT</t>
  </si>
  <si>
    <t/>
  </si>
  <si>
    <t>F4-FOOTHILL RED</t>
  </si>
  <si>
    <t>NORTH IRVINE BLACK</t>
  </si>
  <si>
    <t>OCWP BLUE</t>
  </si>
  <si>
    <t>G (1st-6th)</t>
  </si>
  <si>
    <t>H (1st-6th)</t>
  </si>
  <si>
    <t>I (7th-12th)</t>
  </si>
  <si>
    <t>J (7th-12th)</t>
  </si>
  <si>
    <t>K (13th-18th)</t>
  </si>
  <si>
    <t>L (13th-19th)</t>
  </si>
  <si>
    <t>PATRIOT</t>
  </si>
  <si>
    <t>G1(1stA)-</t>
  </si>
  <si>
    <t>H1(1stD)-</t>
  </si>
  <si>
    <t>I1(2ndA)-</t>
  </si>
  <si>
    <t>J1(2ndD)-</t>
  </si>
  <si>
    <t>K1(3rdA)-</t>
  </si>
  <si>
    <t>L1(3rdD)-</t>
  </si>
  <si>
    <t>ROSE BOWL RED</t>
  </si>
  <si>
    <t>G2(1stB)-</t>
  </si>
  <si>
    <t>H2(1stE)-</t>
  </si>
  <si>
    <t>I2(2ndB)-</t>
  </si>
  <si>
    <t>J2(2ndE)-</t>
  </si>
  <si>
    <t>K2(3rdB)-</t>
  </si>
  <si>
    <t>L2(3rdE)-</t>
  </si>
  <si>
    <t>SD SHORES BLACK</t>
  </si>
  <si>
    <t>G3(1stC)-</t>
  </si>
  <si>
    <t>I3(2ndC)-</t>
  </si>
  <si>
    <t>K3(3rdC)-</t>
  </si>
  <si>
    <t>STANFORD</t>
  </si>
  <si>
    <t>TEXAS THUNDER</t>
  </si>
  <si>
    <t>N Overall 3rd</t>
  </si>
  <si>
    <t>O Overall 1st</t>
  </si>
  <si>
    <t>P Overall 5th</t>
  </si>
  <si>
    <t>N1(2ndG)-</t>
  </si>
  <si>
    <t>O1(1stG)-</t>
  </si>
  <si>
    <t>P1(3rdG)-</t>
  </si>
  <si>
    <t>VANGUARD BLUE</t>
  </si>
  <si>
    <t>N2(2ndH)-</t>
  </si>
  <si>
    <t>O2(1stH)-</t>
  </si>
  <si>
    <t>P2(3rdH)-</t>
  </si>
  <si>
    <t>18U_GOLD</t>
  </si>
  <si>
    <t>IMPERIAL GREEN</t>
  </si>
  <si>
    <t>A1-IMPERIAL GREEN</t>
  </si>
  <si>
    <t>A2-NORTH IRVINE BLACK</t>
  </si>
  <si>
    <t>A4-ORANGE COUNTY WPC RED</t>
  </si>
  <si>
    <t>CC UNITED</t>
  </si>
  <si>
    <t>18U_PLATINUM</t>
  </si>
  <si>
    <t>IMPERIAL BLUE</t>
  </si>
  <si>
    <t>1-LAMORINDA</t>
  </si>
  <si>
    <t>4-NEWPORT</t>
  </si>
  <si>
    <t>5-CC UNITED</t>
  </si>
  <si>
    <t>2-NORTH IRVINE BEAST BOYS</t>
  </si>
  <si>
    <t>3-DEL MAR</t>
  </si>
  <si>
    <t>6-CHANNEL ISLANDS GOLD</t>
  </si>
  <si>
    <t>LAMORINDA</t>
  </si>
  <si>
    <t>12-LA PREMIER</t>
  </si>
  <si>
    <t>9-SAN FRANCISCO</t>
  </si>
  <si>
    <t>8-SD SHORES BLACK</t>
  </si>
  <si>
    <t>11-STANFORD</t>
  </si>
  <si>
    <t>10-SOCAL BLACK</t>
  </si>
  <si>
    <t>7-TROJAN</t>
  </si>
  <si>
    <t>LA PREMIER</t>
  </si>
  <si>
    <t>13-VANGUARD BLUE</t>
  </si>
  <si>
    <t>16-IMPERIAL BLUE</t>
  </si>
  <si>
    <t>17-CHAWP</t>
  </si>
  <si>
    <t>14-LA JOLLA UNITED NAVY</t>
  </si>
  <si>
    <t>15-DIABLO RED</t>
  </si>
  <si>
    <t>18-PATRIOT</t>
  </si>
  <si>
    <t>MONARCHY</t>
  </si>
  <si>
    <t>24-NORTH IRVINE VEGAS</t>
  </si>
  <si>
    <t>21-ORANGE COUNTY WPC BLUE</t>
  </si>
  <si>
    <t>20-FOOTHILL RED</t>
  </si>
  <si>
    <t>23-TEXAS THUNDER</t>
  </si>
  <si>
    <t>22-ROSE BOWL RED</t>
  </si>
  <si>
    <t>19-MONARCHY</t>
  </si>
  <si>
    <t>NORTH IRVINE BEAST</t>
  </si>
  <si>
    <t>L (13th-18th)</t>
  </si>
  <si>
    <t>M (19th-24th)</t>
  </si>
  <si>
    <t>N (19th-24th)</t>
  </si>
  <si>
    <t>NORTH IRVINE VEGAS</t>
  </si>
  <si>
    <t>M1(4thF)-</t>
  </si>
  <si>
    <t>N1(4thC)-</t>
  </si>
  <si>
    <t>M2(4thE)-</t>
  </si>
  <si>
    <t>N2(4thB)-</t>
  </si>
  <si>
    <t>M3(4thD)-</t>
  </si>
  <si>
    <t>N3(4thA)-</t>
  </si>
  <si>
    <t>RR</t>
  </si>
  <si>
    <t>SOCAL BLACK</t>
  </si>
  <si>
    <t>SAT</t>
  </si>
  <si>
    <t>SUN</t>
  </si>
  <si>
    <t>TOTAL</t>
  </si>
  <si>
    <t>16U_BOYS_GOLD</t>
  </si>
  <si>
    <t>16U_BOYS_PLATINUM</t>
  </si>
  <si>
    <t>18U_BOYS_PLATINUM</t>
  </si>
  <si>
    <t>Games Sat</t>
  </si>
  <si>
    <t>Games Sun</t>
  </si>
  <si>
    <t>Total Games</t>
  </si>
  <si>
    <t>CHICLETS MASTER</t>
  </si>
  <si>
    <t>9:30am start</t>
  </si>
  <si>
    <t>Note 1st 3 games Newport Spring Invite</t>
  </si>
  <si>
    <t>9am start</t>
  </si>
  <si>
    <t>COURSES</t>
  </si>
  <si>
    <t>SATURDAY, MARCH 8</t>
  </si>
  <si>
    <t>COSTA MESA HS</t>
  </si>
  <si>
    <t>ESTANCIA HS</t>
  </si>
  <si>
    <t>EL TORO HS</t>
  </si>
  <si>
    <t>WESTMINSTER HS</t>
  </si>
  <si>
    <t>MARINA HS</t>
  </si>
  <si>
    <t>TUSTIN HS</t>
  </si>
  <si>
    <t>Sat Games</t>
  </si>
  <si>
    <t>Above in pink is Womens Nat'l League 11am on 1:10, last at 6pm</t>
  </si>
  <si>
    <t>SUNDAY, MARCH 9</t>
  </si>
  <si>
    <t>Sun Games</t>
  </si>
  <si>
    <t>18B11</t>
  </si>
  <si>
    <t>18B10</t>
  </si>
  <si>
    <t>18B20</t>
  </si>
  <si>
    <t>18B12</t>
  </si>
  <si>
    <t>18B21</t>
  </si>
  <si>
    <t>18B01</t>
  </si>
  <si>
    <t>18B23</t>
  </si>
  <si>
    <t>18B13</t>
  </si>
  <si>
    <t>18B22</t>
  </si>
  <si>
    <t>18B02</t>
  </si>
  <si>
    <t>18B14</t>
  </si>
  <si>
    <t>18B03</t>
  </si>
  <si>
    <t>18B15</t>
  </si>
  <si>
    <t>18B04</t>
  </si>
  <si>
    <t>18B16</t>
  </si>
  <si>
    <t>18B05</t>
  </si>
  <si>
    <t>18B24</t>
  </si>
  <si>
    <t>18B17</t>
  </si>
  <si>
    <t>18B06</t>
  </si>
  <si>
    <t>18B18</t>
  </si>
  <si>
    <t>18B07</t>
  </si>
  <si>
    <t>18B19</t>
  </si>
  <si>
    <t>18B08</t>
  </si>
  <si>
    <t>18B26</t>
  </si>
  <si>
    <t>18B25</t>
  </si>
  <si>
    <t>18B09</t>
  </si>
  <si>
    <t>18B27</t>
  </si>
  <si>
    <t>18B28</t>
  </si>
  <si>
    <t>18B30</t>
  </si>
  <si>
    <t>18B31</t>
  </si>
  <si>
    <t>18B29</t>
  </si>
  <si>
    <t>18B40</t>
  </si>
  <si>
    <t>18B48</t>
  </si>
  <si>
    <t>18B56</t>
  </si>
  <si>
    <t>18B41</t>
  </si>
  <si>
    <t>18B49</t>
  </si>
  <si>
    <t>18B32</t>
  </si>
  <si>
    <t>18B57</t>
  </si>
  <si>
    <t>18B50</t>
  </si>
  <si>
    <t>18B33</t>
  </si>
  <si>
    <t>18B42</t>
  </si>
  <si>
    <t>18B51</t>
  </si>
  <si>
    <t>18B34</t>
  </si>
  <si>
    <t>18B43</t>
  </si>
  <si>
    <t>18B52</t>
  </si>
  <si>
    <t>18B35</t>
  </si>
  <si>
    <t>18B44</t>
  </si>
  <si>
    <t>18B58</t>
  </si>
  <si>
    <t>18B36</t>
  </si>
  <si>
    <t>18B45</t>
  </si>
  <si>
    <t>18B53</t>
  </si>
  <si>
    <t>18B37</t>
  </si>
  <si>
    <t>18B46</t>
  </si>
  <si>
    <t>18B54</t>
  </si>
  <si>
    <t>18B38</t>
  </si>
  <si>
    <t>18B47</t>
  </si>
  <si>
    <t>18B55</t>
  </si>
  <si>
    <t>18B39</t>
  </si>
  <si>
    <t>16U BOYS GOLD</t>
  </si>
  <si>
    <t>9 teams</t>
  </si>
  <si>
    <t>7 min. qrtrs.</t>
  </si>
  <si>
    <t>9+9</t>
  </si>
  <si>
    <t>HOT! RESULTS</t>
  </si>
  <si>
    <t>RESULTS FEED</t>
  </si>
  <si>
    <t>SUBMIT SCORES LOGIN</t>
  </si>
  <si>
    <t>D1(3rdA)-FOOTHILL BLACK</t>
  </si>
  <si>
    <t>E1(2ndA)-MISSION B</t>
  </si>
  <si>
    <t>F1(1stA)-SAN FRANCISCO</t>
  </si>
  <si>
    <t>D2(3rdB)-OCWP RED</t>
  </si>
  <si>
    <t>E2(2ndB)-PEGASUS</t>
  </si>
  <si>
    <t>F2(1stB)-LA PREMIER</t>
  </si>
  <si>
    <t>D3(3rdC)-TROJAN</t>
  </si>
  <si>
    <t>E3(2ndC)-SD SHORES GOLD</t>
  </si>
  <si>
    <t>F3(1stC)-CC UNITED BLUE</t>
  </si>
  <si>
    <t>DATE</t>
  </si>
  <si>
    <t>TIME</t>
  </si>
  <si>
    <t>LOCATION</t>
  </si>
  <si>
    <t>GAME ID</t>
  </si>
  <si>
    <t>WHITE TEAM</t>
  </si>
  <si>
    <t>S</t>
  </si>
  <si>
    <t>DARK TEAM</t>
  </si>
  <si>
    <t>COMMENTS</t>
  </si>
  <si>
    <t>DIVISION</t>
  </si>
  <si>
    <t>16Bau01</t>
  </si>
  <si>
    <t>A bracket A1,A3</t>
  </si>
  <si>
    <t>16Bau02</t>
  </si>
  <si>
    <t>B bracket B1,B3</t>
  </si>
  <si>
    <t>16Bau03</t>
  </si>
  <si>
    <t>C bracket C1,C2</t>
  </si>
  <si>
    <t>16Bau04</t>
  </si>
  <si>
    <t>A bracket A2,A3</t>
  </si>
  <si>
    <t>16Bau05</t>
  </si>
  <si>
    <t>B bracket B1,B2</t>
  </si>
  <si>
    <t>16Bau06</t>
  </si>
  <si>
    <t>C bracket C2,C3</t>
  </si>
  <si>
    <t>16Bau07</t>
  </si>
  <si>
    <t>A bracket A1,A2</t>
  </si>
  <si>
    <t>16Bau08</t>
  </si>
  <si>
    <t>B bracket B2,B3</t>
  </si>
  <si>
    <t>16Bau09</t>
  </si>
  <si>
    <t>C bracket C1,C3</t>
  </si>
  <si>
    <t>16Bau10</t>
  </si>
  <si>
    <t>D bracket (7th-9th) D1,D3</t>
  </si>
  <si>
    <t>16Bau12</t>
  </si>
  <si>
    <t>E bracket (4th-6th) E1,E3</t>
  </si>
  <si>
    <t>16Bau11</t>
  </si>
  <si>
    <t>F bracket (1st-3rd) F1,F3</t>
  </si>
  <si>
    <t>16Bau13</t>
  </si>
  <si>
    <t>D bracket (7th-9th) D2,D3</t>
  </si>
  <si>
    <t>16Bau14</t>
  </si>
  <si>
    <t>E bracket (4th-6th) E2,E3</t>
  </si>
  <si>
    <t>16Bau15</t>
  </si>
  <si>
    <t>F bracket (1st-3rd) F2,F3</t>
  </si>
  <si>
    <t>16Bau16</t>
  </si>
  <si>
    <t>D bracket (7th-9th) D1,D2</t>
  </si>
  <si>
    <t>16Bau17</t>
  </si>
  <si>
    <t>E bracket (4th-6th) E1,E2</t>
  </si>
  <si>
    <t>16Bau18</t>
  </si>
  <si>
    <t>F bracket (1st-3rd) F1,F2</t>
  </si>
  <si>
    <t>1st</t>
  </si>
  <si>
    <t>2nd</t>
  </si>
  <si>
    <t>3rd</t>
  </si>
  <si>
    <t>18U BOYS GOLD</t>
  </si>
  <si>
    <t>4 teams</t>
  </si>
  <si>
    <t>7 min quarters</t>
  </si>
  <si>
    <t>8 games</t>
  </si>
  <si>
    <t>4+4</t>
  </si>
  <si>
    <t>18Bau01</t>
  </si>
  <si>
    <t>18U_BOYS_GOLD</t>
  </si>
  <si>
    <t>18Bau02</t>
  </si>
  <si>
    <t>A bracket A3,A4</t>
  </si>
  <si>
    <t>18Bau03</t>
  </si>
  <si>
    <t>A bracket A2,A4</t>
  </si>
  <si>
    <t>18Bau04</t>
  </si>
  <si>
    <t>18Bau05</t>
  </si>
  <si>
    <t>A bracket A1,A4</t>
  </si>
  <si>
    <t>18Bau06</t>
  </si>
  <si>
    <t>18Bau07</t>
  </si>
  <si>
    <t>3rdA-</t>
  </si>
  <si>
    <t>4thA-</t>
  </si>
  <si>
    <t>18Bau08</t>
  </si>
  <si>
    <t>1stA-</t>
  </si>
  <si>
    <t>2ndA-</t>
  </si>
  <si>
    <t>16U BOYS PLATINUM</t>
  </si>
  <si>
    <t>19 teams</t>
  </si>
  <si>
    <t>21+20</t>
  </si>
  <si>
    <t>B1-CHANNEL ISLANDS UNITED GOLD</t>
  </si>
  <si>
    <t>G1(1stA)-DEL MAR</t>
  </si>
  <si>
    <t>H1(1stD)-CC UNITED BLACK</t>
  </si>
  <si>
    <t>I1(2ndA)-NORTH IRVINE BLACK</t>
  </si>
  <si>
    <t>J1(2ndD)-NEWPORT</t>
  </si>
  <si>
    <t>K1(3rdA)-DIABLO RED</t>
  </si>
  <si>
    <t>L1(3rdD)-PATRIOT</t>
  </si>
  <si>
    <t>G2(1stB)-CHANNEL ISLANDS UNITED GOLD</t>
  </si>
  <si>
    <t>H2(1stE)-MISSION</t>
  </si>
  <si>
    <t>I2(2ndB)-ORANGE COUNTY WPC BLUE</t>
  </si>
  <si>
    <t>J2(2ndE)-ATHERTON</t>
  </si>
  <si>
    <t>K2(3rdB)-ROSE BOWL RED</t>
  </si>
  <si>
    <t>L2(3rdE)-VANGUARD BLUE</t>
  </si>
  <si>
    <t>G3(1stC)-STANFORD</t>
  </si>
  <si>
    <t>I3(2ndC)-LA JOLLA UNITED NAVY</t>
  </si>
  <si>
    <t>K3(3rdC)-CHAWP</t>
  </si>
  <si>
    <t>N1(2ndG)-DEL MAR</t>
  </si>
  <si>
    <t>O1(1stG)-STANFORD</t>
  </si>
  <si>
    <t>P1(3rdG)-CHANNEL ISLANDS UNITED GOLD</t>
  </si>
  <si>
    <t>N2(2ndH)-MISSION</t>
  </si>
  <si>
    <t>O2(1stH)-CC UNITED BLACK</t>
  </si>
  <si>
    <t>P2(3rdH)-SD SHORES BLACK</t>
  </si>
  <si>
    <t>16Bpt01</t>
  </si>
  <si>
    <t>16Bpt03</t>
  </si>
  <si>
    <t>16Bpt05</t>
  </si>
  <si>
    <t>16Bpt07</t>
  </si>
  <si>
    <t>16Bpt09</t>
  </si>
  <si>
    <t>16Bpt11</t>
  </si>
  <si>
    <t>16Bpt13</t>
  </si>
  <si>
    <t>16Bpt15</t>
  </si>
  <si>
    <t>16Bpt17</t>
  </si>
  <si>
    <t>16Bpt19</t>
  </si>
  <si>
    <t>G bracket G1,G3 (1A,1C)</t>
  </si>
  <si>
    <t>16Bpt02</t>
  </si>
  <si>
    <t>E bracket E1,E3</t>
  </si>
  <si>
    <t>16Bpt04</t>
  </si>
  <si>
    <t>D bracket D1,D3</t>
  </si>
  <si>
    <t>16Bpt06</t>
  </si>
  <si>
    <t>W/L F1/F4</t>
  </si>
  <si>
    <t>16Bpt08</t>
  </si>
  <si>
    <t>E bracket E2,E3</t>
  </si>
  <si>
    <t>16Bpt10</t>
  </si>
  <si>
    <t>W/L F2/F3</t>
  </si>
  <si>
    <t>16Bpt12</t>
  </si>
  <si>
    <t>D bracket D2,D3</t>
  </si>
  <si>
    <t>16Bpt14</t>
  </si>
  <si>
    <t>E bracket E1,E2</t>
  </si>
  <si>
    <t>16Bpt16</t>
  </si>
  <si>
    <t>1st/2ndF</t>
  </si>
  <si>
    <t>16Bpt18</t>
  </si>
  <si>
    <t>3rd/4thF</t>
  </si>
  <si>
    <t>16Bpt20</t>
  </si>
  <si>
    <t>D bracket D1,D2</t>
  </si>
  <si>
    <t>16Bpt21</t>
  </si>
  <si>
    <t>H bracket H2,H3 (1E,1F)</t>
  </si>
  <si>
    <t>16Bpt22</t>
  </si>
  <si>
    <t>H bracket H1,H3 (1D,1F)</t>
  </si>
  <si>
    <t>16Bpt24</t>
  </si>
  <si>
    <t>I bracket I1,I3 (2A,2C)</t>
  </si>
  <si>
    <t>16Bpt26</t>
  </si>
  <si>
    <t>G bracket G2,G3 (1B,1C)</t>
  </si>
  <si>
    <t>16Bpt28</t>
  </si>
  <si>
    <t>H bracket H1,H2 (1D.1E)</t>
  </si>
  <si>
    <t>16Bpt30</t>
  </si>
  <si>
    <t>I bracket I2,I3 (2B,2C)</t>
  </si>
  <si>
    <t>16Bpt32</t>
  </si>
  <si>
    <t>G bracket G1,G2 (1A,1B)</t>
  </si>
  <si>
    <t>16Bpt34</t>
  </si>
  <si>
    <t>I bracket I1,I2 (2A,2B)</t>
  </si>
  <si>
    <t>16Bpt36</t>
  </si>
  <si>
    <t>5th 3G/3H</t>
  </si>
  <si>
    <t>16Bpt38</t>
  </si>
  <si>
    <t>3rd 2G/2H</t>
  </si>
  <si>
    <t>16Bpt40</t>
  </si>
  <si>
    <t>1st 1G/1H</t>
  </si>
  <si>
    <t>16Bpt23</t>
  </si>
  <si>
    <t>bracket J1,J3</t>
  </si>
  <si>
    <t>16Bpt25</t>
  </si>
  <si>
    <t>bracket K1,K3</t>
  </si>
  <si>
    <t>16Bpt27</t>
  </si>
  <si>
    <t>W/L L1/L4</t>
  </si>
  <si>
    <t>16Bpt29</t>
  </si>
  <si>
    <t>W/L L2/L3</t>
  </si>
  <si>
    <t>16Bpt31</t>
  </si>
  <si>
    <t>bracket J2,J3</t>
  </si>
  <si>
    <t>16Bpt33</t>
  </si>
  <si>
    <t>bracket K2,K3</t>
  </si>
  <si>
    <t>16Bpt35</t>
  </si>
  <si>
    <t>3rd/4thL</t>
  </si>
  <si>
    <t>16Bpt37</t>
  </si>
  <si>
    <t>1st/2ndL</t>
  </si>
  <si>
    <t>16Bpt39</t>
  </si>
  <si>
    <t>bracket J1,J2</t>
  </si>
  <si>
    <t>16Bpt41</t>
  </si>
  <si>
    <t>bracket K1,K2</t>
  </si>
  <si>
    <t>TOTAL POINTS</t>
  </si>
  <si>
    <t>&lt;&lt;&lt;--- POINTS</t>
  </si>
  <si>
    <t>(13,14)</t>
  </si>
  <si>
    <t>(14,8)</t>
  </si>
  <si>
    <t>(8,14)</t>
  </si>
  <si>
    <t>(11,12)</t>
  </si>
  <si>
    <t>(14,13)</t>
  </si>
  <si>
    <t>(12,11)</t>
  </si>
  <si>
    <t>(11,7)</t>
  </si>
  <si>
    <t>(15,5)</t>
  </si>
  <si>
    <t>(11,8)</t>
  </si>
  <si>
    <t>(7,11)</t>
  </si>
  <si>
    <t>H3(1stF)-SD SHORES BLACK</t>
  </si>
  <si>
    <t>(8,11)</t>
  </si>
  <si>
    <t>(5,15)</t>
  </si>
  <si>
    <t>18U BOYS</t>
  </si>
  <si>
    <t>23 teams</t>
  </si>
  <si>
    <t>26+25</t>
  </si>
  <si>
    <t>6-CHANNEL ISLANDS UNITED GOLD</t>
  </si>
  <si>
    <t>N (22nd-24th)</t>
  </si>
  <si>
    <t>G1(1stA)-LAMORINDA</t>
  </si>
  <si>
    <t>H1(1stD)-STANFORD</t>
  </si>
  <si>
    <t>I1(2ndA)-VANGUARD BLUE</t>
  </si>
  <si>
    <t>J1(2ndD)-NORTH IRVINE BEAST BOYS</t>
  </si>
  <si>
    <t>K1(3rdA)-LA PREMIER</t>
  </si>
  <si>
    <t>L1(3rdD)-TEXAS THUNDER</t>
  </si>
  <si>
    <t>M1(4thF)-MONARCHY</t>
  </si>
  <si>
    <t>N1(4thC)-FOOTHILL RED</t>
  </si>
  <si>
    <t>M2(4thE)-DIABLO RED</t>
  </si>
  <si>
    <t>N2(4thB)-ORANGE COUNTY WPC BLUE</t>
  </si>
  <si>
    <t>M3(4thD)-LA JOLLA UNITED NAVY</t>
  </si>
  <si>
    <t>N3(4thA)-NORTH IRVINE VEGAS</t>
  </si>
  <si>
    <t>N1(2ndG)-LAMORINDA</t>
  </si>
  <si>
    <t>O1(1stG)-NEWPORT</t>
  </si>
  <si>
    <t>P1(3rdG)-CC UNITED</t>
  </si>
  <si>
    <t>N2(2ndH)-STANFORD</t>
  </si>
  <si>
    <t>O2(1stH)-CHANNEL ISLANDS UNITED GOLD</t>
  </si>
  <si>
    <t>P2(3rdH)-DEL MAR</t>
  </si>
  <si>
    <t>W/L C1/C4</t>
  </si>
  <si>
    <t>18U_BOYS</t>
  </si>
  <si>
    <t>W/L C2/C3</t>
  </si>
  <si>
    <t>W/L A1/A4</t>
  </si>
  <si>
    <t>W/L B2/B3</t>
  </si>
  <si>
    <t>W/L A2/A3</t>
  </si>
  <si>
    <t>W/L B1/B4</t>
  </si>
  <si>
    <t>3rd/4thC</t>
  </si>
  <si>
    <t>1st/2ndC</t>
  </si>
  <si>
    <t>L#5-NORTH IRVINE VEGAS</t>
  </si>
  <si>
    <t>L#7-LA PREMIER</t>
  </si>
  <si>
    <t>3rd/4thA</t>
  </si>
  <si>
    <t>W#5-LAMORINDA</t>
  </si>
  <si>
    <t>W#7-VANGUARD BLUE</t>
  </si>
  <si>
    <t>1st/2ndA</t>
  </si>
  <si>
    <t>3rd/4thB</t>
  </si>
  <si>
    <t>1st/2ndB</t>
  </si>
  <si>
    <t>G bracket 1A,1C</t>
  </si>
  <si>
    <t>W/L D1/D4</t>
  </si>
  <si>
    <t>W/L D2/D3</t>
  </si>
  <si>
    <t>W/L E2/E3</t>
  </si>
  <si>
    <t>W/L E1/E4</t>
  </si>
  <si>
    <t>3rd/4thD</t>
  </si>
  <si>
    <t>1st/2ndD</t>
  </si>
  <si>
    <t>1st/2nd E</t>
  </si>
  <si>
    <t>3rd/4th E</t>
  </si>
  <si>
    <t>3rd/4th F</t>
  </si>
  <si>
    <t>1st/2nd F</t>
  </si>
  <si>
    <t>H bracket 1D/1E</t>
  </si>
  <si>
    <t>I bracket I1,I3</t>
  </si>
  <si>
    <t>G bracket G1,G3</t>
  </si>
  <si>
    <t>H bracket H1,H3</t>
  </si>
  <si>
    <t>I bracket I2,I3</t>
  </si>
  <si>
    <t>G bracket G2,G3</t>
  </si>
  <si>
    <t>H bracket H2,H3</t>
  </si>
  <si>
    <t>I bracket I1,2</t>
  </si>
  <si>
    <t>L bracket L1,L3</t>
  </si>
  <si>
    <t>J bracket J1,J3</t>
  </si>
  <si>
    <t>K bracket K1,K3</t>
  </si>
  <si>
    <t>L bracket L2,L3</t>
  </si>
  <si>
    <t>J bracket J2,J3</t>
  </si>
  <si>
    <t>K bracket K2,K3</t>
  </si>
  <si>
    <t>L bracket L1,L2</t>
  </si>
  <si>
    <t>J bracket J1,J2</t>
  </si>
  <si>
    <t>K bracket K1,K2</t>
  </si>
  <si>
    <t>19th-24th M1,M3</t>
  </si>
  <si>
    <t>19th-24th N1,N3</t>
  </si>
  <si>
    <t>19th-24th M2,M3</t>
  </si>
  <si>
    <t>19th-24th N2,N3</t>
  </si>
  <si>
    <t>19th-24th M1,M2</t>
  </si>
  <si>
    <t>19th-24th N1,N2</t>
  </si>
  <si>
    <t>(6,7)</t>
  </si>
  <si>
    <t>G2(1stB)-NEWPORT</t>
  </si>
  <si>
    <t>(7,6)</t>
  </si>
  <si>
    <t>(13,6)</t>
  </si>
  <si>
    <t>CHANNEL ISLANDS UNITED GOLD</t>
  </si>
  <si>
    <t>G2(1stC)-CC UNITED</t>
  </si>
  <si>
    <t>(6,13)</t>
  </si>
  <si>
    <t>(13,12)</t>
  </si>
  <si>
    <t>(10.3,10.4)</t>
  </si>
  <si>
    <t>H2(1stE)-DEL MAR</t>
  </si>
  <si>
    <t>(12,13)</t>
  </si>
  <si>
    <t>(10.3,10.2)</t>
  </si>
  <si>
    <t>H3(1stF)-CHANNEL ISLANDS UNITED GOLD</t>
  </si>
  <si>
    <t>(10.2, 10,3)</t>
  </si>
  <si>
    <t>(10.4,10.3)</t>
  </si>
  <si>
    <t>18U BOYS PLATINUM</t>
  </si>
  <si>
    <t>25+24</t>
  </si>
  <si>
    <t>A1(1)-LAMORINDA</t>
  </si>
  <si>
    <t>A2(12)-LA PREMIER</t>
  </si>
  <si>
    <t>A3(13)-VANGUARD BLUE</t>
  </si>
  <si>
    <t>21-FOOTHILL RED</t>
  </si>
  <si>
    <t>20-ORANGE COUNTY WPC BLUE</t>
  </si>
  <si>
    <t>M (19th-23rd) 2 games each</t>
  </si>
  <si>
    <t>M5(4thD)-</t>
  </si>
  <si>
    <t>18Bpt01</t>
  </si>
  <si>
    <t>18Bpt03</t>
  </si>
  <si>
    <t>18Bpt05</t>
  </si>
  <si>
    <t>18Bpt07</t>
  </si>
  <si>
    <t>18Bpt09</t>
  </si>
  <si>
    <t>18Bpt11</t>
  </si>
  <si>
    <t>18Bpt13</t>
  </si>
  <si>
    <t>18Bpt15</t>
  </si>
  <si>
    <t>18Bpt17</t>
  </si>
  <si>
    <t>18Bpt19</t>
  </si>
  <si>
    <t>18Bpt21</t>
  </si>
  <si>
    <t>18Bpt23</t>
  </si>
  <si>
    <t>18Bpt02</t>
  </si>
  <si>
    <t>18Bpt04</t>
  </si>
  <si>
    <t>18Bpt06</t>
  </si>
  <si>
    <t>18Bpt08</t>
  </si>
  <si>
    <t>18Bpt10</t>
  </si>
  <si>
    <t>18Bpt12</t>
  </si>
  <si>
    <t>18Bpt14</t>
  </si>
  <si>
    <t>18Bpt16</t>
  </si>
  <si>
    <t>18Bpt18</t>
  </si>
  <si>
    <t>18Bpt20</t>
  </si>
  <si>
    <t>18Bpt22</t>
  </si>
  <si>
    <t>18Bpt24</t>
  </si>
  <si>
    <t>18Bpt25</t>
  </si>
  <si>
    <t>18Bpt26</t>
  </si>
  <si>
    <t>18Bpt28</t>
  </si>
  <si>
    <t>18Bpt30</t>
  </si>
  <si>
    <t>18Bpt33</t>
  </si>
  <si>
    <t>18Bpt36</t>
  </si>
  <si>
    <t>18Bpt38</t>
  </si>
  <si>
    <t>18Bpt40</t>
  </si>
  <si>
    <t>18Bpt43</t>
  </si>
  <si>
    <t>18Bpt46</t>
  </si>
  <si>
    <t>18Bpt49</t>
  </si>
  <si>
    <t>18Bpt27</t>
  </si>
  <si>
    <t>18Bpt29</t>
  </si>
  <si>
    <t>18Bpt31</t>
  </si>
  <si>
    <t>18Bpt34</t>
  </si>
  <si>
    <t>18Bpt37</t>
  </si>
  <si>
    <t>18Bpt39</t>
  </si>
  <si>
    <t>18Bpt41</t>
  </si>
  <si>
    <t>18Bpt44</t>
  </si>
  <si>
    <t>18Bpt47</t>
  </si>
  <si>
    <t>18Bpt32</t>
  </si>
  <si>
    <t>19th-23rd</t>
  </si>
  <si>
    <t>18Bpt35</t>
  </si>
  <si>
    <t>18Bpt42</t>
  </si>
  <si>
    <t>18Bpt45</t>
  </si>
  <si>
    <t>18Bpt48</t>
  </si>
  <si>
    <t>27 teams</t>
  </si>
  <si>
    <t>58 games</t>
  </si>
  <si>
    <t>31+27</t>
  </si>
  <si>
    <t>G</t>
  </si>
  <si>
    <t>H</t>
  </si>
  <si>
    <t>B1(2)-NORTH IRVINE BEAST BOYS</t>
  </si>
  <si>
    <t>C1(3)-DEL MAR</t>
  </si>
  <si>
    <t>D1(4)-NEWPORT</t>
  </si>
  <si>
    <t>E1(5)-CC UNITED</t>
  </si>
  <si>
    <t>F1(6)-CHANNEL ISLANDS GOLD</t>
  </si>
  <si>
    <t>G1(7)-TROJAN</t>
  </si>
  <si>
    <t>H1(8)-SD SHORES BLACK</t>
  </si>
  <si>
    <t>A2(16)-IMPERIAL BLUE</t>
  </si>
  <si>
    <t>B2(15)-DIABLO RED</t>
  </si>
  <si>
    <t>C2(14)-LA JOLLA UNITED NAVY</t>
  </si>
  <si>
    <t>D2(13)-VANGUARD BLUE</t>
  </si>
  <si>
    <t>E2(12)-LA PREMIER</t>
  </si>
  <si>
    <t>F2(11)-STANFORD</t>
  </si>
  <si>
    <t>G2(10)-SOCAL BLACK</t>
  </si>
  <si>
    <t>H2(9)-SAN FRANCISCO</t>
  </si>
  <si>
    <t>A3(17)-CHAWP</t>
  </si>
  <si>
    <t>B3(18)-PATRIOT</t>
  </si>
  <si>
    <t>C3(19)-MONARCHY</t>
  </si>
  <si>
    <t>D3(20)-ORANGE COUNTY WPC BLUE</t>
  </si>
  <si>
    <t>E3(21)-FOOTHILL RED</t>
  </si>
  <si>
    <t>F3(22)-ROSE BOWL RED</t>
  </si>
  <si>
    <t>G3(23)-TEXAS THUNDER</t>
  </si>
  <si>
    <t>H3(24)-NORTH IRVINE VEGAS</t>
  </si>
  <si>
    <t>F4(27)-FOOTHILL BLACK</t>
  </si>
  <si>
    <t>G4(26)-ORANGE COUNTY WPC RED</t>
  </si>
  <si>
    <t>H4(25)-IMPERIAL GREEN</t>
  </si>
  <si>
    <t>J (1st-8th)</t>
  </si>
  <si>
    <t>K (9th-16th)</t>
  </si>
  <si>
    <t>L (17th-24th)</t>
  </si>
  <si>
    <t>M (25th-27th)</t>
  </si>
  <si>
    <t>J1(1stA)-</t>
  </si>
  <si>
    <t>K1(2ndA)-</t>
  </si>
  <si>
    <t>L1(3rdA)-</t>
  </si>
  <si>
    <t>M1(4thH)-</t>
  </si>
  <si>
    <t>J2(1stB)-</t>
  </si>
  <si>
    <t>K2(2ndB)-</t>
  </si>
  <si>
    <t>L2(3rdB)-</t>
  </si>
  <si>
    <t>M2(4thG)-</t>
  </si>
  <si>
    <t>J3(1stC)-</t>
  </si>
  <si>
    <t>K3(2ndC)-</t>
  </si>
  <si>
    <t>L3(3rdC)-</t>
  </si>
  <si>
    <t>M3(4thF)-</t>
  </si>
  <si>
    <t>J4(1stD)-</t>
  </si>
  <si>
    <t>K4(2ndD)-</t>
  </si>
  <si>
    <t>L4(3rdD)-</t>
  </si>
  <si>
    <t>J5(1stE)-</t>
  </si>
  <si>
    <t>K5(2ndE)-</t>
  </si>
  <si>
    <t>L5(3rdE)-</t>
  </si>
  <si>
    <t>J6(1stF)-</t>
  </si>
  <si>
    <t>K6(2ndF)-</t>
  </si>
  <si>
    <t>L6(3rdF)-</t>
  </si>
  <si>
    <t>J7(1stG)-</t>
  </si>
  <si>
    <t>K7(2ndG)-</t>
  </si>
  <si>
    <t>L7(3rdG)-</t>
  </si>
  <si>
    <t>J8(1stH)-</t>
  </si>
  <si>
    <t>K8(2ndH)-</t>
  </si>
  <si>
    <t>L8(3rdH)-</t>
  </si>
  <si>
    <t>W#F1/F4</t>
  </si>
  <si>
    <t>W#F2/F3</t>
  </si>
  <si>
    <t>L#F1/F4</t>
  </si>
  <si>
    <t>L#F2/F3</t>
  </si>
  <si>
    <t>W/L H1/H4</t>
  </si>
  <si>
    <t>W/L H2/H3</t>
  </si>
  <si>
    <t>W/L G1/G4</t>
  </si>
  <si>
    <t>W/L G2/G3</t>
  </si>
  <si>
    <t>W#H1/H4</t>
  </si>
  <si>
    <t>W#H2/H4</t>
  </si>
  <si>
    <t>1st/2nd H</t>
  </si>
  <si>
    <t>L#H1/H4</t>
  </si>
  <si>
    <t>L#H2/H3</t>
  </si>
  <si>
    <t>3rd/4th H</t>
  </si>
  <si>
    <t>W#G1/G4</t>
  </si>
  <si>
    <t>W#G2/G3</t>
  </si>
  <si>
    <t>1st/2nd G</t>
  </si>
  <si>
    <t>L#G1/G4</t>
  </si>
  <si>
    <t>L#G2/G3</t>
  </si>
  <si>
    <t>3rd/4th G</t>
  </si>
  <si>
    <t>1v8 1A/1H</t>
  </si>
  <si>
    <t>2v7 1B/1G</t>
  </si>
  <si>
    <t>3v6 1C/1F</t>
  </si>
  <si>
    <t>4v5 1D/1E</t>
  </si>
  <si>
    <t>25th-27th</t>
  </si>
  <si>
    <t>L#J4/J5</t>
  </si>
  <si>
    <t>L#J2/J7</t>
  </si>
  <si>
    <t>5-8 semi 5v8</t>
  </si>
  <si>
    <t>L#J3/J6</t>
  </si>
  <si>
    <t>L#J1/J8</t>
  </si>
  <si>
    <t>5-8 semi 6v7</t>
  </si>
  <si>
    <t>W#J1/J8</t>
  </si>
  <si>
    <t>W#J4/J5</t>
  </si>
  <si>
    <t>1-4 semi 1v4</t>
  </si>
  <si>
    <t>W#J2/J7</t>
  </si>
  <si>
    <t>W#J3/J6</t>
  </si>
  <si>
    <t>1-4 semi 2v3</t>
  </si>
  <si>
    <t>L#33</t>
  </si>
  <si>
    <t>L#32</t>
  </si>
  <si>
    <t>7th</t>
  </si>
  <si>
    <t>W#32</t>
  </si>
  <si>
    <t>W#33</t>
  </si>
  <si>
    <t>5th</t>
  </si>
  <si>
    <t>L#35</t>
  </si>
  <si>
    <t>L#34</t>
  </si>
  <si>
    <t>W#43</t>
  </si>
  <si>
    <t>W#35</t>
  </si>
  <si>
    <t>9th-16th</t>
  </si>
  <si>
    <t>L#K7/K2</t>
  </si>
  <si>
    <t>L#K8/K1</t>
  </si>
  <si>
    <t>13th-16th</t>
  </si>
  <si>
    <t>L#K6/K3</t>
  </si>
  <si>
    <t>L#K5/K4</t>
  </si>
  <si>
    <t>W#K7/K2</t>
  </si>
  <si>
    <t>W#K8/K1</t>
  </si>
  <si>
    <t>9th-12th</t>
  </si>
  <si>
    <t>W#K6/K3</t>
  </si>
  <si>
    <t>W#K5/K4</t>
  </si>
  <si>
    <t>17th-24th 18v23</t>
  </si>
  <si>
    <t>17th-24th 17v24</t>
  </si>
  <si>
    <t>17th-24th 20v21</t>
  </si>
  <si>
    <t>17th-24th 19v22</t>
  </si>
  <si>
    <t>L#L2/L7</t>
  </si>
  <si>
    <t>L#L1/L8</t>
  </si>
  <si>
    <t>21st-24th</t>
  </si>
  <si>
    <t>L#L4/L5</t>
  </si>
  <si>
    <t>L#L3/L6</t>
  </si>
  <si>
    <t>W#W3/W6</t>
  </si>
  <si>
    <t>W#W4/W5</t>
  </si>
  <si>
    <t>17th-20th</t>
  </si>
  <si>
    <t>W#W1/W8</t>
  </si>
  <si>
    <t>W#W2/W7</t>
  </si>
  <si>
    <t>22 teams</t>
  </si>
  <si>
    <t>24+23</t>
  </si>
  <si>
    <t>A1(1)-</t>
  </si>
  <si>
    <t>4-</t>
  </si>
  <si>
    <t>5-</t>
  </si>
  <si>
    <t>D1(2)-</t>
  </si>
  <si>
    <t>3-</t>
  </si>
  <si>
    <t>6-</t>
  </si>
  <si>
    <t>A2(12)-</t>
  </si>
  <si>
    <t>9-</t>
  </si>
  <si>
    <t>8-</t>
  </si>
  <si>
    <t>D2(11)-</t>
  </si>
  <si>
    <t>10-</t>
  </si>
  <si>
    <t>7-</t>
  </si>
  <si>
    <t>A3(13)-</t>
  </si>
  <si>
    <t>16-</t>
  </si>
  <si>
    <t>17-</t>
  </si>
  <si>
    <t>D3(14)-</t>
  </si>
  <si>
    <t>15-</t>
  </si>
  <si>
    <t>18-</t>
  </si>
  <si>
    <t>21-</t>
  </si>
  <si>
    <t>20-</t>
  </si>
  <si>
    <t>22-</t>
  </si>
  <si>
    <t>19-</t>
  </si>
  <si>
    <t>M (19th-22nd)</t>
  </si>
  <si>
    <t>1v4, 2v3</t>
  </si>
  <si>
    <t>L/L, W/W</t>
  </si>
  <si>
    <t>G bracket G1,G2</t>
  </si>
  <si>
    <t>H bracket H1,H2</t>
  </si>
  <si>
    <t>W/L M1/M4</t>
  </si>
  <si>
    <t>W/L M2/M3</t>
  </si>
  <si>
    <t>21st</t>
  </si>
  <si>
    <t>19th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</si>
</sst>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d\-mmm;@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name val="Arial Narrow"/>
      <family val="2"/>
    </font>
    <font>
      <b/>
      <u/>
      <sz val="14"/>
      <color rgb="FFFF0000"/>
      <name val="Arial Narrow"/>
      <family val="2"/>
    </font>
    <font>
      <b/>
      <sz val="14"/>
      <name val="Arial Narrow"/>
      <family val="2"/>
    </font>
    <font>
      <sz val="14"/>
      <color theme="1"/>
      <name val="Arial Narrow"/>
      <family val="2"/>
    </font>
    <font>
      <b/>
      <u/>
      <sz val="14"/>
      <color theme="0"/>
      <name val="Arial Narrow"/>
      <family val="2"/>
    </font>
    <font>
      <b/>
      <sz val="14"/>
      <color theme="1"/>
      <name val="Arial Narrow"/>
      <family val="2"/>
    </font>
    <font>
      <b/>
      <sz val="14"/>
      <color rgb="FFFF0000"/>
      <name val="Arial Narrow"/>
      <family val="2"/>
    </font>
    <font>
      <sz val="10"/>
      <name val="Verdana"/>
      <family val="2"/>
    </font>
    <font>
      <b/>
      <sz val="14"/>
      <color rgb="FF7030A0"/>
      <name val="Arial Narrow"/>
      <family val="2"/>
    </font>
    <font>
      <b/>
      <sz val="14"/>
      <color rgb="FFC00000"/>
      <name val="Arial Narrow"/>
      <family val="2"/>
    </font>
    <font>
      <b/>
      <u/>
      <sz val="14"/>
      <color theme="1"/>
      <name val="Arial Narrow"/>
      <family val="2"/>
    </font>
    <font>
      <b/>
      <sz val="14"/>
      <color theme="0"/>
      <name val="Arial Narrow"/>
      <family val="2"/>
    </font>
    <font>
      <b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rgb="FF000000"/>
      <name val="Arial Narrow"/>
      <family val="2"/>
    </font>
    <font>
      <b/>
      <u/>
      <sz val="14"/>
      <color rgb="FFE53358"/>
      <name val="Arial Narrow"/>
      <family val="2"/>
    </font>
    <font>
      <b/>
      <sz val="14"/>
      <color rgb="FF000000"/>
      <name val="Arial Narrow"/>
      <family val="2"/>
    </font>
    <font>
      <b/>
      <sz val="14"/>
      <color rgb="FFFF0000"/>
      <name val="Aptos Narrow"/>
      <family val="2"/>
      <scheme val="minor"/>
    </font>
    <font>
      <b/>
      <sz val="14"/>
      <color rgb="FFFFFF00"/>
      <name val="Arial Narrow"/>
      <family val="2"/>
    </font>
    <font>
      <sz val="14"/>
      <color theme="1"/>
      <name val="Aptos Narrow"/>
      <family val="2"/>
      <scheme val="minor"/>
    </font>
    <font>
      <b/>
      <i/>
      <sz val="14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CAFC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C769E"/>
        <bgColor indexed="64"/>
      </patternFill>
    </fill>
    <fill>
      <patternFill patternType="solid">
        <fgColor rgb="FFA597FB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BC9F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lightGrid">
        <bgColor theme="8" tint="0.7999511703848384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10" fillId="0" borderId="0"/>
    <xf numFmtId="0" fontId="10" fillId="0" borderId="0"/>
  </cellStyleXfs>
  <cellXfs count="1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2" applyFont="1" applyBorder="1"/>
    <xf numFmtId="0" fontId="7" fillId="3" borderId="0" xfId="1" applyFont="1" applyFill="1" applyAlignment="1">
      <alignment horizont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2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5" fillId="6" borderId="1" xfId="2" applyNumberFormat="1" applyFont="1" applyFill="1" applyBorder="1" applyAlignment="1">
      <alignment horizontal="center" vertical="center"/>
    </xf>
    <xf numFmtId="18" fontId="5" fillId="6" borderId="1" xfId="2" applyNumberFormat="1" applyFont="1" applyFill="1" applyBorder="1" applyAlignment="1">
      <alignment horizontal="center" vertical="center"/>
    </xf>
    <xf numFmtId="164" fontId="5" fillId="6" borderId="1" xfId="2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5" fontId="5" fillId="7" borderId="1" xfId="2" applyNumberFormat="1" applyFont="1" applyFill="1" applyBorder="1" applyAlignment="1">
      <alignment horizontal="center" vertical="center"/>
    </xf>
    <xf numFmtId="18" fontId="5" fillId="7" borderId="1" xfId="2" applyNumberFormat="1" applyFont="1" applyFill="1" applyBorder="1" applyAlignment="1">
      <alignment horizontal="center" vertical="center"/>
    </xf>
    <xf numFmtId="164" fontId="5" fillId="7" borderId="1" xfId="2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4" applyFont="1" applyFill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18" fontId="5" fillId="0" borderId="1" xfId="2" applyNumberFormat="1" applyFont="1" applyBorder="1" applyAlignment="1">
      <alignment horizontal="center" vertical="center"/>
    </xf>
    <xf numFmtId="165" fontId="5" fillId="8" borderId="1" xfId="2" applyNumberFormat="1" applyFont="1" applyFill="1" applyBorder="1" applyAlignment="1">
      <alignment horizontal="center" vertical="center"/>
    </xf>
    <xf numFmtId="18" fontId="5" fillId="8" borderId="1" xfId="2" applyNumberFormat="1" applyFont="1" applyFill="1" applyBorder="1" applyAlignment="1">
      <alignment horizontal="center" vertical="center"/>
    </xf>
    <xf numFmtId="0" fontId="5" fillId="8" borderId="1" xfId="4" applyFont="1" applyFill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5" fillId="6" borderId="1" xfId="4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16" fontId="5" fillId="7" borderId="1" xfId="2" applyNumberFormat="1" applyFont="1" applyFill="1" applyBorder="1" applyAlignment="1">
      <alignment horizontal="center" vertical="center"/>
    </xf>
    <xf numFmtId="18" fontId="8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9" borderId="1" xfId="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14" fillId="12" borderId="1" xfId="2" applyNumberFormat="1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horizontal="center"/>
    </xf>
    <xf numFmtId="18" fontId="5" fillId="13" borderId="1" xfId="0" applyNumberFormat="1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164" fontId="5" fillId="0" borderId="1" xfId="2" applyNumberFormat="1" applyFont="1" applyBorder="1" applyAlignment="1">
      <alignment horizontal="center" vertical="center"/>
    </xf>
    <xf numFmtId="165" fontId="14" fillId="12" borderId="1" xfId="2" applyNumberFormat="1" applyFont="1" applyFill="1" applyBorder="1" applyAlignment="1">
      <alignment horizontal="center" vertical="center"/>
    </xf>
    <xf numFmtId="164" fontId="14" fillId="14" borderId="1" xfId="2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164" fontId="14" fillId="12" borderId="1" xfId="4" applyNumberFormat="1" applyFont="1" applyFill="1" applyBorder="1" applyAlignment="1">
      <alignment horizontal="center" vertical="center"/>
    </xf>
    <xf numFmtId="0" fontId="14" fillId="12" borderId="1" xfId="4" applyFont="1" applyFill="1" applyBorder="1" applyAlignment="1">
      <alignment horizontal="center" vertical="center"/>
    </xf>
    <xf numFmtId="0" fontId="14" fillId="12" borderId="1" xfId="2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16" fontId="5" fillId="15" borderId="1" xfId="0" applyNumberFormat="1" applyFont="1" applyFill="1" applyBorder="1" applyAlignment="1">
      <alignment horizontal="center" vertical="center"/>
    </xf>
    <xf numFmtId="18" fontId="5" fillId="15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" fontId="5" fillId="0" borderId="1" xfId="2" applyNumberFormat="1" applyFont="1" applyBorder="1" applyAlignment="1">
      <alignment horizontal="center" vertical="center"/>
    </xf>
    <xf numFmtId="16" fontId="5" fillId="8" borderId="1" xfId="2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8" fontId="17" fillId="0" borderId="1" xfId="0" applyNumberFormat="1" applyFont="1" applyBorder="1" applyAlignment="1">
      <alignment horizontal="center" vertical="center"/>
    </xf>
    <xf numFmtId="18" fontId="17" fillId="0" borderId="1" xfId="0" applyNumberFormat="1" applyFont="1" applyBorder="1" applyAlignment="1">
      <alignment horizontal="right" vertical="center"/>
    </xf>
    <xf numFmtId="0" fontId="18" fillId="0" borderId="1" xfId="2" applyFont="1" applyBorder="1" applyAlignment="1">
      <alignment horizontal="center" vertical="center"/>
    </xf>
    <xf numFmtId="18" fontId="18" fillId="0" borderId="1" xfId="2" applyNumberFormat="1" applyFont="1" applyBorder="1" applyAlignment="1">
      <alignment horizontal="center" vertical="center"/>
    </xf>
    <xf numFmtId="0" fontId="19" fillId="2" borderId="1" xfId="2" applyFont="1" applyFill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0" fontId="20" fillId="0" borderId="3" xfId="2" applyFont="1" applyBorder="1" applyAlignment="1">
      <alignment horizontal="center"/>
    </xf>
    <xf numFmtId="164" fontId="3" fillId="0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8" fontId="17" fillId="8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8" fontId="17" fillId="16" borderId="1" xfId="0" applyNumberFormat="1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16" fontId="20" fillId="17" borderId="1" xfId="2" applyNumberFormat="1" applyFont="1" applyFill="1" applyBorder="1" applyAlignment="1">
      <alignment horizontal="center" vertical="center"/>
    </xf>
    <xf numFmtId="18" fontId="20" fillId="17" borderId="1" xfId="2" applyNumberFormat="1" applyFont="1" applyFill="1" applyBorder="1" applyAlignment="1">
      <alignment horizontal="center" vertical="center"/>
    </xf>
    <xf numFmtId="0" fontId="20" fillId="17" borderId="1" xfId="2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3" fillId="6" borderId="1" xfId="2" applyFont="1" applyFill="1" applyBorder="1" applyAlignment="1">
      <alignment horizontal="center" vertical="center"/>
    </xf>
    <xf numFmtId="0" fontId="3" fillId="7" borderId="1" xfId="2" applyFont="1" applyFill="1" applyBorder="1" applyAlignment="1">
      <alignment horizontal="center" vertical="center"/>
    </xf>
    <xf numFmtId="0" fontId="3" fillId="9" borderId="1" xfId="2" applyFont="1" applyFill="1" applyBorder="1" applyAlignment="1">
      <alignment horizontal="center" vertical="center"/>
    </xf>
    <xf numFmtId="0" fontId="3" fillId="10" borderId="1" xfId="2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7" fillId="12" borderId="1" xfId="2" applyNumberFormat="1" applyFont="1" applyFill="1" applyBorder="1" applyAlignment="1">
      <alignment horizontal="center" vertical="center"/>
    </xf>
    <xf numFmtId="0" fontId="5" fillId="18" borderId="1" xfId="2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18" fontId="5" fillId="18" borderId="1" xfId="2" applyNumberFormat="1" applyFont="1" applyFill="1" applyBorder="1" applyAlignment="1">
      <alignment horizontal="center" vertical="center"/>
    </xf>
    <xf numFmtId="16" fontId="5" fillId="18" borderId="1" xfId="2" applyNumberFormat="1" applyFont="1" applyFill="1" applyBorder="1" applyAlignment="1">
      <alignment horizontal="center" vertical="center"/>
    </xf>
    <xf numFmtId="18" fontId="8" fillId="18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19" borderId="1" xfId="2" applyFont="1" applyFill="1" applyBorder="1" applyAlignment="1">
      <alignment horizontal="center" vertical="center"/>
    </xf>
    <xf numFmtId="18" fontId="17" fillId="20" borderId="1" xfId="0" applyNumberFormat="1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" fillId="19" borderId="1" xfId="2" applyFont="1" applyFill="1" applyBorder="1" applyAlignment="1">
      <alignment horizontal="center" vertical="center"/>
    </xf>
    <xf numFmtId="18" fontId="5" fillId="19" borderId="1" xfId="2" applyNumberFormat="1" applyFont="1" applyFill="1" applyBorder="1" applyAlignment="1">
      <alignment horizontal="center" vertical="center"/>
    </xf>
    <xf numFmtId="165" fontId="5" fillId="19" borderId="1" xfId="2" applyNumberFormat="1" applyFont="1" applyFill="1" applyBorder="1" applyAlignment="1">
      <alignment horizontal="center" vertical="center"/>
    </xf>
    <xf numFmtId="16" fontId="5" fillId="19" borderId="1" xfId="2" applyNumberFormat="1" applyFont="1" applyFill="1" applyBorder="1" applyAlignment="1">
      <alignment horizontal="center" vertical="center"/>
    </xf>
    <xf numFmtId="18" fontId="5" fillId="19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8" fontId="5" fillId="2" borderId="1" xfId="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164" fontId="9" fillId="12" borderId="1" xfId="4" applyNumberFormat="1" applyFont="1" applyFill="1" applyBorder="1" applyAlignment="1">
      <alignment horizontal="center" vertical="center"/>
    </xf>
    <xf numFmtId="164" fontId="9" fillId="12" borderId="1" xfId="2" applyNumberFormat="1" applyFont="1" applyFill="1" applyBorder="1" applyAlignment="1">
      <alignment horizontal="center" vertical="center"/>
    </xf>
  </cellXfs>
  <cellStyles count="6">
    <cellStyle name="Hyperlink" xfId="1" builtinId="8"/>
    <cellStyle name="Hyperlink 2" xfId="3" xr:uid="{E2EC6AB5-408A-409D-9D1B-C3F64F8E60E6}"/>
    <cellStyle name="Normal" xfId="0" builtinId="0"/>
    <cellStyle name="Normal 2 2 2 2 2" xfId="2" xr:uid="{9E8839B8-1868-4A1B-877B-465C69FA1847}"/>
    <cellStyle name="Normal 2 6" xfId="4" xr:uid="{52CF905E-CAE2-4B0F-A270-F5127FD8A05D}"/>
    <cellStyle name="Normal 3" xfId="5" xr:uid="{3464426F-0281-4153-997E-C1B7A57589D8}"/>
  </cellStyles>
  <dxfs count="0"/>
  <tableStyles count="0" defaultTableStyle="TableStyleMedium2" defaultPivotStyle="PivotStyleLight16"/>
  <colors>
    <mruColors>
      <color rgb="FF7BC9F9"/>
      <color rgb="FFA59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025_NEWPORTSPRINGINVITE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025_NEWPORTSPRINGINVITE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025_NEWPORTSPRINGINVITE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025_NEWPORTSPRINGINVITE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025_NEWPORTSPRINGINVITE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D129-9E24-4BA0-BBA0-293551230850}">
  <sheetPr>
    <pageSetUpPr fitToPage="1"/>
  </sheetPr>
  <dimension ref="A1:J111"/>
  <sheetViews>
    <sheetView topLeftCell="A31" workbookViewId="0">
      <selection activeCell="E11" sqref="E11"/>
    </sheetView>
  </sheetViews>
  <sheetFormatPr defaultColWidth="8.7109375" defaultRowHeight="18.600000000000001"/>
  <cols>
    <col min="1" max="1" width="11" style="115" customWidth="1"/>
    <col min="2" max="2" width="16.28515625" style="115" customWidth="1"/>
    <col min="3" max="3" width="23.85546875" style="115" customWidth="1"/>
    <col min="4" max="4" width="14.85546875" style="115" customWidth="1"/>
    <col min="5" max="5" width="41.28515625" style="115" customWidth="1"/>
    <col min="6" max="6" width="6.140625" style="115" customWidth="1"/>
    <col min="7" max="7" width="38.28515625" style="115" customWidth="1"/>
    <col min="8" max="8" width="7.5703125" style="115" customWidth="1"/>
    <col min="9" max="9" width="29.140625" style="115" customWidth="1"/>
    <col min="10" max="10" width="26" style="115" customWidth="1"/>
    <col min="11" max="16384" width="8.7109375" style="115"/>
  </cols>
  <sheetData>
    <row r="1" spans="1:10">
      <c r="A1" s="1" t="str">
        <f>'16U BOYS GOLD-9 TEAMS'!A13</f>
        <v>DATE</v>
      </c>
      <c r="B1" s="17" t="str">
        <f>'16U BOYS GOLD-9 TEAMS'!B13</f>
        <v>TIME</v>
      </c>
      <c r="C1" s="1" t="str">
        <f>'16U BOYS GOLD-9 TEAMS'!C13&amp;""</f>
        <v>LOCATION</v>
      </c>
      <c r="D1" s="1" t="str">
        <f>'16U BOYS GOLD-9 TEAMS'!D13&amp;""</f>
        <v>GAME ID</v>
      </c>
      <c r="E1" s="1" t="str">
        <f>'16U BOYS GOLD-9 TEAMS'!E13&amp;""</f>
        <v>WHITE TEAM</v>
      </c>
      <c r="F1" s="1" t="str">
        <f>'16U BOYS GOLD-9 TEAMS'!F13&amp;""</f>
        <v>S</v>
      </c>
      <c r="G1" s="1" t="str">
        <f>'16U BOYS GOLD-9 TEAMS'!G13&amp;""</f>
        <v>DARK TEAM</v>
      </c>
      <c r="H1" s="1" t="str">
        <f>'16U BOYS GOLD-9 TEAMS'!H13&amp;""</f>
        <v>S</v>
      </c>
      <c r="I1" s="1" t="str">
        <f>'16U BOYS GOLD-9 TEAMS'!I13&amp;""</f>
        <v>COMMENTS</v>
      </c>
      <c r="J1" s="1" t="str">
        <f>'16U BOYS GOLD-9 TEAMS'!J13&amp;""</f>
        <v>DIVISION</v>
      </c>
    </row>
    <row r="2" spans="1:10">
      <c r="A2" s="62">
        <f>'16U BOYS GOLD-9 TEAMS'!A14</f>
        <v>45724</v>
      </c>
      <c r="B2" s="63">
        <f>'16U BOYS GOLD-9 TEAMS'!B14</f>
        <v>0.39583333333333331</v>
      </c>
      <c r="C2" s="63" t="str">
        <f>'16U BOYS GOLD-9 TEAMS'!C14&amp;""</f>
        <v>COSTA MESA HS</v>
      </c>
      <c r="D2" s="64" t="str">
        <f>'16U BOYS GOLD-9 TEAMS'!D14&amp;""</f>
        <v>16Bau01</v>
      </c>
      <c r="E2" s="64" t="str">
        <f>'16U BOYS GOLD-9 TEAMS'!E14&amp;""</f>
        <v>A1-SAN FRANCISCO</v>
      </c>
      <c r="F2" s="64" t="str">
        <f>'16U BOYS GOLD-9 TEAMS'!F14&amp;""</f>
        <v>17</v>
      </c>
      <c r="G2" s="64" t="str">
        <f>'16U BOYS GOLD-9 TEAMS'!G14&amp;""</f>
        <v>A3-FOOTHILL BLACK</v>
      </c>
      <c r="H2" s="64" t="str">
        <f>'16U BOYS GOLD-9 TEAMS'!H14&amp;""</f>
        <v>1</v>
      </c>
      <c r="I2" s="64" t="str">
        <f>'16U BOYS GOLD-9 TEAMS'!I14&amp;""</f>
        <v>A bracket A1,A3</v>
      </c>
      <c r="J2" s="64" t="str">
        <f>'16U BOYS GOLD-9 TEAMS'!J14&amp;""</f>
        <v>16U_BOYS_GOLD</v>
      </c>
    </row>
    <row r="3" spans="1:10">
      <c r="A3" s="62">
        <f>'16U BOYS GOLD-9 TEAMS'!A15</f>
        <v>45724</v>
      </c>
      <c r="B3" s="63">
        <f>'16U BOYS GOLD-9 TEAMS'!B15</f>
        <v>0.4375</v>
      </c>
      <c r="C3" s="63" t="str">
        <f>'16U BOYS GOLD-9 TEAMS'!C15&amp;""</f>
        <v>COSTA MESA HS</v>
      </c>
      <c r="D3" s="64" t="str">
        <f>'16U BOYS GOLD-9 TEAMS'!D15&amp;""</f>
        <v>16Bau02</v>
      </c>
      <c r="E3" s="64" t="str">
        <f>'16U BOYS GOLD-9 TEAMS'!E15&amp;""</f>
        <v>B1-LA PREMIER</v>
      </c>
      <c r="F3" s="64" t="str">
        <f>'16U BOYS GOLD-9 TEAMS'!F15&amp;""</f>
        <v>15</v>
      </c>
      <c r="G3" s="64" t="str">
        <f>'16U BOYS GOLD-9 TEAMS'!G15&amp;""</f>
        <v>B3-OCWP RED</v>
      </c>
      <c r="H3" s="64" t="str">
        <f>'16U BOYS GOLD-9 TEAMS'!H15&amp;""</f>
        <v>9</v>
      </c>
      <c r="I3" s="64" t="str">
        <f>'16U BOYS GOLD-9 TEAMS'!I15&amp;""</f>
        <v>B bracket B1,B3</v>
      </c>
      <c r="J3" s="64" t="str">
        <f>'16U BOYS GOLD-9 TEAMS'!J15&amp;""</f>
        <v>16U_BOYS_GOLD</v>
      </c>
    </row>
    <row r="4" spans="1:10">
      <c r="A4" s="62">
        <f>'16U BOYS GOLD-9 TEAMS'!A16</f>
        <v>45724</v>
      </c>
      <c r="B4" s="63">
        <f>'16U BOYS GOLD-9 TEAMS'!B16</f>
        <v>0.47916666666666702</v>
      </c>
      <c r="C4" s="63" t="str">
        <f>'16U BOYS GOLD-9 TEAMS'!C16&amp;""</f>
        <v>COSTA MESA HS</v>
      </c>
      <c r="D4" s="64" t="str">
        <f>'16U BOYS GOLD-9 TEAMS'!D16&amp;""</f>
        <v>16Bau03</v>
      </c>
      <c r="E4" s="64" t="str">
        <f>'16U BOYS GOLD-9 TEAMS'!E16&amp;""</f>
        <v>C1-TROJAN</v>
      </c>
      <c r="F4" s="64" t="str">
        <f>'16U BOYS GOLD-9 TEAMS'!F16&amp;""</f>
        <v>2</v>
      </c>
      <c r="G4" s="64" t="str">
        <f>'16U BOYS GOLD-9 TEAMS'!G16&amp;""</f>
        <v>C2-CC UNITED BLUE</v>
      </c>
      <c r="H4" s="64" t="str">
        <f>'16U BOYS GOLD-9 TEAMS'!H16&amp;""</f>
        <v>9</v>
      </c>
      <c r="I4" s="64" t="str">
        <f>'16U BOYS GOLD-9 TEAMS'!I16&amp;""</f>
        <v>C bracket C1,C2</v>
      </c>
      <c r="J4" s="64" t="str">
        <f>'16U BOYS GOLD-9 TEAMS'!J16&amp;""</f>
        <v>16U_BOYS_GOLD</v>
      </c>
    </row>
    <row r="5" spans="1:10">
      <c r="A5" s="62">
        <f>'16U BOYS GOLD-9 TEAMS'!A17</f>
        <v>45724</v>
      </c>
      <c r="B5" s="63">
        <f>'16U BOYS GOLD-9 TEAMS'!B17</f>
        <v>0.52083333333333304</v>
      </c>
      <c r="C5" s="63" t="str">
        <f>'16U BOYS GOLD-9 TEAMS'!C17&amp;""</f>
        <v>COSTA MESA HS</v>
      </c>
      <c r="D5" s="64" t="str">
        <f>'16U BOYS GOLD-9 TEAMS'!D17&amp;""</f>
        <v>16Bau04</v>
      </c>
      <c r="E5" s="64" t="str">
        <f>'16U BOYS GOLD-9 TEAMS'!E17&amp;""</f>
        <v>A2-MISSION B</v>
      </c>
      <c r="F5" s="64" t="str">
        <f>'16U BOYS GOLD-9 TEAMS'!F17&amp;""</f>
        <v>14</v>
      </c>
      <c r="G5" s="64" t="str">
        <f>'16U BOYS GOLD-9 TEAMS'!G17&amp;""</f>
        <v>A3-FOOTHILL BLACK</v>
      </c>
      <c r="H5" s="64" t="str">
        <f>'16U BOYS GOLD-9 TEAMS'!H17&amp;""</f>
        <v>5</v>
      </c>
      <c r="I5" s="64" t="str">
        <f>'16U BOYS GOLD-9 TEAMS'!I17&amp;""</f>
        <v>A bracket A2,A3</v>
      </c>
      <c r="J5" s="64" t="str">
        <f>'16U BOYS GOLD-9 TEAMS'!J17&amp;""</f>
        <v>16U_BOYS_GOLD</v>
      </c>
    </row>
    <row r="6" spans="1:10">
      <c r="A6" s="62">
        <f>'16U BOYS GOLD-9 TEAMS'!A18</f>
        <v>45724</v>
      </c>
      <c r="B6" s="63">
        <f>'16U BOYS GOLD-9 TEAMS'!B18</f>
        <v>0.5625</v>
      </c>
      <c r="C6" s="63" t="str">
        <f>'16U BOYS GOLD-9 TEAMS'!C18&amp;""</f>
        <v>COSTA MESA HS</v>
      </c>
      <c r="D6" s="64" t="str">
        <f>'16U BOYS GOLD-9 TEAMS'!D18&amp;""</f>
        <v>16Bau05</v>
      </c>
      <c r="E6" s="64" t="str">
        <f>'16U BOYS GOLD-9 TEAMS'!E18&amp;""</f>
        <v>B1-LA PREMIER</v>
      </c>
      <c r="F6" s="64" t="str">
        <f>'16U BOYS GOLD-9 TEAMS'!F18&amp;""</f>
        <v>14</v>
      </c>
      <c r="G6" s="64" t="str">
        <f>'16U BOYS GOLD-9 TEAMS'!G18&amp;""</f>
        <v>B2-PEGASUS WP</v>
      </c>
      <c r="H6" s="64" t="str">
        <f>'16U BOYS GOLD-9 TEAMS'!H18&amp;""</f>
        <v>10</v>
      </c>
      <c r="I6" s="64" t="str">
        <f>'16U BOYS GOLD-9 TEAMS'!I18&amp;""</f>
        <v>B bracket B1,B2</v>
      </c>
      <c r="J6" s="64" t="str">
        <f>'16U BOYS GOLD-9 TEAMS'!J18&amp;""</f>
        <v>16U_BOYS_GOLD</v>
      </c>
    </row>
    <row r="7" spans="1:10">
      <c r="A7" s="62">
        <f>'16U BOYS GOLD-9 TEAMS'!A19</f>
        <v>45724</v>
      </c>
      <c r="B7" s="63">
        <f>'16U BOYS GOLD-9 TEAMS'!B19</f>
        <v>0.60416666666666696</v>
      </c>
      <c r="C7" s="63" t="str">
        <f>'16U BOYS GOLD-9 TEAMS'!C19&amp;""</f>
        <v>COSTA MESA HS</v>
      </c>
      <c r="D7" s="64" t="str">
        <f>'16U BOYS GOLD-9 TEAMS'!D19&amp;""</f>
        <v>16Bau06</v>
      </c>
      <c r="E7" s="64" t="str">
        <f>'16U BOYS GOLD-9 TEAMS'!E19&amp;""</f>
        <v>C2-CC UNITED BLUE</v>
      </c>
      <c r="F7" s="64" t="str">
        <f>'16U BOYS GOLD-9 TEAMS'!F19&amp;""</f>
        <v>10</v>
      </c>
      <c r="G7" s="64" t="str">
        <f>'16U BOYS GOLD-9 TEAMS'!G19&amp;""</f>
        <v>C3-SD SHORES GOLD</v>
      </c>
      <c r="H7" s="64" t="str">
        <f>'16U BOYS GOLD-9 TEAMS'!H19&amp;""</f>
        <v>8</v>
      </c>
      <c r="I7" s="64" t="str">
        <f>'16U BOYS GOLD-9 TEAMS'!I19&amp;""</f>
        <v>C bracket C2,C3</v>
      </c>
      <c r="J7" s="64" t="str">
        <f>'16U BOYS GOLD-9 TEAMS'!J19&amp;""</f>
        <v>16U_BOYS_GOLD</v>
      </c>
    </row>
    <row r="8" spans="1:10">
      <c r="A8" s="62">
        <f>'16U BOYS GOLD-9 TEAMS'!A20</f>
        <v>45724</v>
      </c>
      <c r="B8" s="63">
        <f>'16U BOYS GOLD-9 TEAMS'!B20</f>
        <v>0.64583333333333304</v>
      </c>
      <c r="C8" s="63" t="str">
        <f>'16U BOYS GOLD-9 TEAMS'!C20&amp;""</f>
        <v>COSTA MESA HS</v>
      </c>
      <c r="D8" s="64" t="str">
        <f>'16U BOYS GOLD-9 TEAMS'!D20&amp;""</f>
        <v>16Bau07</v>
      </c>
      <c r="E8" s="64" t="str">
        <f>'16U BOYS GOLD-9 TEAMS'!E20&amp;""</f>
        <v>A1-SAN FRANCISCO</v>
      </c>
      <c r="F8" s="64" t="str">
        <f>'16U BOYS GOLD-9 TEAMS'!F20&amp;""</f>
        <v>12</v>
      </c>
      <c r="G8" s="64" t="str">
        <f>'16U BOYS GOLD-9 TEAMS'!G20&amp;""</f>
        <v>A2-MISSION B</v>
      </c>
      <c r="H8" s="64" t="str">
        <f>'16U BOYS GOLD-9 TEAMS'!H20&amp;""</f>
        <v>6</v>
      </c>
      <c r="I8" s="64" t="str">
        <f>'16U BOYS GOLD-9 TEAMS'!I20&amp;""</f>
        <v>A bracket A1,A2</v>
      </c>
      <c r="J8" s="64" t="str">
        <f>'16U BOYS GOLD-9 TEAMS'!J20&amp;""</f>
        <v>16U_BOYS_GOLD</v>
      </c>
    </row>
    <row r="9" spans="1:10">
      <c r="A9" s="62">
        <f>'16U BOYS GOLD-9 TEAMS'!A21</f>
        <v>45724</v>
      </c>
      <c r="B9" s="63">
        <f>'16U BOYS GOLD-9 TEAMS'!B21</f>
        <v>0.6875</v>
      </c>
      <c r="C9" s="63" t="str">
        <f>'16U BOYS GOLD-9 TEAMS'!C21&amp;""</f>
        <v>COSTA MESA HS</v>
      </c>
      <c r="D9" s="64" t="str">
        <f>'16U BOYS GOLD-9 TEAMS'!D21&amp;""</f>
        <v>16Bau08</v>
      </c>
      <c r="E9" s="64" t="str">
        <f>'16U BOYS GOLD-9 TEAMS'!E21&amp;""</f>
        <v>B2-PEGASUS WP</v>
      </c>
      <c r="F9" s="64" t="str">
        <f>'16U BOYS GOLD-9 TEAMS'!F21&amp;""</f>
        <v>9</v>
      </c>
      <c r="G9" s="64" t="str">
        <f>'16U BOYS GOLD-9 TEAMS'!G21&amp;""</f>
        <v>B3-OCWP RED</v>
      </c>
      <c r="H9" s="64" t="str">
        <f>'16U BOYS GOLD-9 TEAMS'!H21&amp;""</f>
        <v>4</v>
      </c>
      <c r="I9" s="64" t="str">
        <f>'16U BOYS GOLD-9 TEAMS'!I21&amp;""</f>
        <v>B bracket B2,B3</v>
      </c>
      <c r="J9" s="64" t="str">
        <f>'16U BOYS GOLD-9 TEAMS'!J21&amp;""</f>
        <v>16U_BOYS_GOLD</v>
      </c>
    </row>
    <row r="10" spans="1:10">
      <c r="A10" s="62">
        <f>'16U BOYS GOLD-9 TEAMS'!A22</f>
        <v>45724</v>
      </c>
      <c r="B10" s="63">
        <f>'16U BOYS GOLD-9 TEAMS'!B22</f>
        <v>0.72916666666666696</v>
      </c>
      <c r="C10" s="63" t="str">
        <f>'16U BOYS GOLD-9 TEAMS'!C22&amp;""</f>
        <v>COSTA MESA HS</v>
      </c>
      <c r="D10" s="64" t="str">
        <f>'16U BOYS GOLD-9 TEAMS'!D22&amp;""</f>
        <v>16Bau09</v>
      </c>
      <c r="E10" s="64" t="str">
        <f>'16U BOYS GOLD-9 TEAMS'!E22&amp;""</f>
        <v>C1-TROJAN</v>
      </c>
      <c r="F10" s="64" t="str">
        <f>'16U BOYS GOLD-9 TEAMS'!F22&amp;""</f>
        <v>5</v>
      </c>
      <c r="G10" s="64" t="str">
        <f>'16U BOYS GOLD-9 TEAMS'!G22&amp;""</f>
        <v>C3-SD SHORES GOLD</v>
      </c>
      <c r="H10" s="64" t="str">
        <f>'16U BOYS GOLD-9 TEAMS'!H22&amp;""</f>
        <v>10</v>
      </c>
      <c r="I10" s="64" t="str">
        <f>'16U BOYS GOLD-9 TEAMS'!I22&amp;""</f>
        <v>C bracket C1,C3</v>
      </c>
      <c r="J10" s="64" t="str">
        <f>'16U BOYS GOLD-9 TEAMS'!J22&amp;""</f>
        <v>16U_BOYS_GOLD</v>
      </c>
    </row>
    <row r="11" spans="1:10">
      <c r="A11" s="62">
        <f>'16U BOYS GOLD-9 TEAMS'!A26</f>
        <v>45725</v>
      </c>
      <c r="B11" s="63">
        <f>'16U BOYS GOLD-9 TEAMS'!B26</f>
        <v>0.33333333333333331</v>
      </c>
      <c r="C11" s="63" t="str">
        <f>'16U BOYS GOLD-9 TEAMS'!C26&amp;""</f>
        <v>COSTA MESA HS</v>
      </c>
      <c r="D11" s="64" t="str">
        <f>'16U BOYS GOLD-9 TEAMS'!D26&amp;""</f>
        <v>16Bau10</v>
      </c>
      <c r="E11" s="64" t="str">
        <f>'16U BOYS GOLD-9 TEAMS'!E26&amp;""</f>
        <v>D1(3rdA)-FOOTHILL BLACK</v>
      </c>
      <c r="F11" s="64" t="str">
        <f>'16U BOYS GOLD-9 TEAMS'!F26&amp;""</f>
        <v>5</v>
      </c>
      <c r="G11" s="64" t="str">
        <f>'16U BOYS GOLD-9 TEAMS'!G26&amp;""</f>
        <v>D3(3rdC)-TROJAN</v>
      </c>
      <c r="H11" s="64" t="str">
        <f>'16U BOYS GOLD-9 TEAMS'!H26&amp;""</f>
        <v>12</v>
      </c>
      <c r="I11" s="64" t="str">
        <f>'16U BOYS GOLD-9 TEAMS'!I26&amp;""</f>
        <v>D bracket (7th-9th) D1,D3</v>
      </c>
      <c r="J11" s="64" t="str">
        <f>'16U BOYS GOLD-9 TEAMS'!J26&amp;""</f>
        <v>16U_BOYS_GOLD</v>
      </c>
    </row>
    <row r="12" spans="1:10">
      <c r="A12" s="62">
        <f>'16U BOYS GOLD-9 TEAMS'!A27</f>
        <v>45725</v>
      </c>
      <c r="B12" s="63">
        <f>'16U BOYS GOLD-9 TEAMS'!B27</f>
        <v>0.375</v>
      </c>
      <c r="C12" s="63" t="str">
        <f>'16U BOYS GOLD-9 TEAMS'!C27&amp;""</f>
        <v>COSTA MESA HS</v>
      </c>
      <c r="D12" s="64" t="str">
        <f>'16U BOYS GOLD-9 TEAMS'!D27&amp;""</f>
        <v>16Bau12</v>
      </c>
      <c r="E12" s="64" t="str">
        <f>'16U BOYS GOLD-9 TEAMS'!E27&amp;""</f>
        <v>E1(2ndA)-MISSION B</v>
      </c>
      <c r="F12" s="64" t="str">
        <f>'16U BOYS GOLD-9 TEAMS'!F27&amp;""</f>
        <v>10</v>
      </c>
      <c r="G12" s="64" t="str">
        <f>'16U BOYS GOLD-9 TEAMS'!G27&amp;""</f>
        <v>E3(2ndC)-SD SHORES GOLD</v>
      </c>
      <c r="H12" s="64" t="str">
        <f>'16U BOYS GOLD-9 TEAMS'!H27&amp;""</f>
        <v>11</v>
      </c>
      <c r="I12" s="64" t="str">
        <f>'16U BOYS GOLD-9 TEAMS'!I27&amp;""</f>
        <v>E bracket (4th-6th) E1,E3</v>
      </c>
      <c r="J12" s="64" t="str">
        <f>'16U BOYS GOLD-9 TEAMS'!J27&amp;""</f>
        <v>16U_BOYS_GOLD</v>
      </c>
    </row>
    <row r="13" spans="1:10">
      <c r="A13" s="62">
        <f>'16U BOYS GOLD-9 TEAMS'!A28</f>
        <v>45725</v>
      </c>
      <c r="B13" s="63">
        <f>'16U BOYS GOLD-9 TEAMS'!B28</f>
        <v>0.41666666666666702</v>
      </c>
      <c r="C13" s="63" t="str">
        <f>'16U BOYS GOLD-9 TEAMS'!C28&amp;""</f>
        <v>COSTA MESA HS</v>
      </c>
      <c r="D13" s="64" t="str">
        <f>'16U BOYS GOLD-9 TEAMS'!D28&amp;""</f>
        <v>16Bau11</v>
      </c>
      <c r="E13" s="64" t="str">
        <f>'16U BOYS GOLD-9 TEAMS'!E28&amp;""</f>
        <v>F1(1stA)-SAN FRANCISCO</v>
      </c>
      <c r="F13" s="64" t="str">
        <f>'16U BOYS GOLD-9 TEAMS'!F28&amp;""</f>
        <v>4</v>
      </c>
      <c r="G13" s="64" t="str">
        <f>'16U BOYS GOLD-9 TEAMS'!G28&amp;""</f>
        <v>F3(1stC)-CC UNITED BLUE</v>
      </c>
      <c r="H13" s="64" t="str">
        <f>'16U BOYS GOLD-9 TEAMS'!H28&amp;""</f>
        <v>9</v>
      </c>
      <c r="I13" s="64" t="str">
        <f>'16U BOYS GOLD-9 TEAMS'!I28&amp;""</f>
        <v>F bracket (1st-3rd) F1,F3</v>
      </c>
      <c r="J13" s="64" t="str">
        <f>'16U BOYS GOLD-9 TEAMS'!J28&amp;""</f>
        <v>16U_BOYS_GOLD</v>
      </c>
    </row>
    <row r="14" spans="1:10">
      <c r="A14" s="62">
        <f>'16U BOYS GOLD-9 TEAMS'!A29</f>
        <v>45725</v>
      </c>
      <c r="B14" s="63">
        <f>'16U BOYS GOLD-9 TEAMS'!B29</f>
        <v>0.45833333333333298</v>
      </c>
      <c r="C14" s="63" t="str">
        <f>'16U BOYS GOLD-9 TEAMS'!C29&amp;""</f>
        <v>COSTA MESA HS</v>
      </c>
      <c r="D14" s="64" t="str">
        <f>'16U BOYS GOLD-9 TEAMS'!D29&amp;""</f>
        <v>16Bau13</v>
      </c>
      <c r="E14" s="64" t="str">
        <f>'16U BOYS GOLD-9 TEAMS'!E29&amp;""</f>
        <v>D2(3rdB)-OCWP RED</v>
      </c>
      <c r="F14" s="64" t="str">
        <f>'16U BOYS GOLD-9 TEAMS'!F29&amp;""</f>
        <v>7</v>
      </c>
      <c r="G14" s="64" t="str">
        <f>'16U BOYS GOLD-9 TEAMS'!G29&amp;""</f>
        <v>D3(3rdC)-TROJAN</v>
      </c>
      <c r="H14" s="64" t="str">
        <f>'16U BOYS GOLD-9 TEAMS'!H29&amp;""</f>
        <v>2</v>
      </c>
      <c r="I14" s="64" t="str">
        <f>'16U BOYS GOLD-9 TEAMS'!I29&amp;""</f>
        <v>D bracket (7th-9th) D2,D3</v>
      </c>
      <c r="J14" s="64" t="str">
        <f>'16U BOYS GOLD-9 TEAMS'!J29&amp;""</f>
        <v>16U_BOYS_GOLD</v>
      </c>
    </row>
    <row r="15" spans="1:10">
      <c r="A15" s="62">
        <f>'16U BOYS GOLD-9 TEAMS'!A30</f>
        <v>45725</v>
      </c>
      <c r="B15" s="63">
        <f>'16U BOYS GOLD-9 TEAMS'!B30</f>
        <v>0.5</v>
      </c>
      <c r="C15" s="63" t="str">
        <f>'16U BOYS GOLD-9 TEAMS'!C30&amp;""</f>
        <v>COSTA MESA HS</v>
      </c>
      <c r="D15" s="64" t="str">
        <f>'16U BOYS GOLD-9 TEAMS'!D30&amp;""</f>
        <v>16Bau14</v>
      </c>
      <c r="E15" s="64" t="str">
        <f>'16U BOYS GOLD-9 TEAMS'!E30&amp;""</f>
        <v>E2(2ndB)-PEGASUS</v>
      </c>
      <c r="F15" s="64" t="str">
        <f>'16U BOYS GOLD-9 TEAMS'!F30&amp;""</f>
        <v>7</v>
      </c>
      <c r="G15" s="64" t="str">
        <f>'16U BOYS GOLD-9 TEAMS'!G30&amp;""</f>
        <v>E3(2ndC)-SD SHORES GOLD</v>
      </c>
      <c r="H15" s="64" t="str">
        <f>'16U BOYS GOLD-9 TEAMS'!H30&amp;""</f>
        <v>17</v>
      </c>
      <c r="I15" s="64" t="str">
        <f>'16U BOYS GOLD-9 TEAMS'!I30&amp;""</f>
        <v>E bracket (4th-6th) E2,E3</v>
      </c>
      <c r="J15" s="64" t="str">
        <f>'16U BOYS GOLD-9 TEAMS'!J30&amp;""</f>
        <v>16U_BOYS_GOLD</v>
      </c>
    </row>
    <row r="16" spans="1:10">
      <c r="A16" s="62">
        <f>'16U BOYS GOLD-9 TEAMS'!A31</f>
        <v>45725</v>
      </c>
      <c r="B16" s="63">
        <f>'16U BOYS GOLD-9 TEAMS'!B31</f>
        <v>0.54166666666666696</v>
      </c>
      <c r="C16" s="63" t="str">
        <f>'16U BOYS GOLD-9 TEAMS'!C31&amp;""</f>
        <v>COSTA MESA HS</v>
      </c>
      <c r="D16" s="64" t="str">
        <f>'16U BOYS GOLD-9 TEAMS'!D31&amp;""</f>
        <v>16Bau15</v>
      </c>
      <c r="E16" s="64" t="str">
        <f>'16U BOYS GOLD-9 TEAMS'!E31&amp;""</f>
        <v>F2(1stB)-LA PREMIER</v>
      </c>
      <c r="F16" s="64" t="str">
        <f>'16U BOYS GOLD-9 TEAMS'!F31&amp;""</f>
        <v>11</v>
      </c>
      <c r="G16" s="64" t="str">
        <f>'16U BOYS GOLD-9 TEAMS'!G31&amp;""</f>
        <v>F3(1stC)-CC UNITED BLUE</v>
      </c>
      <c r="H16" s="64" t="str">
        <f>'16U BOYS GOLD-9 TEAMS'!H31&amp;""</f>
        <v>6</v>
      </c>
      <c r="I16" s="64" t="str">
        <f>'16U BOYS GOLD-9 TEAMS'!I31&amp;""</f>
        <v>F bracket (1st-3rd) F2,F3</v>
      </c>
      <c r="J16" s="64" t="str">
        <f>'16U BOYS GOLD-9 TEAMS'!J31&amp;""</f>
        <v>16U_BOYS_GOLD</v>
      </c>
    </row>
    <row r="17" spans="1:10">
      <c r="A17" s="62">
        <f>'16U BOYS GOLD-9 TEAMS'!A32</f>
        <v>45725</v>
      </c>
      <c r="B17" s="63">
        <f>'16U BOYS GOLD-9 TEAMS'!B32</f>
        <v>0.58333333333333304</v>
      </c>
      <c r="C17" s="63" t="str">
        <f>'16U BOYS GOLD-9 TEAMS'!C32&amp;""</f>
        <v>COSTA MESA HS</v>
      </c>
      <c r="D17" s="64" t="str">
        <f>'16U BOYS GOLD-9 TEAMS'!D32&amp;""</f>
        <v>16Bau16</v>
      </c>
      <c r="E17" s="64" t="str">
        <f>'16U BOYS GOLD-9 TEAMS'!E32&amp;""</f>
        <v>D1(3rdA)-FOOTHILL BLACK</v>
      </c>
      <c r="F17" s="64" t="str">
        <f>'16U BOYS GOLD-9 TEAMS'!F32&amp;""</f>
        <v>6</v>
      </c>
      <c r="G17" s="64" t="str">
        <f>'16U BOYS GOLD-9 TEAMS'!G32&amp;""</f>
        <v>D2(3rdB)-OCWP RED</v>
      </c>
      <c r="H17" s="64" t="str">
        <f>'16U BOYS GOLD-9 TEAMS'!H32&amp;""</f>
        <v>16</v>
      </c>
      <c r="I17" s="64" t="str">
        <f>'16U BOYS GOLD-9 TEAMS'!I32&amp;""</f>
        <v>D bracket (7th-9th) D1,D2</v>
      </c>
      <c r="J17" s="64" t="str">
        <f>'16U BOYS GOLD-9 TEAMS'!J32&amp;""</f>
        <v>16U_BOYS_GOLD</v>
      </c>
    </row>
    <row r="18" spans="1:10">
      <c r="A18" s="62">
        <f>'16U BOYS GOLD-9 TEAMS'!A33</f>
        <v>45725</v>
      </c>
      <c r="B18" s="63">
        <f>'16U BOYS GOLD-9 TEAMS'!B33</f>
        <v>0.625</v>
      </c>
      <c r="C18" s="63" t="str">
        <f>'16U BOYS GOLD-9 TEAMS'!C33&amp;""</f>
        <v>COSTA MESA HS</v>
      </c>
      <c r="D18" s="64" t="str">
        <f>'16U BOYS GOLD-9 TEAMS'!D33&amp;""</f>
        <v>16Bau17</v>
      </c>
      <c r="E18" s="64" t="str">
        <f>'16U BOYS GOLD-9 TEAMS'!E33&amp;""</f>
        <v>E1(2ndA)-MISSION B</v>
      </c>
      <c r="F18" s="64" t="str">
        <f>'16U BOYS GOLD-9 TEAMS'!F33&amp;""</f>
        <v>12</v>
      </c>
      <c r="G18" s="64" t="str">
        <f>'16U BOYS GOLD-9 TEAMS'!G33&amp;""</f>
        <v>E2(2ndB)-PEGASUS</v>
      </c>
      <c r="H18" s="64" t="str">
        <f>'16U BOYS GOLD-9 TEAMS'!H33&amp;""</f>
        <v>10</v>
      </c>
      <c r="I18" s="64" t="str">
        <f>'16U BOYS GOLD-9 TEAMS'!I33&amp;""</f>
        <v>E bracket (4th-6th) E1,E2</v>
      </c>
      <c r="J18" s="64" t="str">
        <f>'16U BOYS GOLD-9 TEAMS'!J33&amp;""</f>
        <v>16U_BOYS_GOLD</v>
      </c>
    </row>
    <row r="19" spans="1:10">
      <c r="A19" s="62">
        <f>'16U BOYS GOLD-9 TEAMS'!A34</f>
        <v>45725</v>
      </c>
      <c r="B19" s="63">
        <f>'16U BOYS GOLD-9 TEAMS'!B34</f>
        <v>0.66666666666666696</v>
      </c>
      <c r="C19" s="63" t="str">
        <f>'16U BOYS GOLD-9 TEAMS'!C34&amp;""</f>
        <v>COSTA MESA HS</v>
      </c>
      <c r="D19" s="64" t="str">
        <f>'16U BOYS GOLD-9 TEAMS'!D34&amp;""</f>
        <v>16Bau18</v>
      </c>
      <c r="E19" s="64" t="str">
        <f>'16U BOYS GOLD-9 TEAMS'!E34&amp;""</f>
        <v>F1(1stA)-SAN FRANCISCO</v>
      </c>
      <c r="F19" s="64" t="str">
        <f>'16U BOYS GOLD-9 TEAMS'!F34&amp;""</f>
        <v>9</v>
      </c>
      <c r="G19" s="64" t="str">
        <f>'16U BOYS GOLD-9 TEAMS'!G34&amp;""</f>
        <v>F2(1stB)-LA PREMIER</v>
      </c>
      <c r="H19" s="64" t="str">
        <f>'16U BOYS GOLD-9 TEAMS'!H34&amp;""</f>
        <v>15</v>
      </c>
      <c r="I19" s="64" t="str">
        <f>'16U BOYS GOLD-9 TEAMS'!I34&amp;""</f>
        <v>F bracket (1st-3rd) F1,F2</v>
      </c>
      <c r="J19" s="64" t="str">
        <f>'16U BOYS GOLD-9 TEAMS'!J34&amp;""</f>
        <v>16U_BOYS_GOLD</v>
      </c>
    </row>
    <row r="20" spans="1:10">
      <c r="A20" s="46">
        <f>'16U BOYS PLATINUM-19 TEAMS'!A24</f>
        <v>45724</v>
      </c>
      <c r="B20" s="47">
        <f>'16U BOYS PLATINUM-19 TEAMS'!B24</f>
        <v>0.33333333333333331</v>
      </c>
      <c r="C20" s="47" t="str">
        <f>'16U BOYS PLATINUM-19 TEAMS'!C24&amp;""</f>
        <v>WESTMINSTER HS</v>
      </c>
      <c r="D20" s="48" t="str">
        <f>'16U BOYS PLATINUM-19 TEAMS'!D24&amp;""</f>
        <v>16Bpt01</v>
      </c>
      <c r="E20" s="48" t="str">
        <f>'16U BOYS PLATINUM-19 TEAMS'!E24&amp;""</f>
        <v>C1-STANFORD</v>
      </c>
      <c r="F20" s="48" t="str">
        <f>'16U BOYS PLATINUM-19 TEAMS'!F24&amp;""</f>
        <v>18</v>
      </c>
      <c r="G20" s="48" t="str">
        <f>'16U BOYS PLATINUM-19 TEAMS'!G24&amp;""</f>
        <v>C3-CHAWP</v>
      </c>
      <c r="H20" s="48" t="str">
        <f>'16U BOYS PLATINUM-19 TEAMS'!H24&amp;""</f>
        <v>10</v>
      </c>
      <c r="I20" s="48" t="str">
        <f>'16U BOYS PLATINUM-19 TEAMS'!I24&amp;""</f>
        <v>C bracket C1,C3</v>
      </c>
      <c r="J20" s="48" t="str">
        <f>'16U BOYS PLATINUM-19 TEAMS'!J24&amp;""</f>
        <v>16U_BOYS_PLATINUM</v>
      </c>
    </row>
    <row r="21" spans="1:10">
      <c r="A21" s="50">
        <f>'16U BOYS PLATINUM-19 TEAMS'!A37</f>
        <v>45724</v>
      </c>
      <c r="B21" s="45">
        <f>'16U BOYS PLATINUM-19 TEAMS'!B37</f>
        <v>0.33333333333333331</v>
      </c>
      <c r="C21" s="51" t="str">
        <f>'16U BOYS PLATINUM-19 TEAMS'!C37&amp;""</f>
        <v>ESTANCIA HS</v>
      </c>
      <c r="D21" s="52" t="str">
        <f>'16U BOYS PLATINUM-19 TEAMS'!D37&amp;""</f>
        <v>16Bpt02</v>
      </c>
      <c r="E21" s="45" t="str">
        <f>'16U BOYS PLATINUM-19 TEAMS'!E37&amp;""</f>
        <v>E1-MISSION A</v>
      </c>
      <c r="F21" s="55" t="str">
        <f>'16U BOYS PLATINUM-19 TEAMS'!F37&amp;""</f>
        <v>13</v>
      </c>
      <c r="G21" s="45" t="str">
        <f>'16U BOYS PLATINUM-19 TEAMS'!G37&amp;""</f>
        <v>E3-VANGUARD BLUE</v>
      </c>
      <c r="H21" s="54" t="str">
        <f>'16U BOYS PLATINUM-19 TEAMS'!H37&amp;""</f>
        <v>1</v>
      </c>
      <c r="I21" s="55" t="str">
        <f>'16U BOYS PLATINUM-19 TEAMS'!I37&amp;""</f>
        <v>E bracket E1,E3</v>
      </c>
      <c r="J21" s="52" t="str">
        <f>'16U BOYS PLATINUM-19 TEAMS'!J37&amp;""</f>
        <v>16U_BOYS_PLATINUM</v>
      </c>
    </row>
    <row r="22" spans="1:10">
      <c r="A22" s="46">
        <f>'16U BOYS PLATINUM-19 TEAMS'!A25</f>
        <v>45724</v>
      </c>
      <c r="B22" s="47">
        <f>'16U BOYS PLATINUM-19 TEAMS'!B25</f>
        <v>0.375</v>
      </c>
      <c r="C22" s="47" t="str">
        <f>'16U BOYS PLATINUM-19 TEAMS'!C25&amp;""</f>
        <v>WESTMINSTER HS</v>
      </c>
      <c r="D22" s="48" t="str">
        <f>'16U BOYS PLATINUM-19 TEAMS'!D25&amp;""</f>
        <v>16Bpt03</v>
      </c>
      <c r="E22" s="48" t="str">
        <f>'16U BOYS PLATINUM-19 TEAMS'!E25&amp;""</f>
        <v>A1-DEL MAR</v>
      </c>
      <c r="F22" s="48" t="str">
        <f>'16U BOYS PLATINUM-19 TEAMS'!F25&amp;""</f>
        <v>18</v>
      </c>
      <c r="G22" s="48" t="str">
        <f>'16U BOYS PLATINUM-19 TEAMS'!G25&amp;""</f>
        <v>A3-NORTH IRVINE BLACK</v>
      </c>
      <c r="H22" s="48" t="str">
        <f>'16U BOYS PLATINUM-19 TEAMS'!H25&amp;""</f>
        <v>9</v>
      </c>
      <c r="I22" s="48" t="str">
        <f>'16U BOYS PLATINUM-19 TEAMS'!I25&amp;""</f>
        <v>A bracket A1,A3</v>
      </c>
      <c r="J22" s="48" t="str">
        <f>'16U BOYS PLATINUM-19 TEAMS'!J25&amp;""</f>
        <v>16U_BOYS_PLATINUM</v>
      </c>
    </row>
    <row r="23" spans="1:10">
      <c r="A23" s="50">
        <f>'16U BOYS PLATINUM-19 TEAMS'!A38</f>
        <v>45724</v>
      </c>
      <c r="B23" s="45">
        <f>'16U BOYS PLATINUM-19 TEAMS'!B38</f>
        <v>0.375</v>
      </c>
      <c r="C23" s="51" t="str">
        <f>'16U BOYS PLATINUM-19 TEAMS'!C38&amp;""</f>
        <v>ESTANCIA HS</v>
      </c>
      <c r="D23" s="52" t="str">
        <f>'16U BOYS PLATINUM-19 TEAMS'!D38&amp;""</f>
        <v>16Bpt04</v>
      </c>
      <c r="E23" s="53" t="str">
        <f>'16U BOYS PLATINUM-19 TEAMS'!E38&amp;""</f>
        <v>D1-CC UNITED BLACK</v>
      </c>
      <c r="F23" s="54" t="str">
        <f>'16U BOYS PLATINUM-19 TEAMS'!F38&amp;""</f>
        <v>15</v>
      </c>
      <c r="G23" s="53" t="str">
        <f>'16U BOYS PLATINUM-19 TEAMS'!G38&amp;""</f>
        <v>D3-PATRIOT</v>
      </c>
      <c r="H23" s="54" t="str">
        <f>'16U BOYS PLATINUM-19 TEAMS'!H38&amp;""</f>
        <v>7</v>
      </c>
      <c r="I23" s="55" t="str">
        <f>'16U BOYS PLATINUM-19 TEAMS'!I38&amp;""</f>
        <v>D bracket D1,D3</v>
      </c>
      <c r="J23" s="52" t="str">
        <f>'16U BOYS PLATINUM-19 TEAMS'!J38&amp;""</f>
        <v>16U_BOYS_PLATINUM</v>
      </c>
    </row>
    <row r="24" spans="1:10">
      <c r="A24" s="46">
        <f>'16U BOYS PLATINUM-19 TEAMS'!A26</f>
        <v>45724</v>
      </c>
      <c r="B24" s="47">
        <f>'16U BOYS PLATINUM-19 TEAMS'!B26</f>
        <v>0.41666666666666702</v>
      </c>
      <c r="C24" s="47" t="str">
        <f>'16U BOYS PLATINUM-19 TEAMS'!C26&amp;""</f>
        <v>WESTMINSTER HS</v>
      </c>
      <c r="D24" s="48" t="str">
        <f>'16U BOYS PLATINUM-19 TEAMS'!D26&amp;""</f>
        <v>16Bpt05</v>
      </c>
      <c r="E24" s="48" t="str">
        <f>'16U BOYS PLATINUM-19 TEAMS'!E26&amp;""</f>
        <v>B2-ORANGE COUNTY WPC BLUE</v>
      </c>
      <c r="F24" s="48" t="str">
        <f>'16U BOYS PLATINUM-19 TEAMS'!F26&amp;""</f>
        <v>15</v>
      </c>
      <c r="G24" s="48" t="str">
        <f>'16U BOYS PLATINUM-19 TEAMS'!G26&amp;""</f>
        <v>B3-ROSE BOWL RED</v>
      </c>
      <c r="H24" s="48" t="str">
        <f>'16U BOYS PLATINUM-19 TEAMS'!H26&amp;""</f>
        <v>8</v>
      </c>
      <c r="I24" s="48" t="str">
        <f>'16U BOYS PLATINUM-19 TEAMS'!I26&amp;""</f>
        <v>B bracket B2,B3</v>
      </c>
      <c r="J24" s="48" t="str">
        <f>'16U BOYS PLATINUM-19 TEAMS'!J26&amp;""</f>
        <v>16U_BOYS_PLATINUM</v>
      </c>
    </row>
    <row r="25" spans="1:10">
      <c r="A25" s="50">
        <f>'16U BOYS PLATINUM-19 TEAMS'!A39</f>
        <v>45724</v>
      </c>
      <c r="B25" s="45">
        <f>'16U BOYS PLATINUM-19 TEAMS'!B39</f>
        <v>0.41666666666666702</v>
      </c>
      <c r="C25" s="51" t="str">
        <f>'16U BOYS PLATINUM-19 TEAMS'!C39&amp;""</f>
        <v>ESTANCIA HS</v>
      </c>
      <c r="D25" s="52" t="str">
        <f>'16U BOYS PLATINUM-19 TEAMS'!D39&amp;""</f>
        <v>16Bpt06</v>
      </c>
      <c r="E25" s="53" t="str">
        <f>'16U BOYS PLATINUM-19 TEAMS'!E39&amp;""</f>
        <v>F1-TROJAN</v>
      </c>
      <c r="F25" s="54" t="str">
        <f>'16U BOYS PLATINUM-19 TEAMS'!F39&amp;""</f>
        <v>10</v>
      </c>
      <c r="G25" s="53" t="str">
        <f>'16U BOYS PLATINUM-19 TEAMS'!G39&amp;""</f>
        <v>F4-FOOTHILL RED</v>
      </c>
      <c r="H25" s="54" t="str">
        <f>'16U BOYS PLATINUM-19 TEAMS'!H39&amp;""</f>
        <v>8</v>
      </c>
      <c r="I25" s="55" t="str">
        <f>'16U BOYS PLATINUM-19 TEAMS'!I39&amp;""</f>
        <v>W/L F1/F4</v>
      </c>
      <c r="J25" s="52" t="str">
        <f>'16U BOYS PLATINUM-19 TEAMS'!J39&amp;""</f>
        <v>16U_BOYS_PLATINUM</v>
      </c>
    </row>
    <row r="26" spans="1:10">
      <c r="A26" s="50">
        <f>'16U BOYS PLATINUM-19 TEAMS'!A40</f>
        <v>45724</v>
      </c>
      <c r="B26" s="45">
        <f>'16U BOYS PLATINUM-19 TEAMS'!B40</f>
        <v>0.45833333333333298</v>
      </c>
      <c r="C26" s="51" t="str">
        <f>'16U BOYS PLATINUM-19 TEAMS'!C40&amp;""</f>
        <v>ESTANCIA HS</v>
      </c>
      <c r="D26" s="52" t="str">
        <f>'16U BOYS PLATINUM-19 TEAMS'!D40&amp;""</f>
        <v>16Bpt08</v>
      </c>
      <c r="E26" s="45" t="str">
        <f>'16U BOYS PLATINUM-19 TEAMS'!E40&amp;""</f>
        <v>E2-ATHERTON</v>
      </c>
      <c r="F26" s="55" t="str">
        <f>'16U BOYS PLATINUM-19 TEAMS'!F40&amp;""</f>
        <v>14</v>
      </c>
      <c r="G26" s="45" t="str">
        <f>'16U BOYS PLATINUM-19 TEAMS'!G40&amp;""</f>
        <v>E3-VANGUARD BLUE</v>
      </c>
      <c r="H26" s="54" t="str">
        <f>'16U BOYS PLATINUM-19 TEAMS'!H40&amp;""</f>
        <v>8</v>
      </c>
      <c r="I26" s="55" t="str">
        <f>'16U BOYS PLATINUM-19 TEAMS'!I40&amp;""</f>
        <v>E bracket E2,E3</v>
      </c>
      <c r="J26" s="52" t="str">
        <f>'16U BOYS PLATINUM-19 TEAMS'!J40&amp;""</f>
        <v>16U_BOYS_PLATINUM</v>
      </c>
    </row>
    <row r="27" spans="1:10">
      <c r="A27" s="46">
        <f>'16U BOYS PLATINUM-19 TEAMS'!A28</f>
        <v>45724</v>
      </c>
      <c r="B27" s="47">
        <f>'16U BOYS PLATINUM-19 TEAMS'!B28</f>
        <v>0.5</v>
      </c>
      <c r="C27" s="47" t="str">
        <f>'16U BOYS PLATINUM-19 TEAMS'!C28&amp;""</f>
        <v>WESTMINSTER HS</v>
      </c>
      <c r="D27" s="48" t="str">
        <f>'16U BOYS PLATINUM-19 TEAMS'!D28&amp;""</f>
        <v>16Bpt07</v>
      </c>
      <c r="E27" s="48" t="str">
        <f>'16U BOYS PLATINUM-19 TEAMS'!E28&amp;""</f>
        <v>C2-LA JOLLA UNITED NAVY</v>
      </c>
      <c r="F27" s="48" t="str">
        <f>'16U BOYS PLATINUM-19 TEAMS'!F28&amp;""</f>
        <v>15</v>
      </c>
      <c r="G27" s="48" t="str">
        <f>'16U BOYS PLATINUM-19 TEAMS'!G28&amp;""</f>
        <v>C3-CHAWP</v>
      </c>
      <c r="H27" s="48" t="str">
        <f>'16U BOYS PLATINUM-19 TEAMS'!H28&amp;""</f>
        <v>8</v>
      </c>
      <c r="I27" s="48" t="str">
        <f>'16U BOYS PLATINUM-19 TEAMS'!I28&amp;""</f>
        <v>C bracket C2,C3</v>
      </c>
      <c r="J27" s="48" t="str">
        <f>'16U BOYS PLATINUM-19 TEAMS'!J28&amp;""</f>
        <v>16U_BOYS_PLATINUM</v>
      </c>
    </row>
    <row r="28" spans="1:10">
      <c r="A28" s="50">
        <f>'16U BOYS PLATINUM-19 TEAMS'!A41</f>
        <v>45724</v>
      </c>
      <c r="B28" s="45">
        <f>'16U BOYS PLATINUM-19 TEAMS'!B41</f>
        <v>0.5</v>
      </c>
      <c r="C28" s="51" t="str">
        <f>'16U BOYS PLATINUM-19 TEAMS'!C41&amp;""</f>
        <v>ESTANCIA HS</v>
      </c>
      <c r="D28" s="52" t="str">
        <f>'16U BOYS PLATINUM-19 TEAMS'!D41&amp;""</f>
        <v>16Bpt10</v>
      </c>
      <c r="E28" s="45" t="str">
        <f>'16U BOYS PLATINUM-19 TEAMS'!E41&amp;""</f>
        <v>F2-SD SHORES BLACK</v>
      </c>
      <c r="F28" s="55" t="str">
        <f>'16U BOYS PLATINUM-19 TEAMS'!F41&amp;""</f>
        <v>13</v>
      </c>
      <c r="G28" s="45" t="str">
        <f>'16U BOYS PLATINUM-19 TEAMS'!G41&amp;""</f>
        <v>F3-TEXAS THUINDER</v>
      </c>
      <c r="H28" s="54" t="str">
        <f>'16U BOYS PLATINUM-19 TEAMS'!H41&amp;""</f>
        <v>7</v>
      </c>
      <c r="I28" s="55" t="str">
        <f>'16U BOYS PLATINUM-19 TEAMS'!I41&amp;""</f>
        <v>W/L F2/F3</v>
      </c>
      <c r="J28" s="52" t="str">
        <f>'16U BOYS PLATINUM-19 TEAMS'!J41&amp;""</f>
        <v>16U_BOYS_PLATINUM</v>
      </c>
    </row>
    <row r="29" spans="1:10">
      <c r="A29" s="46">
        <f>'16U BOYS PLATINUM-19 TEAMS'!A29</f>
        <v>45724</v>
      </c>
      <c r="B29" s="47">
        <f>'16U BOYS PLATINUM-19 TEAMS'!B29</f>
        <v>0.54166666666666696</v>
      </c>
      <c r="C29" s="47" t="str">
        <f>'16U BOYS PLATINUM-19 TEAMS'!C29&amp;""</f>
        <v>WESTMINSTER HS</v>
      </c>
      <c r="D29" s="48" t="str">
        <f>'16U BOYS PLATINUM-19 TEAMS'!D29&amp;""</f>
        <v>16Bpt09</v>
      </c>
      <c r="E29" s="48" t="str">
        <f>'16U BOYS PLATINUM-19 TEAMS'!E29&amp;""</f>
        <v>A2-DIABLO RED</v>
      </c>
      <c r="F29" s="48" t="str">
        <f>'16U BOYS PLATINUM-19 TEAMS'!F29&amp;""</f>
        <v>8</v>
      </c>
      <c r="G29" s="48" t="str">
        <f>'16U BOYS PLATINUM-19 TEAMS'!G29&amp;""</f>
        <v>A3-NORTH IRVINE BLACK</v>
      </c>
      <c r="H29" s="48" t="str">
        <f>'16U BOYS PLATINUM-19 TEAMS'!H29&amp;""</f>
        <v>14</v>
      </c>
      <c r="I29" s="48" t="str">
        <f>'16U BOYS PLATINUM-19 TEAMS'!I29&amp;""</f>
        <v>A bracket A2,A3</v>
      </c>
      <c r="J29" s="48" t="str">
        <f>'16U BOYS PLATINUM-19 TEAMS'!J29&amp;""</f>
        <v>16U_BOYS_PLATINUM</v>
      </c>
    </row>
    <row r="30" spans="1:10">
      <c r="A30" s="50">
        <f>'16U BOYS PLATINUM-19 TEAMS'!A42</f>
        <v>45724</v>
      </c>
      <c r="B30" s="45">
        <f>'16U BOYS PLATINUM-19 TEAMS'!B42</f>
        <v>0.54166666666666696</v>
      </c>
      <c r="C30" s="51" t="str">
        <f>'16U BOYS PLATINUM-19 TEAMS'!C42&amp;""</f>
        <v>ESTANCIA HS</v>
      </c>
      <c r="D30" s="52" t="str">
        <f>'16U BOYS PLATINUM-19 TEAMS'!D42&amp;""</f>
        <v>16Bpt12</v>
      </c>
      <c r="E30" s="53" t="str">
        <f>'16U BOYS PLATINUM-19 TEAMS'!E42&amp;""</f>
        <v>D2-NEWPORT</v>
      </c>
      <c r="F30" s="54" t="str">
        <f>'16U BOYS PLATINUM-19 TEAMS'!F42&amp;""</f>
        <v>11</v>
      </c>
      <c r="G30" s="53" t="str">
        <f>'16U BOYS PLATINUM-19 TEAMS'!G42&amp;""</f>
        <v>D3-PATRIOT</v>
      </c>
      <c r="H30" s="54" t="str">
        <f>'16U BOYS PLATINUM-19 TEAMS'!H42&amp;""</f>
        <v>6</v>
      </c>
      <c r="I30" s="55" t="str">
        <f>'16U BOYS PLATINUM-19 TEAMS'!I42&amp;""</f>
        <v>D bracket D2,D3</v>
      </c>
      <c r="J30" s="52" t="str">
        <f>'16U BOYS PLATINUM-19 TEAMS'!J42&amp;""</f>
        <v>16U_BOYS_PLATINUM</v>
      </c>
    </row>
    <row r="31" spans="1:10">
      <c r="A31" s="46">
        <f>'16U BOYS PLATINUM-19 TEAMS'!A30</f>
        <v>45724</v>
      </c>
      <c r="B31" s="47">
        <f>'16U BOYS PLATINUM-19 TEAMS'!B30</f>
        <v>0.58333333333333304</v>
      </c>
      <c r="C31" s="47" t="str">
        <f>'16U BOYS PLATINUM-19 TEAMS'!C30&amp;""</f>
        <v>WESTMINSTER HS</v>
      </c>
      <c r="D31" s="48" t="str">
        <f>'16U BOYS PLATINUM-19 TEAMS'!D30&amp;""</f>
        <v>16Bpt11</v>
      </c>
      <c r="E31" s="48" t="str">
        <f>'16U BOYS PLATINUM-19 TEAMS'!E30&amp;""</f>
        <v>B1-CHANNEL ISLANDS UNITED GOLD</v>
      </c>
      <c r="F31" s="48" t="str">
        <f>'16U BOYS PLATINUM-19 TEAMS'!F30&amp;""</f>
        <v>17</v>
      </c>
      <c r="G31" s="48" t="str">
        <f>'16U BOYS PLATINUM-19 TEAMS'!G30&amp;""</f>
        <v>B3-ROSE BOWL RED</v>
      </c>
      <c r="H31" s="48" t="str">
        <f>'16U BOYS PLATINUM-19 TEAMS'!H30&amp;""</f>
        <v>5</v>
      </c>
      <c r="I31" s="48" t="str">
        <f>'16U BOYS PLATINUM-19 TEAMS'!I30&amp;""</f>
        <v>B bracket B1,B3</v>
      </c>
      <c r="J31" s="48" t="str">
        <f>'16U BOYS PLATINUM-19 TEAMS'!J30&amp;""</f>
        <v>16U_BOYS_PLATINUM</v>
      </c>
    </row>
    <row r="32" spans="1:10">
      <c r="A32" s="50">
        <f>'16U BOYS PLATINUM-19 TEAMS'!A43</f>
        <v>45724</v>
      </c>
      <c r="B32" s="45">
        <f>'16U BOYS PLATINUM-19 TEAMS'!B43</f>
        <v>0.58333333333333304</v>
      </c>
      <c r="C32" s="51" t="str">
        <f>'16U BOYS PLATINUM-19 TEAMS'!C43&amp;""</f>
        <v>ESTANCIA HS</v>
      </c>
      <c r="D32" s="52" t="str">
        <f>'16U BOYS PLATINUM-19 TEAMS'!D43&amp;""</f>
        <v>16Bpt14</v>
      </c>
      <c r="E32" s="45" t="str">
        <f>'16U BOYS PLATINUM-19 TEAMS'!E43&amp;""</f>
        <v>E1-MISSION A</v>
      </c>
      <c r="F32" s="55" t="str">
        <f>'16U BOYS PLATINUM-19 TEAMS'!F43&amp;""</f>
        <v>8</v>
      </c>
      <c r="G32" s="45" t="str">
        <f>'16U BOYS PLATINUM-19 TEAMS'!G43&amp;""</f>
        <v>E2-ATHERTON</v>
      </c>
      <c r="H32" s="54" t="str">
        <f>'16U BOYS PLATINUM-19 TEAMS'!H43&amp;""</f>
        <v>5</v>
      </c>
      <c r="I32" s="55" t="str">
        <f>'16U BOYS PLATINUM-19 TEAMS'!I43&amp;""</f>
        <v>E bracket E1,E2</v>
      </c>
      <c r="J32" s="52" t="str">
        <f>'16U BOYS PLATINUM-19 TEAMS'!J43&amp;""</f>
        <v>16U_BOYS_PLATINUM</v>
      </c>
    </row>
    <row r="33" spans="1:10">
      <c r="A33" s="46">
        <f>'16U BOYS PLATINUM-19 TEAMS'!A31</f>
        <v>45724</v>
      </c>
      <c r="B33" s="47">
        <f>'16U BOYS PLATINUM-19 TEAMS'!B31</f>
        <v>0.625</v>
      </c>
      <c r="C33" s="47" t="str">
        <f>'16U BOYS PLATINUM-19 TEAMS'!C31&amp;""</f>
        <v>WESTMINSTER HS</v>
      </c>
      <c r="D33" s="48" t="str">
        <f>'16U BOYS PLATINUM-19 TEAMS'!D31&amp;""</f>
        <v>16Bpt13</v>
      </c>
      <c r="E33" s="48" t="str">
        <f>'16U BOYS PLATINUM-19 TEAMS'!E31&amp;""</f>
        <v>C1-STANFORD</v>
      </c>
      <c r="F33" s="48" t="str">
        <f>'16U BOYS PLATINUM-19 TEAMS'!F31&amp;""</f>
        <v>17</v>
      </c>
      <c r="G33" s="48" t="str">
        <f>'16U BOYS PLATINUM-19 TEAMS'!G31&amp;""</f>
        <v>C2-LA JOLLA UNITED NAVY</v>
      </c>
      <c r="H33" s="48" t="str">
        <f>'16U BOYS PLATINUM-19 TEAMS'!H31&amp;""</f>
        <v>10</v>
      </c>
      <c r="I33" s="48" t="str">
        <f>'16U BOYS PLATINUM-19 TEAMS'!I31&amp;""</f>
        <v>C bracket C1,C2</v>
      </c>
      <c r="J33" s="48" t="str">
        <f>'16U BOYS PLATINUM-19 TEAMS'!J31&amp;""</f>
        <v>16U_BOYS_PLATINUM</v>
      </c>
    </row>
    <row r="34" spans="1:10">
      <c r="A34" s="50">
        <f>'16U BOYS PLATINUM-19 TEAMS'!A44</f>
        <v>45724</v>
      </c>
      <c r="B34" s="45">
        <f>'16U BOYS PLATINUM-19 TEAMS'!B44</f>
        <v>0.625</v>
      </c>
      <c r="C34" s="51" t="str">
        <f>'16U BOYS PLATINUM-19 TEAMS'!C44&amp;""</f>
        <v>ESTANCIA HS</v>
      </c>
      <c r="D34" s="52" t="str">
        <f>'16U BOYS PLATINUM-19 TEAMS'!D44&amp;""</f>
        <v>16Bpt16</v>
      </c>
      <c r="E34" s="45" t="str">
        <f>'16U BOYS PLATINUM-19 TEAMS'!E44&amp;""</f>
        <v>W#6-TROJAN</v>
      </c>
      <c r="F34" s="55" t="str">
        <f>'16U BOYS PLATINUM-19 TEAMS'!F44&amp;""</f>
        <v>7</v>
      </c>
      <c r="G34" s="45" t="str">
        <f>'16U BOYS PLATINUM-19 TEAMS'!G44&amp;""</f>
        <v>W#10-SD SHORES BLACK</v>
      </c>
      <c r="H34" s="54" t="str">
        <f>'16U BOYS PLATINUM-19 TEAMS'!H44&amp;""</f>
        <v>9</v>
      </c>
      <c r="I34" s="55" t="str">
        <f>'16U BOYS PLATINUM-19 TEAMS'!I44&amp;""</f>
        <v>1st/2ndF</v>
      </c>
      <c r="J34" s="52" t="str">
        <f>'16U BOYS PLATINUM-19 TEAMS'!J44&amp;""</f>
        <v>16U_BOYS_PLATINUM</v>
      </c>
    </row>
    <row r="35" spans="1:10">
      <c r="A35" s="46">
        <f>'16U BOYS PLATINUM-19 TEAMS'!A32</f>
        <v>45724</v>
      </c>
      <c r="B35" s="47">
        <f>'16U BOYS PLATINUM-19 TEAMS'!B32</f>
        <v>0.66666666666666696</v>
      </c>
      <c r="C35" s="47" t="str">
        <f>'16U BOYS PLATINUM-19 TEAMS'!C32&amp;""</f>
        <v>WESTMINSTER HS</v>
      </c>
      <c r="D35" s="48" t="str">
        <f>'16U BOYS PLATINUM-19 TEAMS'!D32&amp;""</f>
        <v>16Bpt15</v>
      </c>
      <c r="E35" s="48" t="str">
        <f>'16U BOYS PLATINUM-19 TEAMS'!E32&amp;""</f>
        <v>A1-DEL MAR</v>
      </c>
      <c r="F35" s="48" t="str">
        <f>'16U BOYS PLATINUM-19 TEAMS'!F32&amp;""</f>
        <v>19</v>
      </c>
      <c r="G35" s="48" t="str">
        <f>'16U BOYS PLATINUM-19 TEAMS'!G32&amp;""</f>
        <v>A2-DIABLO RED</v>
      </c>
      <c r="H35" s="48" t="str">
        <f>'16U BOYS PLATINUM-19 TEAMS'!H32&amp;""</f>
        <v>5</v>
      </c>
      <c r="I35" s="48" t="str">
        <f>'16U BOYS PLATINUM-19 TEAMS'!I32&amp;""</f>
        <v>A bracket A1,A2</v>
      </c>
      <c r="J35" s="48" t="str">
        <f>'16U BOYS PLATINUM-19 TEAMS'!J32&amp;""</f>
        <v>16U_BOYS_PLATINUM</v>
      </c>
    </row>
    <row r="36" spans="1:10">
      <c r="A36" s="50">
        <f>'16U BOYS PLATINUM-19 TEAMS'!A45</f>
        <v>45724</v>
      </c>
      <c r="B36" s="45">
        <f>'16U BOYS PLATINUM-19 TEAMS'!B45</f>
        <v>0.66666666666666696</v>
      </c>
      <c r="C36" s="51" t="str">
        <f>'16U BOYS PLATINUM-19 TEAMS'!C45&amp;""</f>
        <v>ESTANCIA HS</v>
      </c>
      <c r="D36" s="52" t="str">
        <f>'16U BOYS PLATINUM-19 TEAMS'!D45&amp;""</f>
        <v>16Bpt18</v>
      </c>
      <c r="E36" s="53" t="str">
        <f>'16U BOYS PLATINUM-19 TEAMS'!E45&amp;""</f>
        <v>L#6-FOOTHILL RED</v>
      </c>
      <c r="F36" s="54" t="str">
        <f>'16U BOYS PLATINUM-19 TEAMS'!F45&amp;""</f>
        <v>9</v>
      </c>
      <c r="G36" s="53" t="str">
        <f>'16U BOYS PLATINUM-19 TEAMS'!G45&amp;""</f>
        <v>L#10-TEXAS THUINDER</v>
      </c>
      <c r="H36" s="54" t="str">
        <f>'16U BOYS PLATINUM-19 TEAMS'!H45&amp;""</f>
        <v>10</v>
      </c>
      <c r="I36" s="55" t="str">
        <f>'16U BOYS PLATINUM-19 TEAMS'!I45&amp;""</f>
        <v>3rd/4thF</v>
      </c>
      <c r="J36" s="52" t="str">
        <f>'16U BOYS PLATINUM-19 TEAMS'!J45&amp;""</f>
        <v>16U_BOYS_PLATINUM</v>
      </c>
    </row>
    <row r="37" spans="1:10">
      <c r="A37" s="50">
        <f>'16U BOYS PLATINUM-19 TEAMS'!A46</f>
        <v>45724</v>
      </c>
      <c r="B37" s="45">
        <f>'16U BOYS PLATINUM-19 TEAMS'!B46</f>
        <v>0.70833333333333304</v>
      </c>
      <c r="C37" s="51" t="str">
        <f>'16U BOYS PLATINUM-19 TEAMS'!C46&amp;""</f>
        <v>ESTANCIA HS</v>
      </c>
      <c r="D37" s="52" t="str">
        <f>'16U BOYS PLATINUM-19 TEAMS'!D46&amp;""</f>
        <v>16Bpt20</v>
      </c>
      <c r="E37" s="53" t="str">
        <f>'16U BOYS PLATINUM-19 TEAMS'!E46&amp;""</f>
        <v>D1-CC UNITED BLACK</v>
      </c>
      <c r="F37" s="54" t="str">
        <f>'16U BOYS PLATINUM-19 TEAMS'!F46&amp;""</f>
        <v>17</v>
      </c>
      <c r="G37" s="53" t="str">
        <f>'16U BOYS PLATINUM-19 TEAMS'!G46&amp;""</f>
        <v>D2-NEWPORT</v>
      </c>
      <c r="H37" s="54" t="str">
        <f>'16U BOYS PLATINUM-19 TEAMS'!H46&amp;""</f>
        <v>6</v>
      </c>
      <c r="I37" s="55" t="str">
        <f>'16U BOYS PLATINUM-19 TEAMS'!I46&amp;""</f>
        <v>D bracket D1,D2</v>
      </c>
      <c r="J37" s="52" t="str">
        <f>'16U BOYS PLATINUM-19 TEAMS'!J46&amp;""</f>
        <v>16U_BOYS_PLATINUM</v>
      </c>
    </row>
    <row r="38" spans="1:10">
      <c r="A38" s="46">
        <f>'16U BOYS PLATINUM-19 TEAMS'!A34</f>
        <v>45724</v>
      </c>
      <c r="B38" s="47">
        <f>'16U BOYS PLATINUM-19 TEAMS'!B34</f>
        <v>0.75</v>
      </c>
      <c r="C38" s="47" t="str">
        <f>'16U BOYS PLATINUM-19 TEAMS'!C34&amp;""</f>
        <v>WESTMINSTER HS</v>
      </c>
      <c r="D38" s="48" t="str">
        <f>'16U BOYS PLATINUM-19 TEAMS'!D34&amp;""</f>
        <v>16Bpt17</v>
      </c>
      <c r="E38" s="48" t="str">
        <f>'16U BOYS PLATINUM-19 TEAMS'!E34&amp;""</f>
        <v>B1-CHANNEL ISLANDS UNITED GOLD</v>
      </c>
      <c r="F38" s="48" t="str">
        <f>'16U BOYS PLATINUM-19 TEAMS'!F34&amp;""</f>
        <v>13</v>
      </c>
      <c r="G38" s="48" t="str">
        <f>'16U BOYS PLATINUM-19 TEAMS'!G34&amp;""</f>
        <v>B2-ORANGE COUNTY WPC BLUE</v>
      </c>
      <c r="H38" s="48" t="str">
        <f>'16U BOYS PLATINUM-19 TEAMS'!H34&amp;""</f>
        <v>10</v>
      </c>
      <c r="I38" s="48" t="str">
        <f>'16U BOYS PLATINUM-19 TEAMS'!I34&amp;""</f>
        <v>B bracket B1,B2</v>
      </c>
      <c r="J38" s="48" t="str">
        <f>'16U BOYS PLATINUM-19 TEAMS'!J34&amp;""</f>
        <v>16U_BOYS_PLATINUM</v>
      </c>
    </row>
    <row r="39" spans="1:10">
      <c r="A39" s="50">
        <f>'16U BOYS PLATINUM-19 TEAMS'!A47</f>
        <v>45724</v>
      </c>
      <c r="B39" s="45">
        <f>'16U BOYS PLATINUM-19 TEAMS'!B47</f>
        <v>0.75</v>
      </c>
      <c r="C39" s="51" t="str">
        <f>'16U BOYS PLATINUM-19 TEAMS'!C47&amp;""</f>
        <v>ESTANCIA HS</v>
      </c>
      <c r="D39" s="52" t="str">
        <f>'16U BOYS PLATINUM-19 TEAMS'!D47&amp;""</f>
        <v>16Bpt21</v>
      </c>
      <c r="E39" s="53" t="str">
        <f>'16U BOYS PLATINUM-19 TEAMS'!E47&amp;""</f>
        <v>H2(1stE)-MISSION</v>
      </c>
      <c r="F39" s="54" t="str">
        <f>'16U BOYS PLATINUM-19 TEAMS'!F47&amp;""</f>
        <v>11</v>
      </c>
      <c r="G39" s="53" t="str">
        <f>'16U BOYS PLATINUM-19 TEAMS'!G47&amp;""</f>
        <v>H3(1stF)-SD SHORES BLACK</v>
      </c>
      <c r="H39" s="54" t="str">
        <f>'16U BOYS PLATINUM-19 TEAMS'!H47&amp;""</f>
        <v>8</v>
      </c>
      <c r="I39" s="55" t="str">
        <f>'16U BOYS PLATINUM-19 TEAMS'!I47&amp;""</f>
        <v>H bracket H2,H3 (1E,1F)</v>
      </c>
      <c r="J39" s="52" t="str">
        <f>'16U BOYS PLATINUM-19 TEAMS'!J47&amp;""</f>
        <v>16U_BOYS_PLATINUM</v>
      </c>
    </row>
    <row r="40" spans="1:10">
      <c r="A40" s="46">
        <f>'16U BOYS PLATINUM-19 TEAMS'!A35</f>
        <v>45724</v>
      </c>
      <c r="B40" s="47">
        <f>'16U BOYS PLATINUM-19 TEAMS'!B35</f>
        <v>0.79166666666666696</v>
      </c>
      <c r="C40" s="47" t="str">
        <f>'16U BOYS PLATINUM-19 TEAMS'!C35&amp;""</f>
        <v>WESTMINSTER HS</v>
      </c>
      <c r="D40" s="48" t="str">
        <f>'16U BOYS PLATINUM-19 TEAMS'!D35&amp;""</f>
        <v>16Bpt19</v>
      </c>
      <c r="E40" s="48" t="str">
        <f>'16U BOYS PLATINUM-19 TEAMS'!E35&amp;""</f>
        <v>G1(1stA)-DEL MAR</v>
      </c>
      <c r="F40" s="48" t="str">
        <f>'16U BOYS PLATINUM-19 TEAMS'!F35&amp;""</f>
        <v>13</v>
      </c>
      <c r="G40" s="48" t="str">
        <f>'16U BOYS PLATINUM-19 TEAMS'!G35&amp;""</f>
        <v>G3(1stC)-STANFORD</v>
      </c>
      <c r="H40" s="48" t="str">
        <f>'16U BOYS PLATINUM-19 TEAMS'!H35&amp;""</f>
        <v>14</v>
      </c>
      <c r="I40" s="48" t="str">
        <f>'16U BOYS PLATINUM-19 TEAMS'!I35&amp;""</f>
        <v>G bracket G1,G3 (1A,1C)</v>
      </c>
      <c r="J40" s="48" t="str">
        <f>'16U BOYS PLATINUM-19 TEAMS'!J35&amp;""</f>
        <v>16U_BOYS_PLATINUM</v>
      </c>
    </row>
    <row r="41" spans="1:10">
      <c r="A41" s="46">
        <f>'16U BOYS PLATINUM-19 TEAMS'!A51</f>
        <v>45725</v>
      </c>
      <c r="B41" s="47">
        <f>'16U BOYS PLATINUM-19 TEAMS'!B51</f>
        <v>0.33333333333333331</v>
      </c>
      <c r="C41" s="47" t="str">
        <f>'16U BOYS PLATINUM-19 TEAMS'!C51&amp;""</f>
        <v>WESTMINSTER HS</v>
      </c>
      <c r="D41" s="48" t="str">
        <f>'16U BOYS PLATINUM-19 TEAMS'!D51&amp;""</f>
        <v>16Bpt22</v>
      </c>
      <c r="E41" s="48" t="str">
        <f>'16U BOYS PLATINUM-19 TEAMS'!E51&amp;""</f>
        <v>H1(1stD)-CC UNITED BLACK</v>
      </c>
      <c r="F41" s="48" t="str">
        <f>'16U BOYS PLATINUM-19 TEAMS'!F51&amp;""</f>
        <v>15</v>
      </c>
      <c r="G41" s="48" t="str">
        <f>'16U BOYS PLATINUM-19 TEAMS'!G51&amp;""</f>
        <v>H3(1stF)-SD SHORES BLACK</v>
      </c>
      <c r="H41" s="48" t="str">
        <f>'16U BOYS PLATINUM-19 TEAMS'!H51&amp;""</f>
        <v>5</v>
      </c>
      <c r="I41" s="48" t="str">
        <f>'16U BOYS PLATINUM-19 TEAMS'!I51&amp;""</f>
        <v>H bracket H1,H3 (1D,1F)</v>
      </c>
      <c r="J41" s="48" t="str">
        <f>'16U BOYS PLATINUM-19 TEAMS'!J51&amp;""</f>
        <v>16U_BOYS_PLATINUM</v>
      </c>
    </row>
    <row r="42" spans="1:10">
      <c r="A42" s="50">
        <f>'16U BOYS PLATINUM-19 TEAMS'!A62</f>
        <v>45725</v>
      </c>
      <c r="B42" s="45">
        <f>'16U BOYS PLATINUM-19 TEAMS'!B62</f>
        <v>0.33333333333333331</v>
      </c>
      <c r="C42" s="45" t="str">
        <f>'16U BOYS PLATINUM-19 TEAMS'!C62&amp;""</f>
        <v>MARINA HS</v>
      </c>
      <c r="D42" s="52" t="str">
        <f>'16U BOYS PLATINUM-19 TEAMS'!D62&amp;""</f>
        <v>16Bpt23</v>
      </c>
      <c r="E42" s="53" t="str">
        <f>'16U BOYS PLATINUM-19 TEAMS'!E62&amp;""</f>
        <v>J1(2ndD)-NEWPORT</v>
      </c>
      <c r="F42" s="54" t="str">
        <f>'16U BOYS PLATINUM-19 TEAMS'!F62&amp;""</f>
        <v>9.4</v>
      </c>
      <c r="G42" s="53" t="str">
        <f>'16U BOYS PLATINUM-19 TEAMS'!G62&amp;""</f>
        <v>J3(2ndF)-TROJAN</v>
      </c>
      <c r="H42" s="54" t="str">
        <f>'16U BOYS PLATINUM-19 TEAMS'!H62&amp;""</f>
        <v>9.3</v>
      </c>
      <c r="I42" s="55" t="str">
        <f>'16U BOYS PLATINUM-19 TEAMS'!I62&amp;""</f>
        <v>bracket J1,J3</v>
      </c>
      <c r="J42" s="52" t="str">
        <f>'16U BOYS PLATINUM-19 TEAMS'!J62&amp;""</f>
        <v>16U_BOYS_PLATINUM</v>
      </c>
    </row>
    <row r="43" spans="1:10">
      <c r="A43" s="46">
        <f>'16U BOYS PLATINUM-19 TEAMS'!A52</f>
        <v>45725</v>
      </c>
      <c r="B43" s="47">
        <f>'16U BOYS PLATINUM-19 TEAMS'!B52</f>
        <v>0.375</v>
      </c>
      <c r="C43" s="47" t="str">
        <f>'16U BOYS PLATINUM-19 TEAMS'!C52&amp;""</f>
        <v>WESTMINSTER HS</v>
      </c>
      <c r="D43" s="48" t="str">
        <f>'16U BOYS PLATINUM-19 TEAMS'!D52&amp;""</f>
        <v>16Bpt24</v>
      </c>
      <c r="E43" s="48" t="str">
        <f>'16U BOYS PLATINUM-19 TEAMS'!E52&amp;""</f>
        <v>I1(2ndA)-NORTH IRVINE BLACK</v>
      </c>
      <c r="F43" s="48" t="str">
        <f>'16U BOYS PLATINUM-19 TEAMS'!F52&amp;""</f>
        <v>10</v>
      </c>
      <c r="G43" s="48" t="str">
        <f>'16U BOYS PLATINUM-19 TEAMS'!G52&amp;""</f>
        <v>I3(2ndC)-LA JOLLA UNITED NAVY</v>
      </c>
      <c r="H43" s="48" t="str">
        <f>'16U BOYS PLATINUM-19 TEAMS'!H52&amp;""</f>
        <v>15</v>
      </c>
      <c r="I43" s="48" t="str">
        <f>'16U BOYS PLATINUM-19 TEAMS'!I52&amp;""</f>
        <v>I bracket I1,I3 (2A,2C)</v>
      </c>
      <c r="J43" s="48" t="str">
        <f>'16U BOYS PLATINUM-19 TEAMS'!J52&amp;""</f>
        <v>16U_BOYS_PLATINUM</v>
      </c>
    </row>
    <row r="44" spans="1:10">
      <c r="A44" s="50">
        <f>'16U BOYS PLATINUM-19 TEAMS'!A63</f>
        <v>45725</v>
      </c>
      <c r="B44" s="45">
        <f>'16U BOYS PLATINUM-19 TEAMS'!B63</f>
        <v>0.375</v>
      </c>
      <c r="C44" s="45" t="str">
        <f>'16U BOYS PLATINUM-19 TEAMS'!C63&amp;""</f>
        <v>MARINA HS</v>
      </c>
      <c r="D44" s="52" t="str">
        <f>'16U BOYS PLATINUM-19 TEAMS'!D63&amp;""</f>
        <v>16Bpt25</v>
      </c>
      <c r="E44" s="45" t="str">
        <f>'16U BOYS PLATINUM-19 TEAMS'!E63&amp;""</f>
        <v>K1(3rdA)-DIABLO RED</v>
      </c>
      <c r="F44" s="55" t="str">
        <f>'16U BOYS PLATINUM-19 TEAMS'!F63&amp;""</f>
        <v>8</v>
      </c>
      <c r="G44" s="45" t="str">
        <f>'16U BOYS PLATINUM-19 TEAMS'!G63&amp;""</f>
        <v>K3(3rdC)-CHAWP</v>
      </c>
      <c r="H44" s="54" t="str">
        <f>'16U BOYS PLATINUM-19 TEAMS'!H63&amp;""</f>
        <v>7</v>
      </c>
      <c r="I44" s="55" t="str">
        <f>'16U BOYS PLATINUM-19 TEAMS'!I63&amp;""</f>
        <v>bracket K1,K3</v>
      </c>
      <c r="J44" s="52" t="str">
        <f>'16U BOYS PLATINUM-19 TEAMS'!J63&amp;""</f>
        <v>16U_BOYS_PLATINUM</v>
      </c>
    </row>
    <row r="45" spans="1:10">
      <c r="A45" s="46">
        <f>'16U BOYS PLATINUM-19 TEAMS'!A53</f>
        <v>45725</v>
      </c>
      <c r="B45" s="47">
        <f>'16U BOYS PLATINUM-19 TEAMS'!B53</f>
        <v>0.41666666666666702</v>
      </c>
      <c r="C45" s="47" t="str">
        <f>'16U BOYS PLATINUM-19 TEAMS'!C53&amp;""</f>
        <v>WESTMINSTER HS</v>
      </c>
      <c r="D45" s="48" t="str">
        <f>'16U BOYS PLATINUM-19 TEAMS'!D53&amp;""</f>
        <v>16Bpt26</v>
      </c>
      <c r="E45" s="48" t="str">
        <f>'16U BOYS PLATINUM-19 TEAMS'!E53&amp;""</f>
        <v>G2(1stB)-CHANNEL ISLANDS UNITED GOLD</v>
      </c>
      <c r="F45" s="48" t="str">
        <f>'16U BOYS PLATINUM-19 TEAMS'!F53&amp;""</f>
        <v>11</v>
      </c>
      <c r="G45" s="48" t="str">
        <f>'16U BOYS PLATINUM-19 TEAMS'!G53&amp;""</f>
        <v>G3(1stC)-STANFORD</v>
      </c>
      <c r="H45" s="48" t="str">
        <f>'16U BOYS PLATINUM-19 TEAMS'!H53&amp;""</f>
        <v>12</v>
      </c>
      <c r="I45" s="48" t="str">
        <f>'16U BOYS PLATINUM-19 TEAMS'!I53&amp;""</f>
        <v>G bracket G2,G3 (1B,1C)</v>
      </c>
      <c r="J45" s="48" t="str">
        <f>'16U BOYS PLATINUM-19 TEAMS'!J53&amp;""</f>
        <v>16U_BOYS_PLATINUM</v>
      </c>
    </row>
    <row r="46" spans="1:10">
      <c r="A46" s="50">
        <f>'16U BOYS PLATINUM-19 TEAMS'!A64</f>
        <v>45725</v>
      </c>
      <c r="B46" s="45">
        <f>'16U BOYS PLATINUM-19 TEAMS'!B64</f>
        <v>0.41666666666666702</v>
      </c>
      <c r="C46" s="45" t="str">
        <f>'16U BOYS PLATINUM-19 TEAMS'!C64&amp;""</f>
        <v>MARINA HS</v>
      </c>
      <c r="D46" s="83" t="str">
        <f>'16U BOYS PLATINUM-19 TEAMS'!D64&amp;""</f>
        <v>16Bpt27</v>
      </c>
      <c r="E46" s="53" t="str">
        <f>'16U BOYS PLATINUM-19 TEAMS'!E64&amp;""</f>
        <v>L1(3rdD)-PATRIOT</v>
      </c>
      <c r="F46" s="54" t="str">
        <f>'16U BOYS PLATINUM-19 TEAMS'!F64&amp;""</f>
        <v>12</v>
      </c>
      <c r="G46" s="53" t="str">
        <f>'16U BOYS PLATINUM-19 TEAMS'!G64&amp;""</f>
        <v>L4(4thF)-FOOTHILL RED</v>
      </c>
      <c r="H46" s="54" t="str">
        <f>'16U BOYS PLATINUM-19 TEAMS'!H64&amp;""</f>
        <v>11</v>
      </c>
      <c r="I46" s="55" t="str">
        <f>'16U BOYS PLATINUM-19 TEAMS'!I64&amp;""</f>
        <v>W/L L1/L4</v>
      </c>
      <c r="J46" s="52" t="str">
        <f>'16U BOYS PLATINUM-19 TEAMS'!J64&amp;""</f>
        <v>16U_BOYS_PLATINUM</v>
      </c>
    </row>
    <row r="47" spans="1:10">
      <c r="A47" s="46">
        <f>'16U BOYS PLATINUM-19 TEAMS'!A54</f>
        <v>45725</v>
      </c>
      <c r="B47" s="47">
        <f>'16U BOYS PLATINUM-19 TEAMS'!B54</f>
        <v>0.45833333333333298</v>
      </c>
      <c r="C47" s="47" t="str">
        <f>'16U BOYS PLATINUM-19 TEAMS'!C54&amp;""</f>
        <v>WESTMINSTER HS</v>
      </c>
      <c r="D47" s="48" t="str">
        <f>'16U BOYS PLATINUM-19 TEAMS'!D54&amp;""</f>
        <v>16Bpt28</v>
      </c>
      <c r="E47" s="48" t="str">
        <f>'16U BOYS PLATINUM-19 TEAMS'!E54&amp;""</f>
        <v>H1(1stD)-CC UNITED BLACK</v>
      </c>
      <c r="F47" s="48" t="str">
        <f>'16U BOYS PLATINUM-19 TEAMS'!F54&amp;""</f>
        <v>11</v>
      </c>
      <c r="G47" s="48" t="str">
        <f>'16U BOYS PLATINUM-19 TEAMS'!G54&amp;""</f>
        <v>H2(1stE)-MISSION</v>
      </c>
      <c r="H47" s="48" t="str">
        <f>'16U BOYS PLATINUM-19 TEAMS'!H54&amp;""</f>
        <v>7</v>
      </c>
      <c r="I47" s="48" t="str">
        <f>'16U BOYS PLATINUM-19 TEAMS'!I54&amp;""</f>
        <v>H bracket H1,H2 (1D.1E)</v>
      </c>
      <c r="J47" s="48" t="str">
        <f>'16U BOYS PLATINUM-19 TEAMS'!J54&amp;""</f>
        <v>16U_BOYS_PLATINUM</v>
      </c>
    </row>
    <row r="48" spans="1:10">
      <c r="A48" s="50">
        <f>'16U BOYS PLATINUM-19 TEAMS'!A65</f>
        <v>45725</v>
      </c>
      <c r="B48" s="45">
        <f>'16U BOYS PLATINUM-19 TEAMS'!B65</f>
        <v>0.45833333333333298</v>
      </c>
      <c r="C48" s="45" t="str">
        <f>'16U BOYS PLATINUM-19 TEAMS'!C65&amp;""</f>
        <v>MARINA HS</v>
      </c>
      <c r="D48" s="83" t="str">
        <f>'16U BOYS PLATINUM-19 TEAMS'!D65&amp;""</f>
        <v>16Bpt29</v>
      </c>
      <c r="E48" s="45" t="str">
        <f>'16U BOYS PLATINUM-19 TEAMS'!E65&amp;""</f>
        <v>L2(3rdE)-VANGUARD BLUE</v>
      </c>
      <c r="F48" s="55" t="str">
        <f>'16U BOYS PLATINUM-19 TEAMS'!F65&amp;""</f>
        <v>13</v>
      </c>
      <c r="G48" s="45" t="str">
        <f>'16U BOYS PLATINUM-19 TEAMS'!G65&amp;""</f>
        <v>L3(3rdF)-TEXAS THUINDER</v>
      </c>
      <c r="H48" s="54" t="str">
        <f>'16U BOYS PLATINUM-19 TEAMS'!H65&amp;""</f>
        <v>12</v>
      </c>
      <c r="I48" s="55" t="str">
        <f>'16U BOYS PLATINUM-19 TEAMS'!I65&amp;""</f>
        <v>W/L L2/L3</v>
      </c>
      <c r="J48" s="52" t="str">
        <f>'16U BOYS PLATINUM-19 TEAMS'!J65&amp;""</f>
        <v>16U_BOYS_PLATINUM</v>
      </c>
    </row>
    <row r="49" spans="1:10">
      <c r="A49" s="46">
        <f>'16U BOYS PLATINUM-19 TEAMS'!A55</f>
        <v>45725</v>
      </c>
      <c r="B49" s="47">
        <f>'16U BOYS PLATINUM-19 TEAMS'!B55</f>
        <v>0.5</v>
      </c>
      <c r="C49" s="47" t="str">
        <f>'16U BOYS PLATINUM-19 TEAMS'!C55&amp;""</f>
        <v>WESTMINSTER HS</v>
      </c>
      <c r="D49" s="48" t="str">
        <f>'16U BOYS PLATINUM-19 TEAMS'!D55&amp;""</f>
        <v>16Bpt30</v>
      </c>
      <c r="E49" s="48" t="str">
        <f>'16U BOYS PLATINUM-19 TEAMS'!E55&amp;""</f>
        <v>I2(2ndB)-ORANGE COUNTY WPC BLUE</v>
      </c>
      <c r="F49" s="48" t="str">
        <f>'16U BOYS PLATINUM-19 TEAMS'!F55&amp;""</f>
        <v>10</v>
      </c>
      <c r="G49" s="48" t="str">
        <f>'16U BOYS PLATINUM-19 TEAMS'!G55&amp;""</f>
        <v>I3(2ndC)-LA JOLLA UNITED NAVY</v>
      </c>
      <c r="H49" s="48" t="str">
        <f>'16U BOYS PLATINUM-19 TEAMS'!H55&amp;""</f>
        <v>14</v>
      </c>
      <c r="I49" s="48" t="str">
        <f>'16U BOYS PLATINUM-19 TEAMS'!I55&amp;""</f>
        <v>I bracket I2,I3 (2B,2C)</v>
      </c>
      <c r="J49" s="48" t="str">
        <f>'16U BOYS PLATINUM-19 TEAMS'!J55&amp;""</f>
        <v>16U_BOYS_PLATINUM</v>
      </c>
    </row>
    <row r="50" spans="1:10">
      <c r="A50" s="50">
        <f>'16U BOYS PLATINUM-19 TEAMS'!A66</f>
        <v>45725</v>
      </c>
      <c r="B50" s="45">
        <f>'16U BOYS PLATINUM-19 TEAMS'!B66</f>
        <v>0.5</v>
      </c>
      <c r="C50" s="45" t="str">
        <f>'16U BOYS PLATINUM-19 TEAMS'!C66&amp;""</f>
        <v>MARINA HS</v>
      </c>
      <c r="D50" s="52" t="str">
        <f>'16U BOYS PLATINUM-19 TEAMS'!D66&amp;""</f>
        <v>16Bpt31</v>
      </c>
      <c r="E50" s="53" t="str">
        <f>'16U BOYS PLATINUM-19 TEAMS'!E66&amp;""</f>
        <v>J2(2ndE)-ATHERTON</v>
      </c>
      <c r="F50" s="54" t="str">
        <f>'16U BOYS PLATINUM-19 TEAMS'!F66&amp;""</f>
        <v>14</v>
      </c>
      <c r="G50" s="53" t="str">
        <f>'16U BOYS PLATINUM-19 TEAMS'!G66&amp;""</f>
        <v>J3(2ndF)-TROJAN</v>
      </c>
      <c r="H50" s="54" t="str">
        <f>'16U BOYS PLATINUM-19 TEAMS'!H66&amp;""</f>
        <v>9</v>
      </c>
      <c r="I50" s="55" t="str">
        <f>'16U BOYS PLATINUM-19 TEAMS'!I66&amp;""</f>
        <v>bracket J2,J3</v>
      </c>
      <c r="J50" s="52" t="str">
        <f>'16U BOYS PLATINUM-19 TEAMS'!J66&amp;""</f>
        <v>16U_BOYS_PLATINUM</v>
      </c>
    </row>
    <row r="51" spans="1:10">
      <c r="A51" s="46">
        <f>'16U BOYS PLATINUM-19 TEAMS'!A56</f>
        <v>45725</v>
      </c>
      <c r="B51" s="47">
        <f>'16U BOYS PLATINUM-19 TEAMS'!B56</f>
        <v>0.54166666666666696</v>
      </c>
      <c r="C51" s="47" t="str">
        <f>'16U BOYS PLATINUM-19 TEAMS'!C56&amp;""</f>
        <v>WESTMINSTER HS</v>
      </c>
      <c r="D51" s="48" t="str">
        <f>'16U BOYS PLATINUM-19 TEAMS'!D56&amp;""</f>
        <v>16Bpt32</v>
      </c>
      <c r="E51" s="48" t="str">
        <f>'16U BOYS PLATINUM-19 TEAMS'!E56&amp;""</f>
        <v>G1(1stA)-DEL MAR</v>
      </c>
      <c r="F51" s="48" t="str">
        <f>'16U BOYS PLATINUM-19 TEAMS'!F56&amp;""</f>
        <v>14</v>
      </c>
      <c r="G51" s="48" t="str">
        <f>'16U BOYS PLATINUM-19 TEAMS'!G56&amp;""</f>
        <v>G2(1stB)-CHANNEL ISLANDS UNITED GOLD</v>
      </c>
      <c r="H51" s="48" t="str">
        <f>'16U BOYS PLATINUM-19 TEAMS'!H56&amp;""</f>
        <v>8</v>
      </c>
      <c r="I51" s="48" t="str">
        <f>'16U BOYS PLATINUM-19 TEAMS'!I56&amp;""</f>
        <v>G bracket G1,G2 (1A,1B)</v>
      </c>
      <c r="J51" s="48" t="str">
        <f>'16U BOYS PLATINUM-19 TEAMS'!J56&amp;""</f>
        <v>16U_BOYS_PLATINUM</v>
      </c>
    </row>
    <row r="52" spans="1:10">
      <c r="A52" s="50">
        <f>'16U BOYS PLATINUM-19 TEAMS'!A67</f>
        <v>45725</v>
      </c>
      <c r="B52" s="45">
        <f>'16U BOYS PLATINUM-19 TEAMS'!B67</f>
        <v>0.54166666666666696</v>
      </c>
      <c r="C52" s="45" t="str">
        <f>'16U BOYS PLATINUM-19 TEAMS'!C67&amp;""</f>
        <v>MARINA HS</v>
      </c>
      <c r="D52" s="52" t="str">
        <f>'16U BOYS PLATINUM-19 TEAMS'!D67&amp;""</f>
        <v>16Bpt33</v>
      </c>
      <c r="E52" s="45" t="str">
        <f>'16U BOYS PLATINUM-19 TEAMS'!E67&amp;""</f>
        <v>K2(3rdB)-ROSE BOWL RED</v>
      </c>
      <c r="F52" s="55" t="str">
        <f>'16U BOYS PLATINUM-19 TEAMS'!F67&amp;""</f>
        <v>19</v>
      </c>
      <c r="G52" s="45" t="str">
        <f>'16U BOYS PLATINUM-19 TEAMS'!G67&amp;""</f>
        <v>K3(3rdC)-CHAWP</v>
      </c>
      <c r="H52" s="54" t="str">
        <f>'16U BOYS PLATINUM-19 TEAMS'!H67&amp;""</f>
        <v>15</v>
      </c>
      <c r="I52" s="55" t="str">
        <f>'16U BOYS PLATINUM-19 TEAMS'!I67&amp;""</f>
        <v>bracket K2,K3</v>
      </c>
      <c r="J52" s="52" t="str">
        <f>'16U BOYS PLATINUM-19 TEAMS'!J67&amp;""</f>
        <v>16U_BOYS_PLATINUM</v>
      </c>
    </row>
    <row r="53" spans="1:10">
      <c r="A53" s="46">
        <f>'16U BOYS PLATINUM-19 TEAMS'!A57</f>
        <v>45725</v>
      </c>
      <c r="B53" s="47">
        <f>'16U BOYS PLATINUM-19 TEAMS'!B57</f>
        <v>0.58333333333333304</v>
      </c>
      <c r="C53" s="47" t="str">
        <f>'16U BOYS PLATINUM-19 TEAMS'!C57&amp;""</f>
        <v>WESTMINSTER HS</v>
      </c>
      <c r="D53" s="48" t="str">
        <f>'16U BOYS PLATINUM-19 TEAMS'!D57&amp;""</f>
        <v>16Bpt34</v>
      </c>
      <c r="E53" s="48" t="str">
        <f>'16U BOYS PLATINUM-19 TEAMS'!E57&amp;""</f>
        <v>I1(2ndA)-NORTH IRVINE BLACK</v>
      </c>
      <c r="F53" s="48" t="str">
        <f>'16U BOYS PLATINUM-19 TEAMS'!F57&amp;""</f>
        <v>11</v>
      </c>
      <c r="G53" s="48" t="str">
        <f>'16U BOYS PLATINUM-19 TEAMS'!G57&amp;""</f>
        <v>I2(2ndB)-ORANGE COUNTY WPC BLUE</v>
      </c>
      <c r="H53" s="48" t="str">
        <f>'16U BOYS PLATINUM-19 TEAMS'!H57&amp;""</f>
        <v>10</v>
      </c>
      <c r="I53" s="48" t="str">
        <f>'16U BOYS PLATINUM-19 TEAMS'!I57&amp;""</f>
        <v>I bracket I1,I2 (2A,2B)</v>
      </c>
      <c r="J53" s="48" t="str">
        <f>'16U BOYS PLATINUM-19 TEAMS'!J57&amp;""</f>
        <v>16U_BOYS_PLATINUM</v>
      </c>
    </row>
    <row r="54" spans="1:10">
      <c r="A54" s="50">
        <f>'16U BOYS PLATINUM-19 TEAMS'!A68</f>
        <v>45725</v>
      </c>
      <c r="B54" s="45">
        <f>'16U BOYS PLATINUM-19 TEAMS'!B68</f>
        <v>0.58333333333333304</v>
      </c>
      <c r="C54" s="45" t="str">
        <f>'16U BOYS PLATINUM-19 TEAMS'!C68&amp;""</f>
        <v>MARINA HS</v>
      </c>
      <c r="D54" s="83" t="str">
        <f>'16U BOYS PLATINUM-19 TEAMS'!D68&amp;""</f>
        <v>16Bpt35</v>
      </c>
      <c r="E54" s="53" t="str">
        <f>'16U BOYS PLATINUM-19 TEAMS'!E68&amp;""</f>
        <v>PATRIOT</v>
      </c>
      <c r="F54" s="54" t="str">
        <f>'16U BOYS PLATINUM-19 TEAMS'!F68&amp;""</f>
        <v>12</v>
      </c>
      <c r="G54" s="53" t="str">
        <f>'16U BOYS PLATINUM-19 TEAMS'!G68&amp;""</f>
        <v>L#29-TEXAS THUINDER</v>
      </c>
      <c r="H54" s="54" t="str">
        <f>'16U BOYS PLATINUM-19 TEAMS'!H68&amp;""</f>
        <v>11</v>
      </c>
      <c r="I54" s="55" t="str">
        <f>'16U BOYS PLATINUM-19 TEAMS'!I68&amp;""</f>
        <v>3rd/4thL</v>
      </c>
      <c r="J54" s="52" t="str">
        <f>'16U BOYS PLATINUM-19 TEAMS'!J68&amp;""</f>
        <v>16U_BOYS_PLATINUM</v>
      </c>
    </row>
    <row r="55" spans="1:10">
      <c r="A55" s="46">
        <f>'16U BOYS PLATINUM-19 TEAMS'!A58</f>
        <v>45725</v>
      </c>
      <c r="B55" s="47">
        <f>'16U BOYS PLATINUM-19 TEAMS'!B58</f>
        <v>0.625</v>
      </c>
      <c r="C55" s="47" t="str">
        <f>'16U BOYS PLATINUM-19 TEAMS'!C58&amp;""</f>
        <v>WESTMINSTER HS</v>
      </c>
      <c r="D55" s="48" t="str">
        <f>'16U BOYS PLATINUM-19 TEAMS'!D58&amp;""</f>
        <v>16Bpt36</v>
      </c>
      <c r="E55" s="48" t="str">
        <f>'16U BOYS PLATINUM-19 TEAMS'!E58&amp;""</f>
        <v>P1(3rdG)-CHANNEL ISLANDS UNITED GOLD</v>
      </c>
      <c r="F55" s="48" t="str">
        <f>'16U BOYS PLATINUM-19 TEAMS'!F58&amp;""</f>
        <v>10</v>
      </c>
      <c r="G55" s="48" t="str">
        <f>'16U BOYS PLATINUM-19 TEAMS'!G58&amp;""</f>
        <v>P2(3rdH)-SD SHORES BLACK</v>
      </c>
      <c r="H55" s="48" t="str">
        <f>'16U BOYS PLATINUM-19 TEAMS'!H58&amp;""</f>
        <v>12</v>
      </c>
      <c r="I55" s="48" t="str">
        <f>'16U BOYS PLATINUM-19 TEAMS'!I58&amp;""</f>
        <v>5th 3G/3H</v>
      </c>
      <c r="J55" s="48" t="str">
        <f>'16U BOYS PLATINUM-19 TEAMS'!J58&amp;""</f>
        <v>16U_BOYS_PLATINUM</v>
      </c>
    </row>
    <row r="56" spans="1:10">
      <c r="A56" s="50">
        <f>'16U BOYS PLATINUM-19 TEAMS'!A69</f>
        <v>45725</v>
      </c>
      <c r="B56" s="45">
        <f>'16U BOYS PLATINUM-19 TEAMS'!B69</f>
        <v>0.625</v>
      </c>
      <c r="C56" s="45" t="str">
        <f>'16U BOYS PLATINUM-19 TEAMS'!C69&amp;""</f>
        <v>MARINA HS</v>
      </c>
      <c r="D56" s="83" t="str">
        <f>'16U BOYS PLATINUM-19 TEAMS'!D69&amp;""</f>
        <v>16Bpt37</v>
      </c>
      <c r="E56" s="45" t="str">
        <f>'16U BOYS PLATINUM-19 TEAMS'!E69&amp;""</f>
        <v>FOOTHILL RED</v>
      </c>
      <c r="F56" s="55" t="str">
        <f>'16U BOYS PLATINUM-19 TEAMS'!F69&amp;""</f>
        <v>8</v>
      </c>
      <c r="G56" s="45" t="str">
        <f>'16U BOYS PLATINUM-19 TEAMS'!G69&amp;""</f>
        <v>W#29-VANGUARD BLUE</v>
      </c>
      <c r="H56" s="54" t="str">
        <f>'16U BOYS PLATINUM-19 TEAMS'!H69&amp;""</f>
        <v>12</v>
      </c>
      <c r="I56" s="55" t="str">
        <f>'16U BOYS PLATINUM-19 TEAMS'!I69&amp;""</f>
        <v>1st/2ndL</v>
      </c>
      <c r="J56" s="52" t="str">
        <f>'16U BOYS PLATINUM-19 TEAMS'!J69&amp;""</f>
        <v>16U_BOYS_PLATINUM</v>
      </c>
    </row>
    <row r="57" spans="1:10">
      <c r="A57" s="46">
        <f>'16U BOYS PLATINUM-19 TEAMS'!A59</f>
        <v>45725</v>
      </c>
      <c r="B57" s="47">
        <f>'16U BOYS PLATINUM-19 TEAMS'!B59</f>
        <v>0.66666666666666696</v>
      </c>
      <c r="C57" s="47" t="str">
        <f>'16U BOYS PLATINUM-19 TEAMS'!C59&amp;""</f>
        <v>WESTMINSTER HS</v>
      </c>
      <c r="D57" s="48" t="str">
        <f>'16U BOYS PLATINUM-19 TEAMS'!D59&amp;""</f>
        <v>16Bpt38</v>
      </c>
      <c r="E57" s="48" t="str">
        <f>'16U BOYS PLATINUM-19 TEAMS'!E59&amp;""</f>
        <v>N1(2ndG)-DEL MAR</v>
      </c>
      <c r="F57" s="48" t="str">
        <f>'16U BOYS PLATINUM-19 TEAMS'!F59&amp;""</f>
        <v>11</v>
      </c>
      <c r="G57" s="48" t="str">
        <f>'16U BOYS PLATINUM-19 TEAMS'!G59&amp;""</f>
        <v>N2(2ndH)-MISSION</v>
      </c>
      <c r="H57" s="48" t="str">
        <f>'16U BOYS PLATINUM-19 TEAMS'!H59&amp;""</f>
        <v>8</v>
      </c>
      <c r="I57" s="48" t="str">
        <f>'16U BOYS PLATINUM-19 TEAMS'!I59&amp;""</f>
        <v>3rd 2G/2H</v>
      </c>
      <c r="J57" s="48" t="str">
        <f>'16U BOYS PLATINUM-19 TEAMS'!J59&amp;""</f>
        <v>16U_BOYS_PLATINUM</v>
      </c>
    </row>
    <row r="58" spans="1:10">
      <c r="A58" s="50">
        <f>'16U BOYS PLATINUM-19 TEAMS'!A70</f>
        <v>45725</v>
      </c>
      <c r="B58" s="45">
        <f>'16U BOYS PLATINUM-19 TEAMS'!B70</f>
        <v>0.66666666666666696</v>
      </c>
      <c r="C58" s="45" t="str">
        <f>'16U BOYS PLATINUM-19 TEAMS'!C70&amp;""</f>
        <v>MARINA HS</v>
      </c>
      <c r="D58" s="52" t="str">
        <f>'16U BOYS PLATINUM-19 TEAMS'!D70&amp;""</f>
        <v>16Bpt39</v>
      </c>
      <c r="E58" s="53" t="str">
        <f>'16U BOYS PLATINUM-19 TEAMS'!E70&amp;""</f>
        <v>J1(2ndD)-NEWPORT</v>
      </c>
      <c r="F58" s="54" t="str">
        <f>'16U BOYS PLATINUM-19 TEAMS'!F70&amp;""</f>
        <v>9</v>
      </c>
      <c r="G58" s="53" t="str">
        <f>'16U BOYS PLATINUM-19 TEAMS'!G70&amp;""</f>
        <v>J2(2ndE)-ATHERTON</v>
      </c>
      <c r="H58" s="54" t="str">
        <f>'16U BOYS PLATINUM-19 TEAMS'!H70&amp;""</f>
        <v>10</v>
      </c>
      <c r="I58" s="55" t="str">
        <f>'16U BOYS PLATINUM-19 TEAMS'!I70&amp;""</f>
        <v>bracket J1,J2</v>
      </c>
      <c r="J58" s="52" t="str">
        <f>'16U BOYS PLATINUM-19 TEAMS'!J70&amp;""</f>
        <v>16U_BOYS_PLATINUM</v>
      </c>
    </row>
    <row r="59" spans="1:10">
      <c r="A59" s="46">
        <f>'16U BOYS PLATINUM-19 TEAMS'!A60</f>
        <v>45725</v>
      </c>
      <c r="B59" s="47">
        <f>'16U BOYS PLATINUM-19 TEAMS'!B60</f>
        <v>0.70833333333333304</v>
      </c>
      <c r="C59" s="47" t="str">
        <f>'16U BOYS PLATINUM-19 TEAMS'!C60&amp;""</f>
        <v>WESTMINSTER HS</v>
      </c>
      <c r="D59" s="48" t="str">
        <f>'16U BOYS PLATINUM-19 TEAMS'!D60&amp;""</f>
        <v>16Bpt40</v>
      </c>
      <c r="E59" s="48" t="str">
        <f>'16U BOYS PLATINUM-19 TEAMS'!E60&amp;""</f>
        <v>O1(1stG)-STANFORD</v>
      </c>
      <c r="F59" s="48" t="str">
        <f>'16U BOYS PLATINUM-19 TEAMS'!F60&amp;""</f>
        <v>11</v>
      </c>
      <c r="G59" s="48" t="str">
        <f>'16U BOYS PLATINUM-19 TEAMS'!G60&amp;""</f>
        <v>O2(1stH)-CC UNITED BLACK</v>
      </c>
      <c r="H59" s="48" t="str">
        <f>'16U BOYS PLATINUM-19 TEAMS'!H60&amp;""</f>
        <v>14</v>
      </c>
      <c r="I59" s="48" t="str">
        <f>'16U BOYS PLATINUM-19 TEAMS'!I60&amp;""</f>
        <v>1st 1G/1H</v>
      </c>
      <c r="J59" s="48" t="str">
        <f>'16U BOYS PLATINUM-19 TEAMS'!J60&amp;""</f>
        <v>16U_BOYS_PLATINUM</v>
      </c>
    </row>
    <row r="60" spans="1:10">
      <c r="A60" s="50">
        <f>'16U BOYS PLATINUM-19 TEAMS'!A71</f>
        <v>45725</v>
      </c>
      <c r="B60" s="45">
        <f>'16U BOYS PLATINUM-19 TEAMS'!B71</f>
        <v>0.70833333333333304</v>
      </c>
      <c r="C60" s="45" t="str">
        <f>'16U BOYS PLATINUM-19 TEAMS'!C71&amp;""</f>
        <v>MARINA HS</v>
      </c>
      <c r="D60" s="52" t="str">
        <f>'16U BOYS PLATINUM-19 TEAMS'!D71&amp;""</f>
        <v>16Bpt41</v>
      </c>
      <c r="E60" s="45" t="str">
        <f>'16U BOYS PLATINUM-19 TEAMS'!E71&amp;""</f>
        <v>K1(3rdA)-DIABLO RED</v>
      </c>
      <c r="F60" s="55" t="str">
        <f>'16U BOYS PLATINUM-19 TEAMS'!F71&amp;""</f>
        <v>14</v>
      </c>
      <c r="G60" s="45" t="str">
        <f>'16U BOYS PLATINUM-19 TEAMS'!G71&amp;""</f>
        <v>K2(3rdB)-ROSE BOWL RED</v>
      </c>
      <c r="H60" s="54" t="str">
        <f>'16U BOYS PLATINUM-19 TEAMS'!H71&amp;""</f>
        <v>13</v>
      </c>
      <c r="I60" s="55" t="str">
        <f>'16U BOYS PLATINUM-19 TEAMS'!I71&amp;""</f>
        <v>bracket K1,K2</v>
      </c>
      <c r="J60" s="52" t="str">
        <f>'16U BOYS PLATINUM-19 TEAMS'!J71&amp;""</f>
        <v>16U_BOYS_PLATINUM</v>
      </c>
    </row>
    <row r="61" spans="1:10">
      <c r="A61" s="18">
        <f>'18U BOYS-24 TEAMS'!A27</f>
        <v>45724</v>
      </c>
      <c r="B61" s="19">
        <f>'18U BOYS-24 TEAMS'!B27</f>
        <v>0.33333333333333331</v>
      </c>
      <c r="C61" s="20" t="str">
        <f>'18U BOYS-24 TEAMS'!C27&amp;""</f>
        <v>EL TORO HS</v>
      </c>
      <c r="D61" s="21" t="str">
        <f>'18U BOYS-24 TEAMS'!D27&amp;""</f>
        <v>18B01</v>
      </c>
      <c r="E61" s="21" t="str">
        <f>'18U BOYS-24 TEAMS'!E27&amp;""</f>
        <v>5-CC UNITED</v>
      </c>
      <c r="F61" s="21" t="str">
        <f>'18U BOYS-24 TEAMS'!F27&amp;""</f>
        <v>12</v>
      </c>
      <c r="G61" s="114" t="str">
        <f>'18U BOYS-24 TEAMS'!G27&amp;""</f>
        <v>20-FOOTHILL RED</v>
      </c>
      <c r="H61" s="8" t="str">
        <f>'18U BOYS-24 TEAMS'!H27&amp;""</f>
        <v>7</v>
      </c>
      <c r="I61" s="8" t="str">
        <f>'18U BOYS-24 TEAMS'!I27&amp;""</f>
        <v>W/L C1/C4</v>
      </c>
      <c r="J61" s="21" t="str">
        <f>'18U BOYS-24 TEAMS'!J27&amp;""</f>
        <v>18U_BOYS</v>
      </c>
    </row>
    <row r="62" spans="1:10">
      <c r="A62" s="23">
        <f>'18U BOYS-24 TEAMS'!A42</f>
        <v>45724</v>
      </c>
      <c r="B62" s="24">
        <f>'18U BOYS-24 TEAMS'!B42</f>
        <v>0.33333333333333331</v>
      </c>
      <c r="C62" s="25" t="str">
        <f>'18U BOYS-24 TEAMS'!C42&amp;""</f>
        <v>MARINA HS</v>
      </c>
      <c r="D62" s="81" t="str">
        <f>'18U BOYS-24 TEAMS'!D42&amp;""</f>
        <v>18B02</v>
      </c>
      <c r="E62" s="27" t="str">
        <f>'18U BOYS-24 TEAMS'!E42&amp;""</f>
        <v>2-NORTH IRVINE BEAST BOYS</v>
      </c>
      <c r="F62" s="27" t="str">
        <f>'18U BOYS-24 TEAMS'!F42&amp;""</f>
        <v>18</v>
      </c>
      <c r="G62" s="27" t="str">
        <f>'18U BOYS-24 TEAMS'!G42&amp;""</f>
        <v>23-TEXAS THUNDER</v>
      </c>
      <c r="H62" s="27" t="str">
        <f>'18U BOYS-24 TEAMS'!H42&amp;""</f>
        <v>7</v>
      </c>
      <c r="I62" s="9" t="str">
        <f>'18U BOYS-24 TEAMS'!I42&amp;""</f>
        <v>W/L D1/D4</v>
      </c>
      <c r="J62" s="26" t="str">
        <f>'18U BOYS-24 TEAMS'!J42&amp;""</f>
        <v>18U_BOYS</v>
      </c>
    </row>
    <row r="63" spans="1:10">
      <c r="A63" s="18">
        <f>'18U BOYS-24 TEAMS'!A28</f>
        <v>45724</v>
      </c>
      <c r="B63" s="19">
        <f>'18U BOYS-24 TEAMS'!B28</f>
        <v>0.375</v>
      </c>
      <c r="C63" s="20" t="str">
        <f>'18U BOYS-24 TEAMS'!C28&amp;""</f>
        <v>EL TORO HS</v>
      </c>
      <c r="D63" s="21" t="str">
        <f>'18U BOYS-24 TEAMS'!D28&amp;""</f>
        <v>18B03</v>
      </c>
      <c r="E63" s="21" t="str">
        <f>'18U BOYS-24 TEAMS'!E28&amp;""</f>
        <v>8-SD SHORES BLACK</v>
      </c>
      <c r="F63" s="21" t="str">
        <f>'18U BOYS-24 TEAMS'!F28&amp;""</f>
        <v>12</v>
      </c>
      <c r="G63" s="21" t="str">
        <f>'18U BOYS-24 TEAMS'!G28&amp;""</f>
        <v>17-CHAWP</v>
      </c>
      <c r="H63" s="8" t="str">
        <f>'18U BOYS-24 TEAMS'!H28&amp;""</f>
        <v>11</v>
      </c>
      <c r="I63" s="8" t="str">
        <f>'18U BOYS-24 TEAMS'!I28&amp;""</f>
        <v>W/L C2/C3</v>
      </c>
      <c r="J63" s="21" t="str">
        <f>'18U BOYS-24 TEAMS'!J28&amp;""</f>
        <v>18U_BOYS</v>
      </c>
    </row>
    <row r="64" spans="1:10">
      <c r="A64" s="23">
        <f>'18U BOYS-24 TEAMS'!A43</f>
        <v>45724</v>
      </c>
      <c r="B64" s="24">
        <f>'18U BOYS-24 TEAMS'!B43</f>
        <v>0.375</v>
      </c>
      <c r="C64" s="25" t="str">
        <f>'18U BOYS-24 TEAMS'!C43&amp;""</f>
        <v>MARINA HS</v>
      </c>
      <c r="D64" s="81" t="str">
        <f>'18U BOYS-24 TEAMS'!D43&amp;""</f>
        <v>18B04</v>
      </c>
      <c r="E64" s="27" t="str">
        <f>'18U BOYS-24 TEAMS'!E43&amp;""</f>
        <v>11-STANFORD</v>
      </c>
      <c r="F64" s="27" t="str">
        <f>'18U BOYS-24 TEAMS'!F43&amp;""</f>
        <v>14</v>
      </c>
      <c r="G64" s="27" t="str">
        <f>'18U BOYS-24 TEAMS'!G43&amp;""</f>
        <v>14-LA JOLLA UNITED NAVY</v>
      </c>
      <c r="H64" s="27" t="str">
        <f>'18U BOYS-24 TEAMS'!H43&amp;""</f>
        <v>6</v>
      </c>
      <c r="I64" s="9" t="str">
        <f>'18U BOYS-24 TEAMS'!I43&amp;""</f>
        <v>W/L D2/D3</v>
      </c>
      <c r="J64" s="26" t="str">
        <f>'18U BOYS-24 TEAMS'!J43&amp;""</f>
        <v>18U_BOYS</v>
      </c>
    </row>
    <row r="65" spans="1:10">
      <c r="A65" s="23">
        <f>'18U BOYS-24 TEAMS'!A44</f>
        <v>45724</v>
      </c>
      <c r="B65" s="24">
        <f>'18U BOYS-24 TEAMS'!B44</f>
        <v>0.375</v>
      </c>
      <c r="C65" s="25" t="str">
        <f>'18U BOYS-24 TEAMS'!C44&amp;""</f>
        <v>TUSTIN HS</v>
      </c>
      <c r="D65" s="12" t="str">
        <f>'18U BOYS-24 TEAMS'!D44&amp;""</f>
        <v>18B08</v>
      </c>
      <c r="E65" s="9" t="str">
        <f>'18U BOYS-24 TEAMS'!E44&amp;""</f>
        <v>10-SOCAL BLACK</v>
      </c>
      <c r="F65" s="9" t="str">
        <f>'18U BOYS-24 TEAMS'!F44&amp;""</f>
        <v>14</v>
      </c>
      <c r="G65" s="9" t="str">
        <f>'18U BOYS-24 TEAMS'!G44&amp;""</f>
        <v>15-DIABLO RED</v>
      </c>
      <c r="H65" s="9" t="str">
        <f>'18U BOYS-24 TEAMS'!H44&amp;""</f>
        <v>6</v>
      </c>
      <c r="I65" s="9" t="str">
        <f>'18U BOYS-24 TEAMS'!I44&amp;""</f>
        <v>W/L E2/E3</v>
      </c>
      <c r="J65" s="26" t="str">
        <f>'18U BOYS-24 TEAMS'!J45&amp;""</f>
        <v>18U_BOYS</v>
      </c>
    </row>
    <row r="66" spans="1:10">
      <c r="A66" s="18">
        <f>'18U BOYS-24 TEAMS'!A29</f>
        <v>45724</v>
      </c>
      <c r="B66" s="19">
        <f>'18U BOYS-24 TEAMS'!B29</f>
        <v>0.41666666666666702</v>
      </c>
      <c r="C66" s="20" t="str">
        <f>'18U BOYS-24 TEAMS'!C29&amp;""</f>
        <v>EL TORO HS</v>
      </c>
      <c r="D66" s="21" t="str">
        <f>'18U BOYS-24 TEAMS'!D29&amp;""</f>
        <v>18B05</v>
      </c>
      <c r="E66" s="21" t="str">
        <f>'18U BOYS-24 TEAMS'!E29&amp;""</f>
        <v>1-LAMORINDA</v>
      </c>
      <c r="F66" s="21" t="str">
        <f>'18U BOYS-24 TEAMS'!F29&amp;""</f>
        <v>19</v>
      </c>
      <c r="G66" s="21" t="str">
        <f>'18U BOYS-24 TEAMS'!G29&amp;""</f>
        <v>24-NORTH IRVINE VEGAS</v>
      </c>
      <c r="H66" s="8" t="str">
        <f>'18U BOYS-24 TEAMS'!H29&amp;""</f>
        <v>8</v>
      </c>
      <c r="I66" s="8" t="str">
        <f>'18U BOYS-24 TEAMS'!I29&amp;""</f>
        <v>W/L A1/A4</v>
      </c>
      <c r="J66" s="21" t="str">
        <f>'18U BOYS-24 TEAMS'!J29&amp;""</f>
        <v>18U_BOYS</v>
      </c>
    </row>
    <row r="67" spans="1:10">
      <c r="A67" s="23">
        <f>'18U BOYS-24 TEAMS'!A45</f>
        <v>45724</v>
      </c>
      <c r="B67" s="24">
        <f>'18U BOYS-24 TEAMS'!B45</f>
        <v>0.41666666666666702</v>
      </c>
      <c r="C67" s="25" t="str">
        <f>'18U BOYS-24 TEAMS'!C45&amp;""</f>
        <v>TUSTIN HS</v>
      </c>
      <c r="D67" s="12" t="str">
        <f>'18U BOYS-24 TEAMS'!D45&amp;""</f>
        <v>18B06</v>
      </c>
      <c r="E67" s="27" t="str">
        <f>'18U BOYS-24 TEAMS'!E45&amp;""</f>
        <v>3-DEL MAR</v>
      </c>
      <c r="F67" s="27" t="str">
        <f>'18U BOYS-24 TEAMS'!F45&amp;""</f>
        <v>13</v>
      </c>
      <c r="G67" s="27" t="str">
        <f>'18U BOYS-24 TEAMS'!G45&amp;""</f>
        <v>22-ROSE BOWL RED</v>
      </c>
      <c r="H67" s="27" t="str">
        <f>'18U BOYS-24 TEAMS'!H45&amp;""</f>
        <v>5</v>
      </c>
      <c r="I67" s="9" t="str">
        <f>'18U BOYS-24 TEAMS'!I45&amp;""</f>
        <v>W/L E1/E4</v>
      </c>
      <c r="J67" s="26" t="str">
        <f>'18U BOYS-24 TEAMS'!J44&amp;""</f>
        <v>18U_BOYS</v>
      </c>
    </row>
    <row r="68" spans="1:10">
      <c r="A68" s="18">
        <f>'18U BOYS-24 TEAMS'!A30</f>
        <v>45724</v>
      </c>
      <c r="B68" s="19">
        <f>'18U BOYS-24 TEAMS'!B30</f>
        <v>0.41666666666666702</v>
      </c>
      <c r="C68" s="20" t="str">
        <f>'18U BOYS-24 TEAMS'!C30&amp;""</f>
        <v>MARINA HS</v>
      </c>
      <c r="D68" s="21" t="str">
        <f>'18U BOYS-24 TEAMS'!D30&amp;""</f>
        <v>18B11</v>
      </c>
      <c r="E68" s="21" t="str">
        <f>'18U BOYS-24 TEAMS'!E30&amp;""</f>
        <v>9-SAN FRANCISCO</v>
      </c>
      <c r="F68" s="21" t="str">
        <f>'18U BOYS-24 TEAMS'!F30&amp;""</f>
        <v>13</v>
      </c>
      <c r="G68" s="21" t="str">
        <f>'18U BOYS-24 TEAMS'!G30&amp;""</f>
        <v>16-IMPERIAL BLUE</v>
      </c>
      <c r="H68" s="8" t="str">
        <f>'18U BOYS-24 TEAMS'!H30&amp;""</f>
        <v>12</v>
      </c>
      <c r="I68" s="8" t="str">
        <f>'18U BOYS-24 TEAMS'!I30&amp;""</f>
        <v>W/L B2/B3</v>
      </c>
      <c r="J68" s="21" t="str">
        <f>'18U BOYS-24 TEAMS'!J30&amp;""</f>
        <v>18U_BOYS</v>
      </c>
    </row>
    <row r="69" spans="1:10">
      <c r="A69" s="18">
        <f>'18U BOYS-24 TEAMS'!A31</f>
        <v>45724</v>
      </c>
      <c r="B69" s="19">
        <f>'18U BOYS-24 TEAMS'!B31</f>
        <v>0.45833333333333298</v>
      </c>
      <c r="C69" s="20" t="str">
        <f>'18U BOYS-24 TEAMS'!C31&amp;""</f>
        <v>EL TORO HS</v>
      </c>
      <c r="D69" s="21" t="str">
        <f>'18U BOYS-24 TEAMS'!D31&amp;""</f>
        <v>18B07</v>
      </c>
      <c r="E69" s="21" t="str">
        <f>'18U BOYS-24 TEAMS'!E31&amp;""</f>
        <v>12-LA PREMIER</v>
      </c>
      <c r="F69" s="21" t="str">
        <f>'18U BOYS-24 TEAMS'!F31&amp;""</f>
        <v>8</v>
      </c>
      <c r="G69" s="21" t="str">
        <f>'18U BOYS-24 TEAMS'!G31&amp;""</f>
        <v>13-VANGUARD BLUE</v>
      </c>
      <c r="H69" s="8" t="str">
        <f>'18U BOYS-24 TEAMS'!H31&amp;""</f>
        <v>13</v>
      </c>
      <c r="I69" s="8" t="str">
        <f>'18U BOYS-24 TEAMS'!I31&amp;""</f>
        <v>W/L A2/A3</v>
      </c>
      <c r="J69" s="21" t="str">
        <f>'18U BOYS-24 TEAMS'!J31&amp;""</f>
        <v>18U_BOYS</v>
      </c>
    </row>
    <row r="70" spans="1:10">
      <c r="A70" s="18">
        <f>'18U BOYS-24 TEAMS'!A32</f>
        <v>45724</v>
      </c>
      <c r="B70" s="19">
        <f>'18U BOYS-24 TEAMS'!B32</f>
        <v>0.45833333333333298</v>
      </c>
      <c r="C70" s="20" t="str">
        <f>'18U BOYS-24 TEAMS'!C32&amp;""</f>
        <v>WESTMINSTER HS</v>
      </c>
      <c r="D70" s="21" t="str">
        <f>'18U BOYS-24 TEAMS'!D32&amp;""</f>
        <v>18B09</v>
      </c>
      <c r="E70" s="114" t="str">
        <f>'18U BOYS-24 TEAMS'!E32&amp;""</f>
        <v>4-NEWPORT</v>
      </c>
      <c r="F70" s="21" t="str">
        <f>'18U BOYS-24 TEAMS'!F32&amp;""</f>
        <v>10</v>
      </c>
      <c r="G70" s="21" t="str">
        <f>'18U BOYS-24 TEAMS'!G32&amp;""</f>
        <v>21-ORANGE COUNTY WPC BLUE</v>
      </c>
      <c r="H70" s="8" t="str">
        <f>'18U BOYS-24 TEAMS'!H32&amp;""</f>
        <v>5</v>
      </c>
      <c r="I70" s="8" t="str">
        <f>'18U BOYS-24 TEAMS'!I32&amp;""</f>
        <v>W/L B1/B4</v>
      </c>
      <c r="J70" s="21" t="str">
        <f>'18U BOYS-24 TEAMS'!J32&amp;""</f>
        <v>18U_BOYS</v>
      </c>
    </row>
    <row r="71" spans="1:10">
      <c r="A71" s="23">
        <f>'18U BOYS-24 TEAMS'!A46</f>
        <v>45724</v>
      </c>
      <c r="B71" s="24">
        <f>'18U BOYS-24 TEAMS'!B46</f>
        <v>0.45833333333333298</v>
      </c>
      <c r="C71" s="25" t="str">
        <f>'18U BOYS-24 TEAMS'!C46&amp;""</f>
        <v>TUSTIN HS</v>
      </c>
      <c r="D71" s="12" t="str">
        <f>'18U BOYS-24 TEAMS'!D46&amp;""</f>
        <v>18B10</v>
      </c>
      <c r="E71" s="9" t="str">
        <f>'18U BOYS-24 TEAMS'!E46&amp;""</f>
        <v>6-CHANNEL ISLANDS UNITED GOLD</v>
      </c>
      <c r="F71" s="9" t="str">
        <f>'18U BOYS-24 TEAMS'!F46&amp;""</f>
        <v>10</v>
      </c>
      <c r="G71" s="9" t="str">
        <f>'18U BOYS-24 TEAMS'!G46&amp;""</f>
        <v>19-MONARCHY</v>
      </c>
      <c r="H71" s="9" t="str">
        <f>'18U BOYS-24 TEAMS'!H46&amp;""</f>
        <v>4</v>
      </c>
      <c r="I71" s="9" t="str">
        <f>'18U BOYS-24 TEAMS'!I46&amp;""</f>
        <v>W/L F1/F4</v>
      </c>
      <c r="J71" s="26" t="str">
        <f>'18U BOYS-24 TEAMS'!J46&amp;""</f>
        <v>18U_BOYS</v>
      </c>
    </row>
    <row r="72" spans="1:10">
      <c r="A72" s="23">
        <f>'18U BOYS-24 TEAMS'!A47</f>
        <v>45724</v>
      </c>
      <c r="B72" s="24">
        <f>'18U BOYS-24 TEAMS'!B47</f>
        <v>0.5</v>
      </c>
      <c r="C72" s="25" t="str">
        <f>'18U BOYS-24 TEAMS'!C47&amp;""</f>
        <v>TUSTIN HS</v>
      </c>
      <c r="D72" s="12" t="str">
        <f>'18U BOYS-24 TEAMS'!D47&amp;""</f>
        <v>18B12</v>
      </c>
      <c r="E72" s="27" t="str">
        <f>'18U BOYS-24 TEAMS'!E47&amp;""</f>
        <v>7-TROJAN</v>
      </c>
      <c r="F72" s="27" t="str">
        <f>'18U BOYS-24 TEAMS'!F47&amp;""</f>
        <v>12</v>
      </c>
      <c r="G72" s="27" t="str">
        <f>'18U BOYS-24 TEAMS'!G47&amp;""</f>
        <v>18-PATRIOT</v>
      </c>
      <c r="H72" s="27" t="str">
        <f>'18U BOYS-24 TEAMS'!H47&amp;""</f>
        <v>10</v>
      </c>
      <c r="I72" s="9" t="str">
        <f>'18U BOYS-24 TEAMS'!I47&amp;""</f>
        <v>W/L F2/F3</v>
      </c>
      <c r="J72" s="26" t="str">
        <f>'18U BOYS-24 TEAMS'!J47&amp;""</f>
        <v>18U_BOYS</v>
      </c>
    </row>
    <row r="73" spans="1:10">
      <c r="A73" s="18">
        <f>'18U BOYS-24 TEAMS'!A33</f>
        <v>45724</v>
      </c>
      <c r="B73" s="19">
        <f>'18U BOYS-24 TEAMS'!B33</f>
        <v>0.5</v>
      </c>
      <c r="C73" s="20" t="str">
        <f>'18U BOYS-24 TEAMS'!C33&amp;""</f>
        <v>EL TORO HS</v>
      </c>
      <c r="D73" s="21" t="str">
        <f>'18U BOYS-24 TEAMS'!D33&amp;""</f>
        <v>18B13</v>
      </c>
      <c r="E73" s="114" t="str">
        <f>'18U BOYS-24 TEAMS'!E33&amp;""</f>
        <v>L#1-FOOTHILL RED</v>
      </c>
      <c r="F73" s="21" t="str">
        <f>'18U BOYS-24 TEAMS'!F33&amp;""</f>
        <v>6</v>
      </c>
      <c r="G73" s="21" t="str">
        <f>'18U BOYS-24 TEAMS'!G33&amp;""</f>
        <v>L#3-CHAWP</v>
      </c>
      <c r="H73" s="8" t="str">
        <f>'18U BOYS-24 TEAMS'!H33&amp;""</f>
        <v>11</v>
      </c>
      <c r="I73" s="8" t="str">
        <f>'18U BOYS-24 TEAMS'!I33&amp;""</f>
        <v>3rd/4thC</v>
      </c>
      <c r="J73" s="21" t="str">
        <f>'18U BOYS-24 TEAMS'!J33&amp;""</f>
        <v>18U_BOYS</v>
      </c>
    </row>
    <row r="74" spans="1:10">
      <c r="A74" s="23">
        <f>'18U BOYS-24 TEAMS'!A48</f>
        <v>45724</v>
      </c>
      <c r="B74" s="24">
        <f>'18U BOYS-24 TEAMS'!B48</f>
        <v>0.54166666666666696</v>
      </c>
      <c r="C74" s="25" t="str">
        <f>'18U BOYS-24 TEAMS'!C48&amp;""</f>
        <v>TUSTIN HS</v>
      </c>
      <c r="D74" s="81" t="str">
        <f>'18U BOYS-24 TEAMS'!D48&amp;""</f>
        <v>18B14</v>
      </c>
      <c r="E74" s="9" t="str">
        <f>'18U BOYS-24 TEAMS'!E48&amp;""</f>
        <v>L#2-TEXAS THUNDER</v>
      </c>
      <c r="F74" s="9" t="str">
        <f>'18U BOYS-24 TEAMS'!F48&amp;""</f>
        <v>5.5</v>
      </c>
      <c r="G74" s="9" t="str">
        <f>'18U BOYS-24 TEAMS'!G48&amp;""</f>
        <v>L#4-LA JOLLA UNITED NAVY</v>
      </c>
      <c r="H74" s="9" t="str">
        <f>'18U BOYS-24 TEAMS'!H48&amp;""</f>
        <v>5.4</v>
      </c>
      <c r="I74" s="9" t="str">
        <f>'18U BOYS-24 TEAMS'!I48&amp;""</f>
        <v>3rd/4thD</v>
      </c>
      <c r="J74" s="26" t="str">
        <f>'18U BOYS-24 TEAMS'!J48&amp;""</f>
        <v>18U_BOYS</v>
      </c>
    </row>
    <row r="75" spans="1:10">
      <c r="A75" s="18">
        <f>'18U BOYS-24 TEAMS'!A34</f>
        <v>45724</v>
      </c>
      <c r="B75" s="19">
        <f>'18U BOYS-24 TEAMS'!B34</f>
        <v>0.54166666666666696</v>
      </c>
      <c r="C75" s="20" t="str">
        <f>'18U BOYS-24 TEAMS'!C34&amp;""</f>
        <v>EL TORO HS</v>
      </c>
      <c r="D75" s="21" t="str">
        <f>'18U BOYS-24 TEAMS'!D34&amp;""</f>
        <v>18B15</v>
      </c>
      <c r="E75" s="21" t="str">
        <f>'18U BOYS-24 TEAMS'!E34&amp;""</f>
        <v>W#1-CC UNITED</v>
      </c>
      <c r="F75" s="21" t="str">
        <f>'18U BOYS-24 TEAMS'!F34&amp;""</f>
        <v>14</v>
      </c>
      <c r="G75" s="21" t="str">
        <f>'18U BOYS-24 TEAMS'!G34&amp;""</f>
        <v>W#3-SD SHORES BLACK</v>
      </c>
      <c r="H75" s="8" t="str">
        <f>'18U BOYS-24 TEAMS'!H34&amp;""</f>
        <v>12</v>
      </c>
      <c r="I75" s="8" t="str">
        <f>'18U BOYS-24 TEAMS'!I34&amp;""</f>
        <v>1st/2ndC</v>
      </c>
      <c r="J75" s="21" t="str">
        <f>'18U BOYS-24 TEAMS'!J34&amp;""</f>
        <v>18U_BOYS</v>
      </c>
    </row>
    <row r="76" spans="1:10">
      <c r="A76" s="23">
        <f>'18U BOYS-24 TEAMS'!A49</f>
        <v>45724</v>
      </c>
      <c r="B76" s="24">
        <f>'18U BOYS-24 TEAMS'!B49</f>
        <v>0.58333333333333304</v>
      </c>
      <c r="C76" s="25" t="str">
        <f>'18U BOYS-24 TEAMS'!C49&amp;""</f>
        <v>TUSTIN HS</v>
      </c>
      <c r="D76" s="81" t="str">
        <f>'18U BOYS-24 TEAMS'!D49&amp;""</f>
        <v>18B16</v>
      </c>
      <c r="E76" s="9" t="str">
        <f>'18U BOYS-24 TEAMS'!E49&amp;""</f>
        <v>W#2-NORTH IRVINE BEAST BOYS</v>
      </c>
      <c r="F76" s="9" t="str">
        <f>'18U BOYS-24 TEAMS'!F49&amp;""</f>
        <v>10</v>
      </c>
      <c r="G76" s="9" t="str">
        <f>'18U BOYS-24 TEAMS'!G49&amp;""</f>
        <v>W#4-STANFORD</v>
      </c>
      <c r="H76" s="9" t="str">
        <f>'18U BOYS-24 TEAMS'!H49&amp;""</f>
        <v>13</v>
      </c>
      <c r="I76" s="9" t="str">
        <f>'18U BOYS-24 TEAMS'!I49&amp;""</f>
        <v>1st/2ndD</v>
      </c>
      <c r="J76" s="26" t="str">
        <f>'18U BOYS-24 TEAMS'!J49&amp;""</f>
        <v>18U_BOYS</v>
      </c>
    </row>
    <row r="77" spans="1:10">
      <c r="A77" s="18">
        <f>'18U BOYS-24 TEAMS'!A35</f>
        <v>45724</v>
      </c>
      <c r="B77" s="19">
        <f>'18U BOYS-24 TEAMS'!B35</f>
        <v>0.58333333333333304</v>
      </c>
      <c r="C77" s="20" t="str">
        <f>'18U BOYS-24 TEAMS'!C35&amp;""</f>
        <v>EL TORO HS</v>
      </c>
      <c r="D77" s="21" t="str">
        <f>'18U BOYS-24 TEAMS'!D35&amp;""</f>
        <v>18B17</v>
      </c>
      <c r="E77" s="21" t="str">
        <f>'18U BOYS-24 TEAMS'!E35&amp;""</f>
        <v>L#5-NORTH IRVINE VEGAS</v>
      </c>
      <c r="F77" s="21" t="str">
        <f>'18U BOYS-24 TEAMS'!F35&amp;""</f>
        <v>8</v>
      </c>
      <c r="G77" s="21" t="str">
        <f>'18U BOYS-24 TEAMS'!G35&amp;""</f>
        <v>L#7-LA PREMIER</v>
      </c>
      <c r="H77" s="8" t="str">
        <f>'18U BOYS-24 TEAMS'!H35&amp;""</f>
        <v>9</v>
      </c>
      <c r="I77" s="8" t="str">
        <f>'18U BOYS-24 TEAMS'!I35&amp;""</f>
        <v>3rd/4thA</v>
      </c>
      <c r="J77" s="21" t="str">
        <f>'18U BOYS-24 TEAMS'!J35&amp;""</f>
        <v>18U_BOYS</v>
      </c>
    </row>
    <row r="78" spans="1:10">
      <c r="A78" s="18">
        <f>'18U BOYS-24 TEAMS'!A36</f>
        <v>45724</v>
      </c>
      <c r="B78" s="19">
        <f>'18U BOYS-24 TEAMS'!B36</f>
        <v>0.625</v>
      </c>
      <c r="C78" s="20" t="str">
        <f>'18U BOYS-24 TEAMS'!C36&amp;""</f>
        <v>EL TORO HS</v>
      </c>
      <c r="D78" s="21" t="str">
        <f>'18U BOYS-24 TEAMS'!D36&amp;""</f>
        <v>18B19</v>
      </c>
      <c r="E78" s="21" t="str">
        <f>'18U BOYS-24 TEAMS'!E36&amp;""</f>
        <v>W#5-LAMORINDA</v>
      </c>
      <c r="F78" s="21" t="str">
        <f>'18U BOYS-24 TEAMS'!F36&amp;""</f>
        <v>12</v>
      </c>
      <c r="G78" s="21" t="str">
        <f>'18U BOYS-24 TEAMS'!G36&amp;""</f>
        <v>W#7-VANGUARD BLUE</v>
      </c>
      <c r="H78" s="8" t="str">
        <f>'18U BOYS-24 TEAMS'!H36&amp;""</f>
        <v>5</v>
      </c>
      <c r="I78" s="8" t="str">
        <f>'18U BOYS-24 TEAMS'!I36&amp;""</f>
        <v>1st/2ndA</v>
      </c>
      <c r="J78" s="21" t="str">
        <f>'18U BOYS-24 TEAMS'!J36&amp;""</f>
        <v>18U_BOYS</v>
      </c>
    </row>
    <row r="79" spans="1:10">
      <c r="A79" s="23">
        <f>'18U BOYS-24 TEAMS'!A50</f>
        <v>45724</v>
      </c>
      <c r="B79" s="24">
        <f>'18U BOYS-24 TEAMS'!B50</f>
        <v>0.625</v>
      </c>
      <c r="C79" s="25" t="str">
        <f>'18U BOYS-24 TEAMS'!C50&amp;""</f>
        <v>TUSTIN HS</v>
      </c>
      <c r="D79" s="12" t="str">
        <f>'18U BOYS-24 TEAMS'!D50&amp;""</f>
        <v>18B20</v>
      </c>
      <c r="E79" s="9" t="str">
        <f>'18U BOYS-24 TEAMS'!E50&amp;""</f>
        <v>W#6-DEL MAR</v>
      </c>
      <c r="F79" s="27" t="str">
        <f>'18U BOYS-24 TEAMS'!F50&amp;""</f>
        <v>10</v>
      </c>
      <c r="G79" s="9" t="str">
        <f>'18U BOYS-24 TEAMS'!G50&amp;""</f>
        <v>W#8-SOCAL BLACK</v>
      </c>
      <c r="H79" s="27" t="str">
        <f>'18U BOYS-24 TEAMS'!H50&amp;""</f>
        <v>9</v>
      </c>
      <c r="I79" s="9" t="str">
        <f>'18U BOYS-24 TEAMS'!I50&amp;""</f>
        <v>1st/2nd E</v>
      </c>
      <c r="J79" s="26" t="str">
        <f>'18U BOYS-24 TEAMS'!J50&amp;""</f>
        <v>18U_BOYS</v>
      </c>
    </row>
    <row r="80" spans="1:10">
      <c r="A80" s="18">
        <f>'18U BOYS-24 TEAMS'!A37</f>
        <v>45724</v>
      </c>
      <c r="B80" s="19">
        <f>'18U BOYS-24 TEAMS'!B37</f>
        <v>0.66666666666666696</v>
      </c>
      <c r="C80" s="20" t="str">
        <f>'18U BOYS-24 TEAMS'!C37&amp;""</f>
        <v>EL TORO HS</v>
      </c>
      <c r="D80" s="21" t="str">
        <f>'18U BOYS-24 TEAMS'!D37&amp;""</f>
        <v>18B21</v>
      </c>
      <c r="E80" s="21" t="str">
        <f>'18U BOYS-24 TEAMS'!E37&amp;""</f>
        <v>L#9-ORANGE COUNTY WPC BLUE</v>
      </c>
      <c r="F80" s="21" t="str">
        <f>'18U BOYS-24 TEAMS'!F37&amp;""</f>
        <v>7</v>
      </c>
      <c r="G80" s="21" t="str">
        <f>'18U BOYS-24 TEAMS'!G37&amp;""</f>
        <v>L#11-IMPERIAL BLUE</v>
      </c>
      <c r="H80" s="8" t="str">
        <f>'18U BOYS-24 TEAMS'!H37&amp;""</f>
        <v>11</v>
      </c>
      <c r="I80" s="8" t="str">
        <f>'18U BOYS-24 TEAMS'!I37&amp;""</f>
        <v>3rd/4thB</v>
      </c>
      <c r="J80" s="21" t="str">
        <f>'18U BOYS-24 TEAMS'!J37&amp;""</f>
        <v>18U_BOYS</v>
      </c>
    </row>
    <row r="81" spans="1:10">
      <c r="A81" s="23">
        <f>'18U BOYS-24 TEAMS'!A52</f>
        <v>45724</v>
      </c>
      <c r="B81" s="24">
        <f>'18U BOYS-24 TEAMS'!B52</f>
        <v>0.66666666666666696</v>
      </c>
      <c r="C81" s="25" t="str">
        <f>'18U BOYS-24 TEAMS'!C52&amp;""</f>
        <v>TUSTIN HS</v>
      </c>
      <c r="D81" s="12" t="str">
        <f>'18U BOYS-24 TEAMS'!D52&amp;""</f>
        <v>18B22</v>
      </c>
      <c r="E81" s="9" t="str">
        <f>'18U BOYS-24 TEAMS'!E52&amp;""</f>
        <v>L#10-MONARCHY</v>
      </c>
      <c r="F81" s="27" t="str">
        <f>'18U BOYS-24 TEAMS'!F52&amp;""</f>
        <v>10.3</v>
      </c>
      <c r="G81" s="9" t="str">
        <f>'18U BOYS-24 TEAMS'!G52&amp;""</f>
        <v>L#12-PATRIOT</v>
      </c>
      <c r="H81" s="27" t="str">
        <f>'18U BOYS-24 TEAMS'!H52&amp;""</f>
        <v>10.4</v>
      </c>
      <c r="I81" s="9" t="str">
        <f>'18U BOYS-24 TEAMS'!I52&amp;""</f>
        <v>3rd/4th F</v>
      </c>
      <c r="J81" s="26" t="str">
        <f>'18U BOYS-24 TEAMS'!J52&amp;""</f>
        <v>18U_BOYS</v>
      </c>
    </row>
    <row r="82" spans="1:10">
      <c r="A82" s="23">
        <f>'18U BOYS-24 TEAMS'!A51</f>
        <v>45724</v>
      </c>
      <c r="B82" s="24">
        <f>'18U BOYS-24 TEAMS'!B51</f>
        <v>0.70833333333333304</v>
      </c>
      <c r="C82" s="25" t="str">
        <f>'18U BOYS-24 TEAMS'!C51&amp;""</f>
        <v>WESTMINSTER HS</v>
      </c>
      <c r="D82" s="12" t="str">
        <f>'18U BOYS-24 TEAMS'!D51&amp;""</f>
        <v>18B18</v>
      </c>
      <c r="E82" s="9" t="str">
        <f>'18U BOYS-24 TEAMS'!E51&amp;""</f>
        <v>L#6-ROSE BOWL RED</v>
      </c>
      <c r="F82" s="9" t="str">
        <f>'18U BOYS-24 TEAMS'!F51&amp;""</f>
        <v>14</v>
      </c>
      <c r="G82" s="9" t="str">
        <f>'18U BOYS-24 TEAMS'!G51&amp;""</f>
        <v>L#8-DIABLO RED</v>
      </c>
      <c r="H82" s="9" t="str">
        <f>'18U BOYS-24 TEAMS'!H51&amp;""</f>
        <v>10</v>
      </c>
      <c r="I82" s="9" t="str">
        <f>'18U BOYS-24 TEAMS'!I51&amp;""</f>
        <v>3rd/4th E</v>
      </c>
      <c r="J82" s="26" t="str">
        <f>'18U BOYS-24 TEAMS'!J51&amp;""</f>
        <v>18U_BOYS</v>
      </c>
    </row>
    <row r="83" spans="1:10">
      <c r="A83" s="18">
        <f>'18U BOYS-24 TEAMS'!A38</f>
        <v>45724</v>
      </c>
      <c r="B83" s="19">
        <f>'18U BOYS-24 TEAMS'!B38</f>
        <v>0.70833333333333304</v>
      </c>
      <c r="C83" s="20" t="str">
        <f>'18U BOYS-24 TEAMS'!C38&amp;""</f>
        <v>EL TORO HS</v>
      </c>
      <c r="D83" s="21" t="str">
        <f>'18U BOYS-24 TEAMS'!D38&amp;""</f>
        <v>18B23</v>
      </c>
      <c r="E83" s="114" t="str">
        <f>'18U BOYS-24 TEAMS'!E38&amp;""</f>
        <v>W#9-NEWPORT</v>
      </c>
      <c r="F83" s="21" t="str">
        <f>'18U BOYS-24 TEAMS'!F38&amp;""</f>
        <v>14</v>
      </c>
      <c r="G83" s="21" t="str">
        <f>'18U BOYS-24 TEAMS'!G38&amp;""</f>
        <v>W#11-SAN FRANCISCO</v>
      </c>
      <c r="H83" s="8" t="str">
        <f>'18U BOYS-24 TEAMS'!H38&amp;""</f>
        <v>10</v>
      </c>
      <c r="I83" s="8" t="str">
        <f>'18U BOYS-24 TEAMS'!I38&amp;""</f>
        <v>1st/2ndB</v>
      </c>
      <c r="J83" s="21" t="str">
        <f>'18U BOYS-24 TEAMS'!J38&amp;""</f>
        <v>18U_BOYS</v>
      </c>
    </row>
    <row r="84" spans="1:10">
      <c r="A84" s="23">
        <f>'18U BOYS-24 TEAMS'!A53</f>
        <v>45724</v>
      </c>
      <c r="B84" s="24">
        <f>'18U BOYS-24 TEAMS'!B53</f>
        <v>0.70833333333333304</v>
      </c>
      <c r="C84" s="25" t="str">
        <f>'18U BOYS-24 TEAMS'!C53&amp;""</f>
        <v>TUSTIN HS</v>
      </c>
      <c r="D84" s="12" t="str">
        <f>'18U BOYS-24 TEAMS'!D53&amp;""</f>
        <v>18B24</v>
      </c>
      <c r="E84" s="9" t="str">
        <f>'18U BOYS-24 TEAMS'!E53&amp;""</f>
        <v>W#10-CHANNEL ISLANDS UNITED GOLD</v>
      </c>
      <c r="F84" s="27" t="str">
        <f>'18U BOYS-24 TEAMS'!F53&amp;""</f>
        <v>9</v>
      </c>
      <c r="G84" s="9" t="str">
        <f>'18U BOYS-24 TEAMS'!G53&amp;""</f>
        <v>W#12-TROJAN</v>
      </c>
      <c r="H84" s="27" t="str">
        <f>'18U BOYS-24 TEAMS'!H53&amp;""</f>
        <v>8</v>
      </c>
      <c r="I84" s="9" t="str">
        <f>'18U BOYS-24 TEAMS'!I53&amp;""</f>
        <v>1st/2nd F</v>
      </c>
      <c r="J84" s="26" t="str">
        <f>'18U BOYS-24 TEAMS'!J53&amp;""</f>
        <v>18U_BOYS</v>
      </c>
    </row>
    <row r="85" spans="1:10">
      <c r="A85" s="18">
        <f>'18U BOYS-24 TEAMS'!A39</f>
        <v>45724</v>
      </c>
      <c r="B85" s="19">
        <f>'18U BOYS-24 TEAMS'!B39</f>
        <v>0.75</v>
      </c>
      <c r="C85" s="20" t="str">
        <f>'18U BOYS-24 TEAMS'!C39&amp;""</f>
        <v>EL TORO HS</v>
      </c>
      <c r="D85" s="21" t="str">
        <f>'18U BOYS-24 TEAMS'!D39&amp;""</f>
        <v>18B25</v>
      </c>
      <c r="E85" s="35" t="str">
        <f>'18U BOYS-24 TEAMS'!E39&amp;""</f>
        <v>G1(1stA)-LAMORINDA</v>
      </c>
      <c r="F85" s="35" t="str">
        <f>'18U BOYS-24 TEAMS'!F39&amp;""</f>
        <v>14</v>
      </c>
      <c r="G85" s="35" t="str">
        <f>'18U BOYS-24 TEAMS'!G39&amp;""</f>
        <v>G2(1stC)-CC UNITED</v>
      </c>
      <c r="H85" s="35" t="str">
        <f>'18U BOYS-24 TEAMS'!H39&amp;""</f>
        <v>13</v>
      </c>
      <c r="I85" s="8" t="str">
        <f>'18U BOYS-24 TEAMS'!I39&amp;""</f>
        <v>G bracket 1A,1C</v>
      </c>
      <c r="J85" s="21" t="str">
        <f>'18U BOYS-24 TEAMS'!J39&amp;""</f>
        <v>18U_BOYS</v>
      </c>
    </row>
    <row r="86" spans="1:10">
      <c r="A86" s="23">
        <f>'18U BOYS-24 TEAMS'!A54</f>
        <v>45724</v>
      </c>
      <c r="B86" s="24">
        <f>'18U BOYS-24 TEAMS'!B54</f>
        <v>0.75</v>
      </c>
      <c r="C86" s="25" t="str">
        <f>'18U BOYS-24 TEAMS'!C54&amp;""</f>
        <v>TUSTIN HS</v>
      </c>
      <c r="D86" s="12" t="str">
        <f>'18U BOYS-24 TEAMS'!D54&amp;""</f>
        <v>18B26</v>
      </c>
      <c r="E86" s="27" t="str">
        <f>'18U BOYS-24 TEAMS'!E54&amp;""</f>
        <v>H1(1stD)-STANFORD</v>
      </c>
      <c r="F86" s="27" t="str">
        <f>'18U BOYS-24 TEAMS'!F54&amp;""</f>
        <v>13</v>
      </c>
      <c r="G86" s="27" t="str">
        <f>'18U BOYS-24 TEAMS'!G54&amp;""</f>
        <v>H2(1stE)-DEL MAR</v>
      </c>
      <c r="H86" s="27" t="str">
        <f>'18U BOYS-24 TEAMS'!H54&amp;""</f>
        <v>12</v>
      </c>
      <c r="I86" s="9" t="str">
        <f>'18U BOYS-24 TEAMS'!I54&amp;""</f>
        <v>H bracket 1D/1E</v>
      </c>
      <c r="J86" s="26" t="str">
        <f>'18U BOYS-24 TEAMS'!J54&amp;""</f>
        <v>18U_BOYS</v>
      </c>
    </row>
    <row r="87" spans="1:10">
      <c r="A87" s="18">
        <f>'18U BOYS-24 TEAMS'!A58</f>
        <v>45725</v>
      </c>
      <c r="B87" s="19">
        <f>'18U BOYS-24 TEAMS'!B58</f>
        <v>0.33333333333333331</v>
      </c>
      <c r="C87" s="20" t="str">
        <f>'18U BOYS-24 TEAMS'!C58&amp;""</f>
        <v>TUSTIN HS</v>
      </c>
      <c r="D87" s="21" t="str">
        <f>'18U BOYS-24 TEAMS'!D58&amp;""</f>
        <v>18B27</v>
      </c>
      <c r="E87" s="35" t="str">
        <f>'18U BOYS-24 TEAMS'!E58&amp;""</f>
        <v>I1(2ndA)-VANGUARD BLUE</v>
      </c>
      <c r="F87" s="35" t="str">
        <f>'18U BOYS-24 TEAMS'!F58&amp;""</f>
        <v>6</v>
      </c>
      <c r="G87" s="35" t="str">
        <f>'18U BOYS-24 TEAMS'!G58&amp;""</f>
        <v>I3(2ndC)-SD SHORES BLACK</v>
      </c>
      <c r="H87" s="35" t="str">
        <f>'18U BOYS-24 TEAMS'!H58&amp;""</f>
        <v>7</v>
      </c>
      <c r="I87" s="8" t="str">
        <f>'18U BOYS-24 TEAMS'!I58&amp;""</f>
        <v>I bracket I1,I3</v>
      </c>
      <c r="J87" s="21" t="str">
        <f>'18U BOYS-24 TEAMS'!J58&amp;""</f>
        <v>18U_BOYS</v>
      </c>
    </row>
    <row r="88" spans="1:10">
      <c r="A88" s="37">
        <f>'18U BOYS-24 TEAMS'!A69</f>
        <v>45725</v>
      </c>
      <c r="B88" s="38">
        <f>'18U BOYS-24 TEAMS'!B69</f>
        <v>0.33333333333333331</v>
      </c>
      <c r="C88" s="24" t="str">
        <f>'18U BOYS-24 TEAMS'!C69&amp;""</f>
        <v>EL TORO HS</v>
      </c>
      <c r="D88" s="39" t="str">
        <f>'18U BOYS-24 TEAMS'!D69&amp;""</f>
        <v>18B28</v>
      </c>
      <c r="E88" s="12" t="str">
        <f>'18U BOYS-24 TEAMS'!E69&amp;""</f>
        <v>L1(3rdD)-TEXAS THUNDER</v>
      </c>
      <c r="F88" s="12" t="str">
        <f>'18U BOYS-24 TEAMS'!F69&amp;""</f>
        <v>10</v>
      </c>
      <c r="G88" s="12" t="str">
        <f>'18U BOYS-24 TEAMS'!G69&amp;""</f>
        <v>L3(3rdF)-PATRIOT</v>
      </c>
      <c r="H88" s="12" t="str">
        <f>'18U BOYS-24 TEAMS'!H69&amp;""</f>
        <v>12</v>
      </c>
      <c r="I88" s="27" t="str">
        <f>'18U BOYS-24 TEAMS'!I69&amp;""</f>
        <v>L bracket L1,L3</v>
      </c>
      <c r="J88" s="9" t="str">
        <f>'18U BOYS-24 TEAMS'!J69&amp;""</f>
        <v>18U_BOYS</v>
      </c>
    </row>
    <row r="89" spans="1:10">
      <c r="A89" s="103">
        <f>'18U BOYS-24 TEAMS'!A79</f>
        <v>45725</v>
      </c>
      <c r="B89" s="104">
        <f>'18U BOYS-24 TEAMS'!B79</f>
        <v>0.33333333333333331</v>
      </c>
      <c r="C89" s="102" t="str">
        <f>'18U BOYS-24 TEAMS'!C79&amp;""</f>
        <v>ESTANCIA HS</v>
      </c>
      <c r="D89" s="101" t="str">
        <f>'18U BOYS-24 TEAMS'!D79&amp;""</f>
        <v>18B29</v>
      </c>
      <c r="E89" s="100" t="str">
        <f>'18U BOYS-24 TEAMS'!E79&amp;""</f>
        <v>M1(4thF)-MONARCHY</v>
      </c>
      <c r="F89" s="100" t="str">
        <f>'18U BOYS-24 TEAMS'!F79&amp;""</f>
        <v>6</v>
      </c>
      <c r="G89" s="100" t="str">
        <f>'18U BOYS-24 TEAMS'!G79&amp;""</f>
        <v>M3(4thD)-LA JOLLA UNITED NAVY</v>
      </c>
      <c r="H89" s="100" t="str">
        <f>'18U BOYS-24 TEAMS'!H79&amp;""</f>
        <v>10</v>
      </c>
      <c r="I89" s="100" t="str">
        <f>'18U BOYS-24 TEAMS'!I79&amp;""</f>
        <v>19th-24th M1,M3</v>
      </c>
      <c r="J89" s="99" t="str">
        <f>'18U BOYS-24 TEAMS'!J79&amp;""</f>
        <v>18U_BOYS</v>
      </c>
    </row>
    <row r="90" spans="1:10">
      <c r="A90" s="18">
        <f>'18U BOYS-24 TEAMS'!A59</f>
        <v>45725</v>
      </c>
      <c r="B90" s="19">
        <f>'18U BOYS-24 TEAMS'!B59</f>
        <v>0.375</v>
      </c>
      <c r="C90" s="20" t="str">
        <f>'18U BOYS-24 TEAMS'!C59&amp;""</f>
        <v>TUSTIN HS</v>
      </c>
      <c r="D90" s="21" t="str">
        <f>'18U BOYS-24 TEAMS'!D59&amp;""</f>
        <v>18B30</v>
      </c>
      <c r="E90" s="35" t="str">
        <f>'18U BOYS-24 TEAMS'!E59&amp;""</f>
        <v>G1(1stA)-LAMORINDA</v>
      </c>
      <c r="F90" s="35" t="str">
        <f>'18U BOYS-24 TEAMS'!F59&amp;""</f>
        <v>6</v>
      </c>
      <c r="G90" s="35" t="str">
        <f>'18U BOYS-24 TEAMS'!G59&amp;""</f>
        <v>G2(1stB)-NEWPORT</v>
      </c>
      <c r="H90" s="35" t="str">
        <f>'18U BOYS-24 TEAMS'!H59&amp;""</f>
        <v>7</v>
      </c>
      <c r="I90" s="8" t="str">
        <f>'18U BOYS-24 TEAMS'!I59&amp;""</f>
        <v>G bracket G1,G3</v>
      </c>
      <c r="J90" s="21" t="str">
        <f>'18U BOYS-24 TEAMS'!J59&amp;""</f>
        <v>18U_BOYS</v>
      </c>
    </row>
    <row r="91" spans="1:10">
      <c r="A91" s="37">
        <f>'18U BOYS-24 TEAMS'!A70</f>
        <v>45725</v>
      </c>
      <c r="B91" s="38">
        <f>'18U BOYS-24 TEAMS'!B70</f>
        <v>0.375</v>
      </c>
      <c r="C91" s="24" t="str">
        <f>'18U BOYS-24 TEAMS'!C70&amp;""</f>
        <v>EL TORO HS</v>
      </c>
      <c r="D91" s="39" t="str">
        <f>'18U BOYS-24 TEAMS'!D70&amp;""</f>
        <v>18B31</v>
      </c>
      <c r="E91" s="12" t="str">
        <f>'18U BOYS-24 TEAMS'!E70&amp;""</f>
        <v>J1(2ndD)-NORTH IRVINE BEAST BOYS</v>
      </c>
      <c r="F91" s="12" t="str">
        <f>'18U BOYS-24 TEAMS'!F70&amp;""</f>
        <v>13</v>
      </c>
      <c r="G91" s="12" t="str">
        <f>'18U BOYS-24 TEAMS'!G70&amp;""</f>
        <v>J3(2ndF)-TROJAN</v>
      </c>
      <c r="H91" s="12" t="str">
        <f>'18U BOYS-24 TEAMS'!H70&amp;""</f>
        <v>11</v>
      </c>
      <c r="I91" s="27" t="str">
        <f>'18U BOYS-24 TEAMS'!I70&amp;""</f>
        <v>J bracket J1,J3</v>
      </c>
      <c r="J91" s="9" t="str">
        <f>'18U BOYS-24 TEAMS'!J70&amp;""</f>
        <v>18U_BOYS</v>
      </c>
    </row>
    <row r="92" spans="1:10">
      <c r="A92" s="103">
        <f>'18U BOYS-24 TEAMS'!A80</f>
        <v>45725</v>
      </c>
      <c r="B92" s="104">
        <f>'18U BOYS-24 TEAMS'!B80</f>
        <v>0.375</v>
      </c>
      <c r="C92" s="102" t="str">
        <f>'18U BOYS-24 TEAMS'!C80&amp;""</f>
        <v>ESTANCIA HS</v>
      </c>
      <c r="D92" s="101" t="str">
        <f>'18U BOYS-24 TEAMS'!D80&amp;""</f>
        <v>18B32</v>
      </c>
      <c r="E92" s="100" t="str">
        <f>'18U BOYS-24 TEAMS'!E80&amp;""</f>
        <v>N1(4thC)-FOOTHILL RED</v>
      </c>
      <c r="F92" s="100" t="str">
        <f>'18U BOYS-24 TEAMS'!F80&amp;""</f>
        <v>10</v>
      </c>
      <c r="G92" s="100" t="str">
        <f>'18U BOYS-24 TEAMS'!G80&amp;""</f>
        <v>N3(4thA)-NORTH IRVINE VEGAS</v>
      </c>
      <c r="H92" s="100" t="str">
        <f>'18U BOYS-24 TEAMS'!H80&amp;""</f>
        <v>9</v>
      </c>
      <c r="I92" s="100" t="str">
        <f>'18U BOYS-24 TEAMS'!I80&amp;""</f>
        <v>19th-24th N1,N3</v>
      </c>
      <c r="J92" s="99" t="str">
        <f>'18U BOYS-24 TEAMS'!J80&amp;""</f>
        <v>18U_BOYS</v>
      </c>
    </row>
    <row r="93" spans="1:10">
      <c r="A93" s="18">
        <f>'18U BOYS-24 TEAMS'!A60</f>
        <v>45725</v>
      </c>
      <c r="B93" s="19">
        <f>'18U BOYS-24 TEAMS'!B60</f>
        <v>0.41666666666666702</v>
      </c>
      <c r="C93" s="20" t="str">
        <f>'18U BOYS-24 TEAMS'!C60&amp;""</f>
        <v>TUSTIN HS</v>
      </c>
      <c r="D93" s="21" t="str">
        <f>'18U BOYS-24 TEAMS'!D60&amp;""</f>
        <v>18B33</v>
      </c>
      <c r="E93" s="35" t="str">
        <f>'18U BOYS-24 TEAMS'!E60&amp;""</f>
        <v>H1(1stD)-STANFORD</v>
      </c>
      <c r="F93" s="35" t="str">
        <f>'18U BOYS-24 TEAMS'!F60&amp;""</f>
        <v>10.3</v>
      </c>
      <c r="G93" s="35" t="str">
        <f>'18U BOYS-24 TEAMS'!G60&amp;""</f>
        <v>H3(1stF)-CHANNEL ISLANDS UNITED GOLD</v>
      </c>
      <c r="H93" s="35" t="str">
        <f>'18U BOYS-24 TEAMS'!H60&amp;""</f>
        <v>10.4</v>
      </c>
      <c r="I93" s="8" t="str">
        <f>'18U BOYS-24 TEAMS'!I60&amp;""</f>
        <v>H bracket H1,H3</v>
      </c>
      <c r="J93" s="21" t="str">
        <f>'18U BOYS-24 TEAMS'!J60&amp;""</f>
        <v>18U_BOYS</v>
      </c>
    </row>
    <row r="94" spans="1:10">
      <c r="A94" s="37">
        <f>'18U BOYS-24 TEAMS'!A71</f>
        <v>45725</v>
      </c>
      <c r="B94" s="38">
        <f>'18U BOYS-24 TEAMS'!B71</f>
        <v>0.41666666666666702</v>
      </c>
      <c r="C94" s="24" t="str">
        <f>'18U BOYS-24 TEAMS'!C71&amp;""</f>
        <v>EL TORO HS</v>
      </c>
      <c r="D94" s="39" t="str">
        <f>'18U BOYS-24 TEAMS'!D71&amp;""</f>
        <v>18B34</v>
      </c>
      <c r="E94" s="12" t="str">
        <f>'18U BOYS-24 TEAMS'!E71&amp;""</f>
        <v>K1(3rdA)-LA PREMIER</v>
      </c>
      <c r="F94" s="12" t="str">
        <f>'18U BOYS-24 TEAMS'!F71&amp;""</f>
        <v>12</v>
      </c>
      <c r="G94" s="12" t="str">
        <f>'18U BOYS-24 TEAMS'!G71&amp;""</f>
        <v>K3(3rdC)-CHAWP</v>
      </c>
      <c r="H94" s="12" t="str">
        <f>'18U BOYS-24 TEAMS'!H71&amp;""</f>
        <v>15</v>
      </c>
      <c r="I94" s="27" t="str">
        <f>'18U BOYS-24 TEAMS'!I71&amp;""</f>
        <v>K bracket K1,K3</v>
      </c>
      <c r="J94" s="9" t="str">
        <f>'18U BOYS-24 TEAMS'!J71&amp;""</f>
        <v>18U_BOYS</v>
      </c>
    </row>
    <row r="95" spans="1:10">
      <c r="A95" s="103">
        <f>'18U BOYS-24 TEAMS'!A81</f>
        <v>45725</v>
      </c>
      <c r="B95" s="104">
        <f>'18U BOYS-24 TEAMS'!B81</f>
        <v>0.41666666666666702</v>
      </c>
      <c r="C95" s="102" t="str">
        <f>'18U BOYS-24 TEAMS'!C81&amp;""</f>
        <v>ESTANCIA HS</v>
      </c>
      <c r="D95" s="101" t="str">
        <f>'18U BOYS-24 TEAMS'!D81&amp;""</f>
        <v>18B35</v>
      </c>
      <c r="E95" s="100" t="str">
        <f>'18U BOYS-24 TEAMS'!E81&amp;""</f>
        <v>M2(4thE)-DIABLO RED</v>
      </c>
      <c r="F95" s="100" t="str">
        <f>'18U BOYS-24 TEAMS'!F81&amp;""</f>
        <v>6</v>
      </c>
      <c r="G95" s="100" t="str">
        <f>'18U BOYS-24 TEAMS'!G81&amp;""</f>
        <v>M3(4thD)-LA JOLLA UNITED NAVY</v>
      </c>
      <c r="H95" s="100" t="str">
        <f>'18U BOYS-24 TEAMS'!H81&amp;""</f>
        <v>16</v>
      </c>
      <c r="I95" s="100" t="str">
        <f>'18U BOYS-24 TEAMS'!I81&amp;""</f>
        <v>19th-24th M2,M3</v>
      </c>
      <c r="J95" s="99" t="str">
        <f>'18U BOYS-24 TEAMS'!J81&amp;""</f>
        <v>18U_BOYS</v>
      </c>
    </row>
    <row r="96" spans="1:10">
      <c r="A96" s="18">
        <f>'18U BOYS-24 TEAMS'!A61</f>
        <v>45725</v>
      </c>
      <c r="B96" s="19">
        <f>'18U BOYS-24 TEAMS'!B61</f>
        <v>0.45833333333333298</v>
      </c>
      <c r="C96" s="20" t="str">
        <f>'18U BOYS-24 TEAMS'!C61&amp;""</f>
        <v>TUSTIN HS</v>
      </c>
      <c r="D96" s="21" t="str">
        <f>'18U BOYS-24 TEAMS'!D61&amp;""</f>
        <v>18B36</v>
      </c>
      <c r="E96" s="35" t="str">
        <f>'18U BOYS-24 TEAMS'!E61&amp;""</f>
        <v>I2(2ndB)-SAN FRANCISCO</v>
      </c>
      <c r="F96" s="35" t="str">
        <f>'18U BOYS-24 TEAMS'!F61&amp;""</f>
        <v>11</v>
      </c>
      <c r="G96" s="35" t="str">
        <f>'18U BOYS-24 TEAMS'!G61&amp;""</f>
        <v>I3(2ndC)-SD SHORES BLACK</v>
      </c>
      <c r="H96" s="35" t="str">
        <f>'18U BOYS-24 TEAMS'!H61&amp;""</f>
        <v>8</v>
      </c>
      <c r="I96" s="8" t="str">
        <f>'18U BOYS-24 TEAMS'!I61&amp;""</f>
        <v>I bracket I2,I3</v>
      </c>
      <c r="J96" s="21" t="str">
        <f>'18U BOYS-24 TEAMS'!J61&amp;""</f>
        <v>18U_BOYS</v>
      </c>
    </row>
    <row r="97" spans="1:10">
      <c r="A97" s="37">
        <f>'18U BOYS-24 TEAMS'!A72</f>
        <v>45725</v>
      </c>
      <c r="B97" s="38">
        <f>'18U BOYS-24 TEAMS'!B72</f>
        <v>0.45833333333333298</v>
      </c>
      <c r="C97" s="24" t="str">
        <f>'18U BOYS-24 TEAMS'!C72&amp;""</f>
        <v>EL TORO HS</v>
      </c>
      <c r="D97" s="39" t="str">
        <f>'18U BOYS-24 TEAMS'!D72&amp;""</f>
        <v>18B37</v>
      </c>
      <c r="E97" s="12" t="str">
        <f>'18U BOYS-24 TEAMS'!E72&amp;""</f>
        <v>L2(3rdE)-ROSE BOWL RED</v>
      </c>
      <c r="F97" s="12" t="str">
        <f>'18U BOYS-24 TEAMS'!F72&amp;""</f>
        <v>6</v>
      </c>
      <c r="G97" s="12" t="str">
        <f>'18U BOYS-24 TEAMS'!G72&amp;""</f>
        <v>L3(3rdF)-PATRIOT</v>
      </c>
      <c r="H97" s="12" t="str">
        <f>'18U BOYS-24 TEAMS'!H72&amp;""</f>
        <v>10</v>
      </c>
      <c r="I97" s="27" t="str">
        <f>'18U BOYS-24 TEAMS'!I72&amp;""</f>
        <v>L bracket L2,L3</v>
      </c>
      <c r="J97" s="9" t="str">
        <f>'18U BOYS-24 TEAMS'!J72&amp;""</f>
        <v>18U_BOYS</v>
      </c>
    </row>
    <row r="98" spans="1:10">
      <c r="A98" s="103">
        <f>'18U BOYS-24 TEAMS'!A82</f>
        <v>45725</v>
      </c>
      <c r="B98" s="104">
        <f>'18U BOYS-24 TEAMS'!B82</f>
        <v>0.45833333333333298</v>
      </c>
      <c r="C98" s="102" t="str">
        <f>'18U BOYS-24 TEAMS'!C82&amp;""</f>
        <v>ESTANCIA HS</v>
      </c>
      <c r="D98" s="101" t="str">
        <f>'18U BOYS-24 TEAMS'!D82&amp;""</f>
        <v>18B38</v>
      </c>
      <c r="E98" s="100" t="str">
        <f>'18U BOYS-24 TEAMS'!E82&amp;""</f>
        <v>N2(4thB)-ORANGE COUNTY WPC BLUE</v>
      </c>
      <c r="F98" s="100" t="str">
        <f>'18U BOYS-24 TEAMS'!F82&amp;""</f>
        <v>10</v>
      </c>
      <c r="G98" s="100" t="str">
        <f>'18U BOYS-24 TEAMS'!G82&amp;""</f>
        <v>N3(4thA)-NORTH IRVINE VEGAS</v>
      </c>
      <c r="H98" s="100" t="str">
        <f>'18U BOYS-24 TEAMS'!H82&amp;""</f>
        <v>12</v>
      </c>
      <c r="I98" s="100" t="str">
        <f>'18U BOYS-24 TEAMS'!I82&amp;""</f>
        <v>19th-24th N2,N3</v>
      </c>
      <c r="J98" s="99" t="str">
        <f>'18U BOYS-24 TEAMS'!J82&amp;""</f>
        <v>18U_BOYS</v>
      </c>
    </row>
    <row r="99" spans="1:10">
      <c r="A99" s="18">
        <f>'18U BOYS-24 TEAMS'!A62</f>
        <v>45725</v>
      </c>
      <c r="B99" s="19">
        <f>'18U BOYS-24 TEAMS'!B62</f>
        <v>0.5</v>
      </c>
      <c r="C99" s="20" t="str">
        <f>'18U BOYS-24 TEAMS'!C62&amp;""</f>
        <v>TUSTIN HS</v>
      </c>
      <c r="D99" s="21" t="str">
        <f>'18U BOYS-24 TEAMS'!D62&amp;""</f>
        <v>18B39</v>
      </c>
      <c r="E99" s="35" t="str">
        <f>'18U BOYS-24 TEAMS'!E62&amp;""</f>
        <v>G2(1stB)-NEWPORT</v>
      </c>
      <c r="F99" s="35" t="str">
        <f>'18U BOYS-24 TEAMS'!F62&amp;""</f>
        <v>13</v>
      </c>
      <c r="G99" s="35" t="str">
        <f>'18U BOYS-24 TEAMS'!G62&amp;""</f>
        <v>G2(1stC)-CC UNITED</v>
      </c>
      <c r="H99" s="35" t="str">
        <f>'18U BOYS-24 TEAMS'!H62&amp;""</f>
        <v>6</v>
      </c>
      <c r="I99" s="8" t="str">
        <f>'18U BOYS-24 TEAMS'!I62&amp;""</f>
        <v>G bracket G2,G3</v>
      </c>
      <c r="J99" s="21" t="str">
        <f>'18U BOYS-24 TEAMS'!J62&amp;""</f>
        <v>18U_BOYS</v>
      </c>
    </row>
    <row r="100" spans="1:10">
      <c r="A100" s="37">
        <f>'18U BOYS-24 TEAMS'!A73</f>
        <v>45725</v>
      </c>
      <c r="B100" s="38">
        <f>'18U BOYS-24 TEAMS'!B73</f>
        <v>0.5</v>
      </c>
      <c r="C100" s="24" t="str">
        <f>'18U BOYS-24 TEAMS'!C73&amp;""</f>
        <v>EL TORO HS</v>
      </c>
      <c r="D100" s="39" t="str">
        <f>'18U BOYS-24 TEAMS'!D73&amp;""</f>
        <v>18B40</v>
      </c>
      <c r="E100" s="12" t="str">
        <f>'18U BOYS-24 TEAMS'!E73&amp;""</f>
        <v>J2(2ndE-SOCAL BLACK</v>
      </c>
      <c r="F100" s="12" t="str">
        <f>'18U BOYS-24 TEAMS'!F73&amp;""</f>
        <v>9</v>
      </c>
      <c r="G100" s="12" t="str">
        <f>'18U BOYS-24 TEAMS'!G73&amp;""</f>
        <v>J3(2ndF)-TROJAN</v>
      </c>
      <c r="H100" s="12" t="str">
        <f>'18U BOYS-24 TEAMS'!H73&amp;""</f>
        <v>7</v>
      </c>
      <c r="I100" s="27" t="str">
        <f>'18U BOYS-24 TEAMS'!I73&amp;""</f>
        <v>J bracket J2,J3</v>
      </c>
      <c r="J100" s="9" t="str">
        <f>'18U BOYS-24 TEAMS'!J73&amp;""</f>
        <v>18U_BOYS</v>
      </c>
    </row>
    <row r="101" spans="1:10">
      <c r="A101" s="103">
        <f>'18U BOYS-24 TEAMS'!A83</f>
        <v>45725</v>
      </c>
      <c r="B101" s="104">
        <f>'18U BOYS-24 TEAMS'!B83</f>
        <v>0.5</v>
      </c>
      <c r="C101" s="102" t="str">
        <f>'18U BOYS-24 TEAMS'!C83&amp;""</f>
        <v>ESTANCIA HS</v>
      </c>
      <c r="D101" s="101" t="str">
        <f>'18U BOYS-24 TEAMS'!D83&amp;""</f>
        <v>18B41</v>
      </c>
      <c r="E101" s="100" t="str">
        <f>'18U BOYS-24 TEAMS'!E83&amp;""</f>
        <v>M1(4thF)-MONARCHY</v>
      </c>
      <c r="F101" s="100" t="str">
        <f>'18U BOYS-24 TEAMS'!F83&amp;""</f>
        <v>10</v>
      </c>
      <c r="G101" s="100" t="str">
        <f>'18U BOYS-24 TEAMS'!G83&amp;""</f>
        <v>M2(4thE)-DIABLO RED</v>
      </c>
      <c r="H101" s="100" t="str">
        <f>'18U BOYS-24 TEAMS'!H83&amp;""</f>
        <v>12</v>
      </c>
      <c r="I101" s="100" t="str">
        <f>'18U BOYS-24 TEAMS'!I83&amp;""</f>
        <v>19th-24th M1,M2</v>
      </c>
      <c r="J101" s="99" t="str">
        <f>'18U BOYS-24 TEAMS'!J83&amp;""</f>
        <v>18U_BOYS</v>
      </c>
    </row>
    <row r="102" spans="1:10">
      <c r="A102" s="18">
        <f>'18U BOYS-24 TEAMS'!A63</f>
        <v>45725</v>
      </c>
      <c r="B102" s="19">
        <f>'18U BOYS-24 TEAMS'!B63</f>
        <v>0.54166666666666696</v>
      </c>
      <c r="C102" s="20" t="str">
        <f>'18U BOYS-24 TEAMS'!C63&amp;""</f>
        <v>TUSTIN HS</v>
      </c>
      <c r="D102" s="21" t="str">
        <f>'18U BOYS-24 TEAMS'!D63&amp;""</f>
        <v>18B42</v>
      </c>
      <c r="E102" s="35" t="str">
        <f>'18U BOYS-24 TEAMS'!E63&amp;""</f>
        <v>H2(1stE)-DEL MAR</v>
      </c>
      <c r="F102" s="35" t="str">
        <f>'18U BOYS-24 TEAMS'!F63&amp;""</f>
        <v>10.1</v>
      </c>
      <c r="G102" s="35" t="str">
        <f>'18U BOYS-24 TEAMS'!G63&amp;""</f>
        <v>H3(1stF)-CHANNEL ISLANDS UNITED GOLD</v>
      </c>
      <c r="H102" s="35" t="str">
        <f>'18U BOYS-24 TEAMS'!H63&amp;""</f>
        <v>10.2</v>
      </c>
      <c r="I102" s="8" t="str">
        <f>'18U BOYS-24 TEAMS'!I63&amp;""</f>
        <v>H bracket H2,H3</v>
      </c>
      <c r="J102" s="21" t="str">
        <f>'18U BOYS-24 TEAMS'!J63&amp;""</f>
        <v>18U_BOYS</v>
      </c>
    </row>
    <row r="103" spans="1:10">
      <c r="A103" s="37">
        <f>'18U BOYS-24 TEAMS'!A74</f>
        <v>45725</v>
      </c>
      <c r="B103" s="38">
        <f>'18U BOYS-24 TEAMS'!B74</f>
        <v>0.54166666666666696</v>
      </c>
      <c r="C103" s="24" t="str">
        <f>'18U BOYS-24 TEAMS'!C74&amp;""</f>
        <v>EL TORO HS</v>
      </c>
      <c r="D103" s="39" t="str">
        <f>'18U BOYS-24 TEAMS'!D74&amp;""</f>
        <v>18B43</v>
      </c>
      <c r="E103" s="12" t="str">
        <f>'18U BOYS-24 TEAMS'!E74&amp;""</f>
        <v>K2(3rdB)-IMPERIAL BLUE</v>
      </c>
      <c r="F103" s="12" t="str">
        <f>'18U BOYS-24 TEAMS'!F74&amp;""</f>
        <v>13</v>
      </c>
      <c r="G103" s="12" t="str">
        <f>'18U BOYS-24 TEAMS'!G74&amp;""</f>
        <v>K3(3rdC)-CHAWP</v>
      </c>
      <c r="H103" s="12" t="str">
        <f>'18U BOYS-24 TEAMS'!H74&amp;""</f>
        <v>9</v>
      </c>
      <c r="I103" s="27" t="str">
        <f>'18U BOYS-24 TEAMS'!I74&amp;""</f>
        <v>K bracket K2,K3</v>
      </c>
      <c r="J103" s="9" t="str">
        <f>'18U BOYS-24 TEAMS'!J74&amp;""</f>
        <v>18U_BOYS</v>
      </c>
    </row>
    <row r="104" spans="1:10">
      <c r="A104" s="103">
        <f>'18U BOYS-24 TEAMS'!A84</f>
        <v>45725</v>
      </c>
      <c r="B104" s="104">
        <f>'18U BOYS-24 TEAMS'!B84</f>
        <v>0.54166666666666696</v>
      </c>
      <c r="C104" s="102" t="str">
        <f>'18U BOYS-24 TEAMS'!C84&amp;""</f>
        <v>ESTANCIA HS</v>
      </c>
      <c r="D104" s="101" t="str">
        <f>'18U BOYS-24 TEAMS'!D84&amp;""</f>
        <v>18B44</v>
      </c>
      <c r="E104" s="100" t="str">
        <f>'18U BOYS-24 TEAMS'!E84&amp;""</f>
        <v>N1(4thC)-FOOTHILL RED</v>
      </c>
      <c r="F104" s="100" t="str">
        <f>'18U BOYS-24 TEAMS'!F84&amp;""</f>
        <v>13</v>
      </c>
      <c r="G104" s="100" t="str">
        <f>'18U BOYS-24 TEAMS'!G84&amp;""</f>
        <v>N2(4thB)-ORANGE COUNTY WPC BLUE</v>
      </c>
      <c r="H104" s="100" t="str">
        <f>'18U BOYS-24 TEAMS'!H84&amp;""</f>
        <v>11</v>
      </c>
      <c r="I104" s="100" t="str">
        <f>'18U BOYS-24 TEAMS'!I84&amp;""</f>
        <v>19th-24th N1,N2</v>
      </c>
      <c r="J104" s="99" t="str">
        <f>'18U BOYS-24 TEAMS'!J84&amp;""</f>
        <v>18U_BOYS</v>
      </c>
    </row>
    <row r="105" spans="1:10">
      <c r="A105" s="18">
        <f>'18U BOYS-24 TEAMS'!A64</f>
        <v>45725</v>
      </c>
      <c r="B105" s="19">
        <f>'18U BOYS-24 TEAMS'!B64</f>
        <v>0.58333333333333304</v>
      </c>
      <c r="C105" s="20" t="str">
        <f>'18U BOYS-24 TEAMS'!C64&amp;""</f>
        <v>TUSTIN HS</v>
      </c>
      <c r="D105" s="21" t="str">
        <f>'18U BOYS-24 TEAMS'!D64&amp;""</f>
        <v>18B45</v>
      </c>
      <c r="E105" s="35" t="str">
        <f>'18U BOYS-24 TEAMS'!E64&amp;""</f>
        <v>I1(2ndA)-VANGUARD BLUE</v>
      </c>
      <c r="F105" s="35" t="str">
        <f>'18U BOYS-24 TEAMS'!F64&amp;""</f>
        <v>9</v>
      </c>
      <c r="G105" s="35" t="str">
        <f>'18U BOYS-24 TEAMS'!G64&amp;""</f>
        <v>I2(2ndB)-SAN FRANCISCO</v>
      </c>
      <c r="H105" s="35" t="str">
        <f>'18U BOYS-24 TEAMS'!H64&amp;""</f>
        <v>13</v>
      </c>
      <c r="I105" s="8" t="str">
        <f>'18U BOYS-24 TEAMS'!I64&amp;""</f>
        <v>I bracket I1,2</v>
      </c>
      <c r="J105" s="21" t="str">
        <f>'18U BOYS-24 TEAMS'!J64&amp;""</f>
        <v>18U_BOYS</v>
      </c>
    </row>
    <row r="106" spans="1:10">
      <c r="A106" s="37">
        <f>'18U BOYS-24 TEAMS'!A75</f>
        <v>45725</v>
      </c>
      <c r="B106" s="38">
        <f>'18U BOYS-24 TEAMS'!B75</f>
        <v>0.58333333333333304</v>
      </c>
      <c r="C106" s="24" t="str">
        <f>'18U BOYS-24 TEAMS'!C75&amp;""</f>
        <v>EL TORO HS</v>
      </c>
      <c r="D106" s="39" t="str">
        <f>'18U BOYS-24 TEAMS'!D75&amp;""</f>
        <v>18B46</v>
      </c>
      <c r="E106" s="12" t="str">
        <f>'18U BOYS-24 TEAMS'!E75&amp;""</f>
        <v>L1(3rdD)-TEXAS THUNDER</v>
      </c>
      <c r="F106" s="12" t="str">
        <f>'18U BOYS-24 TEAMS'!F75&amp;""</f>
        <v>16</v>
      </c>
      <c r="G106" s="12" t="str">
        <f>'18U BOYS-24 TEAMS'!G75&amp;""</f>
        <v>L2(3rdE)-ROSE BOWL RED</v>
      </c>
      <c r="H106" s="12" t="str">
        <f>'18U BOYS-24 TEAMS'!H75&amp;""</f>
        <v>7</v>
      </c>
      <c r="I106" s="27" t="str">
        <f>'18U BOYS-24 TEAMS'!I75&amp;""</f>
        <v>L bracket L1,L2</v>
      </c>
      <c r="J106" s="9" t="str">
        <f>'18U BOYS-24 TEAMS'!J75&amp;""</f>
        <v>18U_BOYS</v>
      </c>
    </row>
    <row r="107" spans="1:10">
      <c r="A107" s="18">
        <f>'18U BOYS-24 TEAMS'!A65</f>
        <v>45725</v>
      </c>
      <c r="B107" s="19">
        <f>'18U BOYS-24 TEAMS'!B65</f>
        <v>0.625</v>
      </c>
      <c r="C107" s="20" t="str">
        <f>'18U BOYS-24 TEAMS'!C65&amp;""</f>
        <v>TUSTIN HS</v>
      </c>
      <c r="D107" s="21" t="str">
        <f>'18U BOYS-24 TEAMS'!D65&amp;""</f>
        <v>18B47</v>
      </c>
      <c r="E107" s="35" t="str">
        <f>'18U BOYS-24 TEAMS'!E65&amp;""</f>
        <v>P1(3rdG)-CC UNITED</v>
      </c>
      <c r="F107" s="35" t="str">
        <f>'18U BOYS-24 TEAMS'!F65&amp;""</f>
        <v>6</v>
      </c>
      <c r="G107" s="35" t="str">
        <f>'18U BOYS-24 TEAMS'!G65&amp;""</f>
        <v>P2(3rdH)-DEL MAR</v>
      </c>
      <c r="H107" s="35" t="str">
        <f>'18U BOYS-24 TEAMS'!H65&amp;""</f>
        <v>8</v>
      </c>
      <c r="I107" s="8" t="str">
        <f>'18U BOYS-24 TEAMS'!I65&amp;""</f>
        <v>5th 3G/3H</v>
      </c>
      <c r="J107" s="21" t="str">
        <f>'18U BOYS-24 TEAMS'!J65&amp;""</f>
        <v>18U_BOYS</v>
      </c>
    </row>
    <row r="108" spans="1:10">
      <c r="A108" s="37">
        <f>'18U BOYS-24 TEAMS'!A76</f>
        <v>45725</v>
      </c>
      <c r="B108" s="38">
        <f>'18U BOYS-24 TEAMS'!B76</f>
        <v>0.625</v>
      </c>
      <c r="C108" s="24" t="str">
        <f>'18U BOYS-24 TEAMS'!C76&amp;""</f>
        <v>EL TORO HS</v>
      </c>
      <c r="D108" s="39" t="str">
        <f>'18U BOYS-24 TEAMS'!D76&amp;""</f>
        <v>18B48</v>
      </c>
      <c r="E108" s="12" t="str">
        <f>'18U BOYS-24 TEAMS'!E76&amp;""</f>
        <v>J1(2ndD)-NORTH IRVINE BEAST BOYS</v>
      </c>
      <c r="F108" s="12" t="str">
        <f>'18U BOYS-24 TEAMS'!F76&amp;""</f>
        <v>20</v>
      </c>
      <c r="G108" s="12" t="str">
        <f>'18U BOYS-24 TEAMS'!G76&amp;""</f>
        <v>J2(2ndE-SOCAL BLACK</v>
      </c>
      <c r="H108" s="12" t="str">
        <f>'18U BOYS-24 TEAMS'!H76&amp;""</f>
        <v>5</v>
      </c>
      <c r="I108" s="27" t="str">
        <f>'18U BOYS-24 TEAMS'!I76&amp;""</f>
        <v>J bracket J1,J2</v>
      </c>
      <c r="J108" s="9" t="str">
        <f>'18U BOYS-24 TEAMS'!J76&amp;""</f>
        <v>18U_BOYS</v>
      </c>
    </row>
    <row r="109" spans="1:10">
      <c r="A109" s="18">
        <f>'18U BOYS-24 TEAMS'!A66</f>
        <v>45725</v>
      </c>
      <c r="B109" s="19">
        <f>'18U BOYS-24 TEAMS'!B66</f>
        <v>0.66666666666666696</v>
      </c>
      <c r="C109" s="20" t="str">
        <f>'18U BOYS-24 TEAMS'!C66&amp;""</f>
        <v>TUSTIN HS</v>
      </c>
      <c r="D109" s="21" t="str">
        <f>'18U BOYS-24 TEAMS'!D66&amp;""</f>
        <v>18B49</v>
      </c>
      <c r="E109" s="35" t="str">
        <f>'18U BOYS-24 TEAMS'!E66&amp;""</f>
        <v>N1(2ndG)-LAMORINDA</v>
      </c>
      <c r="F109" s="35" t="str">
        <f>'18U BOYS-24 TEAMS'!F66&amp;""</f>
        <v>11</v>
      </c>
      <c r="G109" s="35" t="str">
        <f>'18U BOYS-24 TEAMS'!G66&amp;""</f>
        <v>N2(2ndH)-STANFORD</v>
      </c>
      <c r="H109" s="35" t="str">
        <f>'18U BOYS-24 TEAMS'!H66&amp;""</f>
        <v>9</v>
      </c>
      <c r="I109" s="8" t="str">
        <f>'18U BOYS-24 TEAMS'!I66&amp;""</f>
        <v>3rd 2G/2H</v>
      </c>
      <c r="J109" s="21" t="str">
        <f>'18U BOYS-24 TEAMS'!J66&amp;""</f>
        <v>18U_BOYS</v>
      </c>
    </row>
    <row r="110" spans="1:10">
      <c r="A110" s="37">
        <f>'18U BOYS-24 TEAMS'!A77</f>
        <v>45725</v>
      </c>
      <c r="B110" s="38">
        <f>'18U BOYS-24 TEAMS'!B77</f>
        <v>0.66666666666666696</v>
      </c>
      <c r="C110" s="24" t="str">
        <f>'18U BOYS-24 TEAMS'!C77&amp;""</f>
        <v>EL TORO HS</v>
      </c>
      <c r="D110" s="39" t="str">
        <f>'18U BOYS-24 TEAMS'!D77&amp;""</f>
        <v>18B50</v>
      </c>
      <c r="E110" s="12" t="str">
        <f>'18U BOYS-24 TEAMS'!E77&amp;""</f>
        <v>K1(3rdA)-LA PREMIER</v>
      </c>
      <c r="F110" s="12" t="str">
        <f>'18U BOYS-24 TEAMS'!F77&amp;""</f>
        <v>10</v>
      </c>
      <c r="G110" s="12" t="str">
        <f>'18U BOYS-24 TEAMS'!G77&amp;""</f>
        <v>K2(3rdB)-IMPERIAL BLUE</v>
      </c>
      <c r="H110" s="12" t="str">
        <f>'18U BOYS-24 TEAMS'!H77&amp;""</f>
        <v>13</v>
      </c>
      <c r="I110" s="27" t="str">
        <f>'18U BOYS-24 TEAMS'!I77&amp;""</f>
        <v>K bracket K1,K2</v>
      </c>
      <c r="J110" s="9" t="str">
        <f>'18U BOYS-24 TEAMS'!J77&amp;""</f>
        <v>18U_BOYS</v>
      </c>
    </row>
    <row r="111" spans="1:10">
      <c r="A111" s="18">
        <f>'18U BOYS-24 TEAMS'!A67</f>
        <v>45725</v>
      </c>
      <c r="B111" s="19">
        <f>'18U BOYS-24 TEAMS'!B67</f>
        <v>0.70833333333333304</v>
      </c>
      <c r="C111" s="20" t="str">
        <f>'18U BOYS-24 TEAMS'!C67&amp;""</f>
        <v>TUSTIN HS</v>
      </c>
      <c r="D111" s="21" t="str">
        <f>'18U BOYS-24 TEAMS'!D67&amp;""</f>
        <v>18B51</v>
      </c>
      <c r="E111" s="35" t="str">
        <f>'18U BOYS-24 TEAMS'!E67&amp;""</f>
        <v>O1(1stG)-NEWPORT</v>
      </c>
      <c r="F111" s="35" t="str">
        <f>'18U BOYS-24 TEAMS'!F67&amp;""</f>
        <v>12</v>
      </c>
      <c r="G111" s="35" t="str">
        <f>'18U BOYS-24 TEAMS'!G67&amp;""</f>
        <v>O2(1stH)-CHANNEL ISLANDS UNITED GOLD</v>
      </c>
      <c r="H111" s="35" t="str">
        <f>'18U BOYS-24 TEAMS'!H67&amp;""</f>
        <v>5</v>
      </c>
      <c r="I111" s="8" t="str">
        <f>'18U BOYS-24 TEAMS'!I67&amp;""</f>
        <v>1st 1G/1H</v>
      </c>
      <c r="J111" s="21" t="str">
        <f>'18U BOYS-24 TEAMS'!J67&amp;""</f>
        <v>18U_BOYS</v>
      </c>
    </row>
  </sheetData>
  <sortState xmlns:xlrd2="http://schemas.microsoft.com/office/spreadsheetml/2017/richdata2" ref="A20:J60">
    <sortCondition ref="A20:A60"/>
    <sortCondition ref="B20:B60"/>
    <sortCondition ref="D20:D60"/>
    <sortCondition ref="C20:C60"/>
  </sortState>
  <pageMargins left="0.7" right="0.7" top="0.75" bottom="0.75" header="0.3" footer="0.3"/>
  <pageSetup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8B6D-889A-4A96-AFBA-9F9F37572ED0}">
  <sheetPr>
    <pageSetUpPr fitToPage="1"/>
  </sheetPr>
  <dimension ref="A1:J111"/>
  <sheetViews>
    <sheetView topLeftCell="A43" workbookViewId="0">
      <selection activeCell="E57" sqref="E57"/>
    </sheetView>
  </sheetViews>
  <sheetFormatPr defaultColWidth="8.7109375" defaultRowHeight="18.600000000000001"/>
  <cols>
    <col min="1" max="1" width="11" style="115" customWidth="1"/>
    <col min="2" max="2" width="16.28515625" style="115" customWidth="1"/>
    <col min="3" max="3" width="23.85546875" style="115" customWidth="1"/>
    <col min="4" max="4" width="14.85546875" style="115" customWidth="1"/>
    <col min="5" max="5" width="41.28515625" style="115" customWidth="1"/>
    <col min="6" max="6" width="6.140625" style="115" customWidth="1"/>
    <col min="7" max="7" width="46.140625" style="115" bestFit="1" customWidth="1"/>
    <col min="8" max="8" width="7.5703125" style="115" customWidth="1"/>
    <col min="9" max="9" width="29.140625" style="115" customWidth="1"/>
    <col min="10" max="10" width="26" style="115" customWidth="1"/>
    <col min="11" max="16384" width="8.7109375" style="115"/>
  </cols>
  <sheetData>
    <row r="1" spans="1:10">
      <c r="A1" s="1" t="str">
        <f>'16U BOYS GOLD-9 TEAMS'!A13</f>
        <v>DATE</v>
      </c>
      <c r="B1" s="17" t="str">
        <f>'16U BOYS GOLD-9 TEAMS'!B13</f>
        <v>TIME</v>
      </c>
      <c r="C1" s="1" t="str">
        <f>'16U BOYS GOLD-9 TEAMS'!C13&amp;""</f>
        <v>LOCATION</v>
      </c>
      <c r="D1" s="1" t="str">
        <f>'16U BOYS GOLD-9 TEAMS'!D13&amp;""</f>
        <v>GAME ID</v>
      </c>
      <c r="E1" s="1" t="str">
        <f>'16U BOYS GOLD-9 TEAMS'!E13&amp;""</f>
        <v>WHITE TEAM</v>
      </c>
      <c r="F1" s="1" t="str">
        <f>'16U BOYS GOLD-9 TEAMS'!F13&amp;""</f>
        <v>S</v>
      </c>
      <c r="G1" s="1" t="str">
        <f>'16U BOYS GOLD-9 TEAMS'!G13&amp;""</f>
        <v>DARK TEAM</v>
      </c>
      <c r="H1" s="1" t="str">
        <f>'16U BOYS GOLD-9 TEAMS'!H13&amp;""</f>
        <v>S</v>
      </c>
      <c r="I1" s="1" t="str">
        <f>'16U BOYS GOLD-9 TEAMS'!I13&amp;""</f>
        <v>COMMENTS</v>
      </c>
      <c r="J1" s="1" t="str">
        <f>'16U BOYS GOLD-9 TEAMS'!J13&amp;""</f>
        <v>DIVISION</v>
      </c>
    </row>
    <row r="2" spans="1:10">
      <c r="A2" s="18">
        <f>'18U BOYS-24 TEAMS'!A27</f>
        <v>45724</v>
      </c>
      <c r="B2" s="19">
        <f>'18U BOYS-24 TEAMS'!B27</f>
        <v>0.33333333333333331</v>
      </c>
      <c r="C2" s="20" t="str">
        <f>'18U BOYS-24 TEAMS'!C27&amp;""</f>
        <v>EL TORO HS</v>
      </c>
      <c r="D2" s="21" t="str">
        <f>'18U BOYS-24 TEAMS'!D27&amp;""</f>
        <v>18B01</v>
      </c>
      <c r="E2" s="21" t="str">
        <f>'18U BOYS-24 TEAMS'!E27&amp;""</f>
        <v>5-CC UNITED</v>
      </c>
      <c r="F2" s="21" t="str">
        <f>'18U BOYS-24 TEAMS'!F27&amp;""</f>
        <v>12</v>
      </c>
      <c r="G2" s="114" t="str">
        <f>'18U BOYS-24 TEAMS'!G27&amp;""</f>
        <v>20-FOOTHILL RED</v>
      </c>
      <c r="H2" s="8" t="str">
        <f>'18U BOYS-24 TEAMS'!H27&amp;""</f>
        <v>7</v>
      </c>
      <c r="I2" s="8" t="str">
        <f>'18U BOYS-24 TEAMS'!I27&amp;""</f>
        <v>W/L C1/C4</v>
      </c>
      <c r="J2" s="21" t="str">
        <f>'18U BOYS-24 TEAMS'!J27&amp;""</f>
        <v>18U_BOYS</v>
      </c>
    </row>
    <row r="3" spans="1:10">
      <c r="A3" s="50">
        <f>'16U BOYS PLATINUM-19 TEAMS'!A37</f>
        <v>45724</v>
      </c>
      <c r="B3" s="45">
        <f>'16U BOYS PLATINUM-19 TEAMS'!B37</f>
        <v>0.33333333333333331</v>
      </c>
      <c r="C3" s="51" t="str">
        <f>'16U BOYS PLATINUM-19 TEAMS'!C37&amp;""</f>
        <v>ESTANCIA HS</v>
      </c>
      <c r="D3" s="52" t="str">
        <f>'16U BOYS PLATINUM-19 TEAMS'!D37&amp;""</f>
        <v>16Bpt02</v>
      </c>
      <c r="E3" s="45" t="str">
        <f>'16U BOYS PLATINUM-19 TEAMS'!E37&amp;""</f>
        <v>E1-MISSION A</v>
      </c>
      <c r="F3" s="55" t="str">
        <f>'16U BOYS PLATINUM-19 TEAMS'!F37&amp;""</f>
        <v>13</v>
      </c>
      <c r="G3" s="45" t="str">
        <f>'16U BOYS PLATINUM-19 TEAMS'!G37&amp;""</f>
        <v>E3-VANGUARD BLUE</v>
      </c>
      <c r="H3" s="54" t="str">
        <f>'16U BOYS PLATINUM-19 TEAMS'!H37&amp;""</f>
        <v>1</v>
      </c>
      <c r="I3" s="55" t="str">
        <f>'16U BOYS PLATINUM-19 TEAMS'!I37&amp;""</f>
        <v>E bracket E1,E3</v>
      </c>
      <c r="J3" s="52" t="str">
        <f>'16U BOYS PLATINUM-19 TEAMS'!J37&amp;""</f>
        <v>16U_BOYS_PLATINUM</v>
      </c>
    </row>
    <row r="4" spans="1:10">
      <c r="A4" s="23">
        <f>'18U BOYS-24 TEAMS'!A42</f>
        <v>45724</v>
      </c>
      <c r="B4" s="24">
        <f>'18U BOYS-24 TEAMS'!B42</f>
        <v>0.33333333333333331</v>
      </c>
      <c r="C4" s="25" t="str">
        <f>'18U BOYS-24 TEAMS'!C42&amp;""</f>
        <v>MARINA HS</v>
      </c>
      <c r="D4" s="81" t="str">
        <f>'18U BOYS-24 TEAMS'!D42&amp;""</f>
        <v>18B02</v>
      </c>
      <c r="E4" s="27" t="str">
        <f>'18U BOYS-24 TEAMS'!E42&amp;""</f>
        <v>2-NORTH IRVINE BEAST BOYS</v>
      </c>
      <c r="F4" s="27" t="str">
        <f>'18U BOYS-24 TEAMS'!F42&amp;""</f>
        <v>18</v>
      </c>
      <c r="G4" s="27" t="str">
        <f>'18U BOYS-24 TEAMS'!G42&amp;""</f>
        <v>23-TEXAS THUNDER</v>
      </c>
      <c r="H4" s="27" t="str">
        <f>'18U BOYS-24 TEAMS'!H42&amp;""</f>
        <v>7</v>
      </c>
      <c r="I4" s="9" t="str">
        <f>'18U BOYS-24 TEAMS'!I42&amp;""</f>
        <v>W/L D1/D4</v>
      </c>
      <c r="J4" s="26" t="str">
        <f>'18U BOYS-24 TEAMS'!J42&amp;""</f>
        <v>18U_BOYS</v>
      </c>
    </row>
    <row r="5" spans="1:10">
      <c r="A5" s="46">
        <f>'16U BOYS PLATINUM-19 TEAMS'!A24</f>
        <v>45724</v>
      </c>
      <c r="B5" s="47">
        <f>'16U BOYS PLATINUM-19 TEAMS'!B24</f>
        <v>0.33333333333333331</v>
      </c>
      <c r="C5" s="47" t="str">
        <f>'16U BOYS PLATINUM-19 TEAMS'!C24&amp;""</f>
        <v>WESTMINSTER HS</v>
      </c>
      <c r="D5" s="48" t="str">
        <f>'16U BOYS PLATINUM-19 TEAMS'!D24&amp;""</f>
        <v>16Bpt01</v>
      </c>
      <c r="E5" s="48" t="str">
        <f>'16U BOYS PLATINUM-19 TEAMS'!E24&amp;""</f>
        <v>C1-STANFORD</v>
      </c>
      <c r="F5" s="48" t="str">
        <f>'16U BOYS PLATINUM-19 TEAMS'!F24&amp;""</f>
        <v>18</v>
      </c>
      <c r="G5" s="48" t="str">
        <f>'16U BOYS PLATINUM-19 TEAMS'!G24&amp;""</f>
        <v>C3-CHAWP</v>
      </c>
      <c r="H5" s="48" t="str">
        <f>'16U BOYS PLATINUM-19 TEAMS'!H24&amp;""</f>
        <v>10</v>
      </c>
      <c r="I5" s="48" t="str">
        <f>'16U BOYS PLATINUM-19 TEAMS'!I24&amp;""</f>
        <v>C bracket C1,C3</v>
      </c>
      <c r="J5" s="48" t="str">
        <f>'16U BOYS PLATINUM-19 TEAMS'!J24&amp;""</f>
        <v>16U_BOYS_PLATINUM</v>
      </c>
    </row>
    <row r="6" spans="1:10">
      <c r="A6" s="18">
        <f>'18U BOYS-24 TEAMS'!A28</f>
        <v>45724</v>
      </c>
      <c r="B6" s="19">
        <f>'18U BOYS-24 TEAMS'!B28</f>
        <v>0.375</v>
      </c>
      <c r="C6" s="20" t="str">
        <f>'18U BOYS-24 TEAMS'!C28&amp;""</f>
        <v>EL TORO HS</v>
      </c>
      <c r="D6" s="21" t="str">
        <f>'18U BOYS-24 TEAMS'!D28&amp;""</f>
        <v>18B03</v>
      </c>
      <c r="E6" s="21" t="str">
        <f>'18U BOYS-24 TEAMS'!E28&amp;""</f>
        <v>8-SD SHORES BLACK</v>
      </c>
      <c r="F6" s="21" t="str">
        <f>'18U BOYS-24 TEAMS'!F28&amp;""</f>
        <v>12</v>
      </c>
      <c r="G6" s="21" t="str">
        <f>'18U BOYS-24 TEAMS'!G28&amp;""</f>
        <v>17-CHAWP</v>
      </c>
      <c r="H6" s="8" t="str">
        <f>'18U BOYS-24 TEAMS'!H28&amp;""</f>
        <v>11</v>
      </c>
      <c r="I6" s="8" t="str">
        <f>'18U BOYS-24 TEAMS'!I28&amp;""</f>
        <v>W/L C2/C3</v>
      </c>
      <c r="J6" s="21" t="str">
        <f>'18U BOYS-24 TEAMS'!J28&amp;""</f>
        <v>18U_BOYS</v>
      </c>
    </row>
    <row r="7" spans="1:10">
      <c r="A7" s="50">
        <f>'16U BOYS PLATINUM-19 TEAMS'!A38</f>
        <v>45724</v>
      </c>
      <c r="B7" s="45">
        <f>'16U BOYS PLATINUM-19 TEAMS'!B38</f>
        <v>0.375</v>
      </c>
      <c r="C7" s="51" t="str">
        <f>'16U BOYS PLATINUM-19 TEAMS'!C38&amp;""</f>
        <v>ESTANCIA HS</v>
      </c>
      <c r="D7" s="52" t="str">
        <f>'16U BOYS PLATINUM-19 TEAMS'!D38&amp;""</f>
        <v>16Bpt04</v>
      </c>
      <c r="E7" s="53" t="str">
        <f>'16U BOYS PLATINUM-19 TEAMS'!E38&amp;""</f>
        <v>D1-CC UNITED BLACK</v>
      </c>
      <c r="F7" s="54" t="str">
        <f>'16U BOYS PLATINUM-19 TEAMS'!F38&amp;""</f>
        <v>15</v>
      </c>
      <c r="G7" s="53" t="str">
        <f>'16U BOYS PLATINUM-19 TEAMS'!G38&amp;""</f>
        <v>D3-PATRIOT</v>
      </c>
      <c r="H7" s="54" t="str">
        <f>'16U BOYS PLATINUM-19 TEAMS'!H38&amp;""</f>
        <v>7</v>
      </c>
      <c r="I7" s="55" t="str">
        <f>'16U BOYS PLATINUM-19 TEAMS'!I38&amp;""</f>
        <v>D bracket D1,D3</v>
      </c>
      <c r="J7" s="52" t="str">
        <f>'16U BOYS PLATINUM-19 TEAMS'!J38&amp;""</f>
        <v>16U_BOYS_PLATINUM</v>
      </c>
    </row>
    <row r="8" spans="1:10">
      <c r="A8" s="23">
        <f>'18U BOYS-24 TEAMS'!A43</f>
        <v>45724</v>
      </c>
      <c r="B8" s="24">
        <f>'18U BOYS-24 TEAMS'!B43</f>
        <v>0.375</v>
      </c>
      <c r="C8" s="25" t="str">
        <f>'18U BOYS-24 TEAMS'!C43&amp;""</f>
        <v>MARINA HS</v>
      </c>
      <c r="D8" s="81" t="str">
        <f>'18U BOYS-24 TEAMS'!D43&amp;""</f>
        <v>18B04</v>
      </c>
      <c r="E8" s="27" t="str">
        <f>'18U BOYS-24 TEAMS'!E43&amp;""</f>
        <v>11-STANFORD</v>
      </c>
      <c r="F8" s="27" t="str">
        <f>'18U BOYS-24 TEAMS'!F43&amp;""</f>
        <v>14</v>
      </c>
      <c r="G8" s="27" t="str">
        <f>'18U BOYS-24 TEAMS'!G43&amp;""</f>
        <v>14-LA JOLLA UNITED NAVY</v>
      </c>
      <c r="H8" s="27" t="str">
        <f>'18U BOYS-24 TEAMS'!H43&amp;""</f>
        <v>6</v>
      </c>
      <c r="I8" s="9" t="str">
        <f>'18U BOYS-24 TEAMS'!I43&amp;""</f>
        <v>W/L D2/D3</v>
      </c>
      <c r="J8" s="26" t="str">
        <f>'18U BOYS-24 TEAMS'!J43&amp;""</f>
        <v>18U_BOYS</v>
      </c>
    </row>
    <row r="9" spans="1:10">
      <c r="A9" s="23">
        <f>'18U BOYS-24 TEAMS'!A44</f>
        <v>45724</v>
      </c>
      <c r="B9" s="24">
        <f>'18U BOYS-24 TEAMS'!B44</f>
        <v>0.375</v>
      </c>
      <c r="C9" s="25" t="str">
        <f>'18U BOYS-24 TEAMS'!C44&amp;""</f>
        <v>TUSTIN HS</v>
      </c>
      <c r="D9" s="12" t="str">
        <f>'18U BOYS-24 TEAMS'!D44&amp;""</f>
        <v>18B08</v>
      </c>
      <c r="E9" s="9" t="str">
        <f>'18U BOYS-24 TEAMS'!E44&amp;""</f>
        <v>10-SOCAL BLACK</v>
      </c>
      <c r="F9" s="9" t="str">
        <f>'18U BOYS-24 TEAMS'!F44&amp;""</f>
        <v>14</v>
      </c>
      <c r="G9" s="9" t="str">
        <f>'18U BOYS-24 TEAMS'!G44&amp;""</f>
        <v>15-DIABLO RED</v>
      </c>
      <c r="H9" s="9" t="str">
        <f>'18U BOYS-24 TEAMS'!H44&amp;""</f>
        <v>6</v>
      </c>
      <c r="I9" s="9" t="str">
        <f>'18U BOYS-24 TEAMS'!I44&amp;""</f>
        <v>W/L E2/E3</v>
      </c>
      <c r="J9" s="26" t="str">
        <f>'18U BOYS-24 TEAMS'!J45&amp;""</f>
        <v>18U_BOYS</v>
      </c>
    </row>
    <row r="10" spans="1:10">
      <c r="A10" s="46">
        <f>'16U BOYS PLATINUM-19 TEAMS'!A25</f>
        <v>45724</v>
      </c>
      <c r="B10" s="47">
        <f>'16U BOYS PLATINUM-19 TEAMS'!B25</f>
        <v>0.375</v>
      </c>
      <c r="C10" s="47" t="str">
        <f>'16U BOYS PLATINUM-19 TEAMS'!C25&amp;""</f>
        <v>WESTMINSTER HS</v>
      </c>
      <c r="D10" s="48" t="str">
        <f>'16U BOYS PLATINUM-19 TEAMS'!D25&amp;""</f>
        <v>16Bpt03</v>
      </c>
      <c r="E10" s="48" t="str">
        <f>'16U BOYS PLATINUM-19 TEAMS'!E25&amp;""</f>
        <v>A1-DEL MAR</v>
      </c>
      <c r="F10" s="48" t="str">
        <f>'16U BOYS PLATINUM-19 TEAMS'!F25&amp;""</f>
        <v>18</v>
      </c>
      <c r="G10" s="48" t="str">
        <f>'16U BOYS PLATINUM-19 TEAMS'!G25&amp;""</f>
        <v>A3-NORTH IRVINE BLACK</v>
      </c>
      <c r="H10" s="48" t="str">
        <f>'16U BOYS PLATINUM-19 TEAMS'!H25&amp;""</f>
        <v>9</v>
      </c>
      <c r="I10" s="48" t="str">
        <f>'16U BOYS PLATINUM-19 TEAMS'!I25&amp;""</f>
        <v>A bracket A1,A3</v>
      </c>
      <c r="J10" s="48" t="str">
        <f>'16U BOYS PLATINUM-19 TEAMS'!J25&amp;""</f>
        <v>16U_BOYS_PLATINUM</v>
      </c>
    </row>
    <row r="11" spans="1:10">
      <c r="A11" s="62">
        <f>'16U BOYS GOLD-9 TEAMS'!A14</f>
        <v>45724</v>
      </c>
      <c r="B11" s="63">
        <f>'16U BOYS GOLD-9 TEAMS'!B14</f>
        <v>0.39583333333333331</v>
      </c>
      <c r="C11" s="63" t="str">
        <f>'16U BOYS GOLD-9 TEAMS'!C14&amp;""</f>
        <v>COSTA MESA HS</v>
      </c>
      <c r="D11" s="64" t="str">
        <f>'16U BOYS GOLD-9 TEAMS'!D14&amp;""</f>
        <v>16Bau01</v>
      </c>
      <c r="E11" s="64" t="str">
        <f>'16U BOYS GOLD-9 TEAMS'!E14&amp;""</f>
        <v>A1-SAN FRANCISCO</v>
      </c>
      <c r="F11" s="64" t="str">
        <f>'16U BOYS GOLD-9 TEAMS'!F14&amp;""</f>
        <v>17</v>
      </c>
      <c r="G11" s="64" t="str">
        <f>'16U BOYS GOLD-9 TEAMS'!G14&amp;""</f>
        <v>A3-FOOTHILL BLACK</v>
      </c>
      <c r="H11" s="64" t="str">
        <f>'16U BOYS GOLD-9 TEAMS'!H14&amp;""</f>
        <v>1</v>
      </c>
      <c r="I11" s="64" t="str">
        <f>'16U BOYS GOLD-9 TEAMS'!I14&amp;""</f>
        <v>A bracket A1,A3</v>
      </c>
      <c r="J11" s="64" t="str">
        <f>'16U BOYS GOLD-9 TEAMS'!J14&amp;""</f>
        <v>16U_BOYS_GOLD</v>
      </c>
    </row>
    <row r="12" spans="1:10">
      <c r="A12" s="18">
        <f>'18U BOYS-24 TEAMS'!A29</f>
        <v>45724</v>
      </c>
      <c r="B12" s="19">
        <f>'18U BOYS-24 TEAMS'!B29</f>
        <v>0.41666666666666702</v>
      </c>
      <c r="C12" s="20" t="str">
        <f>'18U BOYS-24 TEAMS'!C29&amp;""</f>
        <v>EL TORO HS</v>
      </c>
      <c r="D12" s="21" t="str">
        <f>'18U BOYS-24 TEAMS'!D29&amp;""</f>
        <v>18B05</v>
      </c>
      <c r="E12" s="21" t="str">
        <f>'18U BOYS-24 TEAMS'!E29&amp;""</f>
        <v>1-LAMORINDA</v>
      </c>
      <c r="F12" s="21" t="str">
        <f>'18U BOYS-24 TEAMS'!F29&amp;""</f>
        <v>19</v>
      </c>
      <c r="G12" s="21" t="str">
        <f>'18U BOYS-24 TEAMS'!G29&amp;""</f>
        <v>24-NORTH IRVINE VEGAS</v>
      </c>
      <c r="H12" s="8" t="str">
        <f>'18U BOYS-24 TEAMS'!H29&amp;""</f>
        <v>8</v>
      </c>
      <c r="I12" s="8" t="str">
        <f>'18U BOYS-24 TEAMS'!I29&amp;""</f>
        <v>W/L A1/A4</v>
      </c>
      <c r="J12" s="21" t="str">
        <f>'18U BOYS-24 TEAMS'!J29&amp;""</f>
        <v>18U_BOYS</v>
      </c>
    </row>
    <row r="13" spans="1:10">
      <c r="A13" s="50">
        <f>'16U BOYS PLATINUM-19 TEAMS'!A39</f>
        <v>45724</v>
      </c>
      <c r="B13" s="45">
        <f>'16U BOYS PLATINUM-19 TEAMS'!B39</f>
        <v>0.41666666666666702</v>
      </c>
      <c r="C13" s="51" t="str">
        <f>'16U BOYS PLATINUM-19 TEAMS'!C39&amp;""</f>
        <v>ESTANCIA HS</v>
      </c>
      <c r="D13" s="52" t="str">
        <f>'16U BOYS PLATINUM-19 TEAMS'!D39&amp;""</f>
        <v>16Bpt06</v>
      </c>
      <c r="E13" s="53" t="str">
        <f>'16U BOYS PLATINUM-19 TEAMS'!E39&amp;""</f>
        <v>F1-TROJAN</v>
      </c>
      <c r="F13" s="54" t="str">
        <f>'16U BOYS PLATINUM-19 TEAMS'!F39&amp;""</f>
        <v>10</v>
      </c>
      <c r="G13" s="53" t="str">
        <f>'16U BOYS PLATINUM-19 TEAMS'!G39&amp;""</f>
        <v>F4-FOOTHILL RED</v>
      </c>
      <c r="H13" s="54" t="str">
        <f>'16U BOYS PLATINUM-19 TEAMS'!H39&amp;""</f>
        <v>8</v>
      </c>
      <c r="I13" s="55" t="str">
        <f>'16U BOYS PLATINUM-19 TEAMS'!I39&amp;""</f>
        <v>W/L F1/F4</v>
      </c>
      <c r="J13" s="52" t="str">
        <f>'16U BOYS PLATINUM-19 TEAMS'!J39&amp;""</f>
        <v>16U_BOYS_PLATINUM</v>
      </c>
    </row>
    <row r="14" spans="1:10">
      <c r="A14" s="18">
        <f>'18U BOYS-24 TEAMS'!A30</f>
        <v>45724</v>
      </c>
      <c r="B14" s="19">
        <f>'18U BOYS-24 TEAMS'!B30</f>
        <v>0.41666666666666702</v>
      </c>
      <c r="C14" s="20" t="str">
        <f>'18U BOYS-24 TEAMS'!C30&amp;""</f>
        <v>MARINA HS</v>
      </c>
      <c r="D14" s="21" t="str">
        <f>'18U BOYS-24 TEAMS'!D30&amp;""</f>
        <v>18B11</v>
      </c>
      <c r="E14" s="21" t="str">
        <f>'18U BOYS-24 TEAMS'!E30&amp;""</f>
        <v>9-SAN FRANCISCO</v>
      </c>
      <c r="F14" s="21" t="str">
        <f>'18U BOYS-24 TEAMS'!F30&amp;""</f>
        <v>13</v>
      </c>
      <c r="G14" s="21" t="str">
        <f>'18U BOYS-24 TEAMS'!G30&amp;""</f>
        <v>16-IMPERIAL BLUE</v>
      </c>
      <c r="H14" s="8" t="str">
        <f>'18U BOYS-24 TEAMS'!H30&amp;""</f>
        <v>12</v>
      </c>
      <c r="I14" s="8" t="str">
        <f>'18U BOYS-24 TEAMS'!I30&amp;""</f>
        <v>W/L B2/B3</v>
      </c>
      <c r="J14" s="21" t="str">
        <f>'18U BOYS-24 TEAMS'!J30&amp;""</f>
        <v>18U_BOYS</v>
      </c>
    </row>
    <row r="15" spans="1:10">
      <c r="A15" s="23">
        <f>'18U BOYS-24 TEAMS'!A45</f>
        <v>45724</v>
      </c>
      <c r="B15" s="24">
        <f>'18U BOYS-24 TEAMS'!B45</f>
        <v>0.41666666666666702</v>
      </c>
      <c r="C15" s="25" t="str">
        <f>'18U BOYS-24 TEAMS'!C45&amp;""</f>
        <v>TUSTIN HS</v>
      </c>
      <c r="D15" s="12" t="str">
        <f>'18U BOYS-24 TEAMS'!D45&amp;""</f>
        <v>18B06</v>
      </c>
      <c r="E15" s="27" t="str">
        <f>'18U BOYS-24 TEAMS'!E45&amp;""</f>
        <v>3-DEL MAR</v>
      </c>
      <c r="F15" s="27" t="str">
        <f>'18U BOYS-24 TEAMS'!F45&amp;""</f>
        <v>13</v>
      </c>
      <c r="G15" s="27" t="str">
        <f>'18U BOYS-24 TEAMS'!G45&amp;""</f>
        <v>22-ROSE BOWL RED</v>
      </c>
      <c r="H15" s="27" t="str">
        <f>'18U BOYS-24 TEAMS'!H45&amp;""</f>
        <v>5</v>
      </c>
      <c r="I15" s="9" t="str">
        <f>'18U BOYS-24 TEAMS'!I45&amp;""</f>
        <v>W/L E1/E4</v>
      </c>
      <c r="J15" s="26" t="str">
        <f>'18U BOYS-24 TEAMS'!J44&amp;""</f>
        <v>18U_BOYS</v>
      </c>
    </row>
    <row r="16" spans="1:10">
      <c r="A16" s="46">
        <f>'16U BOYS PLATINUM-19 TEAMS'!A26</f>
        <v>45724</v>
      </c>
      <c r="B16" s="47">
        <f>'16U BOYS PLATINUM-19 TEAMS'!B26</f>
        <v>0.41666666666666702</v>
      </c>
      <c r="C16" s="47" t="str">
        <f>'16U BOYS PLATINUM-19 TEAMS'!C26&amp;""</f>
        <v>WESTMINSTER HS</v>
      </c>
      <c r="D16" s="48" t="str">
        <f>'16U BOYS PLATINUM-19 TEAMS'!D26&amp;""</f>
        <v>16Bpt05</v>
      </c>
      <c r="E16" s="48" t="str">
        <f>'16U BOYS PLATINUM-19 TEAMS'!E26&amp;""</f>
        <v>B2-ORANGE COUNTY WPC BLUE</v>
      </c>
      <c r="F16" s="48" t="str">
        <f>'16U BOYS PLATINUM-19 TEAMS'!F26&amp;""</f>
        <v>15</v>
      </c>
      <c r="G16" s="48" t="str">
        <f>'16U BOYS PLATINUM-19 TEAMS'!G26&amp;""</f>
        <v>B3-ROSE BOWL RED</v>
      </c>
      <c r="H16" s="48" t="str">
        <f>'16U BOYS PLATINUM-19 TEAMS'!H26&amp;""</f>
        <v>8</v>
      </c>
      <c r="I16" s="48" t="str">
        <f>'16U BOYS PLATINUM-19 TEAMS'!I26&amp;""</f>
        <v>B bracket B2,B3</v>
      </c>
      <c r="J16" s="48" t="str">
        <f>'16U BOYS PLATINUM-19 TEAMS'!J26&amp;""</f>
        <v>16U_BOYS_PLATINUM</v>
      </c>
    </row>
    <row r="17" spans="1:10">
      <c r="A17" s="62">
        <f>'16U BOYS GOLD-9 TEAMS'!A15</f>
        <v>45724</v>
      </c>
      <c r="B17" s="63">
        <f>'16U BOYS GOLD-9 TEAMS'!B15</f>
        <v>0.4375</v>
      </c>
      <c r="C17" s="63" t="str">
        <f>'16U BOYS GOLD-9 TEAMS'!C15&amp;""</f>
        <v>COSTA MESA HS</v>
      </c>
      <c r="D17" s="64" t="str">
        <f>'16U BOYS GOLD-9 TEAMS'!D15&amp;""</f>
        <v>16Bau02</v>
      </c>
      <c r="E17" s="64" t="str">
        <f>'16U BOYS GOLD-9 TEAMS'!E15&amp;""</f>
        <v>B1-LA PREMIER</v>
      </c>
      <c r="F17" s="64" t="str">
        <f>'16U BOYS GOLD-9 TEAMS'!F15&amp;""</f>
        <v>15</v>
      </c>
      <c r="G17" s="64" t="str">
        <f>'16U BOYS GOLD-9 TEAMS'!G15&amp;""</f>
        <v>B3-OCWP RED</v>
      </c>
      <c r="H17" s="64" t="str">
        <f>'16U BOYS GOLD-9 TEAMS'!H15&amp;""</f>
        <v>9</v>
      </c>
      <c r="I17" s="64" t="str">
        <f>'16U BOYS GOLD-9 TEAMS'!I15&amp;""</f>
        <v>B bracket B1,B3</v>
      </c>
      <c r="J17" s="64" t="str">
        <f>'16U BOYS GOLD-9 TEAMS'!J15&amp;""</f>
        <v>16U_BOYS_GOLD</v>
      </c>
    </row>
    <row r="18" spans="1:10">
      <c r="A18" s="18">
        <f>'18U BOYS-24 TEAMS'!A31</f>
        <v>45724</v>
      </c>
      <c r="B18" s="19">
        <f>'18U BOYS-24 TEAMS'!B31</f>
        <v>0.45833333333333298</v>
      </c>
      <c r="C18" s="20" t="str">
        <f>'18U BOYS-24 TEAMS'!C31&amp;""</f>
        <v>EL TORO HS</v>
      </c>
      <c r="D18" s="21" t="str">
        <f>'18U BOYS-24 TEAMS'!D31&amp;""</f>
        <v>18B07</v>
      </c>
      <c r="E18" s="21" t="str">
        <f>'18U BOYS-24 TEAMS'!E31&amp;""</f>
        <v>12-LA PREMIER</v>
      </c>
      <c r="F18" s="21" t="str">
        <f>'18U BOYS-24 TEAMS'!F31&amp;""</f>
        <v>8</v>
      </c>
      <c r="G18" s="21" t="str">
        <f>'18U BOYS-24 TEAMS'!G31&amp;""</f>
        <v>13-VANGUARD BLUE</v>
      </c>
      <c r="H18" s="8" t="str">
        <f>'18U BOYS-24 TEAMS'!H31&amp;""</f>
        <v>13</v>
      </c>
      <c r="I18" s="8" t="str">
        <f>'18U BOYS-24 TEAMS'!I31&amp;""</f>
        <v>W/L A2/A3</v>
      </c>
      <c r="J18" s="21" t="str">
        <f>'18U BOYS-24 TEAMS'!J31&amp;""</f>
        <v>18U_BOYS</v>
      </c>
    </row>
    <row r="19" spans="1:10">
      <c r="A19" s="50">
        <f>'16U BOYS PLATINUM-19 TEAMS'!A40</f>
        <v>45724</v>
      </c>
      <c r="B19" s="45">
        <f>'16U BOYS PLATINUM-19 TEAMS'!B40</f>
        <v>0.45833333333333298</v>
      </c>
      <c r="C19" s="51" t="str">
        <f>'16U BOYS PLATINUM-19 TEAMS'!C40&amp;""</f>
        <v>ESTANCIA HS</v>
      </c>
      <c r="D19" s="52" t="str">
        <f>'16U BOYS PLATINUM-19 TEAMS'!D40&amp;""</f>
        <v>16Bpt08</v>
      </c>
      <c r="E19" s="45" t="str">
        <f>'16U BOYS PLATINUM-19 TEAMS'!E40&amp;""</f>
        <v>E2-ATHERTON</v>
      </c>
      <c r="F19" s="55" t="str">
        <f>'16U BOYS PLATINUM-19 TEAMS'!F40&amp;""</f>
        <v>14</v>
      </c>
      <c r="G19" s="45" t="str">
        <f>'16U BOYS PLATINUM-19 TEAMS'!G40&amp;""</f>
        <v>E3-VANGUARD BLUE</v>
      </c>
      <c r="H19" s="54" t="str">
        <f>'16U BOYS PLATINUM-19 TEAMS'!H40&amp;""</f>
        <v>8</v>
      </c>
      <c r="I19" s="55" t="str">
        <f>'16U BOYS PLATINUM-19 TEAMS'!I40&amp;""</f>
        <v>E bracket E2,E3</v>
      </c>
      <c r="J19" s="52" t="str">
        <f>'16U BOYS PLATINUM-19 TEAMS'!J40&amp;""</f>
        <v>16U_BOYS_PLATINUM</v>
      </c>
    </row>
    <row r="20" spans="1:10">
      <c r="A20" s="23">
        <f>'18U BOYS-24 TEAMS'!A46</f>
        <v>45724</v>
      </c>
      <c r="B20" s="24">
        <f>'18U BOYS-24 TEAMS'!B46</f>
        <v>0.45833333333333298</v>
      </c>
      <c r="C20" s="25" t="str">
        <f>'18U BOYS-24 TEAMS'!C46&amp;""</f>
        <v>TUSTIN HS</v>
      </c>
      <c r="D20" s="12" t="str">
        <f>'18U BOYS-24 TEAMS'!D46&amp;""</f>
        <v>18B10</v>
      </c>
      <c r="E20" s="9" t="str">
        <f>'18U BOYS-24 TEAMS'!E46&amp;""</f>
        <v>6-CHANNEL ISLANDS UNITED GOLD</v>
      </c>
      <c r="F20" s="9" t="str">
        <f>'18U BOYS-24 TEAMS'!F46&amp;""</f>
        <v>10</v>
      </c>
      <c r="G20" s="9" t="str">
        <f>'18U BOYS-24 TEAMS'!G46&amp;""</f>
        <v>19-MONARCHY</v>
      </c>
      <c r="H20" s="9" t="str">
        <f>'18U BOYS-24 TEAMS'!H46&amp;""</f>
        <v>4</v>
      </c>
      <c r="I20" s="9" t="str">
        <f>'18U BOYS-24 TEAMS'!I46&amp;""</f>
        <v>W/L F1/F4</v>
      </c>
      <c r="J20" s="26" t="str">
        <f>'18U BOYS-24 TEAMS'!J46&amp;""</f>
        <v>18U_BOYS</v>
      </c>
    </row>
    <row r="21" spans="1:10">
      <c r="A21" s="18">
        <f>'18U BOYS-24 TEAMS'!A32</f>
        <v>45724</v>
      </c>
      <c r="B21" s="19">
        <f>'18U BOYS-24 TEAMS'!B32</f>
        <v>0.45833333333333298</v>
      </c>
      <c r="C21" s="20" t="str">
        <f>'18U BOYS-24 TEAMS'!C32&amp;""</f>
        <v>WESTMINSTER HS</v>
      </c>
      <c r="D21" s="21" t="str">
        <f>'18U BOYS-24 TEAMS'!D32&amp;""</f>
        <v>18B09</v>
      </c>
      <c r="E21" s="114" t="str">
        <f>'18U BOYS-24 TEAMS'!E32&amp;""</f>
        <v>4-NEWPORT</v>
      </c>
      <c r="F21" s="21" t="str">
        <f>'18U BOYS-24 TEAMS'!F32&amp;""</f>
        <v>10</v>
      </c>
      <c r="G21" s="21" t="str">
        <f>'18U BOYS-24 TEAMS'!G32&amp;""</f>
        <v>21-ORANGE COUNTY WPC BLUE</v>
      </c>
      <c r="H21" s="8" t="str">
        <f>'18U BOYS-24 TEAMS'!H32&amp;""</f>
        <v>5</v>
      </c>
      <c r="I21" s="8" t="str">
        <f>'18U BOYS-24 TEAMS'!I32&amp;""</f>
        <v>W/L B1/B4</v>
      </c>
      <c r="J21" s="21" t="str">
        <f>'18U BOYS-24 TEAMS'!J32&amp;""</f>
        <v>18U_BOYS</v>
      </c>
    </row>
    <row r="22" spans="1:10">
      <c r="A22" s="62">
        <f>'16U BOYS GOLD-9 TEAMS'!A16</f>
        <v>45724</v>
      </c>
      <c r="B22" s="63">
        <f>'16U BOYS GOLD-9 TEAMS'!B16</f>
        <v>0.47916666666666702</v>
      </c>
      <c r="C22" s="63" t="str">
        <f>'16U BOYS GOLD-9 TEAMS'!C16&amp;""</f>
        <v>COSTA MESA HS</v>
      </c>
      <c r="D22" s="64" t="str">
        <f>'16U BOYS GOLD-9 TEAMS'!D16&amp;""</f>
        <v>16Bau03</v>
      </c>
      <c r="E22" s="64" t="str">
        <f>'16U BOYS GOLD-9 TEAMS'!E16&amp;""</f>
        <v>C1-TROJAN</v>
      </c>
      <c r="F22" s="64" t="str">
        <f>'16U BOYS GOLD-9 TEAMS'!F16&amp;""</f>
        <v>2</v>
      </c>
      <c r="G22" s="64" t="str">
        <f>'16U BOYS GOLD-9 TEAMS'!G16&amp;""</f>
        <v>C2-CC UNITED BLUE</v>
      </c>
      <c r="H22" s="64" t="str">
        <f>'16U BOYS GOLD-9 TEAMS'!H16&amp;""</f>
        <v>9</v>
      </c>
      <c r="I22" s="64" t="str">
        <f>'16U BOYS GOLD-9 TEAMS'!I16&amp;""</f>
        <v>C bracket C1,C2</v>
      </c>
      <c r="J22" s="64" t="str">
        <f>'16U BOYS GOLD-9 TEAMS'!J16&amp;""</f>
        <v>16U_BOYS_GOLD</v>
      </c>
    </row>
    <row r="23" spans="1:10">
      <c r="A23" s="18">
        <f>'18U BOYS-24 TEAMS'!A33</f>
        <v>45724</v>
      </c>
      <c r="B23" s="19">
        <f>'18U BOYS-24 TEAMS'!B33</f>
        <v>0.5</v>
      </c>
      <c r="C23" s="20" t="str">
        <f>'18U BOYS-24 TEAMS'!C33&amp;""</f>
        <v>EL TORO HS</v>
      </c>
      <c r="D23" s="21" t="str">
        <f>'18U BOYS-24 TEAMS'!D33&amp;""</f>
        <v>18B13</v>
      </c>
      <c r="E23" s="114" t="str">
        <f>'18U BOYS-24 TEAMS'!E33&amp;""</f>
        <v>L#1-FOOTHILL RED</v>
      </c>
      <c r="F23" s="21" t="str">
        <f>'18U BOYS-24 TEAMS'!F33&amp;""</f>
        <v>6</v>
      </c>
      <c r="G23" s="21" t="str">
        <f>'18U BOYS-24 TEAMS'!G33&amp;""</f>
        <v>L#3-CHAWP</v>
      </c>
      <c r="H23" s="8" t="str">
        <f>'18U BOYS-24 TEAMS'!H33&amp;""</f>
        <v>11</v>
      </c>
      <c r="I23" s="8" t="str">
        <f>'18U BOYS-24 TEAMS'!I33&amp;""</f>
        <v>3rd/4thC</v>
      </c>
      <c r="J23" s="21" t="str">
        <f>'18U BOYS-24 TEAMS'!J33&amp;""</f>
        <v>18U_BOYS</v>
      </c>
    </row>
    <row r="24" spans="1:10">
      <c r="A24" s="50">
        <f>'16U BOYS PLATINUM-19 TEAMS'!A41</f>
        <v>45724</v>
      </c>
      <c r="B24" s="45">
        <f>'16U BOYS PLATINUM-19 TEAMS'!B41</f>
        <v>0.5</v>
      </c>
      <c r="C24" s="51" t="str">
        <f>'16U BOYS PLATINUM-19 TEAMS'!C41&amp;""</f>
        <v>ESTANCIA HS</v>
      </c>
      <c r="D24" s="52" t="str">
        <f>'16U BOYS PLATINUM-19 TEAMS'!D41&amp;""</f>
        <v>16Bpt10</v>
      </c>
      <c r="E24" s="45" t="str">
        <f>'16U BOYS PLATINUM-19 TEAMS'!E41&amp;""</f>
        <v>F2-SD SHORES BLACK</v>
      </c>
      <c r="F24" s="55" t="str">
        <f>'16U BOYS PLATINUM-19 TEAMS'!F41&amp;""</f>
        <v>13</v>
      </c>
      <c r="G24" s="45" t="str">
        <f>'16U BOYS PLATINUM-19 TEAMS'!G41&amp;""</f>
        <v>F3-TEXAS THUINDER</v>
      </c>
      <c r="H24" s="54" t="str">
        <f>'16U BOYS PLATINUM-19 TEAMS'!H41&amp;""</f>
        <v>7</v>
      </c>
      <c r="I24" s="55" t="str">
        <f>'16U BOYS PLATINUM-19 TEAMS'!I41&amp;""</f>
        <v>W/L F2/F3</v>
      </c>
      <c r="J24" s="52" t="str">
        <f>'16U BOYS PLATINUM-19 TEAMS'!J41&amp;""</f>
        <v>16U_BOYS_PLATINUM</v>
      </c>
    </row>
    <row r="25" spans="1:10">
      <c r="A25" s="23">
        <f>'18U BOYS-24 TEAMS'!A47</f>
        <v>45724</v>
      </c>
      <c r="B25" s="24">
        <f>'18U BOYS-24 TEAMS'!B47</f>
        <v>0.5</v>
      </c>
      <c r="C25" s="25" t="str">
        <f>'18U BOYS-24 TEAMS'!C47&amp;""</f>
        <v>TUSTIN HS</v>
      </c>
      <c r="D25" s="12" t="str">
        <f>'18U BOYS-24 TEAMS'!D47&amp;""</f>
        <v>18B12</v>
      </c>
      <c r="E25" s="27" t="str">
        <f>'18U BOYS-24 TEAMS'!E47&amp;""</f>
        <v>7-TROJAN</v>
      </c>
      <c r="F25" s="27" t="str">
        <f>'18U BOYS-24 TEAMS'!F47&amp;""</f>
        <v>12</v>
      </c>
      <c r="G25" s="27" t="str">
        <f>'18U BOYS-24 TEAMS'!G47&amp;""</f>
        <v>18-PATRIOT</v>
      </c>
      <c r="H25" s="27" t="str">
        <f>'18U BOYS-24 TEAMS'!H47&amp;""</f>
        <v>10</v>
      </c>
      <c r="I25" s="9" t="str">
        <f>'18U BOYS-24 TEAMS'!I47&amp;""</f>
        <v>W/L F2/F3</v>
      </c>
      <c r="J25" s="26" t="str">
        <f>'18U BOYS-24 TEAMS'!J47&amp;""</f>
        <v>18U_BOYS</v>
      </c>
    </row>
    <row r="26" spans="1:10">
      <c r="A26" s="46">
        <f>'16U BOYS PLATINUM-19 TEAMS'!A28</f>
        <v>45724</v>
      </c>
      <c r="B26" s="47">
        <f>'16U BOYS PLATINUM-19 TEAMS'!B28</f>
        <v>0.5</v>
      </c>
      <c r="C26" s="47" t="str">
        <f>'16U BOYS PLATINUM-19 TEAMS'!C28&amp;""</f>
        <v>WESTMINSTER HS</v>
      </c>
      <c r="D26" s="48" t="str">
        <f>'16U BOYS PLATINUM-19 TEAMS'!D28&amp;""</f>
        <v>16Bpt07</v>
      </c>
      <c r="E26" s="48" t="str">
        <f>'16U BOYS PLATINUM-19 TEAMS'!E28&amp;""</f>
        <v>C2-LA JOLLA UNITED NAVY</v>
      </c>
      <c r="F26" s="48" t="str">
        <f>'16U BOYS PLATINUM-19 TEAMS'!F28&amp;""</f>
        <v>15</v>
      </c>
      <c r="G26" s="48" t="str">
        <f>'16U BOYS PLATINUM-19 TEAMS'!G28&amp;""</f>
        <v>C3-CHAWP</v>
      </c>
      <c r="H26" s="48" t="str">
        <f>'16U BOYS PLATINUM-19 TEAMS'!H28&amp;""</f>
        <v>8</v>
      </c>
      <c r="I26" s="48" t="str">
        <f>'16U BOYS PLATINUM-19 TEAMS'!I28&amp;""</f>
        <v>C bracket C2,C3</v>
      </c>
      <c r="J26" s="48" t="str">
        <f>'16U BOYS PLATINUM-19 TEAMS'!J28&amp;""</f>
        <v>16U_BOYS_PLATINUM</v>
      </c>
    </row>
    <row r="27" spans="1:10">
      <c r="A27" s="62">
        <f>'16U BOYS GOLD-9 TEAMS'!A17</f>
        <v>45724</v>
      </c>
      <c r="B27" s="63">
        <f>'16U BOYS GOLD-9 TEAMS'!B17</f>
        <v>0.52083333333333304</v>
      </c>
      <c r="C27" s="63" t="str">
        <f>'16U BOYS GOLD-9 TEAMS'!C17&amp;""</f>
        <v>COSTA MESA HS</v>
      </c>
      <c r="D27" s="64" t="str">
        <f>'16U BOYS GOLD-9 TEAMS'!D17&amp;""</f>
        <v>16Bau04</v>
      </c>
      <c r="E27" s="64" t="str">
        <f>'16U BOYS GOLD-9 TEAMS'!E17&amp;""</f>
        <v>A2-MISSION B</v>
      </c>
      <c r="F27" s="64" t="str">
        <f>'16U BOYS GOLD-9 TEAMS'!F17&amp;""</f>
        <v>14</v>
      </c>
      <c r="G27" s="64" t="str">
        <f>'16U BOYS GOLD-9 TEAMS'!G17&amp;""</f>
        <v>A3-FOOTHILL BLACK</v>
      </c>
      <c r="H27" s="64" t="str">
        <f>'16U BOYS GOLD-9 TEAMS'!H17&amp;""</f>
        <v>5</v>
      </c>
      <c r="I27" s="64" t="str">
        <f>'16U BOYS GOLD-9 TEAMS'!I17&amp;""</f>
        <v>A bracket A2,A3</v>
      </c>
      <c r="J27" s="64" t="str">
        <f>'16U BOYS GOLD-9 TEAMS'!J17&amp;""</f>
        <v>16U_BOYS_GOLD</v>
      </c>
    </row>
    <row r="28" spans="1:10">
      <c r="A28" s="18">
        <f>'18U BOYS-24 TEAMS'!A34</f>
        <v>45724</v>
      </c>
      <c r="B28" s="19">
        <f>'18U BOYS-24 TEAMS'!B34</f>
        <v>0.54166666666666696</v>
      </c>
      <c r="C28" s="20" t="str">
        <f>'18U BOYS-24 TEAMS'!C34&amp;""</f>
        <v>EL TORO HS</v>
      </c>
      <c r="D28" s="21" t="str">
        <f>'18U BOYS-24 TEAMS'!D34&amp;""</f>
        <v>18B15</v>
      </c>
      <c r="E28" s="21" t="str">
        <f>'18U BOYS-24 TEAMS'!E34&amp;""</f>
        <v>W#1-CC UNITED</v>
      </c>
      <c r="F28" s="21" t="str">
        <f>'18U BOYS-24 TEAMS'!F34&amp;""</f>
        <v>14</v>
      </c>
      <c r="G28" s="21" t="str">
        <f>'18U BOYS-24 TEAMS'!G34&amp;""</f>
        <v>W#3-SD SHORES BLACK</v>
      </c>
      <c r="H28" s="8" t="str">
        <f>'18U BOYS-24 TEAMS'!H34&amp;""</f>
        <v>12</v>
      </c>
      <c r="I28" s="8" t="str">
        <f>'18U BOYS-24 TEAMS'!I34&amp;""</f>
        <v>1st/2ndC</v>
      </c>
      <c r="J28" s="21" t="str">
        <f>'18U BOYS-24 TEAMS'!J34&amp;""</f>
        <v>18U_BOYS</v>
      </c>
    </row>
    <row r="29" spans="1:10">
      <c r="A29" s="50">
        <f>'16U BOYS PLATINUM-19 TEAMS'!A42</f>
        <v>45724</v>
      </c>
      <c r="B29" s="45">
        <f>'16U BOYS PLATINUM-19 TEAMS'!B42</f>
        <v>0.54166666666666696</v>
      </c>
      <c r="C29" s="51" t="str">
        <f>'16U BOYS PLATINUM-19 TEAMS'!C42&amp;""</f>
        <v>ESTANCIA HS</v>
      </c>
      <c r="D29" s="52" t="str">
        <f>'16U BOYS PLATINUM-19 TEAMS'!D42&amp;""</f>
        <v>16Bpt12</v>
      </c>
      <c r="E29" s="53" t="str">
        <f>'16U BOYS PLATINUM-19 TEAMS'!E42&amp;""</f>
        <v>D2-NEWPORT</v>
      </c>
      <c r="F29" s="54" t="str">
        <f>'16U BOYS PLATINUM-19 TEAMS'!F42&amp;""</f>
        <v>11</v>
      </c>
      <c r="G29" s="53" t="str">
        <f>'16U BOYS PLATINUM-19 TEAMS'!G42&amp;""</f>
        <v>D3-PATRIOT</v>
      </c>
      <c r="H29" s="54" t="str">
        <f>'16U BOYS PLATINUM-19 TEAMS'!H42&amp;""</f>
        <v>6</v>
      </c>
      <c r="I29" s="55" t="str">
        <f>'16U BOYS PLATINUM-19 TEAMS'!I42&amp;""</f>
        <v>D bracket D2,D3</v>
      </c>
      <c r="J29" s="52" t="str">
        <f>'16U BOYS PLATINUM-19 TEAMS'!J42&amp;""</f>
        <v>16U_BOYS_PLATINUM</v>
      </c>
    </row>
    <row r="30" spans="1:10">
      <c r="A30" s="23">
        <f>'18U BOYS-24 TEAMS'!A48</f>
        <v>45724</v>
      </c>
      <c r="B30" s="24">
        <f>'18U BOYS-24 TEAMS'!B48</f>
        <v>0.54166666666666696</v>
      </c>
      <c r="C30" s="25" t="str">
        <f>'18U BOYS-24 TEAMS'!C48&amp;""</f>
        <v>TUSTIN HS</v>
      </c>
      <c r="D30" s="81" t="str">
        <f>'18U BOYS-24 TEAMS'!D48&amp;""</f>
        <v>18B14</v>
      </c>
      <c r="E30" s="9" t="str">
        <f>'18U BOYS-24 TEAMS'!E48&amp;""</f>
        <v>L#2-TEXAS THUNDER</v>
      </c>
      <c r="F30" s="9" t="str">
        <f>'18U BOYS-24 TEAMS'!F48&amp;""</f>
        <v>5.5</v>
      </c>
      <c r="G30" s="9" t="str">
        <f>'18U BOYS-24 TEAMS'!G48&amp;""</f>
        <v>L#4-LA JOLLA UNITED NAVY</v>
      </c>
      <c r="H30" s="9" t="str">
        <f>'18U BOYS-24 TEAMS'!H48&amp;""</f>
        <v>5.4</v>
      </c>
      <c r="I30" s="9" t="str">
        <f>'18U BOYS-24 TEAMS'!I48&amp;""</f>
        <v>3rd/4thD</v>
      </c>
      <c r="J30" s="26" t="str">
        <f>'18U BOYS-24 TEAMS'!J48&amp;""</f>
        <v>18U_BOYS</v>
      </c>
    </row>
    <row r="31" spans="1:10">
      <c r="A31" s="46">
        <f>'16U BOYS PLATINUM-19 TEAMS'!A29</f>
        <v>45724</v>
      </c>
      <c r="B31" s="47">
        <f>'16U BOYS PLATINUM-19 TEAMS'!B29</f>
        <v>0.54166666666666696</v>
      </c>
      <c r="C31" s="47" t="str">
        <f>'16U BOYS PLATINUM-19 TEAMS'!C29&amp;""</f>
        <v>WESTMINSTER HS</v>
      </c>
      <c r="D31" s="48" t="str">
        <f>'16U BOYS PLATINUM-19 TEAMS'!D29&amp;""</f>
        <v>16Bpt09</v>
      </c>
      <c r="E31" s="48" t="str">
        <f>'16U BOYS PLATINUM-19 TEAMS'!E29&amp;""</f>
        <v>A2-DIABLO RED</v>
      </c>
      <c r="F31" s="48" t="str">
        <f>'16U BOYS PLATINUM-19 TEAMS'!F29&amp;""</f>
        <v>8</v>
      </c>
      <c r="G31" s="48" t="str">
        <f>'16U BOYS PLATINUM-19 TEAMS'!G29&amp;""</f>
        <v>A3-NORTH IRVINE BLACK</v>
      </c>
      <c r="H31" s="48" t="str">
        <f>'16U BOYS PLATINUM-19 TEAMS'!H29&amp;""</f>
        <v>14</v>
      </c>
      <c r="I31" s="48" t="str">
        <f>'16U BOYS PLATINUM-19 TEAMS'!I29&amp;""</f>
        <v>A bracket A2,A3</v>
      </c>
      <c r="J31" s="48" t="str">
        <f>'16U BOYS PLATINUM-19 TEAMS'!J29&amp;""</f>
        <v>16U_BOYS_PLATINUM</v>
      </c>
    </row>
    <row r="32" spans="1:10">
      <c r="A32" s="62">
        <f>'16U BOYS GOLD-9 TEAMS'!A18</f>
        <v>45724</v>
      </c>
      <c r="B32" s="63">
        <f>'16U BOYS GOLD-9 TEAMS'!B18</f>
        <v>0.5625</v>
      </c>
      <c r="C32" s="63" t="str">
        <f>'16U BOYS GOLD-9 TEAMS'!C18&amp;""</f>
        <v>COSTA MESA HS</v>
      </c>
      <c r="D32" s="64" t="str">
        <f>'16U BOYS GOLD-9 TEAMS'!D18&amp;""</f>
        <v>16Bau05</v>
      </c>
      <c r="E32" s="64" t="str">
        <f>'16U BOYS GOLD-9 TEAMS'!E18&amp;""</f>
        <v>B1-LA PREMIER</v>
      </c>
      <c r="F32" s="64" t="str">
        <f>'16U BOYS GOLD-9 TEAMS'!F18&amp;""</f>
        <v>14</v>
      </c>
      <c r="G32" s="64" t="str">
        <f>'16U BOYS GOLD-9 TEAMS'!G18&amp;""</f>
        <v>B2-PEGASUS WP</v>
      </c>
      <c r="H32" s="64" t="str">
        <f>'16U BOYS GOLD-9 TEAMS'!H18&amp;""</f>
        <v>10</v>
      </c>
      <c r="I32" s="64" t="str">
        <f>'16U BOYS GOLD-9 TEAMS'!I18&amp;""</f>
        <v>B bracket B1,B2</v>
      </c>
      <c r="J32" s="64" t="str">
        <f>'16U BOYS GOLD-9 TEAMS'!J18&amp;""</f>
        <v>16U_BOYS_GOLD</v>
      </c>
    </row>
    <row r="33" spans="1:10">
      <c r="A33" s="18">
        <f>'18U BOYS-24 TEAMS'!A35</f>
        <v>45724</v>
      </c>
      <c r="B33" s="19">
        <f>'18U BOYS-24 TEAMS'!B35</f>
        <v>0.58333333333333304</v>
      </c>
      <c r="C33" s="20" t="str">
        <f>'18U BOYS-24 TEAMS'!C35&amp;""</f>
        <v>EL TORO HS</v>
      </c>
      <c r="D33" s="21" t="str">
        <f>'18U BOYS-24 TEAMS'!D35&amp;""</f>
        <v>18B17</v>
      </c>
      <c r="E33" s="21" t="str">
        <f>'18U BOYS-24 TEAMS'!E35&amp;""</f>
        <v>L#5-NORTH IRVINE VEGAS</v>
      </c>
      <c r="F33" s="21" t="str">
        <f>'18U BOYS-24 TEAMS'!F35&amp;""</f>
        <v>8</v>
      </c>
      <c r="G33" s="21" t="str">
        <f>'18U BOYS-24 TEAMS'!G35&amp;""</f>
        <v>L#7-LA PREMIER</v>
      </c>
      <c r="H33" s="8" t="str">
        <f>'18U BOYS-24 TEAMS'!H35&amp;""</f>
        <v>9</v>
      </c>
      <c r="I33" s="8" t="str">
        <f>'18U BOYS-24 TEAMS'!I35&amp;""</f>
        <v>3rd/4thA</v>
      </c>
      <c r="J33" s="21" t="str">
        <f>'18U BOYS-24 TEAMS'!J35&amp;""</f>
        <v>18U_BOYS</v>
      </c>
    </row>
    <row r="34" spans="1:10">
      <c r="A34" s="50">
        <f>'16U BOYS PLATINUM-19 TEAMS'!A43</f>
        <v>45724</v>
      </c>
      <c r="B34" s="45">
        <f>'16U BOYS PLATINUM-19 TEAMS'!B43</f>
        <v>0.58333333333333304</v>
      </c>
      <c r="C34" s="51" t="str">
        <f>'16U BOYS PLATINUM-19 TEAMS'!C43&amp;""</f>
        <v>ESTANCIA HS</v>
      </c>
      <c r="D34" s="52" t="str">
        <f>'16U BOYS PLATINUM-19 TEAMS'!D43&amp;""</f>
        <v>16Bpt14</v>
      </c>
      <c r="E34" s="45" t="str">
        <f>'16U BOYS PLATINUM-19 TEAMS'!E43&amp;""</f>
        <v>E1-MISSION A</v>
      </c>
      <c r="F34" s="55" t="str">
        <f>'16U BOYS PLATINUM-19 TEAMS'!F43&amp;""</f>
        <v>8</v>
      </c>
      <c r="G34" s="45" t="str">
        <f>'16U BOYS PLATINUM-19 TEAMS'!G43&amp;""</f>
        <v>E2-ATHERTON</v>
      </c>
      <c r="H34" s="54" t="str">
        <f>'16U BOYS PLATINUM-19 TEAMS'!H43&amp;""</f>
        <v>5</v>
      </c>
      <c r="I34" s="55" t="str">
        <f>'16U BOYS PLATINUM-19 TEAMS'!I43&amp;""</f>
        <v>E bracket E1,E2</v>
      </c>
      <c r="J34" s="52" t="str">
        <f>'16U BOYS PLATINUM-19 TEAMS'!J43&amp;""</f>
        <v>16U_BOYS_PLATINUM</v>
      </c>
    </row>
    <row r="35" spans="1:10">
      <c r="A35" s="23">
        <f>'18U BOYS-24 TEAMS'!A49</f>
        <v>45724</v>
      </c>
      <c r="B35" s="24">
        <f>'18U BOYS-24 TEAMS'!B49</f>
        <v>0.58333333333333304</v>
      </c>
      <c r="C35" s="25" t="str">
        <f>'18U BOYS-24 TEAMS'!C49&amp;""</f>
        <v>TUSTIN HS</v>
      </c>
      <c r="D35" s="81" t="str">
        <f>'18U BOYS-24 TEAMS'!D49&amp;""</f>
        <v>18B16</v>
      </c>
      <c r="E35" s="9" t="str">
        <f>'18U BOYS-24 TEAMS'!E49&amp;""</f>
        <v>W#2-NORTH IRVINE BEAST BOYS</v>
      </c>
      <c r="F35" s="9" t="str">
        <f>'18U BOYS-24 TEAMS'!F49&amp;""</f>
        <v>10</v>
      </c>
      <c r="G35" s="9" t="str">
        <f>'18U BOYS-24 TEAMS'!G49&amp;""</f>
        <v>W#4-STANFORD</v>
      </c>
      <c r="H35" s="9" t="str">
        <f>'18U BOYS-24 TEAMS'!H49&amp;""</f>
        <v>13</v>
      </c>
      <c r="I35" s="9" t="str">
        <f>'18U BOYS-24 TEAMS'!I49&amp;""</f>
        <v>1st/2ndD</v>
      </c>
      <c r="J35" s="26" t="str">
        <f>'18U BOYS-24 TEAMS'!J49&amp;""</f>
        <v>18U_BOYS</v>
      </c>
    </row>
    <row r="36" spans="1:10">
      <c r="A36" s="46">
        <f>'16U BOYS PLATINUM-19 TEAMS'!A30</f>
        <v>45724</v>
      </c>
      <c r="B36" s="47">
        <f>'16U BOYS PLATINUM-19 TEAMS'!B30</f>
        <v>0.58333333333333304</v>
      </c>
      <c r="C36" s="47" t="str">
        <f>'16U BOYS PLATINUM-19 TEAMS'!C30&amp;""</f>
        <v>WESTMINSTER HS</v>
      </c>
      <c r="D36" s="48" t="str">
        <f>'16U BOYS PLATINUM-19 TEAMS'!D30&amp;""</f>
        <v>16Bpt11</v>
      </c>
      <c r="E36" s="48" t="str">
        <f>'16U BOYS PLATINUM-19 TEAMS'!E30&amp;""</f>
        <v>B1-CHANNEL ISLANDS UNITED GOLD</v>
      </c>
      <c r="F36" s="48" t="str">
        <f>'16U BOYS PLATINUM-19 TEAMS'!F30&amp;""</f>
        <v>17</v>
      </c>
      <c r="G36" s="48" t="str">
        <f>'16U BOYS PLATINUM-19 TEAMS'!G30&amp;""</f>
        <v>B3-ROSE BOWL RED</v>
      </c>
      <c r="H36" s="48" t="str">
        <f>'16U BOYS PLATINUM-19 TEAMS'!H30&amp;""</f>
        <v>5</v>
      </c>
      <c r="I36" s="48" t="str">
        <f>'16U BOYS PLATINUM-19 TEAMS'!I30&amp;""</f>
        <v>B bracket B1,B3</v>
      </c>
      <c r="J36" s="48" t="str">
        <f>'16U BOYS PLATINUM-19 TEAMS'!J30&amp;""</f>
        <v>16U_BOYS_PLATINUM</v>
      </c>
    </row>
    <row r="37" spans="1:10">
      <c r="A37" s="62">
        <f>'16U BOYS GOLD-9 TEAMS'!A19</f>
        <v>45724</v>
      </c>
      <c r="B37" s="63">
        <f>'16U BOYS GOLD-9 TEAMS'!B19</f>
        <v>0.60416666666666696</v>
      </c>
      <c r="C37" s="63" t="str">
        <f>'16U BOYS GOLD-9 TEAMS'!C19&amp;""</f>
        <v>COSTA MESA HS</v>
      </c>
      <c r="D37" s="64" t="str">
        <f>'16U BOYS GOLD-9 TEAMS'!D19&amp;""</f>
        <v>16Bau06</v>
      </c>
      <c r="E37" s="64" t="str">
        <f>'16U BOYS GOLD-9 TEAMS'!E19&amp;""</f>
        <v>C2-CC UNITED BLUE</v>
      </c>
      <c r="F37" s="64" t="str">
        <f>'16U BOYS GOLD-9 TEAMS'!F19&amp;""</f>
        <v>10</v>
      </c>
      <c r="G37" s="64" t="str">
        <f>'16U BOYS GOLD-9 TEAMS'!G19&amp;""</f>
        <v>C3-SD SHORES GOLD</v>
      </c>
      <c r="H37" s="64" t="str">
        <f>'16U BOYS GOLD-9 TEAMS'!H19&amp;""</f>
        <v>8</v>
      </c>
      <c r="I37" s="64" t="str">
        <f>'16U BOYS GOLD-9 TEAMS'!I19&amp;""</f>
        <v>C bracket C2,C3</v>
      </c>
      <c r="J37" s="64" t="str">
        <f>'16U BOYS GOLD-9 TEAMS'!J19&amp;""</f>
        <v>16U_BOYS_GOLD</v>
      </c>
    </row>
    <row r="38" spans="1:10">
      <c r="A38" s="18">
        <f>'18U BOYS-24 TEAMS'!A36</f>
        <v>45724</v>
      </c>
      <c r="B38" s="19">
        <f>'18U BOYS-24 TEAMS'!B36</f>
        <v>0.625</v>
      </c>
      <c r="C38" s="20" t="str">
        <f>'18U BOYS-24 TEAMS'!C36&amp;""</f>
        <v>EL TORO HS</v>
      </c>
      <c r="D38" s="21" t="str">
        <f>'18U BOYS-24 TEAMS'!D36&amp;""</f>
        <v>18B19</v>
      </c>
      <c r="E38" s="21" t="str">
        <f>'18U BOYS-24 TEAMS'!E36&amp;""</f>
        <v>W#5-LAMORINDA</v>
      </c>
      <c r="F38" s="21" t="str">
        <f>'18U BOYS-24 TEAMS'!F36&amp;""</f>
        <v>12</v>
      </c>
      <c r="G38" s="21" t="str">
        <f>'18U BOYS-24 TEAMS'!G36&amp;""</f>
        <v>W#7-VANGUARD BLUE</v>
      </c>
      <c r="H38" s="8" t="str">
        <f>'18U BOYS-24 TEAMS'!H36&amp;""</f>
        <v>5</v>
      </c>
      <c r="I38" s="8" t="str">
        <f>'18U BOYS-24 TEAMS'!I36&amp;""</f>
        <v>1st/2ndA</v>
      </c>
      <c r="J38" s="21" t="str">
        <f>'18U BOYS-24 TEAMS'!J36&amp;""</f>
        <v>18U_BOYS</v>
      </c>
    </row>
    <row r="39" spans="1:10">
      <c r="A39" s="50">
        <f>'16U BOYS PLATINUM-19 TEAMS'!A44</f>
        <v>45724</v>
      </c>
      <c r="B39" s="45">
        <f>'16U BOYS PLATINUM-19 TEAMS'!B44</f>
        <v>0.625</v>
      </c>
      <c r="C39" s="51" t="str">
        <f>'16U BOYS PLATINUM-19 TEAMS'!C44&amp;""</f>
        <v>ESTANCIA HS</v>
      </c>
      <c r="D39" s="52" t="str">
        <f>'16U BOYS PLATINUM-19 TEAMS'!D44&amp;""</f>
        <v>16Bpt16</v>
      </c>
      <c r="E39" s="45" t="str">
        <f>'16U BOYS PLATINUM-19 TEAMS'!E44&amp;""</f>
        <v>W#6-TROJAN</v>
      </c>
      <c r="F39" s="55" t="str">
        <f>'16U BOYS PLATINUM-19 TEAMS'!F44&amp;""</f>
        <v>7</v>
      </c>
      <c r="G39" s="45" t="str">
        <f>'16U BOYS PLATINUM-19 TEAMS'!G44&amp;""</f>
        <v>W#10-SD SHORES BLACK</v>
      </c>
      <c r="H39" s="54" t="str">
        <f>'16U BOYS PLATINUM-19 TEAMS'!H44&amp;""</f>
        <v>9</v>
      </c>
      <c r="I39" s="55" t="str">
        <f>'16U BOYS PLATINUM-19 TEAMS'!I44&amp;""</f>
        <v>1st/2ndF</v>
      </c>
      <c r="J39" s="52" t="str">
        <f>'16U BOYS PLATINUM-19 TEAMS'!J44&amp;""</f>
        <v>16U_BOYS_PLATINUM</v>
      </c>
    </row>
    <row r="40" spans="1:10">
      <c r="A40" s="23">
        <f>'18U BOYS-24 TEAMS'!A50</f>
        <v>45724</v>
      </c>
      <c r="B40" s="24">
        <f>'18U BOYS-24 TEAMS'!B50</f>
        <v>0.625</v>
      </c>
      <c r="C40" s="25" t="str">
        <f>'18U BOYS-24 TEAMS'!C50&amp;""</f>
        <v>TUSTIN HS</v>
      </c>
      <c r="D40" s="12" t="str">
        <f>'18U BOYS-24 TEAMS'!D50&amp;""</f>
        <v>18B20</v>
      </c>
      <c r="E40" s="9" t="str">
        <f>'18U BOYS-24 TEAMS'!E50&amp;""</f>
        <v>W#6-DEL MAR</v>
      </c>
      <c r="F40" s="27" t="str">
        <f>'18U BOYS-24 TEAMS'!F50&amp;""</f>
        <v>10</v>
      </c>
      <c r="G40" s="9" t="str">
        <f>'18U BOYS-24 TEAMS'!G50&amp;""</f>
        <v>W#8-SOCAL BLACK</v>
      </c>
      <c r="H40" s="27" t="str">
        <f>'18U BOYS-24 TEAMS'!H50&amp;""</f>
        <v>9</v>
      </c>
      <c r="I40" s="9" t="str">
        <f>'18U BOYS-24 TEAMS'!I50&amp;""</f>
        <v>1st/2nd E</v>
      </c>
      <c r="J40" s="26" t="str">
        <f>'18U BOYS-24 TEAMS'!J50&amp;""</f>
        <v>18U_BOYS</v>
      </c>
    </row>
    <row r="41" spans="1:10">
      <c r="A41" s="46">
        <f>'16U BOYS PLATINUM-19 TEAMS'!A31</f>
        <v>45724</v>
      </c>
      <c r="B41" s="47">
        <f>'16U BOYS PLATINUM-19 TEAMS'!B31</f>
        <v>0.625</v>
      </c>
      <c r="C41" s="47" t="str">
        <f>'16U BOYS PLATINUM-19 TEAMS'!C31&amp;""</f>
        <v>WESTMINSTER HS</v>
      </c>
      <c r="D41" s="48" t="str">
        <f>'16U BOYS PLATINUM-19 TEAMS'!D31&amp;""</f>
        <v>16Bpt13</v>
      </c>
      <c r="E41" s="48" t="str">
        <f>'16U BOYS PLATINUM-19 TEAMS'!E31&amp;""</f>
        <v>C1-STANFORD</v>
      </c>
      <c r="F41" s="48" t="str">
        <f>'16U BOYS PLATINUM-19 TEAMS'!F31&amp;""</f>
        <v>17</v>
      </c>
      <c r="G41" s="48" t="str">
        <f>'16U BOYS PLATINUM-19 TEAMS'!G31&amp;""</f>
        <v>C2-LA JOLLA UNITED NAVY</v>
      </c>
      <c r="H41" s="48" t="str">
        <f>'16U BOYS PLATINUM-19 TEAMS'!H31&amp;""</f>
        <v>10</v>
      </c>
      <c r="I41" s="48" t="str">
        <f>'16U BOYS PLATINUM-19 TEAMS'!I31&amp;""</f>
        <v>C bracket C1,C2</v>
      </c>
      <c r="J41" s="48" t="str">
        <f>'16U BOYS PLATINUM-19 TEAMS'!J31&amp;""</f>
        <v>16U_BOYS_PLATINUM</v>
      </c>
    </row>
    <row r="42" spans="1:10">
      <c r="A42" s="62">
        <f>'16U BOYS GOLD-9 TEAMS'!A20</f>
        <v>45724</v>
      </c>
      <c r="B42" s="63">
        <f>'16U BOYS GOLD-9 TEAMS'!B20</f>
        <v>0.64583333333333304</v>
      </c>
      <c r="C42" s="63" t="str">
        <f>'16U BOYS GOLD-9 TEAMS'!C20&amp;""</f>
        <v>COSTA MESA HS</v>
      </c>
      <c r="D42" s="64" t="str">
        <f>'16U BOYS GOLD-9 TEAMS'!D20&amp;""</f>
        <v>16Bau07</v>
      </c>
      <c r="E42" s="64" t="str">
        <f>'16U BOYS GOLD-9 TEAMS'!E20&amp;""</f>
        <v>A1-SAN FRANCISCO</v>
      </c>
      <c r="F42" s="64" t="str">
        <f>'16U BOYS GOLD-9 TEAMS'!F20&amp;""</f>
        <v>12</v>
      </c>
      <c r="G42" s="64" t="str">
        <f>'16U BOYS GOLD-9 TEAMS'!G20&amp;""</f>
        <v>A2-MISSION B</v>
      </c>
      <c r="H42" s="64" t="str">
        <f>'16U BOYS GOLD-9 TEAMS'!H20&amp;""</f>
        <v>6</v>
      </c>
      <c r="I42" s="64" t="str">
        <f>'16U BOYS GOLD-9 TEAMS'!I20&amp;""</f>
        <v>A bracket A1,A2</v>
      </c>
      <c r="J42" s="64" t="str">
        <f>'16U BOYS GOLD-9 TEAMS'!J20&amp;""</f>
        <v>16U_BOYS_GOLD</v>
      </c>
    </row>
    <row r="43" spans="1:10">
      <c r="A43" s="18">
        <f>'18U BOYS-24 TEAMS'!A37</f>
        <v>45724</v>
      </c>
      <c r="B43" s="19">
        <f>'18U BOYS-24 TEAMS'!B37</f>
        <v>0.66666666666666696</v>
      </c>
      <c r="C43" s="20" t="str">
        <f>'18U BOYS-24 TEAMS'!C37&amp;""</f>
        <v>EL TORO HS</v>
      </c>
      <c r="D43" s="21" t="str">
        <f>'18U BOYS-24 TEAMS'!D37&amp;""</f>
        <v>18B21</v>
      </c>
      <c r="E43" s="21" t="str">
        <f>'18U BOYS-24 TEAMS'!E37&amp;""</f>
        <v>L#9-ORANGE COUNTY WPC BLUE</v>
      </c>
      <c r="F43" s="21" t="str">
        <f>'18U BOYS-24 TEAMS'!F37&amp;""</f>
        <v>7</v>
      </c>
      <c r="G43" s="21" t="str">
        <f>'18U BOYS-24 TEAMS'!G37&amp;""</f>
        <v>L#11-IMPERIAL BLUE</v>
      </c>
      <c r="H43" s="8" t="str">
        <f>'18U BOYS-24 TEAMS'!H37&amp;""</f>
        <v>11</v>
      </c>
      <c r="I43" s="8" t="str">
        <f>'18U BOYS-24 TEAMS'!I37&amp;""</f>
        <v>3rd/4thB</v>
      </c>
      <c r="J43" s="21" t="str">
        <f>'18U BOYS-24 TEAMS'!J37&amp;""</f>
        <v>18U_BOYS</v>
      </c>
    </row>
    <row r="44" spans="1:10">
      <c r="A44" s="50">
        <f>'16U BOYS PLATINUM-19 TEAMS'!A45</f>
        <v>45724</v>
      </c>
      <c r="B44" s="45">
        <f>'16U BOYS PLATINUM-19 TEAMS'!B45</f>
        <v>0.66666666666666696</v>
      </c>
      <c r="C44" s="51" t="str">
        <f>'16U BOYS PLATINUM-19 TEAMS'!C45&amp;""</f>
        <v>ESTANCIA HS</v>
      </c>
      <c r="D44" s="52" t="str">
        <f>'16U BOYS PLATINUM-19 TEAMS'!D45&amp;""</f>
        <v>16Bpt18</v>
      </c>
      <c r="E44" s="53" t="str">
        <f>'16U BOYS PLATINUM-19 TEAMS'!E45&amp;""</f>
        <v>L#6-FOOTHILL RED</v>
      </c>
      <c r="F44" s="54" t="str">
        <f>'16U BOYS PLATINUM-19 TEAMS'!F45&amp;""</f>
        <v>9</v>
      </c>
      <c r="G44" s="53" t="str">
        <f>'16U BOYS PLATINUM-19 TEAMS'!G45&amp;""</f>
        <v>L#10-TEXAS THUINDER</v>
      </c>
      <c r="H44" s="54" t="str">
        <f>'16U BOYS PLATINUM-19 TEAMS'!H45&amp;""</f>
        <v>10</v>
      </c>
      <c r="I44" s="55" t="str">
        <f>'16U BOYS PLATINUM-19 TEAMS'!I45&amp;""</f>
        <v>3rd/4thF</v>
      </c>
      <c r="J44" s="52" t="str">
        <f>'16U BOYS PLATINUM-19 TEAMS'!J45&amp;""</f>
        <v>16U_BOYS_PLATINUM</v>
      </c>
    </row>
    <row r="45" spans="1:10">
      <c r="A45" s="23">
        <f>'18U BOYS-24 TEAMS'!A52</f>
        <v>45724</v>
      </c>
      <c r="B45" s="24">
        <f>'18U BOYS-24 TEAMS'!B52</f>
        <v>0.66666666666666696</v>
      </c>
      <c r="C45" s="25" t="str">
        <f>'18U BOYS-24 TEAMS'!C52&amp;""</f>
        <v>TUSTIN HS</v>
      </c>
      <c r="D45" s="12" t="str">
        <f>'18U BOYS-24 TEAMS'!D52&amp;""</f>
        <v>18B22</v>
      </c>
      <c r="E45" s="9" t="str">
        <f>'18U BOYS-24 TEAMS'!E52&amp;""</f>
        <v>L#10-MONARCHY</v>
      </c>
      <c r="F45" s="27" t="str">
        <f>'18U BOYS-24 TEAMS'!F52&amp;""</f>
        <v>10.3</v>
      </c>
      <c r="G45" s="9" t="str">
        <f>'18U BOYS-24 TEAMS'!G52&amp;""</f>
        <v>L#12-PATRIOT</v>
      </c>
      <c r="H45" s="27" t="str">
        <f>'18U BOYS-24 TEAMS'!H52&amp;""</f>
        <v>10.4</v>
      </c>
      <c r="I45" s="9" t="str">
        <f>'18U BOYS-24 TEAMS'!I52&amp;""</f>
        <v>3rd/4th F</v>
      </c>
      <c r="J45" s="26" t="str">
        <f>'18U BOYS-24 TEAMS'!J52&amp;""</f>
        <v>18U_BOYS</v>
      </c>
    </row>
    <row r="46" spans="1:10">
      <c r="A46" s="46">
        <f>'16U BOYS PLATINUM-19 TEAMS'!A32</f>
        <v>45724</v>
      </c>
      <c r="B46" s="47">
        <f>'16U BOYS PLATINUM-19 TEAMS'!B32</f>
        <v>0.66666666666666696</v>
      </c>
      <c r="C46" s="47" t="str">
        <f>'16U BOYS PLATINUM-19 TEAMS'!C32&amp;""</f>
        <v>WESTMINSTER HS</v>
      </c>
      <c r="D46" s="48" t="str">
        <f>'16U BOYS PLATINUM-19 TEAMS'!D32&amp;""</f>
        <v>16Bpt15</v>
      </c>
      <c r="E46" s="48" t="str">
        <f>'16U BOYS PLATINUM-19 TEAMS'!E32&amp;""</f>
        <v>A1-DEL MAR</v>
      </c>
      <c r="F46" s="48" t="str">
        <f>'16U BOYS PLATINUM-19 TEAMS'!F32&amp;""</f>
        <v>19</v>
      </c>
      <c r="G46" s="48" t="str">
        <f>'16U BOYS PLATINUM-19 TEAMS'!G32&amp;""</f>
        <v>A2-DIABLO RED</v>
      </c>
      <c r="H46" s="48" t="str">
        <f>'16U BOYS PLATINUM-19 TEAMS'!H32&amp;""</f>
        <v>5</v>
      </c>
      <c r="I46" s="48" t="str">
        <f>'16U BOYS PLATINUM-19 TEAMS'!I32&amp;""</f>
        <v>A bracket A1,A2</v>
      </c>
      <c r="J46" s="48" t="str">
        <f>'16U BOYS PLATINUM-19 TEAMS'!J32&amp;""</f>
        <v>16U_BOYS_PLATINUM</v>
      </c>
    </row>
    <row r="47" spans="1:10">
      <c r="A47" s="62">
        <f>'16U BOYS GOLD-9 TEAMS'!A21</f>
        <v>45724</v>
      </c>
      <c r="B47" s="63">
        <f>'16U BOYS GOLD-9 TEAMS'!B21</f>
        <v>0.6875</v>
      </c>
      <c r="C47" s="63" t="str">
        <f>'16U BOYS GOLD-9 TEAMS'!C21&amp;""</f>
        <v>COSTA MESA HS</v>
      </c>
      <c r="D47" s="64" t="str">
        <f>'16U BOYS GOLD-9 TEAMS'!D21&amp;""</f>
        <v>16Bau08</v>
      </c>
      <c r="E47" s="64" t="str">
        <f>'16U BOYS GOLD-9 TEAMS'!E21&amp;""</f>
        <v>B2-PEGASUS WP</v>
      </c>
      <c r="F47" s="64" t="str">
        <f>'16U BOYS GOLD-9 TEAMS'!F21&amp;""</f>
        <v>9</v>
      </c>
      <c r="G47" s="64" t="str">
        <f>'16U BOYS GOLD-9 TEAMS'!G21&amp;""</f>
        <v>B3-OCWP RED</v>
      </c>
      <c r="H47" s="64" t="str">
        <f>'16U BOYS GOLD-9 TEAMS'!H21&amp;""</f>
        <v>4</v>
      </c>
      <c r="I47" s="64" t="str">
        <f>'16U BOYS GOLD-9 TEAMS'!I21&amp;""</f>
        <v>B bracket B2,B3</v>
      </c>
      <c r="J47" s="64" t="str">
        <f>'16U BOYS GOLD-9 TEAMS'!J21&amp;""</f>
        <v>16U_BOYS_GOLD</v>
      </c>
    </row>
    <row r="48" spans="1:10">
      <c r="A48" s="18">
        <f>'18U BOYS-24 TEAMS'!A38</f>
        <v>45724</v>
      </c>
      <c r="B48" s="19">
        <f>'18U BOYS-24 TEAMS'!B38</f>
        <v>0.70833333333333304</v>
      </c>
      <c r="C48" s="20" t="str">
        <f>'18U BOYS-24 TEAMS'!C38&amp;""</f>
        <v>EL TORO HS</v>
      </c>
      <c r="D48" s="21" t="str">
        <f>'18U BOYS-24 TEAMS'!D38&amp;""</f>
        <v>18B23</v>
      </c>
      <c r="E48" s="114" t="str">
        <f>'18U BOYS-24 TEAMS'!E38&amp;""</f>
        <v>W#9-NEWPORT</v>
      </c>
      <c r="F48" s="21" t="str">
        <f>'18U BOYS-24 TEAMS'!F38&amp;""</f>
        <v>14</v>
      </c>
      <c r="G48" s="21" t="str">
        <f>'18U BOYS-24 TEAMS'!G38&amp;""</f>
        <v>W#11-SAN FRANCISCO</v>
      </c>
      <c r="H48" s="8" t="str">
        <f>'18U BOYS-24 TEAMS'!H38&amp;""</f>
        <v>10</v>
      </c>
      <c r="I48" s="8" t="str">
        <f>'18U BOYS-24 TEAMS'!I38&amp;""</f>
        <v>1st/2ndB</v>
      </c>
      <c r="J48" s="21" t="str">
        <f>'18U BOYS-24 TEAMS'!J38&amp;""</f>
        <v>18U_BOYS</v>
      </c>
    </row>
    <row r="49" spans="1:10">
      <c r="A49" s="50">
        <f>'16U BOYS PLATINUM-19 TEAMS'!A46</f>
        <v>45724</v>
      </c>
      <c r="B49" s="45">
        <f>'16U BOYS PLATINUM-19 TEAMS'!B46</f>
        <v>0.70833333333333304</v>
      </c>
      <c r="C49" s="51" t="str">
        <f>'16U BOYS PLATINUM-19 TEAMS'!C46&amp;""</f>
        <v>ESTANCIA HS</v>
      </c>
      <c r="D49" s="52" t="str">
        <f>'16U BOYS PLATINUM-19 TEAMS'!D46&amp;""</f>
        <v>16Bpt20</v>
      </c>
      <c r="E49" s="53" t="str">
        <f>'16U BOYS PLATINUM-19 TEAMS'!E46&amp;""</f>
        <v>D1-CC UNITED BLACK</v>
      </c>
      <c r="F49" s="54" t="str">
        <f>'16U BOYS PLATINUM-19 TEAMS'!F46&amp;""</f>
        <v>17</v>
      </c>
      <c r="G49" s="53" t="str">
        <f>'16U BOYS PLATINUM-19 TEAMS'!G46&amp;""</f>
        <v>D2-NEWPORT</v>
      </c>
      <c r="H49" s="54" t="str">
        <f>'16U BOYS PLATINUM-19 TEAMS'!H46&amp;""</f>
        <v>6</v>
      </c>
      <c r="I49" s="55" t="str">
        <f>'16U BOYS PLATINUM-19 TEAMS'!I46&amp;""</f>
        <v>D bracket D1,D2</v>
      </c>
      <c r="J49" s="52" t="str">
        <f>'16U BOYS PLATINUM-19 TEAMS'!J46&amp;""</f>
        <v>16U_BOYS_PLATINUM</v>
      </c>
    </row>
    <row r="50" spans="1:10">
      <c r="A50" s="23">
        <f>'18U BOYS-24 TEAMS'!A53</f>
        <v>45724</v>
      </c>
      <c r="B50" s="24">
        <f>'18U BOYS-24 TEAMS'!B53</f>
        <v>0.70833333333333304</v>
      </c>
      <c r="C50" s="25" t="str">
        <f>'18U BOYS-24 TEAMS'!C53&amp;""</f>
        <v>TUSTIN HS</v>
      </c>
      <c r="D50" s="12" t="str">
        <f>'18U BOYS-24 TEAMS'!D53&amp;""</f>
        <v>18B24</v>
      </c>
      <c r="E50" s="9" t="str">
        <f>'18U BOYS-24 TEAMS'!E53&amp;""</f>
        <v>W#10-CHANNEL ISLANDS UNITED GOLD</v>
      </c>
      <c r="F50" s="27" t="str">
        <f>'18U BOYS-24 TEAMS'!F53&amp;""</f>
        <v>9</v>
      </c>
      <c r="G50" s="9" t="str">
        <f>'18U BOYS-24 TEAMS'!G53&amp;""</f>
        <v>W#12-TROJAN</v>
      </c>
      <c r="H50" s="27" t="str">
        <f>'18U BOYS-24 TEAMS'!H53&amp;""</f>
        <v>8</v>
      </c>
      <c r="I50" s="9" t="str">
        <f>'18U BOYS-24 TEAMS'!I53&amp;""</f>
        <v>1st/2nd F</v>
      </c>
      <c r="J50" s="26" t="str">
        <f>'18U BOYS-24 TEAMS'!J53&amp;""</f>
        <v>18U_BOYS</v>
      </c>
    </row>
    <row r="51" spans="1:10">
      <c r="A51" s="23">
        <f>'18U BOYS-24 TEAMS'!A51</f>
        <v>45724</v>
      </c>
      <c r="B51" s="24">
        <f>'18U BOYS-24 TEAMS'!B51</f>
        <v>0.70833333333333304</v>
      </c>
      <c r="C51" s="25" t="str">
        <f>'18U BOYS-24 TEAMS'!C51&amp;""</f>
        <v>WESTMINSTER HS</v>
      </c>
      <c r="D51" s="12" t="str">
        <f>'18U BOYS-24 TEAMS'!D51&amp;""</f>
        <v>18B18</v>
      </c>
      <c r="E51" s="9" t="str">
        <f>'18U BOYS-24 TEAMS'!E51&amp;""</f>
        <v>L#6-ROSE BOWL RED</v>
      </c>
      <c r="F51" s="9" t="str">
        <f>'18U BOYS-24 TEAMS'!F51&amp;""</f>
        <v>14</v>
      </c>
      <c r="G51" s="9" t="str">
        <f>'18U BOYS-24 TEAMS'!G51&amp;""</f>
        <v>L#8-DIABLO RED</v>
      </c>
      <c r="H51" s="9" t="str">
        <f>'18U BOYS-24 TEAMS'!H51&amp;""</f>
        <v>10</v>
      </c>
      <c r="I51" s="9" t="str">
        <f>'18U BOYS-24 TEAMS'!I51&amp;""</f>
        <v>3rd/4th E</v>
      </c>
      <c r="J51" s="26" t="str">
        <f>'18U BOYS-24 TEAMS'!J51&amp;""</f>
        <v>18U_BOYS</v>
      </c>
    </row>
    <row r="52" spans="1:10">
      <c r="A52" s="62">
        <f>'16U BOYS GOLD-9 TEAMS'!A22</f>
        <v>45724</v>
      </c>
      <c r="B52" s="63">
        <f>'16U BOYS GOLD-9 TEAMS'!B22</f>
        <v>0.72916666666666696</v>
      </c>
      <c r="C52" s="63" t="str">
        <f>'16U BOYS GOLD-9 TEAMS'!C22&amp;""</f>
        <v>COSTA MESA HS</v>
      </c>
      <c r="D52" s="64" t="str">
        <f>'16U BOYS GOLD-9 TEAMS'!D22&amp;""</f>
        <v>16Bau09</v>
      </c>
      <c r="E52" s="64" t="str">
        <f>'16U BOYS GOLD-9 TEAMS'!E22&amp;""</f>
        <v>C1-TROJAN</v>
      </c>
      <c r="F52" s="64" t="str">
        <f>'16U BOYS GOLD-9 TEAMS'!F22&amp;""</f>
        <v>5</v>
      </c>
      <c r="G52" s="64" t="str">
        <f>'16U BOYS GOLD-9 TEAMS'!G22&amp;""</f>
        <v>C3-SD SHORES GOLD</v>
      </c>
      <c r="H52" s="64" t="str">
        <f>'16U BOYS GOLD-9 TEAMS'!H22&amp;""</f>
        <v>10</v>
      </c>
      <c r="I52" s="64" t="str">
        <f>'16U BOYS GOLD-9 TEAMS'!I22&amp;""</f>
        <v>C bracket C1,C3</v>
      </c>
      <c r="J52" s="64" t="str">
        <f>'16U BOYS GOLD-9 TEAMS'!J22&amp;""</f>
        <v>16U_BOYS_GOLD</v>
      </c>
    </row>
    <row r="53" spans="1:10">
      <c r="A53" s="18">
        <f>'18U BOYS-24 TEAMS'!A39</f>
        <v>45724</v>
      </c>
      <c r="B53" s="19">
        <f>'18U BOYS-24 TEAMS'!B39</f>
        <v>0.75</v>
      </c>
      <c r="C53" s="20" t="str">
        <f>'18U BOYS-24 TEAMS'!C39&amp;""</f>
        <v>EL TORO HS</v>
      </c>
      <c r="D53" s="21" t="str">
        <f>'18U BOYS-24 TEAMS'!D39&amp;""</f>
        <v>18B25</v>
      </c>
      <c r="E53" s="35" t="str">
        <f>'18U BOYS-24 TEAMS'!E39&amp;""</f>
        <v>G1(1stA)-LAMORINDA</v>
      </c>
      <c r="F53" s="35" t="str">
        <f>'18U BOYS-24 TEAMS'!F39&amp;""</f>
        <v>14</v>
      </c>
      <c r="G53" s="35" t="str">
        <f>'18U BOYS-24 TEAMS'!G39&amp;""</f>
        <v>G2(1stC)-CC UNITED</v>
      </c>
      <c r="H53" s="35" t="str">
        <f>'18U BOYS-24 TEAMS'!H39&amp;""</f>
        <v>13</v>
      </c>
      <c r="I53" s="8" t="str">
        <f>'18U BOYS-24 TEAMS'!I39&amp;""</f>
        <v>G bracket 1A,1C</v>
      </c>
      <c r="J53" s="21" t="str">
        <f>'18U BOYS-24 TEAMS'!J39&amp;""</f>
        <v>18U_BOYS</v>
      </c>
    </row>
    <row r="54" spans="1:10">
      <c r="A54" s="50">
        <f>'16U BOYS PLATINUM-19 TEAMS'!A47</f>
        <v>45724</v>
      </c>
      <c r="B54" s="45">
        <f>'16U BOYS PLATINUM-19 TEAMS'!B47</f>
        <v>0.75</v>
      </c>
      <c r="C54" s="51" t="str">
        <f>'16U BOYS PLATINUM-19 TEAMS'!C47&amp;""</f>
        <v>ESTANCIA HS</v>
      </c>
      <c r="D54" s="52" t="str">
        <f>'16U BOYS PLATINUM-19 TEAMS'!D47&amp;""</f>
        <v>16Bpt21</v>
      </c>
      <c r="E54" s="53" t="str">
        <f>'16U BOYS PLATINUM-19 TEAMS'!E47&amp;""</f>
        <v>H2(1stE)-MISSION</v>
      </c>
      <c r="F54" s="54" t="str">
        <f>'16U BOYS PLATINUM-19 TEAMS'!F47&amp;""</f>
        <v>11</v>
      </c>
      <c r="G54" s="53" t="str">
        <f>'16U BOYS PLATINUM-19 TEAMS'!G47&amp;""</f>
        <v>H3(1stF)-SD SHORES BLACK</v>
      </c>
      <c r="H54" s="54" t="str">
        <f>'16U BOYS PLATINUM-19 TEAMS'!H47&amp;""</f>
        <v>8</v>
      </c>
      <c r="I54" s="55" t="str">
        <f>'16U BOYS PLATINUM-19 TEAMS'!I47&amp;""</f>
        <v>H bracket H2,H3 (1E,1F)</v>
      </c>
      <c r="J54" s="52" t="str">
        <f>'16U BOYS PLATINUM-19 TEAMS'!J47&amp;""</f>
        <v>16U_BOYS_PLATINUM</v>
      </c>
    </row>
    <row r="55" spans="1:10">
      <c r="A55" s="23">
        <f>'18U BOYS-24 TEAMS'!A54</f>
        <v>45724</v>
      </c>
      <c r="B55" s="24">
        <f>'18U BOYS-24 TEAMS'!B54</f>
        <v>0.75</v>
      </c>
      <c r="C55" s="25" t="str">
        <f>'18U BOYS-24 TEAMS'!C54&amp;""</f>
        <v>TUSTIN HS</v>
      </c>
      <c r="D55" s="12" t="str">
        <f>'18U BOYS-24 TEAMS'!D54&amp;""</f>
        <v>18B26</v>
      </c>
      <c r="E55" s="27" t="str">
        <f>'18U BOYS-24 TEAMS'!E54&amp;""</f>
        <v>H1(1stD)-STANFORD</v>
      </c>
      <c r="F55" s="27" t="str">
        <f>'18U BOYS-24 TEAMS'!F54&amp;""</f>
        <v>13</v>
      </c>
      <c r="G55" s="27" t="str">
        <f>'18U BOYS-24 TEAMS'!G54&amp;""</f>
        <v>H2(1stE)-DEL MAR</v>
      </c>
      <c r="H55" s="27" t="str">
        <f>'18U BOYS-24 TEAMS'!H54&amp;""</f>
        <v>12</v>
      </c>
      <c r="I55" s="9" t="str">
        <f>'18U BOYS-24 TEAMS'!I54&amp;""</f>
        <v>H bracket 1D/1E</v>
      </c>
      <c r="J55" s="26" t="str">
        <f>'18U BOYS-24 TEAMS'!J54&amp;""</f>
        <v>18U_BOYS</v>
      </c>
    </row>
    <row r="56" spans="1:10">
      <c r="A56" s="46">
        <f>'16U BOYS PLATINUM-19 TEAMS'!A34</f>
        <v>45724</v>
      </c>
      <c r="B56" s="47">
        <f>'16U BOYS PLATINUM-19 TEAMS'!B34</f>
        <v>0.75</v>
      </c>
      <c r="C56" s="47" t="str">
        <f>'16U BOYS PLATINUM-19 TEAMS'!C34&amp;""</f>
        <v>WESTMINSTER HS</v>
      </c>
      <c r="D56" s="48" t="str">
        <f>'16U BOYS PLATINUM-19 TEAMS'!D34&amp;""</f>
        <v>16Bpt17</v>
      </c>
      <c r="E56" s="48" t="str">
        <f>'16U BOYS PLATINUM-19 TEAMS'!E34&amp;""</f>
        <v>B1-CHANNEL ISLANDS UNITED GOLD</v>
      </c>
      <c r="F56" s="48" t="str">
        <f>'16U BOYS PLATINUM-19 TEAMS'!F34&amp;""</f>
        <v>13</v>
      </c>
      <c r="G56" s="48" t="str">
        <f>'16U BOYS PLATINUM-19 TEAMS'!G34&amp;""</f>
        <v>B2-ORANGE COUNTY WPC BLUE</v>
      </c>
      <c r="H56" s="48" t="str">
        <f>'16U BOYS PLATINUM-19 TEAMS'!H34&amp;""</f>
        <v>10</v>
      </c>
      <c r="I56" s="48" t="str">
        <f>'16U BOYS PLATINUM-19 TEAMS'!I34&amp;""</f>
        <v>B bracket B1,B2</v>
      </c>
      <c r="J56" s="48" t="str">
        <f>'16U BOYS PLATINUM-19 TEAMS'!J34&amp;""</f>
        <v>16U_BOYS_PLATINUM</v>
      </c>
    </row>
    <row r="57" spans="1:10">
      <c r="A57" s="46">
        <f>'16U BOYS PLATINUM-19 TEAMS'!A35</f>
        <v>45724</v>
      </c>
      <c r="B57" s="47">
        <f>'16U BOYS PLATINUM-19 TEAMS'!B35</f>
        <v>0.79166666666666696</v>
      </c>
      <c r="C57" s="47" t="str">
        <f>'16U BOYS PLATINUM-19 TEAMS'!C35&amp;""</f>
        <v>WESTMINSTER HS</v>
      </c>
      <c r="D57" s="48" t="str">
        <f>'16U BOYS PLATINUM-19 TEAMS'!D35&amp;""</f>
        <v>16Bpt19</v>
      </c>
      <c r="E57" s="48" t="str">
        <f>'16U BOYS PLATINUM-19 TEAMS'!E35&amp;""</f>
        <v>G1(1stA)-DEL MAR</v>
      </c>
      <c r="F57" s="48" t="str">
        <f>'16U BOYS PLATINUM-19 TEAMS'!F35&amp;""</f>
        <v>13</v>
      </c>
      <c r="G57" s="48" t="str">
        <f>'16U BOYS PLATINUM-19 TEAMS'!G35&amp;""</f>
        <v>G3(1stC)-STANFORD</v>
      </c>
      <c r="H57" s="48" t="str">
        <f>'16U BOYS PLATINUM-19 TEAMS'!H35&amp;""</f>
        <v>14</v>
      </c>
      <c r="I57" s="48" t="str">
        <f>'16U BOYS PLATINUM-19 TEAMS'!I35&amp;""</f>
        <v>G bracket G1,G3 (1A,1C)</v>
      </c>
      <c r="J57" s="48" t="str">
        <f>'16U BOYS PLATINUM-19 TEAMS'!J35&amp;""</f>
        <v>16U_BOYS_PLATINUM</v>
      </c>
    </row>
    <row r="58" spans="1:10">
      <c r="A58" s="62">
        <f>'16U BOYS GOLD-9 TEAMS'!A26</f>
        <v>45725</v>
      </c>
      <c r="B58" s="63">
        <f>'16U BOYS GOLD-9 TEAMS'!B26</f>
        <v>0.33333333333333331</v>
      </c>
      <c r="C58" s="63" t="str">
        <f>'16U BOYS GOLD-9 TEAMS'!C26&amp;""</f>
        <v>COSTA MESA HS</v>
      </c>
      <c r="D58" s="64" t="str">
        <f>'16U BOYS GOLD-9 TEAMS'!D26&amp;""</f>
        <v>16Bau10</v>
      </c>
      <c r="E58" s="64" t="str">
        <f>'16U BOYS GOLD-9 TEAMS'!E26&amp;""</f>
        <v>D1(3rdA)-FOOTHILL BLACK</v>
      </c>
      <c r="F58" s="64" t="str">
        <f>'16U BOYS GOLD-9 TEAMS'!F26&amp;""</f>
        <v>5</v>
      </c>
      <c r="G58" s="64" t="str">
        <f>'16U BOYS GOLD-9 TEAMS'!G26&amp;""</f>
        <v>D3(3rdC)-TROJAN</v>
      </c>
      <c r="H58" s="64" t="str">
        <f>'16U BOYS GOLD-9 TEAMS'!H26&amp;""</f>
        <v>12</v>
      </c>
      <c r="I58" s="64" t="str">
        <f>'16U BOYS GOLD-9 TEAMS'!I26&amp;""</f>
        <v>D bracket (7th-9th) D1,D3</v>
      </c>
      <c r="J58" s="64" t="str">
        <f>'16U BOYS GOLD-9 TEAMS'!J26&amp;""</f>
        <v>16U_BOYS_GOLD</v>
      </c>
    </row>
    <row r="59" spans="1:10">
      <c r="A59" s="37">
        <f>'18U BOYS-24 TEAMS'!A69</f>
        <v>45725</v>
      </c>
      <c r="B59" s="38">
        <f>'18U BOYS-24 TEAMS'!B69</f>
        <v>0.33333333333333331</v>
      </c>
      <c r="C59" s="24" t="str">
        <f>'18U BOYS-24 TEAMS'!C69&amp;""</f>
        <v>EL TORO HS</v>
      </c>
      <c r="D59" s="39" t="str">
        <f>'18U BOYS-24 TEAMS'!D69&amp;""</f>
        <v>18B28</v>
      </c>
      <c r="E59" s="12" t="str">
        <f>'18U BOYS-24 TEAMS'!E69&amp;""</f>
        <v>L1(3rdD)-TEXAS THUNDER</v>
      </c>
      <c r="F59" s="12" t="str">
        <f>'18U BOYS-24 TEAMS'!F69&amp;""</f>
        <v>10</v>
      </c>
      <c r="G59" s="12" t="str">
        <f>'18U BOYS-24 TEAMS'!G69&amp;""</f>
        <v>L3(3rdF)-PATRIOT</v>
      </c>
      <c r="H59" s="12" t="str">
        <f>'18U BOYS-24 TEAMS'!H69&amp;""</f>
        <v>12</v>
      </c>
      <c r="I59" s="27" t="str">
        <f>'18U BOYS-24 TEAMS'!I69&amp;""</f>
        <v>L bracket L1,L3</v>
      </c>
      <c r="J59" s="9" t="str">
        <f>'18U BOYS-24 TEAMS'!J69&amp;""</f>
        <v>18U_BOYS</v>
      </c>
    </row>
    <row r="60" spans="1:10">
      <c r="A60" s="103">
        <f>'18U BOYS-24 TEAMS'!A79</f>
        <v>45725</v>
      </c>
      <c r="B60" s="104">
        <f>'18U BOYS-24 TEAMS'!B79</f>
        <v>0.33333333333333331</v>
      </c>
      <c r="C60" s="102" t="str">
        <f>'18U BOYS-24 TEAMS'!C79&amp;""</f>
        <v>ESTANCIA HS</v>
      </c>
      <c r="D60" s="101" t="str">
        <f>'18U BOYS-24 TEAMS'!D79&amp;""</f>
        <v>18B29</v>
      </c>
      <c r="E60" s="100" t="str">
        <f>'18U BOYS-24 TEAMS'!E79&amp;""</f>
        <v>M1(4thF)-MONARCHY</v>
      </c>
      <c r="F60" s="100" t="str">
        <f>'18U BOYS-24 TEAMS'!F79&amp;""</f>
        <v>6</v>
      </c>
      <c r="G60" s="100" t="str">
        <f>'18U BOYS-24 TEAMS'!G79&amp;""</f>
        <v>M3(4thD)-LA JOLLA UNITED NAVY</v>
      </c>
      <c r="H60" s="100" t="str">
        <f>'18U BOYS-24 TEAMS'!H79&amp;""</f>
        <v>10</v>
      </c>
      <c r="I60" s="100" t="str">
        <f>'18U BOYS-24 TEAMS'!I79&amp;""</f>
        <v>19th-24th M1,M3</v>
      </c>
      <c r="J60" s="99" t="str">
        <f>'18U BOYS-24 TEAMS'!J79&amp;""</f>
        <v>18U_BOYS</v>
      </c>
    </row>
    <row r="61" spans="1:10">
      <c r="A61" s="50">
        <f>'16U BOYS PLATINUM-19 TEAMS'!A62</f>
        <v>45725</v>
      </c>
      <c r="B61" s="45">
        <f>'16U BOYS PLATINUM-19 TEAMS'!B62</f>
        <v>0.33333333333333331</v>
      </c>
      <c r="C61" s="45" t="str">
        <f>'16U BOYS PLATINUM-19 TEAMS'!C62&amp;""</f>
        <v>MARINA HS</v>
      </c>
      <c r="D61" s="52" t="str">
        <f>'16U BOYS PLATINUM-19 TEAMS'!D62&amp;""</f>
        <v>16Bpt23</v>
      </c>
      <c r="E61" s="53" t="str">
        <f>'16U BOYS PLATINUM-19 TEAMS'!E62&amp;""</f>
        <v>J1(2ndD)-NEWPORT</v>
      </c>
      <c r="F61" s="54" t="str">
        <f>'16U BOYS PLATINUM-19 TEAMS'!F62&amp;""</f>
        <v>9.4</v>
      </c>
      <c r="G61" s="53" t="str">
        <f>'16U BOYS PLATINUM-19 TEAMS'!G62&amp;""</f>
        <v>J3(2ndF)-TROJAN</v>
      </c>
      <c r="H61" s="54" t="str">
        <f>'16U BOYS PLATINUM-19 TEAMS'!H62&amp;""</f>
        <v>9.3</v>
      </c>
      <c r="I61" s="55" t="str">
        <f>'16U BOYS PLATINUM-19 TEAMS'!I62&amp;""</f>
        <v>bracket J1,J3</v>
      </c>
      <c r="J61" s="52" t="str">
        <f>'16U BOYS PLATINUM-19 TEAMS'!J62&amp;""</f>
        <v>16U_BOYS_PLATINUM</v>
      </c>
    </row>
    <row r="62" spans="1:10">
      <c r="A62" s="18">
        <f>'18U BOYS-24 TEAMS'!A58</f>
        <v>45725</v>
      </c>
      <c r="B62" s="19">
        <f>'18U BOYS-24 TEAMS'!B58</f>
        <v>0.33333333333333331</v>
      </c>
      <c r="C62" s="20" t="str">
        <f>'18U BOYS-24 TEAMS'!C58&amp;""</f>
        <v>TUSTIN HS</v>
      </c>
      <c r="D62" s="21" t="str">
        <f>'18U BOYS-24 TEAMS'!D58&amp;""</f>
        <v>18B27</v>
      </c>
      <c r="E62" s="35" t="str">
        <f>'18U BOYS-24 TEAMS'!E58&amp;""</f>
        <v>I1(2ndA)-VANGUARD BLUE</v>
      </c>
      <c r="F62" s="35" t="str">
        <f>'18U BOYS-24 TEAMS'!F58&amp;""</f>
        <v>6</v>
      </c>
      <c r="G62" s="35" t="str">
        <f>'18U BOYS-24 TEAMS'!G58&amp;""</f>
        <v>I3(2ndC)-SD SHORES BLACK</v>
      </c>
      <c r="H62" s="35" t="str">
        <f>'18U BOYS-24 TEAMS'!H58&amp;""</f>
        <v>7</v>
      </c>
      <c r="I62" s="8" t="str">
        <f>'18U BOYS-24 TEAMS'!I58&amp;""</f>
        <v>I bracket I1,I3</v>
      </c>
      <c r="J62" s="21" t="str">
        <f>'18U BOYS-24 TEAMS'!J58&amp;""</f>
        <v>18U_BOYS</v>
      </c>
    </row>
    <row r="63" spans="1:10">
      <c r="A63" s="46">
        <f>'16U BOYS PLATINUM-19 TEAMS'!A51</f>
        <v>45725</v>
      </c>
      <c r="B63" s="47">
        <f>'16U BOYS PLATINUM-19 TEAMS'!B51</f>
        <v>0.33333333333333331</v>
      </c>
      <c r="C63" s="47" t="str">
        <f>'16U BOYS PLATINUM-19 TEAMS'!C51&amp;""</f>
        <v>WESTMINSTER HS</v>
      </c>
      <c r="D63" s="48" t="str">
        <f>'16U BOYS PLATINUM-19 TEAMS'!D51&amp;""</f>
        <v>16Bpt22</v>
      </c>
      <c r="E63" s="48" t="str">
        <f>'16U BOYS PLATINUM-19 TEAMS'!E51&amp;""</f>
        <v>H1(1stD)-CC UNITED BLACK</v>
      </c>
      <c r="F63" s="48" t="str">
        <f>'16U BOYS PLATINUM-19 TEAMS'!F51&amp;""</f>
        <v>15</v>
      </c>
      <c r="G63" s="48" t="str">
        <f>'16U BOYS PLATINUM-19 TEAMS'!G51&amp;""</f>
        <v>H3(1stF)-SD SHORES BLACK</v>
      </c>
      <c r="H63" s="48" t="str">
        <f>'16U BOYS PLATINUM-19 TEAMS'!H51&amp;""</f>
        <v>5</v>
      </c>
      <c r="I63" s="48" t="str">
        <f>'16U BOYS PLATINUM-19 TEAMS'!I51&amp;""</f>
        <v>H bracket H1,H3 (1D,1F)</v>
      </c>
      <c r="J63" s="48" t="str">
        <f>'16U BOYS PLATINUM-19 TEAMS'!J51&amp;""</f>
        <v>16U_BOYS_PLATINUM</v>
      </c>
    </row>
    <row r="64" spans="1:10">
      <c r="A64" s="62">
        <f>'16U BOYS GOLD-9 TEAMS'!A27</f>
        <v>45725</v>
      </c>
      <c r="B64" s="63">
        <f>'16U BOYS GOLD-9 TEAMS'!B27</f>
        <v>0.375</v>
      </c>
      <c r="C64" s="63" t="str">
        <f>'16U BOYS GOLD-9 TEAMS'!C27&amp;""</f>
        <v>COSTA MESA HS</v>
      </c>
      <c r="D64" s="64" t="str">
        <f>'16U BOYS GOLD-9 TEAMS'!D27&amp;""</f>
        <v>16Bau12</v>
      </c>
      <c r="E64" s="64" t="str">
        <f>'16U BOYS GOLD-9 TEAMS'!E27&amp;""</f>
        <v>E1(2ndA)-MISSION B</v>
      </c>
      <c r="F64" s="64" t="str">
        <f>'16U BOYS GOLD-9 TEAMS'!F27&amp;""</f>
        <v>10</v>
      </c>
      <c r="G64" s="64" t="str">
        <f>'16U BOYS GOLD-9 TEAMS'!G27&amp;""</f>
        <v>E3(2ndC)-SD SHORES GOLD</v>
      </c>
      <c r="H64" s="64" t="str">
        <f>'16U BOYS GOLD-9 TEAMS'!H27&amp;""</f>
        <v>11</v>
      </c>
      <c r="I64" s="64" t="str">
        <f>'16U BOYS GOLD-9 TEAMS'!I27&amp;""</f>
        <v>E bracket (4th-6th) E1,E3</v>
      </c>
      <c r="J64" s="64" t="str">
        <f>'16U BOYS GOLD-9 TEAMS'!J27&amp;""</f>
        <v>16U_BOYS_GOLD</v>
      </c>
    </row>
    <row r="65" spans="1:10">
      <c r="A65" s="37">
        <f>'18U BOYS-24 TEAMS'!A70</f>
        <v>45725</v>
      </c>
      <c r="B65" s="38">
        <f>'18U BOYS-24 TEAMS'!B70</f>
        <v>0.375</v>
      </c>
      <c r="C65" s="24" t="str">
        <f>'18U BOYS-24 TEAMS'!C70&amp;""</f>
        <v>EL TORO HS</v>
      </c>
      <c r="D65" s="39" t="str">
        <f>'18U BOYS-24 TEAMS'!D70&amp;""</f>
        <v>18B31</v>
      </c>
      <c r="E65" s="12" t="str">
        <f>'18U BOYS-24 TEAMS'!E70&amp;""</f>
        <v>J1(2ndD)-NORTH IRVINE BEAST BOYS</v>
      </c>
      <c r="F65" s="12" t="str">
        <f>'18U BOYS-24 TEAMS'!F70&amp;""</f>
        <v>13</v>
      </c>
      <c r="G65" s="12" t="str">
        <f>'18U BOYS-24 TEAMS'!G70&amp;""</f>
        <v>J3(2ndF)-TROJAN</v>
      </c>
      <c r="H65" s="12" t="str">
        <f>'18U BOYS-24 TEAMS'!H70&amp;""</f>
        <v>11</v>
      </c>
      <c r="I65" s="27" t="str">
        <f>'18U BOYS-24 TEAMS'!I70&amp;""</f>
        <v>J bracket J1,J3</v>
      </c>
      <c r="J65" s="9" t="str">
        <f>'18U BOYS-24 TEAMS'!J70&amp;""</f>
        <v>18U_BOYS</v>
      </c>
    </row>
    <row r="66" spans="1:10">
      <c r="A66" s="103">
        <f>'18U BOYS-24 TEAMS'!A80</f>
        <v>45725</v>
      </c>
      <c r="B66" s="104">
        <f>'18U BOYS-24 TEAMS'!B80</f>
        <v>0.375</v>
      </c>
      <c r="C66" s="102" t="str">
        <f>'18U BOYS-24 TEAMS'!C80&amp;""</f>
        <v>ESTANCIA HS</v>
      </c>
      <c r="D66" s="101" t="str">
        <f>'18U BOYS-24 TEAMS'!D80&amp;""</f>
        <v>18B32</v>
      </c>
      <c r="E66" s="100" t="str">
        <f>'18U BOYS-24 TEAMS'!E80&amp;""</f>
        <v>N1(4thC)-FOOTHILL RED</v>
      </c>
      <c r="F66" s="100" t="str">
        <f>'18U BOYS-24 TEAMS'!F80&amp;""</f>
        <v>10</v>
      </c>
      <c r="G66" s="100" t="str">
        <f>'18U BOYS-24 TEAMS'!G80&amp;""</f>
        <v>N3(4thA)-NORTH IRVINE VEGAS</v>
      </c>
      <c r="H66" s="100" t="str">
        <f>'18U BOYS-24 TEAMS'!H80&amp;""</f>
        <v>9</v>
      </c>
      <c r="I66" s="100" t="str">
        <f>'18U BOYS-24 TEAMS'!I80&amp;""</f>
        <v>19th-24th N1,N3</v>
      </c>
      <c r="J66" s="99" t="str">
        <f>'18U BOYS-24 TEAMS'!J80&amp;""</f>
        <v>18U_BOYS</v>
      </c>
    </row>
    <row r="67" spans="1:10">
      <c r="A67" s="50">
        <f>'16U BOYS PLATINUM-19 TEAMS'!A63</f>
        <v>45725</v>
      </c>
      <c r="B67" s="45">
        <f>'16U BOYS PLATINUM-19 TEAMS'!B63</f>
        <v>0.375</v>
      </c>
      <c r="C67" s="45" t="str">
        <f>'16U BOYS PLATINUM-19 TEAMS'!C63&amp;""</f>
        <v>MARINA HS</v>
      </c>
      <c r="D67" s="52" t="str">
        <f>'16U BOYS PLATINUM-19 TEAMS'!D63&amp;""</f>
        <v>16Bpt25</v>
      </c>
      <c r="E67" s="45" t="str">
        <f>'16U BOYS PLATINUM-19 TEAMS'!E63&amp;""</f>
        <v>K1(3rdA)-DIABLO RED</v>
      </c>
      <c r="F67" s="55" t="str">
        <f>'16U BOYS PLATINUM-19 TEAMS'!F63&amp;""</f>
        <v>8</v>
      </c>
      <c r="G67" s="45" t="str">
        <f>'16U BOYS PLATINUM-19 TEAMS'!G63&amp;""</f>
        <v>K3(3rdC)-CHAWP</v>
      </c>
      <c r="H67" s="54" t="str">
        <f>'16U BOYS PLATINUM-19 TEAMS'!H63&amp;""</f>
        <v>7</v>
      </c>
      <c r="I67" s="55" t="str">
        <f>'16U BOYS PLATINUM-19 TEAMS'!I63&amp;""</f>
        <v>bracket K1,K3</v>
      </c>
      <c r="J67" s="52" t="str">
        <f>'16U BOYS PLATINUM-19 TEAMS'!J63&amp;""</f>
        <v>16U_BOYS_PLATINUM</v>
      </c>
    </row>
    <row r="68" spans="1:10">
      <c r="A68" s="18">
        <f>'18U BOYS-24 TEAMS'!A59</f>
        <v>45725</v>
      </c>
      <c r="B68" s="19">
        <f>'18U BOYS-24 TEAMS'!B59</f>
        <v>0.375</v>
      </c>
      <c r="C68" s="20" t="str">
        <f>'18U BOYS-24 TEAMS'!C59&amp;""</f>
        <v>TUSTIN HS</v>
      </c>
      <c r="D68" s="21" t="str">
        <f>'18U BOYS-24 TEAMS'!D59&amp;""</f>
        <v>18B30</v>
      </c>
      <c r="E68" s="35" t="str">
        <f>'18U BOYS-24 TEAMS'!E59&amp;""</f>
        <v>G1(1stA)-LAMORINDA</v>
      </c>
      <c r="F68" s="35" t="str">
        <f>'18U BOYS-24 TEAMS'!F59&amp;""</f>
        <v>6</v>
      </c>
      <c r="G68" s="35" t="str">
        <f>'18U BOYS-24 TEAMS'!G59&amp;""</f>
        <v>G2(1stB)-NEWPORT</v>
      </c>
      <c r="H68" s="35" t="str">
        <f>'18U BOYS-24 TEAMS'!H59&amp;""</f>
        <v>7</v>
      </c>
      <c r="I68" s="8" t="str">
        <f>'18U BOYS-24 TEAMS'!I59&amp;""</f>
        <v>G bracket G1,G3</v>
      </c>
      <c r="J68" s="21" t="str">
        <f>'18U BOYS-24 TEAMS'!J59&amp;""</f>
        <v>18U_BOYS</v>
      </c>
    </row>
    <row r="69" spans="1:10">
      <c r="A69" s="46">
        <f>'16U BOYS PLATINUM-19 TEAMS'!A52</f>
        <v>45725</v>
      </c>
      <c r="B69" s="47">
        <f>'16U BOYS PLATINUM-19 TEAMS'!B52</f>
        <v>0.375</v>
      </c>
      <c r="C69" s="47" t="str">
        <f>'16U BOYS PLATINUM-19 TEAMS'!C52&amp;""</f>
        <v>WESTMINSTER HS</v>
      </c>
      <c r="D69" s="48" t="str">
        <f>'16U BOYS PLATINUM-19 TEAMS'!D52&amp;""</f>
        <v>16Bpt24</v>
      </c>
      <c r="E69" s="48" t="str">
        <f>'16U BOYS PLATINUM-19 TEAMS'!E52&amp;""</f>
        <v>I1(2ndA)-NORTH IRVINE BLACK</v>
      </c>
      <c r="F69" s="48" t="str">
        <f>'16U BOYS PLATINUM-19 TEAMS'!F52&amp;""</f>
        <v>10</v>
      </c>
      <c r="G69" s="48" t="str">
        <f>'16U BOYS PLATINUM-19 TEAMS'!G52&amp;""</f>
        <v>I3(2ndC)-LA JOLLA UNITED NAVY</v>
      </c>
      <c r="H69" s="48" t="str">
        <f>'16U BOYS PLATINUM-19 TEAMS'!H52&amp;""</f>
        <v>15</v>
      </c>
      <c r="I69" s="48" t="str">
        <f>'16U BOYS PLATINUM-19 TEAMS'!I52&amp;""</f>
        <v>I bracket I1,I3 (2A,2C)</v>
      </c>
      <c r="J69" s="48" t="str">
        <f>'16U BOYS PLATINUM-19 TEAMS'!J52&amp;""</f>
        <v>16U_BOYS_PLATINUM</v>
      </c>
    </row>
    <row r="70" spans="1:10">
      <c r="A70" s="62">
        <f>'16U BOYS GOLD-9 TEAMS'!A28</f>
        <v>45725</v>
      </c>
      <c r="B70" s="63">
        <f>'16U BOYS GOLD-9 TEAMS'!B28</f>
        <v>0.41666666666666702</v>
      </c>
      <c r="C70" s="63" t="str">
        <f>'16U BOYS GOLD-9 TEAMS'!C28&amp;""</f>
        <v>COSTA MESA HS</v>
      </c>
      <c r="D70" s="64" t="str">
        <f>'16U BOYS GOLD-9 TEAMS'!D28&amp;""</f>
        <v>16Bau11</v>
      </c>
      <c r="E70" s="64" t="str">
        <f>'16U BOYS GOLD-9 TEAMS'!E28&amp;""</f>
        <v>F1(1stA)-SAN FRANCISCO</v>
      </c>
      <c r="F70" s="64" t="str">
        <f>'16U BOYS GOLD-9 TEAMS'!F28&amp;""</f>
        <v>4</v>
      </c>
      <c r="G70" s="64" t="str">
        <f>'16U BOYS GOLD-9 TEAMS'!G28&amp;""</f>
        <v>F3(1stC)-CC UNITED BLUE</v>
      </c>
      <c r="H70" s="64" t="str">
        <f>'16U BOYS GOLD-9 TEAMS'!H28&amp;""</f>
        <v>9</v>
      </c>
      <c r="I70" s="64" t="str">
        <f>'16U BOYS GOLD-9 TEAMS'!I28&amp;""</f>
        <v>F bracket (1st-3rd) F1,F3</v>
      </c>
      <c r="J70" s="64" t="str">
        <f>'16U BOYS GOLD-9 TEAMS'!J28&amp;""</f>
        <v>16U_BOYS_GOLD</v>
      </c>
    </row>
    <row r="71" spans="1:10">
      <c r="A71" s="37">
        <f>'18U BOYS-24 TEAMS'!A71</f>
        <v>45725</v>
      </c>
      <c r="B71" s="38">
        <f>'18U BOYS-24 TEAMS'!B71</f>
        <v>0.41666666666666702</v>
      </c>
      <c r="C71" s="24" t="str">
        <f>'18U BOYS-24 TEAMS'!C71&amp;""</f>
        <v>EL TORO HS</v>
      </c>
      <c r="D71" s="39" t="str">
        <f>'18U BOYS-24 TEAMS'!D71&amp;""</f>
        <v>18B34</v>
      </c>
      <c r="E71" s="12" t="str">
        <f>'18U BOYS-24 TEAMS'!E71&amp;""</f>
        <v>K1(3rdA)-LA PREMIER</v>
      </c>
      <c r="F71" s="12" t="str">
        <f>'18U BOYS-24 TEAMS'!F71&amp;""</f>
        <v>12</v>
      </c>
      <c r="G71" s="12" t="str">
        <f>'18U BOYS-24 TEAMS'!G71&amp;""</f>
        <v>K3(3rdC)-CHAWP</v>
      </c>
      <c r="H71" s="12" t="str">
        <f>'18U BOYS-24 TEAMS'!H71&amp;""</f>
        <v>15</v>
      </c>
      <c r="I71" s="27" t="str">
        <f>'18U BOYS-24 TEAMS'!I71&amp;""</f>
        <v>K bracket K1,K3</v>
      </c>
      <c r="J71" s="9" t="str">
        <f>'18U BOYS-24 TEAMS'!J71&amp;""</f>
        <v>18U_BOYS</v>
      </c>
    </row>
    <row r="72" spans="1:10">
      <c r="A72" s="103">
        <f>'18U BOYS-24 TEAMS'!A81</f>
        <v>45725</v>
      </c>
      <c r="B72" s="104">
        <f>'18U BOYS-24 TEAMS'!B81</f>
        <v>0.41666666666666702</v>
      </c>
      <c r="C72" s="102" t="str">
        <f>'18U BOYS-24 TEAMS'!C81&amp;""</f>
        <v>ESTANCIA HS</v>
      </c>
      <c r="D72" s="101" t="str">
        <f>'18U BOYS-24 TEAMS'!D81&amp;""</f>
        <v>18B35</v>
      </c>
      <c r="E72" s="100" t="str">
        <f>'18U BOYS-24 TEAMS'!E81&amp;""</f>
        <v>M2(4thE)-DIABLO RED</v>
      </c>
      <c r="F72" s="100" t="str">
        <f>'18U BOYS-24 TEAMS'!F81&amp;""</f>
        <v>6</v>
      </c>
      <c r="G72" s="100" t="str">
        <f>'18U BOYS-24 TEAMS'!G81&amp;""</f>
        <v>M3(4thD)-LA JOLLA UNITED NAVY</v>
      </c>
      <c r="H72" s="100" t="str">
        <f>'18U BOYS-24 TEAMS'!H81&amp;""</f>
        <v>16</v>
      </c>
      <c r="I72" s="100" t="str">
        <f>'18U BOYS-24 TEAMS'!I81&amp;""</f>
        <v>19th-24th M2,M3</v>
      </c>
      <c r="J72" s="99" t="str">
        <f>'18U BOYS-24 TEAMS'!J81&amp;""</f>
        <v>18U_BOYS</v>
      </c>
    </row>
    <row r="73" spans="1:10">
      <c r="A73" s="50">
        <f>'16U BOYS PLATINUM-19 TEAMS'!A64</f>
        <v>45725</v>
      </c>
      <c r="B73" s="45">
        <f>'16U BOYS PLATINUM-19 TEAMS'!B64</f>
        <v>0.41666666666666702</v>
      </c>
      <c r="C73" s="45" t="str">
        <f>'16U BOYS PLATINUM-19 TEAMS'!C64&amp;""</f>
        <v>MARINA HS</v>
      </c>
      <c r="D73" s="83" t="str">
        <f>'16U BOYS PLATINUM-19 TEAMS'!D64&amp;""</f>
        <v>16Bpt27</v>
      </c>
      <c r="E73" s="53" t="str">
        <f>'16U BOYS PLATINUM-19 TEAMS'!E64&amp;""</f>
        <v>L1(3rdD)-PATRIOT</v>
      </c>
      <c r="F73" s="54" t="str">
        <f>'16U BOYS PLATINUM-19 TEAMS'!F64&amp;""</f>
        <v>12</v>
      </c>
      <c r="G73" s="53" t="str">
        <f>'16U BOYS PLATINUM-19 TEAMS'!G64&amp;""</f>
        <v>L4(4thF)-FOOTHILL RED</v>
      </c>
      <c r="H73" s="54" t="str">
        <f>'16U BOYS PLATINUM-19 TEAMS'!H64&amp;""</f>
        <v>11</v>
      </c>
      <c r="I73" s="55" t="str">
        <f>'16U BOYS PLATINUM-19 TEAMS'!I64&amp;""</f>
        <v>W/L L1/L4</v>
      </c>
      <c r="J73" s="52" t="str">
        <f>'16U BOYS PLATINUM-19 TEAMS'!J64&amp;""</f>
        <v>16U_BOYS_PLATINUM</v>
      </c>
    </row>
    <row r="74" spans="1:10">
      <c r="A74" s="18">
        <f>'18U BOYS-24 TEAMS'!A60</f>
        <v>45725</v>
      </c>
      <c r="B74" s="19">
        <f>'18U BOYS-24 TEAMS'!B60</f>
        <v>0.41666666666666702</v>
      </c>
      <c r="C74" s="20" t="str">
        <f>'18U BOYS-24 TEAMS'!C60&amp;""</f>
        <v>TUSTIN HS</v>
      </c>
      <c r="D74" s="21" t="str">
        <f>'18U BOYS-24 TEAMS'!D60&amp;""</f>
        <v>18B33</v>
      </c>
      <c r="E74" s="35" t="str">
        <f>'18U BOYS-24 TEAMS'!E60&amp;""</f>
        <v>H1(1stD)-STANFORD</v>
      </c>
      <c r="F74" s="35" t="str">
        <f>'18U BOYS-24 TEAMS'!F60&amp;""</f>
        <v>10.3</v>
      </c>
      <c r="G74" s="35" t="str">
        <f>'18U BOYS-24 TEAMS'!G60&amp;""</f>
        <v>H3(1stF)-CHANNEL ISLANDS UNITED GOLD</v>
      </c>
      <c r="H74" s="35" t="str">
        <f>'18U BOYS-24 TEAMS'!H60&amp;""</f>
        <v>10.4</v>
      </c>
      <c r="I74" s="8" t="str">
        <f>'18U BOYS-24 TEAMS'!I60&amp;""</f>
        <v>H bracket H1,H3</v>
      </c>
      <c r="J74" s="21" t="str">
        <f>'18U BOYS-24 TEAMS'!J60&amp;""</f>
        <v>18U_BOYS</v>
      </c>
    </row>
    <row r="75" spans="1:10">
      <c r="A75" s="46">
        <f>'16U BOYS PLATINUM-19 TEAMS'!A53</f>
        <v>45725</v>
      </c>
      <c r="B75" s="47">
        <f>'16U BOYS PLATINUM-19 TEAMS'!B53</f>
        <v>0.41666666666666702</v>
      </c>
      <c r="C75" s="47" t="str">
        <f>'16U BOYS PLATINUM-19 TEAMS'!C53&amp;""</f>
        <v>WESTMINSTER HS</v>
      </c>
      <c r="D75" s="48" t="str">
        <f>'16U BOYS PLATINUM-19 TEAMS'!D53&amp;""</f>
        <v>16Bpt26</v>
      </c>
      <c r="E75" s="48" t="str">
        <f>'16U BOYS PLATINUM-19 TEAMS'!E53&amp;""</f>
        <v>G2(1stB)-CHANNEL ISLANDS UNITED GOLD</v>
      </c>
      <c r="F75" s="48" t="str">
        <f>'16U BOYS PLATINUM-19 TEAMS'!F53&amp;""</f>
        <v>11</v>
      </c>
      <c r="G75" s="48" t="str">
        <f>'16U BOYS PLATINUM-19 TEAMS'!G53&amp;""</f>
        <v>G3(1stC)-STANFORD</v>
      </c>
      <c r="H75" s="48" t="str">
        <f>'16U BOYS PLATINUM-19 TEAMS'!H53&amp;""</f>
        <v>12</v>
      </c>
      <c r="I75" s="48" t="str">
        <f>'16U BOYS PLATINUM-19 TEAMS'!I53&amp;""</f>
        <v>G bracket G2,G3 (1B,1C)</v>
      </c>
      <c r="J75" s="48" t="str">
        <f>'16U BOYS PLATINUM-19 TEAMS'!J53&amp;""</f>
        <v>16U_BOYS_PLATINUM</v>
      </c>
    </row>
    <row r="76" spans="1:10">
      <c r="A76" s="62">
        <f>'16U BOYS GOLD-9 TEAMS'!A29</f>
        <v>45725</v>
      </c>
      <c r="B76" s="63">
        <f>'16U BOYS GOLD-9 TEAMS'!B29</f>
        <v>0.45833333333333298</v>
      </c>
      <c r="C76" s="63" t="str">
        <f>'16U BOYS GOLD-9 TEAMS'!C29&amp;""</f>
        <v>COSTA MESA HS</v>
      </c>
      <c r="D76" s="64" t="str">
        <f>'16U BOYS GOLD-9 TEAMS'!D29&amp;""</f>
        <v>16Bau13</v>
      </c>
      <c r="E76" s="64" t="str">
        <f>'16U BOYS GOLD-9 TEAMS'!E29&amp;""</f>
        <v>D2(3rdB)-OCWP RED</v>
      </c>
      <c r="F76" s="64" t="str">
        <f>'16U BOYS GOLD-9 TEAMS'!F29&amp;""</f>
        <v>7</v>
      </c>
      <c r="G76" s="64" t="str">
        <f>'16U BOYS GOLD-9 TEAMS'!G29&amp;""</f>
        <v>D3(3rdC)-TROJAN</v>
      </c>
      <c r="H76" s="64" t="str">
        <f>'16U BOYS GOLD-9 TEAMS'!H29&amp;""</f>
        <v>2</v>
      </c>
      <c r="I76" s="64" t="str">
        <f>'16U BOYS GOLD-9 TEAMS'!I29&amp;""</f>
        <v>D bracket (7th-9th) D2,D3</v>
      </c>
      <c r="J76" s="64" t="str">
        <f>'16U BOYS GOLD-9 TEAMS'!J29&amp;""</f>
        <v>16U_BOYS_GOLD</v>
      </c>
    </row>
    <row r="77" spans="1:10">
      <c r="A77" s="37">
        <f>'18U BOYS-24 TEAMS'!A72</f>
        <v>45725</v>
      </c>
      <c r="B77" s="38">
        <f>'18U BOYS-24 TEAMS'!B72</f>
        <v>0.45833333333333298</v>
      </c>
      <c r="C77" s="24" t="str">
        <f>'18U BOYS-24 TEAMS'!C72&amp;""</f>
        <v>EL TORO HS</v>
      </c>
      <c r="D77" s="39" t="str">
        <f>'18U BOYS-24 TEAMS'!D72&amp;""</f>
        <v>18B37</v>
      </c>
      <c r="E77" s="12" t="str">
        <f>'18U BOYS-24 TEAMS'!E72&amp;""</f>
        <v>L2(3rdE)-ROSE BOWL RED</v>
      </c>
      <c r="F77" s="12" t="str">
        <f>'18U BOYS-24 TEAMS'!F72&amp;""</f>
        <v>6</v>
      </c>
      <c r="G77" s="12" t="str">
        <f>'18U BOYS-24 TEAMS'!G72&amp;""</f>
        <v>L3(3rdF)-PATRIOT</v>
      </c>
      <c r="H77" s="12" t="str">
        <f>'18U BOYS-24 TEAMS'!H72&amp;""</f>
        <v>10</v>
      </c>
      <c r="I77" s="27" t="str">
        <f>'18U BOYS-24 TEAMS'!I72&amp;""</f>
        <v>L bracket L2,L3</v>
      </c>
      <c r="J77" s="9" t="str">
        <f>'18U BOYS-24 TEAMS'!J72&amp;""</f>
        <v>18U_BOYS</v>
      </c>
    </row>
    <row r="78" spans="1:10">
      <c r="A78" s="103">
        <f>'18U BOYS-24 TEAMS'!A82</f>
        <v>45725</v>
      </c>
      <c r="B78" s="104">
        <f>'18U BOYS-24 TEAMS'!B82</f>
        <v>0.45833333333333298</v>
      </c>
      <c r="C78" s="102" t="str">
        <f>'18U BOYS-24 TEAMS'!C82&amp;""</f>
        <v>ESTANCIA HS</v>
      </c>
      <c r="D78" s="101" t="str">
        <f>'18U BOYS-24 TEAMS'!D82&amp;""</f>
        <v>18B38</v>
      </c>
      <c r="E78" s="100" t="str">
        <f>'18U BOYS-24 TEAMS'!E82&amp;""</f>
        <v>N2(4thB)-ORANGE COUNTY WPC BLUE</v>
      </c>
      <c r="F78" s="100" t="str">
        <f>'18U BOYS-24 TEAMS'!F82&amp;""</f>
        <v>10</v>
      </c>
      <c r="G78" s="100" t="str">
        <f>'18U BOYS-24 TEAMS'!G82&amp;""</f>
        <v>N3(4thA)-NORTH IRVINE VEGAS</v>
      </c>
      <c r="H78" s="100" t="str">
        <f>'18U BOYS-24 TEAMS'!H82&amp;""</f>
        <v>12</v>
      </c>
      <c r="I78" s="100" t="str">
        <f>'18U BOYS-24 TEAMS'!I82&amp;""</f>
        <v>19th-24th N2,N3</v>
      </c>
      <c r="J78" s="99" t="str">
        <f>'18U BOYS-24 TEAMS'!J82&amp;""</f>
        <v>18U_BOYS</v>
      </c>
    </row>
    <row r="79" spans="1:10">
      <c r="A79" s="50">
        <f>'16U BOYS PLATINUM-19 TEAMS'!A65</f>
        <v>45725</v>
      </c>
      <c r="B79" s="45">
        <f>'16U BOYS PLATINUM-19 TEAMS'!B65</f>
        <v>0.45833333333333298</v>
      </c>
      <c r="C79" s="45" t="str">
        <f>'16U BOYS PLATINUM-19 TEAMS'!C65&amp;""</f>
        <v>MARINA HS</v>
      </c>
      <c r="D79" s="83" t="str">
        <f>'16U BOYS PLATINUM-19 TEAMS'!D65&amp;""</f>
        <v>16Bpt29</v>
      </c>
      <c r="E79" s="45" t="str">
        <f>'16U BOYS PLATINUM-19 TEAMS'!E65&amp;""</f>
        <v>L2(3rdE)-VANGUARD BLUE</v>
      </c>
      <c r="F79" s="55" t="str">
        <f>'16U BOYS PLATINUM-19 TEAMS'!F65&amp;""</f>
        <v>13</v>
      </c>
      <c r="G79" s="45" t="str">
        <f>'16U BOYS PLATINUM-19 TEAMS'!G65&amp;""</f>
        <v>L3(3rdF)-TEXAS THUINDER</v>
      </c>
      <c r="H79" s="54" t="str">
        <f>'16U BOYS PLATINUM-19 TEAMS'!H65&amp;""</f>
        <v>12</v>
      </c>
      <c r="I79" s="55" t="str">
        <f>'16U BOYS PLATINUM-19 TEAMS'!I65&amp;""</f>
        <v>W/L L2/L3</v>
      </c>
      <c r="J79" s="52" t="str">
        <f>'16U BOYS PLATINUM-19 TEAMS'!J65&amp;""</f>
        <v>16U_BOYS_PLATINUM</v>
      </c>
    </row>
    <row r="80" spans="1:10">
      <c r="A80" s="18">
        <f>'18U BOYS-24 TEAMS'!A61</f>
        <v>45725</v>
      </c>
      <c r="B80" s="19">
        <f>'18U BOYS-24 TEAMS'!B61</f>
        <v>0.45833333333333298</v>
      </c>
      <c r="C80" s="20" t="str">
        <f>'18U BOYS-24 TEAMS'!C61&amp;""</f>
        <v>TUSTIN HS</v>
      </c>
      <c r="D80" s="21" t="str">
        <f>'18U BOYS-24 TEAMS'!D61&amp;""</f>
        <v>18B36</v>
      </c>
      <c r="E80" s="35" t="str">
        <f>'18U BOYS-24 TEAMS'!E61&amp;""</f>
        <v>I2(2ndB)-SAN FRANCISCO</v>
      </c>
      <c r="F80" s="35" t="str">
        <f>'18U BOYS-24 TEAMS'!F61&amp;""</f>
        <v>11</v>
      </c>
      <c r="G80" s="35" t="str">
        <f>'18U BOYS-24 TEAMS'!G61&amp;""</f>
        <v>I3(2ndC)-SD SHORES BLACK</v>
      </c>
      <c r="H80" s="35" t="str">
        <f>'18U BOYS-24 TEAMS'!H61&amp;""</f>
        <v>8</v>
      </c>
      <c r="I80" s="8" t="str">
        <f>'18U BOYS-24 TEAMS'!I61&amp;""</f>
        <v>I bracket I2,I3</v>
      </c>
      <c r="J80" s="21" t="str">
        <f>'18U BOYS-24 TEAMS'!J61&amp;""</f>
        <v>18U_BOYS</v>
      </c>
    </row>
    <row r="81" spans="1:10">
      <c r="A81" s="46">
        <f>'16U BOYS PLATINUM-19 TEAMS'!A54</f>
        <v>45725</v>
      </c>
      <c r="B81" s="47">
        <f>'16U BOYS PLATINUM-19 TEAMS'!B54</f>
        <v>0.45833333333333298</v>
      </c>
      <c r="C81" s="47" t="str">
        <f>'16U BOYS PLATINUM-19 TEAMS'!C54&amp;""</f>
        <v>WESTMINSTER HS</v>
      </c>
      <c r="D81" s="48" t="str">
        <f>'16U BOYS PLATINUM-19 TEAMS'!D54&amp;""</f>
        <v>16Bpt28</v>
      </c>
      <c r="E81" s="48" t="str">
        <f>'16U BOYS PLATINUM-19 TEAMS'!E54&amp;""</f>
        <v>H1(1stD)-CC UNITED BLACK</v>
      </c>
      <c r="F81" s="48" t="str">
        <f>'16U BOYS PLATINUM-19 TEAMS'!F54&amp;""</f>
        <v>11</v>
      </c>
      <c r="G81" s="48" t="str">
        <f>'16U BOYS PLATINUM-19 TEAMS'!G54&amp;""</f>
        <v>H2(1stE)-MISSION</v>
      </c>
      <c r="H81" s="48" t="str">
        <f>'16U BOYS PLATINUM-19 TEAMS'!H54&amp;""</f>
        <v>7</v>
      </c>
      <c r="I81" s="48" t="str">
        <f>'16U BOYS PLATINUM-19 TEAMS'!I54&amp;""</f>
        <v>H bracket H1,H2 (1D.1E)</v>
      </c>
      <c r="J81" s="48" t="str">
        <f>'16U BOYS PLATINUM-19 TEAMS'!J54&amp;""</f>
        <v>16U_BOYS_PLATINUM</v>
      </c>
    </row>
    <row r="82" spans="1:10">
      <c r="A82" s="62">
        <f>'16U BOYS GOLD-9 TEAMS'!A30</f>
        <v>45725</v>
      </c>
      <c r="B82" s="63">
        <f>'16U BOYS GOLD-9 TEAMS'!B30</f>
        <v>0.5</v>
      </c>
      <c r="C82" s="63" t="str">
        <f>'16U BOYS GOLD-9 TEAMS'!C30&amp;""</f>
        <v>COSTA MESA HS</v>
      </c>
      <c r="D82" s="64" t="str">
        <f>'16U BOYS GOLD-9 TEAMS'!D30&amp;""</f>
        <v>16Bau14</v>
      </c>
      <c r="E82" s="64" t="str">
        <f>'16U BOYS GOLD-9 TEAMS'!E30&amp;""</f>
        <v>E2(2ndB)-PEGASUS</v>
      </c>
      <c r="F82" s="64" t="str">
        <f>'16U BOYS GOLD-9 TEAMS'!F30&amp;""</f>
        <v>7</v>
      </c>
      <c r="G82" s="64" t="str">
        <f>'16U BOYS GOLD-9 TEAMS'!G30&amp;""</f>
        <v>E3(2ndC)-SD SHORES GOLD</v>
      </c>
      <c r="H82" s="64" t="str">
        <f>'16U BOYS GOLD-9 TEAMS'!H30&amp;""</f>
        <v>17</v>
      </c>
      <c r="I82" s="64" t="str">
        <f>'16U BOYS GOLD-9 TEAMS'!I30&amp;""</f>
        <v>E bracket (4th-6th) E2,E3</v>
      </c>
      <c r="J82" s="64" t="str">
        <f>'16U BOYS GOLD-9 TEAMS'!J30&amp;""</f>
        <v>16U_BOYS_GOLD</v>
      </c>
    </row>
    <row r="83" spans="1:10">
      <c r="A83" s="37">
        <f>'18U BOYS-24 TEAMS'!A73</f>
        <v>45725</v>
      </c>
      <c r="B83" s="38">
        <f>'18U BOYS-24 TEAMS'!B73</f>
        <v>0.5</v>
      </c>
      <c r="C83" s="24" t="str">
        <f>'18U BOYS-24 TEAMS'!C73&amp;""</f>
        <v>EL TORO HS</v>
      </c>
      <c r="D83" s="39" t="str">
        <f>'18U BOYS-24 TEAMS'!D73&amp;""</f>
        <v>18B40</v>
      </c>
      <c r="E83" s="12" t="str">
        <f>'18U BOYS-24 TEAMS'!E73&amp;""</f>
        <v>J2(2ndE-SOCAL BLACK</v>
      </c>
      <c r="F83" s="12" t="str">
        <f>'18U BOYS-24 TEAMS'!F73&amp;""</f>
        <v>9</v>
      </c>
      <c r="G83" s="12" t="str">
        <f>'18U BOYS-24 TEAMS'!G73&amp;""</f>
        <v>J3(2ndF)-TROJAN</v>
      </c>
      <c r="H83" s="12" t="str">
        <f>'18U BOYS-24 TEAMS'!H73&amp;""</f>
        <v>7</v>
      </c>
      <c r="I83" s="27" t="str">
        <f>'18U BOYS-24 TEAMS'!I73&amp;""</f>
        <v>J bracket J2,J3</v>
      </c>
      <c r="J83" s="9" t="str">
        <f>'18U BOYS-24 TEAMS'!J73&amp;""</f>
        <v>18U_BOYS</v>
      </c>
    </row>
    <row r="84" spans="1:10">
      <c r="A84" s="103">
        <f>'18U BOYS-24 TEAMS'!A83</f>
        <v>45725</v>
      </c>
      <c r="B84" s="104">
        <f>'18U BOYS-24 TEAMS'!B83</f>
        <v>0.5</v>
      </c>
      <c r="C84" s="102" t="str">
        <f>'18U BOYS-24 TEAMS'!C83&amp;""</f>
        <v>ESTANCIA HS</v>
      </c>
      <c r="D84" s="101" t="str">
        <f>'18U BOYS-24 TEAMS'!D83&amp;""</f>
        <v>18B41</v>
      </c>
      <c r="E84" s="100" t="str">
        <f>'18U BOYS-24 TEAMS'!E83&amp;""</f>
        <v>M1(4thF)-MONARCHY</v>
      </c>
      <c r="F84" s="100" t="str">
        <f>'18U BOYS-24 TEAMS'!F83&amp;""</f>
        <v>10</v>
      </c>
      <c r="G84" s="100" t="str">
        <f>'18U BOYS-24 TEAMS'!G83&amp;""</f>
        <v>M2(4thE)-DIABLO RED</v>
      </c>
      <c r="H84" s="100" t="str">
        <f>'18U BOYS-24 TEAMS'!H83&amp;""</f>
        <v>12</v>
      </c>
      <c r="I84" s="100" t="str">
        <f>'18U BOYS-24 TEAMS'!I83&amp;""</f>
        <v>19th-24th M1,M2</v>
      </c>
      <c r="J84" s="99" t="str">
        <f>'18U BOYS-24 TEAMS'!J83&amp;""</f>
        <v>18U_BOYS</v>
      </c>
    </row>
    <row r="85" spans="1:10">
      <c r="A85" s="50">
        <f>'16U BOYS PLATINUM-19 TEAMS'!A66</f>
        <v>45725</v>
      </c>
      <c r="B85" s="45">
        <f>'16U BOYS PLATINUM-19 TEAMS'!B66</f>
        <v>0.5</v>
      </c>
      <c r="C85" s="45" t="str">
        <f>'16U BOYS PLATINUM-19 TEAMS'!C66&amp;""</f>
        <v>MARINA HS</v>
      </c>
      <c r="D85" s="52" t="str">
        <f>'16U BOYS PLATINUM-19 TEAMS'!D66&amp;""</f>
        <v>16Bpt31</v>
      </c>
      <c r="E85" s="53" t="str">
        <f>'16U BOYS PLATINUM-19 TEAMS'!E66&amp;""</f>
        <v>J2(2ndE)-ATHERTON</v>
      </c>
      <c r="F85" s="54" t="str">
        <f>'16U BOYS PLATINUM-19 TEAMS'!F66&amp;""</f>
        <v>14</v>
      </c>
      <c r="G85" s="53" t="str">
        <f>'16U BOYS PLATINUM-19 TEAMS'!G66&amp;""</f>
        <v>J3(2ndF)-TROJAN</v>
      </c>
      <c r="H85" s="54" t="str">
        <f>'16U BOYS PLATINUM-19 TEAMS'!H66&amp;""</f>
        <v>9</v>
      </c>
      <c r="I85" s="55" t="str">
        <f>'16U BOYS PLATINUM-19 TEAMS'!I66&amp;""</f>
        <v>bracket J2,J3</v>
      </c>
      <c r="J85" s="52" t="str">
        <f>'16U BOYS PLATINUM-19 TEAMS'!J66&amp;""</f>
        <v>16U_BOYS_PLATINUM</v>
      </c>
    </row>
    <row r="86" spans="1:10">
      <c r="A86" s="18">
        <f>'18U BOYS-24 TEAMS'!A62</f>
        <v>45725</v>
      </c>
      <c r="B86" s="19">
        <f>'18U BOYS-24 TEAMS'!B62</f>
        <v>0.5</v>
      </c>
      <c r="C86" s="20" t="str">
        <f>'18U BOYS-24 TEAMS'!C62&amp;""</f>
        <v>TUSTIN HS</v>
      </c>
      <c r="D86" s="21" t="str">
        <f>'18U BOYS-24 TEAMS'!D62&amp;""</f>
        <v>18B39</v>
      </c>
      <c r="E86" s="35" t="str">
        <f>'18U BOYS-24 TEAMS'!E62&amp;""</f>
        <v>G2(1stB)-NEWPORT</v>
      </c>
      <c r="F86" s="35" t="str">
        <f>'18U BOYS-24 TEAMS'!F62&amp;""</f>
        <v>13</v>
      </c>
      <c r="G86" s="35" t="str">
        <f>'18U BOYS-24 TEAMS'!G62&amp;""</f>
        <v>G2(1stC)-CC UNITED</v>
      </c>
      <c r="H86" s="35" t="str">
        <f>'18U BOYS-24 TEAMS'!H62&amp;""</f>
        <v>6</v>
      </c>
      <c r="I86" s="8" t="str">
        <f>'18U BOYS-24 TEAMS'!I62&amp;""</f>
        <v>G bracket G2,G3</v>
      </c>
      <c r="J86" s="21" t="str">
        <f>'18U BOYS-24 TEAMS'!J62&amp;""</f>
        <v>18U_BOYS</v>
      </c>
    </row>
    <row r="87" spans="1:10">
      <c r="A87" s="46">
        <f>'16U BOYS PLATINUM-19 TEAMS'!A55</f>
        <v>45725</v>
      </c>
      <c r="B87" s="47">
        <f>'16U BOYS PLATINUM-19 TEAMS'!B55</f>
        <v>0.5</v>
      </c>
      <c r="C87" s="47" t="str">
        <f>'16U BOYS PLATINUM-19 TEAMS'!C55&amp;""</f>
        <v>WESTMINSTER HS</v>
      </c>
      <c r="D87" s="48" t="str">
        <f>'16U BOYS PLATINUM-19 TEAMS'!D55&amp;""</f>
        <v>16Bpt30</v>
      </c>
      <c r="E87" s="48" t="str">
        <f>'16U BOYS PLATINUM-19 TEAMS'!E55&amp;""</f>
        <v>I2(2ndB)-ORANGE COUNTY WPC BLUE</v>
      </c>
      <c r="F87" s="48" t="str">
        <f>'16U BOYS PLATINUM-19 TEAMS'!F55&amp;""</f>
        <v>10</v>
      </c>
      <c r="G87" s="48" t="str">
        <f>'16U BOYS PLATINUM-19 TEAMS'!G55&amp;""</f>
        <v>I3(2ndC)-LA JOLLA UNITED NAVY</v>
      </c>
      <c r="H87" s="48" t="str">
        <f>'16U BOYS PLATINUM-19 TEAMS'!H55&amp;""</f>
        <v>14</v>
      </c>
      <c r="I87" s="48" t="str">
        <f>'16U BOYS PLATINUM-19 TEAMS'!I55&amp;""</f>
        <v>I bracket I2,I3 (2B,2C)</v>
      </c>
      <c r="J87" s="48" t="str">
        <f>'16U BOYS PLATINUM-19 TEAMS'!J55&amp;""</f>
        <v>16U_BOYS_PLATINUM</v>
      </c>
    </row>
    <row r="88" spans="1:10">
      <c r="A88" s="62">
        <f>'16U BOYS GOLD-9 TEAMS'!A31</f>
        <v>45725</v>
      </c>
      <c r="B88" s="63">
        <f>'16U BOYS GOLD-9 TEAMS'!B31</f>
        <v>0.54166666666666696</v>
      </c>
      <c r="C88" s="63" t="str">
        <f>'16U BOYS GOLD-9 TEAMS'!C31&amp;""</f>
        <v>COSTA MESA HS</v>
      </c>
      <c r="D88" s="64" t="str">
        <f>'16U BOYS GOLD-9 TEAMS'!D31&amp;""</f>
        <v>16Bau15</v>
      </c>
      <c r="E88" s="64" t="str">
        <f>'16U BOYS GOLD-9 TEAMS'!E31&amp;""</f>
        <v>F2(1stB)-LA PREMIER</v>
      </c>
      <c r="F88" s="64" t="str">
        <f>'16U BOYS GOLD-9 TEAMS'!F31&amp;""</f>
        <v>11</v>
      </c>
      <c r="G88" s="64" t="str">
        <f>'16U BOYS GOLD-9 TEAMS'!G31&amp;""</f>
        <v>F3(1stC)-CC UNITED BLUE</v>
      </c>
      <c r="H88" s="64" t="str">
        <f>'16U BOYS GOLD-9 TEAMS'!H31&amp;""</f>
        <v>6</v>
      </c>
      <c r="I88" s="64" t="str">
        <f>'16U BOYS GOLD-9 TEAMS'!I31&amp;""</f>
        <v>F bracket (1st-3rd) F2,F3</v>
      </c>
      <c r="J88" s="64" t="str">
        <f>'16U BOYS GOLD-9 TEAMS'!J31&amp;""</f>
        <v>16U_BOYS_GOLD</v>
      </c>
    </row>
    <row r="89" spans="1:10">
      <c r="A89" s="37">
        <f>'18U BOYS-24 TEAMS'!A74</f>
        <v>45725</v>
      </c>
      <c r="B89" s="38">
        <f>'18U BOYS-24 TEAMS'!B74</f>
        <v>0.54166666666666696</v>
      </c>
      <c r="C89" s="24" t="str">
        <f>'18U BOYS-24 TEAMS'!C74&amp;""</f>
        <v>EL TORO HS</v>
      </c>
      <c r="D89" s="39" t="str">
        <f>'18U BOYS-24 TEAMS'!D74&amp;""</f>
        <v>18B43</v>
      </c>
      <c r="E89" s="12" t="str">
        <f>'18U BOYS-24 TEAMS'!E74&amp;""</f>
        <v>K2(3rdB)-IMPERIAL BLUE</v>
      </c>
      <c r="F89" s="12" t="str">
        <f>'18U BOYS-24 TEAMS'!F74&amp;""</f>
        <v>13</v>
      </c>
      <c r="G89" s="12" t="str">
        <f>'18U BOYS-24 TEAMS'!G74&amp;""</f>
        <v>K3(3rdC)-CHAWP</v>
      </c>
      <c r="H89" s="12" t="str">
        <f>'18U BOYS-24 TEAMS'!H74&amp;""</f>
        <v>9</v>
      </c>
      <c r="I89" s="27" t="str">
        <f>'18U BOYS-24 TEAMS'!I74&amp;""</f>
        <v>K bracket K2,K3</v>
      </c>
      <c r="J89" s="9" t="str">
        <f>'18U BOYS-24 TEAMS'!J74&amp;""</f>
        <v>18U_BOYS</v>
      </c>
    </row>
    <row r="90" spans="1:10">
      <c r="A90" s="103">
        <f>'18U BOYS-24 TEAMS'!A84</f>
        <v>45725</v>
      </c>
      <c r="B90" s="104">
        <f>'18U BOYS-24 TEAMS'!B84</f>
        <v>0.54166666666666696</v>
      </c>
      <c r="C90" s="102" t="str">
        <f>'18U BOYS-24 TEAMS'!C84&amp;""</f>
        <v>ESTANCIA HS</v>
      </c>
      <c r="D90" s="101" t="str">
        <f>'18U BOYS-24 TEAMS'!D84&amp;""</f>
        <v>18B44</v>
      </c>
      <c r="E90" s="100" t="str">
        <f>'18U BOYS-24 TEAMS'!E84&amp;""</f>
        <v>N1(4thC)-FOOTHILL RED</v>
      </c>
      <c r="F90" s="100" t="str">
        <f>'18U BOYS-24 TEAMS'!F84&amp;""</f>
        <v>13</v>
      </c>
      <c r="G90" s="100" t="str">
        <f>'18U BOYS-24 TEAMS'!G84&amp;""</f>
        <v>N2(4thB)-ORANGE COUNTY WPC BLUE</v>
      </c>
      <c r="H90" s="100" t="str">
        <f>'18U BOYS-24 TEAMS'!H84&amp;""</f>
        <v>11</v>
      </c>
      <c r="I90" s="100" t="str">
        <f>'18U BOYS-24 TEAMS'!I84&amp;""</f>
        <v>19th-24th N1,N2</v>
      </c>
      <c r="J90" s="99" t="str">
        <f>'18U BOYS-24 TEAMS'!J84&amp;""</f>
        <v>18U_BOYS</v>
      </c>
    </row>
    <row r="91" spans="1:10">
      <c r="A91" s="50">
        <f>'16U BOYS PLATINUM-19 TEAMS'!A67</f>
        <v>45725</v>
      </c>
      <c r="B91" s="45">
        <f>'16U BOYS PLATINUM-19 TEAMS'!B67</f>
        <v>0.54166666666666696</v>
      </c>
      <c r="C91" s="45" t="str">
        <f>'16U BOYS PLATINUM-19 TEAMS'!C67&amp;""</f>
        <v>MARINA HS</v>
      </c>
      <c r="D91" s="52" t="str">
        <f>'16U BOYS PLATINUM-19 TEAMS'!D67&amp;""</f>
        <v>16Bpt33</v>
      </c>
      <c r="E91" s="45" t="str">
        <f>'16U BOYS PLATINUM-19 TEAMS'!E67&amp;""</f>
        <v>K2(3rdB)-ROSE BOWL RED</v>
      </c>
      <c r="F91" s="55" t="str">
        <f>'16U BOYS PLATINUM-19 TEAMS'!F67&amp;""</f>
        <v>19</v>
      </c>
      <c r="G91" s="45" t="str">
        <f>'16U BOYS PLATINUM-19 TEAMS'!G67&amp;""</f>
        <v>K3(3rdC)-CHAWP</v>
      </c>
      <c r="H91" s="54" t="str">
        <f>'16U BOYS PLATINUM-19 TEAMS'!H67&amp;""</f>
        <v>15</v>
      </c>
      <c r="I91" s="55" t="str">
        <f>'16U BOYS PLATINUM-19 TEAMS'!I67&amp;""</f>
        <v>bracket K2,K3</v>
      </c>
      <c r="J91" s="52" t="str">
        <f>'16U BOYS PLATINUM-19 TEAMS'!J67&amp;""</f>
        <v>16U_BOYS_PLATINUM</v>
      </c>
    </row>
    <row r="92" spans="1:10">
      <c r="A92" s="18">
        <f>'18U BOYS-24 TEAMS'!A63</f>
        <v>45725</v>
      </c>
      <c r="B92" s="19">
        <f>'18U BOYS-24 TEAMS'!B63</f>
        <v>0.54166666666666696</v>
      </c>
      <c r="C92" s="20" t="str">
        <f>'18U BOYS-24 TEAMS'!C63&amp;""</f>
        <v>TUSTIN HS</v>
      </c>
      <c r="D92" s="21" t="str">
        <f>'18U BOYS-24 TEAMS'!D63&amp;""</f>
        <v>18B42</v>
      </c>
      <c r="E92" s="35" t="str">
        <f>'18U BOYS-24 TEAMS'!E63&amp;""</f>
        <v>H2(1stE)-DEL MAR</v>
      </c>
      <c r="F92" s="35" t="str">
        <f>'18U BOYS-24 TEAMS'!F63&amp;""</f>
        <v>10.1</v>
      </c>
      <c r="G92" s="35" t="str">
        <f>'18U BOYS-24 TEAMS'!G63&amp;""</f>
        <v>H3(1stF)-CHANNEL ISLANDS UNITED GOLD</v>
      </c>
      <c r="H92" s="35" t="str">
        <f>'18U BOYS-24 TEAMS'!H63&amp;""</f>
        <v>10.2</v>
      </c>
      <c r="I92" s="8" t="str">
        <f>'18U BOYS-24 TEAMS'!I63&amp;""</f>
        <v>H bracket H2,H3</v>
      </c>
      <c r="J92" s="21" t="str">
        <f>'18U BOYS-24 TEAMS'!J63&amp;""</f>
        <v>18U_BOYS</v>
      </c>
    </row>
    <row r="93" spans="1:10">
      <c r="A93" s="46">
        <f>'16U BOYS PLATINUM-19 TEAMS'!A56</f>
        <v>45725</v>
      </c>
      <c r="B93" s="47">
        <f>'16U BOYS PLATINUM-19 TEAMS'!B56</f>
        <v>0.54166666666666696</v>
      </c>
      <c r="C93" s="47" t="str">
        <f>'16U BOYS PLATINUM-19 TEAMS'!C56&amp;""</f>
        <v>WESTMINSTER HS</v>
      </c>
      <c r="D93" s="48" t="str">
        <f>'16U BOYS PLATINUM-19 TEAMS'!D56&amp;""</f>
        <v>16Bpt32</v>
      </c>
      <c r="E93" s="48" t="str">
        <f>'16U BOYS PLATINUM-19 TEAMS'!E56&amp;""</f>
        <v>G1(1stA)-DEL MAR</v>
      </c>
      <c r="F93" s="48" t="str">
        <f>'16U BOYS PLATINUM-19 TEAMS'!F56&amp;""</f>
        <v>14</v>
      </c>
      <c r="G93" s="48" t="str">
        <f>'16U BOYS PLATINUM-19 TEAMS'!G56&amp;""</f>
        <v>G2(1stB)-CHANNEL ISLANDS UNITED GOLD</v>
      </c>
      <c r="H93" s="48" t="str">
        <f>'16U BOYS PLATINUM-19 TEAMS'!H56&amp;""</f>
        <v>8</v>
      </c>
      <c r="I93" s="48" t="str">
        <f>'16U BOYS PLATINUM-19 TEAMS'!I56&amp;""</f>
        <v>G bracket G1,G2 (1A,1B)</v>
      </c>
      <c r="J93" s="48" t="str">
        <f>'16U BOYS PLATINUM-19 TEAMS'!J56&amp;""</f>
        <v>16U_BOYS_PLATINUM</v>
      </c>
    </row>
    <row r="94" spans="1:10">
      <c r="A94" s="62">
        <f>'16U BOYS GOLD-9 TEAMS'!A32</f>
        <v>45725</v>
      </c>
      <c r="B94" s="63">
        <f>'16U BOYS GOLD-9 TEAMS'!B32</f>
        <v>0.58333333333333304</v>
      </c>
      <c r="C94" s="63" t="str">
        <f>'16U BOYS GOLD-9 TEAMS'!C32&amp;""</f>
        <v>COSTA MESA HS</v>
      </c>
      <c r="D94" s="64" t="str">
        <f>'16U BOYS GOLD-9 TEAMS'!D32&amp;""</f>
        <v>16Bau16</v>
      </c>
      <c r="E94" s="64" t="str">
        <f>'16U BOYS GOLD-9 TEAMS'!E32&amp;""</f>
        <v>D1(3rdA)-FOOTHILL BLACK</v>
      </c>
      <c r="F94" s="64" t="str">
        <f>'16U BOYS GOLD-9 TEAMS'!F32&amp;""</f>
        <v>6</v>
      </c>
      <c r="G94" s="64" t="str">
        <f>'16U BOYS GOLD-9 TEAMS'!G32&amp;""</f>
        <v>D2(3rdB)-OCWP RED</v>
      </c>
      <c r="H94" s="64" t="str">
        <f>'16U BOYS GOLD-9 TEAMS'!H32&amp;""</f>
        <v>16</v>
      </c>
      <c r="I94" s="64" t="str">
        <f>'16U BOYS GOLD-9 TEAMS'!I32&amp;""</f>
        <v>D bracket (7th-9th) D1,D2</v>
      </c>
      <c r="J94" s="64" t="str">
        <f>'16U BOYS GOLD-9 TEAMS'!J32&amp;""</f>
        <v>16U_BOYS_GOLD</v>
      </c>
    </row>
    <row r="95" spans="1:10">
      <c r="A95" s="37">
        <f>'18U BOYS-24 TEAMS'!A75</f>
        <v>45725</v>
      </c>
      <c r="B95" s="38">
        <f>'18U BOYS-24 TEAMS'!B75</f>
        <v>0.58333333333333304</v>
      </c>
      <c r="C95" s="24" t="str">
        <f>'18U BOYS-24 TEAMS'!C75&amp;""</f>
        <v>EL TORO HS</v>
      </c>
      <c r="D95" s="39" t="str">
        <f>'18U BOYS-24 TEAMS'!D75&amp;""</f>
        <v>18B46</v>
      </c>
      <c r="E95" s="12" t="str">
        <f>'18U BOYS-24 TEAMS'!E75&amp;""</f>
        <v>L1(3rdD)-TEXAS THUNDER</v>
      </c>
      <c r="F95" s="12" t="str">
        <f>'18U BOYS-24 TEAMS'!F75&amp;""</f>
        <v>16</v>
      </c>
      <c r="G95" s="12" t="str">
        <f>'18U BOYS-24 TEAMS'!G75&amp;""</f>
        <v>L2(3rdE)-ROSE BOWL RED</v>
      </c>
      <c r="H95" s="12" t="str">
        <f>'18U BOYS-24 TEAMS'!H75&amp;""</f>
        <v>7</v>
      </c>
      <c r="I95" s="27" t="str">
        <f>'18U BOYS-24 TEAMS'!I75&amp;""</f>
        <v>L bracket L1,L2</v>
      </c>
      <c r="J95" s="9" t="str">
        <f>'18U BOYS-24 TEAMS'!J75&amp;""</f>
        <v>18U_BOYS</v>
      </c>
    </row>
    <row r="96" spans="1:10">
      <c r="A96" s="50">
        <f>'16U BOYS PLATINUM-19 TEAMS'!A68</f>
        <v>45725</v>
      </c>
      <c r="B96" s="45">
        <f>'16U BOYS PLATINUM-19 TEAMS'!B68</f>
        <v>0.58333333333333304</v>
      </c>
      <c r="C96" s="45" t="str">
        <f>'16U BOYS PLATINUM-19 TEAMS'!C68&amp;""</f>
        <v>MARINA HS</v>
      </c>
      <c r="D96" s="83" t="str">
        <f>'16U BOYS PLATINUM-19 TEAMS'!D68&amp;""</f>
        <v>16Bpt35</v>
      </c>
      <c r="E96" s="53" t="str">
        <f>'16U BOYS PLATINUM-19 TEAMS'!E68&amp;""</f>
        <v>PATRIOT</v>
      </c>
      <c r="F96" s="54" t="str">
        <f>'16U BOYS PLATINUM-19 TEAMS'!F68&amp;""</f>
        <v>12</v>
      </c>
      <c r="G96" s="53" t="str">
        <f>'16U BOYS PLATINUM-19 TEAMS'!G68&amp;""</f>
        <v>L#29-TEXAS THUINDER</v>
      </c>
      <c r="H96" s="54" t="str">
        <f>'16U BOYS PLATINUM-19 TEAMS'!H68&amp;""</f>
        <v>11</v>
      </c>
      <c r="I96" s="55" t="str">
        <f>'16U BOYS PLATINUM-19 TEAMS'!I68&amp;""</f>
        <v>3rd/4thL</v>
      </c>
      <c r="J96" s="52" t="str">
        <f>'16U BOYS PLATINUM-19 TEAMS'!J68&amp;""</f>
        <v>16U_BOYS_PLATINUM</v>
      </c>
    </row>
    <row r="97" spans="1:10">
      <c r="A97" s="18">
        <f>'18U BOYS-24 TEAMS'!A64</f>
        <v>45725</v>
      </c>
      <c r="B97" s="19">
        <f>'18U BOYS-24 TEAMS'!B64</f>
        <v>0.58333333333333304</v>
      </c>
      <c r="C97" s="20" t="str">
        <f>'18U BOYS-24 TEAMS'!C64&amp;""</f>
        <v>TUSTIN HS</v>
      </c>
      <c r="D97" s="21" t="str">
        <f>'18U BOYS-24 TEAMS'!D64&amp;""</f>
        <v>18B45</v>
      </c>
      <c r="E97" s="35" t="str">
        <f>'18U BOYS-24 TEAMS'!E64&amp;""</f>
        <v>I1(2ndA)-VANGUARD BLUE</v>
      </c>
      <c r="F97" s="35" t="str">
        <f>'18U BOYS-24 TEAMS'!F64&amp;""</f>
        <v>9</v>
      </c>
      <c r="G97" s="35" t="str">
        <f>'18U BOYS-24 TEAMS'!G64&amp;""</f>
        <v>I2(2ndB)-SAN FRANCISCO</v>
      </c>
      <c r="H97" s="35" t="str">
        <f>'18U BOYS-24 TEAMS'!H64&amp;""</f>
        <v>13</v>
      </c>
      <c r="I97" s="8" t="str">
        <f>'18U BOYS-24 TEAMS'!I64&amp;""</f>
        <v>I bracket I1,2</v>
      </c>
      <c r="J97" s="21" t="str">
        <f>'18U BOYS-24 TEAMS'!J64&amp;""</f>
        <v>18U_BOYS</v>
      </c>
    </row>
    <row r="98" spans="1:10">
      <c r="A98" s="46">
        <f>'16U BOYS PLATINUM-19 TEAMS'!A57</f>
        <v>45725</v>
      </c>
      <c r="B98" s="47">
        <f>'16U BOYS PLATINUM-19 TEAMS'!B57</f>
        <v>0.58333333333333304</v>
      </c>
      <c r="C98" s="47" t="str">
        <f>'16U BOYS PLATINUM-19 TEAMS'!C57&amp;""</f>
        <v>WESTMINSTER HS</v>
      </c>
      <c r="D98" s="48" t="str">
        <f>'16U BOYS PLATINUM-19 TEAMS'!D57&amp;""</f>
        <v>16Bpt34</v>
      </c>
      <c r="E98" s="48" t="str">
        <f>'16U BOYS PLATINUM-19 TEAMS'!E57&amp;""</f>
        <v>I1(2ndA)-NORTH IRVINE BLACK</v>
      </c>
      <c r="F98" s="48" t="str">
        <f>'16U BOYS PLATINUM-19 TEAMS'!F57&amp;""</f>
        <v>11</v>
      </c>
      <c r="G98" s="48" t="str">
        <f>'16U BOYS PLATINUM-19 TEAMS'!G57&amp;""</f>
        <v>I2(2ndB)-ORANGE COUNTY WPC BLUE</v>
      </c>
      <c r="H98" s="48" t="str">
        <f>'16U BOYS PLATINUM-19 TEAMS'!H57&amp;""</f>
        <v>10</v>
      </c>
      <c r="I98" s="48" t="str">
        <f>'16U BOYS PLATINUM-19 TEAMS'!I57&amp;""</f>
        <v>I bracket I1,I2 (2A,2B)</v>
      </c>
      <c r="J98" s="48" t="str">
        <f>'16U BOYS PLATINUM-19 TEAMS'!J57&amp;""</f>
        <v>16U_BOYS_PLATINUM</v>
      </c>
    </row>
    <row r="99" spans="1:10">
      <c r="A99" s="62">
        <f>'16U BOYS GOLD-9 TEAMS'!A33</f>
        <v>45725</v>
      </c>
      <c r="B99" s="63">
        <f>'16U BOYS GOLD-9 TEAMS'!B33</f>
        <v>0.625</v>
      </c>
      <c r="C99" s="63" t="str">
        <f>'16U BOYS GOLD-9 TEAMS'!C33&amp;""</f>
        <v>COSTA MESA HS</v>
      </c>
      <c r="D99" s="64" t="str">
        <f>'16U BOYS GOLD-9 TEAMS'!D33&amp;""</f>
        <v>16Bau17</v>
      </c>
      <c r="E99" s="64" t="str">
        <f>'16U BOYS GOLD-9 TEAMS'!E33&amp;""</f>
        <v>E1(2ndA)-MISSION B</v>
      </c>
      <c r="F99" s="64" t="str">
        <f>'16U BOYS GOLD-9 TEAMS'!F33&amp;""</f>
        <v>12</v>
      </c>
      <c r="G99" s="64" t="str">
        <f>'16U BOYS GOLD-9 TEAMS'!G33&amp;""</f>
        <v>E2(2ndB)-PEGASUS</v>
      </c>
      <c r="H99" s="64" t="str">
        <f>'16U BOYS GOLD-9 TEAMS'!H33&amp;""</f>
        <v>10</v>
      </c>
      <c r="I99" s="64" t="str">
        <f>'16U BOYS GOLD-9 TEAMS'!I33&amp;""</f>
        <v>E bracket (4th-6th) E1,E2</v>
      </c>
      <c r="J99" s="64" t="str">
        <f>'16U BOYS GOLD-9 TEAMS'!J33&amp;""</f>
        <v>16U_BOYS_GOLD</v>
      </c>
    </row>
    <row r="100" spans="1:10">
      <c r="A100" s="37">
        <f>'18U BOYS-24 TEAMS'!A76</f>
        <v>45725</v>
      </c>
      <c r="B100" s="38">
        <f>'18U BOYS-24 TEAMS'!B76</f>
        <v>0.625</v>
      </c>
      <c r="C100" s="24" t="str">
        <f>'18U BOYS-24 TEAMS'!C76&amp;""</f>
        <v>EL TORO HS</v>
      </c>
      <c r="D100" s="39" t="str">
        <f>'18U BOYS-24 TEAMS'!D76&amp;""</f>
        <v>18B48</v>
      </c>
      <c r="E100" s="12" t="str">
        <f>'18U BOYS-24 TEAMS'!E76&amp;""</f>
        <v>J1(2ndD)-NORTH IRVINE BEAST BOYS</v>
      </c>
      <c r="F100" s="12" t="str">
        <f>'18U BOYS-24 TEAMS'!F76&amp;""</f>
        <v>20</v>
      </c>
      <c r="G100" s="12" t="str">
        <f>'18U BOYS-24 TEAMS'!G76&amp;""</f>
        <v>J2(2ndE-SOCAL BLACK</v>
      </c>
      <c r="H100" s="12" t="str">
        <f>'18U BOYS-24 TEAMS'!H76&amp;""</f>
        <v>5</v>
      </c>
      <c r="I100" s="27" t="str">
        <f>'18U BOYS-24 TEAMS'!I76&amp;""</f>
        <v>J bracket J1,J2</v>
      </c>
      <c r="J100" s="9" t="str">
        <f>'18U BOYS-24 TEAMS'!J76&amp;""</f>
        <v>18U_BOYS</v>
      </c>
    </row>
    <row r="101" spans="1:10">
      <c r="A101" s="50">
        <f>'16U BOYS PLATINUM-19 TEAMS'!A69</f>
        <v>45725</v>
      </c>
      <c r="B101" s="45">
        <f>'16U BOYS PLATINUM-19 TEAMS'!B69</f>
        <v>0.625</v>
      </c>
      <c r="C101" s="45" t="str">
        <f>'16U BOYS PLATINUM-19 TEAMS'!C69&amp;""</f>
        <v>MARINA HS</v>
      </c>
      <c r="D101" s="83" t="str">
        <f>'16U BOYS PLATINUM-19 TEAMS'!D69&amp;""</f>
        <v>16Bpt37</v>
      </c>
      <c r="E101" s="45" t="str">
        <f>'16U BOYS PLATINUM-19 TEAMS'!E69&amp;""</f>
        <v>FOOTHILL RED</v>
      </c>
      <c r="F101" s="55" t="str">
        <f>'16U BOYS PLATINUM-19 TEAMS'!F69&amp;""</f>
        <v>8</v>
      </c>
      <c r="G101" s="45" t="str">
        <f>'16U BOYS PLATINUM-19 TEAMS'!G69&amp;""</f>
        <v>W#29-VANGUARD BLUE</v>
      </c>
      <c r="H101" s="54" t="str">
        <f>'16U BOYS PLATINUM-19 TEAMS'!H69&amp;""</f>
        <v>12</v>
      </c>
      <c r="I101" s="55" t="str">
        <f>'16U BOYS PLATINUM-19 TEAMS'!I69&amp;""</f>
        <v>1st/2ndL</v>
      </c>
      <c r="J101" s="52" t="str">
        <f>'16U BOYS PLATINUM-19 TEAMS'!J69&amp;""</f>
        <v>16U_BOYS_PLATINUM</v>
      </c>
    </row>
    <row r="102" spans="1:10">
      <c r="A102" s="18">
        <f>'18U BOYS-24 TEAMS'!A65</f>
        <v>45725</v>
      </c>
      <c r="B102" s="19">
        <f>'18U BOYS-24 TEAMS'!B65</f>
        <v>0.625</v>
      </c>
      <c r="C102" s="20" t="str">
        <f>'18U BOYS-24 TEAMS'!C65&amp;""</f>
        <v>TUSTIN HS</v>
      </c>
      <c r="D102" s="21" t="str">
        <f>'18U BOYS-24 TEAMS'!D65&amp;""</f>
        <v>18B47</v>
      </c>
      <c r="E102" s="35" t="str">
        <f>'18U BOYS-24 TEAMS'!E65&amp;""</f>
        <v>P1(3rdG)-CC UNITED</v>
      </c>
      <c r="F102" s="35" t="str">
        <f>'18U BOYS-24 TEAMS'!F65&amp;""</f>
        <v>6</v>
      </c>
      <c r="G102" s="35" t="str">
        <f>'18U BOYS-24 TEAMS'!G65&amp;""</f>
        <v>P2(3rdH)-DEL MAR</v>
      </c>
      <c r="H102" s="35" t="str">
        <f>'18U BOYS-24 TEAMS'!H65&amp;""</f>
        <v>8</v>
      </c>
      <c r="I102" s="8" t="str">
        <f>'18U BOYS-24 TEAMS'!I65&amp;""</f>
        <v>5th 3G/3H</v>
      </c>
      <c r="J102" s="21" t="str">
        <f>'18U BOYS-24 TEAMS'!J65&amp;""</f>
        <v>18U_BOYS</v>
      </c>
    </row>
    <row r="103" spans="1:10">
      <c r="A103" s="46">
        <f>'16U BOYS PLATINUM-19 TEAMS'!A58</f>
        <v>45725</v>
      </c>
      <c r="B103" s="47">
        <f>'16U BOYS PLATINUM-19 TEAMS'!B58</f>
        <v>0.625</v>
      </c>
      <c r="C103" s="47" t="str">
        <f>'16U BOYS PLATINUM-19 TEAMS'!C58&amp;""</f>
        <v>WESTMINSTER HS</v>
      </c>
      <c r="D103" s="48" t="str">
        <f>'16U BOYS PLATINUM-19 TEAMS'!D58&amp;""</f>
        <v>16Bpt36</v>
      </c>
      <c r="E103" s="48" t="str">
        <f>'16U BOYS PLATINUM-19 TEAMS'!E58&amp;""</f>
        <v>P1(3rdG)-CHANNEL ISLANDS UNITED GOLD</v>
      </c>
      <c r="F103" s="48" t="str">
        <f>'16U BOYS PLATINUM-19 TEAMS'!F58&amp;""</f>
        <v>10</v>
      </c>
      <c r="G103" s="48" t="str">
        <f>'16U BOYS PLATINUM-19 TEAMS'!G58&amp;""</f>
        <v>P2(3rdH)-SD SHORES BLACK</v>
      </c>
      <c r="H103" s="48" t="str">
        <f>'16U BOYS PLATINUM-19 TEAMS'!H58&amp;""</f>
        <v>12</v>
      </c>
      <c r="I103" s="48" t="str">
        <f>'16U BOYS PLATINUM-19 TEAMS'!I58&amp;""</f>
        <v>5th 3G/3H</v>
      </c>
      <c r="J103" s="48" t="str">
        <f>'16U BOYS PLATINUM-19 TEAMS'!J58&amp;""</f>
        <v>16U_BOYS_PLATINUM</v>
      </c>
    </row>
    <row r="104" spans="1:10">
      <c r="A104" s="62">
        <f>'16U BOYS GOLD-9 TEAMS'!A34</f>
        <v>45725</v>
      </c>
      <c r="B104" s="63">
        <f>'16U BOYS GOLD-9 TEAMS'!B34</f>
        <v>0.66666666666666696</v>
      </c>
      <c r="C104" s="63" t="str">
        <f>'16U BOYS GOLD-9 TEAMS'!C34&amp;""</f>
        <v>COSTA MESA HS</v>
      </c>
      <c r="D104" s="64" t="str">
        <f>'16U BOYS GOLD-9 TEAMS'!D34&amp;""</f>
        <v>16Bau18</v>
      </c>
      <c r="E104" s="64" t="str">
        <f>'16U BOYS GOLD-9 TEAMS'!E34&amp;""</f>
        <v>F1(1stA)-SAN FRANCISCO</v>
      </c>
      <c r="F104" s="64" t="str">
        <f>'16U BOYS GOLD-9 TEAMS'!F34&amp;""</f>
        <v>9</v>
      </c>
      <c r="G104" s="64" t="str">
        <f>'16U BOYS GOLD-9 TEAMS'!G34&amp;""</f>
        <v>F2(1stB)-LA PREMIER</v>
      </c>
      <c r="H104" s="64" t="str">
        <f>'16U BOYS GOLD-9 TEAMS'!H34&amp;""</f>
        <v>15</v>
      </c>
      <c r="I104" s="64" t="str">
        <f>'16U BOYS GOLD-9 TEAMS'!I34&amp;""</f>
        <v>F bracket (1st-3rd) F1,F2</v>
      </c>
      <c r="J104" s="64" t="str">
        <f>'16U BOYS GOLD-9 TEAMS'!J34&amp;""</f>
        <v>16U_BOYS_GOLD</v>
      </c>
    </row>
    <row r="105" spans="1:10">
      <c r="A105" s="37">
        <f>'18U BOYS-24 TEAMS'!A77</f>
        <v>45725</v>
      </c>
      <c r="B105" s="38">
        <f>'18U BOYS-24 TEAMS'!B77</f>
        <v>0.66666666666666696</v>
      </c>
      <c r="C105" s="24" t="str">
        <f>'18U BOYS-24 TEAMS'!C77&amp;""</f>
        <v>EL TORO HS</v>
      </c>
      <c r="D105" s="39" t="str">
        <f>'18U BOYS-24 TEAMS'!D77&amp;""</f>
        <v>18B50</v>
      </c>
      <c r="E105" s="12" t="str">
        <f>'18U BOYS-24 TEAMS'!E77&amp;""</f>
        <v>K1(3rdA)-LA PREMIER</v>
      </c>
      <c r="F105" s="12" t="str">
        <f>'18U BOYS-24 TEAMS'!F77&amp;""</f>
        <v>10</v>
      </c>
      <c r="G105" s="12" t="str">
        <f>'18U BOYS-24 TEAMS'!G77&amp;""</f>
        <v>K2(3rdB)-IMPERIAL BLUE</v>
      </c>
      <c r="H105" s="12" t="str">
        <f>'18U BOYS-24 TEAMS'!H77&amp;""</f>
        <v>13</v>
      </c>
      <c r="I105" s="27" t="str">
        <f>'18U BOYS-24 TEAMS'!I77&amp;""</f>
        <v>K bracket K1,K2</v>
      </c>
      <c r="J105" s="9" t="str">
        <f>'18U BOYS-24 TEAMS'!J77&amp;""</f>
        <v>18U_BOYS</v>
      </c>
    </row>
    <row r="106" spans="1:10">
      <c r="A106" s="50">
        <f>'16U BOYS PLATINUM-19 TEAMS'!A70</f>
        <v>45725</v>
      </c>
      <c r="B106" s="45">
        <f>'16U BOYS PLATINUM-19 TEAMS'!B70</f>
        <v>0.66666666666666696</v>
      </c>
      <c r="C106" s="45" t="str">
        <f>'16U BOYS PLATINUM-19 TEAMS'!C70&amp;""</f>
        <v>MARINA HS</v>
      </c>
      <c r="D106" s="52" t="str">
        <f>'16U BOYS PLATINUM-19 TEAMS'!D70&amp;""</f>
        <v>16Bpt39</v>
      </c>
      <c r="E106" s="53" t="str">
        <f>'16U BOYS PLATINUM-19 TEAMS'!E70&amp;""</f>
        <v>J1(2ndD)-NEWPORT</v>
      </c>
      <c r="F106" s="54" t="str">
        <f>'16U BOYS PLATINUM-19 TEAMS'!F70&amp;""</f>
        <v>9</v>
      </c>
      <c r="G106" s="53" t="str">
        <f>'16U BOYS PLATINUM-19 TEAMS'!G70&amp;""</f>
        <v>J2(2ndE)-ATHERTON</v>
      </c>
      <c r="H106" s="54" t="str">
        <f>'16U BOYS PLATINUM-19 TEAMS'!H70&amp;""</f>
        <v>10</v>
      </c>
      <c r="I106" s="55" t="str">
        <f>'16U BOYS PLATINUM-19 TEAMS'!I70&amp;""</f>
        <v>bracket J1,J2</v>
      </c>
      <c r="J106" s="52" t="str">
        <f>'16U BOYS PLATINUM-19 TEAMS'!J70&amp;""</f>
        <v>16U_BOYS_PLATINUM</v>
      </c>
    </row>
    <row r="107" spans="1:10">
      <c r="A107" s="18">
        <f>'18U BOYS-24 TEAMS'!A66</f>
        <v>45725</v>
      </c>
      <c r="B107" s="19">
        <f>'18U BOYS-24 TEAMS'!B66</f>
        <v>0.66666666666666696</v>
      </c>
      <c r="C107" s="20" t="str">
        <f>'18U BOYS-24 TEAMS'!C66&amp;""</f>
        <v>TUSTIN HS</v>
      </c>
      <c r="D107" s="21" t="str">
        <f>'18U BOYS-24 TEAMS'!D66&amp;""</f>
        <v>18B49</v>
      </c>
      <c r="E107" s="35" t="str">
        <f>'18U BOYS-24 TEAMS'!E66&amp;""</f>
        <v>N1(2ndG)-LAMORINDA</v>
      </c>
      <c r="F107" s="35" t="str">
        <f>'18U BOYS-24 TEAMS'!F66&amp;""</f>
        <v>11</v>
      </c>
      <c r="G107" s="35" t="str">
        <f>'18U BOYS-24 TEAMS'!G66&amp;""</f>
        <v>N2(2ndH)-STANFORD</v>
      </c>
      <c r="H107" s="35" t="str">
        <f>'18U BOYS-24 TEAMS'!H66&amp;""</f>
        <v>9</v>
      </c>
      <c r="I107" s="8" t="str">
        <f>'18U BOYS-24 TEAMS'!I66&amp;""</f>
        <v>3rd 2G/2H</v>
      </c>
      <c r="J107" s="21" t="str">
        <f>'18U BOYS-24 TEAMS'!J66&amp;""</f>
        <v>18U_BOYS</v>
      </c>
    </row>
    <row r="108" spans="1:10">
      <c r="A108" s="46">
        <f>'16U BOYS PLATINUM-19 TEAMS'!A59</f>
        <v>45725</v>
      </c>
      <c r="B108" s="47">
        <f>'16U BOYS PLATINUM-19 TEAMS'!B59</f>
        <v>0.66666666666666696</v>
      </c>
      <c r="C108" s="47" t="str">
        <f>'16U BOYS PLATINUM-19 TEAMS'!C59&amp;""</f>
        <v>WESTMINSTER HS</v>
      </c>
      <c r="D108" s="48" t="str">
        <f>'16U BOYS PLATINUM-19 TEAMS'!D59&amp;""</f>
        <v>16Bpt38</v>
      </c>
      <c r="E108" s="48" t="str">
        <f>'16U BOYS PLATINUM-19 TEAMS'!E59&amp;""</f>
        <v>N1(2ndG)-DEL MAR</v>
      </c>
      <c r="F108" s="48" t="str">
        <f>'16U BOYS PLATINUM-19 TEAMS'!F59&amp;""</f>
        <v>11</v>
      </c>
      <c r="G108" s="48" t="str">
        <f>'16U BOYS PLATINUM-19 TEAMS'!G59&amp;""</f>
        <v>N2(2ndH)-MISSION</v>
      </c>
      <c r="H108" s="48" t="str">
        <f>'16U BOYS PLATINUM-19 TEAMS'!H59&amp;""</f>
        <v>8</v>
      </c>
      <c r="I108" s="48" t="str">
        <f>'16U BOYS PLATINUM-19 TEAMS'!I59&amp;""</f>
        <v>3rd 2G/2H</v>
      </c>
      <c r="J108" s="48" t="str">
        <f>'16U BOYS PLATINUM-19 TEAMS'!J59&amp;""</f>
        <v>16U_BOYS_PLATINUM</v>
      </c>
    </row>
    <row r="109" spans="1:10">
      <c r="A109" s="50">
        <f>'16U BOYS PLATINUM-19 TEAMS'!A71</f>
        <v>45725</v>
      </c>
      <c r="B109" s="45">
        <f>'16U BOYS PLATINUM-19 TEAMS'!B71</f>
        <v>0.70833333333333304</v>
      </c>
      <c r="C109" s="45" t="str">
        <f>'16U BOYS PLATINUM-19 TEAMS'!C71&amp;""</f>
        <v>MARINA HS</v>
      </c>
      <c r="D109" s="52" t="str">
        <f>'16U BOYS PLATINUM-19 TEAMS'!D71&amp;""</f>
        <v>16Bpt41</v>
      </c>
      <c r="E109" s="45" t="str">
        <f>'16U BOYS PLATINUM-19 TEAMS'!E71&amp;""</f>
        <v>K1(3rdA)-DIABLO RED</v>
      </c>
      <c r="F109" s="55" t="str">
        <f>'16U BOYS PLATINUM-19 TEAMS'!F71&amp;""</f>
        <v>14</v>
      </c>
      <c r="G109" s="45" t="str">
        <f>'16U BOYS PLATINUM-19 TEAMS'!G71&amp;""</f>
        <v>K2(3rdB)-ROSE BOWL RED</v>
      </c>
      <c r="H109" s="54" t="str">
        <f>'16U BOYS PLATINUM-19 TEAMS'!H71&amp;""</f>
        <v>13</v>
      </c>
      <c r="I109" s="55" t="str">
        <f>'16U BOYS PLATINUM-19 TEAMS'!I71&amp;""</f>
        <v>bracket K1,K2</v>
      </c>
      <c r="J109" s="52" t="str">
        <f>'16U BOYS PLATINUM-19 TEAMS'!J71&amp;""</f>
        <v>16U_BOYS_PLATINUM</v>
      </c>
    </row>
    <row r="110" spans="1:10">
      <c r="A110" s="18">
        <f>'18U BOYS-24 TEAMS'!A67</f>
        <v>45725</v>
      </c>
      <c r="B110" s="19">
        <f>'18U BOYS-24 TEAMS'!B67</f>
        <v>0.70833333333333304</v>
      </c>
      <c r="C110" s="20" t="str">
        <f>'18U BOYS-24 TEAMS'!C67&amp;""</f>
        <v>TUSTIN HS</v>
      </c>
      <c r="D110" s="21" t="str">
        <f>'18U BOYS-24 TEAMS'!D67&amp;""</f>
        <v>18B51</v>
      </c>
      <c r="E110" s="35" t="str">
        <f>'18U BOYS-24 TEAMS'!E67&amp;""</f>
        <v>O1(1stG)-NEWPORT</v>
      </c>
      <c r="F110" s="35" t="str">
        <f>'18U BOYS-24 TEAMS'!F67&amp;""</f>
        <v>12</v>
      </c>
      <c r="G110" s="35" t="str">
        <f>'18U BOYS-24 TEAMS'!G67&amp;""</f>
        <v>O2(1stH)-CHANNEL ISLANDS UNITED GOLD</v>
      </c>
      <c r="H110" s="35" t="str">
        <f>'18U BOYS-24 TEAMS'!H67&amp;""</f>
        <v>5</v>
      </c>
      <c r="I110" s="8" t="str">
        <f>'18U BOYS-24 TEAMS'!I67&amp;""</f>
        <v>1st 1G/1H</v>
      </c>
      <c r="J110" s="21" t="str">
        <f>'18U BOYS-24 TEAMS'!J67&amp;""</f>
        <v>18U_BOYS</v>
      </c>
    </row>
    <row r="111" spans="1:10">
      <c r="A111" s="46">
        <f>'16U BOYS PLATINUM-19 TEAMS'!A60</f>
        <v>45725</v>
      </c>
      <c r="B111" s="47">
        <f>'16U BOYS PLATINUM-19 TEAMS'!B60</f>
        <v>0.70833333333333304</v>
      </c>
      <c r="C111" s="47" t="str">
        <f>'16U BOYS PLATINUM-19 TEAMS'!C60&amp;""</f>
        <v>WESTMINSTER HS</v>
      </c>
      <c r="D111" s="48" t="str">
        <f>'16U BOYS PLATINUM-19 TEAMS'!D60&amp;""</f>
        <v>16Bpt40</v>
      </c>
      <c r="E111" s="48" t="str">
        <f>'16U BOYS PLATINUM-19 TEAMS'!E60&amp;""</f>
        <v>O1(1stG)-STANFORD</v>
      </c>
      <c r="F111" s="48" t="str">
        <f>'16U BOYS PLATINUM-19 TEAMS'!F60&amp;""</f>
        <v>11</v>
      </c>
      <c r="G111" s="48" t="str">
        <f>'16U BOYS PLATINUM-19 TEAMS'!G60&amp;""</f>
        <v>O2(1stH)-CC UNITED BLACK</v>
      </c>
      <c r="H111" s="48" t="str">
        <f>'16U BOYS PLATINUM-19 TEAMS'!H60&amp;""</f>
        <v>14</v>
      </c>
      <c r="I111" s="48" t="str">
        <f>'16U BOYS PLATINUM-19 TEAMS'!I60&amp;""</f>
        <v>1st 1G/1H</v>
      </c>
      <c r="J111" s="48" t="str">
        <f>'16U BOYS PLATINUM-19 TEAMS'!J60&amp;""</f>
        <v>16U_BOYS_PLATINUM</v>
      </c>
    </row>
  </sheetData>
  <sortState xmlns:xlrd2="http://schemas.microsoft.com/office/spreadsheetml/2017/richdata2" ref="A2:J111">
    <sortCondition ref="A2:A111"/>
    <sortCondition ref="B2:B111"/>
    <sortCondition ref="C2:C111"/>
    <sortCondition ref="D2:D111"/>
  </sortState>
  <pageMargins left="0.7" right="0.7" top="0.75" bottom="0.75" header="0.3" footer="0.3"/>
  <pageSetup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A03A-4E38-4C6A-8AF9-328AD0E8AD13}">
  <dimension ref="A1:M69"/>
  <sheetViews>
    <sheetView topLeftCell="B53" workbookViewId="0">
      <selection activeCell="F68" sqref="F68"/>
    </sheetView>
  </sheetViews>
  <sheetFormatPr defaultColWidth="8.7109375" defaultRowHeight="18.600000000000001"/>
  <cols>
    <col min="1" max="1" width="37" style="67" customWidth="1"/>
    <col min="2" max="3" width="20.85546875" style="67" customWidth="1"/>
    <col min="4" max="4" width="37.85546875" style="67" customWidth="1"/>
    <col min="5" max="5" width="37.42578125" style="67" customWidth="1"/>
    <col min="6" max="6" width="37.140625" style="67" customWidth="1"/>
    <col min="7" max="7" width="35.42578125" style="67" customWidth="1"/>
    <col min="8" max="8" width="30" style="67" customWidth="1"/>
    <col min="9" max="9" width="32.28515625" style="67" customWidth="1"/>
    <col min="10" max="10" width="30.28515625" style="67" customWidth="1"/>
    <col min="11" max="11" width="19" style="67" customWidth="1"/>
    <col min="12" max="12" width="12.85546875" style="67" customWidth="1"/>
    <col min="13" max="13" width="4.5703125" style="67" customWidth="1"/>
    <col min="14" max="16384" width="8.7109375" style="67"/>
  </cols>
  <sheetData>
    <row r="1" spans="1:13">
      <c r="A1" s="67" t="s">
        <v>0</v>
      </c>
      <c r="M1" s="68"/>
    </row>
    <row r="2" spans="1:13">
      <c r="A2" s="90" t="s">
        <v>1</v>
      </c>
      <c r="B2" s="67" t="s">
        <v>2</v>
      </c>
      <c r="D2" s="1" t="s">
        <v>3</v>
      </c>
      <c r="E2" s="1" t="s">
        <v>4</v>
      </c>
      <c r="F2" s="60" t="s">
        <v>5</v>
      </c>
      <c r="M2" s="68"/>
    </row>
    <row r="3" spans="1:13">
      <c r="A3" s="91" t="s">
        <v>6</v>
      </c>
      <c r="B3" s="67" t="s">
        <v>2</v>
      </c>
      <c r="D3" s="3" t="s">
        <v>7</v>
      </c>
      <c r="E3" s="3" t="s">
        <v>8</v>
      </c>
      <c r="F3" s="3" t="s">
        <v>9</v>
      </c>
      <c r="M3" s="68"/>
    </row>
    <row r="4" spans="1:13">
      <c r="A4" s="90" t="s">
        <v>10</v>
      </c>
      <c r="B4" s="67" t="s">
        <v>2</v>
      </c>
      <c r="D4" s="3" t="s">
        <v>11</v>
      </c>
      <c r="E4" s="3" t="s">
        <v>12</v>
      </c>
      <c r="F4" s="3" t="s">
        <v>13</v>
      </c>
      <c r="M4" s="68"/>
    </row>
    <row r="5" spans="1:13">
      <c r="A5" s="90" t="s">
        <v>14</v>
      </c>
      <c r="B5" s="67" t="s">
        <v>2</v>
      </c>
      <c r="D5" s="3" t="s">
        <v>15</v>
      </c>
      <c r="E5" s="3" t="s">
        <v>16</v>
      </c>
      <c r="F5" s="3" t="s">
        <v>17</v>
      </c>
      <c r="M5" s="68"/>
    </row>
    <row r="6" spans="1:13">
      <c r="A6" s="90" t="s">
        <v>18</v>
      </c>
      <c r="B6" s="67" t="s">
        <v>2</v>
      </c>
      <c r="D6" s="13"/>
      <c r="E6" s="13"/>
      <c r="F6" s="13"/>
      <c r="M6" s="68"/>
    </row>
    <row r="7" spans="1:13">
      <c r="A7" s="90" t="s">
        <v>19</v>
      </c>
      <c r="B7" s="67" t="s">
        <v>2</v>
      </c>
      <c r="D7" s="34" t="s">
        <v>20</v>
      </c>
      <c r="E7" s="34" t="s">
        <v>21</v>
      </c>
      <c r="F7" s="34" t="s">
        <v>22</v>
      </c>
      <c r="M7" s="68"/>
    </row>
    <row r="8" spans="1:13">
      <c r="A8" s="90" t="s">
        <v>23</v>
      </c>
      <c r="B8" s="67" t="s">
        <v>2</v>
      </c>
      <c r="D8" s="29" t="s">
        <v>24</v>
      </c>
      <c r="E8" s="29" t="s">
        <v>25</v>
      </c>
      <c r="F8" s="29" t="s">
        <v>26</v>
      </c>
      <c r="M8" s="68"/>
    </row>
    <row r="9" spans="1:13">
      <c r="A9" s="90" t="s">
        <v>27</v>
      </c>
      <c r="B9" s="67" t="s">
        <v>2</v>
      </c>
      <c r="D9" s="29" t="s">
        <v>28</v>
      </c>
      <c r="E9" s="29" t="s">
        <v>29</v>
      </c>
      <c r="F9" s="29" t="s">
        <v>30</v>
      </c>
      <c r="M9" s="68"/>
    </row>
    <row r="10" spans="1:13">
      <c r="A10" s="90" t="s">
        <v>31</v>
      </c>
      <c r="B10" s="67" t="s">
        <v>2</v>
      </c>
      <c r="C10" s="67">
        <v>9</v>
      </c>
      <c r="D10" s="29" t="s">
        <v>32</v>
      </c>
      <c r="E10" s="29" t="s">
        <v>33</v>
      </c>
      <c r="F10" s="29" t="s">
        <v>34</v>
      </c>
      <c r="M10" s="68"/>
    </row>
    <row r="11" spans="1:13" ht="18.95" thickBo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1:13" ht="18.95" thickBot="1">
      <c r="A12" s="87" t="s">
        <v>35</v>
      </c>
      <c r="B12" s="67" t="s">
        <v>36</v>
      </c>
      <c r="D12" s="1" t="s">
        <v>3</v>
      </c>
      <c r="E12" s="1" t="s">
        <v>4</v>
      </c>
      <c r="F12" s="1" t="s">
        <v>5</v>
      </c>
      <c r="G12" s="1" t="s">
        <v>20</v>
      </c>
      <c r="H12" s="1" t="s">
        <v>21</v>
      </c>
      <c r="I12" s="41" t="s">
        <v>22</v>
      </c>
      <c r="M12" s="68"/>
    </row>
    <row r="13" spans="1:13" ht="18.95" thickBot="1">
      <c r="A13" s="89" t="s">
        <v>37</v>
      </c>
      <c r="B13" s="67" t="s">
        <v>36</v>
      </c>
      <c r="D13" s="10">
        <v>1</v>
      </c>
      <c r="E13" s="10">
        <v>4</v>
      </c>
      <c r="F13" s="10">
        <v>5</v>
      </c>
      <c r="G13" s="10">
        <v>2</v>
      </c>
      <c r="H13" s="10">
        <v>3</v>
      </c>
      <c r="I13" s="10">
        <v>6</v>
      </c>
      <c r="M13" s="68"/>
    </row>
    <row r="14" spans="1:13" ht="18.95" thickBot="1">
      <c r="A14" s="88" t="s">
        <v>38</v>
      </c>
      <c r="B14" s="67" t="s">
        <v>36</v>
      </c>
      <c r="D14" s="10">
        <v>12</v>
      </c>
      <c r="E14" s="10">
        <v>9</v>
      </c>
      <c r="F14" s="10">
        <v>8</v>
      </c>
      <c r="G14" s="10">
        <v>11</v>
      </c>
      <c r="H14" s="10">
        <v>10</v>
      </c>
      <c r="I14" s="10">
        <v>7</v>
      </c>
      <c r="M14" s="68"/>
    </row>
    <row r="15" spans="1:13" ht="18.95" thickBot="1">
      <c r="A15" s="88" t="s">
        <v>39</v>
      </c>
      <c r="B15" s="67" t="s">
        <v>36</v>
      </c>
      <c r="D15" s="10">
        <v>13</v>
      </c>
      <c r="E15" s="10">
        <v>16</v>
      </c>
      <c r="F15" s="10">
        <v>17</v>
      </c>
      <c r="G15" s="10">
        <v>14</v>
      </c>
      <c r="H15" s="10">
        <v>15</v>
      </c>
      <c r="I15" s="10">
        <v>18</v>
      </c>
      <c r="M15" s="68"/>
    </row>
    <row r="16" spans="1:13" ht="18.95" thickBot="1">
      <c r="A16" s="88" t="s">
        <v>40</v>
      </c>
      <c r="B16" s="67" t="s">
        <v>36</v>
      </c>
      <c r="D16" s="10"/>
      <c r="E16" s="10"/>
      <c r="F16" s="10"/>
      <c r="G16" s="10"/>
      <c r="H16" s="10"/>
      <c r="I16" s="10">
        <v>19</v>
      </c>
      <c r="M16" s="68"/>
    </row>
    <row r="17" spans="1:13" ht="18.95" thickBot="1">
      <c r="A17" s="89" t="s">
        <v>41</v>
      </c>
      <c r="B17" s="67" t="s">
        <v>36</v>
      </c>
      <c r="D17" s="95" t="s">
        <v>3</v>
      </c>
      <c r="E17" s="95" t="s">
        <v>4</v>
      </c>
      <c r="F17" s="96" t="s">
        <v>5</v>
      </c>
      <c r="G17" s="97" t="s">
        <v>20</v>
      </c>
      <c r="H17" s="97" t="s">
        <v>21</v>
      </c>
      <c r="I17" s="97" t="s">
        <v>22</v>
      </c>
      <c r="M17" s="68"/>
    </row>
    <row r="18" spans="1:13" ht="18.95" thickBot="1">
      <c r="A18" s="88" t="s">
        <v>42</v>
      </c>
      <c r="B18" s="67" t="s">
        <v>36</v>
      </c>
      <c r="D18" s="44" t="s">
        <v>43</v>
      </c>
      <c r="E18" s="44" t="s">
        <v>44</v>
      </c>
      <c r="F18" s="44" t="s">
        <v>45</v>
      </c>
      <c r="G18" s="43" t="s">
        <v>46</v>
      </c>
      <c r="H18" s="43" t="s">
        <v>47</v>
      </c>
      <c r="I18" s="43" t="s">
        <v>48</v>
      </c>
      <c r="M18" s="68"/>
    </row>
    <row r="19" spans="1:13" ht="18.95" thickBot="1">
      <c r="A19" s="89" t="s">
        <v>49</v>
      </c>
      <c r="B19" s="67" t="s">
        <v>36</v>
      </c>
      <c r="D19" s="44" t="s">
        <v>50</v>
      </c>
      <c r="E19" s="44" t="s">
        <v>51</v>
      </c>
      <c r="F19" s="44" t="s">
        <v>52</v>
      </c>
      <c r="G19" s="43" t="s">
        <v>53</v>
      </c>
      <c r="H19" s="43" t="s">
        <v>54</v>
      </c>
      <c r="I19" s="43" t="s">
        <v>55</v>
      </c>
      <c r="M19" s="68"/>
    </row>
    <row r="20" spans="1:13" ht="18.95" thickBot="1">
      <c r="A20" s="89" t="s">
        <v>56</v>
      </c>
      <c r="B20" s="67" t="s">
        <v>36</v>
      </c>
      <c r="D20" s="44" t="s">
        <v>57</v>
      </c>
      <c r="E20" s="44" t="s">
        <v>58</v>
      </c>
      <c r="F20" s="44" t="s">
        <v>59</v>
      </c>
      <c r="G20" s="43" t="s">
        <v>60</v>
      </c>
      <c r="H20" s="43" t="s">
        <v>61</v>
      </c>
      <c r="I20" s="43" t="s">
        <v>62</v>
      </c>
      <c r="M20" s="68"/>
    </row>
    <row r="21" spans="1:13" ht="18.95" thickBot="1">
      <c r="A21" s="89" t="s">
        <v>63</v>
      </c>
      <c r="B21" s="67" t="s">
        <v>36</v>
      </c>
      <c r="D21" s="10" t="s">
        <v>64</v>
      </c>
      <c r="E21" s="10" t="s">
        <v>64</v>
      </c>
      <c r="F21" s="10" t="s">
        <v>64</v>
      </c>
      <c r="G21" s="10" t="s">
        <v>64</v>
      </c>
      <c r="H21" s="10" t="s">
        <v>64</v>
      </c>
      <c r="I21" s="43" t="s">
        <v>65</v>
      </c>
      <c r="M21" s="68"/>
    </row>
    <row r="22" spans="1:13" ht="18.95" thickBot="1">
      <c r="A22" s="89" t="s">
        <v>66</v>
      </c>
      <c r="B22" s="67" t="s">
        <v>36</v>
      </c>
      <c r="D22" s="10"/>
      <c r="E22" s="10"/>
      <c r="F22" s="10"/>
      <c r="G22" s="10"/>
      <c r="H22" s="10"/>
      <c r="I22" s="10"/>
      <c r="M22" s="68"/>
    </row>
    <row r="23" spans="1:13" ht="18.95" thickBot="1">
      <c r="A23" s="89" t="s">
        <v>67</v>
      </c>
      <c r="B23" s="67" t="s">
        <v>36</v>
      </c>
      <c r="D23" s="95" t="s">
        <v>68</v>
      </c>
      <c r="E23" s="95" t="s">
        <v>69</v>
      </c>
      <c r="F23" s="95" t="s">
        <v>70</v>
      </c>
      <c r="G23" s="98" t="s">
        <v>71</v>
      </c>
      <c r="H23" s="98" t="s">
        <v>72</v>
      </c>
      <c r="I23" s="98" t="s">
        <v>73</v>
      </c>
      <c r="M23" s="68"/>
    </row>
    <row r="24" spans="1:13" ht="18.95" thickBot="1">
      <c r="A24" s="88" t="s">
        <v>74</v>
      </c>
      <c r="B24" s="67" t="s">
        <v>36</v>
      </c>
      <c r="D24" s="42" t="s">
        <v>75</v>
      </c>
      <c r="E24" s="42" t="s">
        <v>76</v>
      </c>
      <c r="F24" s="42" t="s">
        <v>77</v>
      </c>
      <c r="G24" s="45" t="s">
        <v>78</v>
      </c>
      <c r="H24" s="45" t="s">
        <v>79</v>
      </c>
      <c r="I24" s="45" t="s">
        <v>80</v>
      </c>
      <c r="M24" s="68"/>
    </row>
    <row r="25" spans="1:13" ht="18.95" thickBot="1">
      <c r="A25" s="88" t="s">
        <v>81</v>
      </c>
      <c r="B25" s="67" t="s">
        <v>36</v>
      </c>
      <c r="D25" s="42" t="s">
        <v>82</v>
      </c>
      <c r="E25" s="42" t="s">
        <v>83</v>
      </c>
      <c r="F25" s="42" t="s">
        <v>84</v>
      </c>
      <c r="G25" s="45" t="s">
        <v>85</v>
      </c>
      <c r="H25" s="45" t="s">
        <v>86</v>
      </c>
      <c r="I25" s="45" t="s">
        <v>87</v>
      </c>
      <c r="M25" s="68"/>
    </row>
    <row r="26" spans="1:13" ht="18.95" thickBot="1">
      <c r="A26" s="89" t="s">
        <v>88</v>
      </c>
      <c r="B26" s="67" t="s">
        <v>36</v>
      </c>
      <c r="D26" s="42" t="s">
        <v>89</v>
      </c>
      <c r="E26" s="42" t="str">
        <f>IF(I53="","H3(1stF)-",IF(I53&gt;K54,_xlfn.CONCAT("H3(1stF)-",RIGHT(H53,LEN(H53) - FIND("-",H53))), _xlfn.CONCAT("H3(1stF)-",RIGHT(J54,LEN(J54) - FIND("-",J54)))))</f>
        <v>H3(1stF)-</v>
      </c>
      <c r="F26" s="42" t="s">
        <v>90</v>
      </c>
      <c r="G26" s="45" t="e">
        <f>IF(I53="","J3(2ndF)-",IF(I53&lt;K54,_xlfn.CONCAT("J3(2ndF)-",RIGHT(H53,LEN(H53) - FIND("-",H53))), _xlfn.CONCAT("J3(2ndF)-",RIGHT(J54,LEN(J54) - FIND("-",J54)))))</f>
        <v>#VALUE!</v>
      </c>
      <c r="H26" s="45" t="s">
        <v>91</v>
      </c>
      <c r="I26" s="45" t="e">
        <f>IF(I54="","L3(3rdF)-",IF(I54&gt;K55,_xlfn.CONCAT("L3(3rdF)-",RIGHT(H54,LEN(H54) - FIND("-",H54))), _xlfn.CONCAT("L3(3rdF)-",RIGHT(J55,LEN(J55) - FIND("-",J55)))))</f>
        <v>#VALUE!</v>
      </c>
      <c r="M26" s="68"/>
    </row>
    <row r="27" spans="1:13" ht="18.95" thickBot="1">
      <c r="A27" s="89" t="s">
        <v>92</v>
      </c>
      <c r="B27" s="67" t="s">
        <v>36</v>
      </c>
      <c r="D27" s="10"/>
      <c r="E27" s="10"/>
      <c r="F27" s="10"/>
      <c r="G27" s="10"/>
      <c r="H27" s="10"/>
      <c r="I27" s="45" t="e">
        <f>IF(I54="","L4(4thF)-",IF(I54&lt;K55,_xlfn.CONCAT("L4(4thF)-",RIGHT(H54,LEN(H54) - FIND("-",H54))), _xlfn.CONCAT("L4(4thF)-",RIGHT(J55,LEN(J55) - FIND("-",J55)))))</f>
        <v>#VALUE!</v>
      </c>
      <c r="M27" s="68"/>
    </row>
    <row r="28" spans="1:13" ht="18.95" thickBot="1">
      <c r="A28" s="89" t="s">
        <v>93</v>
      </c>
      <c r="B28" s="67" t="s">
        <v>36</v>
      </c>
      <c r="D28" s="95" t="s">
        <v>94</v>
      </c>
      <c r="E28" s="95" t="s">
        <v>95</v>
      </c>
      <c r="F28" s="95" t="s">
        <v>96</v>
      </c>
      <c r="G28" s="10"/>
      <c r="H28" s="10"/>
      <c r="I28" s="10"/>
      <c r="M28" s="68"/>
    </row>
    <row r="29" spans="1:13" ht="18.95" thickBot="1">
      <c r="A29" s="89" t="s">
        <v>31</v>
      </c>
      <c r="B29" s="67" t="s">
        <v>36</v>
      </c>
      <c r="D29" s="42" t="s">
        <v>97</v>
      </c>
      <c r="E29" s="42" t="s">
        <v>98</v>
      </c>
      <c r="F29" s="42" t="s">
        <v>99</v>
      </c>
      <c r="G29" s="10"/>
      <c r="H29" s="10"/>
      <c r="I29" s="10"/>
      <c r="M29" s="68"/>
    </row>
    <row r="30" spans="1:13" ht="18.95" thickBot="1">
      <c r="A30" s="89" t="s">
        <v>100</v>
      </c>
      <c r="B30" s="67" t="s">
        <v>36</v>
      </c>
      <c r="C30" s="67">
        <v>19</v>
      </c>
      <c r="D30" s="42" t="s">
        <v>101</v>
      </c>
      <c r="E30" s="42" t="s">
        <v>102</v>
      </c>
      <c r="F30" s="42" t="s">
        <v>103</v>
      </c>
      <c r="G30" s="10"/>
      <c r="H30" s="10"/>
      <c r="I30" s="10"/>
      <c r="M30" s="68"/>
    </row>
    <row r="31" spans="1:13" ht="18.95" thickBo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</row>
    <row r="32" spans="1:13" ht="18.95" thickBot="1">
      <c r="A32" s="92" t="s">
        <v>6</v>
      </c>
      <c r="B32" s="67" t="s">
        <v>104</v>
      </c>
      <c r="D32" s="41" t="s">
        <v>3</v>
      </c>
      <c r="M32" s="68"/>
    </row>
    <row r="33" spans="1:13" ht="18.95" thickBot="1">
      <c r="A33" s="88" t="s">
        <v>105</v>
      </c>
      <c r="B33" s="67" t="s">
        <v>104</v>
      </c>
      <c r="D33" s="10" t="s">
        <v>106</v>
      </c>
      <c r="M33" s="68"/>
    </row>
    <row r="34" spans="1:13" ht="18.95" thickBot="1">
      <c r="A34" s="89" t="s">
        <v>66</v>
      </c>
      <c r="B34" s="67" t="s">
        <v>104</v>
      </c>
      <c r="D34" s="10" t="s">
        <v>107</v>
      </c>
      <c r="M34" s="68"/>
    </row>
    <row r="35" spans="1:13" ht="18.95" thickBot="1">
      <c r="A35" s="89" t="s">
        <v>18</v>
      </c>
      <c r="B35" s="67" t="s">
        <v>104</v>
      </c>
      <c r="D35" s="10" t="s">
        <v>15</v>
      </c>
      <c r="M35" s="68"/>
    </row>
    <row r="36" spans="1:13">
      <c r="C36" s="67">
        <v>4</v>
      </c>
      <c r="D36" s="10" t="s">
        <v>108</v>
      </c>
      <c r="M36" s="68"/>
    </row>
    <row r="37" spans="1:13" ht="18.95" thickBo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</row>
    <row r="38" spans="1:13" ht="18.95" thickBot="1">
      <c r="A38" s="87" t="s">
        <v>109</v>
      </c>
      <c r="B38" s="67" t="s">
        <v>110</v>
      </c>
      <c r="D38" s="8" t="s">
        <v>3</v>
      </c>
      <c r="E38" s="8" t="s">
        <v>4</v>
      </c>
      <c r="F38" s="8" t="s">
        <v>5</v>
      </c>
      <c r="G38" s="9" t="s">
        <v>20</v>
      </c>
      <c r="H38" s="9" t="s">
        <v>21</v>
      </c>
      <c r="I38" s="9" t="s">
        <v>22</v>
      </c>
      <c r="J38" s="3"/>
      <c r="K38" s="1"/>
      <c r="L38" s="3"/>
      <c r="M38" s="68"/>
    </row>
    <row r="39" spans="1:13" ht="18.95" thickBot="1">
      <c r="A39" s="88" t="s">
        <v>38</v>
      </c>
      <c r="B39" s="67" t="s">
        <v>110</v>
      </c>
      <c r="D39" s="8">
        <v>1</v>
      </c>
      <c r="E39" s="8">
        <v>4</v>
      </c>
      <c r="F39" s="8">
        <v>5</v>
      </c>
      <c r="G39" s="9">
        <v>2</v>
      </c>
      <c r="H39" s="9">
        <v>3</v>
      </c>
      <c r="I39" s="9">
        <v>6</v>
      </c>
      <c r="J39" s="3"/>
      <c r="K39" s="3"/>
      <c r="L39" s="3"/>
      <c r="M39" s="68"/>
    </row>
    <row r="40" spans="1:13" ht="18.95" thickBot="1">
      <c r="A40" s="88" t="s">
        <v>39</v>
      </c>
      <c r="B40" s="67" t="s">
        <v>110</v>
      </c>
      <c r="D40" s="8">
        <v>12</v>
      </c>
      <c r="E40" s="8">
        <v>9</v>
      </c>
      <c r="F40" s="8">
        <v>8</v>
      </c>
      <c r="G40" s="9">
        <v>11</v>
      </c>
      <c r="H40" s="9">
        <v>10</v>
      </c>
      <c r="I40" s="9">
        <v>7</v>
      </c>
      <c r="J40" s="3"/>
      <c r="K40" s="3"/>
      <c r="L40" s="3"/>
      <c r="M40" s="68"/>
    </row>
    <row r="41" spans="1:13" ht="18.95" thickBot="1">
      <c r="A41" s="88" t="s">
        <v>40</v>
      </c>
      <c r="B41" s="67" t="s">
        <v>110</v>
      </c>
      <c r="D41" s="8">
        <v>13</v>
      </c>
      <c r="E41" s="8">
        <v>16</v>
      </c>
      <c r="F41" s="8">
        <v>17</v>
      </c>
      <c r="G41" s="9">
        <v>14</v>
      </c>
      <c r="H41" s="9">
        <v>15</v>
      </c>
      <c r="I41" s="9">
        <v>18</v>
      </c>
      <c r="J41" s="3"/>
      <c r="K41" s="3"/>
      <c r="L41" s="3"/>
      <c r="M41" s="68"/>
    </row>
    <row r="42" spans="1:13" ht="18.95" thickBot="1">
      <c r="A42" s="89" t="s">
        <v>41</v>
      </c>
      <c r="B42" s="67" t="s">
        <v>110</v>
      </c>
      <c r="D42" s="10"/>
      <c r="E42" s="8">
        <v>21</v>
      </c>
      <c r="F42" s="8">
        <v>20</v>
      </c>
      <c r="G42" s="9">
        <v>23</v>
      </c>
      <c r="H42" s="9">
        <v>22</v>
      </c>
      <c r="I42" s="9">
        <v>19</v>
      </c>
      <c r="J42" s="3"/>
      <c r="K42" s="3"/>
      <c r="L42" s="3"/>
      <c r="M42" s="68"/>
    </row>
    <row r="43" spans="1:13" ht="18.95" thickBot="1">
      <c r="A43" s="88" t="s">
        <v>42</v>
      </c>
      <c r="B43" s="67" t="s">
        <v>110</v>
      </c>
      <c r="D43" s="3"/>
      <c r="E43" s="3"/>
      <c r="F43" s="3"/>
      <c r="G43" s="3"/>
      <c r="H43" s="3"/>
      <c r="I43" s="3"/>
      <c r="J43" s="3"/>
      <c r="K43" s="3"/>
      <c r="L43" s="3"/>
      <c r="M43" s="68"/>
    </row>
    <row r="44" spans="1:13" ht="18.95" thickBot="1">
      <c r="A44" s="88" t="s">
        <v>111</v>
      </c>
      <c r="B44" s="67" t="s">
        <v>110</v>
      </c>
      <c r="D44" s="93" t="s">
        <v>3</v>
      </c>
      <c r="E44" s="93" t="s">
        <v>4</v>
      </c>
      <c r="F44" s="93" t="s">
        <v>5</v>
      </c>
      <c r="G44" s="94" t="s">
        <v>20</v>
      </c>
      <c r="H44" s="94" t="s">
        <v>21</v>
      </c>
      <c r="I44" s="94" t="s">
        <v>22</v>
      </c>
      <c r="J44" s="3"/>
      <c r="K44" s="3"/>
      <c r="L44" s="3"/>
      <c r="M44" s="68"/>
    </row>
    <row r="45" spans="1:13" ht="18.95" thickBot="1">
      <c r="A45" s="89" t="s">
        <v>49</v>
      </c>
      <c r="B45" s="67" t="s">
        <v>110</v>
      </c>
      <c r="D45" s="11" t="s">
        <v>112</v>
      </c>
      <c r="E45" s="11" t="s">
        <v>113</v>
      </c>
      <c r="F45" s="11" t="s">
        <v>114</v>
      </c>
      <c r="G45" s="12" t="s">
        <v>115</v>
      </c>
      <c r="H45" s="12" t="s">
        <v>116</v>
      </c>
      <c r="I45" s="12" t="s">
        <v>117</v>
      </c>
      <c r="J45" s="3"/>
      <c r="K45" s="3"/>
      <c r="L45" s="3"/>
      <c r="M45" s="68"/>
    </row>
    <row r="46" spans="1:13" ht="18.95" thickBot="1">
      <c r="A46" s="89" t="s">
        <v>118</v>
      </c>
      <c r="B46" s="67" t="s">
        <v>110</v>
      </c>
      <c r="D46" s="11" t="s">
        <v>119</v>
      </c>
      <c r="E46" s="11" t="s">
        <v>120</v>
      </c>
      <c r="F46" s="11" t="s">
        <v>121</v>
      </c>
      <c r="G46" s="12" t="s">
        <v>122</v>
      </c>
      <c r="H46" s="12" t="s">
        <v>123</v>
      </c>
      <c r="I46" s="12" t="s">
        <v>124</v>
      </c>
      <c r="J46" s="3"/>
      <c r="K46" s="3"/>
      <c r="L46" s="3"/>
      <c r="M46" s="68"/>
    </row>
    <row r="47" spans="1:13" ht="18.95" thickBot="1">
      <c r="A47" s="89" t="s">
        <v>125</v>
      </c>
      <c r="B47" s="67" t="s">
        <v>110</v>
      </c>
      <c r="D47" s="11" t="s">
        <v>126</v>
      </c>
      <c r="E47" s="11" t="s">
        <v>127</v>
      </c>
      <c r="F47" s="11" t="s">
        <v>128</v>
      </c>
      <c r="G47" s="12" t="s">
        <v>129</v>
      </c>
      <c r="H47" s="12" t="s">
        <v>130</v>
      </c>
      <c r="I47" s="12" t="s">
        <v>131</v>
      </c>
      <c r="J47" s="3"/>
      <c r="K47" s="3"/>
      <c r="L47" s="3"/>
      <c r="M47" s="68"/>
    </row>
    <row r="48" spans="1:13" ht="18.95" thickBot="1">
      <c r="A48" s="89" t="s">
        <v>132</v>
      </c>
      <c r="B48" s="67" t="s">
        <v>110</v>
      </c>
      <c r="D48" s="11" t="s">
        <v>133</v>
      </c>
      <c r="E48" s="11" t="s">
        <v>134</v>
      </c>
      <c r="F48" s="11" t="s">
        <v>135</v>
      </c>
      <c r="G48" s="9" t="s">
        <v>136</v>
      </c>
      <c r="H48" s="12" t="s">
        <v>137</v>
      </c>
      <c r="I48" s="12" t="s">
        <v>138</v>
      </c>
      <c r="J48" s="3"/>
      <c r="K48" s="3"/>
      <c r="L48" s="3"/>
      <c r="M48" s="68"/>
    </row>
    <row r="49" spans="1:13" ht="18.95" thickBot="1">
      <c r="A49" s="89" t="s">
        <v>63</v>
      </c>
      <c r="B49" s="67" t="s">
        <v>110</v>
      </c>
      <c r="D49" s="3"/>
      <c r="E49" s="10"/>
      <c r="F49" s="10"/>
      <c r="G49" s="10"/>
      <c r="H49" s="10"/>
      <c r="I49" s="10"/>
      <c r="J49" s="3"/>
      <c r="K49" s="13"/>
      <c r="L49" s="13"/>
      <c r="M49" s="68"/>
    </row>
    <row r="50" spans="1:13" ht="18.95" thickBot="1">
      <c r="A50" s="89" t="s">
        <v>139</v>
      </c>
      <c r="B50" s="67" t="s">
        <v>110</v>
      </c>
      <c r="D50" s="1" t="s">
        <v>68</v>
      </c>
      <c r="E50" s="1" t="s">
        <v>69</v>
      </c>
      <c r="F50" s="1" t="s">
        <v>70</v>
      </c>
      <c r="G50" s="1" t="s">
        <v>71</v>
      </c>
      <c r="H50" s="1" t="s">
        <v>72</v>
      </c>
      <c r="I50" s="1" t="s">
        <v>140</v>
      </c>
      <c r="J50" s="1" t="s">
        <v>141</v>
      </c>
      <c r="K50" s="1" t="s">
        <v>142</v>
      </c>
      <c r="L50" s="13"/>
      <c r="M50" s="68"/>
    </row>
    <row r="51" spans="1:13" ht="18.95" thickBot="1">
      <c r="A51" s="89" t="s">
        <v>143</v>
      </c>
      <c r="B51" s="67" t="s">
        <v>110</v>
      </c>
      <c r="D51" s="3" t="s">
        <v>75</v>
      </c>
      <c r="E51" s="3" t="s">
        <v>76</v>
      </c>
      <c r="F51" s="3" t="s">
        <v>77</v>
      </c>
      <c r="G51" s="3" t="s">
        <v>78</v>
      </c>
      <c r="H51" s="3" t="s">
        <v>79</v>
      </c>
      <c r="I51" s="3" t="s">
        <v>80</v>
      </c>
      <c r="J51" s="3" t="s">
        <v>144</v>
      </c>
      <c r="K51" s="13" t="s">
        <v>145</v>
      </c>
      <c r="L51" s="13"/>
      <c r="M51" s="68"/>
    </row>
    <row r="52" spans="1:13" ht="18.95" thickBot="1">
      <c r="A52" s="89" t="s">
        <v>67</v>
      </c>
      <c r="B52" s="67" t="s">
        <v>110</v>
      </c>
      <c r="D52" s="3" t="str">
        <f>IF(I69="","G2(1stB)-",IF(I69&gt;K69,_xlfn.CONCAT("G2(1stB)-",RIGHT(H69,LEN(H69) - FIND("-",H69))), _xlfn.CONCAT("G2(1stB)-",RIGHT(J69,LEN(J69) - FIND("-",J69)))))</f>
        <v>G2(1stB)-</v>
      </c>
      <c r="E52" s="3" t="str">
        <f>IF(I85="","H2(1stE)-",IF(I85&gt;K85,_xlfn.CONCAT("H2(1stE)-",RIGHT(H85,LEN(H85) - FIND("-",H85))), _xlfn.CONCAT("H2(1stE)-",RIGHT(J85,LEN(J85) - FIND("-",J85)))))</f>
        <v>H2(1stE)-</v>
      </c>
      <c r="F52" s="3" t="str">
        <f>IF(I69="","I2(2ndB)-",IF(I69&lt;K69,_xlfn.CONCAT("I2(2ndB)-",RIGHT(H69,LEN(H69) - FIND("-",H69))), _xlfn.CONCAT("I2(2ndB)-",RIGHT(J69,LEN(J69) - FIND("-",J69)))))</f>
        <v>I2(2ndB)-</v>
      </c>
      <c r="G52" s="3" t="str">
        <f>IF(I85="","J2(2ndE)-",IF(I85&lt;K85,_xlfn.CONCAT("J2(2ndE-",RIGHT(H85,LEN(H85) - FIND("-",H85))), _xlfn.CONCAT("J2(2ndE-",RIGHT(J85,LEN(J85) - FIND("-",J85)))))</f>
        <v>J2(2ndE)-</v>
      </c>
      <c r="H52" s="3" t="str">
        <f>IF(I68="","K2(3rdB)-",IF(I68&gt;K68,_xlfn.CONCAT("K2(3rdB)-",RIGHT(H68,LEN(H68) - FIND("-",H68))), _xlfn.CONCAT("K2(3rdB)-",RIGHT(J68,LEN(J68) - FIND("-",J68)))))</f>
        <v>K2(3rdB)-</v>
      </c>
      <c r="I52" s="3" t="str">
        <f>IF(I84="","L2(3rdE)-",IF(I84&gt;K84,_xlfn.CONCAT("L2(3rdE)-",RIGHT(H84,LEN(H84) - FIND("-",H84))), _xlfn.CONCAT("L2(3rdE)-",RIGHT(J84,LEN(J84) - FIND("-",J84)))))</f>
        <v>L2(3rdE)-</v>
      </c>
      <c r="J52" s="3" t="s">
        <v>146</v>
      </c>
      <c r="K52" s="13" t="s">
        <v>147</v>
      </c>
      <c r="L52" s="13"/>
      <c r="M52" s="68"/>
    </row>
    <row r="53" spans="1:13" ht="18.95" thickBot="1">
      <c r="A53" s="89" t="s">
        <v>74</v>
      </c>
      <c r="B53" s="67" t="s">
        <v>110</v>
      </c>
      <c r="D53" s="3" t="str">
        <f>IF(I72="","G3(1stC)-",IF(I72&gt;K72,_xlfn.CONCAT("G2(1stC)-",RIGHT(H72,LEN(H72) - FIND("-",H72))), _xlfn.CONCAT("G2(1stC)-",RIGHT(J72,LEN(J72) - FIND("-",J72)))))</f>
        <v>G3(1stC)-</v>
      </c>
      <c r="E53" s="3" t="str">
        <f>IF(I87="","H3(1stF)-",IF(I87&gt;K87,_xlfn.CONCAT("H3(1stF)-",RIGHT(H87,LEN(H87) - FIND("-",H87))), _xlfn.CONCAT("H3(1stF)-",RIGHT(J87,LEN(J87) - FIND("-",J87)))))</f>
        <v>H3(1stF)-</v>
      </c>
      <c r="F53" s="3" t="str">
        <f>IF(I72="","I3(2ndC)-",IF(I72&lt;K72,_xlfn.CONCAT("I3(2ndC)-",RIGHT(H72,LEN(H72) - FIND("-",H72))), _xlfn.CONCAT("I3(2ndC)-",RIGHT(J72,LEN(J72) - FIND("-",J72)))))</f>
        <v>I3(2ndC)-</v>
      </c>
      <c r="G53" s="3" t="str">
        <f>IF(I87="","J3(2ndF)-",IF(I87&lt;K87,_xlfn.CONCAT("J3(2ndF)-",RIGHT(H87,LEN(H87) - FIND("-",H87))), _xlfn.CONCAT("J3(2ndF)-",RIGHT(J87,LEN(J87) - FIND("-",J87)))))</f>
        <v>J3(2ndF)-</v>
      </c>
      <c r="H53" s="3" t="str">
        <f>IF(I71="","K3(3rdC)-",IF(I71&gt;K71,_xlfn.CONCAT("K3(3rdC)-",RIGHT(H71,LEN(H71) - FIND("-",H71))), _xlfn.CONCAT("K3(3rdC)-",RIGHT(J71,LEN(J71) - FIND("-",J71)))))</f>
        <v>K3(3rdC)-</v>
      </c>
      <c r="I53" s="3" t="str">
        <f>IF(I86="","L3(3rdF)-",IF(I86&gt;K86,_xlfn.CONCAT("L3(3rdF)-",RIGHT(H86,LEN(H86) - FIND("-",H86))), _xlfn.CONCAT("L3(3rdF)-",RIGHT(J86,LEN(J86) - FIND("-",J86)))))</f>
        <v>L3(3rdF)-</v>
      </c>
      <c r="J53" s="3" t="s">
        <v>148</v>
      </c>
      <c r="K53" s="13" t="s">
        <v>149</v>
      </c>
      <c r="L53" s="13"/>
      <c r="M53" s="68"/>
    </row>
    <row r="54" spans="1:13" ht="18.95" thickBot="1">
      <c r="A54" s="88" t="s">
        <v>81</v>
      </c>
      <c r="B54" s="67" t="s">
        <v>110</v>
      </c>
      <c r="D54" s="3" t="s">
        <v>150</v>
      </c>
      <c r="E54" s="3" t="s">
        <v>150</v>
      </c>
      <c r="F54" s="3" t="s">
        <v>150</v>
      </c>
      <c r="G54" s="3" t="s">
        <v>150</v>
      </c>
      <c r="H54" s="3" t="s">
        <v>150</v>
      </c>
      <c r="I54" s="3" t="s">
        <v>150</v>
      </c>
      <c r="J54" s="3"/>
      <c r="K54" s="13"/>
      <c r="L54" s="13"/>
      <c r="M54" s="68"/>
    </row>
    <row r="55" spans="1:13" ht="18.95" thickBot="1">
      <c r="A55" s="89" t="s">
        <v>88</v>
      </c>
      <c r="B55" s="67" t="s">
        <v>110</v>
      </c>
      <c r="D55" s="3"/>
      <c r="E55" s="3"/>
      <c r="F55" s="3"/>
      <c r="G55" s="3"/>
      <c r="H55" s="3"/>
      <c r="I55" s="3"/>
      <c r="J55" s="3"/>
      <c r="K55" s="13"/>
      <c r="L55" s="13"/>
      <c r="M55" s="68"/>
    </row>
    <row r="56" spans="1:13" ht="18.95" thickBot="1">
      <c r="A56" s="89" t="s">
        <v>27</v>
      </c>
      <c r="B56" s="67" t="s">
        <v>110</v>
      </c>
      <c r="D56" s="1" t="s">
        <v>94</v>
      </c>
      <c r="E56" s="1" t="s">
        <v>95</v>
      </c>
      <c r="F56" s="1" t="s">
        <v>96</v>
      </c>
      <c r="G56" s="3"/>
      <c r="H56" s="3"/>
      <c r="I56" s="3"/>
      <c r="J56" s="3"/>
      <c r="K56" s="13"/>
      <c r="L56" s="13"/>
      <c r="M56" s="68"/>
    </row>
    <row r="57" spans="1:13" ht="18.95" thickBot="1">
      <c r="A57" s="89" t="s">
        <v>151</v>
      </c>
      <c r="B57" s="67" t="s">
        <v>110</v>
      </c>
      <c r="D57" s="3" t="s">
        <v>97</v>
      </c>
      <c r="E57" s="3" t="s">
        <v>98</v>
      </c>
      <c r="F57" s="3" t="s">
        <v>99</v>
      </c>
      <c r="G57" s="3"/>
      <c r="H57" s="3"/>
      <c r="I57" s="3"/>
      <c r="J57" s="3"/>
      <c r="K57" s="13"/>
      <c r="L57" s="13"/>
      <c r="M57" s="68"/>
    </row>
    <row r="58" spans="1:13" ht="18.95" thickBot="1">
      <c r="A58" s="89" t="s">
        <v>92</v>
      </c>
      <c r="B58" s="67" t="s">
        <v>110</v>
      </c>
      <c r="D58" s="3" t="s">
        <v>101</v>
      </c>
      <c r="E58" s="3" t="s">
        <v>102</v>
      </c>
      <c r="F58" s="3" t="s">
        <v>103</v>
      </c>
      <c r="G58" s="3"/>
      <c r="H58" s="3"/>
      <c r="I58" s="3"/>
      <c r="J58" s="3"/>
      <c r="K58" s="13"/>
      <c r="L58" s="13"/>
      <c r="M58" s="68"/>
    </row>
    <row r="59" spans="1:13" ht="18.95" thickBot="1">
      <c r="A59" s="89" t="s">
        <v>93</v>
      </c>
      <c r="B59" s="67" t="s">
        <v>110</v>
      </c>
      <c r="J59" s="3"/>
      <c r="K59" s="3"/>
      <c r="L59" s="3"/>
      <c r="M59" s="68"/>
    </row>
    <row r="60" spans="1:13" ht="18.95" thickBot="1">
      <c r="A60" s="89" t="s">
        <v>31</v>
      </c>
      <c r="B60" s="67" t="s">
        <v>110</v>
      </c>
      <c r="M60" s="68"/>
    </row>
    <row r="61" spans="1:13" ht="18.95" thickBot="1">
      <c r="A61" s="89" t="s">
        <v>100</v>
      </c>
      <c r="B61" s="67" t="s">
        <v>110</v>
      </c>
      <c r="C61" s="67">
        <v>24</v>
      </c>
      <c r="M61" s="68"/>
    </row>
    <row r="62" spans="1:13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spans="1:13">
      <c r="D63" s="67" t="s">
        <v>152</v>
      </c>
      <c r="E63" s="67" t="s">
        <v>153</v>
      </c>
      <c r="F63" s="67" t="s">
        <v>154</v>
      </c>
    </row>
    <row r="64" spans="1:13">
      <c r="A64" s="67" t="s">
        <v>155</v>
      </c>
      <c r="B64" s="67">
        <v>9</v>
      </c>
      <c r="D64" s="67">
        <v>9</v>
      </c>
      <c r="E64" s="67">
        <v>9</v>
      </c>
      <c r="F64" s="67">
        <f>SUM(D64:E64)</f>
        <v>18</v>
      </c>
    </row>
    <row r="65" spans="1:6">
      <c r="A65" s="67" t="s">
        <v>156</v>
      </c>
      <c r="B65" s="67">
        <v>19</v>
      </c>
      <c r="D65" s="67">
        <v>21</v>
      </c>
      <c r="E65" s="67">
        <v>20</v>
      </c>
      <c r="F65" s="67">
        <f>SUM(D65:E65)</f>
        <v>41</v>
      </c>
    </row>
    <row r="66" spans="1:6">
      <c r="A66" s="67" t="s">
        <v>157</v>
      </c>
      <c r="B66" s="67">
        <v>24</v>
      </c>
      <c r="D66" s="67">
        <v>26</v>
      </c>
      <c r="E66" s="67">
        <v>25</v>
      </c>
      <c r="F66" s="67">
        <f>SUM(D66:E66)</f>
        <v>51</v>
      </c>
    </row>
    <row r="68" spans="1:6">
      <c r="D68" s="67">
        <f>SUM(D64:D67)</f>
        <v>56</v>
      </c>
      <c r="E68" s="67">
        <f>SUM(E64:E67)</f>
        <v>54</v>
      </c>
      <c r="F68" s="67">
        <f>SUM(F64:F67)</f>
        <v>110</v>
      </c>
    </row>
    <row r="69" spans="1:6">
      <c r="D69" s="67" t="s">
        <v>158</v>
      </c>
      <c r="E69" s="67" t="s">
        <v>159</v>
      </c>
      <c r="F69" s="67" t="s">
        <v>160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772A-E851-4A80-8AB2-6C6BDC3D8288}">
  <sheetPr>
    <pageSetUpPr fitToPage="1"/>
  </sheetPr>
  <dimension ref="A1:J111"/>
  <sheetViews>
    <sheetView topLeftCell="A49" workbookViewId="0">
      <selection activeCell="E75" sqref="E75"/>
    </sheetView>
  </sheetViews>
  <sheetFormatPr defaultColWidth="8.7109375" defaultRowHeight="18.600000000000001"/>
  <cols>
    <col min="1" max="1" width="11" style="115" customWidth="1"/>
    <col min="2" max="2" width="16.28515625" style="115" customWidth="1"/>
    <col min="3" max="3" width="23.85546875" style="115" customWidth="1"/>
    <col min="4" max="4" width="14.85546875" style="115" customWidth="1"/>
    <col min="5" max="5" width="41.28515625" style="115" customWidth="1"/>
    <col min="6" max="6" width="6.140625" style="115" customWidth="1"/>
    <col min="7" max="7" width="29.7109375" style="115" customWidth="1"/>
    <col min="8" max="8" width="7.5703125" style="115" customWidth="1"/>
    <col min="9" max="9" width="29.140625" style="115" customWidth="1"/>
    <col min="10" max="10" width="26" style="115" customWidth="1"/>
    <col min="11" max="16384" width="8.7109375" style="115"/>
  </cols>
  <sheetData>
    <row r="1" spans="1:10">
      <c r="A1" s="1" t="str">
        <f>'16U BOYS GOLD-9 TEAMS'!A13</f>
        <v>DATE</v>
      </c>
      <c r="B1" s="17" t="str">
        <f>'16U BOYS GOLD-9 TEAMS'!B13</f>
        <v>TIME</v>
      </c>
      <c r="C1" s="1" t="str">
        <f>'16U BOYS GOLD-9 TEAMS'!C13&amp;""</f>
        <v>LOCATION</v>
      </c>
      <c r="D1" s="1" t="str">
        <f>'16U BOYS GOLD-9 TEAMS'!D13&amp;""</f>
        <v>GAME ID</v>
      </c>
      <c r="E1" s="1" t="str">
        <f>'16U BOYS GOLD-9 TEAMS'!E13&amp;""</f>
        <v>WHITE TEAM</v>
      </c>
      <c r="F1" s="1" t="str">
        <f>'16U BOYS GOLD-9 TEAMS'!F13&amp;""</f>
        <v>S</v>
      </c>
      <c r="G1" s="1" t="str">
        <f>'16U BOYS GOLD-9 TEAMS'!G13&amp;""</f>
        <v>DARK TEAM</v>
      </c>
      <c r="H1" s="1" t="str">
        <f>'16U BOYS GOLD-9 TEAMS'!H13&amp;""</f>
        <v>S</v>
      </c>
      <c r="I1" s="1" t="str">
        <f>'16U BOYS GOLD-9 TEAMS'!I13&amp;""</f>
        <v>COMMENTS</v>
      </c>
      <c r="J1" s="1" t="str">
        <f>'16U BOYS GOLD-9 TEAMS'!J13&amp;""</f>
        <v>DIVISION</v>
      </c>
    </row>
    <row r="2" spans="1:10">
      <c r="A2" s="62">
        <f>'16U BOYS GOLD-9 TEAMS'!A14</f>
        <v>45724</v>
      </c>
      <c r="B2" s="63">
        <f>'16U BOYS GOLD-9 TEAMS'!B14</f>
        <v>0.39583333333333331</v>
      </c>
      <c r="C2" s="63" t="str">
        <f>'16U BOYS GOLD-9 TEAMS'!C14&amp;""</f>
        <v>COSTA MESA HS</v>
      </c>
      <c r="D2" s="64" t="str">
        <f>'16U BOYS GOLD-9 TEAMS'!D14&amp;""</f>
        <v>16Bau01</v>
      </c>
      <c r="E2" s="64" t="str">
        <f>'16U BOYS GOLD-9 TEAMS'!E14&amp;""</f>
        <v>A1-SAN FRANCISCO</v>
      </c>
      <c r="F2" s="64" t="str">
        <f>'16U BOYS GOLD-9 TEAMS'!F14&amp;""</f>
        <v>17</v>
      </c>
      <c r="G2" s="64" t="str">
        <f>'16U BOYS GOLD-9 TEAMS'!G14&amp;""</f>
        <v>A3-FOOTHILL BLACK</v>
      </c>
      <c r="H2" s="64" t="str">
        <f>'16U BOYS GOLD-9 TEAMS'!H14&amp;""</f>
        <v>1</v>
      </c>
      <c r="I2" s="64" t="str">
        <f>'16U BOYS GOLD-9 TEAMS'!I14&amp;""</f>
        <v>A bracket A1,A3</v>
      </c>
      <c r="J2" s="64" t="str">
        <f>'16U BOYS GOLD-9 TEAMS'!J14&amp;""</f>
        <v>16U_BOYS_GOLD</v>
      </c>
    </row>
    <row r="3" spans="1:10">
      <c r="A3" s="62">
        <f>'16U BOYS GOLD-9 TEAMS'!A15</f>
        <v>45724</v>
      </c>
      <c r="B3" s="63">
        <f>'16U BOYS GOLD-9 TEAMS'!B15</f>
        <v>0.4375</v>
      </c>
      <c r="C3" s="63" t="str">
        <f>'16U BOYS GOLD-9 TEAMS'!C15&amp;""</f>
        <v>COSTA MESA HS</v>
      </c>
      <c r="D3" s="64" t="str">
        <f>'16U BOYS GOLD-9 TEAMS'!D15&amp;""</f>
        <v>16Bau02</v>
      </c>
      <c r="E3" s="64" t="str">
        <f>'16U BOYS GOLD-9 TEAMS'!E15&amp;""</f>
        <v>B1-LA PREMIER</v>
      </c>
      <c r="F3" s="64" t="str">
        <f>'16U BOYS GOLD-9 TEAMS'!F15&amp;""</f>
        <v>15</v>
      </c>
      <c r="G3" s="64" t="str">
        <f>'16U BOYS GOLD-9 TEAMS'!G15&amp;""</f>
        <v>B3-OCWP RED</v>
      </c>
      <c r="H3" s="64" t="str">
        <f>'16U BOYS GOLD-9 TEAMS'!H15&amp;""</f>
        <v>9</v>
      </c>
      <c r="I3" s="64" t="str">
        <f>'16U BOYS GOLD-9 TEAMS'!I15&amp;""</f>
        <v>B bracket B1,B3</v>
      </c>
      <c r="J3" s="64" t="str">
        <f>'16U BOYS GOLD-9 TEAMS'!J15&amp;""</f>
        <v>16U_BOYS_GOLD</v>
      </c>
    </row>
    <row r="4" spans="1:10">
      <c r="A4" s="62">
        <f>'16U BOYS GOLD-9 TEAMS'!A16</f>
        <v>45724</v>
      </c>
      <c r="B4" s="63">
        <f>'16U BOYS GOLD-9 TEAMS'!B16</f>
        <v>0.47916666666666702</v>
      </c>
      <c r="C4" s="63" t="str">
        <f>'16U BOYS GOLD-9 TEAMS'!C16&amp;""</f>
        <v>COSTA MESA HS</v>
      </c>
      <c r="D4" s="64" t="str">
        <f>'16U BOYS GOLD-9 TEAMS'!D16&amp;""</f>
        <v>16Bau03</v>
      </c>
      <c r="E4" s="64" t="str">
        <f>'16U BOYS GOLD-9 TEAMS'!E16&amp;""</f>
        <v>C1-TROJAN</v>
      </c>
      <c r="F4" s="64" t="str">
        <f>'16U BOYS GOLD-9 TEAMS'!F16&amp;""</f>
        <v>2</v>
      </c>
      <c r="G4" s="64" t="str">
        <f>'16U BOYS GOLD-9 TEAMS'!G16&amp;""</f>
        <v>C2-CC UNITED BLUE</v>
      </c>
      <c r="H4" s="64" t="str">
        <f>'16U BOYS GOLD-9 TEAMS'!H16&amp;""</f>
        <v>9</v>
      </c>
      <c r="I4" s="64" t="str">
        <f>'16U BOYS GOLD-9 TEAMS'!I16&amp;""</f>
        <v>C bracket C1,C2</v>
      </c>
      <c r="J4" s="64" t="str">
        <f>'16U BOYS GOLD-9 TEAMS'!J16&amp;""</f>
        <v>16U_BOYS_GOLD</v>
      </c>
    </row>
    <row r="5" spans="1:10">
      <c r="A5" s="62">
        <f>'16U BOYS GOLD-9 TEAMS'!A17</f>
        <v>45724</v>
      </c>
      <c r="B5" s="63">
        <f>'16U BOYS GOLD-9 TEAMS'!B17</f>
        <v>0.52083333333333304</v>
      </c>
      <c r="C5" s="63" t="str">
        <f>'16U BOYS GOLD-9 TEAMS'!C17&amp;""</f>
        <v>COSTA MESA HS</v>
      </c>
      <c r="D5" s="64" t="str">
        <f>'16U BOYS GOLD-9 TEAMS'!D17&amp;""</f>
        <v>16Bau04</v>
      </c>
      <c r="E5" s="64" t="str">
        <f>'16U BOYS GOLD-9 TEAMS'!E17&amp;""</f>
        <v>A2-MISSION B</v>
      </c>
      <c r="F5" s="64" t="str">
        <f>'16U BOYS GOLD-9 TEAMS'!F17&amp;""</f>
        <v>14</v>
      </c>
      <c r="G5" s="64" t="str">
        <f>'16U BOYS GOLD-9 TEAMS'!G17&amp;""</f>
        <v>A3-FOOTHILL BLACK</v>
      </c>
      <c r="H5" s="64" t="str">
        <f>'16U BOYS GOLD-9 TEAMS'!H17&amp;""</f>
        <v>5</v>
      </c>
      <c r="I5" s="64" t="str">
        <f>'16U BOYS GOLD-9 TEAMS'!I17&amp;""</f>
        <v>A bracket A2,A3</v>
      </c>
      <c r="J5" s="64" t="str">
        <f>'16U BOYS GOLD-9 TEAMS'!J17&amp;""</f>
        <v>16U_BOYS_GOLD</v>
      </c>
    </row>
    <row r="6" spans="1:10">
      <c r="A6" s="62">
        <f>'16U BOYS GOLD-9 TEAMS'!A18</f>
        <v>45724</v>
      </c>
      <c r="B6" s="63">
        <f>'16U BOYS GOLD-9 TEAMS'!B18</f>
        <v>0.5625</v>
      </c>
      <c r="C6" s="63" t="str">
        <f>'16U BOYS GOLD-9 TEAMS'!C18&amp;""</f>
        <v>COSTA MESA HS</v>
      </c>
      <c r="D6" s="64" t="str">
        <f>'16U BOYS GOLD-9 TEAMS'!D18&amp;""</f>
        <v>16Bau05</v>
      </c>
      <c r="E6" s="64" t="str">
        <f>'16U BOYS GOLD-9 TEAMS'!E18&amp;""</f>
        <v>B1-LA PREMIER</v>
      </c>
      <c r="F6" s="64" t="str">
        <f>'16U BOYS GOLD-9 TEAMS'!F18&amp;""</f>
        <v>14</v>
      </c>
      <c r="G6" s="64" t="str">
        <f>'16U BOYS GOLD-9 TEAMS'!G18&amp;""</f>
        <v>B2-PEGASUS WP</v>
      </c>
      <c r="H6" s="64" t="str">
        <f>'16U BOYS GOLD-9 TEAMS'!H18&amp;""</f>
        <v>10</v>
      </c>
      <c r="I6" s="64" t="str">
        <f>'16U BOYS GOLD-9 TEAMS'!I18&amp;""</f>
        <v>B bracket B1,B2</v>
      </c>
      <c r="J6" s="64" t="str">
        <f>'16U BOYS GOLD-9 TEAMS'!J18&amp;""</f>
        <v>16U_BOYS_GOLD</v>
      </c>
    </row>
    <row r="7" spans="1:10">
      <c r="A7" s="62">
        <f>'16U BOYS GOLD-9 TEAMS'!A19</f>
        <v>45724</v>
      </c>
      <c r="B7" s="63">
        <f>'16U BOYS GOLD-9 TEAMS'!B19</f>
        <v>0.60416666666666696</v>
      </c>
      <c r="C7" s="63" t="str">
        <f>'16U BOYS GOLD-9 TEAMS'!C19&amp;""</f>
        <v>COSTA MESA HS</v>
      </c>
      <c r="D7" s="64" t="str">
        <f>'16U BOYS GOLD-9 TEAMS'!D19&amp;""</f>
        <v>16Bau06</v>
      </c>
      <c r="E7" s="64" t="str">
        <f>'16U BOYS GOLD-9 TEAMS'!E19&amp;""</f>
        <v>C2-CC UNITED BLUE</v>
      </c>
      <c r="F7" s="64" t="str">
        <f>'16U BOYS GOLD-9 TEAMS'!F19&amp;""</f>
        <v>10</v>
      </c>
      <c r="G7" s="64" t="str">
        <f>'16U BOYS GOLD-9 TEAMS'!G19&amp;""</f>
        <v>C3-SD SHORES GOLD</v>
      </c>
      <c r="H7" s="64" t="str">
        <f>'16U BOYS GOLD-9 TEAMS'!H19&amp;""</f>
        <v>8</v>
      </c>
      <c r="I7" s="64" t="str">
        <f>'16U BOYS GOLD-9 TEAMS'!I19&amp;""</f>
        <v>C bracket C2,C3</v>
      </c>
      <c r="J7" s="64" t="str">
        <f>'16U BOYS GOLD-9 TEAMS'!J19&amp;""</f>
        <v>16U_BOYS_GOLD</v>
      </c>
    </row>
    <row r="8" spans="1:10">
      <c r="A8" s="62">
        <f>'16U BOYS GOLD-9 TEAMS'!A20</f>
        <v>45724</v>
      </c>
      <c r="B8" s="63">
        <f>'16U BOYS GOLD-9 TEAMS'!B20</f>
        <v>0.64583333333333304</v>
      </c>
      <c r="C8" s="63" t="str">
        <f>'16U BOYS GOLD-9 TEAMS'!C20&amp;""</f>
        <v>COSTA MESA HS</v>
      </c>
      <c r="D8" s="64" t="str">
        <f>'16U BOYS GOLD-9 TEAMS'!D20&amp;""</f>
        <v>16Bau07</v>
      </c>
      <c r="E8" s="64" t="str">
        <f>'16U BOYS GOLD-9 TEAMS'!E20&amp;""</f>
        <v>A1-SAN FRANCISCO</v>
      </c>
      <c r="F8" s="64" t="str">
        <f>'16U BOYS GOLD-9 TEAMS'!F20&amp;""</f>
        <v>12</v>
      </c>
      <c r="G8" s="64" t="str">
        <f>'16U BOYS GOLD-9 TEAMS'!G20&amp;""</f>
        <v>A2-MISSION B</v>
      </c>
      <c r="H8" s="64" t="str">
        <f>'16U BOYS GOLD-9 TEAMS'!H20&amp;""</f>
        <v>6</v>
      </c>
      <c r="I8" s="64" t="str">
        <f>'16U BOYS GOLD-9 TEAMS'!I20&amp;""</f>
        <v>A bracket A1,A2</v>
      </c>
      <c r="J8" s="64" t="str">
        <f>'16U BOYS GOLD-9 TEAMS'!J20&amp;""</f>
        <v>16U_BOYS_GOLD</v>
      </c>
    </row>
    <row r="9" spans="1:10">
      <c r="A9" s="62">
        <f>'16U BOYS GOLD-9 TEAMS'!A21</f>
        <v>45724</v>
      </c>
      <c r="B9" s="63">
        <f>'16U BOYS GOLD-9 TEAMS'!B21</f>
        <v>0.6875</v>
      </c>
      <c r="C9" s="63" t="str">
        <f>'16U BOYS GOLD-9 TEAMS'!C21&amp;""</f>
        <v>COSTA MESA HS</v>
      </c>
      <c r="D9" s="64" t="str">
        <f>'16U BOYS GOLD-9 TEAMS'!D21&amp;""</f>
        <v>16Bau08</v>
      </c>
      <c r="E9" s="64" t="str">
        <f>'16U BOYS GOLD-9 TEAMS'!E21&amp;""</f>
        <v>B2-PEGASUS WP</v>
      </c>
      <c r="F9" s="64" t="str">
        <f>'16U BOYS GOLD-9 TEAMS'!F21&amp;""</f>
        <v>9</v>
      </c>
      <c r="G9" s="64" t="str">
        <f>'16U BOYS GOLD-9 TEAMS'!G21&amp;""</f>
        <v>B3-OCWP RED</v>
      </c>
      <c r="H9" s="64" t="str">
        <f>'16U BOYS GOLD-9 TEAMS'!H21&amp;""</f>
        <v>4</v>
      </c>
      <c r="I9" s="64" t="str">
        <f>'16U BOYS GOLD-9 TEAMS'!I21&amp;""</f>
        <v>B bracket B2,B3</v>
      </c>
      <c r="J9" s="64" t="str">
        <f>'16U BOYS GOLD-9 TEAMS'!J21&amp;""</f>
        <v>16U_BOYS_GOLD</v>
      </c>
    </row>
    <row r="10" spans="1:10">
      <c r="A10" s="62">
        <f>'16U BOYS GOLD-9 TEAMS'!A22</f>
        <v>45724</v>
      </c>
      <c r="B10" s="63">
        <f>'16U BOYS GOLD-9 TEAMS'!B22</f>
        <v>0.72916666666666696</v>
      </c>
      <c r="C10" s="63" t="str">
        <f>'16U BOYS GOLD-9 TEAMS'!C22&amp;""</f>
        <v>COSTA MESA HS</v>
      </c>
      <c r="D10" s="64" t="str">
        <f>'16U BOYS GOLD-9 TEAMS'!D22&amp;""</f>
        <v>16Bau09</v>
      </c>
      <c r="E10" s="64" t="str">
        <f>'16U BOYS GOLD-9 TEAMS'!E22&amp;""</f>
        <v>C1-TROJAN</v>
      </c>
      <c r="F10" s="64" t="str">
        <f>'16U BOYS GOLD-9 TEAMS'!F22&amp;""</f>
        <v>5</v>
      </c>
      <c r="G10" s="64" t="str">
        <f>'16U BOYS GOLD-9 TEAMS'!G22&amp;""</f>
        <v>C3-SD SHORES GOLD</v>
      </c>
      <c r="H10" s="64" t="str">
        <f>'16U BOYS GOLD-9 TEAMS'!H22&amp;""</f>
        <v>10</v>
      </c>
      <c r="I10" s="64" t="str">
        <f>'16U BOYS GOLD-9 TEAMS'!I22&amp;""</f>
        <v>C bracket C1,C3</v>
      </c>
      <c r="J10" s="64" t="str">
        <f>'16U BOYS GOLD-9 TEAMS'!J22&amp;""</f>
        <v>16U_BOYS_GOLD</v>
      </c>
    </row>
    <row r="11" spans="1:10">
      <c r="A11" s="62">
        <f>'16U BOYS GOLD-9 TEAMS'!A26</f>
        <v>45725</v>
      </c>
      <c r="B11" s="63">
        <f>'16U BOYS GOLD-9 TEAMS'!B26</f>
        <v>0.33333333333333331</v>
      </c>
      <c r="C11" s="63" t="str">
        <f>'16U BOYS GOLD-9 TEAMS'!C26&amp;""</f>
        <v>COSTA MESA HS</v>
      </c>
      <c r="D11" s="64" t="str">
        <f>'16U BOYS GOLD-9 TEAMS'!D26&amp;""</f>
        <v>16Bau10</v>
      </c>
      <c r="E11" s="64" t="str">
        <f>'16U BOYS GOLD-9 TEAMS'!E26&amp;""</f>
        <v>D1(3rdA)-FOOTHILL BLACK</v>
      </c>
      <c r="F11" s="64" t="str">
        <f>'16U BOYS GOLD-9 TEAMS'!F26&amp;""</f>
        <v>5</v>
      </c>
      <c r="G11" s="64" t="str">
        <f>'16U BOYS GOLD-9 TEAMS'!G26&amp;""</f>
        <v>D3(3rdC)-TROJAN</v>
      </c>
      <c r="H11" s="64" t="str">
        <f>'16U BOYS GOLD-9 TEAMS'!H26&amp;""</f>
        <v>12</v>
      </c>
      <c r="I11" s="64" t="str">
        <f>'16U BOYS GOLD-9 TEAMS'!I26&amp;""</f>
        <v>D bracket (7th-9th) D1,D3</v>
      </c>
      <c r="J11" s="64" t="str">
        <f>'16U BOYS GOLD-9 TEAMS'!J26&amp;""</f>
        <v>16U_BOYS_GOLD</v>
      </c>
    </row>
    <row r="12" spans="1:10">
      <c r="A12" s="62">
        <f>'16U BOYS GOLD-9 TEAMS'!A27</f>
        <v>45725</v>
      </c>
      <c r="B12" s="63">
        <f>'16U BOYS GOLD-9 TEAMS'!B27</f>
        <v>0.375</v>
      </c>
      <c r="C12" s="63" t="str">
        <f>'16U BOYS GOLD-9 TEAMS'!C27&amp;""</f>
        <v>COSTA MESA HS</v>
      </c>
      <c r="D12" s="64" t="str">
        <f>'16U BOYS GOLD-9 TEAMS'!D27&amp;""</f>
        <v>16Bau12</v>
      </c>
      <c r="E12" s="64" t="str">
        <f>'16U BOYS GOLD-9 TEAMS'!E27&amp;""</f>
        <v>E1(2ndA)-MISSION B</v>
      </c>
      <c r="F12" s="64" t="str">
        <f>'16U BOYS GOLD-9 TEAMS'!F27&amp;""</f>
        <v>10</v>
      </c>
      <c r="G12" s="64" t="str">
        <f>'16U BOYS GOLD-9 TEAMS'!G27&amp;""</f>
        <v>E3(2ndC)-SD SHORES GOLD</v>
      </c>
      <c r="H12" s="64" t="str">
        <f>'16U BOYS GOLD-9 TEAMS'!H27&amp;""</f>
        <v>11</v>
      </c>
      <c r="I12" s="64" t="str">
        <f>'16U BOYS GOLD-9 TEAMS'!I27&amp;""</f>
        <v>E bracket (4th-6th) E1,E3</v>
      </c>
      <c r="J12" s="64" t="str">
        <f>'16U BOYS GOLD-9 TEAMS'!J27&amp;""</f>
        <v>16U_BOYS_GOLD</v>
      </c>
    </row>
    <row r="13" spans="1:10">
      <c r="A13" s="62">
        <f>'16U BOYS GOLD-9 TEAMS'!A28</f>
        <v>45725</v>
      </c>
      <c r="B13" s="63">
        <f>'16U BOYS GOLD-9 TEAMS'!B28</f>
        <v>0.41666666666666702</v>
      </c>
      <c r="C13" s="63" t="str">
        <f>'16U BOYS GOLD-9 TEAMS'!C28&amp;""</f>
        <v>COSTA MESA HS</v>
      </c>
      <c r="D13" s="64" t="str">
        <f>'16U BOYS GOLD-9 TEAMS'!D28&amp;""</f>
        <v>16Bau11</v>
      </c>
      <c r="E13" s="64" t="str">
        <f>'16U BOYS GOLD-9 TEAMS'!E28&amp;""</f>
        <v>F1(1stA)-SAN FRANCISCO</v>
      </c>
      <c r="F13" s="64" t="str">
        <f>'16U BOYS GOLD-9 TEAMS'!F28&amp;""</f>
        <v>4</v>
      </c>
      <c r="G13" s="64" t="str">
        <f>'16U BOYS GOLD-9 TEAMS'!G28&amp;""</f>
        <v>F3(1stC)-CC UNITED BLUE</v>
      </c>
      <c r="H13" s="64" t="str">
        <f>'16U BOYS GOLD-9 TEAMS'!H28&amp;""</f>
        <v>9</v>
      </c>
      <c r="I13" s="64" t="str">
        <f>'16U BOYS GOLD-9 TEAMS'!I28&amp;""</f>
        <v>F bracket (1st-3rd) F1,F3</v>
      </c>
      <c r="J13" s="64" t="str">
        <f>'16U BOYS GOLD-9 TEAMS'!J28&amp;""</f>
        <v>16U_BOYS_GOLD</v>
      </c>
    </row>
    <row r="14" spans="1:10">
      <c r="A14" s="62">
        <f>'16U BOYS GOLD-9 TEAMS'!A29</f>
        <v>45725</v>
      </c>
      <c r="B14" s="63">
        <f>'16U BOYS GOLD-9 TEAMS'!B29</f>
        <v>0.45833333333333298</v>
      </c>
      <c r="C14" s="63" t="str">
        <f>'16U BOYS GOLD-9 TEAMS'!C29&amp;""</f>
        <v>COSTA MESA HS</v>
      </c>
      <c r="D14" s="64" t="str">
        <f>'16U BOYS GOLD-9 TEAMS'!D29&amp;""</f>
        <v>16Bau13</v>
      </c>
      <c r="E14" s="64" t="str">
        <f>'16U BOYS GOLD-9 TEAMS'!E29&amp;""</f>
        <v>D2(3rdB)-OCWP RED</v>
      </c>
      <c r="F14" s="64" t="str">
        <f>'16U BOYS GOLD-9 TEAMS'!F29&amp;""</f>
        <v>7</v>
      </c>
      <c r="G14" s="64" t="str">
        <f>'16U BOYS GOLD-9 TEAMS'!G29&amp;""</f>
        <v>D3(3rdC)-TROJAN</v>
      </c>
      <c r="H14" s="64" t="str">
        <f>'16U BOYS GOLD-9 TEAMS'!H29&amp;""</f>
        <v>2</v>
      </c>
      <c r="I14" s="64" t="str">
        <f>'16U BOYS GOLD-9 TEAMS'!I29&amp;""</f>
        <v>D bracket (7th-9th) D2,D3</v>
      </c>
      <c r="J14" s="64" t="str">
        <f>'16U BOYS GOLD-9 TEAMS'!J29&amp;""</f>
        <v>16U_BOYS_GOLD</v>
      </c>
    </row>
    <row r="15" spans="1:10">
      <c r="A15" s="62">
        <f>'16U BOYS GOLD-9 TEAMS'!A30</f>
        <v>45725</v>
      </c>
      <c r="B15" s="63">
        <f>'16U BOYS GOLD-9 TEAMS'!B30</f>
        <v>0.5</v>
      </c>
      <c r="C15" s="63" t="str">
        <f>'16U BOYS GOLD-9 TEAMS'!C30&amp;""</f>
        <v>COSTA MESA HS</v>
      </c>
      <c r="D15" s="64" t="str">
        <f>'16U BOYS GOLD-9 TEAMS'!D30&amp;""</f>
        <v>16Bau14</v>
      </c>
      <c r="E15" s="64" t="str">
        <f>'16U BOYS GOLD-9 TEAMS'!E30&amp;""</f>
        <v>E2(2ndB)-PEGASUS</v>
      </c>
      <c r="F15" s="64" t="str">
        <f>'16U BOYS GOLD-9 TEAMS'!F30&amp;""</f>
        <v>7</v>
      </c>
      <c r="G15" s="64" t="str">
        <f>'16U BOYS GOLD-9 TEAMS'!G30&amp;""</f>
        <v>E3(2ndC)-SD SHORES GOLD</v>
      </c>
      <c r="H15" s="64" t="str">
        <f>'16U BOYS GOLD-9 TEAMS'!H30&amp;""</f>
        <v>17</v>
      </c>
      <c r="I15" s="64" t="str">
        <f>'16U BOYS GOLD-9 TEAMS'!I30&amp;""</f>
        <v>E bracket (4th-6th) E2,E3</v>
      </c>
      <c r="J15" s="64" t="str">
        <f>'16U BOYS GOLD-9 TEAMS'!J30&amp;""</f>
        <v>16U_BOYS_GOLD</v>
      </c>
    </row>
    <row r="16" spans="1:10">
      <c r="A16" s="62">
        <f>'16U BOYS GOLD-9 TEAMS'!A31</f>
        <v>45725</v>
      </c>
      <c r="B16" s="63">
        <f>'16U BOYS GOLD-9 TEAMS'!B31</f>
        <v>0.54166666666666696</v>
      </c>
      <c r="C16" s="63" t="str">
        <f>'16U BOYS GOLD-9 TEAMS'!C31&amp;""</f>
        <v>COSTA MESA HS</v>
      </c>
      <c r="D16" s="64" t="str">
        <f>'16U BOYS GOLD-9 TEAMS'!D31&amp;""</f>
        <v>16Bau15</v>
      </c>
      <c r="E16" s="64" t="str">
        <f>'16U BOYS GOLD-9 TEAMS'!E31&amp;""</f>
        <v>F2(1stB)-LA PREMIER</v>
      </c>
      <c r="F16" s="64" t="str">
        <f>'16U BOYS GOLD-9 TEAMS'!F31&amp;""</f>
        <v>11</v>
      </c>
      <c r="G16" s="64" t="str">
        <f>'16U BOYS GOLD-9 TEAMS'!G31&amp;""</f>
        <v>F3(1stC)-CC UNITED BLUE</v>
      </c>
      <c r="H16" s="64" t="str">
        <f>'16U BOYS GOLD-9 TEAMS'!H31&amp;""</f>
        <v>6</v>
      </c>
      <c r="I16" s="64" t="str">
        <f>'16U BOYS GOLD-9 TEAMS'!I31&amp;""</f>
        <v>F bracket (1st-3rd) F2,F3</v>
      </c>
      <c r="J16" s="64" t="str">
        <f>'16U BOYS GOLD-9 TEAMS'!J31&amp;""</f>
        <v>16U_BOYS_GOLD</v>
      </c>
    </row>
    <row r="17" spans="1:10">
      <c r="A17" s="62">
        <f>'16U BOYS GOLD-9 TEAMS'!A32</f>
        <v>45725</v>
      </c>
      <c r="B17" s="63">
        <f>'16U BOYS GOLD-9 TEAMS'!B32</f>
        <v>0.58333333333333304</v>
      </c>
      <c r="C17" s="63" t="str">
        <f>'16U BOYS GOLD-9 TEAMS'!C32&amp;""</f>
        <v>COSTA MESA HS</v>
      </c>
      <c r="D17" s="64" t="str">
        <f>'16U BOYS GOLD-9 TEAMS'!D32&amp;""</f>
        <v>16Bau16</v>
      </c>
      <c r="E17" s="64" t="str">
        <f>'16U BOYS GOLD-9 TEAMS'!E32&amp;""</f>
        <v>D1(3rdA)-FOOTHILL BLACK</v>
      </c>
      <c r="F17" s="64" t="str">
        <f>'16U BOYS GOLD-9 TEAMS'!F32&amp;""</f>
        <v>6</v>
      </c>
      <c r="G17" s="64" t="str">
        <f>'16U BOYS GOLD-9 TEAMS'!G32&amp;""</f>
        <v>D2(3rdB)-OCWP RED</v>
      </c>
      <c r="H17" s="64" t="str">
        <f>'16U BOYS GOLD-9 TEAMS'!H32&amp;""</f>
        <v>16</v>
      </c>
      <c r="I17" s="64" t="str">
        <f>'16U BOYS GOLD-9 TEAMS'!I32&amp;""</f>
        <v>D bracket (7th-9th) D1,D2</v>
      </c>
      <c r="J17" s="64" t="str">
        <f>'16U BOYS GOLD-9 TEAMS'!J32&amp;""</f>
        <v>16U_BOYS_GOLD</v>
      </c>
    </row>
    <row r="18" spans="1:10">
      <c r="A18" s="62">
        <f>'16U BOYS GOLD-9 TEAMS'!A33</f>
        <v>45725</v>
      </c>
      <c r="B18" s="63">
        <f>'16U BOYS GOLD-9 TEAMS'!B33</f>
        <v>0.625</v>
      </c>
      <c r="C18" s="63" t="str">
        <f>'16U BOYS GOLD-9 TEAMS'!C33&amp;""</f>
        <v>COSTA MESA HS</v>
      </c>
      <c r="D18" s="64" t="str">
        <f>'16U BOYS GOLD-9 TEAMS'!D33&amp;""</f>
        <v>16Bau17</v>
      </c>
      <c r="E18" s="64" t="str">
        <f>'16U BOYS GOLD-9 TEAMS'!E33&amp;""</f>
        <v>E1(2ndA)-MISSION B</v>
      </c>
      <c r="F18" s="64" t="str">
        <f>'16U BOYS GOLD-9 TEAMS'!F33&amp;""</f>
        <v>12</v>
      </c>
      <c r="G18" s="64" t="str">
        <f>'16U BOYS GOLD-9 TEAMS'!G33&amp;""</f>
        <v>E2(2ndB)-PEGASUS</v>
      </c>
      <c r="H18" s="64" t="str">
        <f>'16U BOYS GOLD-9 TEAMS'!H33&amp;""</f>
        <v>10</v>
      </c>
      <c r="I18" s="64" t="str">
        <f>'16U BOYS GOLD-9 TEAMS'!I33&amp;""</f>
        <v>E bracket (4th-6th) E1,E2</v>
      </c>
      <c r="J18" s="64" t="str">
        <f>'16U BOYS GOLD-9 TEAMS'!J33&amp;""</f>
        <v>16U_BOYS_GOLD</v>
      </c>
    </row>
    <row r="19" spans="1:10">
      <c r="A19" s="62">
        <f>'16U BOYS GOLD-9 TEAMS'!A34</f>
        <v>45725</v>
      </c>
      <c r="B19" s="63">
        <f>'16U BOYS GOLD-9 TEAMS'!B34</f>
        <v>0.66666666666666696</v>
      </c>
      <c r="C19" s="63" t="str">
        <f>'16U BOYS GOLD-9 TEAMS'!C34&amp;""</f>
        <v>COSTA MESA HS</v>
      </c>
      <c r="D19" s="64" t="str">
        <f>'16U BOYS GOLD-9 TEAMS'!D34&amp;""</f>
        <v>16Bau18</v>
      </c>
      <c r="E19" s="64" t="str">
        <f>'16U BOYS GOLD-9 TEAMS'!E34&amp;""</f>
        <v>F1(1stA)-SAN FRANCISCO</v>
      </c>
      <c r="F19" s="64" t="str">
        <f>'16U BOYS GOLD-9 TEAMS'!F34&amp;""</f>
        <v>9</v>
      </c>
      <c r="G19" s="64" t="str">
        <f>'16U BOYS GOLD-9 TEAMS'!G34&amp;""</f>
        <v>F2(1stB)-LA PREMIER</v>
      </c>
      <c r="H19" s="64" t="str">
        <f>'16U BOYS GOLD-9 TEAMS'!H34&amp;""</f>
        <v>15</v>
      </c>
      <c r="I19" s="64" t="str">
        <f>'16U BOYS GOLD-9 TEAMS'!I34&amp;""</f>
        <v>F bracket (1st-3rd) F1,F2</v>
      </c>
      <c r="J19" s="64" t="str">
        <f>'16U BOYS GOLD-9 TEAMS'!J34&amp;""</f>
        <v>16U_BOYS_GOLD</v>
      </c>
    </row>
    <row r="20" spans="1:10">
      <c r="A20" s="18">
        <f>'18U BOYS-24 TEAMS'!A27</f>
        <v>45724</v>
      </c>
      <c r="B20" s="19">
        <f>'18U BOYS-24 TEAMS'!B27</f>
        <v>0.33333333333333331</v>
      </c>
      <c r="C20" s="20" t="str">
        <f>'18U BOYS-24 TEAMS'!C27&amp;""</f>
        <v>EL TORO HS</v>
      </c>
      <c r="D20" s="21" t="str">
        <f>'18U BOYS-24 TEAMS'!D27&amp;""</f>
        <v>18B01</v>
      </c>
      <c r="E20" s="21" t="str">
        <f>'18U BOYS-24 TEAMS'!E27&amp;""</f>
        <v>5-CC UNITED</v>
      </c>
      <c r="F20" s="21" t="str">
        <f>'18U BOYS-24 TEAMS'!F27&amp;""</f>
        <v>12</v>
      </c>
      <c r="G20" s="114" t="str">
        <f>'18U BOYS-24 TEAMS'!G27&amp;""</f>
        <v>20-FOOTHILL RED</v>
      </c>
      <c r="H20" s="8" t="str">
        <f>'18U BOYS-24 TEAMS'!H27&amp;""</f>
        <v>7</v>
      </c>
      <c r="I20" s="8" t="str">
        <f>'18U BOYS-24 TEAMS'!I27&amp;""</f>
        <v>W/L C1/C4</v>
      </c>
      <c r="J20" s="21" t="str">
        <f>'18U BOYS-24 TEAMS'!J27&amp;""</f>
        <v>18U_BOYS</v>
      </c>
    </row>
    <row r="21" spans="1:10">
      <c r="A21" s="18">
        <f>'18U BOYS-24 TEAMS'!A28</f>
        <v>45724</v>
      </c>
      <c r="B21" s="19">
        <f>'18U BOYS-24 TEAMS'!B28</f>
        <v>0.375</v>
      </c>
      <c r="C21" s="20" t="str">
        <f>'18U BOYS-24 TEAMS'!C28&amp;""</f>
        <v>EL TORO HS</v>
      </c>
      <c r="D21" s="21" t="str">
        <f>'18U BOYS-24 TEAMS'!D28&amp;""</f>
        <v>18B03</v>
      </c>
      <c r="E21" s="21" t="str">
        <f>'18U BOYS-24 TEAMS'!E28&amp;""</f>
        <v>8-SD SHORES BLACK</v>
      </c>
      <c r="F21" s="21" t="str">
        <f>'18U BOYS-24 TEAMS'!F28&amp;""</f>
        <v>12</v>
      </c>
      <c r="G21" s="21" t="str">
        <f>'18U BOYS-24 TEAMS'!G28&amp;""</f>
        <v>17-CHAWP</v>
      </c>
      <c r="H21" s="8" t="str">
        <f>'18U BOYS-24 TEAMS'!H28&amp;""</f>
        <v>11</v>
      </c>
      <c r="I21" s="8" t="str">
        <f>'18U BOYS-24 TEAMS'!I28&amp;""</f>
        <v>W/L C2/C3</v>
      </c>
      <c r="J21" s="21" t="str">
        <f>'18U BOYS-24 TEAMS'!J28&amp;""</f>
        <v>18U_BOYS</v>
      </c>
    </row>
    <row r="22" spans="1:10">
      <c r="A22" s="18">
        <f>'18U BOYS-24 TEAMS'!A29</f>
        <v>45724</v>
      </c>
      <c r="B22" s="19">
        <f>'18U BOYS-24 TEAMS'!B29</f>
        <v>0.41666666666666702</v>
      </c>
      <c r="C22" s="20" t="str">
        <f>'18U BOYS-24 TEAMS'!C29&amp;""</f>
        <v>EL TORO HS</v>
      </c>
      <c r="D22" s="21" t="str">
        <f>'18U BOYS-24 TEAMS'!D29&amp;""</f>
        <v>18B05</v>
      </c>
      <c r="E22" s="21" t="str">
        <f>'18U BOYS-24 TEAMS'!E29&amp;""</f>
        <v>1-LAMORINDA</v>
      </c>
      <c r="F22" s="21" t="str">
        <f>'18U BOYS-24 TEAMS'!F29&amp;""</f>
        <v>19</v>
      </c>
      <c r="G22" s="21" t="str">
        <f>'18U BOYS-24 TEAMS'!G29&amp;""</f>
        <v>24-NORTH IRVINE VEGAS</v>
      </c>
      <c r="H22" s="8" t="str">
        <f>'18U BOYS-24 TEAMS'!H29&amp;""</f>
        <v>8</v>
      </c>
      <c r="I22" s="8" t="str">
        <f>'18U BOYS-24 TEAMS'!I29&amp;""</f>
        <v>W/L A1/A4</v>
      </c>
      <c r="J22" s="21" t="str">
        <f>'18U BOYS-24 TEAMS'!J29&amp;""</f>
        <v>18U_BOYS</v>
      </c>
    </row>
    <row r="23" spans="1:10">
      <c r="A23" s="18">
        <f>'18U BOYS-24 TEAMS'!A31</f>
        <v>45724</v>
      </c>
      <c r="B23" s="19">
        <f>'18U BOYS-24 TEAMS'!B31</f>
        <v>0.45833333333333298</v>
      </c>
      <c r="C23" s="20" t="str">
        <f>'18U BOYS-24 TEAMS'!C31&amp;""</f>
        <v>EL TORO HS</v>
      </c>
      <c r="D23" s="21" t="str">
        <f>'18U BOYS-24 TEAMS'!D31&amp;""</f>
        <v>18B07</v>
      </c>
      <c r="E23" s="21" t="str">
        <f>'18U BOYS-24 TEAMS'!E31&amp;""</f>
        <v>12-LA PREMIER</v>
      </c>
      <c r="F23" s="21" t="str">
        <f>'18U BOYS-24 TEAMS'!F31&amp;""</f>
        <v>8</v>
      </c>
      <c r="G23" s="21" t="str">
        <f>'18U BOYS-24 TEAMS'!G31&amp;""</f>
        <v>13-VANGUARD BLUE</v>
      </c>
      <c r="H23" s="8" t="str">
        <f>'18U BOYS-24 TEAMS'!H31&amp;""</f>
        <v>13</v>
      </c>
      <c r="I23" s="8" t="str">
        <f>'18U BOYS-24 TEAMS'!I31&amp;""</f>
        <v>W/L A2/A3</v>
      </c>
      <c r="J23" s="21" t="str">
        <f>'18U BOYS-24 TEAMS'!J31&amp;""</f>
        <v>18U_BOYS</v>
      </c>
    </row>
    <row r="24" spans="1:10">
      <c r="A24" s="18">
        <f>'18U BOYS-24 TEAMS'!A33</f>
        <v>45724</v>
      </c>
      <c r="B24" s="19">
        <f>'18U BOYS-24 TEAMS'!B33</f>
        <v>0.5</v>
      </c>
      <c r="C24" s="20" t="str">
        <f>'18U BOYS-24 TEAMS'!C33&amp;""</f>
        <v>EL TORO HS</v>
      </c>
      <c r="D24" s="21" t="str">
        <f>'18U BOYS-24 TEAMS'!D33&amp;""</f>
        <v>18B13</v>
      </c>
      <c r="E24" s="114" t="str">
        <f>'18U BOYS-24 TEAMS'!E33&amp;""</f>
        <v>L#1-FOOTHILL RED</v>
      </c>
      <c r="F24" s="21" t="str">
        <f>'18U BOYS-24 TEAMS'!F33&amp;""</f>
        <v>6</v>
      </c>
      <c r="G24" s="21" t="str">
        <f>'18U BOYS-24 TEAMS'!G33&amp;""</f>
        <v>L#3-CHAWP</v>
      </c>
      <c r="H24" s="8" t="str">
        <f>'18U BOYS-24 TEAMS'!H33&amp;""</f>
        <v>11</v>
      </c>
      <c r="I24" s="8" t="str">
        <f>'18U BOYS-24 TEAMS'!I33&amp;""</f>
        <v>3rd/4thC</v>
      </c>
      <c r="J24" s="21" t="str">
        <f>'18U BOYS-24 TEAMS'!J33&amp;""</f>
        <v>18U_BOYS</v>
      </c>
    </row>
    <row r="25" spans="1:10">
      <c r="A25" s="18">
        <f>'18U BOYS-24 TEAMS'!A34</f>
        <v>45724</v>
      </c>
      <c r="B25" s="19">
        <f>'18U BOYS-24 TEAMS'!B34</f>
        <v>0.54166666666666696</v>
      </c>
      <c r="C25" s="20" t="str">
        <f>'18U BOYS-24 TEAMS'!C34&amp;""</f>
        <v>EL TORO HS</v>
      </c>
      <c r="D25" s="21" t="str">
        <f>'18U BOYS-24 TEAMS'!D34&amp;""</f>
        <v>18B15</v>
      </c>
      <c r="E25" s="21" t="str">
        <f>'18U BOYS-24 TEAMS'!E34&amp;""</f>
        <v>W#1-CC UNITED</v>
      </c>
      <c r="F25" s="21" t="str">
        <f>'18U BOYS-24 TEAMS'!F34&amp;""</f>
        <v>14</v>
      </c>
      <c r="G25" s="21" t="str">
        <f>'18U BOYS-24 TEAMS'!G34&amp;""</f>
        <v>W#3-SD SHORES BLACK</v>
      </c>
      <c r="H25" s="8" t="str">
        <f>'18U BOYS-24 TEAMS'!H34&amp;""</f>
        <v>12</v>
      </c>
      <c r="I25" s="8" t="str">
        <f>'18U BOYS-24 TEAMS'!I34&amp;""</f>
        <v>1st/2ndC</v>
      </c>
      <c r="J25" s="21" t="str">
        <f>'18U BOYS-24 TEAMS'!J34&amp;""</f>
        <v>18U_BOYS</v>
      </c>
    </row>
    <row r="26" spans="1:10">
      <c r="A26" s="18">
        <f>'18U BOYS-24 TEAMS'!A35</f>
        <v>45724</v>
      </c>
      <c r="B26" s="19">
        <f>'18U BOYS-24 TEAMS'!B35</f>
        <v>0.58333333333333304</v>
      </c>
      <c r="C26" s="20" t="str">
        <f>'18U BOYS-24 TEAMS'!C35&amp;""</f>
        <v>EL TORO HS</v>
      </c>
      <c r="D26" s="21" t="str">
        <f>'18U BOYS-24 TEAMS'!D35&amp;""</f>
        <v>18B17</v>
      </c>
      <c r="E26" s="21" t="str">
        <f>'18U BOYS-24 TEAMS'!E35&amp;""</f>
        <v>L#5-NORTH IRVINE VEGAS</v>
      </c>
      <c r="F26" s="21" t="str">
        <f>'18U BOYS-24 TEAMS'!F35&amp;""</f>
        <v>8</v>
      </c>
      <c r="G26" s="21" t="str">
        <f>'18U BOYS-24 TEAMS'!G35&amp;""</f>
        <v>L#7-LA PREMIER</v>
      </c>
      <c r="H26" s="8" t="str">
        <f>'18U BOYS-24 TEAMS'!H35&amp;""</f>
        <v>9</v>
      </c>
      <c r="I26" s="8" t="str">
        <f>'18U BOYS-24 TEAMS'!I35&amp;""</f>
        <v>3rd/4thA</v>
      </c>
      <c r="J26" s="21" t="str">
        <f>'18U BOYS-24 TEAMS'!J35&amp;""</f>
        <v>18U_BOYS</v>
      </c>
    </row>
    <row r="27" spans="1:10">
      <c r="A27" s="18">
        <f>'18U BOYS-24 TEAMS'!A36</f>
        <v>45724</v>
      </c>
      <c r="B27" s="19">
        <f>'18U BOYS-24 TEAMS'!B36</f>
        <v>0.625</v>
      </c>
      <c r="C27" s="20" t="str">
        <f>'18U BOYS-24 TEAMS'!C36&amp;""</f>
        <v>EL TORO HS</v>
      </c>
      <c r="D27" s="21" t="str">
        <f>'18U BOYS-24 TEAMS'!D36&amp;""</f>
        <v>18B19</v>
      </c>
      <c r="E27" s="21" t="str">
        <f>'18U BOYS-24 TEAMS'!E36&amp;""</f>
        <v>W#5-LAMORINDA</v>
      </c>
      <c r="F27" s="21" t="str">
        <f>'18U BOYS-24 TEAMS'!F36&amp;""</f>
        <v>12</v>
      </c>
      <c r="G27" s="21" t="str">
        <f>'18U BOYS-24 TEAMS'!G36&amp;""</f>
        <v>W#7-VANGUARD BLUE</v>
      </c>
      <c r="H27" s="8" t="str">
        <f>'18U BOYS-24 TEAMS'!H36&amp;""</f>
        <v>5</v>
      </c>
      <c r="I27" s="8" t="str">
        <f>'18U BOYS-24 TEAMS'!I36&amp;""</f>
        <v>1st/2ndA</v>
      </c>
      <c r="J27" s="21" t="str">
        <f>'18U BOYS-24 TEAMS'!J36&amp;""</f>
        <v>18U_BOYS</v>
      </c>
    </row>
    <row r="28" spans="1:10">
      <c r="A28" s="18">
        <f>'18U BOYS-24 TEAMS'!A37</f>
        <v>45724</v>
      </c>
      <c r="B28" s="19">
        <f>'18U BOYS-24 TEAMS'!B37</f>
        <v>0.66666666666666696</v>
      </c>
      <c r="C28" s="20" t="str">
        <f>'18U BOYS-24 TEAMS'!C37&amp;""</f>
        <v>EL TORO HS</v>
      </c>
      <c r="D28" s="21" t="str">
        <f>'18U BOYS-24 TEAMS'!D37&amp;""</f>
        <v>18B21</v>
      </c>
      <c r="E28" s="21" t="str">
        <f>'18U BOYS-24 TEAMS'!E37&amp;""</f>
        <v>L#9-ORANGE COUNTY WPC BLUE</v>
      </c>
      <c r="F28" s="21" t="str">
        <f>'18U BOYS-24 TEAMS'!F37&amp;""</f>
        <v>7</v>
      </c>
      <c r="G28" s="21" t="str">
        <f>'18U BOYS-24 TEAMS'!G37&amp;""</f>
        <v>L#11-IMPERIAL BLUE</v>
      </c>
      <c r="H28" s="8" t="str">
        <f>'18U BOYS-24 TEAMS'!H37&amp;""</f>
        <v>11</v>
      </c>
      <c r="I28" s="8" t="str">
        <f>'18U BOYS-24 TEAMS'!I37&amp;""</f>
        <v>3rd/4thB</v>
      </c>
      <c r="J28" s="21" t="str">
        <f>'18U BOYS-24 TEAMS'!J37&amp;""</f>
        <v>18U_BOYS</v>
      </c>
    </row>
    <row r="29" spans="1:10">
      <c r="A29" s="18">
        <f>'18U BOYS-24 TEAMS'!A38</f>
        <v>45724</v>
      </c>
      <c r="B29" s="19">
        <f>'18U BOYS-24 TEAMS'!B38</f>
        <v>0.70833333333333304</v>
      </c>
      <c r="C29" s="20" t="str">
        <f>'18U BOYS-24 TEAMS'!C38&amp;""</f>
        <v>EL TORO HS</v>
      </c>
      <c r="D29" s="21" t="str">
        <f>'18U BOYS-24 TEAMS'!D38&amp;""</f>
        <v>18B23</v>
      </c>
      <c r="E29" s="114" t="str">
        <f>'18U BOYS-24 TEAMS'!E38&amp;""</f>
        <v>W#9-NEWPORT</v>
      </c>
      <c r="F29" s="21" t="str">
        <f>'18U BOYS-24 TEAMS'!F38&amp;""</f>
        <v>14</v>
      </c>
      <c r="G29" s="21" t="str">
        <f>'18U BOYS-24 TEAMS'!G38&amp;""</f>
        <v>W#11-SAN FRANCISCO</v>
      </c>
      <c r="H29" s="8" t="str">
        <f>'18U BOYS-24 TEAMS'!H38&amp;""</f>
        <v>10</v>
      </c>
      <c r="I29" s="8" t="str">
        <f>'18U BOYS-24 TEAMS'!I38&amp;""</f>
        <v>1st/2ndB</v>
      </c>
      <c r="J29" s="21" t="str">
        <f>'18U BOYS-24 TEAMS'!J38&amp;""</f>
        <v>18U_BOYS</v>
      </c>
    </row>
    <row r="30" spans="1:10">
      <c r="A30" s="18">
        <f>'18U BOYS-24 TEAMS'!A39</f>
        <v>45724</v>
      </c>
      <c r="B30" s="19">
        <f>'18U BOYS-24 TEAMS'!B39</f>
        <v>0.75</v>
      </c>
      <c r="C30" s="20" t="str">
        <f>'18U BOYS-24 TEAMS'!C39&amp;""</f>
        <v>EL TORO HS</v>
      </c>
      <c r="D30" s="21" t="str">
        <f>'18U BOYS-24 TEAMS'!D39&amp;""</f>
        <v>18B25</v>
      </c>
      <c r="E30" s="35" t="str">
        <f>'18U BOYS-24 TEAMS'!E39&amp;""</f>
        <v>G1(1stA)-LAMORINDA</v>
      </c>
      <c r="F30" s="35" t="str">
        <f>'18U BOYS-24 TEAMS'!F39&amp;""</f>
        <v>14</v>
      </c>
      <c r="G30" s="35" t="str">
        <f>'18U BOYS-24 TEAMS'!G39&amp;""</f>
        <v>G2(1stC)-CC UNITED</v>
      </c>
      <c r="H30" s="35" t="str">
        <f>'18U BOYS-24 TEAMS'!H39&amp;""</f>
        <v>13</v>
      </c>
      <c r="I30" s="8" t="str">
        <f>'18U BOYS-24 TEAMS'!I39&amp;""</f>
        <v>G bracket 1A,1C</v>
      </c>
      <c r="J30" s="21" t="str">
        <f>'18U BOYS-24 TEAMS'!J39&amp;""</f>
        <v>18U_BOYS</v>
      </c>
    </row>
    <row r="31" spans="1:10">
      <c r="A31" s="37">
        <f>'18U BOYS-24 TEAMS'!A69</f>
        <v>45725</v>
      </c>
      <c r="B31" s="38">
        <f>'18U BOYS-24 TEAMS'!B69</f>
        <v>0.33333333333333331</v>
      </c>
      <c r="C31" s="24" t="str">
        <f>'18U BOYS-24 TEAMS'!C69&amp;""</f>
        <v>EL TORO HS</v>
      </c>
      <c r="D31" s="39" t="str">
        <f>'18U BOYS-24 TEAMS'!D69&amp;""</f>
        <v>18B28</v>
      </c>
      <c r="E31" s="12" t="str">
        <f>'18U BOYS-24 TEAMS'!E69&amp;""</f>
        <v>L1(3rdD)-TEXAS THUNDER</v>
      </c>
      <c r="F31" s="12" t="str">
        <f>'18U BOYS-24 TEAMS'!F69&amp;""</f>
        <v>10</v>
      </c>
      <c r="G31" s="12" t="str">
        <f>'18U BOYS-24 TEAMS'!G69&amp;""</f>
        <v>L3(3rdF)-PATRIOT</v>
      </c>
      <c r="H31" s="12" t="str">
        <f>'18U BOYS-24 TEAMS'!H69&amp;""</f>
        <v>12</v>
      </c>
      <c r="I31" s="27" t="str">
        <f>'18U BOYS-24 TEAMS'!I69&amp;""</f>
        <v>L bracket L1,L3</v>
      </c>
      <c r="J31" s="9" t="str">
        <f>'18U BOYS-24 TEAMS'!J69&amp;""</f>
        <v>18U_BOYS</v>
      </c>
    </row>
    <row r="32" spans="1:10">
      <c r="A32" s="37">
        <f>'18U BOYS-24 TEAMS'!A70</f>
        <v>45725</v>
      </c>
      <c r="B32" s="38">
        <f>'18U BOYS-24 TEAMS'!B70</f>
        <v>0.375</v>
      </c>
      <c r="C32" s="24" t="str">
        <f>'18U BOYS-24 TEAMS'!C70&amp;""</f>
        <v>EL TORO HS</v>
      </c>
      <c r="D32" s="39" t="str">
        <f>'18U BOYS-24 TEAMS'!D70&amp;""</f>
        <v>18B31</v>
      </c>
      <c r="E32" s="12" t="str">
        <f>'18U BOYS-24 TEAMS'!E70&amp;""</f>
        <v>J1(2ndD)-NORTH IRVINE BEAST BOYS</v>
      </c>
      <c r="F32" s="12" t="str">
        <f>'18U BOYS-24 TEAMS'!F70&amp;""</f>
        <v>13</v>
      </c>
      <c r="G32" s="12" t="str">
        <f>'18U BOYS-24 TEAMS'!G70&amp;""</f>
        <v>J3(2ndF)-TROJAN</v>
      </c>
      <c r="H32" s="12" t="str">
        <f>'18U BOYS-24 TEAMS'!H70&amp;""</f>
        <v>11</v>
      </c>
      <c r="I32" s="27" t="str">
        <f>'18U BOYS-24 TEAMS'!I70&amp;""</f>
        <v>J bracket J1,J3</v>
      </c>
      <c r="J32" s="9" t="str">
        <f>'18U BOYS-24 TEAMS'!J70&amp;""</f>
        <v>18U_BOYS</v>
      </c>
    </row>
    <row r="33" spans="1:10">
      <c r="A33" s="37">
        <f>'18U BOYS-24 TEAMS'!A71</f>
        <v>45725</v>
      </c>
      <c r="B33" s="38">
        <f>'18U BOYS-24 TEAMS'!B71</f>
        <v>0.41666666666666702</v>
      </c>
      <c r="C33" s="24" t="str">
        <f>'18U BOYS-24 TEAMS'!C71&amp;""</f>
        <v>EL TORO HS</v>
      </c>
      <c r="D33" s="39" t="str">
        <f>'18U BOYS-24 TEAMS'!D71&amp;""</f>
        <v>18B34</v>
      </c>
      <c r="E33" s="12" t="str">
        <f>'18U BOYS-24 TEAMS'!E71&amp;""</f>
        <v>K1(3rdA)-LA PREMIER</v>
      </c>
      <c r="F33" s="12" t="str">
        <f>'18U BOYS-24 TEAMS'!F71&amp;""</f>
        <v>12</v>
      </c>
      <c r="G33" s="12" t="str">
        <f>'18U BOYS-24 TEAMS'!G71&amp;""</f>
        <v>K3(3rdC)-CHAWP</v>
      </c>
      <c r="H33" s="12" t="str">
        <f>'18U BOYS-24 TEAMS'!H71&amp;""</f>
        <v>15</v>
      </c>
      <c r="I33" s="27" t="str">
        <f>'18U BOYS-24 TEAMS'!I71&amp;""</f>
        <v>K bracket K1,K3</v>
      </c>
      <c r="J33" s="9" t="str">
        <f>'18U BOYS-24 TEAMS'!J71&amp;""</f>
        <v>18U_BOYS</v>
      </c>
    </row>
    <row r="34" spans="1:10">
      <c r="A34" s="37">
        <f>'18U BOYS-24 TEAMS'!A72</f>
        <v>45725</v>
      </c>
      <c r="B34" s="38">
        <f>'18U BOYS-24 TEAMS'!B72</f>
        <v>0.45833333333333298</v>
      </c>
      <c r="C34" s="24" t="str">
        <f>'18U BOYS-24 TEAMS'!C72&amp;""</f>
        <v>EL TORO HS</v>
      </c>
      <c r="D34" s="39" t="str">
        <f>'18U BOYS-24 TEAMS'!D72&amp;""</f>
        <v>18B37</v>
      </c>
      <c r="E34" s="12" t="str">
        <f>'18U BOYS-24 TEAMS'!E72&amp;""</f>
        <v>L2(3rdE)-ROSE BOWL RED</v>
      </c>
      <c r="F34" s="12" t="str">
        <f>'18U BOYS-24 TEAMS'!F72&amp;""</f>
        <v>6</v>
      </c>
      <c r="G34" s="12" t="str">
        <f>'18U BOYS-24 TEAMS'!G72&amp;""</f>
        <v>L3(3rdF)-PATRIOT</v>
      </c>
      <c r="H34" s="12" t="str">
        <f>'18U BOYS-24 TEAMS'!H72&amp;""</f>
        <v>10</v>
      </c>
      <c r="I34" s="27" t="str">
        <f>'18U BOYS-24 TEAMS'!I72&amp;""</f>
        <v>L bracket L2,L3</v>
      </c>
      <c r="J34" s="9" t="str">
        <f>'18U BOYS-24 TEAMS'!J72&amp;""</f>
        <v>18U_BOYS</v>
      </c>
    </row>
    <row r="35" spans="1:10">
      <c r="A35" s="37">
        <f>'18U BOYS-24 TEAMS'!A73</f>
        <v>45725</v>
      </c>
      <c r="B35" s="38">
        <f>'18U BOYS-24 TEAMS'!B73</f>
        <v>0.5</v>
      </c>
      <c r="C35" s="24" t="str">
        <f>'18U BOYS-24 TEAMS'!C73&amp;""</f>
        <v>EL TORO HS</v>
      </c>
      <c r="D35" s="39" t="str">
        <f>'18U BOYS-24 TEAMS'!D73&amp;""</f>
        <v>18B40</v>
      </c>
      <c r="E35" s="12" t="str">
        <f>'18U BOYS-24 TEAMS'!E73&amp;""</f>
        <v>J2(2ndE-SOCAL BLACK</v>
      </c>
      <c r="F35" s="12" t="str">
        <f>'18U BOYS-24 TEAMS'!F73&amp;""</f>
        <v>9</v>
      </c>
      <c r="G35" s="12" t="str">
        <f>'18U BOYS-24 TEAMS'!G73&amp;""</f>
        <v>J3(2ndF)-TROJAN</v>
      </c>
      <c r="H35" s="12" t="str">
        <f>'18U BOYS-24 TEAMS'!H73&amp;""</f>
        <v>7</v>
      </c>
      <c r="I35" s="27" t="str">
        <f>'18U BOYS-24 TEAMS'!I73&amp;""</f>
        <v>J bracket J2,J3</v>
      </c>
      <c r="J35" s="9" t="str">
        <f>'18U BOYS-24 TEAMS'!J73&amp;""</f>
        <v>18U_BOYS</v>
      </c>
    </row>
    <row r="36" spans="1:10">
      <c r="A36" s="37">
        <f>'18U BOYS-24 TEAMS'!A74</f>
        <v>45725</v>
      </c>
      <c r="B36" s="38">
        <f>'18U BOYS-24 TEAMS'!B74</f>
        <v>0.54166666666666696</v>
      </c>
      <c r="C36" s="24" t="str">
        <f>'18U BOYS-24 TEAMS'!C74&amp;""</f>
        <v>EL TORO HS</v>
      </c>
      <c r="D36" s="39" t="str">
        <f>'18U BOYS-24 TEAMS'!D74&amp;""</f>
        <v>18B43</v>
      </c>
      <c r="E36" s="12" t="str">
        <f>'18U BOYS-24 TEAMS'!E74&amp;""</f>
        <v>K2(3rdB)-IMPERIAL BLUE</v>
      </c>
      <c r="F36" s="12" t="str">
        <f>'18U BOYS-24 TEAMS'!F74&amp;""</f>
        <v>13</v>
      </c>
      <c r="G36" s="12" t="str">
        <f>'18U BOYS-24 TEAMS'!G74&amp;""</f>
        <v>K3(3rdC)-CHAWP</v>
      </c>
      <c r="H36" s="12" t="str">
        <f>'18U BOYS-24 TEAMS'!H74&amp;""</f>
        <v>9</v>
      </c>
      <c r="I36" s="27" t="str">
        <f>'18U BOYS-24 TEAMS'!I74&amp;""</f>
        <v>K bracket K2,K3</v>
      </c>
      <c r="J36" s="9" t="str">
        <f>'18U BOYS-24 TEAMS'!J74&amp;""</f>
        <v>18U_BOYS</v>
      </c>
    </row>
    <row r="37" spans="1:10">
      <c r="A37" s="37">
        <f>'18U BOYS-24 TEAMS'!A75</f>
        <v>45725</v>
      </c>
      <c r="B37" s="38">
        <f>'18U BOYS-24 TEAMS'!B75</f>
        <v>0.58333333333333304</v>
      </c>
      <c r="C37" s="24" t="str">
        <f>'18U BOYS-24 TEAMS'!C75&amp;""</f>
        <v>EL TORO HS</v>
      </c>
      <c r="D37" s="39" t="str">
        <f>'18U BOYS-24 TEAMS'!D75&amp;""</f>
        <v>18B46</v>
      </c>
      <c r="E37" s="12" t="str">
        <f>'18U BOYS-24 TEAMS'!E75&amp;""</f>
        <v>L1(3rdD)-TEXAS THUNDER</v>
      </c>
      <c r="F37" s="12" t="str">
        <f>'18U BOYS-24 TEAMS'!F75&amp;""</f>
        <v>16</v>
      </c>
      <c r="G37" s="12" t="str">
        <f>'18U BOYS-24 TEAMS'!G75&amp;""</f>
        <v>L2(3rdE)-ROSE BOWL RED</v>
      </c>
      <c r="H37" s="12" t="str">
        <f>'18U BOYS-24 TEAMS'!H75&amp;""</f>
        <v>7</v>
      </c>
      <c r="I37" s="27" t="str">
        <f>'18U BOYS-24 TEAMS'!I75&amp;""</f>
        <v>L bracket L1,L2</v>
      </c>
      <c r="J37" s="9" t="str">
        <f>'18U BOYS-24 TEAMS'!J75&amp;""</f>
        <v>18U_BOYS</v>
      </c>
    </row>
    <row r="38" spans="1:10">
      <c r="A38" s="37">
        <f>'18U BOYS-24 TEAMS'!A76</f>
        <v>45725</v>
      </c>
      <c r="B38" s="38">
        <f>'18U BOYS-24 TEAMS'!B76</f>
        <v>0.625</v>
      </c>
      <c r="C38" s="24" t="str">
        <f>'18U BOYS-24 TEAMS'!C76&amp;""</f>
        <v>EL TORO HS</v>
      </c>
      <c r="D38" s="39" t="str">
        <f>'18U BOYS-24 TEAMS'!D76&amp;""</f>
        <v>18B48</v>
      </c>
      <c r="E38" s="12" t="str">
        <f>'18U BOYS-24 TEAMS'!E76&amp;""</f>
        <v>J1(2ndD)-NORTH IRVINE BEAST BOYS</v>
      </c>
      <c r="F38" s="12" t="str">
        <f>'18U BOYS-24 TEAMS'!F76&amp;""</f>
        <v>20</v>
      </c>
      <c r="G38" s="12" t="str">
        <f>'18U BOYS-24 TEAMS'!G76&amp;""</f>
        <v>J2(2ndE-SOCAL BLACK</v>
      </c>
      <c r="H38" s="12" t="str">
        <f>'18U BOYS-24 TEAMS'!H76&amp;""</f>
        <v>5</v>
      </c>
      <c r="I38" s="27" t="str">
        <f>'18U BOYS-24 TEAMS'!I76&amp;""</f>
        <v>J bracket J1,J2</v>
      </c>
      <c r="J38" s="9" t="str">
        <f>'18U BOYS-24 TEAMS'!J76&amp;""</f>
        <v>18U_BOYS</v>
      </c>
    </row>
    <row r="39" spans="1:10">
      <c r="A39" s="37">
        <f>'18U BOYS-24 TEAMS'!A77</f>
        <v>45725</v>
      </c>
      <c r="B39" s="38">
        <f>'18U BOYS-24 TEAMS'!B77</f>
        <v>0.66666666666666696</v>
      </c>
      <c r="C39" s="24" t="str">
        <f>'18U BOYS-24 TEAMS'!C77&amp;""</f>
        <v>EL TORO HS</v>
      </c>
      <c r="D39" s="39" t="str">
        <f>'18U BOYS-24 TEAMS'!D77&amp;""</f>
        <v>18B50</v>
      </c>
      <c r="E39" s="12" t="str">
        <f>'18U BOYS-24 TEAMS'!E77&amp;""</f>
        <v>K1(3rdA)-LA PREMIER</v>
      </c>
      <c r="F39" s="12" t="str">
        <f>'18U BOYS-24 TEAMS'!F77&amp;""</f>
        <v>10</v>
      </c>
      <c r="G39" s="12" t="str">
        <f>'18U BOYS-24 TEAMS'!G77&amp;""</f>
        <v>K2(3rdB)-IMPERIAL BLUE</v>
      </c>
      <c r="H39" s="12" t="str">
        <f>'18U BOYS-24 TEAMS'!H77&amp;""</f>
        <v>13</v>
      </c>
      <c r="I39" s="27" t="str">
        <f>'18U BOYS-24 TEAMS'!I77&amp;""</f>
        <v>K bracket K1,K2</v>
      </c>
      <c r="J39" s="9" t="str">
        <f>'18U BOYS-24 TEAMS'!J77&amp;""</f>
        <v>18U_BOYS</v>
      </c>
    </row>
    <row r="40" spans="1:10">
      <c r="A40" s="50">
        <f>'16U BOYS PLATINUM-19 TEAMS'!A37</f>
        <v>45724</v>
      </c>
      <c r="B40" s="45">
        <f>'16U BOYS PLATINUM-19 TEAMS'!B37</f>
        <v>0.33333333333333331</v>
      </c>
      <c r="C40" s="51" t="str">
        <f>'16U BOYS PLATINUM-19 TEAMS'!C37&amp;""</f>
        <v>ESTANCIA HS</v>
      </c>
      <c r="D40" s="52" t="str">
        <f>'16U BOYS PLATINUM-19 TEAMS'!D37&amp;""</f>
        <v>16Bpt02</v>
      </c>
      <c r="E40" s="45" t="str">
        <f>'16U BOYS PLATINUM-19 TEAMS'!E37&amp;""</f>
        <v>E1-MISSION A</v>
      </c>
      <c r="F40" s="55" t="str">
        <f>'16U BOYS PLATINUM-19 TEAMS'!F37&amp;""</f>
        <v>13</v>
      </c>
      <c r="G40" s="45" t="str">
        <f>'16U BOYS PLATINUM-19 TEAMS'!G37&amp;""</f>
        <v>E3-VANGUARD BLUE</v>
      </c>
      <c r="H40" s="54" t="str">
        <f>'16U BOYS PLATINUM-19 TEAMS'!H37&amp;""</f>
        <v>1</v>
      </c>
      <c r="I40" s="55" t="str">
        <f>'16U BOYS PLATINUM-19 TEAMS'!I37&amp;""</f>
        <v>E bracket E1,E3</v>
      </c>
      <c r="J40" s="52" t="str">
        <f>'16U BOYS PLATINUM-19 TEAMS'!J37&amp;""</f>
        <v>16U_BOYS_PLATINUM</v>
      </c>
    </row>
    <row r="41" spans="1:10">
      <c r="A41" s="50">
        <f>'16U BOYS PLATINUM-19 TEAMS'!A38</f>
        <v>45724</v>
      </c>
      <c r="B41" s="45">
        <f>'16U BOYS PLATINUM-19 TEAMS'!B38</f>
        <v>0.375</v>
      </c>
      <c r="C41" s="51" t="str">
        <f>'16U BOYS PLATINUM-19 TEAMS'!C38&amp;""</f>
        <v>ESTANCIA HS</v>
      </c>
      <c r="D41" s="52" t="str">
        <f>'16U BOYS PLATINUM-19 TEAMS'!D38&amp;""</f>
        <v>16Bpt04</v>
      </c>
      <c r="E41" s="53" t="str">
        <f>'16U BOYS PLATINUM-19 TEAMS'!E38&amp;""</f>
        <v>D1-CC UNITED BLACK</v>
      </c>
      <c r="F41" s="54" t="str">
        <f>'16U BOYS PLATINUM-19 TEAMS'!F38&amp;""</f>
        <v>15</v>
      </c>
      <c r="G41" s="53" t="str">
        <f>'16U BOYS PLATINUM-19 TEAMS'!G38&amp;""</f>
        <v>D3-PATRIOT</v>
      </c>
      <c r="H41" s="54" t="str">
        <f>'16U BOYS PLATINUM-19 TEAMS'!H38&amp;""</f>
        <v>7</v>
      </c>
      <c r="I41" s="55" t="str">
        <f>'16U BOYS PLATINUM-19 TEAMS'!I38&amp;""</f>
        <v>D bracket D1,D3</v>
      </c>
      <c r="J41" s="52" t="str">
        <f>'16U BOYS PLATINUM-19 TEAMS'!J38&amp;""</f>
        <v>16U_BOYS_PLATINUM</v>
      </c>
    </row>
    <row r="42" spans="1:10">
      <c r="A42" s="50">
        <f>'16U BOYS PLATINUM-19 TEAMS'!A39</f>
        <v>45724</v>
      </c>
      <c r="B42" s="45">
        <f>'16U BOYS PLATINUM-19 TEAMS'!B39</f>
        <v>0.41666666666666702</v>
      </c>
      <c r="C42" s="51" t="str">
        <f>'16U BOYS PLATINUM-19 TEAMS'!C39&amp;""</f>
        <v>ESTANCIA HS</v>
      </c>
      <c r="D42" s="52" t="str">
        <f>'16U BOYS PLATINUM-19 TEAMS'!D39&amp;""</f>
        <v>16Bpt06</v>
      </c>
      <c r="E42" s="53" t="str">
        <f>'16U BOYS PLATINUM-19 TEAMS'!E39&amp;""</f>
        <v>F1-TROJAN</v>
      </c>
      <c r="F42" s="54" t="str">
        <f>'16U BOYS PLATINUM-19 TEAMS'!F39&amp;""</f>
        <v>10</v>
      </c>
      <c r="G42" s="53" t="str">
        <f>'16U BOYS PLATINUM-19 TEAMS'!G39&amp;""</f>
        <v>F4-FOOTHILL RED</v>
      </c>
      <c r="H42" s="54" t="str">
        <f>'16U BOYS PLATINUM-19 TEAMS'!H39&amp;""</f>
        <v>8</v>
      </c>
      <c r="I42" s="55" t="str">
        <f>'16U BOYS PLATINUM-19 TEAMS'!I39&amp;""</f>
        <v>W/L F1/F4</v>
      </c>
      <c r="J42" s="52" t="str">
        <f>'16U BOYS PLATINUM-19 TEAMS'!J39&amp;""</f>
        <v>16U_BOYS_PLATINUM</v>
      </c>
    </row>
    <row r="43" spans="1:10">
      <c r="A43" s="50">
        <f>'16U BOYS PLATINUM-19 TEAMS'!A40</f>
        <v>45724</v>
      </c>
      <c r="B43" s="45">
        <f>'16U BOYS PLATINUM-19 TEAMS'!B40</f>
        <v>0.45833333333333298</v>
      </c>
      <c r="C43" s="51" t="str">
        <f>'16U BOYS PLATINUM-19 TEAMS'!C40&amp;""</f>
        <v>ESTANCIA HS</v>
      </c>
      <c r="D43" s="52" t="str">
        <f>'16U BOYS PLATINUM-19 TEAMS'!D40&amp;""</f>
        <v>16Bpt08</v>
      </c>
      <c r="E43" s="45" t="str">
        <f>'16U BOYS PLATINUM-19 TEAMS'!E40&amp;""</f>
        <v>E2-ATHERTON</v>
      </c>
      <c r="F43" s="55" t="str">
        <f>'16U BOYS PLATINUM-19 TEAMS'!F40&amp;""</f>
        <v>14</v>
      </c>
      <c r="G43" s="45" t="str">
        <f>'16U BOYS PLATINUM-19 TEAMS'!G40&amp;""</f>
        <v>E3-VANGUARD BLUE</v>
      </c>
      <c r="H43" s="54" t="str">
        <f>'16U BOYS PLATINUM-19 TEAMS'!H40&amp;""</f>
        <v>8</v>
      </c>
      <c r="I43" s="55" t="str">
        <f>'16U BOYS PLATINUM-19 TEAMS'!I40&amp;""</f>
        <v>E bracket E2,E3</v>
      </c>
      <c r="J43" s="52" t="str">
        <f>'16U BOYS PLATINUM-19 TEAMS'!J40&amp;""</f>
        <v>16U_BOYS_PLATINUM</v>
      </c>
    </row>
    <row r="44" spans="1:10">
      <c r="A44" s="50">
        <f>'16U BOYS PLATINUM-19 TEAMS'!A41</f>
        <v>45724</v>
      </c>
      <c r="B44" s="45">
        <f>'16U BOYS PLATINUM-19 TEAMS'!B41</f>
        <v>0.5</v>
      </c>
      <c r="C44" s="51" t="str">
        <f>'16U BOYS PLATINUM-19 TEAMS'!C41&amp;""</f>
        <v>ESTANCIA HS</v>
      </c>
      <c r="D44" s="52" t="str">
        <f>'16U BOYS PLATINUM-19 TEAMS'!D41&amp;""</f>
        <v>16Bpt10</v>
      </c>
      <c r="E44" s="45" t="str">
        <f>'16U BOYS PLATINUM-19 TEAMS'!E41&amp;""</f>
        <v>F2-SD SHORES BLACK</v>
      </c>
      <c r="F44" s="55" t="str">
        <f>'16U BOYS PLATINUM-19 TEAMS'!F41&amp;""</f>
        <v>13</v>
      </c>
      <c r="G44" s="45" t="str">
        <f>'16U BOYS PLATINUM-19 TEAMS'!G41&amp;""</f>
        <v>F3-TEXAS THUINDER</v>
      </c>
      <c r="H44" s="54" t="str">
        <f>'16U BOYS PLATINUM-19 TEAMS'!H41&amp;""</f>
        <v>7</v>
      </c>
      <c r="I44" s="55" t="str">
        <f>'16U BOYS PLATINUM-19 TEAMS'!I41&amp;""</f>
        <v>W/L F2/F3</v>
      </c>
      <c r="J44" s="52" t="str">
        <f>'16U BOYS PLATINUM-19 TEAMS'!J41&amp;""</f>
        <v>16U_BOYS_PLATINUM</v>
      </c>
    </row>
    <row r="45" spans="1:10">
      <c r="A45" s="50">
        <f>'16U BOYS PLATINUM-19 TEAMS'!A42</f>
        <v>45724</v>
      </c>
      <c r="B45" s="45">
        <f>'16U BOYS PLATINUM-19 TEAMS'!B42</f>
        <v>0.54166666666666696</v>
      </c>
      <c r="C45" s="51" t="str">
        <f>'16U BOYS PLATINUM-19 TEAMS'!C42&amp;""</f>
        <v>ESTANCIA HS</v>
      </c>
      <c r="D45" s="52" t="str">
        <f>'16U BOYS PLATINUM-19 TEAMS'!D42&amp;""</f>
        <v>16Bpt12</v>
      </c>
      <c r="E45" s="53" t="str">
        <f>'16U BOYS PLATINUM-19 TEAMS'!E42&amp;""</f>
        <v>D2-NEWPORT</v>
      </c>
      <c r="F45" s="54" t="str">
        <f>'16U BOYS PLATINUM-19 TEAMS'!F42&amp;""</f>
        <v>11</v>
      </c>
      <c r="G45" s="53" t="str">
        <f>'16U BOYS PLATINUM-19 TEAMS'!G42&amp;""</f>
        <v>D3-PATRIOT</v>
      </c>
      <c r="H45" s="54" t="str">
        <f>'16U BOYS PLATINUM-19 TEAMS'!H42&amp;""</f>
        <v>6</v>
      </c>
      <c r="I45" s="55" t="str">
        <f>'16U BOYS PLATINUM-19 TEAMS'!I42&amp;""</f>
        <v>D bracket D2,D3</v>
      </c>
      <c r="J45" s="52" t="str">
        <f>'16U BOYS PLATINUM-19 TEAMS'!J42&amp;""</f>
        <v>16U_BOYS_PLATINUM</v>
      </c>
    </row>
    <row r="46" spans="1:10">
      <c r="A46" s="50">
        <f>'16U BOYS PLATINUM-19 TEAMS'!A43</f>
        <v>45724</v>
      </c>
      <c r="B46" s="45">
        <f>'16U BOYS PLATINUM-19 TEAMS'!B43</f>
        <v>0.58333333333333304</v>
      </c>
      <c r="C46" s="51" t="str">
        <f>'16U BOYS PLATINUM-19 TEAMS'!C43&amp;""</f>
        <v>ESTANCIA HS</v>
      </c>
      <c r="D46" s="52" t="str">
        <f>'16U BOYS PLATINUM-19 TEAMS'!D43&amp;""</f>
        <v>16Bpt14</v>
      </c>
      <c r="E46" s="45" t="str">
        <f>'16U BOYS PLATINUM-19 TEAMS'!E43&amp;""</f>
        <v>E1-MISSION A</v>
      </c>
      <c r="F46" s="55" t="str">
        <f>'16U BOYS PLATINUM-19 TEAMS'!F43&amp;""</f>
        <v>8</v>
      </c>
      <c r="G46" s="45" t="str">
        <f>'16U BOYS PLATINUM-19 TEAMS'!G43&amp;""</f>
        <v>E2-ATHERTON</v>
      </c>
      <c r="H46" s="54" t="str">
        <f>'16U BOYS PLATINUM-19 TEAMS'!H43&amp;""</f>
        <v>5</v>
      </c>
      <c r="I46" s="55" t="str">
        <f>'16U BOYS PLATINUM-19 TEAMS'!I43&amp;""</f>
        <v>E bracket E1,E2</v>
      </c>
      <c r="J46" s="52" t="str">
        <f>'16U BOYS PLATINUM-19 TEAMS'!J43&amp;""</f>
        <v>16U_BOYS_PLATINUM</v>
      </c>
    </row>
    <row r="47" spans="1:10">
      <c r="A47" s="50">
        <f>'16U BOYS PLATINUM-19 TEAMS'!A44</f>
        <v>45724</v>
      </c>
      <c r="B47" s="45">
        <f>'16U BOYS PLATINUM-19 TEAMS'!B44</f>
        <v>0.625</v>
      </c>
      <c r="C47" s="51" t="str">
        <f>'16U BOYS PLATINUM-19 TEAMS'!C44&amp;""</f>
        <v>ESTANCIA HS</v>
      </c>
      <c r="D47" s="52" t="str">
        <f>'16U BOYS PLATINUM-19 TEAMS'!D44&amp;""</f>
        <v>16Bpt16</v>
      </c>
      <c r="E47" s="45" t="str">
        <f>'16U BOYS PLATINUM-19 TEAMS'!E44&amp;""</f>
        <v>W#6-TROJAN</v>
      </c>
      <c r="F47" s="55" t="str">
        <f>'16U BOYS PLATINUM-19 TEAMS'!F44&amp;""</f>
        <v>7</v>
      </c>
      <c r="G47" s="45" t="str">
        <f>'16U BOYS PLATINUM-19 TEAMS'!G44&amp;""</f>
        <v>W#10-SD SHORES BLACK</v>
      </c>
      <c r="H47" s="54" t="str">
        <f>'16U BOYS PLATINUM-19 TEAMS'!H44&amp;""</f>
        <v>9</v>
      </c>
      <c r="I47" s="55" t="str">
        <f>'16U BOYS PLATINUM-19 TEAMS'!I44&amp;""</f>
        <v>1st/2ndF</v>
      </c>
      <c r="J47" s="52" t="str">
        <f>'16U BOYS PLATINUM-19 TEAMS'!J44&amp;""</f>
        <v>16U_BOYS_PLATINUM</v>
      </c>
    </row>
    <row r="48" spans="1:10">
      <c r="A48" s="50">
        <f>'16U BOYS PLATINUM-19 TEAMS'!A45</f>
        <v>45724</v>
      </c>
      <c r="B48" s="45">
        <f>'16U BOYS PLATINUM-19 TEAMS'!B45</f>
        <v>0.66666666666666696</v>
      </c>
      <c r="C48" s="51" t="str">
        <f>'16U BOYS PLATINUM-19 TEAMS'!C45&amp;""</f>
        <v>ESTANCIA HS</v>
      </c>
      <c r="D48" s="52" t="str">
        <f>'16U BOYS PLATINUM-19 TEAMS'!D45&amp;""</f>
        <v>16Bpt18</v>
      </c>
      <c r="E48" s="53" t="str">
        <f>'16U BOYS PLATINUM-19 TEAMS'!E45&amp;""</f>
        <v>L#6-FOOTHILL RED</v>
      </c>
      <c r="F48" s="54" t="str">
        <f>'16U BOYS PLATINUM-19 TEAMS'!F45&amp;""</f>
        <v>9</v>
      </c>
      <c r="G48" s="53" t="str">
        <f>'16U BOYS PLATINUM-19 TEAMS'!G45&amp;""</f>
        <v>L#10-TEXAS THUINDER</v>
      </c>
      <c r="H48" s="54" t="str">
        <f>'16U BOYS PLATINUM-19 TEAMS'!H45&amp;""</f>
        <v>10</v>
      </c>
      <c r="I48" s="55" t="str">
        <f>'16U BOYS PLATINUM-19 TEAMS'!I45&amp;""</f>
        <v>3rd/4thF</v>
      </c>
      <c r="J48" s="52" t="str">
        <f>'16U BOYS PLATINUM-19 TEAMS'!J45&amp;""</f>
        <v>16U_BOYS_PLATINUM</v>
      </c>
    </row>
    <row r="49" spans="1:10">
      <c r="A49" s="50">
        <f>'16U BOYS PLATINUM-19 TEAMS'!A46</f>
        <v>45724</v>
      </c>
      <c r="B49" s="45">
        <f>'16U BOYS PLATINUM-19 TEAMS'!B46</f>
        <v>0.70833333333333304</v>
      </c>
      <c r="C49" s="51" t="str">
        <f>'16U BOYS PLATINUM-19 TEAMS'!C46&amp;""</f>
        <v>ESTANCIA HS</v>
      </c>
      <c r="D49" s="52" t="str">
        <f>'16U BOYS PLATINUM-19 TEAMS'!D46&amp;""</f>
        <v>16Bpt20</v>
      </c>
      <c r="E49" s="53" t="str">
        <f>'16U BOYS PLATINUM-19 TEAMS'!E46&amp;""</f>
        <v>D1-CC UNITED BLACK</v>
      </c>
      <c r="F49" s="54" t="str">
        <f>'16U BOYS PLATINUM-19 TEAMS'!F46&amp;""</f>
        <v>17</v>
      </c>
      <c r="G49" s="53" t="str">
        <f>'16U BOYS PLATINUM-19 TEAMS'!G46&amp;""</f>
        <v>D2-NEWPORT</v>
      </c>
      <c r="H49" s="54" t="str">
        <f>'16U BOYS PLATINUM-19 TEAMS'!H46&amp;""</f>
        <v>6</v>
      </c>
      <c r="I49" s="55" t="str">
        <f>'16U BOYS PLATINUM-19 TEAMS'!I46&amp;""</f>
        <v>D bracket D1,D2</v>
      </c>
      <c r="J49" s="52" t="str">
        <f>'16U BOYS PLATINUM-19 TEAMS'!J46&amp;""</f>
        <v>16U_BOYS_PLATINUM</v>
      </c>
    </row>
    <row r="50" spans="1:10">
      <c r="A50" s="50">
        <f>'16U BOYS PLATINUM-19 TEAMS'!A47</f>
        <v>45724</v>
      </c>
      <c r="B50" s="45">
        <f>'16U BOYS PLATINUM-19 TEAMS'!B47</f>
        <v>0.75</v>
      </c>
      <c r="C50" s="51" t="str">
        <f>'16U BOYS PLATINUM-19 TEAMS'!C47&amp;""</f>
        <v>ESTANCIA HS</v>
      </c>
      <c r="D50" s="52" t="str">
        <f>'16U BOYS PLATINUM-19 TEAMS'!D47&amp;""</f>
        <v>16Bpt21</v>
      </c>
      <c r="E50" s="53" t="str">
        <f>'16U BOYS PLATINUM-19 TEAMS'!E47&amp;""</f>
        <v>H2(1stE)-MISSION</v>
      </c>
      <c r="F50" s="54" t="str">
        <f>'16U BOYS PLATINUM-19 TEAMS'!F47&amp;""</f>
        <v>11</v>
      </c>
      <c r="G50" s="53" t="str">
        <f>'16U BOYS PLATINUM-19 TEAMS'!G47&amp;""</f>
        <v>H3(1stF)-SD SHORES BLACK</v>
      </c>
      <c r="H50" s="54" t="str">
        <f>'16U BOYS PLATINUM-19 TEAMS'!H47&amp;""</f>
        <v>8</v>
      </c>
      <c r="I50" s="55" t="str">
        <f>'16U BOYS PLATINUM-19 TEAMS'!I47&amp;""</f>
        <v>H bracket H2,H3 (1E,1F)</v>
      </c>
      <c r="J50" s="52" t="str">
        <f>'16U BOYS PLATINUM-19 TEAMS'!J47&amp;""</f>
        <v>16U_BOYS_PLATINUM</v>
      </c>
    </row>
    <row r="51" spans="1:10">
      <c r="A51" s="103">
        <f>'18U BOYS-24 TEAMS'!A79</f>
        <v>45725</v>
      </c>
      <c r="B51" s="104">
        <f>'18U BOYS-24 TEAMS'!B79</f>
        <v>0.33333333333333331</v>
      </c>
      <c r="C51" s="102" t="str">
        <f>'18U BOYS-24 TEAMS'!C79&amp;""</f>
        <v>ESTANCIA HS</v>
      </c>
      <c r="D51" s="101" t="str">
        <f>'18U BOYS-24 TEAMS'!D79&amp;""</f>
        <v>18B29</v>
      </c>
      <c r="E51" s="100" t="str">
        <f>'18U BOYS-24 TEAMS'!E79&amp;""</f>
        <v>M1(4thF)-MONARCHY</v>
      </c>
      <c r="F51" s="100" t="str">
        <f>'18U BOYS-24 TEAMS'!F79&amp;""</f>
        <v>6</v>
      </c>
      <c r="G51" s="100" t="str">
        <f>'18U BOYS-24 TEAMS'!G79&amp;""</f>
        <v>M3(4thD)-LA JOLLA UNITED NAVY</v>
      </c>
      <c r="H51" s="100" t="str">
        <f>'18U BOYS-24 TEAMS'!H79&amp;""</f>
        <v>10</v>
      </c>
      <c r="I51" s="100" t="str">
        <f>'18U BOYS-24 TEAMS'!I79&amp;""</f>
        <v>19th-24th M1,M3</v>
      </c>
      <c r="J51" s="99" t="str">
        <f>'18U BOYS-24 TEAMS'!J79&amp;""</f>
        <v>18U_BOYS</v>
      </c>
    </row>
    <row r="52" spans="1:10">
      <c r="A52" s="103">
        <f>'18U BOYS-24 TEAMS'!A80</f>
        <v>45725</v>
      </c>
      <c r="B52" s="104">
        <f>'18U BOYS-24 TEAMS'!B80</f>
        <v>0.375</v>
      </c>
      <c r="C52" s="102" t="str">
        <f>'18U BOYS-24 TEAMS'!C80&amp;""</f>
        <v>ESTANCIA HS</v>
      </c>
      <c r="D52" s="101" t="str">
        <f>'18U BOYS-24 TEAMS'!D80&amp;""</f>
        <v>18B32</v>
      </c>
      <c r="E52" s="100" t="str">
        <f>'18U BOYS-24 TEAMS'!E80&amp;""</f>
        <v>N1(4thC)-FOOTHILL RED</v>
      </c>
      <c r="F52" s="100" t="str">
        <f>'18U BOYS-24 TEAMS'!F80&amp;""</f>
        <v>10</v>
      </c>
      <c r="G52" s="100" t="str">
        <f>'18U BOYS-24 TEAMS'!G80&amp;""</f>
        <v>N3(4thA)-NORTH IRVINE VEGAS</v>
      </c>
      <c r="H52" s="100" t="str">
        <f>'18U BOYS-24 TEAMS'!H80&amp;""</f>
        <v>9</v>
      </c>
      <c r="I52" s="100" t="str">
        <f>'18U BOYS-24 TEAMS'!I80&amp;""</f>
        <v>19th-24th N1,N3</v>
      </c>
      <c r="J52" s="99" t="str">
        <f>'18U BOYS-24 TEAMS'!J80&amp;""</f>
        <v>18U_BOYS</v>
      </c>
    </row>
    <row r="53" spans="1:10">
      <c r="A53" s="103">
        <f>'18U BOYS-24 TEAMS'!A81</f>
        <v>45725</v>
      </c>
      <c r="B53" s="104">
        <f>'18U BOYS-24 TEAMS'!B81</f>
        <v>0.41666666666666702</v>
      </c>
      <c r="C53" s="102" t="str">
        <f>'18U BOYS-24 TEAMS'!C81&amp;""</f>
        <v>ESTANCIA HS</v>
      </c>
      <c r="D53" s="101" t="str">
        <f>'18U BOYS-24 TEAMS'!D81&amp;""</f>
        <v>18B35</v>
      </c>
      <c r="E53" s="100" t="str">
        <f>'18U BOYS-24 TEAMS'!E81&amp;""</f>
        <v>M2(4thE)-DIABLO RED</v>
      </c>
      <c r="F53" s="100" t="str">
        <f>'18U BOYS-24 TEAMS'!F81&amp;""</f>
        <v>6</v>
      </c>
      <c r="G53" s="100" t="str">
        <f>'18U BOYS-24 TEAMS'!G81&amp;""</f>
        <v>M3(4thD)-LA JOLLA UNITED NAVY</v>
      </c>
      <c r="H53" s="100" t="str">
        <f>'18U BOYS-24 TEAMS'!H81&amp;""</f>
        <v>16</v>
      </c>
      <c r="I53" s="100" t="str">
        <f>'18U BOYS-24 TEAMS'!I81&amp;""</f>
        <v>19th-24th M2,M3</v>
      </c>
      <c r="J53" s="99" t="str">
        <f>'18U BOYS-24 TEAMS'!J81&amp;""</f>
        <v>18U_BOYS</v>
      </c>
    </row>
    <row r="54" spans="1:10">
      <c r="A54" s="103">
        <f>'18U BOYS-24 TEAMS'!A82</f>
        <v>45725</v>
      </c>
      <c r="B54" s="104">
        <f>'18U BOYS-24 TEAMS'!B82</f>
        <v>0.45833333333333298</v>
      </c>
      <c r="C54" s="102" t="str">
        <f>'18U BOYS-24 TEAMS'!C82&amp;""</f>
        <v>ESTANCIA HS</v>
      </c>
      <c r="D54" s="101" t="str">
        <f>'18U BOYS-24 TEAMS'!D82&amp;""</f>
        <v>18B38</v>
      </c>
      <c r="E54" s="100" t="str">
        <f>'18U BOYS-24 TEAMS'!E82&amp;""</f>
        <v>N2(4thB)-ORANGE COUNTY WPC BLUE</v>
      </c>
      <c r="F54" s="100" t="str">
        <f>'18U BOYS-24 TEAMS'!F82&amp;""</f>
        <v>10</v>
      </c>
      <c r="G54" s="100" t="str">
        <f>'18U BOYS-24 TEAMS'!G82&amp;""</f>
        <v>N3(4thA)-NORTH IRVINE VEGAS</v>
      </c>
      <c r="H54" s="100" t="str">
        <f>'18U BOYS-24 TEAMS'!H82&amp;""</f>
        <v>12</v>
      </c>
      <c r="I54" s="100" t="str">
        <f>'18U BOYS-24 TEAMS'!I82&amp;""</f>
        <v>19th-24th N2,N3</v>
      </c>
      <c r="J54" s="99" t="str">
        <f>'18U BOYS-24 TEAMS'!J82&amp;""</f>
        <v>18U_BOYS</v>
      </c>
    </row>
    <row r="55" spans="1:10">
      <c r="A55" s="103">
        <f>'18U BOYS-24 TEAMS'!A83</f>
        <v>45725</v>
      </c>
      <c r="B55" s="104">
        <f>'18U BOYS-24 TEAMS'!B83</f>
        <v>0.5</v>
      </c>
      <c r="C55" s="102" t="str">
        <f>'18U BOYS-24 TEAMS'!C83&amp;""</f>
        <v>ESTANCIA HS</v>
      </c>
      <c r="D55" s="101" t="str">
        <f>'18U BOYS-24 TEAMS'!D83&amp;""</f>
        <v>18B41</v>
      </c>
      <c r="E55" s="100" t="str">
        <f>'18U BOYS-24 TEAMS'!E83&amp;""</f>
        <v>M1(4thF)-MONARCHY</v>
      </c>
      <c r="F55" s="100" t="str">
        <f>'18U BOYS-24 TEAMS'!F83&amp;""</f>
        <v>10</v>
      </c>
      <c r="G55" s="100" t="str">
        <f>'18U BOYS-24 TEAMS'!G83&amp;""</f>
        <v>M2(4thE)-DIABLO RED</v>
      </c>
      <c r="H55" s="100" t="str">
        <f>'18U BOYS-24 TEAMS'!H83&amp;""</f>
        <v>12</v>
      </c>
      <c r="I55" s="100" t="str">
        <f>'18U BOYS-24 TEAMS'!I83&amp;""</f>
        <v>19th-24th M1,M2</v>
      </c>
      <c r="J55" s="99" t="str">
        <f>'18U BOYS-24 TEAMS'!J83&amp;""</f>
        <v>18U_BOYS</v>
      </c>
    </row>
    <row r="56" spans="1:10">
      <c r="A56" s="103">
        <f>'18U BOYS-24 TEAMS'!A84</f>
        <v>45725</v>
      </c>
      <c r="B56" s="104">
        <f>'18U BOYS-24 TEAMS'!B84</f>
        <v>0.54166666666666696</v>
      </c>
      <c r="C56" s="102" t="str">
        <f>'18U BOYS-24 TEAMS'!C84&amp;""</f>
        <v>ESTANCIA HS</v>
      </c>
      <c r="D56" s="101" t="str">
        <f>'18U BOYS-24 TEAMS'!D84&amp;""</f>
        <v>18B44</v>
      </c>
      <c r="E56" s="100" t="str">
        <f>'18U BOYS-24 TEAMS'!E84&amp;""</f>
        <v>N1(4thC)-FOOTHILL RED</v>
      </c>
      <c r="F56" s="100" t="str">
        <f>'18U BOYS-24 TEAMS'!F84&amp;""</f>
        <v>13</v>
      </c>
      <c r="G56" s="100" t="str">
        <f>'18U BOYS-24 TEAMS'!G84&amp;""</f>
        <v>N2(4thB)-ORANGE COUNTY WPC BLUE</v>
      </c>
      <c r="H56" s="100" t="str">
        <f>'18U BOYS-24 TEAMS'!H84&amp;""</f>
        <v>11</v>
      </c>
      <c r="I56" s="100" t="str">
        <f>'18U BOYS-24 TEAMS'!I84&amp;""</f>
        <v>19th-24th N1,N2</v>
      </c>
      <c r="J56" s="99" t="str">
        <f>'18U BOYS-24 TEAMS'!J84&amp;""</f>
        <v>18U_BOYS</v>
      </c>
    </row>
    <row r="57" spans="1:10">
      <c r="A57" s="23">
        <f>'18U BOYS-24 TEAMS'!A42</f>
        <v>45724</v>
      </c>
      <c r="B57" s="24">
        <f>'18U BOYS-24 TEAMS'!B42</f>
        <v>0.33333333333333331</v>
      </c>
      <c r="C57" s="25" t="str">
        <f>'18U BOYS-24 TEAMS'!C42&amp;""</f>
        <v>MARINA HS</v>
      </c>
      <c r="D57" s="81" t="str">
        <f>'18U BOYS-24 TEAMS'!D42&amp;""</f>
        <v>18B02</v>
      </c>
      <c r="E57" s="27" t="str">
        <f>'18U BOYS-24 TEAMS'!E42&amp;""</f>
        <v>2-NORTH IRVINE BEAST BOYS</v>
      </c>
      <c r="F57" s="27" t="str">
        <f>'18U BOYS-24 TEAMS'!F42&amp;""</f>
        <v>18</v>
      </c>
      <c r="G57" s="27" t="str">
        <f>'18U BOYS-24 TEAMS'!G42&amp;""</f>
        <v>23-TEXAS THUNDER</v>
      </c>
      <c r="H57" s="27" t="str">
        <f>'18U BOYS-24 TEAMS'!H42&amp;""</f>
        <v>7</v>
      </c>
      <c r="I57" s="9" t="str">
        <f>'18U BOYS-24 TEAMS'!I42&amp;""</f>
        <v>W/L D1/D4</v>
      </c>
      <c r="J57" s="26" t="str">
        <f>'18U BOYS-24 TEAMS'!J42&amp;""</f>
        <v>18U_BOYS</v>
      </c>
    </row>
    <row r="58" spans="1:10">
      <c r="A58" s="23">
        <f>'18U BOYS-24 TEAMS'!A43</f>
        <v>45724</v>
      </c>
      <c r="B58" s="24">
        <f>'18U BOYS-24 TEAMS'!B43</f>
        <v>0.375</v>
      </c>
      <c r="C58" s="25" t="str">
        <f>'18U BOYS-24 TEAMS'!C43&amp;""</f>
        <v>MARINA HS</v>
      </c>
      <c r="D58" s="81" t="str">
        <f>'18U BOYS-24 TEAMS'!D43&amp;""</f>
        <v>18B04</v>
      </c>
      <c r="E58" s="27" t="str">
        <f>'18U BOYS-24 TEAMS'!E43&amp;""</f>
        <v>11-STANFORD</v>
      </c>
      <c r="F58" s="27" t="str">
        <f>'18U BOYS-24 TEAMS'!F43&amp;""</f>
        <v>14</v>
      </c>
      <c r="G58" s="27" t="str">
        <f>'18U BOYS-24 TEAMS'!G43&amp;""</f>
        <v>14-LA JOLLA UNITED NAVY</v>
      </c>
      <c r="H58" s="27" t="str">
        <f>'18U BOYS-24 TEAMS'!H43&amp;""</f>
        <v>6</v>
      </c>
      <c r="I58" s="9" t="str">
        <f>'18U BOYS-24 TEAMS'!I43&amp;""</f>
        <v>W/L D2/D3</v>
      </c>
      <c r="J58" s="26" t="str">
        <f>'18U BOYS-24 TEAMS'!J43&amp;""</f>
        <v>18U_BOYS</v>
      </c>
    </row>
    <row r="59" spans="1:10">
      <c r="A59" s="18">
        <f>'18U BOYS-24 TEAMS'!A30</f>
        <v>45724</v>
      </c>
      <c r="B59" s="19">
        <f>'18U BOYS-24 TEAMS'!B30</f>
        <v>0.41666666666666702</v>
      </c>
      <c r="C59" s="20" t="str">
        <f>'18U BOYS-24 TEAMS'!C30&amp;""</f>
        <v>MARINA HS</v>
      </c>
      <c r="D59" s="21" t="str">
        <f>'18U BOYS-24 TEAMS'!D30&amp;""</f>
        <v>18B11</v>
      </c>
      <c r="E59" s="21" t="str">
        <f>'18U BOYS-24 TEAMS'!E30&amp;""</f>
        <v>9-SAN FRANCISCO</v>
      </c>
      <c r="F59" s="21" t="str">
        <f>'18U BOYS-24 TEAMS'!F30&amp;""</f>
        <v>13</v>
      </c>
      <c r="G59" s="21" t="str">
        <f>'18U BOYS-24 TEAMS'!G30&amp;""</f>
        <v>16-IMPERIAL BLUE</v>
      </c>
      <c r="H59" s="8" t="str">
        <f>'18U BOYS-24 TEAMS'!H30&amp;""</f>
        <v>12</v>
      </c>
      <c r="I59" s="8" t="str">
        <f>'18U BOYS-24 TEAMS'!I30&amp;""</f>
        <v>W/L B2/B3</v>
      </c>
      <c r="J59" s="21" t="str">
        <f>'18U BOYS-24 TEAMS'!J30&amp;""</f>
        <v>18U_BOYS</v>
      </c>
    </row>
    <row r="60" spans="1:10">
      <c r="A60" s="50">
        <f>'16U BOYS PLATINUM-19 TEAMS'!A62</f>
        <v>45725</v>
      </c>
      <c r="B60" s="45">
        <f>'16U BOYS PLATINUM-19 TEAMS'!B62</f>
        <v>0.33333333333333331</v>
      </c>
      <c r="C60" s="45" t="str">
        <f>'16U BOYS PLATINUM-19 TEAMS'!C62&amp;""</f>
        <v>MARINA HS</v>
      </c>
      <c r="D60" s="52" t="str">
        <f>'16U BOYS PLATINUM-19 TEAMS'!D62&amp;""</f>
        <v>16Bpt23</v>
      </c>
      <c r="E60" s="53" t="str">
        <f>'16U BOYS PLATINUM-19 TEAMS'!E62&amp;""</f>
        <v>J1(2ndD)-NEWPORT</v>
      </c>
      <c r="F60" s="54" t="str">
        <f>'16U BOYS PLATINUM-19 TEAMS'!F62&amp;""</f>
        <v>9.4</v>
      </c>
      <c r="G60" s="53" t="str">
        <f>'16U BOYS PLATINUM-19 TEAMS'!G62&amp;""</f>
        <v>J3(2ndF)-TROJAN</v>
      </c>
      <c r="H60" s="54" t="str">
        <f>'16U BOYS PLATINUM-19 TEAMS'!H62&amp;""</f>
        <v>9.3</v>
      </c>
      <c r="I60" s="55" t="str">
        <f>'16U BOYS PLATINUM-19 TEAMS'!I62&amp;""</f>
        <v>bracket J1,J3</v>
      </c>
      <c r="J60" s="52" t="str">
        <f>'16U BOYS PLATINUM-19 TEAMS'!J62&amp;""</f>
        <v>16U_BOYS_PLATINUM</v>
      </c>
    </row>
    <row r="61" spans="1:10">
      <c r="A61" s="50">
        <f>'16U BOYS PLATINUM-19 TEAMS'!A63</f>
        <v>45725</v>
      </c>
      <c r="B61" s="45">
        <f>'16U BOYS PLATINUM-19 TEAMS'!B63</f>
        <v>0.375</v>
      </c>
      <c r="C61" s="45" t="str">
        <f>'16U BOYS PLATINUM-19 TEAMS'!C63&amp;""</f>
        <v>MARINA HS</v>
      </c>
      <c r="D61" s="52" t="str">
        <f>'16U BOYS PLATINUM-19 TEAMS'!D63&amp;""</f>
        <v>16Bpt25</v>
      </c>
      <c r="E61" s="45" t="str">
        <f>'16U BOYS PLATINUM-19 TEAMS'!E63&amp;""</f>
        <v>K1(3rdA)-DIABLO RED</v>
      </c>
      <c r="F61" s="55" t="str">
        <f>'16U BOYS PLATINUM-19 TEAMS'!F63&amp;""</f>
        <v>8</v>
      </c>
      <c r="G61" s="45" t="str">
        <f>'16U BOYS PLATINUM-19 TEAMS'!G63&amp;""</f>
        <v>K3(3rdC)-CHAWP</v>
      </c>
      <c r="H61" s="54" t="str">
        <f>'16U BOYS PLATINUM-19 TEAMS'!H63&amp;""</f>
        <v>7</v>
      </c>
      <c r="I61" s="55" t="str">
        <f>'16U BOYS PLATINUM-19 TEAMS'!I63&amp;""</f>
        <v>bracket K1,K3</v>
      </c>
      <c r="J61" s="52" t="str">
        <f>'16U BOYS PLATINUM-19 TEAMS'!J63&amp;""</f>
        <v>16U_BOYS_PLATINUM</v>
      </c>
    </row>
    <row r="62" spans="1:10">
      <c r="A62" s="50">
        <f>'16U BOYS PLATINUM-19 TEAMS'!A64</f>
        <v>45725</v>
      </c>
      <c r="B62" s="45">
        <f>'16U BOYS PLATINUM-19 TEAMS'!B64</f>
        <v>0.41666666666666702</v>
      </c>
      <c r="C62" s="45" t="str">
        <f>'16U BOYS PLATINUM-19 TEAMS'!C64&amp;""</f>
        <v>MARINA HS</v>
      </c>
      <c r="D62" s="83" t="str">
        <f>'16U BOYS PLATINUM-19 TEAMS'!D64&amp;""</f>
        <v>16Bpt27</v>
      </c>
      <c r="E62" s="53" t="str">
        <f>'16U BOYS PLATINUM-19 TEAMS'!E64&amp;""</f>
        <v>L1(3rdD)-PATRIOT</v>
      </c>
      <c r="F62" s="54" t="str">
        <f>'16U BOYS PLATINUM-19 TEAMS'!F64&amp;""</f>
        <v>12</v>
      </c>
      <c r="G62" s="53" t="str">
        <f>'16U BOYS PLATINUM-19 TEAMS'!G64&amp;""</f>
        <v>L4(4thF)-FOOTHILL RED</v>
      </c>
      <c r="H62" s="54" t="str">
        <f>'16U BOYS PLATINUM-19 TEAMS'!H64&amp;""</f>
        <v>11</v>
      </c>
      <c r="I62" s="55" t="str">
        <f>'16U BOYS PLATINUM-19 TEAMS'!I64&amp;""</f>
        <v>W/L L1/L4</v>
      </c>
      <c r="J62" s="52" t="str">
        <f>'16U BOYS PLATINUM-19 TEAMS'!J64&amp;""</f>
        <v>16U_BOYS_PLATINUM</v>
      </c>
    </row>
    <row r="63" spans="1:10">
      <c r="A63" s="50">
        <f>'16U BOYS PLATINUM-19 TEAMS'!A65</f>
        <v>45725</v>
      </c>
      <c r="B63" s="45">
        <f>'16U BOYS PLATINUM-19 TEAMS'!B65</f>
        <v>0.45833333333333298</v>
      </c>
      <c r="C63" s="45" t="str">
        <f>'16U BOYS PLATINUM-19 TEAMS'!C65&amp;""</f>
        <v>MARINA HS</v>
      </c>
      <c r="D63" s="83" t="str">
        <f>'16U BOYS PLATINUM-19 TEAMS'!D65&amp;""</f>
        <v>16Bpt29</v>
      </c>
      <c r="E63" s="45" t="str">
        <f>'16U BOYS PLATINUM-19 TEAMS'!E65&amp;""</f>
        <v>L2(3rdE)-VANGUARD BLUE</v>
      </c>
      <c r="F63" s="55" t="str">
        <f>'16U BOYS PLATINUM-19 TEAMS'!F65&amp;""</f>
        <v>13</v>
      </c>
      <c r="G63" s="45" t="str">
        <f>'16U BOYS PLATINUM-19 TEAMS'!G65&amp;""</f>
        <v>L3(3rdF)-TEXAS THUINDER</v>
      </c>
      <c r="H63" s="54" t="str">
        <f>'16U BOYS PLATINUM-19 TEAMS'!H65&amp;""</f>
        <v>12</v>
      </c>
      <c r="I63" s="55" t="str">
        <f>'16U BOYS PLATINUM-19 TEAMS'!I65&amp;""</f>
        <v>W/L L2/L3</v>
      </c>
      <c r="J63" s="52" t="str">
        <f>'16U BOYS PLATINUM-19 TEAMS'!J65&amp;""</f>
        <v>16U_BOYS_PLATINUM</v>
      </c>
    </row>
    <row r="64" spans="1:10">
      <c r="A64" s="50">
        <f>'16U BOYS PLATINUM-19 TEAMS'!A66</f>
        <v>45725</v>
      </c>
      <c r="B64" s="45">
        <f>'16U BOYS PLATINUM-19 TEAMS'!B66</f>
        <v>0.5</v>
      </c>
      <c r="C64" s="45" t="str">
        <f>'16U BOYS PLATINUM-19 TEAMS'!C66&amp;""</f>
        <v>MARINA HS</v>
      </c>
      <c r="D64" s="52" t="str">
        <f>'16U BOYS PLATINUM-19 TEAMS'!D66&amp;""</f>
        <v>16Bpt31</v>
      </c>
      <c r="E64" s="53" t="str">
        <f>'16U BOYS PLATINUM-19 TEAMS'!E66&amp;""</f>
        <v>J2(2ndE)-ATHERTON</v>
      </c>
      <c r="F64" s="54" t="str">
        <f>'16U BOYS PLATINUM-19 TEAMS'!F66&amp;""</f>
        <v>14</v>
      </c>
      <c r="G64" s="53" t="str">
        <f>'16U BOYS PLATINUM-19 TEAMS'!G66&amp;""</f>
        <v>J3(2ndF)-TROJAN</v>
      </c>
      <c r="H64" s="54" t="str">
        <f>'16U BOYS PLATINUM-19 TEAMS'!H66&amp;""</f>
        <v>9</v>
      </c>
      <c r="I64" s="55" t="str">
        <f>'16U BOYS PLATINUM-19 TEAMS'!I66&amp;""</f>
        <v>bracket J2,J3</v>
      </c>
      <c r="J64" s="52" t="str">
        <f>'16U BOYS PLATINUM-19 TEAMS'!J66&amp;""</f>
        <v>16U_BOYS_PLATINUM</v>
      </c>
    </row>
    <row r="65" spans="1:10">
      <c r="A65" s="50">
        <f>'16U BOYS PLATINUM-19 TEAMS'!A67</f>
        <v>45725</v>
      </c>
      <c r="B65" s="45">
        <f>'16U BOYS PLATINUM-19 TEAMS'!B67</f>
        <v>0.54166666666666696</v>
      </c>
      <c r="C65" s="45" t="str">
        <f>'16U BOYS PLATINUM-19 TEAMS'!C67&amp;""</f>
        <v>MARINA HS</v>
      </c>
      <c r="D65" s="52" t="str">
        <f>'16U BOYS PLATINUM-19 TEAMS'!D67&amp;""</f>
        <v>16Bpt33</v>
      </c>
      <c r="E65" s="45" t="str">
        <f>'16U BOYS PLATINUM-19 TEAMS'!E67&amp;""</f>
        <v>K2(3rdB)-ROSE BOWL RED</v>
      </c>
      <c r="F65" s="55" t="str">
        <f>'16U BOYS PLATINUM-19 TEAMS'!F67&amp;""</f>
        <v>19</v>
      </c>
      <c r="G65" s="45" t="str">
        <f>'16U BOYS PLATINUM-19 TEAMS'!G67&amp;""</f>
        <v>K3(3rdC)-CHAWP</v>
      </c>
      <c r="H65" s="54" t="str">
        <f>'16U BOYS PLATINUM-19 TEAMS'!H67&amp;""</f>
        <v>15</v>
      </c>
      <c r="I65" s="55" t="str">
        <f>'16U BOYS PLATINUM-19 TEAMS'!I67&amp;""</f>
        <v>bracket K2,K3</v>
      </c>
      <c r="J65" s="52" t="str">
        <f>'16U BOYS PLATINUM-19 TEAMS'!J67&amp;""</f>
        <v>16U_BOYS_PLATINUM</v>
      </c>
    </row>
    <row r="66" spans="1:10">
      <c r="A66" s="50">
        <f>'16U BOYS PLATINUM-19 TEAMS'!A68</f>
        <v>45725</v>
      </c>
      <c r="B66" s="45">
        <f>'16U BOYS PLATINUM-19 TEAMS'!B68</f>
        <v>0.58333333333333304</v>
      </c>
      <c r="C66" s="45" t="str">
        <f>'16U BOYS PLATINUM-19 TEAMS'!C68&amp;""</f>
        <v>MARINA HS</v>
      </c>
      <c r="D66" s="83" t="str">
        <f>'16U BOYS PLATINUM-19 TEAMS'!D68&amp;""</f>
        <v>16Bpt35</v>
      </c>
      <c r="E66" s="53" t="str">
        <f>'16U BOYS PLATINUM-19 TEAMS'!E68&amp;""</f>
        <v>PATRIOT</v>
      </c>
      <c r="F66" s="54" t="str">
        <f>'16U BOYS PLATINUM-19 TEAMS'!F68&amp;""</f>
        <v>12</v>
      </c>
      <c r="G66" s="53" t="str">
        <f>'16U BOYS PLATINUM-19 TEAMS'!G68&amp;""</f>
        <v>L#29-TEXAS THUINDER</v>
      </c>
      <c r="H66" s="54" t="str">
        <f>'16U BOYS PLATINUM-19 TEAMS'!H68&amp;""</f>
        <v>11</v>
      </c>
      <c r="I66" s="55" t="str">
        <f>'16U BOYS PLATINUM-19 TEAMS'!I68&amp;""</f>
        <v>3rd/4thL</v>
      </c>
      <c r="J66" s="52" t="str">
        <f>'16U BOYS PLATINUM-19 TEAMS'!J68&amp;""</f>
        <v>16U_BOYS_PLATINUM</v>
      </c>
    </row>
    <row r="67" spans="1:10">
      <c r="A67" s="50">
        <f>'16U BOYS PLATINUM-19 TEAMS'!A69</f>
        <v>45725</v>
      </c>
      <c r="B67" s="45">
        <f>'16U BOYS PLATINUM-19 TEAMS'!B69</f>
        <v>0.625</v>
      </c>
      <c r="C67" s="45" t="str">
        <f>'16U BOYS PLATINUM-19 TEAMS'!C69&amp;""</f>
        <v>MARINA HS</v>
      </c>
      <c r="D67" s="83" t="str">
        <f>'16U BOYS PLATINUM-19 TEAMS'!D69&amp;""</f>
        <v>16Bpt37</v>
      </c>
      <c r="E67" s="45" t="str">
        <f>'16U BOYS PLATINUM-19 TEAMS'!E69&amp;""</f>
        <v>FOOTHILL RED</v>
      </c>
      <c r="F67" s="55" t="str">
        <f>'16U BOYS PLATINUM-19 TEAMS'!F69&amp;""</f>
        <v>8</v>
      </c>
      <c r="G67" s="45" t="str">
        <f>'16U BOYS PLATINUM-19 TEAMS'!G69&amp;""</f>
        <v>W#29-VANGUARD BLUE</v>
      </c>
      <c r="H67" s="54" t="str">
        <f>'16U BOYS PLATINUM-19 TEAMS'!H69&amp;""</f>
        <v>12</v>
      </c>
      <c r="I67" s="55" t="str">
        <f>'16U BOYS PLATINUM-19 TEAMS'!I69&amp;""</f>
        <v>1st/2ndL</v>
      </c>
      <c r="J67" s="52" t="str">
        <f>'16U BOYS PLATINUM-19 TEAMS'!J69&amp;""</f>
        <v>16U_BOYS_PLATINUM</v>
      </c>
    </row>
    <row r="68" spans="1:10">
      <c r="A68" s="50">
        <f>'16U BOYS PLATINUM-19 TEAMS'!A70</f>
        <v>45725</v>
      </c>
      <c r="B68" s="45">
        <f>'16U BOYS PLATINUM-19 TEAMS'!B70</f>
        <v>0.66666666666666696</v>
      </c>
      <c r="C68" s="45" t="str">
        <f>'16U BOYS PLATINUM-19 TEAMS'!C70&amp;""</f>
        <v>MARINA HS</v>
      </c>
      <c r="D68" s="52" t="str">
        <f>'16U BOYS PLATINUM-19 TEAMS'!D70&amp;""</f>
        <v>16Bpt39</v>
      </c>
      <c r="E68" s="53" t="str">
        <f>'16U BOYS PLATINUM-19 TEAMS'!E70&amp;""</f>
        <v>J1(2ndD)-NEWPORT</v>
      </c>
      <c r="F68" s="54" t="str">
        <f>'16U BOYS PLATINUM-19 TEAMS'!F70&amp;""</f>
        <v>9</v>
      </c>
      <c r="G68" s="53" t="str">
        <f>'16U BOYS PLATINUM-19 TEAMS'!G70&amp;""</f>
        <v>J2(2ndE)-ATHERTON</v>
      </c>
      <c r="H68" s="54" t="str">
        <f>'16U BOYS PLATINUM-19 TEAMS'!H70&amp;""</f>
        <v>10</v>
      </c>
      <c r="I68" s="55" t="str">
        <f>'16U BOYS PLATINUM-19 TEAMS'!I70&amp;""</f>
        <v>bracket J1,J2</v>
      </c>
      <c r="J68" s="52" t="str">
        <f>'16U BOYS PLATINUM-19 TEAMS'!J70&amp;""</f>
        <v>16U_BOYS_PLATINUM</v>
      </c>
    </row>
    <row r="69" spans="1:10">
      <c r="A69" s="50">
        <f>'16U BOYS PLATINUM-19 TEAMS'!A71</f>
        <v>45725</v>
      </c>
      <c r="B69" s="45">
        <f>'16U BOYS PLATINUM-19 TEAMS'!B71</f>
        <v>0.70833333333333304</v>
      </c>
      <c r="C69" s="45" t="str">
        <f>'16U BOYS PLATINUM-19 TEAMS'!C71&amp;""</f>
        <v>MARINA HS</v>
      </c>
      <c r="D69" s="52" t="str">
        <f>'16U BOYS PLATINUM-19 TEAMS'!D71&amp;""</f>
        <v>16Bpt41</v>
      </c>
      <c r="E69" s="45" t="str">
        <f>'16U BOYS PLATINUM-19 TEAMS'!E71&amp;""</f>
        <v>K1(3rdA)-DIABLO RED</v>
      </c>
      <c r="F69" s="55" t="str">
        <f>'16U BOYS PLATINUM-19 TEAMS'!F71&amp;""</f>
        <v>14</v>
      </c>
      <c r="G69" s="45" t="str">
        <f>'16U BOYS PLATINUM-19 TEAMS'!G71&amp;""</f>
        <v>K2(3rdB)-ROSE BOWL RED</v>
      </c>
      <c r="H69" s="54" t="str">
        <f>'16U BOYS PLATINUM-19 TEAMS'!H71&amp;""</f>
        <v>13</v>
      </c>
      <c r="I69" s="55" t="str">
        <f>'16U BOYS PLATINUM-19 TEAMS'!I71&amp;""</f>
        <v>bracket K1,K2</v>
      </c>
      <c r="J69" s="52" t="str">
        <f>'16U BOYS PLATINUM-19 TEAMS'!J71&amp;""</f>
        <v>16U_BOYS_PLATINUM</v>
      </c>
    </row>
    <row r="70" spans="1:10">
      <c r="A70" s="23">
        <f>'18U BOYS-24 TEAMS'!A44</f>
        <v>45724</v>
      </c>
      <c r="B70" s="24">
        <f>'18U BOYS-24 TEAMS'!B44</f>
        <v>0.375</v>
      </c>
      <c r="C70" s="25" t="str">
        <f>'18U BOYS-24 TEAMS'!C44&amp;""</f>
        <v>TUSTIN HS</v>
      </c>
      <c r="D70" s="12" t="str">
        <f>'18U BOYS-24 TEAMS'!D44&amp;""</f>
        <v>18B08</v>
      </c>
      <c r="E70" s="9" t="str">
        <f>'18U BOYS-24 TEAMS'!E44&amp;""</f>
        <v>10-SOCAL BLACK</v>
      </c>
      <c r="F70" s="9" t="str">
        <f>'18U BOYS-24 TEAMS'!F44&amp;""</f>
        <v>14</v>
      </c>
      <c r="G70" s="9" t="str">
        <f>'18U BOYS-24 TEAMS'!G44&amp;""</f>
        <v>15-DIABLO RED</v>
      </c>
      <c r="H70" s="9" t="str">
        <f>'18U BOYS-24 TEAMS'!H44&amp;""</f>
        <v>6</v>
      </c>
      <c r="I70" s="9" t="str">
        <f>'18U BOYS-24 TEAMS'!I44&amp;""</f>
        <v>W/L E2/E3</v>
      </c>
      <c r="J70" s="26" t="str">
        <f>'18U BOYS-24 TEAMS'!J45&amp;""</f>
        <v>18U_BOYS</v>
      </c>
    </row>
    <row r="71" spans="1:10">
      <c r="A71" s="23">
        <f>'18U BOYS-24 TEAMS'!A45</f>
        <v>45724</v>
      </c>
      <c r="B71" s="24">
        <f>'18U BOYS-24 TEAMS'!B45</f>
        <v>0.41666666666666702</v>
      </c>
      <c r="C71" s="25" t="str">
        <f>'18U BOYS-24 TEAMS'!C45&amp;""</f>
        <v>TUSTIN HS</v>
      </c>
      <c r="D71" s="12" t="str">
        <f>'18U BOYS-24 TEAMS'!D45&amp;""</f>
        <v>18B06</v>
      </c>
      <c r="E71" s="27" t="str">
        <f>'18U BOYS-24 TEAMS'!E45&amp;""</f>
        <v>3-DEL MAR</v>
      </c>
      <c r="F71" s="27" t="str">
        <f>'18U BOYS-24 TEAMS'!F45&amp;""</f>
        <v>13</v>
      </c>
      <c r="G71" s="27" t="str">
        <f>'18U BOYS-24 TEAMS'!G45&amp;""</f>
        <v>22-ROSE BOWL RED</v>
      </c>
      <c r="H71" s="27" t="str">
        <f>'18U BOYS-24 TEAMS'!H45&amp;""</f>
        <v>5</v>
      </c>
      <c r="I71" s="9" t="str">
        <f>'18U BOYS-24 TEAMS'!I45&amp;""</f>
        <v>W/L E1/E4</v>
      </c>
      <c r="J71" s="26" t="str">
        <f>'18U BOYS-24 TEAMS'!J44&amp;""</f>
        <v>18U_BOYS</v>
      </c>
    </row>
    <row r="72" spans="1:10">
      <c r="A72" s="23">
        <f>'18U BOYS-24 TEAMS'!A46</f>
        <v>45724</v>
      </c>
      <c r="B72" s="24">
        <f>'18U BOYS-24 TEAMS'!B46</f>
        <v>0.45833333333333298</v>
      </c>
      <c r="C72" s="25" t="str">
        <f>'18U BOYS-24 TEAMS'!C46&amp;""</f>
        <v>TUSTIN HS</v>
      </c>
      <c r="D72" s="12" t="str">
        <f>'18U BOYS-24 TEAMS'!D46&amp;""</f>
        <v>18B10</v>
      </c>
      <c r="E72" s="9" t="str">
        <f>'18U BOYS-24 TEAMS'!E46&amp;""</f>
        <v>6-CHANNEL ISLANDS UNITED GOLD</v>
      </c>
      <c r="F72" s="9" t="str">
        <f>'18U BOYS-24 TEAMS'!F46&amp;""</f>
        <v>10</v>
      </c>
      <c r="G72" s="9" t="str">
        <f>'18U BOYS-24 TEAMS'!G46&amp;""</f>
        <v>19-MONARCHY</v>
      </c>
      <c r="H72" s="9" t="str">
        <f>'18U BOYS-24 TEAMS'!H46&amp;""</f>
        <v>4</v>
      </c>
      <c r="I72" s="9" t="str">
        <f>'18U BOYS-24 TEAMS'!I46&amp;""</f>
        <v>W/L F1/F4</v>
      </c>
      <c r="J72" s="26" t="str">
        <f>'18U BOYS-24 TEAMS'!J46&amp;""</f>
        <v>18U_BOYS</v>
      </c>
    </row>
    <row r="73" spans="1:10">
      <c r="A73" s="23">
        <f>'18U BOYS-24 TEAMS'!A47</f>
        <v>45724</v>
      </c>
      <c r="B73" s="24">
        <f>'18U BOYS-24 TEAMS'!B47</f>
        <v>0.5</v>
      </c>
      <c r="C73" s="25" t="str">
        <f>'18U BOYS-24 TEAMS'!C47&amp;""</f>
        <v>TUSTIN HS</v>
      </c>
      <c r="D73" s="12" t="str">
        <f>'18U BOYS-24 TEAMS'!D47&amp;""</f>
        <v>18B12</v>
      </c>
      <c r="E73" s="27" t="str">
        <f>'18U BOYS-24 TEAMS'!E47&amp;""</f>
        <v>7-TROJAN</v>
      </c>
      <c r="F73" s="27" t="str">
        <f>'18U BOYS-24 TEAMS'!F47&amp;""</f>
        <v>12</v>
      </c>
      <c r="G73" s="27" t="str">
        <f>'18U BOYS-24 TEAMS'!G47&amp;""</f>
        <v>18-PATRIOT</v>
      </c>
      <c r="H73" s="27" t="str">
        <f>'18U BOYS-24 TEAMS'!H47&amp;""</f>
        <v>10</v>
      </c>
      <c r="I73" s="9" t="str">
        <f>'18U BOYS-24 TEAMS'!I47&amp;""</f>
        <v>W/L F2/F3</v>
      </c>
      <c r="J73" s="26" t="str">
        <f>'18U BOYS-24 TEAMS'!J47&amp;""</f>
        <v>18U_BOYS</v>
      </c>
    </row>
    <row r="74" spans="1:10">
      <c r="A74" s="23">
        <f>'18U BOYS-24 TEAMS'!A48</f>
        <v>45724</v>
      </c>
      <c r="B74" s="24">
        <f>'18U BOYS-24 TEAMS'!B48</f>
        <v>0.54166666666666696</v>
      </c>
      <c r="C74" s="25" t="str">
        <f>'18U BOYS-24 TEAMS'!C48&amp;""</f>
        <v>TUSTIN HS</v>
      </c>
      <c r="D74" s="81" t="str">
        <f>'18U BOYS-24 TEAMS'!D48&amp;""</f>
        <v>18B14</v>
      </c>
      <c r="E74" s="9" t="str">
        <f>'18U BOYS-24 TEAMS'!E48&amp;""</f>
        <v>L#2-TEXAS THUNDER</v>
      </c>
      <c r="F74" s="9" t="str">
        <f>'18U BOYS-24 TEAMS'!F48&amp;""</f>
        <v>5.5</v>
      </c>
      <c r="G74" s="9" t="str">
        <f>'18U BOYS-24 TEAMS'!G48&amp;""</f>
        <v>L#4-LA JOLLA UNITED NAVY</v>
      </c>
      <c r="H74" s="9" t="str">
        <f>'18U BOYS-24 TEAMS'!H48&amp;""</f>
        <v>5.4</v>
      </c>
      <c r="I74" s="9" t="str">
        <f>'18U BOYS-24 TEAMS'!I48&amp;""</f>
        <v>3rd/4thD</v>
      </c>
      <c r="J74" s="26" t="str">
        <f>'18U BOYS-24 TEAMS'!J48&amp;""</f>
        <v>18U_BOYS</v>
      </c>
    </row>
    <row r="75" spans="1:10">
      <c r="A75" s="23">
        <f>'18U BOYS-24 TEAMS'!A49</f>
        <v>45724</v>
      </c>
      <c r="B75" s="24">
        <f>'18U BOYS-24 TEAMS'!B49</f>
        <v>0.58333333333333304</v>
      </c>
      <c r="C75" s="25" t="str">
        <f>'18U BOYS-24 TEAMS'!C49&amp;""</f>
        <v>TUSTIN HS</v>
      </c>
      <c r="D75" s="81" t="str">
        <f>'18U BOYS-24 TEAMS'!D49&amp;""</f>
        <v>18B16</v>
      </c>
      <c r="E75" s="9" t="str">
        <f>'18U BOYS-24 TEAMS'!E49&amp;""</f>
        <v>W#2-NORTH IRVINE BEAST BOYS</v>
      </c>
      <c r="F75" s="9" t="str">
        <f>'18U BOYS-24 TEAMS'!F49&amp;""</f>
        <v>10</v>
      </c>
      <c r="G75" s="9" t="str">
        <f>'18U BOYS-24 TEAMS'!G49&amp;""</f>
        <v>W#4-STANFORD</v>
      </c>
      <c r="H75" s="9" t="str">
        <f>'18U BOYS-24 TEAMS'!H49&amp;""</f>
        <v>13</v>
      </c>
      <c r="I75" s="9" t="str">
        <f>'18U BOYS-24 TEAMS'!I49&amp;""</f>
        <v>1st/2ndD</v>
      </c>
      <c r="J75" s="26" t="str">
        <f>'18U BOYS-24 TEAMS'!J49&amp;""</f>
        <v>18U_BOYS</v>
      </c>
    </row>
    <row r="76" spans="1:10">
      <c r="A76" s="23">
        <f>'18U BOYS-24 TEAMS'!A50</f>
        <v>45724</v>
      </c>
      <c r="B76" s="24">
        <f>'18U BOYS-24 TEAMS'!B50</f>
        <v>0.625</v>
      </c>
      <c r="C76" s="25" t="str">
        <f>'18U BOYS-24 TEAMS'!C50&amp;""</f>
        <v>TUSTIN HS</v>
      </c>
      <c r="D76" s="12" t="str">
        <f>'18U BOYS-24 TEAMS'!D50&amp;""</f>
        <v>18B20</v>
      </c>
      <c r="E76" s="9" t="str">
        <f>'18U BOYS-24 TEAMS'!E50&amp;""</f>
        <v>W#6-DEL MAR</v>
      </c>
      <c r="F76" s="27" t="str">
        <f>'18U BOYS-24 TEAMS'!F50&amp;""</f>
        <v>10</v>
      </c>
      <c r="G76" s="9" t="str">
        <f>'18U BOYS-24 TEAMS'!G50&amp;""</f>
        <v>W#8-SOCAL BLACK</v>
      </c>
      <c r="H76" s="27" t="str">
        <f>'18U BOYS-24 TEAMS'!H50&amp;""</f>
        <v>9</v>
      </c>
      <c r="I76" s="9" t="str">
        <f>'18U BOYS-24 TEAMS'!I50&amp;""</f>
        <v>1st/2nd E</v>
      </c>
      <c r="J76" s="26" t="str">
        <f>'18U BOYS-24 TEAMS'!J50&amp;""</f>
        <v>18U_BOYS</v>
      </c>
    </row>
    <row r="77" spans="1:10">
      <c r="A77" s="23">
        <f>'18U BOYS-24 TEAMS'!A52</f>
        <v>45724</v>
      </c>
      <c r="B77" s="24">
        <f>'18U BOYS-24 TEAMS'!B52</f>
        <v>0.66666666666666696</v>
      </c>
      <c r="C77" s="25" t="str">
        <f>'18U BOYS-24 TEAMS'!C52&amp;""</f>
        <v>TUSTIN HS</v>
      </c>
      <c r="D77" s="12" t="str">
        <f>'18U BOYS-24 TEAMS'!D52&amp;""</f>
        <v>18B22</v>
      </c>
      <c r="E77" s="9" t="str">
        <f>'18U BOYS-24 TEAMS'!E52&amp;""</f>
        <v>L#10-MONARCHY</v>
      </c>
      <c r="F77" s="27" t="str">
        <f>'18U BOYS-24 TEAMS'!F52&amp;""</f>
        <v>10.3</v>
      </c>
      <c r="G77" s="9" t="str">
        <f>'18U BOYS-24 TEAMS'!G52&amp;""</f>
        <v>L#12-PATRIOT</v>
      </c>
      <c r="H77" s="27" t="str">
        <f>'18U BOYS-24 TEAMS'!H52&amp;""</f>
        <v>10.4</v>
      </c>
      <c r="I77" s="9" t="str">
        <f>'18U BOYS-24 TEAMS'!I52&amp;""</f>
        <v>3rd/4th F</v>
      </c>
      <c r="J77" s="26" t="str">
        <f>'18U BOYS-24 TEAMS'!J52&amp;""</f>
        <v>18U_BOYS</v>
      </c>
    </row>
    <row r="78" spans="1:10">
      <c r="A78" s="23">
        <f>'18U BOYS-24 TEAMS'!A53</f>
        <v>45724</v>
      </c>
      <c r="B78" s="24">
        <f>'18U BOYS-24 TEAMS'!B53</f>
        <v>0.70833333333333304</v>
      </c>
      <c r="C78" s="25" t="str">
        <f>'18U BOYS-24 TEAMS'!C53&amp;""</f>
        <v>TUSTIN HS</v>
      </c>
      <c r="D78" s="12" t="str">
        <f>'18U BOYS-24 TEAMS'!D53&amp;""</f>
        <v>18B24</v>
      </c>
      <c r="E78" s="9" t="str">
        <f>'18U BOYS-24 TEAMS'!E53&amp;""</f>
        <v>W#10-CHANNEL ISLANDS UNITED GOLD</v>
      </c>
      <c r="F78" s="27" t="str">
        <f>'18U BOYS-24 TEAMS'!F53&amp;""</f>
        <v>9</v>
      </c>
      <c r="G78" s="9" t="str">
        <f>'18U BOYS-24 TEAMS'!G53&amp;""</f>
        <v>W#12-TROJAN</v>
      </c>
      <c r="H78" s="27" t="str">
        <f>'18U BOYS-24 TEAMS'!H53&amp;""</f>
        <v>8</v>
      </c>
      <c r="I78" s="9" t="str">
        <f>'18U BOYS-24 TEAMS'!I53&amp;""</f>
        <v>1st/2nd F</v>
      </c>
      <c r="J78" s="26" t="str">
        <f>'18U BOYS-24 TEAMS'!J53&amp;""</f>
        <v>18U_BOYS</v>
      </c>
    </row>
    <row r="79" spans="1:10">
      <c r="A79" s="23">
        <f>'18U BOYS-24 TEAMS'!A54</f>
        <v>45724</v>
      </c>
      <c r="B79" s="24">
        <f>'18U BOYS-24 TEAMS'!B54</f>
        <v>0.75</v>
      </c>
      <c r="C79" s="25" t="str">
        <f>'18U BOYS-24 TEAMS'!C54&amp;""</f>
        <v>TUSTIN HS</v>
      </c>
      <c r="D79" s="12" t="str">
        <f>'18U BOYS-24 TEAMS'!D54&amp;""</f>
        <v>18B26</v>
      </c>
      <c r="E79" s="27" t="str">
        <f>'18U BOYS-24 TEAMS'!E54&amp;""</f>
        <v>H1(1stD)-STANFORD</v>
      </c>
      <c r="F79" s="27" t="str">
        <f>'18U BOYS-24 TEAMS'!F54&amp;""</f>
        <v>13</v>
      </c>
      <c r="G79" s="27" t="str">
        <f>'18U BOYS-24 TEAMS'!G54&amp;""</f>
        <v>H2(1stE)-DEL MAR</v>
      </c>
      <c r="H79" s="27" t="str">
        <f>'18U BOYS-24 TEAMS'!H54&amp;""</f>
        <v>12</v>
      </c>
      <c r="I79" s="9" t="str">
        <f>'18U BOYS-24 TEAMS'!I54&amp;""</f>
        <v>H bracket 1D/1E</v>
      </c>
      <c r="J79" s="26" t="str">
        <f>'18U BOYS-24 TEAMS'!J54&amp;""</f>
        <v>18U_BOYS</v>
      </c>
    </row>
    <row r="80" spans="1:10">
      <c r="A80" s="18">
        <f>'18U BOYS-24 TEAMS'!A58</f>
        <v>45725</v>
      </c>
      <c r="B80" s="19">
        <f>'18U BOYS-24 TEAMS'!B58</f>
        <v>0.33333333333333331</v>
      </c>
      <c r="C80" s="20" t="str">
        <f>'18U BOYS-24 TEAMS'!C58&amp;""</f>
        <v>TUSTIN HS</v>
      </c>
      <c r="D80" s="21" t="str">
        <f>'18U BOYS-24 TEAMS'!D58&amp;""</f>
        <v>18B27</v>
      </c>
      <c r="E80" s="35" t="str">
        <f>'18U BOYS-24 TEAMS'!E58&amp;""</f>
        <v>I1(2ndA)-VANGUARD BLUE</v>
      </c>
      <c r="F80" s="35" t="str">
        <f>'18U BOYS-24 TEAMS'!F58&amp;""</f>
        <v>6</v>
      </c>
      <c r="G80" s="35" t="str">
        <f>'18U BOYS-24 TEAMS'!G58&amp;""</f>
        <v>I3(2ndC)-SD SHORES BLACK</v>
      </c>
      <c r="H80" s="35" t="str">
        <f>'18U BOYS-24 TEAMS'!H58&amp;""</f>
        <v>7</v>
      </c>
      <c r="I80" s="8" t="str">
        <f>'18U BOYS-24 TEAMS'!I58&amp;""</f>
        <v>I bracket I1,I3</v>
      </c>
      <c r="J80" s="21" t="str">
        <f>'18U BOYS-24 TEAMS'!J58&amp;""</f>
        <v>18U_BOYS</v>
      </c>
    </row>
    <row r="81" spans="1:10">
      <c r="A81" s="18">
        <f>'18U BOYS-24 TEAMS'!A59</f>
        <v>45725</v>
      </c>
      <c r="B81" s="19">
        <f>'18U BOYS-24 TEAMS'!B59</f>
        <v>0.375</v>
      </c>
      <c r="C81" s="20" t="str">
        <f>'18U BOYS-24 TEAMS'!C59&amp;""</f>
        <v>TUSTIN HS</v>
      </c>
      <c r="D81" s="21" t="str">
        <f>'18U BOYS-24 TEAMS'!D59&amp;""</f>
        <v>18B30</v>
      </c>
      <c r="E81" s="35" t="str">
        <f>'18U BOYS-24 TEAMS'!E59&amp;""</f>
        <v>G1(1stA)-LAMORINDA</v>
      </c>
      <c r="F81" s="35" t="str">
        <f>'18U BOYS-24 TEAMS'!F59&amp;""</f>
        <v>6</v>
      </c>
      <c r="G81" s="35" t="str">
        <f>'18U BOYS-24 TEAMS'!G59&amp;""</f>
        <v>G2(1stB)-NEWPORT</v>
      </c>
      <c r="H81" s="35" t="str">
        <f>'18U BOYS-24 TEAMS'!H59&amp;""</f>
        <v>7</v>
      </c>
      <c r="I81" s="8" t="str">
        <f>'18U BOYS-24 TEAMS'!I59&amp;""</f>
        <v>G bracket G1,G3</v>
      </c>
      <c r="J81" s="21" t="str">
        <f>'18U BOYS-24 TEAMS'!J59&amp;""</f>
        <v>18U_BOYS</v>
      </c>
    </row>
    <row r="82" spans="1:10">
      <c r="A82" s="18">
        <f>'18U BOYS-24 TEAMS'!A60</f>
        <v>45725</v>
      </c>
      <c r="B82" s="19">
        <f>'18U BOYS-24 TEAMS'!B60</f>
        <v>0.41666666666666702</v>
      </c>
      <c r="C82" s="20" t="str">
        <f>'18U BOYS-24 TEAMS'!C60&amp;""</f>
        <v>TUSTIN HS</v>
      </c>
      <c r="D82" s="21" t="str">
        <f>'18U BOYS-24 TEAMS'!D60&amp;""</f>
        <v>18B33</v>
      </c>
      <c r="E82" s="35" t="str">
        <f>'18U BOYS-24 TEAMS'!E60&amp;""</f>
        <v>H1(1stD)-STANFORD</v>
      </c>
      <c r="F82" s="35" t="str">
        <f>'18U BOYS-24 TEAMS'!F60&amp;""</f>
        <v>10.3</v>
      </c>
      <c r="G82" s="35" t="str">
        <f>'18U BOYS-24 TEAMS'!G60&amp;""</f>
        <v>H3(1stF)-CHANNEL ISLANDS UNITED GOLD</v>
      </c>
      <c r="H82" s="35" t="str">
        <f>'18U BOYS-24 TEAMS'!H60&amp;""</f>
        <v>10.4</v>
      </c>
      <c r="I82" s="8" t="str">
        <f>'18U BOYS-24 TEAMS'!I60&amp;""</f>
        <v>H bracket H1,H3</v>
      </c>
      <c r="J82" s="21" t="str">
        <f>'18U BOYS-24 TEAMS'!J60&amp;""</f>
        <v>18U_BOYS</v>
      </c>
    </row>
    <row r="83" spans="1:10">
      <c r="A83" s="18">
        <f>'18U BOYS-24 TEAMS'!A61</f>
        <v>45725</v>
      </c>
      <c r="B83" s="19">
        <f>'18U BOYS-24 TEAMS'!B61</f>
        <v>0.45833333333333298</v>
      </c>
      <c r="C83" s="20" t="str">
        <f>'18U BOYS-24 TEAMS'!C61&amp;""</f>
        <v>TUSTIN HS</v>
      </c>
      <c r="D83" s="21" t="str">
        <f>'18U BOYS-24 TEAMS'!D61&amp;""</f>
        <v>18B36</v>
      </c>
      <c r="E83" s="35" t="str">
        <f>'18U BOYS-24 TEAMS'!E61&amp;""</f>
        <v>I2(2ndB)-SAN FRANCISCO</v>
      </c>
      <c r="F83" s="35" t="str">
        <f>'18U BOYS-24 TEAMS'!F61&amp;""</f>
        <v>11</v>
      </c>
      <c r="G83" s="35" t="str">
        <f>'18U BOYS-24 TEAMS'!G61&amp;""</f>
        <v>I3(2ndC)-SD SHORES BLACK</v>
      </c>
      <c r="H83" s="35" t="str">
        <f>'18U BOYS-24 TEAMS'!H61&amp;""</f>
        <v>8</v>
      </c>
      <c r="I83" s="8" t="str">
        <f>'18U BOYS-24 TEAMS'!I61&amp;""</f>
        <v>I bracket I2,I3</v>
      </c>
      <c r="J83" s="21" t="str">
        <f>'18U BOYS-24 TEAMS'!J61&amp;""</f>
        <v>18U_BOYS</v>
      </c>
    </row>
    <row r="84" spans="1:10">
      <c r="A84" s="18">
        <f>'18U BOYS-24 TEAMS'!A62</f>
        <v>45725</v>
      </c>
      <c r="B84" s="19">
        <f>'18U BOYS-24 TEAMS'!B62</f>
        <v>0.5</v>
      </c>
      <c r="C84" s="20" t="str">
        <f>'18U BOYS-24 TEAMS'!C62&amp;""</f>
        <v>TUSTIN HS</v>
      </c>
      <c r="D84" s="21" t="str">
        <f>'18U BOYS-24 TEAMS'!D62&amp;""</f>
        <v>18B39</v>
      </c>
      <c r="E84" s="35" t="str">
        <f>'18U BOYS-24 TEAMS'!E62&amp;""</f>
        <v>G2(1stB)-NEWPORT</v>
      </c>
      <c r="F84" s="35" t="str">
        <f>'18U BOYS-24 TEAMS'!F62&amp;""</f>
        <v>13</v>
      </c>
      <c r="G84" s="35" t="str">
        <f>'18U BOYS-24 TEAMS'!G62&amp;""</f>
        <v>G2(1stC)-CC UNITED</v>
      </c>
      <c r="H84" s="35" t="str">
        <f>'18U BOYS-24 TEAMS'!H62&amp;""</f>
        <v>6</v>
      </c>
      <c r="I84" s="8" t="str">
        <f>'18U BOYS-24 TEAMS'!I62&amp;""</f>
        <v>G bracket G2,G3</v>
      </c>
      <c r="J84" s="21" t="str">
        <f>'18U BOYS-24 TEAMS'!J62&amp;""</f>
        <v>18U_BOYS</v>
      </c>
    </row>
    <row r="85" spans="1:10">
      <c r="A85" s="18">
        <f>'18U BOYS-24 TEAMS'!A63</f>
        <v>45725</v>
      </c>
      <c r="B85" s="19">
        <f>'18U BOYS-24 TEAMS'!B63</f>
        <v>0.54166666666666696</v>
      </c>
      <c r="C85" s="20" t="str">
        <f>'18U BOYS-24 TEAMS'!C63&amp;""</f>
        <v>TUSTIN HS</v>
      </c>
      <c r="D85" s="21" t="str">
        <f>'18U BOYS-24 TEAMS'!D63&amp;""</f>
        <v>18B42</v>
      </c>
      <c r="E85" s="35" t="str">
        <f>'18U BOYS-24 TEAMS'!E63&amp;""</f>
        <v>H2(1stE)-DEL MAR</v>
      </c>
      <c r="F85" s="35" t="str">
        <f>'18U BOYS-24 TEAMS'!F63&amp;""</f>
        <v>10.1</v>
      </c>
      <c r="G85" s="35" t="str">
        <f>'18U BOYS-24 TEAMS'!G63&amp;""</f>
        <v>H3(1stF)-CHANNEL ISLANDS UNITED GOLD</v>
      </c>
      <c r="H85" s="35" t="str">
        <f>'18U BOYS-24 TEAMS'!H63&amp;""</f>
        <v>10.2</v>
      </c>
      <c r="I85" s="8" t="str">
        <f>'18U BOYS-24 TEAMS'!I63&amp;""</f>
        <v>H bracket H2,H3</v>
      </c>
      <c r="J85" s="21" t="str">
        <f>'18U BOYS-24 TEAMS'!J63&amp;""</f>
        <v>18U_BOYS</v>
      </c>
    </row>
    <row r="86" spans="1:10">
      <c r="A86" s="18">
        <f>'18U BOYS-24 TEAMS'!A64</f>
        <v>45725</v>
      </c>
      <c r="B86" s="19">
        <f>'18U BOYS-24 TEAMS'!B64</f>
        <v>0.58333333333333304</v>
      </c>
      <c r="C86" s="20" t="str">
        <f>'18U BOYS-24 TEAMS'!C64&amp;""</f>
        <v>TUSTIN HS</v>
      </c>
      <c r="D86" s="21" t="str">
        <f>'18U BOYS-24 TEAMS'!D64&amp;""</f>
        <v>18B45</v>
      </c>
      <c r="E86" s="35" t="str">
        <f>'18U BOYS-24 TEAMS'!E64&amp;""</f>
        <v>I1(2ndA)-VANGUARD BLUE</v>
      </c>
      <c r="F86" s="35" t="str">
        <f>'18U BOYS-24 TEAMS'!F64&amp;""</f>
        <v>9</v>
      </c>
      <c r="G86" s="35" t="str">
        <f>'18U BOYS-24 TEAMS'!G64&amp;""</f>
        <v>I2(2ndB)-SAN FRANCISCO</v>
      </c>
      <c r="H86" s="35" t="str">
        <f>'18U BOYS-24 TEAMS'!H64&amp;""</f>
        <v>13</v>
      </c>
      <c r="I86" s="8" t="str">
        <f>'18U BOYS-24 TEAMS'!I64&amp;""</f>
        <v>I bracket I1,2</v>
      </c>
      <c r="J86" s="21" t="str">
        <f>'18U BOYS-24 TEAMS'!J64&amp;""</f>
        <v>18U_BOYS</v>
      </c>
    </row>
    <row r="87" spans="1:10">
      <c r="A87" s="18">
        <f>'18U BOYS-24 TEAMS'!A65</f>
        <v>45725</v>
      </c>
      <c r="B87" s="19">
        <f>'18U BOYS-24 TEAMS'!B65</f>
        <v>0.625</v>
      </c>
      <c r="C87" s="20" t="str">
        <f>'18U BOYS-24 TEAMS'!C65&amp;""</f>
        <v>TUSTIN HS</v>
      </c>
      <c r="D87" s="21" t="str">
        <f>'18U BOYS-24 TEAMS'!D65&amp;""</f>
        <v>18B47</v>
      </c>
      <c r="E87" s="35" t="str">
        <f>'18U BOYS-24 TEAMS'!E65&amp;""</f>
        <v>P1(3rdG)-CC UNITED</v>
      </c>
      <c r="F87" s="35" t="str">
        <f>'18U BOYS-24 TEAMS'!F65&amp;""</f>
        <v>6</v>
      </c>
      <c r="G87" s="35" t="str">
        <f>'18U BOYS-24 TEAMS'!G65&amp;""</f>
        <v>P2(3rdH)-DEL MAR</v>
      </c>
      <c r="H87" s="35" t="str">
        <f>'18U BOYS-24 TEAMS'!H65&amp;""</f>
        <v>8</v>
      </c>
      <c r="I87" s="8" t="str">
        <f>'18U BOYS-24 TEAMS'!I65&amp;""</f>
        <v>5th 3G/3H</v>
      </c>
      <c r="J87" s="21" t="str">
        <f>'18U BOYS-24 TEAMS'!J65&amp;""</f>
        <v>18U_BOYS</v>
      </c>
    </row>
    <row r="88" spans="1:10">
      <c r="A88" s="18">
        <f>'18U BOYS-24 TEAMS'!A66</f>
        <v>45725</v>
      </c>
      <c r="B88" s="19">
        <f>'18U BOYS-24 TEAMS'!B66</f>
        <v>0.66666666666666696</v>
      </c>
      <c r="C88" s="20" t="str">
        <f>'18U BOYS-24 TEAMS'!C66&amp;""</f>
        <v>TUSTIN HS</v>
      </c>
      <c r="D88" s="21" t="str">
        <f>'18U BOYS-24 TEAMS'!D66&amp;""</f>
        <v>18B49</v>
      </c>
      <c r="E88" s="35" t="str">
        <f>'18U BOYS-24 TEAMS'!E66&amp;""</f>
        <v>N1(2ndG)-LAMORINDA</v>
      </c>
      <c r="F88" s="35" t="str">
        <f>'18U BOYS-24 TEAMS'!F66&amp;""</f>
        <v>11</v>
      </c>
      <c r="G88" s="35" t="str">
        <f>'18U BOYS-24 TEAMS'!G66&amp;""</f>
        <v>N2(2ndH)-STANFORD</v>
      </c>
      <c r="H88" s="35" t="str">
        <f>'18U BOYS-24 TEAMS'!H66&amp;""</f>
        <v>9</v>
      </c>
      <c r="I88" s="8" t="str">
        <f>'18U BOYS-24 TEAMS'!I66&amp;""</f>
        <v>3rd 2G/2H</v>
      </c>
      <c r="J88" s="21" t="str">
        <f>'18U BOYS-24 TEAMS'!J66&amp;""</f>
        <v>18U_BOYS</v>
      </c>
    </row>
    <row r="89" spans="1:10">
      <c r="A89" s="18">
        <f>'18U BOYS-24 TEAMS'!A67</f>
        <v>45725</v>
      </c>
      <c r="B89" s="19">
        <f>'18U BOYS-24 TEAMS'!B67</f>
        <v>0.70833333333333304</v>
      </c>
      <c r="C89" s="20" t="str">
        <f>'18U BOYS-24 TEAMS'!C67&amp;""</f>
        <v>TUSTIN HS</v>
      </c>
      <c r="D89" s="21" t="str">
        <f>'18U BOYS-24 TEAMS'!D67&amp;""</f>
        <v>18B51</v>
      </c>
      <c r="E89" s="35" t="str">
        <f>'18U BOYS-24 TEAMS'!E67&amp;""</f>
        <v>O1(1stG)-NEWPORT</v>
      </c>
      <c r="F89" s="35" t="str">
        <f>'18U BOYS-24 TEAMS'!F67&amp;""</f>
        <v>12</v>
      </c>
      <c r="G89" s="35" t="str">
        <f>'18U BOYS-24 TEAMS'!G67&amp;""</f>
        <v>O2(1stH)-CHANNEL ISLANDS UNITED GOLD</v>
      </c>
      <c r="H89" s="35" t="str">
        <f>'18U BOYS-24 TEAMS'!H67&amp;""</f>
        <v>5</v>
      </c>
      <c r="I89" s="8" t="str">
        <f>'18U BOYS-24 TEAMS'!I67&amp;""</f>
        <v>1st 1G/1H</v>
      </c>
      <c r="J89" s="21" t="str">
        <f>'18U BOYS-24 TEAMS'!J67&amp;""</f>
        <v>18U_BOYS</v>
      </c>
    </row>
    <row r="90" spans="1:10">
      <c r="A90" s="46">
        <f>'16U BOYS PLATINUM-19 TEAMS'!A24</f>
        <v>45724</v>
      </c>
      <c r="B90" s="47">
        <f>'16U BOYS PLATINUM-19 TEAMS'!B24</f>
        <v>0.33333333333333331</v>
      </c>
      <c r="C90" s="47" t="str">
        <f>'16U BOYS PLATINUM-19 TEAMS'!C24&amp;""</f>
        <v>WESTMINSTER HS</v>
      </c>
      <c r="D90" s="48" t="str">
        <f>'16U BOYS PLATINUM-19 TEAMS'!D24&amp;""</f>
        <v>16Bpt01</v>
      </c>
      <c r="E90" s="48" t="str">
        <f>'16U BOYS PLATINUM-19 TEAMS'!E24&amp;""</f>
        <v>C1-STANFORD</v>
      </c>
      <c r="F90" s="48" t="str">
        <f>'16U BOYS PLATINUM-19 TEAMS'!F24&amp;""</f>
        <v>18</v>
      </c>
      <c r="G90" s="48" t="str">
        <f>'16U BOYS PLATINUM-19 TEAMS'!G24&amp;""</f>
        <v>C3-CHAWP</v>
      </c>
      <c r="H90" s="48" t="str">
        <f>'16U BOYS PLATINUM-19 TEAMS'!H24&amp;""</f>
        <v>10</v>
      </c>
      <c r="I90" s="48" t="str">
        <f>'16U BOYS PLATINUM-19 TEAMS'!I24&amp;""</f>
        <v>C bracket C1,C3</v>
      </c>
      <c r="J90" s="48" t="str">
        <f>'16U BOYS PLATINUM-19 TEAMS'!J24&amp;""</f>
        <v>16U_BOYS_PLATINUM</v>
      </c>
    </row>
    <row r="91" spans="1:10">
      <c r="A91" s="46">
        <f>'16U BOYS PLATINUM-19 TEAMS'!A25</f>
        <v>45724</v>
      </c>
      <c r="B91" s="47">
        <f>'16U BOYS PLATINUM-19 TEAMS'!B25</f>
        <v>0.375</v>
      </c>
      <c r="C91" s="47" t="str">
        <f>'16U BOYS PLATINUM-19 TEAMS'!C25&amp;""</f>
        <v>WESTMINSTER HS</v>
      </c>
      <c r="D91" s="48" t="str">
        <f>'16U BOYS PLATINUM-19 TEAMS'!D25&amp;""</f>
        <v>16Bpt03</v>
      </c>
      <c r="E91" s="48" t="str">
        <f>'16U BOYS PLATINUM-19 TEAMS'!E25&amp;""</f>
        <v>A1-DEL MAR</v>
      </c>
      <c r="F91" s="48" t="str">
        <f>'16U BOYS PLATINUM-19 TEAMS'!F25&amp;""</f>
        <v>18</v>
      </c>
      <c r="G91" s="48" t="str">
        <f>'16U BOYS PLATINUM-19 TEAMS'!G25&amp;""</f>
        <v>A3-NORTH IRVINE BLACK</v>
      </c>
      <c r="H91" s="48" t="str">
        <f>'16U BOYS PLATINUM-19 TEAMS'!H25&amp;""</f>
        <v>9</v>
      </c>
      <c r="I91" s="48" t="str">
        <f>'16U BOYS PLATINUM-19 TEAMS'!I25&amp;""</f>
        <v>A bracket A1,A3</v>
      </c>
      <c r="J91" s="48" t="str">
        <f>'16U BOYS PLATINUM-19 TEAMS'!J25&amp;""</f>
        <v>16U_BOYS_PLATINUM</v>
      </c>
    </row>
    <row r="92" spans="1:10">
      <c r="A92" s="46">
        <f>'16U BOYS PLATINUM-19 TEAMS'!A26</f>
        <v>45724</v>
      </c>
      <c r="B92" s="47">
        <f>'16U BOYS PLATINUM-19 TEAMS'!B26</f>
        <v>0.41666666666666702</v>
      </c>
      <c r="C92" s="47" t="str">
        <f>'16U BOYS PLATINUM-19 TEAMS'!C26&amp;""</f>
        <v>WESTMINSTER HS</v>
      </c>
      <c r="D92" s="48" t="str">
        <f>'16U BOYS PLATINUM-19 TEAMS'!D26&amp;""</f>
        <v>16Bpt05</v>
      </c>
      <c r="E92" s="48" t="str">
        <f>'16U BOYS PLATINUM-19 TEAMS'!E26&amp;""</f>
        <v>B2-ORANGE COUNTY WPC BLUE</v>
      </c>
      <c r="F92" s="48" t="str">
        <f>'16U BOYS PLATINUM-19 TEAMS'!F26&amp;""</f>
        <v>15</v>
      </c>
      <c r="G92" s="48" t="str">
        <f>'16U BOYS PLATINUM-19 TEAMS'!G26&amp;""</f>
        <v>B3-ROSE BOWL RED</v>
      </c>
      <c r="H92" s="48" t="str">
        <f>'16U BOYS PLATINUM-19 TEAMS'!H26&amp;""</f>
        <v>8</v>
      </c>
      <c r="I92" s="48" t="str">
        <f>'16U BOYS PLATINUM-19 TEAMS'!I26&amp;""</f>
        <v>B bracket B2,B3</v>
      </c>
      <c r="J92" s="48" t="str">
        <f>'16U BOYS PLATINUM-19 TEAMS'!J26&amp;""</f>
        <v>16U_BOYS_PLATINUM</v>
      </c>
    </row>
    <row r="93" spans="1:10">
      <c r="A93" s="18">
        <f>'18U BOYS-24 TEAMS'!A32</f>
        <v>45724</v>
      </c>
      <c r="B93" s="19">
        <f>'18U BOYS-24 TEAMS'!B32</f>
        <v>0.45833333333333298</v>
      </c>
      <c r="C93" s="20" t="str">
        <f>'18U BOYS-24 TEAMS'!C32&amp;""</f>
        <v>WESTMINSTER HS</v>
      </c>
      <c r="D93" s="21" t="str">
        <f>'18U BOYS-24 TEAMS'!D32&amp;""</f>
        <v>18B09</v>
      </c>
      <c r="E93" s="114" t="str">
        <f>'18U BOYS-24 TEAMS'!E32&amp;""</f>
        <v>4-NEWPORT</v>
      </c>
      <c r="F93" s="21" t="str">
        <f>'18U BOYS-24 TEAMS'!F32&amp;""</f>
        <v>10</v>
      </c>
      <c r="G93" s="21" t="str">
        <f>'18U BOYS-24 TEAMS'!G32&amp;""</f>
        <v>21-ORANGE COUNTY WPC BLUE</v>
      </c>
      <c r="H93" s="8" t="str">
        <f>'18U BOYS-24 TEAMS'!H32&amp;""</f>
        <v>5</v>
      </c>
      <c r="I93" s="8" t="str">
        <f>'18U BOYS-24 TEAMS'!I32&amp;""</f>
        <v>W/L B1/B4</v>
      </c>
      <c r="J93" s="21" t="str">
        <f>'18U BOYS-24 TEAMS'!J32&amp;""</f>
        <v>18U_BOYS</v>
      </c>
    </row>
    <row r="94" spans="1:10">
      <c r="A94" s="46">
        <f>'16U BOYS PLATINUM-19 TEAMS'!A28</f>
        <v>45724</v>
      </c>
      <c r="B94" s="47">
        <f>'16U BOYS PLATINUM-19 TEAMS'!B28</f>
        <v>0.5</v>
      </c>
      <c r="C94" s="47" t="str">
        <f>'16U BOYS PLATINUM-19 TEAMS'!C28&amp;""</f>
        <v>WESTMINSTER HS</v>
      </c>
      <c r="D94" s="48" t="str">
        <f>'16U BOYS PLATINUM-19 TEAMS'!D28&amp;""</f>
        <v>16Bpt07</v>
      </c>
      <c r="E94" s="48" t="str">
        <f>'16U BOYS PLATINUM-19 TEAMS'!E28&amp;""</f>
        <v>C2-LA JOLLA UNITED NAVY</v>
      </c>
      <c r="F94" s="48" t="str">
        <f>'16U BOYS PLATINUM-19 TEAMS'!F28&amp;""</f>
        <v>15</v>
      </c>
      <c r="G94" s="48" t="str">
        <f>'16U BOYS PLATINUM-19 TEAMS'!G28&amp;""</f>
        <v>C3-CHAWP</v>
      </c>
      <c r="H94" s="48" t="str">
        <f>'16U BOYS PLATINUM-19 TEAMS'!H28&amp;""</f>
        <v>8</v>
      </c>
      <c r="I94" s="48" t="str">
        <f>'16U BOYS PLATINUM-19 TEAMS'!I28&amp;""</f>
        <v>C bracket C2,C3</v>
      </c>
      <c r="J94" s="48" t="str">
        <f>'16U BOYS PLATINUM-19 TEAMS'!J28&amp;""</f>
        <v>16U_BOYS_PLATINUM</v>
      </c>
    </row>
    <row r="95" spans="1:10">
      <c r="A95" s="46">
        <f>'16U BOYS PLATINUM-19 TEAMS'!A29</f>
        <v>45724</v>
      </c>
      <c r="B95" s="47">
        <f>'16U BOYS PLATINUM-19 TEAMS'!B29</f>
        <v>0.54166666666666696</v>
      </c>
      <c r="C95" s="47" t="str">
        <f>'16U BOYS PLATINUM-19 TEAMS'!C29&amp;""</f>
        <v>WESTMINSTER HS</v>
      </c>
      <c r="D95" s="48" t="str">
        <f>'16U BOYS PLATINUM-19 TEAMS'!D29&amp;""</f>
        <v>16Bpt09</v>
      </c>
      <c r="E95" s="48" t="str">
        <f>'16U BOYS PLATINUM-19 TEAMS'!E29&amp;""</f>
        <v>A2-DIABLO RED</v>
      </c>
      <c r="F95" s="48" t="str">
        <f>'16U BOYS PLATINUM-19 TEAMS'!F29&amp;""</f>
        <v>8</v>
      </c>
      <c r="G95" s="48" t="str">
        <f>'16U BOYS PLATINUM-19 TEAMS'!G29&amp;""</f>
        <v>A3-NORTH IRVINE BLACK</v>
      </c>
      <c r="H95" s="48" t="str">
        <f>'16U BOYS PLATINUM-19 TEAMS'!H29&amp;""</f>
        <v>14</v>
      </c>
      <c r="I95" s="48" t="str">
        <f>'16U BOYS PLATINUM-19 TEAMS'!I29&amp;""</f>
        <v>A bracket A2,A3</v>
      </c>
      <c r="J95" s="48" t="str">
        <f>'16U BOYS PLATINUM-19 TEAMS'!J29&amp;""</f>
        <v>16U_BOYS_PLATINUM</v>
      </c>
    </row>
    <row r="96" spans="1:10">
      <c r="A96" s="46">
        <f>'16U BOYS PLATINUM-19 TEAMS'!A30</f>
        <v>45724</v>
      </c>
      <c r="B96" s="47">
        <f>'16U BOYS PLATINUM-19 TEAMS'!B30</f>
        <v>0.58333333333333304</v>
      </c>
      <c r="C96" s="47" t="str">
        <f>'16U BOYS PLATINUM-19 TEAMS'!C30&amp;""</f>
        <v>WESTMINSTER HS</v>
      </c>
      <c r="D96" s="48" t="str">
        <f>'16U BOYS PLATINUM-19 TEAMS'!D30&amp;""</f>
        <v>16Bpt11</v>
      </c>
      <c r="E96" s="48" t="str">
        <f>'16U BOYS PLATINUM-19 TEAMS'!E30&amp;""</f>
        <v>B1-CHANNEL ISLANDS UNITED GOLD</v>
      </c>
      <c r="F96" s="48" t="str">
        <f>'16U BOYS PLATINUM-19 TEAMS'!F30&amp;""</f>
        <v>17</v>
      </c>
      <c r="G96" s="48" t="str">
        <f>'16U BOYS PLATINUM-19 TEAMS'!G30&amp;""</f>
        <v>B3-ROSE BOWL RED</v>
      </c>
      <c r="H96" s="48" t="str">
        <f>'16U BOYS PLATINUM-19 TEAMS'!H30&amp;""</f>
        <v>5</v>
      </c>
      <c r="I96" s="48" t="str">
        <f>'16U BOYS PLATINUM-19 TEAMS'!I30&amp;""</f>
        <v>B bracket B1,B3</v>
      </c>
      <c r="J96" s="48" t="str">
        <f>'16U BOYS PLATINUM-19 TEAMS'!J30&amp;""</f>
        <v>16U_BOYS_PLATINUM</v>
      </c>
    </row>
    <row r="97" spans="1:10">
      <c r="A97" s="46">
        <f>'16U BOYS PLATINUM-19 TEAMS'!A31</f>
        <v>45724</v>
      </c>
      <c r="B97" s="47">
        <f>'16U BOYS PLATINUM-19 TEAMS'!B31</f>
        <v>0.625</v>
      </c>
      <c r="C97" s="47" t="str">
        <f>'16U BOYS PLATINUM-19 TEAMS'!C31&amp;""</f>
        <v>WESTMINSTER HS</v>
      </c>
      <c r="D97" s="48" t="str">
        <f>'16U BOYS PLATINUM-19 TEAMS'!D31&amp;""</f>
        <v>16Bpt13</v>
      </c>
      <c r="E97" s="48" t="str">
        <f>'16U BOYS PLATINUM-19 TEAMS'!E31&amp;""</f>
        <v>C1-STANFORD</v>
      </c>
      <c r="F97" s="48" t="str">
        <f>'16U BOYS PLATINUM-19 TEAMS'!F31&amp;""</f>
        <v>17</v>
      </c>
      <c r="G97" s="48" t="str">
        <f>'16U BOYS PLATINUM-19 TEAMS'!G31&amp;""</f>
        <v>C2-LA JOLLA UNITED NAVY</v>
      </c>
      <c r="H97" s="48" t="str">
        <f>'16U BOYS PLATINUM-19 TEAMS'!H31&amp;""</f>
        <v>10</v>
      </c>
      <c r="I97" s="48" t="str">
        <f>'16U BOYS PLATINUM-19 TEAMS'!I31&amp;""</f>
        <v>C bracket C1,C2</v>
      </c>
      <c r="J97" s="48" t="str">
        <f>'16U BOYS PLATINUM-19 TEAMS'!J31&amp;""</f>
        <v>16U_BOYS_PLATINUM</v>
      </c>
    </row>
    <row r="98" spans="1:10">
      <c r="A98" s="46">
        <f>'16U BOYS PLATINUM-19 TEAMS'!A32</f>
        <v>45724</v>
      </c>
      <c r="B98" s="47">
        <f>'16U BOYS PLATINUM-19 TEAMS'!B32</f>
        <v>0.66666666666666696</v>
      </c>
      <c r="C98" s="47" t="str">
        <f>'16U BOYS PLATINUM-19 TEAMS'!C32&amp;""</f>
        <v>WESTMINSTER HS</v>
      </c>
      <c r="D98" s="48" t="str">
        <f>'16U BOYS PLATINUM-19 TEAMS'!D32&amp;""</f>
        <v>16Bpt15</v>
      </c>
      <c r="E98" s="48" t="str">
        <f>'16U BOYS PLATINUM-19 TEAMS'!E32&amp;""</f>
        <v>A1-DEL MAR</v>
      </c>
      <c r="F98" s="48" t="str">
        <f>'16U BOYS PLATINUM-19 TEAMS'!F32&amp;""</f>
        <v>19</v>
      </c>
      <c r="G98" s="48" t="str">
        <f>'16U BOYS PLATINUM-19 TEAMS'!G32&amp;""</f>
        <v>A2-DIABLO RED</v>
      </c>
      <c r="H98" s="48" t="str">
        <f>'16U BOYS PLATINUM-19 TEAMS'!H32&amp;""</f>
        <v>5</v>
      </c>
      <c r="I98" s="48" t="str">
        <f>'16U BOYS PLATINUM-19 TEAMS'!I32&amp;""</f>
        <v>A bracket A1,A2</v>
      </c>
      <c r="J98" s="48" t="str">
        <f>'16U BOYS PLATINUM-19 TEAMS'!J32&amp;""</f>
        <v>16U_BOYS_PLATINUM</v>
      </c>
    </row>
    <row r="99" spans="1:10">
      <c r="A99" s="23">
        <f>'18U BOYS-24 TEAMS'!A51</f>
        <v>45724</v>
      </c>
      <c r="B99" s="24">
        <f>'18U BOYS-24 TEAMS'!B51</f>
        <v>0.70833333333333304</v>
      </c>
      <c r="C99" s="25" t="str">
        <f>'18U BOYS-24 TEAMS'!C51&amp;""</f>
        <v>WESTMINSTER HS</v>
      </c>
      <c r="D99" s="12" t="str">
        <f>'18U BOYS-24 TEAMS'!D51&amp;""</f>
        <v>18B18</v>
      </c>
      <c r="E99" s="9" t="str">
        <f>'18U BOYS-24 TEAMS'!E51&amp;""</f>
        <v>L#6-ROSE BOWL RED</v>
      </c>
      <c r="F99" s="9" t="str">
        <f>'18U BOYS-24 TEAMS'!F51&amp;""</f>
        <v>14</v>
      </c>
      <c r="G99" s="9" t="str">
        <f>'18U BOYS-24 TEAMS'!G51&amp;""</f>
        <v>L#8-DIABLO RED</v>
      </c>
      <c r="H99" s="9" t="str">
        <f>'18U BOYS-24 TEAMS'!H51&amp;""</f>
        <v>10</v>
      </c>
      <c r="I99" s="9" t="str">
        <f>'18U BOYS-24 TEAMS'!I51&amp;""</f>
        <v>3rd/4th E</v>
      </c>
      <c r="J99" s="26" t="str">
        <f>'18U BOYS-24 TEAMS'!J51&amp;""</f>
        <v>18U_BOYS</v>
      </c>
    </row>
    <row r="100" spans="1:10">
      <c r="A100" s="46">
        <f>'16U BOYS PLATINUM-19 TEAMS'!A34</f>
        <v>45724</v>
      </c>
      <c r="B100" s="47">
        <f>'16U BOYS PLATINUM-19 TEAMS'!B34</f>
        <v>0.75</v>
      </c>
      <c r="C100" s="47" t="str">
        <f>'16U BOYS PLATINUM-19 TEAMS'!C34&amp;""</f>
        <v>WESTMINSTER HS</v>
      </c>
      <c r="D100" s="48" t="str">
        <f>'16U BOYS PLATINUM-19 TEAMS'!D34&amp;""</f>
        <v>16Bpt17</v>
      </c>
      <c r="E100" s="48" t="str">
        <f>'16U BOYS PLATINUM-19 TEAMS'!E34&amp;""</f>
        <v>B1-CHANNEL ISLANDS UNITED GOLD</v>
      </c>
      <c r="F100" s="48" t="str">
        <f>'16U BOYS PLATINUM-19 TEAMS'!F34&amp;""</f>
        <v>13</v>
      </c>
      <c r="G100" s="48" t="str">
        <f>'16U BOYS PLATINUM-19 TEAMS'!G34&amp;""</f>
        <v>B2-ORANGE COUNTY WPC BLUE</v>
      </c>
      <c r="H100" s="48" t="str">
        <f>'16U BOYS PLATINUM-19 TEAMS'!H34&amp;""</f>
        <v>10</v>
      </c>
      <c r="I100" s="48" t="str">
        <f>'16U BOYS PLATINUM-19 TEAMS'!I34&amp;""</f>
        <v>B bracket B1,B2</v>
      </c>
      <c r="J100" s="48" t="str">
        <f>'16U BOYS PLATINUM-19 TEAMS'!J34&amp;""</f>
        <v>16U_BOYS_PLATINUM</v>
      </c>
    </row>
    <row r="101" spans="1:10">
      <c r="A101" s="46">
        <f>'16U BOYS PLATINUM-19 TEAMS'!A35</f>
        <v>45724</v>
      </c>
      <c r="B101" s="47">
        <f>'16U BOYS PLATINUM-19 TEAMS'!B35</f>
        <v>0.79166666666666696</v>
      </c>
      <c r="C101" s="47" t="str">
        <f>'16U BOYS PLATINUM-19 TEAMS'!C35&amp;""</f>
        <v>WESTMINSTER HS</v>
      </c>
      <c r="D101" s="48" t="str">
        <f>'16U BOYS PLATINUM-19 TEAMS'!D35&amp;""</f>
        <v>16Bpt19</v>
      </c>
      <c r="E101" s="48" t="str">
        <f>'16U BOYS PLATINUM-19 TEAMS'!E35&amp;""</f>
        <v>G1(1stA)-DEL MAR</v>
      </c>
      <c r="F101" s="48" t="str">
        <f>'16U BOYS PLATINUM-19 TEAMS'!F35&amp;""</f>
        <v>13</v>
      </c>
      <c r="G101" s="48" t="str">
        <f>'16U BOYS PLATINUM-19 TEAMS'!G35&amp;""</f>
        <v>G3(1stC)-STANFORD</v>
      </c>
      <c r="H101" s="48" t="str">
        <f>'16U BOYS PLATINUM-19 TEAMS'!H35&amp;""</f>
        <v>14</v>
      </c>
      <c r="I101" s="48" t="str">
        <f>'16U BOYS PLATINUM-19 TEAMS'!I35&amp;""</f>
        <v>G bracket G1,G3 (1A,1C)</v>
      </c>
      <c r="J101" s="48" t="str">
        <f>'16U BOYS PLATINUM-19 TEAMS'!J35&amp;""</f>
        <v>16U_BOYS_PLATINUM</v>
      </c>
    </row>
    <row r="102" spans="1:10">
      <c r="A102" s="46">
        <f>'16U BOYS PLATINUM-19 TEAMS'!A51</f>
        <v>45725</v>
      </c>
      <c r="B102" s="47">
        <f>'16U BOYS PLATINUM-19 TEAMS'!B51</f>
        <v>0.33333333333333331</v>
      </c>
      <c r="C102" s="47" t="str">
        <f>'16U BOYS PLATINUM-19 TEAMS'!C51&amp;""</f>
        <v>WESTMINSTER HS</v>
      </c>
      <c r="D102" s="48" t="str">
        <f>'16U BOYS PLATINUM-19 TEAMS'!D51&amp;""</f>
        <v>16Bpt22</v>
      </c>
      <c r="E102" s="48" t="str">
        <f>'16U BOYS PLATINUM-19 TEAMS'!E51&amp;""</f>
        <v>H1(1stD)-CC UNITED BLACK</v>
      </c>
      <c r="F102" s="48" t="str">
        <f>'16U BOYS PLATINUM-19 TEAMS'!F51&amp;""</f>
        <v>15</v>
      </c>
      <c r="G102" s="48" t="str">
        <f>'16U BOYS PLATINUM-19 TEAMS'!G51&amp;""</f>
        <v>H3(1stF)-SD SHORES BLACK</v>
      </c>
      <c r="H102" s="48" t="str">
        <f>'16U BOYS PLATINUM-19 TEAMS'!H51&amp;""</f>
        <v>5</v>
      </c>
      <c r="I102" s="48" t="str">
        <f>'16U BOYS PLATINUM-19 TEAMS'!I51&amp;""</f>
        <v>H bracket H1,H3 (1D,1F)</v>
      </c>
      <c r="J102" s="48" t="str">
        <f>'16U BOYS PLATINUM-19 TEAMS'!J51&amp;""</f>
        <v>16U_BOYS_PLATINUM</v>
      </c>
    </row>
    <row r="103" spans="1:10">
      <c r="A103" s="46">
        <f>'16U BOYS PLATINUM-19 TEAMS'!A52</f>
        <v>45725</v>
      </c>
      <c r="B103" s="47">
        <f>'16U BOYS PLATINUM-19 TEAMS'!B52</f>
        <v>0.375</v>
      </c>
      <c r="C103" s="47" t="str">
        <f>'16U BOYS PLATINUM-19 TEAMS'!C52&amp;""</f>
        <v>WESTMINSTER HS</v>
      </c>
      <c r="D103" s="48" t="str">
        <f>'16U BOYS PLATINUM-19 TEAMS'!D52&amp;""</f>
        <v>16Bpt24</v>
      </c>
      <c r="E103" s="48" t="str">
        <f>'16U BOYS PLATINUM-19 TEAMS'!E52&amp;""</f>
        <v>I1(2ndA)-NORTH IRVINE BLACK</v>
      </c>
      <c r="F103" s="48" t="str">
        <f>'16U BOYS PLATINUM-19 TEAMS'!F52&amp;""</f>
        <v>10</v>
      </c>
      <c r="G103" s="48" t="str">
        <f>'16U BOYS PLATINUM-19 TEAMS'!G52&amp;""</f>
        <v>I3(2ndC)-LA JOLLA UNITED NAVY</v>
      </c>
      <c r="H103" s="48" t="str">
        <f>'16U BOYS PLATINUM-19 TEAMS'!H52&amp;""</f>
        <v>15</v>
      </c>
      <c r="I103" s="48" t="str">
        <f>'16U BOYS PLATINUM-19 TEAMS'!I52&amp;""</f>
        <v>I bracket I1,I3 (2A,2C)</v>
      </c>
      <c r="J103" s="48" t="str">
        <f>'16U BOYS PLATINUM-19 TEAMS'!J52&amp;""</f>
        <v>16U_BOYS_PLATINUM</v>
      </c>
    </row>
    <row r="104" spans="1:10">
      <c r="A104" s="46">
        <f>'16U BOYS PLATINUM-19 TEAMS'!A53</f>
        <v>45725</v>
      </c>
      <c r="B104" s="47">
        <f>'16U BOYS PLATINUM-19 TEAMS'!B53</f>
        <v>0.41666666666666702</v>
      </c>
      <c r="C104" s="47" t="str">
        <f>'16U BOYS PLATINUM-19 TEAMS'!C53&amp;""</f>
        <v>WESTMINSTER HS</v>
      </c>
      <c r="D104" s="48" t="str">
        <f>'16U BOYS PLATINUM-19 TEAMS'!D53&amp;""</f>
        <v>16Bpt26</v>
      </c>
      <c r="E104" s="48" t="str">
        <f>'16U BOYS PLATINUM-19 TEAMS'!E53&amp;""</f>
        <v>G2(1stB)-CHANNEL ISLANDS UNITED GOLD</v>
      </c>
      <c r="F104" s="48" t="str">
        <f>'16U BOYS PLATINUM-19 TEAMS'!F53&amp;""</f>
        <v>11</v>
      </c>
      <c r="G104" s="48" t="str">
        <f>'16U BOYS PLATINUM-19 TEAMS'!G53&amp;""</f>
        <v>G3(1stC)-STANFORD</v>
      </c>
      <c r="H104" s="48" t="str">
        <f>'16U BOYS PLATINUM-19 TEAMS'!H53&amp;""</f>
        <v>12</v>
      </c>
      <c r="I104" s="48" t="str">
        <f>'16U BOYS PLATINUM-19 TEAMS'!I53&amp;""</f>
        <v>G bracket G2,G3 (1B,1C)</v>
      </c>
      <c r="J104" s="48" t="str">
        <f>'16U BOYS PLATINUM-19 TEAMS'!J53&amp;""</f>
        <v>16U_BOYS_PLATINUM</v>
      </c>
    </row>
    <row r="105" spans="1:10">
      <c r="A105" s="46">
        <f>'16U BOYS PLATINUM-19 TEAMS'!A54</f>
        <v>45725</v>
      </c>
      <c r="B105" s="47">
        <f>'16U BOYS PLATINUM-19 TEAMS'!B54</f>
        <v>0.45833333333333298</v>
      </c>
      <c r="C105" s="47" t="str">
        <f>'16U BOYS PLATINUM-19 TEAMS'!C54&amp;""</f>
        <v>WESTMINSTER HS</v>
      </c>
      <c r="D105" s="48" t="str">
        <f>'16U BOYS PLATINUM-19 TEAMS'!D54&amp;""</f>
        <v>16Bpt28</v>
      </c>
      <c r="E105" s="48" t="str">
        <f>'16U BOYS PLATINUM-19 TEAMS'!E54&amp;""</f>
        <v>H1(1stD)-CC UNITED BLACK</v>
      </c>
      <c r="F105" s="48" t="str">
        <f>'16U BOYS PLATINUM-19 TEAMS'!F54&amp;""</f>
        <v>11</v>
      </c>
      <c r="G105" s="48" t="str">
        <f>'16U BOYS PLATINUM-19 TEAMS'!G54&amp;""</f>
        <v>H2(1stE)-MISSION</v>
      </c>
      <c r="H105" s="48" t="str">
        <f>'16U BOYS PLATINUM-19 TEAMS'!H54&amp;""</f>
        <v>7</v>
      </c>
      <c r="I105" s="48" t="str">
        <f>'16U BOYS PLATINUM-19 TEAMS'!I54&amp;""</f>
        <v>H bracket H1,H2 (1D.1E)</v>
      </c>
      <c r="J105" s="48" t="str">
        <f>'16U BOYS PLATINUM-19 TEAMS'!J54&amp;""</f>
        <v>16U_BOYS_PLATINUM</v>
      </c>
    </row>
    <row r="106" spans="1:10">
      <c r="A106" s="46">
        <f>'16U BOYS PLATINUM-19 TEAMS'!A55</f>
        <v>45725</v>
      </c>
      <c r="B106" s="47">
        <f>'16U BOYS PLATINUM-19 TEAMS'!B55</f>
        <v>0.5</v>
      </c>
      <c r="C106" s="47" t="str">
        <f>'16U BOYS PLATINUM-19 TEAMS'!C55&amp;""</f>
        <v>WESTMINSTER HS</v>
      </c>
      <c r="D106" s="48" t="str">
        <f>'16U BOYS PLATINUM-19 TEAMS'!D55&amp;""</f>
        <v>16Bpt30</v>
      </c>
      <c r="E106" s="48" t="str">
        <f>'16U BOYS PLATINUM-19 TEAMS'!E55&amp;""</f>
        <v>I2(2ndB)-ORANGE COUNTY WPC BLUE</v>
      </c>
      <c r="F106" s="48" t="str">
        <f>'16U BOYS PLATINUM-19 TEAMS'!F55&amp;""</f>
        <v>10</v>
      </c>
      <c r="G106" s="48" t="str">
        <f>'16U BOYS PLATINUM-19 TEAMS'!G55&amp;""</f>
        <v>I3(2ndC)-LA JOLLA UNITED NAVY</v>
      </c>
      <c r="H106" s="48" t="str">
        <f>'16U BOYS PLATINUM-19 TEAMS'!H55&amp;""</f>
        <v>14</v>
      </c>
      <c r="I106" s="48" t="str">
        <f>'16U BOYS PLATINUM-19 TEAMS'!I55&amp;""</f>
        <v>I bracket I2,I3 (2B,2C)</v>
      </c>
      <c r="J106" s="48" t="str">
        <f>'16U BOYS PLATINUM-19 TEAMS'!J55&amp;""</f>
        <v>16U_BOYS_PLATINUM</v>
      </c>
    </row>
    <row r="107" spans="1:10">
      <c r="A107" s="46">
        <f>'16U BOYS PLATINUM-19 TEAMS'!A56</f>
        <v>45725</v>
      </c>
      <c r="B107" s="47">
        <f>'16U BOYS PLATINUM-19 TEAMS'!B56</f>
        <v>0.54166666666666696</v>
      </c>
      <c r="C107" s="47" t="str">
        <f>'16U BOYS PLATINUM-19 TEAMS'!C56&amp;""</f>
        <v>WESTMINSTER HS</v>
      </c>
      <c r="D107" s="48" t="str">
        <f>'16U BOYS PLATINUM-19 TEAMS'!D56&amp;""</f>
        <v>16Bpt32</v>
      </c>
      <c r="E107" s="48" t="str">
        <f>'16U BOYS PLATINUM-19 TEAMS'!E56&amp;""</f>
        <v>G1(1stA)-DEL MAR</v>
      </c>
      <c r="F107" s="48" t="str">
        <f>'16U BOYS PLATINUM-19 TEAMS'!F56&amp;""</f>
        <v>14</v>
      </c>
      <c r="G107" s="48" t="str">
        <f>'16U BOYS PLATINUM-19 TEAMS'!G56&amp;""</f>
        <v>G2(1stB)-CHANNEL ISLANDS UNITED GOLD</v>
      </c>
      <c r="H107" s="48" t="str">
        <f>'16U BOYS PLATINUM-19 TEAMS'!H56&amp;""</f>
        <v>8</v>
      </c>
      <c r="I107" s="48" t="str">
        <f>'16U BOYS PLATINUM-19 TEAMS'!I56&amp;""</f>
        <v>G bracket G1,G2 (1A,1B)</v>
      </c>
      <c r="J107" s="48" t="str">
        <f>'16U BOYS PLATINUM-19 TEAMS'!J56&amp;""</f>
        <v>16U_BOYS_PLATINUM</v>
      </c>
    </row>
    <row r="108" spans="1:10">
      <c r="A108" s="46">
        <f>'16U BOYS PLATINUM-19 TEAMS'!A57</f>
        <v>45725</v>
      </c>
      <c r="B108" s="47">
        <f>'16U BOYS PLATINUM-19 TEAMS'!B57</f>
        <v>0.58333333333333304</v>
      </c>
      <c r="C108" s="47" t="str">
        <f>'16U BOYS PLATINUM-19 TEAMS'!C57&amp;""</f>
        <v>WESTMINSTER HS</v>
      </c>
      <c r="D108" s="48" t="str">
        <f>'16U BOYS PLATINUM-19 TEAMS'!D57&amp;""</f>
        <v>16Bpt34</v>
      </c>
      <c r="E108" s="48" t="str">
        <f>'16U BOYS PLATINUM-19 TEAMS'!E57&amp;""</f>
        <v>I1(2ndA)-NORTH IRVINE BLACK</v>
      </c>
      <c r="F108" s="48" t="str">
        <f>'16U BOYS PLATINUM-19 TEAMS'!F57&amp;""</f>
        <v>11</v>
      </c>
      <c r="G108" s="48" t="str">
        <f>'16U BOYS PLATINUM-19 TEAMS'!G57&amp;""</f>
        <v>I2(2ndB)-ORANGE COUNTY WPC BLUE</v>
      </c>
      <c r="H108" s="48" t="str">
        <f>'16U BOYS PLATINUM-19 TEAMS'!H57&amp;""</f>
        <v>10</v>
      </c>
      <c r="I108" s="48" t="str">
        <f>'16U BOYS PLATINUM-19 TEAMS'!I57&amp;""</f>
        <v>I bracket I1,I2 (2A,2B)</v>
      </c>
      <c r="J108" s="48" t="str">
        <f>'16U BOYS PLATINUM-19 TEAMS'!J57&amp;""</f>
        <v>16U_BOYS_PLATINUM</v>
      </c>
    </row>
    <row r="109" spans="1:10">
      <c r="A109" s="46">
        <f>'16U BOYS PLATINUM-19 TEAMS'!A58</f>
        <v>45725</v>
      </c>
      <c r="B109" s="47">
        <f>'16U BOYS PLATINUM-19 TEAMS'!B58</f>
        <v>0.625</v>
      </c>
      <c r="C109" s="47" t="str">
        <f>'16U BOYS PLATINUM-19 TEAMS'!C58&amp;""</f>
        <v>WESTMINSTER HS</v>
      </c>
      <c r="D109" s="48" t="str">
        <f>'16U BOYS PLATINUM-19 TEAMS'!D58&amp;""</f>
        <v>16Bpt36</v>
      </c>
      <c r="E109" s="48" t="str">
        <f>'16U BOYS PLATINUM-19 TEAMS'!E58&amp;""</f>
        <v>P1(3rdG)-CHANNEL ISLANDS UNITED GOLD</v>
      </c>
      <c r="F109" s="48" t="str">
        <f>'16U BOYS PLATINUM-19 TEAMS'!F58&amp;""</f>
        <v>10</v>
      </c>
      <c r="G109" s="48" t="str">
        <f>'16U BOYS PLATINUM-19 TEAMS'!G58&amp;""</f>
        <v>P2(3rdH)-SD SHORES BLACK</v>
      </c>
      <c r="H109" s="48" t="str">
        <f>'16U BOYS PLATINUM-19 TEAMS'!H58&amp;""</f>
        <v>12</v>
      </c>
      <c r="I109" s="48" t="str">
        <f>'16U BOYS PLATINUM-19 TEAMS'!I58&amp;""</f>
        <v>5th 3G/3H</v>
      </c>
      <c r="J109" s="48" t="str">
        <f>'16U BOYS PLATINUM-19 TEAMS'!J58&amp;""</f>
        <v>16U_BOYS_PLATINUM</v>
      </c>
    </row>
    <row r="110" spans="1:10">
      <c r="A110" s="46">
        <f>'16U BOYS PLATINUM-19 TEAMS'!A59</f>
        <v>45725</v>
      </c>
      <c r="B110" s="47">
        <f>'16U BOYS PLATINUM-19 TEAMS'!B59</f>
        <v>0.66666666666666696</v>
      </c>
      <c r="C110" s="47" t="str">
        <f>'16U BOYS PLATINUM-19 TEAMS'!C59&amp;""</f>
        <v>WESTMINSTER HS</v>
      </c>
      <c r="D110" s="48" t="str">
        <f>'16U BOYS PLATINUM-19 TEAMS'!D59&amp;""</f>
        <v>16Bpt38</v>
      </c>
      <c r="E110" s="48" t="str">
        <f>'16U BOYS PLATINUM-19 TEAMS'!E59&amp;""</f>
        <v>N1(2ndG)-DEL MAR</v>
      </c>
      <c r="F110" s="48" t="str">
        <f>'16U BOYS PLATINUM-19 TEAMS'!F59&amp;""</f>
        <v>11</v>
      </c>
      <c r="G110" s="48" t="str">
        <f>'16U BOYS PLATINUM-19 TEAMS'!G59&amp;""</f>
        <v>N2(2ndH)-MISSION</v>
      </c>
      <c r="H110" s="48" t="str">
        <f>'16U BOYS PLATINUM-19 TEAMS'!H59&amp;""</f>
        <v>8</v>
      </c>
      <c r="I110" s="48" t="str">
        <f>'16U BOYS PLATINUM-19 TEAMS'!I59&amp;""</f>
        <v>3rd 2G/2H</v>
      </c>
      <c r="J110" s="48" t="str">
        <f>'16U BOYS PLATINUM-19 TEAMS'!J59&amp;""</f>
        <v>16U_BOYS_PLATINUM</v>
      </c>
    </row>
    <row r="111" spans="1:10">
      <c r="A111" s="46">
        <f>'16U BOYS PLATINUM-19 TEAMS'!A60</f>
        <v>45725</v>
      </c>
      <c r="B111" s="47">
        <f>'16U BOYS PLATINUM-19 TEAMS'!B60</f>
        <v>0.70833333333333304</v>
      </c>
      <c r="C111" s="47" t="str">
        <f>'16U BOYS PLATINUM-19 TEAMS'!C60&amp;""</f>
        <v>WESTMINSTER HS</v>
      </c>
      <c r="D111" s="48" t="str">
        <f>'16U BOYS PLATINUM-19 TEAMS'!D60&amp;""</f>
        <v>16Bpt40</v>
      </c>
      <c r="E111" s="48" t="str">
        <f>'16U BOYS PLATINUM-19 TEAMS'!E60&amp;""</f>
        <v>O1(1stG)-STANFORD</v>
      </c>
      <c r="F111" s="48" t="str">
        <f>'16U BOYS PLATINUM-19 TEAMS'!F60&amp;""</f>
        <v>11</v>
      </c>
      <c r="G111" s="48" t="str">
        <f>'16U BOYS PLATINUM-19 TEAMS'!G60&amp;""</f>
        <v>O2(1stH)-CC UNITED BLACK</v>
      </c>
      <c r="H111" s="48" t="str">
        <f>'16U BOYS PLATINUM-19 TEAMS'!H60&amp;""</f>
        <v>14</v>
      </c>
      <c r="I111" s="48" t="str">
        <f>'16U BOYS PLATINUM-19 TEAMS'!I60&amp;""</f>
        <v>1st 1G/1H</v>
      </c>
      <c r="J111" s="48" t="str">
        <f>'16U BOYS PLATINUM-19 TEAMS'!J60&amp;""</f>
        <v>16U_BOYS_PLATINUM</v>
      </c>
    </row>
  </sheetData>
  <sortState xmlns:xlrd2="http://schemas.microsoft.com/office/spreadsheetml/2017/richdata2" ref="A2:J111">
    <sortCondition ref="C2:C111"/>
    <sortCondition ref="A2:A111"/>
    <sortCondition ref="B2:B111"/>
    <sortCondition ref="D2:D111"/>
  </sortState>
  <pageMargins left="0.7" right="0.7" top="0.75" bottom="0.75" header="0.3" footer="0.3"/>
  <pageSetup scale="59" fitToHeight="0" orientation="landscape" r:id="rId1"/>
  <rowBreaks count="5" manualBreakCount="5">
    <brk id="20" max="16383" man="1"/>
    <brk id="41" max="16383" man="1"/>
    <brk id="61" max="16383" man="1"/>
    <brk id="74" max="16383" man="1"/>
    <brk id="9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5B9C-696D-4829-B1AA-1C6675AC6306}">
  <dimension ref="A1:L193"/>
  <sheetViews>
    <sheetView topLeftCell="F1" workbookViewId="0">
      <selection activeCell="B6" sqref="B6"/>
    </sheetView>
  </sheetViews>
  <sheetFormatPr defaultColWidth="8.7109375" defaultRowHeight="18.600000000000001"/>
  <cols>
    <col min="1" max="1" width="37.42578125" style="67" customWidth="1"/>
    <col min="2" max="2" width="48.28515625" style="67" customWidth="1"/>
    <col min="3" max="3" width="5.42578125" style="67" customWidth="1"/>
    <col min="4" max="4" width="16.42578125" style="67" customWidth="1"/>
    <col min="5" max="5" width="47.42578125" style="67" customWidth="1"/>
    <col min="6" max="6" width="40.28515625" style="67" customWidth="1"/>
    <col min="7" max="7" width="46.85546875" style="67" customWidth="1"/>
    <col min="8" max="8" width="69.85546875" style="67" customWidth="1"/>
    <col min="9" max="9" width="38.85546875" style="67" customWidth="1"/>
    <col min="10" max="11" width="22.140625" style="67" customWidth="1"/>
    <col min="12" max="12" width="5.5703125" style="67" customWidth="1"/>
    <col min="13" max="16384" width="8.7109375" style="67"/>
  </cols>
  <sheetData>
    <row r="1" spans="1:12">
      <c r="A1" s="60" t="s">
        <v>0</v>
      </c>
      <c r="L1" s="68"/>
    </row>
    <row r="2" spans="1:12">
      <c r="A2" s="60" t="s">
        <v>161</v>
      </c>
      <c r="B2" s="80" t="s">
        <v>162</v>
      </c>
      <c r="H2" s="67" t="s">
        <v>163</v>
      </c>
      <c r="I2" s="80" t="s">
        <v>164</v>
      </c>
      <c r="K2" s="67" t="s">
        <v>165</v>
      </c>
      <c r="L2" s="68"/>
    </row>
    <row r="3" spans="1:12">
      <c r="A3" s="60" t="s">
        <v>166</v>
      </c>
      <c r="B3" s="60" t="s">
        <v>167</v>
      </c>
      <c r="C3" s="60"/>
      <c r="D3" s="60"/>
      <c r="E3" s="60" t="s">
        <v>168</v>
      </c>
      <c r="F3" s="60" t="s">
        <v>169</v>
      </c>
      <c r="G3" s="60" t="s">
        <v>170</v>
      </c>
      <c r="H3" s="60" t="s">
        <v>171</v>
      </c>
      <c r="I3" s="60" t="s">
        <v>172</v>
      </c>
      <c r="K3" s="67">
        <f>COUNTA(B3:I3)</f>
        <v>6</v>
      </c>
      <c r="L3" s="68"/>
    </row>
    <row r="4" spans="1:12">
      <c r="A4" s="68"/>
      <c r="B4" s="68"/>
      <c r="D4" s="70">
        <v>0.33333333333333331</v>
      </c>
      <c r="E4" s="52" t="str">
        <f>'16U BOYS PLATINUM-19 TEAMS'!D37&amp;"-"&amp;'16U BOYS PLATINUM-19 TEAMS'!I37&amp;"-"&amp;TEXT('16U BOYS PLATINUM-19 TEAMS'!B37,"h:mm am/pm")</f>
        <v>16Bpt02-E bracket E1,E3-8:00 AM</v>
      </c>
      <c r="F4" s="21" t="str">
        <f>'18U BOYS-24 TEAMS'!D27&amp;"-"&amp;'18U BOYS-24 TEAMS'!I27&amp;"-"&amp;TEXT('18U BOYS-24 TEAMS'!B27,"h:mm am/pm")</f>
        <v>18B01-W/L C1/C4-8:00 AM</v>
      </c>
      <c r="G4" s="48" t="str">
        <f>'16U BOYS PLATINUM-19 TEAMS'!D24&amp;"-"&amp;'16U BOYS PLATINUM-19 TEAMS'!I24&amp;"-"&amp;TEXT('16U BOYS PLATINUM-19 TEAMS'!B24,"h:mm am/pm")</f>
        <v>16Bpt01-C bracket C1,C3-8:00 AM</v>
      </c>
      <c r="H4" s="81" t="str">
        <f>'18U BOYS-24 TEAMS'!D42&amp;"-"&amp;'18U BOYS-24 TEAMS'!I42&amp;"-"&amp;TEXT('18U BOYS-24 TEAMS'!B42,"h:mm am/pm")</f>
        <v>18B02-W/L D1/D4-8:00 AM</v>
      </c>
      <c r="I4" s="68"/>
      <c r="L4" s="68"/>
    </row>
    <row r="5" spans="1:12">
      <c r="A5" s="70">
        <v>0.39583333333333331</v>
      </c>
      <c r="B5" s="64" t="str">
        <f>'16U BOYS GOLD-9 TEAMS'!D14&amp;"-"&amp;'16U BOYS GOLD-9 TEAMS'!I14&amp;"-"&amp;TEXT('16U BOYS GOLD-9 TEAMS'!B14,"h:mm am/pm")</f>
        <v>16Bau01-A bracket A1,A3-9:30 AM</v>
      </c>
      <c r="D5" s="70">
        <v>0.375</v>
      </c>
      <c r="E5" s="52" t="str">
        <f>'16U BOYS PLATINUM-19 TEAMS'!D38&amp;"-"&amp;'16U BOYS PLATINUM-19 TEAMS'!I38&amp;"-"&amp;TEXT('16U BOYS PLATINUM-19 TEAMS'!B38,"h:mm am/pm")</f>
        <v>16Bpt04-D bracket D1,D3-9:00 AM</v>
      </c>
      <c r="F5" s="21" t="str">
        <f>'18U BOYS-24 TEAMS'!D28&amp;"-"&amp;'18U BOYS-24 TEAMS'!I28&amp;"-"&amp;TEXT('18U BOYS-24 TEAMS'!B28,"h:mm am/pm")</f>
        <v>18B03-W/L C2/C3-9:00 AM</v>
      </c>
      <c r="G5" s="48" t="str">
        <f>'16U BOYS PLATINUM-19 TEAMS'!D25&amp;"-"&amp;'16U BOYS PLATINUM-19 TEAMS'!I25&amp;"-"&amp;TEXT('16U BOYS PLATINUM-19 TEAMS'!B25,"h:mm am/pm")</f>
        <v>16Bpt03-A bracket A1,A3-9:00 AM</v>
      </c>
      <c r="H5" s="81" t="str">
        <f>'18U BOYS-24 TEAMS'!D43&amp;"-"&amp;'18U BOYS-24 TEAMS'!I43&amp;"-"&amp;TEXT('18U BOYS-24 TEAMS'!B43,"h:mm am/pm")</f>
        <v>18B04-W/L D2/D3-9:00 AM</v>
      </c>
      <c r="I5" s="12" t="str">
        <f>'18U BOYS-24 TEAMS'!D44&amp;"-"&amp;'18U BOYS-24 TEAMS'!I44&amp;"-"&amp;TEXT('18U BOYS-24 TEAMS'!B44,"h:mm am/pm")</f>
        <v>18B08-W/L E2/E3-9:00 AM</v>
      </c>
      <c r="L5" s="68"/>
    </row>
    <row r="6" spans="1:12">
      <c r="A6" s="70">
        <v>0.4375</v>
      </c>
      <c r="B6" s="64" t="str">
        <f>'16U BOYS GOLD-9 TEAMS'!D15&amp;"-"&amp;'16U BOYS GOLD-9 TEAMS'!I15&amp;"-"&amp;TEXT('16U BOYS GOLD-9 TEAMS'!B15,"h:mm am/pm")</f>
        <v>16Bau02-B bracket B1,B3-10:30 AM</v>
      </c>
      <c r="D6" s="70">
        <v>0.41666666666666702</v>
      </c>
      <c r="E6" s="52" t="str">
        <f>'16U BOYS PLATINUM-19 TEAMS'!D39&amp;"-"&amp;'16U BOYS PLATINUM-19 TEAMS'!I39&amp;"-"&amp;TEXT('16U BOYS PLATINUM-19 TEAMS'!B39,"h:mm am/pm")</f>
        <v>16Bpt06-W/L F1/F4-10:00 AM</v>
      </c>
      <c r="F6" s="21" t="str">
        <f>'18U BOYS-24 TEAMS'!D29&amp;"-"&amp;'18U BOYS-24 TEAMS'!I29&amp;"-"&amp;TEXT('18U BOYS-24 TEAMS'!B29,"h:mm am/pm")</f>
        <v>18B05-W/L A1/A4-10:00 AM</v>
      </c>
      <c r="G6" s="48" t="str">
        <f>'16U BOYS PLATINUM-19 TEAMS'!D26&amp;"-"&amp;'16U BOYS PLATINUM-19 TEAMS'!I26&amp;"-"&amp;TEXT('16U BOYS PLATINUM-19 TEAMS'!B26,"h:mm am/pm")</f>
        <v>16Bpt05-B bracket B2,B3-10:00 AM</v>
      </c>
      <c r="H6" s="21" t="str">
        <f>'18U BOYS-24 TEAMS'!D32&amp;"-"&amp;'18U BOYS-24 TEAMS'!I32&amp;"-"&amp;TEXT('18U BOYS-24 TEAMS'!B30,"h:mm am/pm")</f>
        <v>18B09-W/L B1/B4-10:00 AM</v>
      </c>
      <c r="I6" s="12" t="str">
        <f>'18U BOYS-24 TEAMS'!D45&amp;"-"&amp;'18U BOYS-24 TEAMS'!I45&amp;"-"&amp;TEXT('18U BOYS-24 TEAMS'!B45,"h:mm am/pm")</f>
        <v>18B06-W/L E1/E4-10:00 AM</v>
      </c>
      <c r="L6" s="68"/>
    </row>
    <row r="7" spans="1:12">
      <c r="A7" s="70">
        <v>0.47916666666666702</v>
      </c>
      <c r="B7" s="64" t="str">
        <f>'16U BOYS GOLD-9 TEAMS'!D16&amp;"-"&amp;'16U BOYS GOLD-9 TEAMS'!I16&amp;"-"&amp;TEXT('16U BOYS GOLD-9 TEAMS'!B16,"h:mm am/pm")</f>
        <v>16Bau03-C bracket C1,C2-11:30 AM</v>
      </c>
      <c r="D7" s="70">
        <v>0.45833333333333298</v>
      </c>
      <c r="E7" s="52" t="str">
        <f>'16U BOYS PLATINUM-19 TEAMS'!D40&amp;"-"&amp;'16U BOYS PLATINUM-19 TEAMS'!I40&amp;"-"&amp;TEXT('16U BOYS PLATINUM-19 TEAMS'!B40,"h:mm am/pm")</f>
        <v>16Bpt08-E bracket E2,E3-11:00 AM</v>
      </c>
      <c r="F7" s="21" t="str">
        <f>'18U BOYS-24 TEAMS'!D31&amp;"-"&amp;'18U BOYS-24 TEAMS'!I31&amp;"-"&amp;TEXT('18U BOYS-24 TEAMS'!B31,"h:mm am/pm")</f>
        <v>18B07-W/L A2/A3-11:00 AM</v>
      </c>
      <c r="G7" s="21" t="str">
        <f>'18U BOYS-24 TEAMS'!D30&amp;"-"&amp;'18U BOYS-24 TEAMS'!I30&amp;"-"&amp;TEXT('18U BOYS-24 TEAMS'!B32,"h:mm am/pm")</f>
        <v>18B11-W/L B2/B3-11:00 AM</v>
      </c>
      <c r="H7" s="82"/>
      <c r="I7" s="12" t="str">
        <f>'18U BOYS-24 TEAMS'!D46&amp;"-"&amp;'18U BOYS-24 TEAMS'!I46&amp;"-"&amp;TEXT('18U BOYS-24 TEAMS'!B46,"h:mm am/pm")</f>
        <v>18B10-W/L F1/F4-11:00 AM</v>
      </c>
      <c r="L7" s="68"/>
    </row>
    <row r="8" spans="1:12">
      <c r="A8" s="70">
        <v>0.52083333333333304</v>
      </c>
      <c r="B8" s="64" t="str">
        <f>'16U BOYS GOLD-9 TEAMS'!D17&amp;"-"&amp;'16U BOYS GOLD-9 TEAMS'!I17&amp;"-"&amp;TEXT('16U BOYS GOLD-9 TEAMS'!B17,"h:mm am/pm")</f>
        <v>16Bau04-A bracket A2,A3-12:30 PM</v>
      </c>
      <c r="D8" s="70">
        <v>0.5</v>
      </c>
      <c r="E8" s="52" t="str">
        <f>'16U BOYS PLATINUM-19 TEAMS'!D41&amp;"-"&amp;'16U BOYS PLATINUM-19 TEAMS'!I41&amp;"-"&amp;TEXT('16U BOYS PLATINUM-19 TEAMS'!B41,"h:mm am/pm")</f>
        <v>16Bpt10-W/L F2/F3-12:00 PM</v>
      </c>
      <c r="F8" s="21" t="str">
        <f>'18U BOYS-24 TEAMS'!D33&amp;"-"&amp;'18U BOYS-24 TEAMS'!I33&amp;"-"&amp;TEXT('18U BOYS-24 TEAMS'!B33,"h:mm am/pm")</f>
        <v>18B13-3rd/4thC-12:00 PM</v>
      </c>
      <c r="G8" s="48" t="str">
        <f>'16U BOYS PLATINUM-19 TEAMS'!D28&amp;"-"&amp;'16U BOYS PLATINUM-19 TEAMS'!I28&amp;"-"&amp;TEXT('16U BOYS PLATINUM-19 TEAMS'!B28,"h:mm am/pm")</f>
        <v>16Bpt07-C bracket C2,C3-12:00 PM</v>
      </c>
      <c r="H8" s="82"/>
      <c r="I8" s="12" t="str">
        <f>'18U BOYS-24 TEAMS'!D47&amp;"-"&amp;'18U BOYS-24 TEAMS'!I47&amp;"-"&amp;TEXT('18U BOYS-24 TEAMS'!B47,"h:mm am/pm")</f>
        <v>18B12-W/L F2/F3-12:00 PM</v>
      </c>
      <c r="L8" s="68"/>
    </row>
    <row r="9" spans="1:12">
      <c r="A9" s="70">
        <v>0.5625</v>
      </c>
      <c r="B9" s="64" t="str">
        <f>'16U BOYS GOLD-9 TEAMS'!D18&amp;"-"&amp;'16U BOYS GOLD-9 TEAMS'!I18&amp;"-"&amp;TEXT('16U BOYS GOLD-9 TEAMS'!B18,"h:mm am/pm")</f>
        <v>16Bau05-B bracket B1,B2-1:30 PM</v>
      </c>
      <c r="D9" s="70">
        <v>0.54166666666666696</v>
      </c>
      <c r="E9" s="52" t="str">
        <f>'16U BOYS PLATINUM-19 TEAMS'!D42&amp;"-"&amp;'16U BOYS PLATINUM-19 TEAMS'!I42&amp;"-"&amp;TEXT('16U BOYS PLATINUM-19 TEAMS'!B42,"h:mm am/pm")</f>
        <v>16Bpt12-D bracket D2,D3-1:00 PM</v>
      </c>
      <c r="F9" s="21" t="str">
        <f>'18U BOYS-24 TEAMS'!D34&amp;"-"&amp;'18U BOYS-24 TEAMS'!I34&amp;"-"&amp;TEXT('18U BOYS-24 TEAMS'!B34,"h:mm am/pm")</f>
        <v>18B15-1st/2ndC-1:00 PM</v>
      </c>
      <c r="G9" s="48" t="str">
        <f>'16U BOYS PLATINUM-19 TEAMS'!D29&amp;"-"&amp;'16U BOYS PLATINUM-19 TEAMS'!I29&amp;"-"&amp;TEXT('16U BOYS PLATINUM-19 TEAMS'!B29,"h:mm am/pm")</f>
        <v>16Bpt09-A bracket A2,A3-1:00 PM</v>
      </c>
      <c r="H9" s="82"/>
      <c r="I9" s="81" t="str">
        <f>'18U BOYS-24 TEAMS'!D48&amp;"-"&amp;'18U BOYS-24 TEAMS'!I48&amp;"-"&amp;TEXT('18U BOYS-24 TEAMS'!B48,"h:mm am/pm")</f>
        <v>18B14-3rd/4thD-1:00 PM</v>
      </c>
      <c r="L9" s="68"/>
    </row>
    <row r="10" spans="1:12">
      <c r="A10" s="70">
        <v>0.60416666666666696</v>
      </c>
      <c r="B10" s="64" t="str">
        <f>'16U BOYS GOLD-9 TEAMS'!D19&amp;"-"&amp;'16U BOYS GOLD-9 TEAMS'!I19&amp;"-"&amp;TEXT('16U BOYS GOLD-9 TEAMS'!B19,"h:mm am/pm")</f>
        <v>16Bau06-C bracket C2,C3-2:30 PM</v>
      </c>
      <c r="D10" s="70">
        <v>0.58333333333333304</v>
      </c>
      <c r="E10" s="52" t="str">
        <f>'16U BOYS PLATINUM-19 TEAMS'!D43&amp;"-"&amp;'16U BOYS PLATINUM-19 TEAMS'!I43&amp;"-"&amp;TEXT('16U BOYS PLATINUM-19 TEAMS'!B43,"h:mm am/pm")</f>
        <v>16Bpt14-E bracket E1,E2-2:00 PM</v>
      </c>
      <c r="F10" s="21" t="str">
        <f>'18U BOYS-24 TEAMS'!D35&amp;"-"&amp;'18U BOYS-24 TEAMS'!I35&amp;"-"&amp;TEXT('18U BOYS-24 TEAMS'!B35,"h:mm am/pm")</f>
        <v>18B17-3rd/4thA-2:00 PM</v>
      </c>
      <c r="G10" s="48" t="str">
        <f>'16U BOYS PLATINUM-19 TEAMS'!D30&amp;"-"&amp;'16U BOYS PLATINUM-19 TEAMS'!I30&amp;"-"&amp;TEXT('16U BOYS PLATINUM-19 TEAMS'!B30,"h:mm am/pm")</f>
        <v>16Bpt11-B bracket B1,B3-2:00 PM</v>
      </c>
      <c r="H10" s="82"/>
      <c r="I10" s="81" t="str">
        <f>'18U BOYS-24 TEAMS'!D49&amp;"-"&amp;'18U BOYS-24 TEAMS'!I49&amp;"-"&amp;TEXT('18U BOYS-24 TEAMS'!B49,"h:mm am/pm")</f>
        <v>18B16-1st/2ndD-2:00 PM</v>
      </c>
      <c r="L10" s="68"/>
    </row>
    <row r="11" spans="1:12">
      <c r="A11" s="70">
        <v>0.64583333333333304</v>
      </c>
      <c r="B11" s="64" t="str">
        <f>'16U BOYS GOLD-9 TEAMS'!D20&amp;"-"&amp;'16U BOYS GOLD-9 TEAMS'!I20&amp;"-"&amp;TEXT('16U BOYS GOLD-9 TEAMS'!B20,"h:mm am/pm")</f>
        <v>16Bau07-A bracket A1,A2-3:30 PM</v>
      </c>
      <c r="D11" s="70">
        <v>0.625</v>
      </c>
      <c r="E11" s="52" t="str">
        <f>'16U BOYS PLATINUM-19 TEAMS'!D44&amp;"-"&amp;'16U BOYS PLATINUM-19 TEAMS'!I44&amp;"-"&amp;TEXT('16U BOYS PLATINUM-19 TEAMS'!B44,"h:mm am/pm")</f>
        <v>16Bpt16-1st/2ndF-3:00 PM</v>
      </c>
      <c r="F11" s="21" t="str">
        <f>'18U BOYS-24 TEAMS'!D36&amp;"-"&amp;'18U BOYS-24 TEAMS'!I36&amp;"-"&amp;TEXT('18U BOYS-24 TEAMS'!B36,"h:mm am/pm")</f>
        <v>18B19-1st/2ndA-3:00 PM</v>
      </c>
      <c r="G11" s="48" t="str">
        <f>'16U BOYS PLATINUM-19 TEAMS'!D31&amp;"-"&amp;'16U BOYS PLATINUM-19 TEAMS'!I31&amp;"-"&amp;TEXT('16U BOYS PLATINUM-19 TEAMS'!B31,"h:mm am/pm")</f>
        <v>16Bpt13-C bracket C1,C2-3:00 PM</v>
      </c>
      <c r="H11" s="82"/>
      <c r="I11" s="12" t="str">
        <f>'18U BOYS-24 TEAMS'!D50&amp;"-"&amp;'18U BOYS-24 TEAMS'!I50&amp;"-"&amp;TEXT('18U BOYS-24 TEAMS'!B50,"h:mm am/pm")</f>
        <v>18B20-1st/2nd E-3:00 PM</v>
      </c>
      <c r="L11" s="68"/>
    </row>
    <row r="12" spans="1:12">
      <c r="A12" s="70">
        <v>0.6875</v>
      </c>
      <c r="B12" s="64" t="str">
        <f>'16U BOYS GOLD-9 TEAMS'!D21&amp;"-"&amp;'16U BOYS GOLD-9 TEAMS'!I21&amp;"-"&amp;TEXT('16U BOYS GOLD-9 TEAMS'!B21,"h:mm am/pm")</f>
        <v>16Bau08-B bracket B2,B3-4:30 PM</v>
      </c>
      <c r="D12" s="70">
        <v>0.66666666666666696</v>
      </c>
      <c r="E12" s="52" t="str">
        <f>'16U BOYS PLATINUM-19 TEAMS'!D45&amp;"-"&amp;'16U BOYS PLATINUM-19 TEAMS'!I45&amp;"-"&amp;TEXT('16U BOYS PLATINUM-19 TEAMS'!B45,"h:mm am/pm")</f>
        <v>16Bpt18-3rd/4thF-4:00 PM</v>
      </c>
      <c r="F12" s="21" t="str">
        <f>'18U BOYS-24 TEAMS'!D37&amp;"-"&amp;'18U BOYS-24 TEAMS'!I37&amp;"-"&amp;TEXT('18U BOYS-24 TEAMS'!B37,"h:mm am/pm")</f>
        <v>18B21-3rd/4thB-4:00 PM</v>
      </c>
      <c r="G12" s="48" t="str">
        <f>'16U BOYS PLATINUM-19 TEAMS'!D32&amp;"-"&amp;'16U BOYS PLATINUM-19 TEAMS'!I32&amp;"-"&amp;TEXT('16U BOYS PLATINUM-19 TEAMS'!B32,"h:mm am/pm")</f>
        <v>16Bpt15-A bracket A1,A2-4:00 PM</v>
      </c>
      <c r="H12" s="82"/>
      <c r="I12" s="12" t="str">
        <f>'18U BOYS-24 TEAMS'!D52&amp;"-"&amp;'18U BOYS-24 TEAMS'!I52&amp;"-"&amp;TEXT('18U BOYS-24 TEAMS'!B52,"h:mm am/pm")</f>
        <v>18B22-3rd/4th F-4:00 PM</v>
      </c>
      <c r="L12" s="68"/>
    </row>
    <row r="13" spans="1:12">
      <c r="A13" s="70">
        <v>0.72916666666666696</v>
      </c>
      <c r="B13" s="64" t="str">
        <f>'16U BOYS GOLD-9 TEAMS'!D22&amp;"-"&amp;'16U BOYS GOLD-9 TEAMS'!I22&amp;"-"&amp;TEXT('16U BOYS GOLD-9 TEAMS'!B22,"h:mm am/pm")</f>
        <v>16Bau09-C bracket C1,C3-5:30 PM</v>
      </c>
      <c r="D13" s="70">
        <v>0.70833333333333304</v>
      </c>
      <c r="E13" s="52" t="str">
        <f>'16U BOYS PLATINUM-19 TEAMS'!D46&amp;"-"&amp;'16U BOYS PLATINUM-19 TEAMS'!I46&amp;"-"&amp;TEXT('16U BOYS PLATINUM-19 TEAMS'!B46,"h:mm am/pm")</f>
        <v>16Bpt20-D bracket D1,D2-5:00 PM</v>
      </c>
      <c r="F13" s="21" t="str">
        <f>'18U BOYS-24 TEAMS'!D38&amp;"-"&amp;'18U BOYS-24 TEAMS'!I38&amp;"-"&amp;TEXT('18U BOYS-24 TEAMS'!B38,"h:mm am/pm")</f>
        <v>18B23-1st/2ndB-5:00 PM</v>
      </c>
      <c r="G13" s="12" t="str">
        <f>'18U BOYS-24 TEAMS'!D51&amp;"-"&amp;'18U BOYS-24 TEAMS'!I51&amp;"-"&amp;TEXT('18U BOYS-24 TEAMS'!B51,"h:mm am/pm")</f>
        <v>18B18-3rd/4th E-5:00 PM</v>
      </c>
      <c r="H13" s="82"/>
      <c r="I13" s="12" t="str">
        <f>'18U BOYS-24 TEAMS'!D53&amp;"-"&amp;'18U BOYS-24 TEAMS'!I53&amp;"-"&amp;TEXT('18U BOYS-24 TEAMS'!B53,"h:mm am/pm")</f>
        <v>18B24-1st/2nd F-5:00 PM</v>
      </c>
      <c r="L13" s="68"/>
    </row>
    <row r="14" spans="1:12">
      <c r="A14" s="70">
        <v>0.77083333333333404</v>
      </c>
      <c r="D14" s="70">
        <v>0.75</v>
      </c>
      <c r="E14" s="52" t="str">
        <f>'16U BOYS PLATINUM-19 TEAMS'!D47&amp;"-"&amp;'16U BOYS PLATINUM-19 TEAMS'!I47&amp;"-"&amp;TEXT('16U BOYS PLATINUM-19 TEAMS'!B47,"h:mm am/pm")</f>
        <v>16Bpt21-H bracket H2,H3 (1E,1F)-6:00 PM</v>
      </c>
      <c r="F14" s="21" t="str">
        <f>'18U BOYS-24 TEAMS'!D39&amp;"-"&amp;'18U BOYS-24 TEAMS'!I39&amp;"-"&amp;TEXT('18U BOYS-24 TEAMS'!B39,"h:mm am/pm")</f>
        <v>18B25-G bracket 1A,1C-6:00 PM</v>
      </c>
      <c r="G14" s="48" t="str">
        <f>'16U BOYS PLATINUM-19 TEAMS'!D34&amp;"-"&amp;'16U BOYS PLATINUM-19 TEAMS'!I34&amp;"-"&amp;TEXT('16U BOYS PLATINUM-19 TEAMS'!B34,"h:mm am/pm")</f>
        <v>16Bpt17-B bracket B1,B2-6:00 PM</v>
      </c>
      <c r="H14" s="82"/>
      <c r="I14" s="12" t="str">
        <f>'18U BOYS-24 TEAMS'!D54&amp;"-"&amp;'18U BOYS-24 TEAMS'!I54&amp;"-"&amp;TEXT('18U BOYS-24 TEAMS'!B54,"h:mm am/pm")</f>
        <v>18B26-H bracket 1D/1E-6:00 PM</v>
      </c>
      <c r="L14" s="68"/>
    </row>
    <row r="15" spans="1:12">
      <c r="A15" s="70">
        <v>0.812500000000001</v>
      </c>
      <c r="D15" s="70">
        <v>0.79166666666666696</v>
      </c>
      <c r="G15" s="48" t="str">
        <f>'16U BOYS PLATINUM-19 TEAMS'!D35&amp;"-"&amp;'16U BOYS PLATINUM-19 TEAMS'!I35&amp;"-"&amp;TEXT('16U BOYS PLATINUM-19 TEAMS'!B35,"h:mm am/pm")</f>
        <v>16Bpt19-G bracket G1,G3 (1A,1C)-7:00 PM</v>
      </c>
      <c r="L15" s="68"/>
    </row>
    <row r="16" spans="1:12">
      <c r="A16" s="69"/>
      <c r="K16" s="67" t="s">
        <v>173</v>
      </c>
      <c r="L16" s="68"/>
    </row>
    <row r="17" spans="1:12">
      <c r="A17" s="69"/>
      <c r="B17" s="67">
        <f>COUNTA(B4:B16)</f>
        <v>9</v>
      </c>
      <c r="E17" s="67">
        <f>COUNTA(E4:E16)</f>
        <v>11</v>
      </c>
      <c r="F17" s="67">
        <f>COUNTA(F4:F16)</f>
        <v>11</v>
      </c>
      <c r="G17" s="67">
        <f>COUNTA(G4:G16)</f>
        <v>12</v>
      </c>
      <c r="H17" s="67">
        <f>COUNTA(H4:H16)</f>
        <v>3</v>
      </c>
      <c r="I17" s="67">
        <f>COUNTA(I4:I16)</f>
        <v>10</v>
      </c>
      <c r="K17" s="67">
        <f>SUM(B17:J17)</f>
        <v>56</v>
      </c>
      <c r="L17" s="68"/>
    </row>
    <row r="18" spans="1:12">
      <c r="A18" s="69"/>
      <c r="H18" s="82" t="s">
        <v>174</v>
      </c>
      <c r="L18" s="68"/>
    </row>
    <row r="19" spans="1:12">
      <c r="A19" s="79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</row>
    <row r="20" spans="1:12">
      <c r="K20" s="67" t="s">
        <v>165</v>
      </c>
      <c r="L20" s="68"/>
    </row>
    <row r="21" spans="1:12">
      <c r="A21" s="60" t="s">
        <v>175</v>
      </c>
      <c r="B21" s="60" t="s">
        <v>167</v>
      </c>
      <c r="C21" s="60"/>
      <c r="D21" s="60"/>
      <c r="E21" s="60" t="s">
        <v>168</v>
      </c>
      <c r="F21" s="60" t="s">
        <v>169</v>
      </c>
      <c r="G21" s="60" t="s">
        <v>170</v>
      </c>
      <c r="H21" s="60" t="s">
        <v>171</v>
      </c>
      <c r="I21" s="60" t="s">
        <v>172</v>
      </c>
      <c r="K21" s="67">
        <f>COUNTA(B21:I21)</f>
        <v>6</v>
      </c>
      <c r="L21" s="68"/>
    </row>
    <row r="22" spans="1:12">
      <c r="A22" s="70">
        <v>0.33333333333333331</v>
      </c>
      <c r="B22" s="64" t="str">
        <f>'16U BOYS GOLD-9 TEAMS'!D26&amp;"-"&amp;'16U BOYS GOLD-9 TEAMS'!I26&amp;"-"&amp;TEXT('16U BOYS GOLD-9 TEAMS'!B26,"h:mm am/pm")</f>
        <v>16Bau10-D bracket (7th-9th) D1,D3-8:00 AM</v>
      </c>
      <c r="D22" s="70">
        <v>0.33333333333333331</v>
      </c>
      <c r="E22" s="101" t="str">
        <f>'18U BOYS-24 TEAMS'!D79&amp;"-"&amp;'18U BOYS-24 TEAMS'!I79&amp;"-"&amp;TEXT('18U BOYS-24 TEAMS'!B79,"h:mm am/pm")</f>
        <v>18B29-19th-24th M1,M3-8:00 AM</v>
      </c>
      <c r="F22" s="39" t="str">
        <f>'18U BOYS-24 TEAMS'!D69&amp;"-"&amp;'18U BOYS-24 TEAMS'!I69&amp;"-"&amp;TEXT('18U BOYS-24 TEAMS'!B69,"h:mm am/pm")</f>
        <v>18B28-L bracket L1,L3-8:00 AM</v>
      </c>
      <c r="G22" s="48" t="str">
        <f>'16U BOYS PLATINUM-19 TEAMS'!D51&amp;"-"&amp;'16U BOYS PLATINUM-19 TEAMS'!I51&amp;"-"&amp;TEXT('16U BOYS PLATINUM-19 TEAMS'!B51,"h:mm am/pm")</f>
        <v>16Bpt22-H bracket H1,H3 (1D,1F)-8:00 AM</v>
      </c>
      <c r="H22" s="52" t="str">
        <f>'16U BOYS PLATINUM-19 TEAMS'!D62&amp;"-"&amp;'16U BOYS PLATINUM-19 TEAMS'!I62&amp;"-"&amp;TEXT('16U BOYS PLATINUM-19 TEAMS'!B62,"h:mm am/pm")</f>
        <v>16Bpt23-bracket J1,J3-8:00 AM</v>
      </c>
      <c r="I22" s="21" t="str">
        <f>'18U BOYS-24 TEAMS'!D58&amp;"-"&amp;'18U BOYS-24 TEAMS'!I58&amp;"-"&amp;TEXT('18U BOYS-24 TEAMS'!B58,"h:mm am/pm")</f>
        <v>18B27-I bracket I1,I3-8:00 AM</v>
      </c>
      <c r="L22" s="68"/>
    </row>
    <row r="23" spans="1:12">
      <c r="A23" s="70">
        <v>0.375</v>
      </c>
      <c r="B23" s="64" t="str">
        <f>'16U BOYS GOLD-9 TEAMS'!D27&amp;"-"&amp;'16U BOYS GOLD-9 TEAMS'!I27&amp;"-"&amp;TEXT('16U BOYS GOLD-9 TEAMS'!B27,"h:mm am/pm")</f>
        <v>16Bau12-E bracket (4th-6th) E1,E3-9:00 AM</v>
      </c>
      <c r="D23" s="70">
        <v>0.375</v>
      </c>
      <c r="E23" s="101" t="str">
        <f>'18U BOYS-24 TEAMS'!D80&amp;"-"&amp;'18U BOYS-24 TEAMS'!I80&amp;"-"&amp;TEXT('18U BOYS-24 TEAMS'!B80,"h:mm am/pm")</f>
        <v>18B32-19th-24th N1,N3-9:00 AM</v>
      </c>
      <c r="F23" s="39" t="str">
        <f>'18U BOYS-24 TEAMS'!D70&amp;"-"&amp;'18U BOYS-24 TEAMS'!I70&amp;"-"&amp;TEXT('18U BOYS-24 TEAMS'!B70,"h:mm am/pm")</f>
        <v>18B31-J bracket J1,J3-9:00 AM</v>
      </c>
      <c r="G23" s="48" t="str">
        <f>'16U BOYS PLATINUM-19 TEAMS'!D52&amp;"-"&amp;'16U BOYS PLATINUM-19 TEAMS'!I52&amp;"-"&amp;TEXT('16U BOYS PLATINUM-19 TEAMS'!B52,"h:mm am/pm")</f>
        <v>16Bpt24-I bracket I1,I3 (2A,2C)-9:00 AM</v>
      </c>
      <c r="H23" s="52" t="str">
        <f>'16U BOYS PLATINUM-19 TEAMS'!D63&amp;"-"&amp;'16U BOYS PLATINUM-19 TEAMS'!I63&amp;"-"&amp;TEXT('16U BOYS PLATINUM-19 TEAMS'!B63,"h:mm am/pm")</f>
        <v>16Bpt25-bracket K1,K3-9:00 AM</v>
      </c>
      <c r="I23" s="21" t="str">
        <f>'18U BOYS-24 TEAMS'!D59&amp;"-"&amp;'18U BOYS-24 TEAMS'!I59&amp;"-"&amp;TEXT('18U BOYS-24 TEAMS'!B59,"h:mm am/pm")</f>
        <v>18B30-G bracket G1,G3-9:00 AM</v>
      </c>
      <c r="L23" s="68"/>
    </row>
    <row r="24" spans="1:12">
      <c r="A24" s="70">
        <v>0.41666666666666702</v>
      </c>
      <c r="B24" s="64" t="str">
        <f>'16U BOYS GOLD-9 TEAMS'!D28&amp;"-"&amp;'16U BOYS GOLD-9 TEAMS'!I28&amp;"-"&amp;TEXT('16U BOYS GOLD-9 TEAMS'!B28,"h:mm am/pm")</f>
        <v>16Bau11-F bracket (1st-3rd) F1,F3-10:00 AM</v>
      </c>
      <c r="D24" s="70">
        <v>0.41666666666666702</v>
      </c>
      <c r="E24" s="101" t="str">
        <f>'18U BOYS-24 TEAMS'!D81&amp;"-"&amp;'18U BOYS-24 TEAMS'!I81&amp;"-"&amp;TEXT('18U BOYS-24 TEAMS'!B81,"h:mm am/pm")</f>
        <v>18B35-19th-24th M2,M3-10:00 AM</v>
      </c>
      <c r="F24" s="39" t="str">
        <f>'18U BOYS-24 TEAMS'!D71&amp;"-"&amp;'18U BOYS-24 TEAMS'!I71&amp;"-"&amp;TEXT('18U BOYS-24 TEAMS'!B71,"h:mm am/pm")</f>
        <v>18B34-K bracket K1,K3-10:00 AM</v>
      </c>
      <c r="G24" s="48" t="str">
        <f>'16U BOYS PLATINUM-19 TEAMS'!D53&amp;"-"&amp;'16U BOYS PLATINUM-19 TEAMS'!I53&amp;"-"&amp;TEXT('16U BOYS PLATINUM-19 TEAMS'!B53,"h:mm am/pm")</f>
        <v>16Bpt26-G bracket G2,G3 (1B,1C)-10:00 AM</v>
      </c>
      <c r="H24" s="83" t="str">
        <f>'16U BOYS PLATINUM-19 TEAMS'!D64&amp;"-"&amp;'16U BOYS PLATINUM-19 TEAMS'!I64&amp;"-"&amp;TEXT('16U BOYS PLATINUM-19 TEAMS'!B64,"h:mm am/pm")</f>
        <v>16Bpt27-W/L L1/L4-10:00 AM</v>
      </c>
      <c r="I24" s="21" t="str">
        <f>'18U BOYS-24 TEAMS'!D60&amp;"-"&amp;'18U BOYS-24 TEAMS'!I60&amp;"-"&amp;TEXT('18U BOYS-24 TEAMS'!B60,"h:mm am/pm")</f>
        <v>18B33-H bracket H1,H3-10:00 AM</v>
      </c>
      <c r="L24" s="68"/>
    </row>
    <row r="25" spans="1:12">
      <c r="A25" s="70">
        <v>0.45833333333333298</v>
      </c>
      <c r="B25" s="64" t="str">
        <f>'16U BOYS GOLD-9 TEAMS'!D29&amp;"-"&amp;'16U BOYS GOLD-9 TEAMS'!I29&amp;"-"&amp;TEXT('16U BOYS GOLD-9 TEAMS'!B29,"h:mm am/pm")</f>
        <v>16Bau13-D bracket (7th-9th) D2,D3-11:00 AM</v>
      </c>
      <c r="D25" s="70">
        <v>0.45833333333333298</v>
      </c>
      <c r="E25" s="101" t="str">
        <f>'18U BOYS-24 TEAMS'!D82&amp;"-"&amp;'18U BOYS-24 TEAMS'!I82&amp;"-"&amp;TEXT('18U BOYS-24 TEAMS'!B82,"h:mm am/pm")</f>
        <v>18B38-19th-24th N2,N3-11:00 AM</v>
      </c>
      <c r="F25" s="39" t="str">
        <f>'18U BOYS-24 TEAMS'!D72&amp;"-"&amp;'18U BOYS-24 TEAMS'!I72&amp;"-"&amp;TEXT('18U BOYS-24 TEAMS'!B72,"h:mm am/pm")</f>
        <v>18B37-L bracket L2,L3-11:00 AM</v>
      </c>
      <c r="G25" s="48" t="str">
        <f>'16U BOYS PLATINUM-19 TEAMS'!D54&amp;"-"&amp;'16U BOYS PLATINUM-19 TEAMS'!I54&amp;"-"&amp;TEXT('16U BOYS PLATINUM-19 TEAMS'!B54,"h:mm am/pm")</f>
        <v>16Bpt28-H bracket H1,H2 (1D.1E)-11:00 AM</v>
      </c>
      <c r="H25" s="83" t="str">
        <f>'16U BOYS PLATINUM-19 TEAMS'!D65&amp;"-"&amp;'16U BOYS PLATINUM-19 TEAMS'!I65&amp;"-"&amp;TEXT('16U BOYS PLATINUM-19 TEAMS'!B65,"h:mm am/pm")</f>
        <v>16Bpt29-W/L L2/L3-11:00 AM</v>
      </c>
      <c r="I25" s="21" t="str">
        <f>'18U BOYS-24 TEAMS'!D61&amp;"-"&amp;'18U BOYS-24 TEAMS'!I61&amp;"-"&amp;TEXT('18U BOYS-24 TEAMS'!B61,"h:mm am/pm")</f>
        <v>18B36-I bracket I2,I3-11:00 AM</v>
      </c>
      <c r="L25" s="68"/>
    </row>
    <row r="26" spans="1:12">
      <c r="A26" s="70">
        <v>0.5</v>
      </c>
      <c r="B26" s="64" t="str">
        <f>'16U BOYS GOLD-9 TEAMS'!D30&amp;"-"&amp;'16U BOYS GOLD-9 TEAMS'!I30&amp;"-"&amp;TEXT('16U BOYS GOLD-9 TEAMS'!B30,"h:mm am/pm")</f>
        <v>16Bau14-E bracket (4th-6th) E2,E3-12:00 PM</v>
      </c>
      <c r="D26" s="70">
        <v>0.5</v>
      </c>
      <c r="E26" s="101" t="str">
        <f>'18U BOYS-24 TEAMS'!D83&amp;"-"&amp;'18U BOYS-24 TEAMS'!I83&amp;"-"&amp;TEXT('18U BOYS-24 TEAMS'!B83,"h:mm am/pm")</f>
        <v>18B41-19th-24th M1,M2-12:00 PM</v>
      </c>
      <c r="F26" s="39" t="str">
        <f>'18U BOYS-24 TEAMS'!D73&amp;"-"&amp;'18U BOYS-24 TEAMS'!I73&amp;"-"&amp;TEXT('18U BOYS-24 TEAMS'!B73,"h:mm am/pm")</f>
        <v>18B40-J bracket J2,J3-12:00 PM</v>
      </c>
      <c r="G26" s="48" t="str">
        <f>'16U BOYS PLATINUM-19 TEAMS'!D55&amp;"-"&amp;'16U BOYS PLATINUM-19 TEAMS'!I55&amp;"-"&amp;TEXT('16U BOYS PLATINUM-19 TEAMS'!B55,"h:mm am/pm")</f>
        <v>16Bpt30-I bracket I2,I3 (2B,2C)-12:00 PM</v>
      </c>
      <c r="H26" s="52" t="str">
        <f>'16U BOYS PLATINUM-19 TEAMS'!D66&amp;"-"&amp;'16U BOYS PLATINUM-19 TEAMS'!I66&amp;"-"&amp;TEXT('16U BOYS PLATINUM-19 TEAMS'!B66,"h:mm am/pm")</f>
        <v>16Bpt31-bracket J2,J3-12:00 PM</v>
      </c>
      <c r="I26" s="21" t="str">
        <f>'18U BOYS-24 TEAMS'!D62&amp;"-"&amp;'18U BOYS-24 TEAMS'!I62&amp;"-"&amp;TEXT('18U BOYS-24 TEAMS'!B62,"h:mm am/pm")</f>
        <v>18B39-G bracket G2,G3-12:00 PM</v>
      </c>
      <c r="L26" s="68"/>
    </row>
    <row r="27" spans="1:12">
      <c r="A27" s="70">
        <v>0.54166666666666696</v>
      </c>
      <c r="B27" s="64" t="str">
        <f>'16U BOYS GOLD-9 TEAMS'!D31&amp;"-"&amp;'16U BOYS GOLD-9 TEAMS'!I31&amp;"-"&amp;TEXT('16U BOYS GOLD-9 TEAMS'!B31,"h:mm am/pm")</f>
        <v>16Bau15-F bracket (1st-3rd) F2,F3-1:00 PM</v>
      </c>
      <c r="D27" s="70">
        <v>0.54166666666666696</v>
      </c>
      <c r="E27" s="101" t="str">
        <f>'18U BOYS-24 TEAMS'!D84&amp;"-"&amp;'18U BOYS-24 TEAMS'!I84&amp;"-"&amp;TEXT('18U BOYS-24 TEAMS'!B84,"h:mm am/pm")</f>
        <v>18B44-19th-24th N1,N2-1:00 PM</v>
      </c>
      <c r="F27" s="39" t="str">
        <f>'18U BOYS-24 TEAMS'!D74&amp;"-"&amp;'18U BOYS-24 TEAMS'!I74&amp;"-"&amp;TEXT('18U BOYS-24 TEAMS'!B74,"h:mm am/pm")</f>
        <v>18B43-K bracket K2,K3-1:00 PM</v>
      </c>
      <c r="G27" s="48" t="str">
        <f>'16U BOYS PLATINUM-19 TEAMS'!D56&amp;"-"&amp;'16U BOYS PLATINUM-19 TEAMS'!I56&amp;"-"&amp;TEXT('16U BOYS PLATINUM-19 TEAMS'!B56,"h:mm am/pm")</f>
        <v>16Bpt32-G bracket G1,G2 (1A,1B)-1:00 PM</v>
      </c>
      <c r="H27" s="52" t="str">
        <f>'16U BOYS PLATINUM-19 TEAMS'!D67&amp;"-"&amp;'16U BOYS PLATINUM-19 TEAMS'!I67&amp;"-"&amp;TEXT('16U BOYS PLATINUM-19 TEAMS'!B67,"h:mm am/pm")</f>
        <v>16Bpt33-bracket K2,K3-1:00 PM</v>
      </c>
      <c r="I27" s="21" t="str">
        <f>'18U BOYS-24 TEAMS'!D63&amp;"-"&amp;'18U BOYS-24 TEAMS'!I63&amp;"-"&amp;TEXT('18U BOYS-24 TEAMS'!B63,"h:mm am/pm")</f>
        <v>18B42-H bracket H2,H3-1:00 PM</v>
      </c>
      <c r="L27" s="68"/>
    </row>
    <row r="28" spans="1:12">
      <c r="A28" s="70">
        <v>0.58333333333333304</v>
      </c>
      <c r="B28" s="64" t="str">
        <f>'16U BOYS GOLD-9 TEAMS'!D32&amp;"-"&amp;'16U BOYS GOLD-9 TEAMS'!I32&amp;"-"&amp;TEXT('16U BOYS GOLD-9 TEAMS'!B32,"h:mm am/pm")</f>
        <v>16Bau16-D bracket (7th-9th) D1,D2-2:00 PM</v>
      </c>
      <c r="D28" s="70">
        <v>0.58333333333333304</v>
      </c>
      <c r="F28" s="39" t="str">
        <f>'18U BOYS-24 TEAMS'!D75&amp;"-"&amp;'18U BOYS-24 TEAMS'!I75&amp;"-"&amp;TEXT('18U BOYS-24 TEAMS'!B75,"h:mm am/pm")</f>
        <v>18B46-L bracket L1,L2-2:00 PM</v>
      </c>
      <c r="G28" s="48" t="str">
        <f>'16U BOYS PLATINUM-19 TEAMS'!D57&amp;"-"&amp;'16U BOYS PLATINUM-19 TEAMS'!I57&amp;"-"&amp;TEXT('16U BOYS PLATINUM-19 TEAMS'!B57,"h:mm am/pm")</f>
        <v>16Bpt34-I bracket I1,I2 (2A,2B)-2:00 PM</v>
      </c>
      <c r="H28" s="83" t="str">
        <f>'16U BOYS PLATINUM-19 TEAMS'!D68&amp;"-"&amp;'16U BOYS PLATINUM-19 TEAMS'!I68&amp;"-"&amp;TEXT('16U BOYS PLATINUM-19 TEAMS'!B68,"h:mm am/pm")</f>
        <v>16Bpt35-3rd/4thL-2:00 PM</v>
      </c>
      <c r="I28" s="21" t="str">
        <f>'18U BOYS-24 TEAMS'!D64&amp;"-"&amp;'18U BOYS-24 TEAMS'!I64&amp;"-"&amp;TEXT('18U BOYS-24 TEAMS'!B64,"h:mm am/pm")</f>
        <v>18B45-I bracket I1,2-2:00 PM</v>
      </c>
      <c r="L28" s="68"/>
    </row>
    <row r="29" spans="1:12">
      <c r="A29" s="70">
        <v>0.625</v>
      </c>
      <c r="B29" s="64" t="str">
        <f>'16U BOYS GOLD-9 TEAMS'!D33&amp;"-"&amp;'16U BOYS GOLD-9 TEAMS'!I33&amp;"-"&amp;TEXT('16U BOYS GOLD-9 TEAMS'!B33,"h:mm am/pm")</f>
        <v>16Bau17-E bracket (4th-6th) E1,E2-3:00 PM</v>
      </c>
      <c r="D29" s="70">
        <v>0.625</v>
      </c>
      <c r="F29" s="39" t="str">
        <f>'18U BOYS-24 TEAMS'!D76&amp;"-"&amp;'18U BOYS-24 TEAMS'!I76&amp;"-"&amp;TEXT('18U BOYS-24 TEAMS'!B76,"h:mm am/pm")</f>
        <v>18B48-J bracket J1,J2-3:00 PM</v>
      </c>
      <c r="G29" s="48" t="str">
        <f>'16U BOYS PLATINUM-19 TEAMS'!D58&amp;"-"&amp;'16U BOYS PLATINUM-19 TEAMS'!I58&amp;"-"&amp;TEXT('16U BOYS PLATINUM-19 TEAMS'!B58,"h:mm am/pm")</f>
        <v>16Bpt36-5th 3G/3H-3:00 PM</v>
      </c>
      <c r="H29" s="83" t="str">
        <f>'16U BOYS PLATINUM-19 TEAMS'!D69&amp;"-"&amp;'16U BOYS PLATINUM-19 TEAMS'!I69&amp;"-"&amp;TEXT('16U BOYS PLATINUM-19 TEAMS'!B69,"h:mm am/pm")</f>
        <v>16Bpt37-1st/2ndL-3:00 PM</v>
      </c>
      <c r="I29" s="21" t="str">
        <f>'18U BOYS-24 TEAMS'!D65&amp;"-"&amp;'18U BOYS-24 TEAMS'!I65&amp;"-"&amp;TEXT('18U BOYS-24 TEAMS'!B65,"h:mm am/pm")</f>
        <v>18B47-5th 3G/3H-3:00 PM</v>
      </c>
      <c r="L29" s="68"/>
    </row>
    <row r="30" spans="1:12">
      <c r="A30" s="70">
        <v>0.66666666666666696</v>
      </c>
      <c r="B30" s="64" t="str">
        <f>'16U BOYS GOLD-9 TEAMS'!D34&amp;"-"&amp;'16U BOYS GOLD-9 TEAMS'!I34&amp;"-"&amp;TEXT('16U BOYS GOLD-9 TEAMS'!B34,"h:mm am/pm")</f>
        <v>16Bau18-F bracket (1st-3rd) F1,F2-4:00 PM</v>
      </c>
      <c r="D30" s="70">
        <v>0.66666666666666696</v>
      </c>
      <c r="F30" s="39" t="str">
        <f>'18U BOYS-24 TEAMS'!D77&amp;"-"&amp;'18U BOYS-24 TEAMS'!I77&amp;"-"&amp;TEXT('18U BOYS-24 TEAMS'!B77,"h:mm am/pm")</f>
        <v>18B50-K bracket K1,K2-4:00 PM</v>
      </c>
      <c r="G30" s="48" t="str">
        <f>'16U BOYS PLATINUM-19 TEAMS'!D59&amp;"-"&amp;'16U BOYS PLATINUM-19 TEAMS'!I59&amp;"-"&amp;TEXT('16U BOYS PLATINUM-19 TEAMS'!B59,"h:mm am/pm")</f>
        <v>16Bpt38-3rd 2G/2H-4:00 PM</v>
      </c>
      <c r="H30" s="52" t="str">
        <f>'16U BOYS PLATINUM-19 TEAMS'!D70&amp;"-"&amp;'16U BOYS PLATINUM-19 TEAMS'!I70&amp;"-"&amp;TEXT('16U BOYS PLATINUM-19 TEAMS'!B70,"h:mm am/pm")</f>
        <v>16Bpt39-bracket J1,J2-4:00 PM</v>
      </c>
      <c r="I30" s="21" t="str">
        <f>'18U BOYS-24 TEAMS'!D66&amp;"-"&amp;'18U BOYS-24 TEAMS'!I66&amp;"-"&amp;TEXT('18U BOYS-24 TEAMS'!B66,"h:mm am/pm")</f>
        <v>18B49-3rd 2G/2H-4:00 PM</v>
      </c>
      <c r="L30" s="68"/>
    </row>
    <row r="31" spans="1:12">
      <c r="A31" s="70">
        <v>0.70833333333333304</v>
      </c>
      <c r="D31" s="70">
        <v>0.70833333333333304</v>
      </c>
      <c r="G31" s="48" t="str">
        <f>'16U BOYS PLATINUM-19 TEAMS'!D60&amp;"-"&amp;'16U BOYS PLATINUM-19 TEAMS'!I60&amp;"-"&amp;TEXT('16U BOYS PLATINUM-19 TEAMS'!B60,"h:mm am/pm")</f>
        <v>16Bpt40-1st 1G/1H-5:00 PM</v>
      </c>
      <c r="H31" s="52" t="str">
        <f>'16U BOYS PLATINUM-19 TEAMS'!D71&amp;"-"&amp;'16U BOYS PLATINUM-19 TEAMS'!I71&amp;"-"&amp;TEXT('16U BOYS PLATINUM-19 TEAMS'!B71,"h:mm am/pm")</f>
        <v>16Bpt41-bracket K1,K2-5:00 PM</v>
      </c>
      <c r="I31" s="21" t="str">
        <f>'18U BOYS-24 TEAMS'!D67&amp;"-"&amp;'18U BOYS-24 TEAMS'!I67&amp;"-"&amp;TEXT('18U BOYS-24 TEAMS'!B67,"h:mm am/pm")</f>
        <v>18B51-1st 1G/1H-5:00 PM</v>
      </c>
      <c r="L31" s="68"/>
    </row>
    <row r="32" spans="1:12">
      <c r="K32" s="67" t="s">
        <v>176</v>
      </c>
      <c r="L32" s="68"/>
    </row>
    <row r="33" spans="1:12">
      <c r="B33" s="67">
        <f>COUNTA(B22:B32)</f>
        <v>9</v>
      </c>
      <c r="E33" s="67">
        <f>COUNTA(E22:E32)</f>
        <v>6</v>
      </c>
      <c r="F33" s="67">
        <f>COUNTA(F22:F32)</f>
        <v>9</v>
      </c>
      <c r="G33" s="67">
        <f>COUNTA(G22:G32)</f>
        <v>10</v>
      </c>
      <c r="H33" s="67">
        <f>COUNTA(H22:H32)</f>
        <v>10</v>
      </c>
      <c r="I33" s="67">
        <f>COUNTA(I22:I32)</f>
        <v>10</v>
      </c>
      <c r="K33" s="67">
        <f>SUM(B33:J33)</f>
        <v>54</v>
      </c>
      <c r="L33" s="68"/>
    </row>
    <row r="34" spans="1:12">
      <c r="L34" s="68"/>
    </row>
    <row r="35" spans="1:12">
      <c r="F35" s="3"/>
      <c r="L35" s="68"/>
    </row>
    <row r="36" spans="1:12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</row>
    <row r="100" spans="6:6">
      <c r="F100" s="21" t="str">
        <f>'18U BOYS-24 TEAMS'!D85&amp;"-"&amp;'18U BOYS-24 TEAMS'!I85&amp;"-"&amp;TEXT('18U BOYS-24 TEAMS'!B85,"h:mm am/pm")</f>
        <v>--12:00 AM</v>
      </c>
    </row>
    <row r="101" spans="6:6">
      <c r="F101" s="21" t="str">
        <f>'18U BOYS-24 TEAMS'!E86&amp;"-"&amp;'18U BOYS-24 TEAMS'!I86&amp;"-"&amp;TEXT('18U BOYS-24 TEAMS'!B86,"h:mm am/pm")</f>
        <v>G (1st-6th)--TOTAL POINTS</v>
      </c>
    </row>
    <row r="102" spans="6:6">
      <c r="F102" s="21" t="str">
        <f>'18U BOYS-24 TEAMS'!E87&amp;"-"&amp;'18U BOYS-24 TEAMS'!I87&amp;"-"&amp;TEXT('18U BOYS-24 TEAMS'!B87,"h:mm am/pm")</f>
        <v>G1(1stA)-LAMORINDA-1st-12:00 AM</v>
      </c>
    </row>
    <row r="103" spans="6:6">
      <c r="F103" s="21" t="str">
        <f>'18U BOYS-24 TEAMS'!E88&amp;"-"&amp;'18U BOYS-24 TEAMS'!I88&amp;"-"&amp;TEXT('18U BOYS-24 TEAMS'!B88,"h:mm am/pm")</f>
        <v>G2(1stB)-NEWPORT-2nd-12:00 AM</v>
      </c>
    </row>
    <row r="104" spans="6:6">
      <c r="F104" s="21" t="str">
        <f>'18U BOYS-24 TEAMS'!E89&amp;"-"&amp;'18U BOYS-24 TEAMS'!I89&amp;"-"&amp;TEXT('18U BOYS-24 TEAMS'!B89,"h:mm am/pm")</f>
        <v>G2(1stC)-CC UNITED-3rd-12:00 AM</v>
      </c>
    </row>
    <row r="105" spans="6:6">
      <c r="F105" s="21" t="str">
        <f>'18U BOYS-24 TEAMS'!E90&amp;"-"&amp;'18U BOYS-24 TEAMS'!I90&amp;"-"&amp;TEXT('18U BOYS-24 TEAMS'!B90,"h:mm am/pm")</f>
        <v>--12:00 AM</v>
      </c>
    </row>
    <row r="106" spans="6:6">
      <c r="F106" s="21" t="e">
        <f>'18U BOYS-24 TEAMS'!#REF!&amp;"-"&amp;'18U BOYS-24 TEAMS'!I91&amp;"-"&amp;TEXT('18U BOYS-24 TEAMS'!B91,"h:mm am/pm")</f>
        <v>#REF!</v>
      </c>
    </row>
    <row r="107" spans="6:6">
      <c r="F107" s="21" t="e">
        <f>'18U BOYS-24 TEAMS'!#REF!&amp;"-"&amp;'18U BOYS-24 TEAMS'!I92&amp;"-"&amp;TEXT('18U BOYS-24 TEAMS'!B92,"h:mm am/pm")</f>
        <v>#REF!</v>
      </c>
    </row>
    <row r="108" spans="6:6">
      <c r="F108" s="21" t="e">
        <f>'18U BOYS-24 TEAMS'!#REF!&amp;"-"&amp;'18U BOYS-24 TEAMS'!I93&amp;"-"&amp;TEXT('18U BOYS-24 TEAMS'!B93,"h:mm am/pm")</f>
        <v>#REF!</v>
      </c>
    </row>
    <row r="109" spans="6:6">
      <c r="F109" s="21" t="e">
        <f>'18U BOYS-24 TEAMS'!#REF!&amp;"-"&amp;'18U BOYS-24 TEAMS'!I94&amp;"-"&amp;TEXT('18U BOYS-24 TEAMS'!B94,"h:mm am/pm")</f>
        <v>#REF!</v>
      </c>
    </row>
    <row r="110" spans="6:6">
      <c r="F110" s="21" t="str">
        <f>'18U BOYS-24 TEAMS'!D95&amp;"-"&amp;'18U BOYS-24 TEAMS'!I95&amp;"-"&amp;TEXT('18U BOYS-24 TEAMS'!B95,"h:mm am/pm")</f>
        <v>--12:00 AM</v>
      </c>
    </row>
    <row r="111" spans="6:6">
      <c r="F111" s="21" t="str">
        <f>'18U BOYS-24 TEAMS'!D96&amp;"-"&amp;'18U BOYS-24 TEAMS'!I96&amp;"-"&amp;TEXT('18U BOYS-24 TEAMS'!B96,"h:mm am/pm")</f>
        <v>--12:00 AM</v>
      </c>
    </row>
    <row r="112" spans="6:6">
      <c r="F112" s="21" t="str">
        <f>'18U BOYS-24 TEAMS'!D97&amp;"-"&amp;'18U BOYS-24 TEAMS'!I97&amp;"-"&amp;TEXT('18U BOYS-24 TEAMS'!B97,"h:mm am/pm")</f>
        <v>--12:00 AM</v>
      </c>
    </row>
    <row r="113" spans="6:6">
      <c r="F113" s="21" t="str">
        <f>'18U BOYS-24 TEAMS'!D98&amp;"-"&amp;'18U BOYS-24 TEAMS'!I98&amp;"-"&amp;TEXT('18U BOYS-24 TEAMS'!B98,"h:mm am/pm")</f>
        <v>--12:00 AM</v>
      </c>
    </row>
    <row r="114" spans="6:6">
      <c r="F114" s="21" t="str">
        <f>'18U BOYS-24 TEAMS'!D99&amp;"-"&amp;'18U BOYS-24 TEAMS'!I99&amp;"-"&amp;TEXT('18U BOYS-24 TEAMS'!B99,"h:mm am/pm")</f>
        <v>--12:00 AM</v>
      </c>
    </row>
    <row r="115" spans="6:6">
      <c r="F115" s="21" t="str">
        <f>'18U BOYS-24 TEAMS'!D100&amp;"-"&amp;'18U BOYS-24 TEAMS'!I100&amp;"-"&amp;TEXT('18U BOYS-24 TEAMS'!B100,"h:mm am/pm")</f>
        <v>--12:00 AM</v>
      </c>
    </row>
    <row r="116" spans="6:6">
      <c r="F116" s="21" t="str">
        <f>'18U BOYS-24 TEAMS'!D101&amp;"-"&amp;'18U BOYS-24 TEAMS'!I101&amp;"-"&amp;TEXT('18U BOYS-24 TEAMS'!B101,"h:mm am/pm")</f>
        <v>--12:00 AM</v>
      </c>
    </row>
    <row r="117" spans="6:6">
      <c r="F117" s="21" t="str">
        <f>'18U BOYS-24 TEAMS'!D102&amp;"-"&amp;'18U BOYS-24 TEAMS'!I102&amp;"-"&amp;TEXT('18U BOYS-24 TEAMS'!B102,"h:mm am/pm")</f>
        <v>--12:00 AM</v>
      </c>
    </row>
    <row r="118" spans="6:6">
      <c r="F118" s="21" t="str">
        <f>'18U BOYS-24 TEAMS'!D103&amp;"-"&amp;'18U BOYS-24 TEAMS'!I103&amp;"-"&amp;TEXT('18U BOYS-24 TEAMS'!B103,"h:mm am/pm")</f>
        <v>--12:00 AM</v>
      </c>
    </row>
    <row r="119" spans="6:6">
      <c r="F119" s="21" t="str">
        <f>'18U BOYS-24 TEAMS'!D104&amp;"-"&amp;'18U BOYS-24 TEAMS'!I104&amp;"-"&amp;TEXT('18U BOYS-24 TEAMS'!B104,"h:mm am/pm")</f>
        <v>--12:00 AM</v>
      </c>
    </row>
    <row r="120" spans="6:6">
      <c r="F120" s="21" t="str">
        <f>'18U BOYS-24 TEAMS'!D105&amp;"-"&amp;'18U BOYS-24 TEAMS'!I105&amp;"-"&amp;TEXT('18U BOYS-24 TEAMS'!B105,"h:mm am/pm")</f>
        <v>--12:00 AM</v>
      </c>
    </row>
    <row r="121" spans="6:6">
      <c r="F121" s="21" t="str">
        <f>'18U BOYS-24 TEAMS'!D106&amp;"-"&amp;'18U BOYS-24 TEAMS'!I106&amp;"-"&amp;TEXT('18U BOYS-24 TEAMS'!B106,"h:mm am/pm")</f>
        <v>--12:00 AM</v>
      </c>
    </row>
    <row r="122" spans="6:6">
      <c r="F122" s="21" t="str">
        <f>'18U BOYS-24 TEAMS'!D107&amp;"-"&amp;'18U BOYS-24 TEAMS'!I107&amp;"-"&amp;TEXT('18U BOYS-24 TEAMS'!B107,"h:mm am/pm")</f>
        <v>--12:00 AM</v>
      </c>
    </row>
    <row r="123" spans="6:6">
      <c r="F123" s="21" t="str">
        <f>'18U BOYS-24 TEAMS'!D108&amp;"-"&amp;'18U BOYS-24 TEAMS'!I108&amp;"-"&amp;TEXT('18U BOYS-24 TEAMS'!B108,"h:mm am/pm")</f>
        <v>--12:00 AM</v>
      </c>
    </row>
    <row r="124" spans="6:6">
      <c r="F124" s="21" t="str">
        <f>'18U BOYS-24 TEAMS'!D109&amp;"-"&amp;'18U BOYS-24 TEAMS'!I109&amp;"-"&amp;TEXT('18U BOYS-24 TEAMS'!B109,"h:mm am/pm")</f>
        <v>--12:00 AM</v>
      </c>
    </row>
    <row r="125" spans="6:6">
      <c r="F125" s="21" t="str">
        <f>'18U BOYS-24 TEAMS'!D110&amp;"-"&amp;'18U BOYS-24 TEAMS'!I110&amp;"-"&amp;TEXT('18U BOYS-24 TEAMS'!B110,"h:mm am/pm")</f>
        <v>--12:00 AM</v>
      </c>
    </row>
    <row r="126" spans="6:6">
      <c r="F126" s="21" t="str">
        <f>'18U BOYS-24 TEAMS'!D111&amp;"-"&amp;'18U BOYS-24 TEAMS'!I111&amp;"-"&amp;TEXT('18U BOYS-24 TEAMS'!B111,"h:mm am/pm")</f>
        <v>--12:00 AM</v>
      </c>
    </row>
    <row r="127" spans="6:6">
      <c r="F127" s="21" t="str">
        <f>'18U BOYS-24 TEAMS'!D112&amp;"-"&amp;'18U BOYS-24 TEAMS'!I112&amp;"-"&amp;TEXT('18U BOYS-24 TEAMS'!B112,"h:mm am/pm")</f>
        <v>--12:00 AM</v>
      </c>
    </row>
    <row r="128" spans="6:6">
      <c r="F128" s="21" t="str">
        <f>'18U BOYS-24 TEAMS'!D113&amp;"-"&amp;'18U BOYS-24 TEAMS'!I113&amp;"-"&amp;TEXT('18U BOYS-24 TEAMS'!B113,"h:mm am/pm")</f>
        <v>--12:00 AM</v>
      </c>
    </row>
    <row r="129" spans="6:6">
      <c r="F129" s="21" t="str">
        <f>'18U BOYS-24 TEAMS'!D114&amp;"-"&amp;'18U BOYS-24 TEAMS'!I114&amp;"-"&amp;TEXT('18U BOYS-24 TEAMS'!B114,"h:mm am/pm")</f>
        <v>--12:00 AM</v>
      </c>
    </row>
    <row r="130" spans="6:6">
      <c r="F130" s="21" t="str">
        <f>'18U BOYS-24 TEAMS'!D115&amp;"-"&amp;'18U BOYS-24 TEAMS'!I115&amp;"-"&amp;TEXT('18U BOYS-24 TEAMS'!B115,"h:mm am/pm")</f>
        <v>--12:00 AM</v>
      </c>
    </row>
    <row r="131" spans="6:6">
      <c r="F131" s="21" t="str">
        <f>'18U BOYS-24 TEAMS'!D116&amp;"-"&amp;'18U BOYS-24 TEAMS'!I116&amp;"-"&amp;TEXT('18U BOYS-24 TEAMS'!B116,"h:mm am/pm")</f>
        <v>--12:00 AM</v>
      </c>
    </row>
    <row r="132" spans="6:6">
      <c r="F132" s="21" t="str">
        <f>'18U BOYS-24 TEAMS'!D117&amp;"-"&amp;'18U BOYS-24 TEAMS'!I117&amp;"-"&amp;TEXT('18U BOYS-24 TEAMS'!B117,"h:mm am/pm")</f>
        <v>--12:00 AM</v>
      </c>
    </row>
    <row r="133" spans="6:6">
      <c r="F133" s="21" t="str">
        <f>'18U BOYS-24 TEAMS'!D118&amp;"-"&amp;'18U BOYS-24 TEAMS'!I118&amp;"-"&amp;TEXT('18U BOYS-24 TEAMS'!B118,"h:mm am/pm")</f>
        <v>--12:00 AM</v>
      </c>
    </row>
    <row r="134" spans="6:6">
      <c r="F134" s="21" t="str">
        <f>'18U BOYS-24 TEAMS'!D119&amp;"-"&amp;'18U BOYS-24 TEAMS'!I119&amp;"-"&amp;TEXT('18U BOYS-24 TEAMS'!B119,"h:mm am/pm")</f>
        <v>--12:00 AM</v>
      </c>
    </row>
    <row r="135" spans="6:6">
      <c r="F135" s="21" t="str">
        <f>'18U BOYS-24 TEAMS'!D120&amp;"-"&amp;'18U BOYS-24 TEAMS'!I120&amp;"-"&amp;TEXT('18U BOYS-24 TEAMS'!B120,"h:mm am/pm")</f>
        <v>--12:00 AM</v>
      </c>
    </row>
    <row r="136" spans="6:6">
      <c r="F136" s="21" t="str">
        <f>'18U BOYS-24 TEAMS'!D121&amp;"-"&amp;'18U BOYS-24 TEAMS'!I121&amp;"-"&amp;TEXT('18U BOYS-24 TEAMS'!B121,"h:mm am/pm")</f>
        <v>--12:00 AM</v>
      </c>
    </row>
    <row r="137" spans="6:6">
      <c r="F137" s="21" t="str">
        <f>'18U BOYS-24 TEAMS'!D122&amp;"-"&amp;'18U BOYS-24 TEAMS'!I122&amp;"-"&amp;TEXT('18U BOYS-24 TEAMS'!B122,"h:mm am/pm")</f>
        <v>--12:00 AM</v>
      </c>
    </row>
    <row r="138" spans="6:6">
      <c r="F138" s="21" t="str">
        <f>'18U BOYS-24 TEAMS'!D123&amp;"-"&amp;'18U BOYS-24 TEAMS'!I123&amp;"-"&amp;TEXT('18U BOYS-24 TEAMS'!B123,"h:mm am/pm")</f>
        <v>--12:00 AM</v>
      </c>
    </row>
    <row r="139" spans="6:6">
      <c r="F139" s="21" t="str">
        <f>'18U BOYS-24 TEAMS'!D124&amp;"-"&amp;'18U BOYS-24 TEAMS'!I124&amp;"-"&amp;TEXT('18U BOYS-24 TEAMS'!B124,"h:mm am/pm")</f>
        <v>--12:00 AM</v>
      </c>
    </row>
    <row r="140" spans="6:6">
      <c r="F140" s="21" t="str">
        <f>'18U BOYS-24 TEAMS'!D125&amp;"-"&amp;'18U BOYS-24 TEAMS'!I125&amp;"-"&amp;TEXT('18U BOYS-24 TEAMS'!B125,"h:mm am/pm")</f>
        <v>--12:00 AM</v>
      </c>
    </row>
    <row r="141" spans="6:6">
      <c r="F141" s="21" t="str">
        <f>'18U BOYS-24 TEAMS'!D126&amp;"-"&amp;'18U BOYS-24 TEAMS'!I126&amp;"-"&amp;TEXT('18U BOYS-24 TEAMS'!B126,"h:mm am/pm")</f>
        <v>--12:00 AM</v>
      </c>
    </row>
    <row r="142" spans="6:6">
      <c r="F142" s="21" t="str">
        <f>'18U BOYS-24 TEAMS'!D127&amp;"-"&amp;'18U BOYS-24 TEAMS'!I127&amp;"-"&amp;TEXT('18U BOYS-24 TEAMS'!B127,"h:mm am/pm")</f>
        <v>--12:00 AM</v>
      </c>
    </row>
    <row r="143" spans="6:6">
      <c r="F143" s="21" t="str">
        <f>'18U BOYS-24 TEAMS'!D128&amp;"-"&amp;'18U BOYS-24 TEAMS'!I128&amp;"-"&amp;TEXT('18U BOYS-24 TEAMS'!B128,"h:mm am/pm")</f>
        <v>--12:00 AM</v>
      </c>
    </row>
    <row r="144" spans="6:6">
      <c r="F144" s="21" t="str">
        <f>'18U BOYS-24 TEAMS'!D129&amp;"-"&amp;'18U BOYS-24 TEAMS'!I129&amp;"-"&amp;TEXT('18U BOYS-24 TEAMS'!B129,"h:mm am/pm")</f>
        <v>--12:00 AM</v>
      </c>
    </row>
    <row r="145" spans="6:6">
      <c r="F145" s="21" t="str">
        <f>'18U BOYS-24 TEAMS'!D130&amp;"-"&amp;'18U BOYS-24 TEAMS'!I130&amp;"-"&amp;TEXT('18U BOYS-24 TEAMS'!B130,"h:mm am/pm")</f>
        <v>--12:00 AM</v>
      </c>
    </row>
    <row r="146" spans="6:6">
      <c r="F146" s="21" t="str">
        <f>'18U BOYS-24 TEAMS'!D131&amp;"-"&amp;'18U BOYS-24 TEAMS'!I131&amp;"-"&amp;TEXT('18U BOYS-24 TEAMS'!B131,"h:mm am/pm")</f>
        <v>--12:00 AM</v>
      </c>
    </row>
    <row r="147" spans="6:6">
      <c r="F147" s="21" t="str">
        <f>'18U BOYS-24 TEAMS'!D132&amp;"-"&amp;'18U BOYS-24 TEAMS'!I132&amp;"-"&amp;TEXT('18U BOYS-24 TEAMS'!B132,"h:mm am/pm")</f>
        <v>--12:00 AM</v>
      </c>
    </row>
    <row r="148" spans="6:6">
      <c r="F148" s="21" t="str">
        <f>'18U BOYS-24 TEAMS'!D133&amp;"-"&amp;'18U BOYS-24 TEAMS'!I133&amp;"-"&amp;TEXT('18U BOYS-24 TEAMS'!B133,"h:mm am/pm")</f>
        <v>--12:00 AM</v>
      </c>
    </row>
    <row r="149" spans="6:6">
      <c r="F149" s="21" t="str">
        <f>'18U BOYS-24 TEAMS'!D134&amp;"-"&amp;'18U BOYS-24 TEAMS'!I134&amp;"-"&amp;TEXT('18U BOYS-24 TEAMS'!B134,"h:mm am/pm")</f>
        <v>--12:00 AM</v>
      </c>
    </row>
    <row r="150" spans="6:6">
      <c r="F150" s="21" t="str">
        <f>'18U BOYS-24 TEAMS'!D135&amp;"-"&amp;'18U BOYS-24 TEAMS'!I135&amp;"-"&amp;TEXT('18U BOYS-24 TEAMS'!B135,"h:mm am/pm")</f>
        <v>--12:00 AM</v>
      </c>
    </row>
    <row r="151" spans="6:6">
      <c r="F151" s="21" t="str">
        <f>'18U BOYS-24 TEAMS'!D136&amp;"-"&amp;'18U BOYS-24 TEAMS'!I136&amp;"-"&amp;TEXT('18U BOYS-24 TEAMS'!B136,"h:mm am/pm")</f>
        <v>--12:00 AM</v>
      </c>
    </row>
    <row r="152" spans="6:6">
      <c r="F152" s="21" t="str">
        <f>'18U BOYS-24 TEAMS'!D137&amp;"-"&amp;'18U BOYS-24 TEAMS'!I137&amp;"-"&amp;TEXT('18U BOYS-24 TEAMS'!B137,"h:mm am/pm")</f>
        <v>--12:00 AM</v>
      </c>
    </row>
    <row r="153" spans="6:6">
      <c r="F153" s="21" t="str">
        <f>'18U BOYS-24 TEAMS'!D138&amp;"-"&amp;'18U BOYS-24 TEAMS'!I138&amp;"-"&amp;TEXT('18U BOYS-24 TEAMS'!B138,"h:mm am/pm")</f>
        <v>--12:00 AM</v>
      </c>
    </row>
    <row r="154" spans="6:6">
      <c r="F154" s="21" t="str">
        <f>'18U BOYS-24 TEAMS'!D139&amp;"-"&amp;'18U BOYS-24 TEAMS'!I139&amp;"-"&amp;TEXT('18U BOYS-24 TEAMS'!B139,"h:mm am/pm")</f>
        <v>--12:00 AM</v>
      </c>
    </row>
    <row r="155" spans="6:6">
      <c r="F155" s="21" t="str">
        <f>'18U BOYS-24 TEAMS'!D140&amp;"-"&amp;'18U BOYS-24 TEAMS'!I140&amp;"-"&amp;TEXT('18U BOYS-24 TEAMS'!B140,"h:mm am/pm")</f>
        <v>--12:00 AM</v>
      </c>
    </row>
    <row r="156" spans="6:6">
      <c r="F156" s="21" t="str">
        <f>'18U BOYS-24 TEAMS'!D141&amp;"-"&amp;'18U BOYS-24 TEAMS'!I141&amp;"-"&amp;TEXT('18U BOYS-24 TEAMS'!B141,"h:mm am/pm")</f>
        <v>--12:00 AM</v>
      </c>
    </row>
    <row r="157" spans="6:6">
      <c r="F157" s="21" t="str">
        <f>'18U BOYS-24 TEAMS'!D142&amp;"-"&amp;'18U BOYS-24 TEAMS'!I142&amp;"-"&amp;TEXT('18U BOYS-24 TEAMS'!B142,"h:mm am/pm")</f>
        <v>--12:00 AM</v>
      </c>
    </row>
    <row r="158" spans="6:6">
      <c r="F158" s="21" t="str">
        <f>'18U BOYS-24 TEAMS'!D143&amp;"-"&amp;'18U BOYS-24 TEAMS'!I143&amp;"-"&amp;TEXT('18U BOYS-24 TEAMS'!B143,"h:mm am/pm")</f>
        <v>--12:00 AM</v>
      </c>
    </row>
    <row r="159" spans="6:6">
      <c r="F159" s="21" t="str">
        <f>'18U BOYS-24 TEAMS'!D144&amp;"-"&amp;'18U BOYS-24 TEAMS'!I144&amp;"-"&amp;TEXT('18U BOYS-24 TEAMS'!B144,"h:mm am/pm")</f>
        <v>--12:00 AM</v>
      </c>
    </row>
    <row r="160" spans="6:6">
      <c r="F160" s="21" t="str">
        <f>'18U BOYS-24 TEAMS'!D145&amp;"-"&amp;'18U BOYS-24 TEAMS'!I145&amp;"-"&amp;TEXT('18U BOYS-24 TEAMS'!B145,"h:mm am/pm")</f>
        <v>--12:00 AM</v>
      </c>
    </row>
    <row r="161" spans="6:6">
      <c r="F161" s="21" t="str">
        <f>'18U BOYS-24 TEAMS'!D146&amp;"-"&amp;'18U BOYS-24 TEAMS'!I146&amp;"-"&amp;TEXT('18U BOYS-24 TEAMS'!B146,"h:mm am/pm")</f>
        <v>--12:00 AM</v>
      </c>
    </row>
    <row r="162" spans="6:6">
      <c r="F162" s="21" t="str">
        <f>'18U BOYS-24 TEAMS'!D147&amp;"-"&amp;'18U BOYS-24 TEAMS'!I147&amp;"-"&amp;TEXT('18U BOYS-24 TEAMS'!B147,"h:mm am/pm")</f>
        <v>--12:00 AM</v>
      </c>
    </row>
    <row r="163" spans="6:6">
      <c r="F163" s="21" t="str">
        <f>'18U BOYS-24 TEAMS'!D148&amp;"-"&amp;'18U BOYS-24 TEAMS'!I148&amp;"-"&amp;TEXT('18U BOYS-24 TEAMS'!B148,"h:mm am/pm")</f>
        <v>--12:00 AM</v>
      </c>
    </row>
    <row r="164" spans="6:6">
      <c r="F164" s="21" t="str">
        <f>'18U BOYS-24 TEAMS'!D149&amp;"-"&amp;'18U BOYS-24 TEAMS'!I149&amp;"-"&amp;TEXT('18U BOYS-24 TEAMS'!B149,"h:mm am/pm")</f>
        <v>--12:00 AM</v>
      </c>
    </row>
    <row r="165" spans="6:6">
      <c r="F165" s="21" t="str">
        <f>'18U BOYS-24 TEAMS'!D150&amp;"-"&amp;'18U BOYS-24 TEAMS'!I150&amp;"-"&amp;TEXT('18U BOYS-24 TEAMS'!B150,"h:mm am/pm")</f>
        <v>--12:00 AM</v>
      </c>
    </row>
    <row r="166" spans="6:6">
      <c r="F166" s="21" t="str">
        <f>'18U BOYS-24 TEAMS'!D151&amp;"-"&amp;'18U BOYS-24 TEAMS'!I151&amp;"-"&amp;TEXT('18U BOYS-24 TEAMS'!B151,"h:mm am/pm")</f>
        <v>--12:00 AM</v>
      </c>
    </row>
    <row r="167" spans="6:6">
      <c r="F167" s="21" t="str">
        <f>'18U BOYS-24 TEAMS'!D152&amp;"-"&amp;'18U BOYS-24 TEAMS'!I152&amp;"-"&amp;TEXT('18U BOYS-24 TEAMS'!B152,"h:mm am/pm")</f>
        <v>--12:00 AM</v>
      </c>
    </row>
    <row r="168" spans="6:6">
      <c r="F168" s="21" t="str">
        <f>'18U BOYS-24 TEAMS'!D153&amp;"-"&amp;'18U BOYS-24 TEAMS'!I153&amp;"-"&amp;TEXT('18U BOYS-24 TEAMS'!B153,"h:mm am/pm")</f>
        <v>--12:00 AM</v>
      </c>
    </row>
    <row r="169" spans="6:6">
      <c r="F169" s="21" t="str">
        <f>'18U BOYS-24 TEAMS'!D154&amp;"-"&amp;'18U BOYS-24 TEAMS'!I154&amp;"-"&amp;TEXT('18U BOYS-24 TEAMS'!B154,"h:mm am/pm")</f>
        <v>--12:00 AM</v>
      </c>
    </row>
    <row r="170" spans="6:6">
      <c r="F170" s="21" t="str">
        <f>'18U BOYS-24 TEAMS'!D155&amp;"-"&amp;'18U BOYS-24 TEAMS'!I155&amp;"-"&amp;TEXT('18U BOYS-24 TEAMS'!B155,"h:mm am/pm")</f>
        <v>--12:00 AM</v>
      </c>
    </row>
    <row r="171" spans="6:6">
      <c r="F171" s="21" t="str">
        <f>'18U BOYS-24 TEAMS'!D156&amp;"-"&amp;'18U BOYS-24 TEAMS'!I156&amp;"-"&amp;TEXT('18U BOYS-24 TEAMS'!B156,"h:mm am/pm")</f>
        <v>--12:00 AM</v>
      </c>
    </row>
    <row r="172" spans="6:6">
      <c r="F172" s="21" t="str">
        <f>'18U BOYS-24 TEAMS'!D157&amp;"-"&amp;'18U BOYS-24 TEAMS'!I157&amp;"-"&amp;TEXT('18U BOYS-24 TEAMS'!B157,"h:mm am/pm")</f>
        <v>--12:00 AM</v>
      </c>
    </row>
    <row r="173" spans="6:6">
      <c r="F173" s="21" t="str">
        <f>'18U BOYS-24 TEAMS'!D158&amp;"-"&amp;'18U BOYS-24 TEAMS'!I158&amp;"-"&amp;TEXT('18U BOYS-24 TEAMS'!B158,"h:mm am/pm")</f>
        <v>--12:00 AM</v>
      </c>
    </row>
    <row r="174" spans="6:6">
      <c r="F174" s="21" t="str">
        <f>'18U BOYS-24 TEAMS'!D159&amp;"-"&amp;'18U BOYS-24 TEAMS'!I159&amp;"-"&amp;TEXT('18U BOYS-24 TEAMS'!B159,"h:mm am/pm")</f>
        <v>--12:00 AM</v>
      </c>
    </row>
    <row r="175" spans="6:6">
      <c r="F175" s="21" t="str">
        <f>'18U BOYS-24 TEAMS'!D160&amp;"-"&amp;'18U BOYS-24 TEAMS'!I160&amp;"-"&amp;TEXT('18U BOYS-24 TEAMS'!B160,"h:mm am/pm")</f>
        <v>--12:00 AM</v>
      </c>
    </row>
    <row r="176" spans="6:6">
      <c r="F176" s="21" t="str">
        <f>'18U BOYS-24 TEAMS'!D161&amp;"-"&amp;'18U BOYS-24 TEAMS'!I161&amp;"-"&amp;TEXT('18U BOYS-24 TEAMS'!B161,"h:mm am/pm")</f>
        <v>--12:00 AM</v>
      </c>
    </row>
    <row r="177" spans="6:6">
      <c r="F177" s="21" t="str">
        <f>'18U BOYS-24 TEAMS'!D162&amp;"-"&amp;'18U BOYS-24 TEAMS'!I162&amp;"-"&amp;TEXT('18U BOYS-24 TEAMS'!B162,"h:mm am/pm")</f>
        <v>--12:00 AM</v>
      </c>
    </row>
    <row r="178" spans="6:6">
      <c r="F178" s="21" t="str">
        <f>'18U BOYS-24 TEAMS'!D163&amp;"-"&amp;'18U BOYS-24 TEAMS'!I163&amp;"-"&amp;TEXT('18U BOYS-24 TEAMS'!B163,"h:mm am/pm")</f>
        <v>--12:00 AM</v>
      </c>
    </row>
    <row r="179" spans="6:6">
      <c r="F179" s="21" t="str">
        <f>'18U BOYS-24 TEAMS'!D164&amp;"-"&amp;'18U BOYS-24 TEAMS'!I164&amp;"-"&amp;TEXT('18U BOYS-24 TEAMS'!B164,"h:mm am/pm")</f>
        <v>--12:00 AM</v>
      </c>
    </row>
    <row r="180" spans="6:6">
      <c r="F180" s="21" t="str">
        <f>'18U BOYS-24 TEAMS'!D165&amp;"-"&amp;'18U BOYS-24 TEAMS'!I165&amp;"-"&amp;TEXT('18U BOYS-24 TEAMS'!B165,"h:mm am/pm")</f>
        <v>--12:00 AM</v>
      </c>
    </row>
    <row r="181" spans="6:6">
      <c r="F181" s="21" t="str">
        <f>'18U BOYS-24 TEAMS'!D166&amp;"-"&amp;'18U BOYS-24 TEAMS'!I166&amp;"-"&amp;TEXT('18U BOYS-24 TEAMS'!B166,"h:mm am/pm")</f>
        <v>--12:00 AM</v>
      </c>
    </row>
    <row r="182" spans="6:6">
      <c r="F182" s="21" t="str">
        <f>'18U BOYS-24 TEAMS'!D167&amp;"-"&amp;'18U BOYS-24 TEAMS'!I167&amp;"-"&amp;TEXT('18U BOYS-24 TEAMS'!B167,"h:mm am/pm")</f>
        <v>--12:00 AM</v>
      </c>
    </row>
    <row r="183" spans="6:6">
      <c r="F183" s="21" t="str">
        <f>'18U BOYS-24 TEAMS'!D168&amp;"-"&amp;'18U BOYS-24 TEAMS'!I168&amp;"-"&amp;TEXT('18U BOYS-24 TEAMS'!B168,"h:mm am/pm")</f>
        <v>--12:00 AM</v>
      </c>
    </row>
    <row r="184" spans="6:6">
      <c r="F184" s="21" t="str">
        <f>'18U BOYS-24 TEAMS'!D169&amp;"-"&amp;'18U BOYS-24 TEAMS'!I169&amp;"-"&amp;TEXT('18U BOYS-24 TEAMS'!B169,"h:mm am/pm")</f>
        <v>--12:00 AM</v>
      </c>
    </row>
    <row r="185" spans="6:6">
      <c r="F185" s="21" t="str">
        <f>'18U BOYS-24 TEAMS'!D170&amp;"-"&amp;'18U BOYS-24 TEAMS'!I170&amp;"-"&amp;TEXT('18U BOYS-24 TEAMS'!B170,"h:mm am/pm")</f>
        <v>--12:00 AM</v>
      </c>
    </row>
    <row r="186" spans="6:6">
      <c r="F186" s="21" t="str">
        <f>'18U BOYS-24 TEAMS'!D171&amp;"-"&amp;'18U BOYS-24 TEAMS'!I171&amp;"-"&amp;TEXT('18U BOYS-24 TEAMS'!B171,"h:mm am/pm")</f>
        <v>--12:00 AM</v>
      </c>
    </row>
    <row r="187" spans="6:6">
      <c r="F187" s="21" t="str">
        <f>'18U BOYS-24 TEAMS'!D172&amp;"-"&amp;'18U BOYS-24 TEAMS'!I172&amp;"-"&amp;TEXT('18U BOYS-24 TEAMS'!B172,"h:mm am/pm")</f>
        <v>--12:00 AM</v>
      </c>
    </row>
    <row r="188" spans="6:6">
      <c r="F188" s="21" t="str">
        <f>'18U BOYS-24 TEAMS'!D173&amp;"-"&amp;'18U BOYS-24 TEAMS'!I173&amp;"-"&amp;TEXT('18U BOYS-24 TEAMS'!B173,"h:mm am/pm")</f>
        <v>--12:00 AM</v>
      </c>
    </row>
    <row r="189" spans="6:6">
      <c r="F189" s="21" t="str">
        <f>'18U BOYS-24 TEAMS'!D174&amp;"-"&amp;'18U BOYS-24 TEAMS'!I174&amp;"-"&amp;TEXT('18U BOYS-24 TEAMS'!B174,"h:mm am/pm")</f>
        <v>--12:00 AM</v>
      </c>
    </row>
    <row r="190" spans="6:6">
      <c r="F190" s="21" t="str">
        <f>'18U BOYS-24 TEAMS'!D175&amp;"-"&amp;'18U BOYS-24 TEAMS'!I175&amp;"-"&amp;TEXT('18U BOYS-24 TEAMS'!B175,"h:mm am/pm")</f>
        <v>--12:00 AM</v>
      </c>
    </row>
    <row r="191" spans="6:6">
      <c r="F191" s="21" t="str">
        <f>'18U BOYS-24 TEAMS'!D176&amp;"-"&amp;'18U BOYS-24 TEAMS'!I176&amp;"-"&amp;TEXT('18U BOYS-24 TEAMS'!B176,"h:mm am/pm")</f>
        <v>--12:00 AM</v>
      </c>
    </row>
    <row r="192" spans="6:6">
      <c r="F192" s="21" t="str">
        <f>'18U BOYS-24 TEAMS'!D177&amp;"-"&amp;'18U BOYS-24 TEAMS'!I177&amp;"-"&amp;TEXT('18U BOYS-24 TEAMS'!B177,"h:mm am/pm")</f>
        <v>--12:00 AM</v>
      </c>
    </row>
    <row r="193" spans="6:6">
      <c r="F193" s="21" t="str">
        <f>'18U BOYS-24 TEAMS'!D178&amp;"-"&amp;'18U BOYS-24 TEAMS'!I178&amp;"-"&amp;TEXT('18U BOYS-24 TEAMS'!B178,"h:mm am/pm")</f>
        <v>--12:00 AM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7F5A-ACE6-48C6-B60E-EE79A880E123}">
  <dimension ref="A1:L67"/>
  <sheetViews>
    <sheetView workbookViewId="0"/>
  </sheetViews>
  <sheetFormatPr defaultColWidth="8.7109375" defaultRowHeight="18.600000000000001"/>
  <cols>
    <col min="1" max="1" width="37.42578125" style="67" customWidth="1"/>
    <col min="2" max="2" width="48.28515625" style="67" customWidth="1"/>
    <col min="3" max="3" width="5.42578125" style="67" customWidth="1"/>
    <col min="4" max="4" width="16.42578125" style="67" customWidth="1"/>
    <col min="5" max="5" width="47.42578125" style="67" customWidth="1"/>
    <col min="6" max="6" width="40.28515625" style="67" customWidth="1"/>
    <col min="7" max="7" width="46.85546875" style="67" customWidth="1"/>
    <col min="8" max="8" width="69.85546875" style="67" customWidth="1"/>
    <col min="9" max="9" width="38.85546875" style="67" customWidth="1"/>
    <col min="10" max="11" width="22.140625" style="67" customWidth="1"/>
    <col min="12" max="12" width="5.5703125" style="67" customWidth="1"/>
    <col min="13" max="16384" width="8.7109375" style="67"/>
  </cols>
  <sheetData>
    <row r="1" spans="1:12">
      <c r="A1" s="60" t="s">
        <v>0</v>
      </c>
      <c r="L1" s="68"/>
    </row>
    <row r="2" spans="1:12">
      <c r="A2" s="60" t="s">
        <v>161</v>
      </c>
      <c r="B2" s="80" t="s">
        <v>162</v>
      </c>
      <c r="H2" s="67" t="s">
        <v>163</v>
      </c>
      <c r="I2" s="80" t="s">
        <v>164</v>
      </c>
      <c r="K2" s="67" t="s">
        <v>165</v>
      </c>
      <c r="L2" s="68"/>
    </row>
    <row r="3" spans="1:12">
      <c r="A3" s="60" t="s">
        <v>166</v>
      </c>
      <c r="B3" s="60" t="s">
        <v>167</v>
      </c>
      <c r="C3" s="60"/>
      <c r="D3" s="60"/>
      <c r="E3" s="60" t="s">
        <v>168</v>
      </c>
      <c r="F3" s="60" t="s">
        <v>169</v>
      </c>
      <c r="G3" s="60" t="s">
        <v>170</v>
      </c>
      <c r="H3" s="60" t="s">
        <v>171</v>
      </c>
      <c r="I3" s="60" t="s">
        <v>172</v>
      </c>
      <c r="K3" s="67">
        <f>COUNTA(B3:I3)</f>
        <v>6</v>
      </c>
      <c r="L3" s="68"/>
    </row>
    <row r="4" spans="1:12">
      <c r="A4" s="68"/>
      <c r="B4" s="68"/>
      <c r="D4" s="70">
        <v>0.33333333333333331</v>
      </c>
      <c r="E4" s="52" t="str">
        <f>'16U BOYS PLATINUM-19 TEAMS'!D37&amp;"-"&amp;'16U BOYS PLATINUM-19 TEAMS'!I37&amp;"-"&amp;TEXT('16U BOYS PLATINUM-19 TEAMS'!B37,"h:mm am/pm")</f>
        <v>16Bpt02-E bracket E1,E3-8:00 AM</v>
      </c>
      <c r="F4" s="106" t="s">
        <v>177</v>
      </c>
      <c r="G4" s="106" t="s">
        <v>178</v>
      </c>
      <c r="H4" s="106" t="s">
        <v>179</v>
      </c>
      <c r="I4" s="68"/>
      <c r="L4" s="68"/>
    </row>
    <row r="5" spans="1:12">
      <c r="A5" s="70">
        <v>0.39583333333333331</v>
      </c>
      <c r="B5" s="64" t="str">
        <f>'16U BOYS GOLD-9 TEAMS'!D14&amp;"-"&amp;'16U BOYS GOLD-9 TEAMS'!I14&amp;"-"&amp;TEXT('16U BOYS GOLD-9 TEAMS'!B14,"h:mm am/pm")</f>
        <v>16Bau01-A bracket A1,A3-9:30 AM</v>
      </c>
      <c r="D5" s="70">
        <v>0.375</v>
      </c>
      <c r="E5" s="52" t="str">
        <f>'16U BOYS PLATINUM-19 TEAMS'!D38&amp;"-"&amp;'16U BOYS PLATINUM-19 TEAMS'!I38&amp;"-"&amp;TEXT('16U BOYS PLATINUM-19 TEAMS'!B38,"h:mm am/pm")</f>
        <v>16Bpt04-D bracket D1,D3-9:00 AM</v>
      </c>
      <c r="F5" s="106" t="s">
        <v>180</v>
      </c>
      <c r="G5" s="48" t="str">
        <f>'16U BOYS PLATINUM-19 TEAMS'!D24&amp;"-"&amp;'16U BOYS PLATINUM-19 TEAMS'!I24&amp;"-"&amp;TEXT('16U BOYS PLATINUM-19 TEAMS'!B24,"h:mm am/pm")</f>
        <v>16Bpt01-C bracket C1,C3-8:00 AM</v>
      </c>
      <c r="H5" s="106" t="s">
        <v>181</v>
      </c>
      <c r="I5" s="106" t="s">
        <v>182</v>
      </c>
      <c r="L5" s="68"/>
    </row>
    <row r="6" spans="1:12">
      <c r="A6" s="70">
        <v>0.4375</v>
      </c>
      <c r="B6" s="106" t="s">
        <v>183</v>
      </c>
      <c r="D6" s="70">
        <v>0.41666666666666702</v>
      </c>
      <c r="E6" s="52" t="str">
        <f>'16U BOYS PLATINUM-19 TEAMS'!D39&amp;"-"&amp;'16U BOYS PLATINUM-19 TEAMS'!I39&amp;"-"&amp;TEXT('16U BOYS PLATINUM-19 TEAMS'!B39,"h:mm am/pm")</f>
        <v>16Bpt06-W/L F1/F4-10:00 AM</v>
      </c>
      <c r="F6" s="106" t="s">
        <v>184</v>
      </c>
      <c r="G6" s="48" t="str">
        <f>'16U BOYS PLATINUM-19 TEAMS'!D25&amp;"-"&amp;'16U BOYS PLATINUM-19 TEAMS'!I25&amp;"-"&amp;TEXT('16U BOYS PLATINUM-19 TEAMS'!B25,"h:mm am/pm")</f>
        <v>16Bpt03-A bracket A1,A3-9:00 AM</v>
      </c>
      <c r="H6" s="106" t="s">
        <v>185</v>
      </c>
      <c r="I6" s="106" t="s">
        <v>186</v>
      </c>
      <c r="L6" s="68"/>
    </row>
    <row r="7" spans="1:12">
      <c r="A7" s="70">
        <v>0.47916666666666702</v>
      </c>
      <c r="B7" s="64" t="str">
        <f>'16U BOYS GOLD-9 TEAMS'!D15&amp;"-"&amp;'16U BOYS GOLD-9 TEAMS'!I15&amp;"-"&amp;TEXT('16U BOYS GOLD-9 TEAMS'!B15,"h:mm am/pm")</f>
        <v>16Bau02-B bracket B1,B3-10:30 AM</v>
      </c>
      <c r="D7" s="70">
        <v>0.45833333333333298</v>
      </c>
      <c r="E7" s="52" t="str">
        <f>'16U BOYS PLATINUM-19 TEAMS'!D40&amp;"-"&amp;'16U BOYS PLATINUM-19 TEAMS'!I40&amp;"-"&amp;TEXT('16U BOYS PLATINUM-19 TEAMS'!B40,"h:mm am/pm")</f>
        <v>16Bpt08-E bracket E2,E3-11:00 AM</v>
      </c>
      <c r="F7" s="106" t="s">
        <v>187</v>
      </c>
      <c r="G7" s="48" t="str">
        <f>'16U BOYS PLATINUM-19 TEAMS'!D26&amp;"-"&amp;'16U BOYS PLATINUM-19 TEAMS'!I26&amp;"-"&amp;TEXT('16U BOYS PLATINUM-19 TEAMS'!B26,"h:mm am/pm")</f>
        <v>16Bpt05-B bracket B2,B3-10:00 AM</v>
      </c>
      <c r="H7" s="107"/>
      <c r="I7" s="106" t="s">
        <v>188</v>
      </c>
      <c r="L7" s="68"/>
    </row>
    <row r="8" spans="1:12">
      <c r="A8" s="70">
        <v>0.52083333333333304</v>
      </c>
      <c r="B8" s="64" t="str">
        <f>'16U BOYS GOLD-9 TEAMS'!D16&amp;"-"&amp;'16U BOYS GOLD-9 TEAMS'!I16&amp;"-"&amp;TEXT('16U BOYS GOLD-9 TEAMS'!B16,"h:mm am/pm")</f>
        <v>16Bau03-C bracket C1,C2-11:30 AM</v>
      </c>
      <c r="D8" s="70">
        <v>0.5</v>
      </c>
      <c r="E8" s="52" t="str">
        <f>'16U BOYS PLATINUM-19 TEAMS'!D41&amp;"-"&amp;'16U BOYS PLATINUM-19 TEAMS'!I41&amp;"-"&amp;TEXT('16U BOYS PLATINUM-19 TEAMS'!B41,"h:mm am/pm")</f>
        <v>16Bpt10-W/L F2/F3-12:00 PM</v>
      </c>
      <c r="F8" s="106" t="s">
        <v>189</v>
      </c>
      <c r="G8" s="48" t="str">
        <f>'16U BOYS PLATINUM-19 TEAMS'!D28&amp;"-"&amp;'16U BOYS PLATINUM-19 TEAMS'!I28&amp;"-"&amp;TEXT('16U BOYS PLATINUM-19 TEAMS'!B28,"h:mm am/pm")</f>
        <v>16Bpt07-C bracket C2,C3-12:00 PM</v>
      </c>
      <c r="H8" s="107"/>
      <c r="I8" s="106" t="s">
        <v>190</v>
      </c>
      <c r="L8" s="68"/>
    </row>
    <row r="9" spans="1:12">
      <c r="A9" s="70">
        <v>0.5625</v>
      </c>
      <c r="B9" s="64" t="str">
        <f>'16U BOYS GOLD-9 TEAMS'!D17&amp;"-"&amp;'16U BOYS GOLD-9 TEAMS'!I17&amp;"-"&amp;TEXT('16U BOYS GOLD-9 TEAMS'!B17,"h:mm am/pm")</f>
        <v>16Bau04-A bracket A2,A3-12:30 PM</v>
      </c>
      <c r="D9" s="70">
        <v>0.54166666666666696</v>
      </c>
      <c r="E9" s="52" t="str">
        <f>'16U BOYS PLATINUM-19 TEAMS'!D42&amp;"-"&amp;'16U BOYS PLATINUM-19 TEAMS'!I42&amp;"-"&amp;TEXT('16U BOYS PLATINUM-19 TEAMS'!B42,"h:mm am/pm")</f>
        <v>16Bpt12-D bracket D2,D3-1:00 PM</v>
      </c>
      <c r="F9" s="106" t="s">
        <v>191</v>
      </c>
      <c r="G9" s="48" t="str">
        <f>'16U BOYS PLATINUM-19 TEAMS'!D29&amp;"-"&amp;'16U BOYS PLATINUM-19 TEAMS'!I29&amp;"-"&amp;TEXT('16U BOYS PLATINUM-19 TEAMS'!B29,"h:mm am/pm")</f>
        <v>16Bpt09-A bracket A2,A3-1:00 PM</v>
      </c>
      <c r="H9" s="107"/>
      <c r="I9" s="106" t="s">
        <v>192</v>
      </c>
      <c r="L9" s="68"/>
    </row>
    <row r="10" spans="1:12">
      <c r="A10" s="70">
        <v>0.60416666666666696</v>
      </c>
      <c r="B10" s="109" t="s">
        <v>193</v>
      </c>
      <c r="D10" s="70">
        <v>0.58333333333333304</v>
      </c>
      <c r="E10" s="52" t="str">
        <f>'16U BOYS PLATINUM-19 TEAMS'!D43&amp;"-"&amp;'16U BOYS PLATINUM-19 TEAMS'!I43&amp;"-"&amp;TEXT('16U BOYS PLATINUM-19 TEAMS'!B43,"h:mm am/pm")</f>
        <v>16Bpt14-E bracket E1,E2-2:00 PM</v>
      </c>
      <c r="F10" s="106" t="s">
        <v>194</v>
      </c>
      <c r="G10" s="48" t="str">
        <f>'16U BOYS PLATINUM-19 TEAMS'!D30&amp;"-"&amp;'16U BOYS PLATINUM-19 TEAMS'!I30&amp;"-"&amp;TEXT('16U BOYS PLATINUM-19 TEAMS'!B30,"h:mm am/pm")</f>
        <v>16Bpt11-B bracket B1,B3-2:00 PM</v>
      </c>
      <c r="H10" s="107"/>
      <c r="I10" s="106" t="s">
        <v>195</v>
      </c>
      <c r="L10" s="68"/>
    </row>
    <row r="11" spans="1:12">
      <c r="A11" s="70">
        <v>0.64583333333333304</v>
      </c>
      <c r="B11" s="64" t="str">
        <f>'16U BOYS GOLD-9 TEAMS'!D18&amp;"-"&amp;'16U BOYS GOLD-9 TEAMS'!I18&amp;"-"&amp;TEXT('16U BOYS GOLD-9 TEAMS'!B18,"h:mm am/pm")</f>
        <v>16Bau05-B bracket B1,B2-1:30 PM</v>
      </c>
      <c r="D11" s="70">
        <v>0.625</v>
      </c>
      <c r="E11" s="52" t="str">
        <f>'16U BOYS PLATINUM-19 TEAMS'!D44&amp;"-"&amp;'16U BOYS PLATINUM-19 TEAMS'!I44&amp;"-"&amp;TEXT('16U BOYS PLATINUM-19 TEAMS'!B44,"h:mm am/pm")</f>
        <v>16Bpt16-1st/2ndF-3:00 PM</v>
      </c>
      <c r="F11" s="106" t="s">
        <v>196</v>
      </c>
      <c r="G11" s="48" t="str">
        <f>'16U BOYS PLATINUM-19 TEAMS'!D31&amp;"-"&amp;'16U BOYS PLATINUM-19 TEAMS'!I31&amp;"-"&amp;TEXT('16U BOYS PLATINUM-19 TEAMS'!B31,"h:mm am/pm")</f>
        <v>16Bpt13-C bracket C1,C2-3:00 PM</v>
      </c>
      <c r="H11" s="107"/>
      <c r="I11" s="106" t="s">
        <v>197</v>
      </c>
      <c r="L11" s="68"/>
    </row>
    <row r="12" spans="1:12">
      <c r="A12" s="70">
        <v>0.6875</v>
      </c>
      <c r="B12" s="64" t="str">
        <f>'16U BOYS GOLD-9 TEAMS'!D19&amp;"-"&amp;'16U BOYS GOLD-9 TEAMS'!I19&amp;"-"&amp;TEXT('16U BOYS GOLD-9 TEAMS'!B19,"h:mm am/pm")</f>
        <v>16Bau06-C bracket C2,C3-2:30 PM</v>
      </c>
      <c r="D12" s="70">
        <v>0.66666666666666696</v>
      </c>
      <c r="E12" s="52" t="str">
        <f>'16U BOYS PLATINUM-19 TEAMS'!D45&amp;"-"&amp;'16U BOYS PLATINUM-19 TEAMS'!I45&amp;"-"&amp;TEXT('16U BOYS PLATINUM-19 TEAMS'!B45,"h:mm am/pm")</f>
        <v>16Bpt18-3rd/4thF-4:00 PM</v>
      </c>
      <c r="F12" s="106" t="s">
        <v>198</v>
      </c>
      <c r="G12" s="48" t="str">
        <f>'16U BOYS PLATINUM-19 TEAMS'!D32&amp;"-"&amp;'16U BOYS PLATINUM-19 TEAMS'!I32&amp;"-"&amp;TEXT('16U BOYS PLATINUM-19 TEAMS'!B32,"h:mm am/pm")</f>
        <v>16Bpt15-A bracket A1,A2-4:00 PM</v>
      </c>
      <c r="H12" s="107"/>
      <c r="I12" s="106" t="s">
        <v>199</v>
      </c>
      <c r="L12" s="68"/>
    </row>
    <row r="13" spans="1:12">
      <c r="A13" s="70">
        <v>0.72916666666666696</v>
      </c>
      <c r="B13" s="64" t="str">
        <f>'16U BOYS GOLD-9 TEAMS'!D20&amp;"-"&amp;'16U BOYS GOLD-9 TEAMS'!I20&amp;"-"&amp;TEXT('16U BOYS GOLD-9 TEAMS'!B20,"h:mm am/pm")</f>
        <v>16Bau07-A bracket A1,A2-3:30 PM</v>
      </c>
      <c r="D13" s="70">
        <v>0.70833333333333304</v>
      </c>
      <c r="E13" s="52" t="str">
        <f>'16U BOYS PLATINUM-19 TEAMS'!D46&amp;"-"&amp;'16U BOYS PLATINUM-19 TEAMS'!I46&amp;"-"&amp;TEXT('16U BOYS PLATINUM-19 TEAMS'!B46,"h:mm am/pm")</f>
        <v>16Bpt20-D bracket D1,D2-5:00 PM</v>
      </c>
      <c r="F13" s="109" t="s">
        <v>200</v>
      </c>
      <c r="G13" s="106" t="s">
        <v>201</v>
      </c>
      <c r="H13" s="107"/>
      <c r="I13" s="106" t="s">
        <v>202</v>
      </c>
      <c r="L13" s="68"/>
    </row>
    <row r="14" spans="1:12">
      <c r="A14" s="70">
        <v>0.77083333333333404</v>
      </c>
      <c r="B14" s="64" t="str">
        <f>'16U BOYS GOLD-9 TEAMS'!D21&amp;"-"&amp;'16U BOYS GOLD-9 TEAMS'!I21&amp;"-"&amp;TEXT('16U BOYS GOLD-9 TEAMS'!B21,"h:mm am/pm")</f>
        <v>16Bau08-B bracket B2,B3-4:30 PM</v>
      </c>
      <c r="D14" s="70">
        <v>0.75</v>
      </c>
      <c r="E14" s="52" t="str">
        <f>'16U BOYS PLATINUM-19 TEAMS'!D47&amp;"-"&amp;'16U BOYS PLATINUM-19 TEAMS'!I47&amp;"-"&amp;TEXT('16U BOYS PLATINUM-19 TEAMS'!B47,"h:mm am/pm")</f>
        <v>16Bpt21-H bracket H2,H3 (1E,1F)-6:00 PM</v>
      </c>
      <c r="F14" s="106" t="s">
        <v>203</v>
      </c>
      <c r="G14" s="48" t="str">
        <f>'16U BOYS PLATINUM-19 TEAMS'!D34&amp;"-"&amp;'16U BOYS PLATINUM-19 TEAMS'!I34&amp;"-"&amp;TEXT('16U BOYS PLATINUM-19 TEAMS'!B34,"h:mm am/pm")</f>
        <v>16Bpt17-B bracket B1,B2-6:00 PM</v>
      </c>
      <c r="H14" s="107"/>
      <c r="I14" s="108" t="s">
        <v>204</v>
      </c>
      <c r="L14" s="68"/>
    </row>
    <row r="15" spans="1:12">
      <c r="A15" s="70">
        <v>0.812500000000001</v>
      </c>
      <c r="B15" s="64" t="str">
        <f>'16U BOYS GOLD-9 TEAMS'!D22&amp;"-"&amp;'16U BOYS GOLD-9 TEAMS'!I22&amp;"-"&amp;TEXT('16U BOYS GOLD-9 TEAMS'!B22,"h:mm am/pm")</f>
        <v>16Bau09-C bracket C1,C3-5:30 PM</v>
      </c>
      <c r="D15" s="70">
        <v>0.79166666666666696</v>
      </c>
      <c r="E15" s="108" t="s">
        <v>205</v>
      </c>
      <c r="F15" s="108" t="s">
        <v>206</v>
      </c>
      <c r="G15" s="48" t="str">
        <f>'16U BOYS PLATINUM-19 TEAMS'!D35&amp;"-"&amp;'16U BOYS PLATINUM-19 TEAMS'!I35&amp;"-"&amp;TEXT('16U BOYS PLATINUM-19 TEAMS'!B35,"h:mm am/pm")</f>
        <v>16Bpt19-G bracket G1,G3 (1A,1C)-7:00 PM</v>
      </c>
      <c r="I15" s="108" t="s">
        <v>207</v>
      </c>
      <c r="L15" s="68"/>
    </row>
    <row r="16" spans="1:12">
      <c r="A16" s="69"/>
      <c r="K16" s="67" t="s">
        <v>173</v>
      </c>
      <c r="L16" s="68"/>
    </row>
    <row r="17" spans="1:12">
      <c r="A17" s="69"/>
      <c r="B17" s="67">
        <f>COUNTA(B4:B16)</f>
        <v>11</v>
      </c>
      <c r="E17" s="67">
        <f>COUNTA(E4:E16)</f>
        <v>12</v>
      </c>
      <c r="F17" s="67">
        <f>COUNTA(F4:F16)</f>
        <v>12</v>
      </c>
      <c r="G17" s="67">
        <f>COUNTA(G4:G16)</f>
        <v>12</v>
      </c>
      <c r="H17" s="67">
        <f>COUNTA(H4:H16)</f>
        <v>3</v>
      </c>
      <c r="I17" s="67">
        <f>COUNTA(I4:I16)</f>
        <v>11</v>
      </c>
      <c r="K17" s="67">
        <f>SUM(B17:J17)</f>
        <v>61</v>
      </c>
      <c r="L17" s="68"/>
    </row>
    <row r="18" spans="1:12">
      <c r="A18" s="69"/>
      <c r="H18" s="82" t="s">
        <v>174</v>
      </c>
      <c r="L18" s="68"/>
    </row>
    <row r="19" spans="1:12">
      <c r="A19" s="79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</row>
    <row r="20" spans="1:12">
      <c r="K20" s="67" t="s">
        <v>165</v>
      </c>
      <c r="L20" s="68"/>
    </row>
    <row r="21" spans="1:12">
      <c r="A21" s="60" t="s">
        <v>175</v>
      </c>
      <c r="B21" s="60" t="s">
        <v>167</v>
      </c>
      <c r="C21" s="60"/>
      <c r="D21" s="60"/>
      <c r="E21" s="60" t="s">
        <v>168</v>
      </c>
      <c r="F21" s="60" t="s">
        <v>169</v>
      </c>
      <c r="G21" s="60" t="s">
        <v>170</v>
      </c>
      <c r="H21" s="60" t="s">
        <v>171</v>
      </c>
      <c r="I21" s="60" t="s">
        <v>172</v>
      </c>
      <c r="K21" s="67">
        <f>COUNTA(B21:I21)</f>
        <v>6</v>
      </c>
      <c r="L21" s="68"/>
    </row>
    <row r="22" spans="1:12">
      <c r="A22" s="70">
        <v>0.33333333333333331</v>
      </c>
      <c r="B22" s="64" t="str">
        <f>'16U BOYS GOLD-9 TEAMS'!D26&amp;"-"&amp;'16U BOYS GOLD-9 TEAMS'!I26&amp;"-"&amp;TEXT('16U BOYS GOLD-9 TEAMS'!B26,"h:mm am/pm")</f>
        <v>16Bau10-D bracket (7th-9th) D1,D3-8:00 AM</v>
      </c>
      <c r="D22" s="70">
        <v>0.33333333333333331</v>
      </c>
      <c r="E22" s="106" t="s">
        <v>208</v>
      </c>
      <c r="F22" s="106" t="s">
        <v>209</v>
      </c>
      <c r="G22" s="48" t="str">
        <f>'16U BOYS PLATINUM-19 TEAMS'!D51&amp;"-"&amp;'16U BOYS PLATINUM-19 TEAMS'!I51&amp;"-"&amp;TEXT('16U BOYS PLATINUM-19 TEAMS'!B51,"h:mm am/pm")</f>
        <v>16Bpt22-H bracket H1,H3 (1D,1F)-8:00 AM</v>
      </c>
      <c r="H22" s="52" t="str">
        <f>'16U BOYS PLATINUM-19 TEAMS'!D62&amp;"-"&amp;'16U BOYS PLATINUM-19 TEAMS'!I62&amp;"-"&amp;TEXT('16U BOYS PLATINUM-19 TEAMS'!B62,"h:mm am/pm")</f>
        <v>16Bpt23-bracket J1,J3-8:00 AM</v>
      </c>
      <c r="I22" s="106" t="s">
        <v>210</v>
      </c>
      <c r="L22" s="68"/>
    </row>
    <row r="23" spans="1:12">
      <c r="A23" s="70">
        <v>0.375</v>
      </c>
      <c r="B23" s="64" t="str">
        <f>'16U BOYS GOLD-9 TEAMS'!D27&amp;"-"&amp;'16U BOYS GOLD-9 TEAMS'!I27&amp;"-"&amp;TEXT('16U BOYS GOLD-9 TEAMS'!B27,"h:mm am/pm")</f>
        <v>16Bau12-E bracket (4th-6th) E1,E3-9:00 AM</v>
      </c>
      <c r="D23" s="70">
        <v>0.375</v>
      </c>
      <c r="E23" s="106" t="s">
        <v>211</v>
      </c>
      <c r="F23" s="106" t="s">
        <v>212</v>
      </c>
      <c r="G23" s="48" t="str">
        <f>'16U BOYS PLATINUM-19 TEAMS'!D52&amp;"-"&amp;'16U BOYS PLATINUM-19 TEAMS'!I52&amp;"-"&amp;TEXT('16U BOYS PLATINUM-19 TEAMS'!B52,"h:mm am/pm")</f>
        <v>16Bpt24-I bracket I1,I3 (2A,2C)-9:00 AM</v>
      </c>
      <c r="H23" s="52" t="str">
        <f>'16U BOYS PLATINUM-19 TEAMS'!D63&amp;"-"&amp;'16U BOYS PLATINUM-19 TEAMS'!I63&amp;"-"&amp;TEXT('16U BOYS PLATINUM-19 TEAMS'!B63,"h:mm am/pm")</f>
        <v>16Bpt25-bracket K1,K3-9:00 AM</v>
      </c>
      <c r="I23" s="106" t="s">
        <v>213</v>
      </c>
      <c r="L23" s="68"/>
    </row>
    <row r="24" spans="1:12">
      <c r="A24" s="70">
        <v>0.41666666666666702</v>
      </c>
      <c r="B24" s="64" t="str">
        <f>'16U BOYS GOLD-9 TEAMS'!D28&amp;"-"&amp;'16U BOYS GOLD-9 TEAMS'!I28&amp;"-"&amp;TEXT('16U BOYS GOLD-9 TEAMS'!B28,"h:mm am/pm")</f>
        <v>16Bau11-F bracket (1st-3rd) F1,F3-10:00 AM</v>
      </c>
      <c r="D24" s="70">
        <v>0.41666666666666702</v>
      </c>
      <c r="E24" s="106" t="s">
        <v>214</v>
      </c>
      <c r="F24" s="106" t="s">
        <v>215</v>
      </c>
      <c r="G24" s="48" t="str">
        <f>'16U BOYS PLATINUM-19 TEAMS'!D53&amp;"-"&amp;'16U BOYS PLATINUM-19 TEAMS'!I53&amp;"-"&amp;TEXT('16U BOYS PLATINUM-19 TEAMS'!B53,"h:mm am/pm")</f>
        <v>16Bpt26-G bracket G2,G3 (1B,1C)-10:00 AM</v>
      </c>
      <c r="H24" s="83" t="str">
        <f>'16U BOYS PLATINUM-19 TEAMS'!D64&amp;"-"&amp;'16U BOYS PLATINUM-19 TEAMS'!I64&amp;"-"&amp;TEXT('16U BOYS PLATINUM-19 TEAMS'!B64,"h:mm am/pm")</f>
        <v>16Bpt27-W/L L1/L4-10:00 AM</v>
      </c>
      <c r="I24" s="106" t="s">
        <v>216</v>
      </c>
      <c r="L24" s="68"/>
    </row>
    <row r="25" spans="1:12">
      <c r="A25" s="70">
        <v>0.45833333333333298</v>
      </c>
      <c r="B25" s="64" t="str">
        <f>'16U BOYS GOLD-9 TEAMS'!D29&amp;"-"&amp;'16U BOYS GOLD-9 TEAMS'!I29&amp;"-"&amp;TEXT('16U BOYS GOLD-9 TEAMS'!B29,"h:mm am/pm")</f>
        <v>16Bau13-D bracket (7th-9th) D2,D3-11:00 AM</v>
      </c>
      <c r="D25" s="70">
        <v>0.45833333333333298</v>
      </c>
      <c r="E25" s="106" t="s">
        <v>217</v>
      </c>
      <c r="F25" s="106" t="s">
        <v>218</v>
      </c>
      <c r="G25" s="48" t="str">
        <f>'16U BOYS PLATINUM-19 TEAMS'!D54&amp;"-"&amp;'16U BOYS PLATINUM-19 TEAMS'!I54&amp;"-"&amp;TEXT('16U BOYS PLATINUM-19 TEAMS'!B54,"h:mm am/pm")</f>
        <v>16Bpt28-H bracket H1,H2 (1D.1E)-11:00 AM</v>
      </c>
      <c r="H25" s="83" t="str">
        <f>'16U BOYS PLATINUM-19 TEAMS'!D65&amp;"-"&amp;'16U BOYS PLATINUM-19 TEAMS'!I65&amp;"-"&amp;TEXT('16U BOYS PLATINUM-19 TEAMS'!B65,"h:mm am/pm")</f>
        <v>16Bpt29-W/L L2/L3-11:00 AM</v>
      </c>
      <c r="I25" s="106" t="s">
        <v>219</v>
      </c>
      <c r="L25" s="68"/>
    </row>
    <row r="26" spans="1:12">
      <c r="A26" s="70">
        <v>0.5</v>
      </c>
      <c r="B26" s="64" t="str">
        <f>'16U BOYS GOLD-9 TEAMS'!D30&amp;"-"&amp;'16U BOYS GOLD-9 TEAMS'!I30&amp;"-"&amp;TEXT('16U BOYS GOLD-9 TEAMS'!B30,"h:mm am/pm")</f>
        <v>16Bau14-E bracket (4th-6th) E2,E3-12:00 PM</v>
      </c>
      <c r="D26" s="70">
        <v>0.5</v>
      </c>
      <c r="E26" s="106" t="s">
        <v>220</v>
      </c>
      <c r="F26" s="106" t="s">
        <v>221</v>
      </c>
      <c r="G26" s="48" t="str">
        <f>'16U BOYS PLATINUM-19 TEAMS'!D55&amp;"-"&amp;'16U BOYS PLATINUM-19 TEAMS'!I55&amp;"-"&amp;TEXT('16U BOYS PLATINUM-19 TEAMS'!B55,"h:mm am/pm")</f>
        <v>16Bpt30-I bracket I2,I3 (2B,2C)-12:00 PM</v>
      </c>
      <c r="H26" s="52" t="str">
        <f>'16U BOYS PLATINUM-19 TEAMS'!D66&amp;"-"&amp;'16U BOYS PLATINUM-19 TEAMS'!I66&amp;"-"&amp;TEXT('16U BOYS PLATINUM-19 TEAMS'!B66,"h:mm am/pm")</f>
        <v>16Bpt31-bracket J2,J3-12:00 PM</v>
      </c>
      <c r="I26" s="106" t="s">
        <v>222</v>
      </c>
      <c r="L26" s="68"/>
    </row>
    <row r="27" spans="1:12">
      <c r="A27" s="70">
        <v>0.54166666666666696</v>
      </c>
      <c r="B27" s="64" t="str">
        <f>'16U BOYS GOLD-9 TEAMS'!D31&amp;"-"&amp;'16U BOYS GOLD-9 TEAMS'!I31&amp;"-"&amp;TEXT('16U BOYS GOLD-9 TEAMS'!B31,"h:mm am/pm")</f>
        <v>16Bau15-F bracket (1st-3rd) F2,F3-1:00 PM</v>
      </c>
      <c r="D27" s="70">
        <v>0.54166666666666696</v>
      </c>
      <c r="E27" s="106" t="s">
        <v>223</v>
      </c>
      <c r="F27" s="106" t="s">
        <v>224</v>
      </c>
      <c r="G27" s="48" t="str">
        <f>'16U BOYS PLATINUM-19 TEAMS'!D56&amp;"-"&amp;'16U BOYS PLATINUM-19 TEAMS'!I56&amp;"-"&amp;TEXT('16U BOYS PLATINUM-19 TEAMS'!B56,"h:mm am/pm")</f>
        <v>16Bpt32-G bracket G1,G2 (1A,1B)-1:00 PM</v>
      </c>
      <c r="H27" s="52" t="str">
        <f>'16U BOYS PLATINUM-19 TEAMS'!D67&amp;"-"&amp;'16U BOYS PLATINUM-19 TEAMS'!I67&amp;"-"&amp;TEXT('16U BOYS PLATINUM-19 TEAMS'!B67,"h:mm am/pm")</f>
        <v>16Bpt33-bracket K2,K3-1:00 PM</v>
      </c>
      <c r="I27" s="106" t="s">
        <v>225</v>
      </c>
      <c r="L27" s="68"/>
    </row>
    <row r="28" spans="1:12">
      <c r="A28" s="70">
        <v>0.58333333333333304</v>
      </c>
      <c r="B28" s="64" t="str">
        <f>'16U BOYS GOLD-9 TEAMS'!D32&amp;"-"&amp;'16U BOYS GOLD-9 TEAMS'!I32&amp;"-"&amp;TEXT('16U BOYS GOLD-9 TEAMS'!B32,"h:mm am/pm")</f>
        <v>16Bau16-D bracket (7th-9th) D1,D2-2:00 PM</v>
      </c>
      <c r="D28" s="70">
        <v>0.58333333333333304</v>
      </c>
      <c r="E28" s="106" t="s">
        <v>226</v>
      </c>
      <c r="F28" s="106" t="s">
        <v>227</v>
      </c>
      <c r="G28" s="48" t="str">
        <f>'16U BOYS PLATINUM-19 TEAMS'!D57&amp;"-"&amp;'16U BOYS PLATINUM-19 TEAMS'!I57&amp;"-"&amp;TEXT('16U BOYS PLATINUM-19 TEAMS'!B57,"h:mm am/pm")</f>
        <v>16Bpt34-I bracket I1,I2 (2A,2B)-2:00 PM</v>
      </c>
      <c r="H28" s="83" t="str">
        <f>'16U BOYS PLATINUM-19 TEAMS'!D68&amp;"-"&amp;'16U BOYS PLATINUM-19 TEAMS'!I68&amp;"-"&amp;TEXT('16U BOYS PLATINUM-19 TEAMS'!B68,"h:mm am/pm")</f>
        <v>16Bpt35-3rd/4thL-2:00 PM</v>
      </c>
      <c r="I28" s="106" t="s">
        <v>228</v>
      </c>
      <c r="L28" s="68"/>
    </row>
    <row r="29" spans="1:12">
      <c r="A29" s="70">
        <v>0.625</v>
      </c>
      <c r="B29" s="64" t="str">
        <f>'16U BOYS GOLD-9 TEAMS'!D33&amp;"-"&amp;'16U BOYS GOLD-9 TEAMS'!I33&amp;"-"&amp;TEXT('16U BOYS GOLD-9 TEAMS'!B33,"h:mm am/pm")</f>
        <v>16Bau17-E bracket (4th-6th) E1,E2-3:00 PM</v>
      </c>
      <c r="D29" s="70">
        <v>0.625</v>
      </c>
      <c r="E29" s="106" t="s">
        <v>229</v>
      </c>
      <c r="F29" s="106" t="s">
        <v>230</v>
      </c>
      <c r="G29" s="48" t="str">
        <f>'16U BOYS PLATINUM-19 TEAMS'!D58&amp;"-"&amp;'16U BOYS PLATINUM-19 TEAMS'!I58&amp;"-"&amp;TEXT('16U BOYS PLATINUM-19 TEAMS'!B58,"h:mm am/pm")</f>
        <v>16Bpt36-5th 3G/3H-3:00 PM</v>
      </c>
      <c r="H29" s="83" t="str">
        <f>'16U BOYS PLATINUM-19 TEAMS'!D69&amp;"-"&amp;'16U BOYS PLATINUM-19 TEAMS'!I69&amp;"-"&amp;TEXT('16U BOYS PLATINUM-19 TEAMS'!B69,"h:mm am/pm")</f>
        <v>16Bpt37-1st/2ndL-3:00 PM</v>
      </c>
      <c r="I29" s="106" t="s">
        <v>231</v>
      </c>
      <c r="L29" s="68"/>
    </row>
    <row r="30" spans="1:12">
      <c r="A30" s="70">
        <v>0.66666666666666696</v>
      </c>
      <c r="B30" s="64" t="str">
        <f>'16U BOYS GOLD-9 TEAMS'!D34&amp;"-"&amp;'16U BOYS GOLD-9 TEAMS'!I34&amp;"-"&amp;TEXT('16U BOYS GOLD-9 TEAMS'!B34,"h:mm am/pm")</f>
        <v>16Bau18-F bracket (1st-3rd) F1,F2-4:00 PM</v>
      </c>
      <c r="D30" s="70">
        <v>0.66666666666666696</v>
      </c>
      <c r="E30" s="106" t="s">
        <v>232</v>
      </c>
      <c r="F30" s="106" t="s">
        <v>233</v>
      </c>
      <c r="G30" s="48" t="str">
        <f>'16U BOYS PLATINUM-19 TEAMS'!D59&amp;"-"&amp;'16U BOYS PLATINUM-19 TEAMS'!I59&amp;"-"&amp;TEXT('16U BOYS PLATINUM-19 TEAMS'!B59,"h:mm am/pm")</f>
        <v>16Bpt38-3rd 2G/2H-4:00 PM</v>
      </c>
      <c r="H30" s="52" t="str">
        <f>'16U BOYS PLATINUM-19 TEAMS'!D70&amp;"-"&amp;'16U BOYS PLATINUM-19 TEAMS'!I70&amp;"-"&amp;TEXT('16U BOYS PLATINUM-19 TEAMS'!B70,"h:mm am/pm")</f>
        <v>16Bpt39-bracket J1,J2-4:00 PM</v>
      </c>
      <c r="I30" s="106" t="s">
        <v>234</v>
      </c>
      <c r="L30" s="68"/>
    </row>
    <row r="31" spans="1:12">
      <c r="A31" s="70">
        <v>0.70833333333333304</v>
      </c>
      <c r="D31" s="70">
        <v>0.70833333333333304</v>
      </c>
      <c r="G31" s="48" t="str">
        <f>'16U BOYS PLATINUM-19 TEAMS'!D60&amp;"-"&amp;'16U BOYS PLATINUM-19 TEAMS'!I60&amp;"-"&amp;TEXT('16U BOYS PLATINUM-19 TEAMS'!B60,"h:mm am/pm")</f>
        <v>16Bpt40-1st 1G/1H-5:00 PM</v>
      </c>
      <c r="H31" s="52" t="str">
        <f>'16U BOYS PLATINUM-19 TEAMS'!D71&amp;"-"&amp;'16U BOYS PLATINUM-19 TEAMS'!I71&amp;"-"&amp;TEXT('16U BOYS PLATINUM-19 TEAMS'!B71,"h:mm am/pm")</f>
        <v>16Bpt41-bracket K1,K2-5:00 PM</v>
      </c>
      <c r="L31" s="68"/>
    </row>
    <row r="32" spans="1:12">
      <c r="K32" s="67" t="s">
        <v>176</v>
      </c>
      <c r="L32" s="68"/>
    </row>
    <row r="33" spans="1:12">
      <c r="B33" s="67">
        <f>COUNTA(B22:B32)</f>
        <v>9</v>
      </c>
      <c r="E33" s="67">
        <f>COUNTA(E22:E32)</f>
        <v>9</v>
      </c>
      <c r="F33" s="67">
        <f>COUNTA(F22:F32)</f>
        <v>9</v>
      </c>
      <c r="G33" s="67">
        <f>COUNTA(G22:G32)</f>
        <v>10</v>
      </c>
      <c r="H33" s="67">
        <f>COUNTA(H22:H32)</f>
        <v>10</v>
      </c>
      <c r="I33" s="67">
        <f>COUNTA(I22:I32)</f>
        <v>9</v>
      </c>
      <c r="K33" s="67">
        <f>SUM(B33:J33)</f>
        <v>56</v>
      </c>
      <c r="L33" s="68"/>
    </row>
    <row r="34" spans="1:12">
      <c r="L34" s="68"/>
    </row>
    <row r="35" spans="1:12">
      <c r="F35" s="3"/>
      <c r="L35" s="68"/>
    </row>
    <row r="36" spans="1:12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</row>
    <row r="47" spans="1:12">
      <c r="H47" s="10"/>
    </row>
    <row r="58" spans="8:8">
      <c r="H58" s="10"/>
    </row>
    <row r="67" spans="8:8">
      <c r="H6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A26C-7B86-4C22-B3E4-A76CA4FB7711}">
  <sheetPr>
    <tabColor rgb="FFA597FB"/>
    <pageSetUpPr fitToPage="1"/>
  </sheetPr>
  <dimension ref="A1:J38"/>
  <sheetViews>
    <sheetView topLeftCell="B21" workbookViewId="0">
      <selection activeCell="D34" sqref="D34"/>
    </sheetView>
  </sheetViews>
  <sheetFormatPr defaultColWidth="7.7109375" defaultRowHeight="18"/>
  <cols>
    <col min="1" max="1" width="33.28515625" style="3" customWidth="1"/>
    <col min="2" max="2" width="34.5703125" style="3" customWidth="1"/>
    <col min="3" max="3" width="31.42578125" style="3" customWidth="1"/>
    <col min="4" max="4" width="12.28515625" style="3" customWidth="1"/>
    <col min="5" max="5" width="31.85546875" style="3" customWidth="1"/>
    <col min="6" max="6" width="5.42578125" style="3" customWidth="1"/>
    <col min="7" max="7" width="32.42578125" style="3" customWidth="1"/>
    <col min="8" max="8" width="5.7109375" style="3" customWidth="1"/>
    <col min="9" max="9" width="28.42578125" style="3" customWidth="1"/>
    <col min="10" max="10" width="22.28515625" style="3" customWidth="1"/>
    <col min="11" max="16384" width="7.7109375" style="3"/>
  </cols>
  <sheetData>
    <row r="1" spans="1:10">
      <c r="A1" s="57" t="s">
        <v>235</v>
      </c>
      <c r="B1" s="57" t="s">
        <v>236</v>
      </c>
      <c r="C1" s="58" t="s">
        <v>237</v>
      </c>
      <c r="D1" s="3" t="s">
        <v>238</v>
      </c>
      <c r="J1" s="59"/>
    </row>
    <row r="2" spans="1:10">
      <c r="A2" s="5" t="s">
        <v>239</v>
      </c>
      <c r="B2" s="6" t="s">
        <v>240</v>
      </c>
      <c r="C2" s="7" t="s">
        <v>241</v>
      </c>
      <c r="J2" s="59"/>
    </row>
    <row r="3" spans="1:10" ht="18.600000000000001">
      <c r="A3" s="1" t="s">
        <v>3</v>
      </c>
      <c r="B3" s="1" t="s">
        <v>4</v>
      </c>
      <c r="C3" s="60" t="s">
        <v>5</v>
      </c>
      <c r="D3" s="61"/>
      <c r="F3" s="59"/>
      <c r="H3" s="61"/>
      <c r="J3" s="59"/>
    </row>
    <row r="4" spans="1:10">
      <c r="A4" s="3" t="s">
        <v>7</v>
      </c>
      <c r="B4" s="3" t="s">
        <v>8</v>
      </c>
      <c r="C4" s="3" t="s">
        <v>9</v>
      </c>
      <c r="D4" s="13"/>
      <c r="F4" s="13"/>
      <c r="H4" s="13"/>
    </row>
    <row r="5" spans="1:10">
      <c r="A5" s="3" t="s">
        <v>11</v>
      </c>
      <c r="B5" s="3" t="s">
        <v>12</v>
      </c>
      <c r="C5" s="3" t="s">
        <v>13</v>
      </c>
      <c r="D5" s="13"/>
      <c r="F5" s="13"/>
      <c r="H5" s="13"/>
    </row>
    <row r="6" spans="1:10">
      <c r="A6" s="3" t="s">
        <v>15</v>
      </c>
      <c r="B6" s="3" t="s">
        <v>16</v>
      </c>
      <c r="C6" s="3" t="s">
        <v>17</v>
      </c>
      <c r="D6" s="13"/>
      <c r="F6" s="13"/>
      <c r="H6" s="13"/>
    </row>
    <row r="7" spans="1:10">
      <c r="A7" s="13"/>
      <c r="B7" s="13"/>
      <c r="C7" s="13"/>
      <c r="D7" s="13"/>
      <c r="F7" s="13"/>
      <c r="H7" s="13"/>
      <c r="J7" s="13"/>
    </row>
    <row r="8" spans="1:10">
      <c r="A8" s="34" t="s">
        <v>20</v>
      </c>
      <c r="B8" s="34" t="s">
        <v>21</v>
      </c>
      <c r="C8" s="34" t="s">
        <v>22</v>
      </c>
      <c r="D8" s="13"/>
      <c r="F8" s="13"/>
      <c r="H8" s="13"/>
      <c r="I8" s="13"/>
    </row>
    <row r="9" spans="1:10">
      <c r="A9" s="29" t="s">
        <v>242</v>
      </c>
      <c r="B9" s="29" t="s">
        <v>243</v>
      </c>
      <c r="C9" s="29" t="s">
        <v>244</v>
      </c>
      <c r="D9" s="13"/>
    </row>
    <row r="10" spans="1:10">
      <c r="A10" s="29" t="s">
        <v>245</v>
      </c>
      <c r="B10" s="29" t="s">
        <v>246</v>
      </c>
      <c r="C10" s="29" t="s">
        <v>247</v>
      </c>
      <c r="D10" s="13"/>
    </row>
    <row r="11" spans="1:10">
      <c r="A11" s="29" t="s">
        <v>248</v>
      </c>
      <c r="B11" s="29" t="s">
        <v>249</v>
      </c>
      <c r="C11" s="29" t="s">
        <v>250</v>
      </c>
      <c r="D11" s="13"/>
      <c r="J11" s="13"/>
    </row>
    <row r="12" spans="1:10">
      <c r="A12" s="13"/>
      <c r="B12" s="13"/>
      <c r="C12" s="13"/>
      <c r="D12" s="13"/>
      <c r="J12" s="13"/>
    </row>
    <row r="13" spans="1:10">
      <c r="A13" s="1" t="s">
        <v>251</v>
      </c>
      <c r="B13" s="17" t="s">
        <v>252</v>
      </c>
      <c r="C13" s="1" t="s">
        <v>253</v>
      </c>
      <c r="D13" s="1" t="s">
        <v>254</v>
      </c>
      <c r="E13" s="1" t="s">
        <v>255</v>
      </c>
      <c r="F13" s="1" t="s">
        <v>256</v>
      </c>
      <c r="G13" s="1" t="s">
        <v>257</v>
      </c>
      <c r="H13" s="1" t="s">
        <v>256</v>
      </c>
      <c r="I13" s="1" t="s">
        <v>258</v>
      </c>
      <c r="J13" s="1" t="s">
        <v>259</v>
      </c>
    </row>
    <row r="14" spans="1:10">
      <c r="A14" s="62">
        <v>45724</v>
      </c>
      <c r="B14" s="63">
        <f>CHICLETS!A5</f>
        <v>0.39583333333333331</v>
      </c>
      <c r="C14" s="63" t="str">
        <f>CHICLETS!$B$3</f>
        <v>COSTA MESA HS</v>
      </c>
      <c r="D14" s="64" t="s">
        <v>260</v>
      </c>
      <c r="E14" s="64" t="str">
        <f>A4</f>
        <v>A1-SAN FRANCISCO</v>
      </c>
      <c r="F14" s="64">
        <v>17</v>
      </c>
      <c r="G14" s="64" t="str">
        <f>A6</f>
        <v>A3-FOOTHILL BLACK</v>
      </c>
      <c r="H14" s="64">
        <v>1</v>
      </c>
      <c r="I14" s="64" t="s">
        <v>261</v>
      </c>
      <c r="J14" s="64" t="s">
        <v>155</v>
      </c>
    </row>
    <row r="15" spans="1:10">
      <c r="A15" s="62">
        <v>45724</v>
      </c>
      <c r="B15" s="63">
        <f>CHICLETS!A6</f>
        <v>0.4375</v>
      </c>
      <c r="C15" s="63" t="str">
        <f>CHICLETS!$B$3</f>
        <v>COSTA MESA HS</v>
      </c>
      <c r="D15" s="64" t="s">
        <v>262</v>
      </c>
      <c r="E15" s="64" t="str">
        <f>B4</f>
        <v>B1-LA PREMIER</v>
      </c>
      <c r="F15" s="64">
        <v>15</v>
      </c>
      <c r="G15" s="64" t="str">
        <f>B6</f>
        <v>B3-OCWP RED</v>
      </c>
      <c r="H15" s="64">
        <v>9</v>
      </c>
      <c r="I15" s="64" t="s">
        <v>263</v>
      </c>
      <c r="J15" s="64" t="s">
        <v>155</v>
      </c>
    </row>
    <row r="16" spans="1:10">
      <c r="A16" s="62">
        <v>45724</v>
      </c>
      <c r="B16" s="63">
        <f>CHICLETS!A7</f>
        <v>0.47916666666666702</v>
      </c>
      <c r="C16" s="63" t="str">
        <f>CHICLETS!$B$3</f>
        <v>COSTA MESA HS</v>
      </c>
      <c r="D16" s="64" t="s">
        <v>264</v>
      </c>
      <c r="E16" s="64" t="str">
        <f>C4</f>
        <v>C1-TROJAN</v>
      </c>
      <c r="F16" s="64">
        <v>2</v>
      </c>
      <c r="G16" s="64" t="str">
        <f>C5</f>
        <v>C2-CC UNITED BLUE</v>
      </c>
      <c r="H16" s="64">
        <v>9</v>
      </c>
      <c r="I16" s="64" t="s">
        <v>265</v>
      </c>
      <c r="J16" s="64" t="s">
        <v>155</v>
      </c>
    </row>
    <row r="17" spans="1:10">
      <c r="A17" s="62">
        <v>45724</v>
      </c>
      <c r="B17" s="63">
        <f>CHICLETS!A8</f>
        <v>0.52083333333333304</v>
      </c>
      <c r="C17" s="63" t="str">
        <f>CHICLETS!$B$3</f>
        <v>COSTA MESA HS</v>
      </c>
      <c r="D17" s="64" t="s">
        <v>266</v>
      </c>
      <c r="E17" s="64" t="str">
        <f>A5</f>
        <v>A2-MISSION B</v>
      </c>
      <c r="F17" s="64">
        <v>14</v>
      </c>
      <c r="G17" s="64" t="str">
        <f>A6</f>
        <v>A3-FOOTHILL BLACK</v>
      </c>
      <c r="H17" s="64">
        <v>5</v>
      </c>
      <c r="I17" s="64" t="s">
        <v>267</v>
      </c>
      <c r="J17" s="64" t="s">
        <v>155</v>
      </c>
    </row>
    <row r="18" spans="1:10">
      <c r="A18" s="62">
        <v>45724</v>
      </c>
      <c r="B18" s="63">
        <f>CHICLETS!A9</f>
        <v>0.5625</v>
      </c>
      <c r="C18" s="63" t="str">
        <f>CHICLETS!$B$3</f>
        <v>COSTA MESA HS</v>
      </c>
      <c r="D18" s="64" t="s">
        <v>268</v>
      </c>
      <c r="E18" s="64" t="str">
        <f>B4</f>
        <v>B1-LA PREMIER</v>
      </c>
      <c r="F18" s="64">
        <v>14</v>
      </c>
      <c r="G18" s="64" t="str">
        <f>B5</f>
        <v>B2-PEGASUS WP</v>
      </c>
      <c r="H18" s="64">
        <v>10</v>
      </c>
      <c r="I18" s="64" t="s">
        <v>269</v>
      </c>
      <c r="J18" s="64" t="s">
        <v>155</v>
      </c>
    </row>
    <row r="19" spans="1:10">
      <c r="A19" s="62">
        <v>45724</v>
      </c>
      <c r="B19" s="63">
        <f>CHICLETS!A10</f>
        <v>0.60416666666666696</v>
      </c>
      <c r="C19" s="63" t="str">
        <f>CHICLETS!$B$3</f>
        <v>COSTA MESA HS</v>
      </c>
      <c r="D19" s="64" t="s">
        <v>270</v>
      </c>
      <c r="E19" s="64" t="str">
        <f>C5</f>
        <v>C2-CC UNITED BLUE</v>
      </c>
      <c r="F19" s="64">
        <v>10</v>
      </c>
      <c r="G19" s="64" t="str">
        <f>C6</f>
        <v>C3-SD SHORES GOLD</v>
      </c>
      <c r="H19" s="64">
        <v>8</v>
      </c>
      <c r="I19" s="64" t="s">
        <v>271</v>
      </c>
      <c r="J19" s="64" t="s">
        <v>155</v>
      </c>
    </row>
    <row r="20" spans="1:10">
      <c r="A20" s="62">
        <v>45724</v>
      </c>
      <c r="B20" s="63">
        <f>CHICLETS!A11</f>
        <v>0.64583333333333304</v>
      </c>
      <c r="C20" s="63" t="str">
        <f>CHICLETS!$B$3</f>
        <v>COSTA MESA HS</v>
      </c>
      <c r="D20" s="64" t="s">
        <v>272</v>
      </c>
      <c r="E20" s="64" t="str">
        <f>A4</f>
        <v>A1-SAN FRANCISCO</v>
      </c>
      <c r="F20" s="64">
        <v>12</v>
      </c>
      <c r="G20" s="64" t="str">
        <f>A5</f>
        <v>A2-MISSION B</v>
      </c>
      <c r="H20" s="64">
        <v>6</v>
      </c>
      <c r="I20" s="64" t="s">
        <v>273</v>
      </c>
      <c r="J20" s="64" t="s">
        <v>155</v>
      </c>
    </row>
    <row r="21" spans="1:10">
      <c r="A21" s="62">
        <v>45724</v>
      </c>
      <c r="B21" s="63">
        <f>CHICLETS!A12</f>
        <v>0.6875</v>
      </c>
      <c r="C21" s="63" t="str">
        <f>CHICLETS!$B$3</f>
        <v>COSTA MESA HS</v>
      </c>
      <c r="D21" s="64" t="s">
        <v>274</v>
      </c>
      <c r="E21" s="64" t="str">
        <f>B5</f>
        <v>B2-PEGASUS WP</v>
      </c>
      <c r="F21" s="64">
        <v>9</v>
      </c>
      <c r="G21" s="64" t="str">
        <f>B6</f>
        <v>B3-OCWP RED</v>
      </c>
      <c r="H21" s="64">
        <v>4</v>
      </c>
      <c r="I21" s="64" t="s">
        <v>275</v>
      </c>
      <c r="J21" s="64" t="s">
        <v>155</v>
      </c>
    </row>
    <row r="22" spans="1:10">
      <c r="A22" s="62">
        <v>45724</v>
      </c>
      <c r="B22" s="63">
        <f>CHICLETS!A13</f>
        <v>0.72916666666666696</v>
      </c>
      <c r="C22" s="63" t="str">
        <f>CHICLETS!$B$3</f>
        <v>COSTA MESA HS</v>
      </c>
      <c r="D22" s="64" t="s">
        <v>276</v>
      </c>
      <c r="E22" s="64" t="str">
        <f>C4</f>
        <v>C1-TROJAN</v>
      </c>
      <c r="F22" s="64">
        <v>5</v>
      </c>
      <c r="G22" s="64" t="str">
        <f>C6</f>
        <v>C3-SD SHORES GOLD</v>
      </c>
      <c r="H22" s="64">
        <v>10</v>
      </c>
      <c r="I22" s="64" t="s">
        <v>277</v>
      </c>
      <c r="J22" s="64" t="s">
        <v>155</v>
      </c>
    </row>
    <row r="23" spans="1:10">
      <c r="A23" s="65"/>
      <c r="B23" s="13"/>
      <c r="C23" s="29"/>
      <c r="H23" s="13"/>
      <c r="I23" s="13"/>
      <c r="J23" s="13"/>
    </row>
    <row r="24" spans="1:10">
      <c r="A24" s="66"/>
      <c r="B24" s="15"/>
      <c r="C24" s="31"/>
      <c r="D24" s="14"/>
      <c r="E24" s="14"/>
      <c r="F24" s="14"/>
      <c r="G24" s="14"/>
      <c r="H24" s="15"/>
      <c r="I24" s="15"/>
      <c r="J24" s="15"/>
    </row>
    <row r="25" spans="1:10">
      <c r="A25" s="65"/>
      <c r="B25" s="13"/>
      <c r="C25" s="29"/>
      <c r="J25" s="13"/>
    </row>
    <row r="26" spans="1:10">
      <c r="A26" s="62">
        <v>45725</v>
      </c>
      <c r="B26" s="63">
        <f>CHICLETS!A22</f>
        <v>0.33333333333333331</v>
      </c>
      <c r="C26" s="63" t="str">
        <f>CHICLETS!$B$21</f>
        <v>COSTA MESA HS</v>
      </c>
      <c r="D26" s="64" t="s">
        <v>278</v>
      </c>
      <c r="E26" s="64" t="str">
        <f>A9</f>
        <v>D1(3rdA)-FOOTHILL BLACK</v>
      </c>
      <c r="F26" s="64">
        <v>5</v>
      </c>
      <c r="G26" s="64" t="str">
        <f>A11</f>
        <v>D3(3rdC)-TROJAN</v>
      </c>
      <c r="H26" s="64">
        <v>12</v>
      </c>
      <c r="I26" s="64" t="s">
        <v>279</v>
      </c>
      <c r="J26" s="64" t="s">
        <v>155</v>
      </c>
    </row>
    <row r="27" spans="1:10">
      <c r="A27" s="62">
        <v>45725</v>
      </c>
      <c r="B27" s="63">
        <f>CHICLETS!A23</f>
        <v>0.375</v>
      </c>
      <c r="C27" s="63" t="str">
        <f>CHICLETS!$B$21</f>
        <v>COSTA MESA HS</v>
      </c>
      <c r="D27" s="64" t="s">
        <v>280</v>
      </c>
      <c r="E27" s="64" t="str">
        <f>B9</f>
        <v>E1(2ndA)-MISSION B</v>
      </c>
      <c r="F27" s="64">
        <v>10</v>
      </c>
      <c r="G27" s="64" t="str">
        <f>B11</f>
        <v>E3(2ndC)-SD SHORES GOLD</v>
      </c>
      <c r="H27" s="64">
        <v>11</v>
      </c>
      <c r="I27" s="64" t="s">
        <v>281</v>
      </c>
      <c r="J27" s="64" t="s">
        <v>155</v>
      </c>
    </row>
    <row r="28" spans="1:10">
      <c r="A28" s="62">
        <v>45725</v>
      </c>
      <c r="B28" s="63">
        <f>CHICLETS!A24</f>
        <v>0.41666666666666702</v>
      </c>
      <c r="C28" s="63" t="str">
        <f>CHICLETS!$B$21</f>
        <v>COSTA MESA HS</v>
      </c>
      <c r="D28" s="64" t="s">
        <v>282</v>
      </c>
      <c r="E28" s="64" t="str">
        <f>C9</f>
        <v>F1(1stA)-SAN FRANCISCO</v>
      </c>
      <c r="F28" s="64">
        <v>4</v>
      </c>
      <c r="G28" s="64" t="str">
        <f>C11</f>
        <v>F3(1stC)-CC UNITED BLUE</v>
      </c>
      <c r="H28" s="64">
        <v>9</v>
      </c>
      <c r="I28" s="64" t="s">
        <v>283</v>
      </c>
      <c r="J28" s="64" t="s">
        <v>155</v>
      </c>
    </row>
    <row r="29" spans="1:10">
      <c r="A29" s="62">
        <v>45725</v>
      </c>
      <c r="B29" s="63">
        <f>CHICLETS!A25</f>
        <v>0.45833333333333298</v>
      </c>
      <c r="C29" s="63" t="str">
        <f>CHICLETS!$B$21</f>
        <v>COSTA MESA HS</v>
      </c>
      <c r="D29" s="64" t="s">
        <v>284</v>
      </c>
      <c r="E29" s="64" t="str">
        <f>A10</f>
        <v>D2(3rdB)-OCWP RED</v>
      </c>
      <c r="F29" s="64">
        <v>7</v>
      </c>
      <c r="G29" s="64" t="str">
        <f>A11</f>
        <v>D3(3rdC)-TROJAN</v>
      </c>
      <c r="H29" s="64">
        <v>2</v>
      </c>
      <c r="I29" s="64" t="s">
        <v>285</v>
      </c>
      <c r="J29" s="64" t="s">
        <v>155</v>
      </c>
    </row>
    <row r="30" spans="1:10">
      <c r="A30" s="62">
        <v>45725</v>
      </c>
      <c r="B30" s="63">
        <f>CHICLETS!A26</f>
        <v>0.5</v>
      </c>
      <c r="C30" s="63" t="str">
        <f>CHICLETS!$B$21</f>
        <v>COSTA MESA HS</v>
      </c>
      <c r="D30" s="64" t="s">
        <v>286</v>
      </c>
      <c r="E30" s="64" t="str">
        <f>B10</f>
        <v>E2(2ndB)-PEGASUS</v>
      </c>
      <c r="F30" s="64">
        <v>7</v>
      </c>
      <c r="G30" s="64" t="str">
        <f>B11</f>
        <v>E3(2ndC)-SD SHORES GOLD</v>
      </c>
      <c r="H30" s="64">
        <v>17</v>
      </c>
      <c r="I30" s="64" t="s">
        <v>287</v>
      </c>
      <c r="J30" s="64" t="s">
        <v>155</v>
      </c>
    </row>
    <row r="31" spans="1:10">
      <c r="A31" s="62">
        <v>45725</v>
      </c>
      <c r="B31" s="63">
        <f>CHICLETS!A27</f>
        <v>0.54166666666666696</v>
      </c>
      <c r="C31" s="63" t="str">
        <f>CHICLETS!$B$21</f>
        <v>COSTA MESA HS</v>
      </c>
      <c r="D31" s="64" t="s">
        <v>288</v>
      </c>
      <c r="E31" s="64" t="str">
        <f>C10</f>
        <v>F2(1stB)-LA PREMIER</v>
      </c>
      <c r="F31" s="64">
        <v>11</v>
      </c>
      <c r="G31" s="64" t="str">
        <f>C11</f>
        <v>F3(1stC)-CC UNITED BLUE</v>
      </c>
      <c r="H31" s="64">
        <v>6</v>
      </c>
      <c r="I31" s="64" t="s">
        <v>289</v>
      </c>
      <c r="J31" s="64" t="s">
        <v>155</v>
      </c>
    </row>
    <row r="32" spans="1:10">
      <c r="A32" s="62">
        <v>45725</v>
      </c>
      <c r="B32" s="63">
        <f>CHICLETS!A28</f>
        <v>0.58333333333333304</v>
      </c>
      <c r="C32" s="63" t="str">
        <f>CHICLETS!$B$21</f>
        <v>COSTA MESA HS</v>
      </c>
      <c r="D32" s="64" t="s">
        <v>290</v>
      </c>
      <c r="E32" s="64" t="str">
        <f>A9</f>
        <v>D1(3rdA)-FOOTHILL BLACK</v>
      </c>
      <c r="F32" s="64">
        <v>6</v>
      </c>
      <c r="G32" s="64" t="str">
        <f>A10</f>
        <v>D2(3rdB)-OCWP RED</v>
      </c>
      <c r="H32" s="64">
        <v>16</v>
      </c>
      <c r="I32" s="64" t="s">
        <v>291</v>
      </c>
      <c r="J32" s="64" t="s">
        <v>155</v>
      </c>
    </row>
    <row r="33" spans="1:10">
      <c r="A33" s="62">
        <v>45725</v>
      </c>
      <c r="B33" s="63">
        <f>CHICLETS!A29</f>
        <v>0.625</v>
      </c>
      <c r="C33" s="63" t="str">
        <f>CHICLETS!$B$21</f>
        <v>COSTA MESA HS</v>
      </c>
      <c r="D33" s="64" t="s">
        <v>292</v>
      </c>
      <c r="E33" s="64" t="str">
        <f>B9</f>
        <v>E1(2ndA)-MISSION B</v>
      </c>
      <c r="F33" s="64">
        <v>12</v>
      </c>
      <c r="G33" s="64" t="str">
        <f>B10</f>
        <v>E2(2ndB)-PEGASUS</v>
      </c>
      <c r="H33" s="64">
        <v>10</v>
      </c>
      <c r="I33" s="64" t="s">
        <v>293</v>
      </c>
      <c r="J33" s="64" t="s">
        <v>155</v>
      </c>
    </row>
    <row r="34" spans="1:10">
      <c r="A34" s="62">
        <v>45725</v>
      </c>
      <c r="B34" s="63">
        <f>CHICLETS!A30</f>
        <v>0.66666666666666696</v>
      </c>
      <c r="C34" s="63" t="str">
        <f>CHICLETS!$B$21</f>
        <v>COSTA MESA HS</v>
      </c>
      <c r="D34" s="64" t="s">
        <v>294</v>
      </c>
      <c r="E34" s="64" t="str">
        <f>C9</f>
        <v>F1(1stA)-SAN FRANCISCO</v>
      </c>
      <c r="F34" s="64">
        <v>9</v>
      </c>
      <c r="G34" s="64" t="str">
        <f>C10</f>
        <v>F2(1stB)-LA PREMIER</v>
      </c>
      <c r="H34" s="64">
        <v>15</v>
      </c>
      <c r="I34" s="64" t="s">
        <v>295</v>
      </c>
      <c r="J34" s="64" t="s">
        <v>155</v>
      </c>
    </row>
    <row r="36" spans="1:10">
      <c r="I36" s="64" t="s">
        <v>296</v>
      </c>
      <c r="J36" s="64" t="s">
        <v>125</v>
      </c>
    </row>
    <row r="37" spans="1:10">
      <c r="I37" s="64" t="s">
        <v>297</v>
      </c>
      <c r="J37" s="64" t="s">
        <v>1</v>
      </c>
    </row>
    <row r="38" spans="1:10">
      <c r="I38" s="64" t="s">
        <v>298</v>
      </c>
      <c r="J38" s="64" t="s">
        <v>27</v>
      </c>
    </row>
  </sheetData>
  <hyperlinks>
    <hyperlink ref="B2" r:id="rId1" xr:uid="{0DE7BE0D-A296-4CB9-89CF-8B3AB0B1BEA0}"/>
    <hyperlink ref="C2" r:id="rId2" xr:uid="{DA8740B5-F424-4B72-ADBC-7D8E9484E82D}"/>
    <hyperlink ref="A2" r:id="rId3" xr:uid="{AC193C9C-48CE-491A-985B-BF7B156E1C41}"/>
  </hyperlinks>
  <pageMargins left="0.7" right="0.7" top="0.75" bottom="0.75" header="0.3" footer="0.3"/>
  <pageSetup scale="89" orientation="landscape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4A9-2E94-4A04-B9DC-C4B7F8142BA9}">
  <sheetPr>
    <tabColor rgb="FF7BC9F9"/>
    <pageSetUpPr fitToPage="1"/>
  </sheetPr>
  <dimension ref="A1:J27"/>
  <sheetViews>
    <sheetView workbookViewId="0"/>
  </sheetViews>
  <sheetFormatPr defaultColWidth="10.42578125" defaultRowHeight="18"/>
  <cols>
    <col min="1" max="1" width="36" style="4" customWidth="1"/>
    <col min="2" max="2" width="34.85546875" style="4" bestFit="1" customWidth="1"/>
    <col min="3" max="3" width="32.28515625" style="4" bestFit="1" customWidth="1"/>
    <col min="4" max="4" width="20.5703125" style="4" customWidth="1"/>
    <col min="5" max="5" width="44.7109375" style="4" customWidth="1"/>
    <col min="6" max="6" width="6.28515625" style="4" bestFit="1" customWidth="1"/>
    <col min="7" max="7" width="41" style="4" bestFit="1" customWidth="1"/>
    <col min="8" max="8" width="25.85546875" style="4" bestFit="1" customWidth="1"/>
    <col min="9" max="9" width="24.42578125" style="4" customWidth="1"/>
    <col min="10" max="10" width="28.42578125" style="4" customWidth="1"/>
    <col min="11" max="16384" width="10.42578125" style="4"/>
  </cols>
  <sheetData>
    <row r="1" spans="1:10">
      <c r="A1" s="71" t="s">
        <v>299</v>
      </c>
      <c r="B1" s="72" t="s">
        <v>300</v>
      </c>
      <c r="C1" s="73" t="s">
        <v>301</v>
      </c>
      <c r="D1" s="71" t="s">
        <v>302</v>
      </c>
      <c r="E1" s="71" t="s">
        <v>303</v>
      </c>
      <c r="F1" s="3"/>
      <c r="G1" s="3"/>
      <c r="H1" s="3"/>
      <c r="I1" s="3"/>
      <c r="J1" s="74"/>
    </row>
    <row r="2" spans="1:10">
      <c r="A2" s="5" t="s">
        <v>239</v>
      </c>
      <c r="B2" s="6" t="s">
        <v>240</v>
      </c>
      <c r="C2" s="7" t="s">
        <v>241</v>
      </c>
      <c r="D2" s="3"/>
      <c r="E2" s="3"/>
      <c r="F2" s="3"/>
      <c r="G2" s="3"/>
      <c r="H2" s="3"/>
      <c r="I2" s="3"/>
      <c r="J2" s="74"/>
    </row>
    <row r="3" spans="1:10">
      <c r="A3" s="41" t="s">
        <v>3</v>
      </c>
      <c r="B3" s="1"/>
      <c r="C3" s="1"/>
      <c r="D3" s="74"/>
      <c r="E3" s="74"/>
      <c r="F3" s="74"/>
      <c r="G3" s="74"/>
      <c r="H3" s="74"/>
      <c r="I3" s="74"/>
      <c r="J3" s="74"/>
    </row>
    <row r="4" spans="1:10">
      <c r="A4" s="10" t="s">
        <v>106</v>
      </c>
      <c r="B4" s="3"/>
      <c r="C4" s="3"/>
      <c r="D4" s="74"/>
      <c r="E4" s="74"/>
      <c r="F4" s="74"/>
      <c r="G4" s="74"/>
      <c r="H4" s="74"/>
      <c r="I4" s="74"/>
      <c r="J4" s="74"/>
    </row>
    <row r="5" spans="1:10">
      <c r="A5" s="10" t="s">
        <v>107</v>
      </c>
      <c r="B5" s="3"/>
      <c r="C5" s="3"/>
      <c r="D5" s="74"/>
      <c r="E5" s="74"/>
      <c r="F5" s="74"/>
      <c r="G5" s="74"/>
      <c r="H5" s="74"/>
      <c r="I5" s="74"/>
      <c r="J5" s="74"/>
    </row>
    <row r="6" spans="1:10">
      <c r="A6" s="10" t="s">
        <v>15</v>
      </c>
      <c r="B6" s="3"/>
      <c r="C6" s="3"/>
      <c r="D6" s="74"/>
      <c r="E6" s="74"/>
      <c r="F6" s="74"/>
      <c r="G6" s="74"/>
      <c r="H6" s="74"/>
      <c r="I6" s="74"/>
      <c r="J6" s="74"/>
    </row>
    <row r="7" spans="1:10">
      <c r="A7" s="10" t="s">
        <v>108</v>
      </c>
      <c r="B7" s="3"/>
      <c r="C7" s="3"/>
      <c r="D7" s="74"/>
      <c r="E7" s="74"/>
      <c r="F7" s="74"/>
      <c r="G7" s="74"/>
      <c r="H7" s="74"/>
      <c r="I7" s="74"/>
      <c r="J7" s="74"/>
    </row>
    <row r="8" spans="1:10">
      <c r="A8" s="75"/>
      <c r="B8" s="3"/>
      <c r="C8" s="74"/>
      <c r="D8" s="74"/>
      <c r="E8" s="74"/>
      <c r="F8" s="74"/>
      <c r="G8" s="74"/>
      <c r="H8" s="74"/>
      <c r="I8" s="74"/>
      <c r="J8" s="74"/>
    </row>
    <row r="9" spans="1:10">
      <c r="A9" s="74"/>
      <c r="B9" s="74"/>
      <c r="C9" s="74"/>
      <c r="D9" s="74"/>
      <c r="J9" s="74"/>
    </row>
    <row r="10" spans="1:10">
      <c r="A10" s="34" t="s">
        <v>251</v>
      </c>
      <c r="B10" s="76" t="s">
        <v>252</v>
      </c>
      <c r="C10" s="34" t="s">
        <v>253</v>
      </c>
      <c r="D10" s="34" t="s">
        <v>254</v>
      </c>
      <c r="E10" s="34" t="s">
        <v>255</v>
      </c>
      <c r="F10" s="34" t="s">
        <v>256</v>
      </c>
      <c r="G10" s="34" t="s">
        <v>257</v>
      </c>
      <c r="H10" s="34" t="s">
        <v>256</v>
      </c>
      <c r="I10" s="34" t="s">
        <v>258</v>
      </c>
      <c r="J10" s="34" t="s">
        <v>259</v>
      </c>
    </row>
    <row r="11" spans="1:10">
      <c r="A11" s="84">
        <v>45724</v>
      </c>
      <c r="B11" s="85">
        <f>CHICLETS!D6</f>
        <v>0.41666666666666702</v>
      </c>
      <c r="C11" s="85" t="str">
        <f>CHICLETS!$H$3</f>
        <v>MARINA HS</v>
      </c>
      <c r="D11" s="86" t="s">
        <v>304</v>
      </c>
      <c r="E11" s="86" t="str">
        <f>A4</f>
        <v>A1-IMPERIAL GREEN</v>
      </c>
      <c r="F11" s="86"/>
      <c r="G11" s="86" t="str">
        <f>A5</f>
        <v>A2-NORTH IRVINE BLACK</v>
      </c>
      <c r="H11" s="86"/>
      <c r="I11" s="86" t="s">
        <v>273</v>
      </c>
      <c r="J11" s="86" t="s">
        <v>305</v>
      </c>
    </row>
    <row r="12" spans="1:10">
      <c r="A12" s="84">
        <v>45724</v>
      </c>
      <c r="B12" s="85">
        <f>CHICLETS!D7</f>
        <v>0.45833333333333298</v>
      </c>
      <c r="C12" s="85" t="str">
        <f>CHICLETS!$G$3</f>
        <v>WESTMINSTER HS</v>
      </c>
      <c r="D12" s="86" t="s">
        <v>306</v>
      </c>
      <c r="E12" s="86" t="str">
        <f>A6</f>
        <v>A3-FOOTHILL BLACK</v>
      </c>
      <c r="F12" s="86"/>
      <c r="G12" s="86" t="str">
        <f>A7</f>
        <v>A4-ORANGE COUNTY WPC RED</v>
      </c>
      <c r="H12" s="86"/>
      <c r="I12" s="86" t="s">
        <v>307</v>
      </c>
      <c r="J12" s="86" t="s">
        <v>305</v>
      </c>
    </row>
    <row r="13" spans="1:10">
      <c r="A13" s="74"/>
      <c r="B13" s="74"/>
      <c r="C13" s="74"/>
      <c r="D13" s="74"/>
      <c r="J13" s="74"/>
    </row>
    <row r="14" spans="1:10">
      <c r="A14" s="84">
        <v>45724</v>
      </c>
      <c r="B14" s="85">
        <f>CHICLETS!A12</f>
        <v>0.6875</v>
      </c>
      <c r="C14" s="85" t="str">
        <f>CHICLETS!$B$3</f>
        <v>COSTA MESA HS</v>
      </c>
      <c r="D14" s="86" t="s">
        <v>308</v>
      </c>
      <c r="E14" s="86" t="str">
        <f>A5</f>
        <v>A2-NORTH IRVINE BLACK</v>
      </c>
      <c r="F14" s="86"/>
      <c r="G14" s="86" t="str">
        <f>A7</f>
        <v>A4-ORANGE COUNTY WPC RED</v>
      </c>
      <c r="H14" s="86"/>
      <c r="I14" s="86" t="s">
        <v>309</v>
      </c>
      <c r="J14" s="86" t="s">
        <v>305</v>
      </c>
    </row>
    <row r="15" spans="1:10">
      <c r="A15" s="84">
        <v>45724</v>
      </c>
      <c r="B15" s="85">
        <f>CHICLETS!D13</f>
        <v>0.70833333333333304</v>
      </c>
      <c r="C15" s="85" t="str">
        <f>CHICLETS!$G$3</f>
        <v>WESTMINSTER HS</v>
      </c>
      <c r="D15" s="86" t="s">
        <v>310</v>
      </c>
      <c r="E15" s="86" t="str">
        <f>A4</f>
        <v>A1-IMPERIAL GREEN</v>
      </c>
      <c r="F15" s="86"/>
      <c r="G15" s="86" t="str">
        <f>A6</f>
        <v>A3-FOOTHILL BLACK</v>
      </c>
      <c r="H15" s="86"/>
      <c r="I15" s="86" t="s">
        <v>261</v>
      </c>
      <c r="J15" s="86" t="s">
        <v>305</v>
      </c>
    </row>
    <row r="16" spans="1:10" s="77" customFormat="1">
      <c r="A16" s="28"/>
      <c r="B16" s="13"/>
      <c r="C16" s="28"/>
    </row>
    <row r="17" spans="1:10" s="77" customFormat="1">
      <c r="A17" s="30"/>
      <c r="B17" s="15"/>
      <c r="C17" s="30"/>
      <c r="D17" s="78"/>
      <c r="E17" s="78"/>
      <c r="F17" s="78"/>
      <c r="G17" s="78"/>
      <c r="H17" s="78"/>
      <c r="I17" s="78"/>
      <c r="J17" s="78"/>
    </row>
    <row r="18" spans="1:10" s="77" customFormat="1">
      <c r="A18" s="17"/>
      <c r="B18" s="17"/>
      <c r="C18" s="1"/>
      <c r="D18" s="1"/>
      <c r="E18" s="1"/>
      <c r="F18" s="1"/>
      <c r="G18" s="1"/>
      <c r="H18" s="1"/>
      <c r="I18" s="1"/>
      <c r="J18" s="1"/>
    </row>
    <row r="19" spans="1:10">
      <c r="A19" s="84">
        <v>45725</v>
      </c>
      <c r="B19" s="85">
        <f>CHICLETS!D22</f>
        <v>0.33333333333333331</v>
      </c>
      <c r="C19" s="85" t="str">
        <f>CHICLETS!$E$21</f>
        <v>ESTANCIA HS</v>
      </c>
      <c r="D19" s="86" t="s">
        <v>311</v>
      </c>
      <c r="E19" s="86" t="str">
        <f>A4</f>
        <v>A1-IMPERIAL GREEN</v>
      </c>
      <c r="F19" s="86"/>
      <c r="G19" s="86" t="str">
        <f>A7</f>
        <v>A4-ORANGE COUNTY WPC RED</v>
      </c>
      <c r="H19" s="86"/>
      <c r="I19" s="86" t="s">
        <v>312</v>
      </c>
      <c r="J19" s="86" t="s">
        <v>305</v>
      </c>
    </row>
    <row r="20" spans="1:10">
      <c r="A20" s="84">
        <v>45725</v>
      </c>
      <c r="B20" s="85">
        <f>CHICLETS!D23</f>
        <v>0.375</v>
      </c>
      <c r="C20" s="85" t="str">
        <f>CHICLETS!$E$21</f>
        <v>ESTANCIA HS</v>
      </c>
      <c r="D20" s="86" t="s">
        <v>313</v>
      </c>
      <c r="E20" s="86" t="str">
        <f>A5</f>
        <v>A2-NORTH IRVINE BLACK</v>
      </c>
      <c r="F20" s="86"/>
      <c r="G20" s="86" t="str">
        <f>A6</f>
        <v>A3-FOOTHILL BLACK</v>
      </c>
      <c r="H20" s="86"/>
      <c r="I20" s="86" t="s">
        <v>267</v>
      </c>
      <c r="J20" s="86" t="s">
        <v>305</v>
      </c>
    </row>
    <row r="21" spans="1:10">
      <c r="A21" s="74"/>
      <c r="B21" s="74"/>
      <c r="C21" s="74"/>
      <c r="E21" s="74"/>
      <c r="F21" s="74"/>
      <c r="G21" s="74"/>
      <c r="H21" s="74"/>
      <c r="I21" s="74"/>
    </row>
    <row r="22" spans="1:10">
      <c r="A22" s="84">
        <v>45725</v>
      </c>
      <c r="B22" s="85">
        <f>CHICLETS!D26</f>
        <v>0.5</v>
      </c>
      <c r="C22" s="85" t="str">
        <f>CHICLETS!$E$21</f>
        <v>ESTANCIA HS</v>
      </c>
      <c r="D22" s="86" t="s">
        <v>314</v>
      </c>
      <c r="E22" s="86" t="s">
        <v>315</v>
      </c>
      <c r="F22" s="86"/>
      <c r="G22" s="86" t="s">
        <v>316</v>
      </c>
      <c r="H22" s="86"/>
      <c r="I22" s="86" t="s">
        <v>298</v>
      </c>
      <c r="J22" s="86" t="s">
        <v>305</v>
      </c>
    </row>
    <row r="23" spans="1:10">
      <c r="A23" s="84">
        <v>45725</v>
      </c>
      <c r="B23" s="85">
        <f>CHICLETS!D27</f>
        <v>0.54166666666666696</v>
      </c>
      <c r="C23" s="85" t="str">
        <f>CHICLETS!$E$21</f>
        <v>ESTANCIA HS</v>
      </c>
      <c r="D23" s="86" t="s">
        <v>317</v>
      </c>
      <c r="E23" s="86" t="s">
        <v>318</v>
      </c>
      <c r="F23" s="86"/>
      <c r="G23" s="86" t="s">
        <v>319</v>
      </c>
      <c r="H23" s="86"/>
      <c r="I23" s="86" t="s">
        <v>296</v>
      </c>
      <c r="J23" s="86" t="s">
        <v>305</v>
      </c>
    </row>
    <row r="25" spans="1:10">
      <c r="I25" s="86" t="s">
        <v>296</v>
      </c>
      <c r="J25" s="86"/>
    </row>
    <row r="26" spans="1:10">
      <c r="I26" s="86" t="s">
        <v>297</v>
      </c>
      <c r="J26" s="86"/>
    </row>
    <row r="27" spans="1:10">
      <c r="I27" s="86" t="s">
        <v>298</v>
      </c>
      <c r="J27" s="86"/>
    </row>
  </sheetData>
  <hyperlinks>
    <hyperlink ref="B2" r:id="rId1" xr:uid="{0659BB29-C459-499A-87BA-1B0D4EFBD0E8}"/>
    <hyperlink ref="C2" r:id="rId2" xr:uid="{D6A27602-DECB-41BB-A08C-835E177FB208}"/>
    <hyperlink ref="A2" r:id="rId3" xr:uid="{7E59CD68-EF7B-4E05-96FE-444C9FE57A11}"/>
  </hyperlinks>
  <pageMargins left="0.7" right="0.7" top="0.75" bottom="0.75" header="0.3" footer="0.3"/>
  <pageSetup scale="47" orientation="landscape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9365-8F14-4EA2-B7D4-122106D2A53E}">
  <sheetPr>
    <tabColor rgb="FF0C769E"/>
    <pageSetUpPr fitToPage="1"/>
  </sheetPr>
  <dimension ref="A1:J81"/>
  <sheetViews>
    <sheetView topLeftCell="C57" workbookViewId="0">
      <selection activeCell="D71" sqref="D71"/>
    </sheetView>
  </sheetViews>
  <sheetFormatPr defaultColWidth="9.140625" defaultRowHeight="18"/>
  <cols>
    <col min="1" max="1" width="49.85546875" style="10" customWidth="1"/>
    <col min="2" max="2" width="41.7109375" style="10" customWidth="1"/>
    <col min="3" max="3" width="47.85546875" style="10" customWidth="1"/>
    <col min="4" max="4" width="42.5703125" style="10" bestFit="1" customWidth="1"/>
    <col min="5" max="5" width="49.28515625" style="10" customWidth="1"/>
    <col min="6" max="6" width="37.28515625" style="10" bestFit="1" customWidth="1"/>
    <col min="7" max="7" width="46.28515625" style="10" bestFit="1" customWidth="1"/>
    <col min="8" max="8" width="7.42578125" style="10" customWidth="1"/>
    <col min="9" max="9" width="32.42578125" style="10" bestFit="1" customWidth="1"/>
    <col min="10" max="10" width="30.28515625" style="10" customWidth="1"/>
    <col min="11" max="16384" width="9.140625" style="10"/>
  </cols>
  <sheetData>
    <row r="1" spans="1:10">
      <c r="A1" s="3" t="s">
        <v>320</v>
      </c>
      <c r="B1" s="41" t="s">
        <v>321</v>
      </c>
      <c r="C1" s="2" t="s">
        <v>237</v>
      </c>
      <c r="D1" s="3" t="s">
        <v>322</v>
      </c>
      <c r="E1" s="3"/>
      <c r="F1" s="3"/>
      <c r="G1" s="3"/>
    </row>
    <row r="2" spans="1:10">
      <c r="A2" s="5" t="s">
        <v>239</v>
      </c>
      <c r="B2" s="6" t="s">
        <v>240</v>
      </c>
      <c r="C2" s="7" t="s">
        <v>241</v>
      </c>
      <c r="D2" s="3"/>
      <c r="E2" s="3"/>
      <c r="F2" s="3"/>
      <c r="G2" s="3"/>
    </row>
    <row r="3" spans="1:10">
      <c r="A3" s="1" t="s">
        <v>3</v>
      </c>
      <c r="B3" s="1" t="s">
        <v>4</v>
      </c>
      <c r="C3" s="1" t="s">
        <v>5</v>
      </c>
      <c r="D3" s="1" t="s">
        <v>20</v>
      </c>
      <c r="E3" s="1" t="s">
        <v>21</v>
      </c>
      <c r="F3" s="41" t="s">
        <v>22</v>
      </c>
      <c r="H3" s="1"/>
    </row>
    <row r="4" spans="1:10">
      <c r="A4" s="10">
        <v>1</v>
      </c>
      <c r="B4" s="10">
        <v>4</v>
      </c>
      <c r="C4" s="10">
        <v>5</v>
      </c>
      <c r="D4" s="10">
        <v>2</v>
      </c>
      <c r="E4" s="10">
        <v>3</v>
      </c>
      <c r="F4" s="10">
        <v>6</v>
      </c>
      <c r="H4" s="3"/>
    </row>
    <row r="5" spans="1:10">
      <c r="A5" s="10">
        <v>12</v>
      </c>
      <c r="B5" s="10">
        <v>9</v>
      </c>
      <c r="C5" s="10">
        <v>8</v>
      </c>
      <c r="D5" s="10">
        <v>11</v>
      </c>
      <c r="E5" s="10">
        <v>10</v>
      </c>
      <c r="F5" s="10">
        <v>7</v>
      </c>
      <c r="H5" s="3"/>
    </row>
    <row r="6" spans="1:10">
      <c r="A6" s="10">
        <v>13</v>
      </c>
      <c r="B6" s="10">
        <v>16</v>
      </c>
      <c r="C6" s="10">
        <v>17</v>
      </c>
      <c r="D6" s="10">
        <v>14</v>
      </c>
      <c r="E6" s="10">
        <v>15</v>
      </c>
      <c r="F6" s="10">
        <v>18</v>
      </c>
      <c r="H6" s="3"/>
    </row>
    <row r="7" spans="1:10">
      <c r="F7" s="10">
        <v>19</v>
      </c>
    </row>
    <row r="8" spans="1:10">
      <c r="A8" s="95" t="s">
        <v>3</v>
      </c>
      <c r="B8" s="95" t="s">
        <v>4</v>
      </c>
      <c r="C8" s="96" t="s">
        <v>5</v>
      </c>
      <c r="D8" s="97" t="s">
        <v>20</v>
      </c>
      <c r="E8" s="97" t="s">
        <v>21</v>
      </c>
      <c r="F8" s="97" t="s">
        <v>22</v>
      </c>
      <c r="H8" s="3"/>
    </row>
    <row r="9" spans="1:10">
      <c r="A9" s="44" t="s">
        <v>43</v>
      </c>
      <c r="B9" s="44" t="s">
        <v>323</v>
      </c>
      <c r="C9" s="44" t="s">
        <v>45</v>
      </c>
      <c r="D9" s="43" t="s">
        <v>46</v>
      </c>
      <c r="E9" s="43" t="s">
        <v>47</v>
      </c>
      <c r="F9" s="43" t="s">
        <v>48</v>
      </c>
      <c r="H9" s="3"/>
    </row>
    <row r="10" spans="1:10">
      <c r="A10" s="44" t="s">
        <v>50</v>
      </c>
      <c r="B10" s="44" t="s">
        <v>51</v>
      </c>
      <c r="C10" s="44" t="s">
        <v>52</v>
      </c>
      <c r="D10" s="43" t="s">
        <v>53</v>
      </c>
      <c r="E10" s="43" t="s">
        <v>54</v>
      </c>
      <c r="F10" s="43" t="s">
        <v>55</v>
      </c>
      <c r="H10" s="3"/>
    </row>
    <row r="11" spans="1:10">
      <c r="A11" s="44" t="s">
        <v>57</v>
      </c>
      <c r="B11" s="44" t="s">
        <v>58</v>
      </c>
      <c r="C11" s="44" t="s">
        <v>59</v>
      </c>
      <c r="D11" s="43" t="s">
        <v>60</v>
      </c>
      <c r="E11" s="43" t="s">
        <v>61</v>
      </c>
      <c r="F11" s="43" t="s">
        <v>62</v>
      </c>
      <c r="H11" s="3"/>
    </row>
    <row r="12" spans="1:10">
      <c r="A12" s="10" t="s">
        <v>64</v>
      </c>
      <c r="B12" s="10" t="s">
        <v>64</v>
      </c>
      <c r="C12" s="10" t="s">
        <v>64</v>
      </c>
      <c r="D12" s="10" t="s">
        <v>64</v>
      </c>
      <c r="E12" s="10" t="s">
        <v>64</v>
      </c>
      <c r="F12" s="43" t="s">
        <v>65</v>
      </c>
    </row>
    <row r="14" spans="1:10">
      <c r="A14" s="95" t="s">
        <v>68</v>
      </c>
      <c r="B14" s="95" t="s">
        <v>69</v>
      </c>
      <c r="C14" s="95" t="s">
        <v>70</v>
      </c>
      <c r="D14" s="98" t="s">
        <v>71</v>
      </c>
      <c r="E14" s="98" t="s">
        <v>72</v>
      </c>
      <c r="F14" s="98" t="s">
        <v>73</v>
      </c>
      <c r="H14" s="13"/>
      <c r="I14" s="13"/>
      <c r="J14" s="13"/>
    </row>
    <row r="15" spans="1:10">
      <c r="A15" s="42" t="s">
        <v>324</v>
      </c>
      <c r="B15" s="42" t="s">
        <v>325</v>
      </c>
      <c r="C15" s="42" t="s">
        <v>326</v>
      </c>
      <c r="D15" s="45" t="s">
        <v>327</v>
      </c>
      <c r="E15" s="45" t="s">
        <v>328</v>
      </c>
      <c r="F15" s="45" t="s">
        <v>329</v>
      </c>
      <c r="H15" s="13"/>
      <c r="I15" s="13"/>
      <c r="J15" s="13"/>
    </row>
    <row r="16" spans="1:10">
      <c r="A16" s="42" t="s">
        <v>330</v>
      </c>
      <c r="B16" s="42" t="s">
        <v>331</v>
      </c>
      <c r="C16" s="42" t="s">
        <v>332</v>
      </c>
      <c r="D16" s="45" t="s">
        <v>333</v>
      </c>
      <c r="E16" s="45" t="s">
        <v>334</v>
      </c>
      <c r="F16" s="45" t="s">
        <v>335</v>
      </c>
      <c r="H16" s="13"/>
      <c r="I16" s="13"/>
      <c r="J16" s="13"/>
    </row>
    <row r="17" spans="1:10" ht="24.75" customHeight="1">
      <c r="A17" s="42" t="s">
        <v>336</v>
      </c>
      <c r="B17" s="42" t="str">
        <f>IF(F44="","H3(1stF)-",IF(F44&gt;H44,_xlfn.CONCAT("H3(1stF)-",RIGHT(E44,LEN(E44) - FIND("-",E44))), _xlfn.CONCAT("H3(1stF)-",RIGHT(G44,LEN(G44) - FIND("-",G44)))))</f>
        <v>H3(1stF)-SD SHORES BLACK</v>
      </c>
      <c r="C17" s="42" t="s">
        <v>337</v>
      </c>
      <c r="D17" s="45" t="str">
        <f>IF(F44="","J3(2ndF)-",IF(F44&lt;H44,_xlfn.CONCAT("J3(2ndF)-",RIGHT(E44,LEN(E44) - FIND("-",E44))), _xlfn.CONCAT("J3(2ndF)-",RIGHT(G44,LEN(G44) - FIND("-",G44)))))</f>
        <v>J3(2ndF)-TROJAN</v>
      </c>
      <c r="E17" s="45" t="s">
        <v>338</v>
      </c>
      <c r="F17" s="45" t="str">
        <f>IF(F45="","L3(3rdF)-",IF(F45&gt;H45,_xlfn.CONCAT("L3(3rdF)-",RIGHT(E45,LEN(E45) - FIND("-",E45))), _xlfn.CONCAT("L3(3rdF)-",RIGHT(G45,LEN(G45) - FIND("-",G45)))))</f>
        <v>L3(3rdF)-TEXAS THUINDER</v>
      </c>
      <c r="H17" s="13"/>
      <c r="I17" s="13"/>
      <c r="J17" s="13"/>
    </row>
    <row r="18" spans="1:10">
      <c r="F18" s="45" t="str">
        <f>IF(F45="","L4(4thF)-",IF(F45&lt;H45,_xlfn.CONCAT("L4(4thF)-",RIGHT(E45,LEN(E45) - FIND("-",E45))), _xlfn.CONCAT("L4(4thF)-",RIGHT(G45,LEN(G45) - FIND("-",G45)))))</f>
        <v>L4(4thF)-FOOTHILL RED</v>
      </c>
      <c r="H18" s="13"/>
      <c r="I18" s="13"/>
      <c r="J18" s="13"/>
    </row>
    <row r="19" spans="1:10">
      <c r="A19" s="95" t="s">
        <v>94</v>
      </c>
      <c r="B19" s="95" t="s">
        <v>95</v>
      </c>
      <c r="C19" s="95" t="s">
        <v>96</v>
      </c>
      <c r="H19" s="13"/>
      <c r="I19" s="13"/>
      <c r="J19" s="13"/>
    </row>
    <row r="20" spans="1:10">
      <c r="A20" s="42" t="s">
        <v>339</v>
      </c>
      <c r="B20" s="42" t="s">
        <v>340</v>
      </c>
      <c r="C20" s="42" t="s">
        <v>341</v>
      </c>
      <c r="H20" s="13"/>
      <c r="I20" s="13"/>
      <c r="J20" s="13"/>
    </row>
    <row r="21" spans="1:10">
      <c r="A21" s="42" t="s">
        <v>342</v>
      </c>
      <c r="B21" s="42" t="s">
        <v>343</v>
      </c>
      <c r="C21" s="42" t="s">
        <v>344</v>
      </c>
      <c r="H21" s="13"/>
      <c r="I21" s="13"/>
      <c r="J21" s="13"/>
    </row>
    <row r="22" spans="1:10">
      <c r="A22" s="29"/>
      <c r="B22" s="29"/>
      <c r="J22" s="13"/>
    </row>
    <row r="23" spans="1:10">
      <c r="A23" s="1" t="s">
        <v>251</v>
      </c>
      <c r="B23" s="17" t="s">
        <v>252</v>
      </c>
      <c r="C23" s="1" t="s">
        <v>253</v>
      </c>
      <c r="D23" s="1" t="s">
        <v>254</v>
      </c>
      <c r="E23" s="1" t="s">
        <v>255</v>
      </c>
      <c r="F23" s="1" t="s">
        <v>256</v>
      </c>
      <c r="G23" s="1" t="s">
        <v>257</v>
      </c>
      <c r="H23" s="1" t="s">
        <v>256</v>
      </c>
      <c r="I23" s="1" t="s">
        <v>258</v>
      </c>
      <c r="J23" s="1" t="s">
        <v>259</v>
      </c>
    </row>
    <row r="24" spans="1:10">
      <c r="A24" s="46">
        <v>45724</v>
      </c>
      <c r="B24" s="47">
        <f>CHICLETS!D4</f>
        <v>0.33333333333333331</v>
      </c>
      <c r="C24" s="47" t="str">
        <f>CHICLETS!$G$3</f>
        <v>WESTMINSTER HS</v>
      </c>
      <c r="D24" s="48" t="s">
        <v>345</v>
      </c>
      <c r="E24" s="48" t="str">
        <f>C9</f>
        <v>C1-STANFORD</v>
      </c>
      <c r="F24" s="48">
        <v>18</v>
      </c>
      <c r="G24" s="48" t="str">
        <f>C11</f>
        <v>C3-CHAWP</v>
      </c>
      <c r="H24" s="48">
        <v>10</v>
      </c>
      <c r="I24" s="48" t="s">
        <v>277</v>
      </c>
      <c r="J24" s="48" t="s">
        <v>156</v>
      </c>
    </row>
    <row r="25" spans="1:10">
      <c r="A25" s="46">
        <v>45724</v>
      </c>
      <c r="B25" s="47">
        <f>CHICLETS!D5</f>
        <v>0.375</v>
      </c>
      <c r="C25" s="47" t="str">
        <f>CHICLETS!$G$3</f>
        <v>WESTMINSTER HS</v>
      </c>
      <c r="D25" s="48" t="s">
        <v>346</v>
      </c>
      <c r="E25" s="48" t="str">
        <f>A9</f>
        <v>A1-DEL MAR</v>
      </c>
      <c r="F25" s="48">
        <v>18</v>
      </c>
      <c r="G25" s="48" t="str">
        <f>A11</f>
        <v>A3-NORTH IRVINE BLACK</v>
      </c>
      <c r="H25" s="48">
        <v>9</v>
      </c>
      <c r="I25" s="48" t="s">
        <v>261</v>
      </c>
      <c r="J25" s="48" t="s">
        <v>156</v>
      </c>
    </row>
    <row r="26" spans="1:10">
      <c r="A26" s="46">
        <v>45724</v>
      </c>
      <c r="B26" s="47">
        <f>CHICLETS!D6</f>
        <v>0.41666666666666702</v>
      </c>
      <c r="C26" s="47" t="str">
        <f>CHICLETS!$G$3</f>
        <v>WESTMINSTER HS</v>
      </c>
      <c r="D26" s="48" t="s">
        <v>347</v>
      </c>
      <c r="E26" s="48" t="str">
        <f>B10</f>
        <v>B2-ORANGE COUNTY WPC BLUE</v>
      </c>
      <c r="F26" s="48">
        <v>15</v>
      </c>
      <c r="G26" s="48" t="str">
        <f>B11</f>
        <v>B3-ROSE BOWL RED</v>
      </c>
      <c r="H26" s="48">
        <v>8</v>
      </c>
      <c r="I26" s="48" t="s">
        <v>275</v>
      </c>
      <c r="J26" s="48" t="s">
        <v>156</v>
      </c>
    </row>
    <row r="27" spans="1:10">
      <c r="A27" s="29"/>
      <c r="B27" s="29"/>
      <c r="H27" s="13"/>
      <c r="I27" s="13"/>
      <c r="J27" s="13"/>
    </row>
    <row r="28" spans="1:10">
      <c r="A28" s="46">
        <v>45724</v>
      </c>
      <c r="B28" s="47">
        <f>CHICLETS!D8</f>
        <v>0.5</v>
      </c>
      <c r="C28" s="47" t="str">
        <f>CHICLETS!$G$3</f>
        <v>WESTMINSTER HS</v>
      </c>
      <c r="D28" s="48" t="s">
        <v>348</v>
      </c>
      <c r="E28" s="48" t="str">
        <f>C10</f>
        <v>C2-LA JOLLA UNITED NAVY</v>
      </c>
      <c r="F28" s="48">
        <v>15</v>
      </c>
      <c r="G28" s="48" t="str">
        <f>C11</f>
        <v>C3-CHAWP</v>
      </c>
      <c r="H28" s="48">
        <v>8</v>
      </c>
      <c r="I28" s="48" t="s">
        <v>271</v>
      </c>
      <c r="J28" s="48" t="s">
        <v>156</v>
      </c>
    </row>
    <row r="29" spans="1:10">
      <c r="A29" s="46">
        <v>45724</v>
      </c>
      <c r="B29" s="47">
        <f>CHICLETS!D9</f>
        <v>0.54166666666666696</v>
      </c>
      <c r="C29" s="47" t="str">
        <f>CHICLETS!$G$3</f>
        <v>WESTMINSTER HS</v>
      </c>
      <c r="D29" s="48" t="s">
        <v>349</v>
      </c>
      <c r="E29" s="48" t="str">
        <f>A10</f>
        <v>A2-DIABLO RED</v>
      </c>
      <c r="F29" s="48">
        <v>8</v>
      </c>
      <c r="G29" s="48" t="str">
        <f>A11</f>
        <v>A3-NORTH IRVINE BLACK</v>
      </c>
      <c r="H29" s="48">
        <v>14</v>
      </c>
      <c r="I29" s="48" t="s">
        <v>267</v>
      </c>
      <c r="J29" s="48" t="s">
        <v>156</v>
      </c>
    </row>
    <row r="30" spans="1:10">
      <c r="A30" s="46">
        <v>45724</v>
      </c>
      <c r="B30" s="47">
        <f>CHICLETS!D10</f>
        <v>0.58333333333333304</v>
      </c>
      <c r="C30" s="47" t="str">
        <f>CHICLETS!$G$3</f>
        <v>WESTMINSTER HS</v>
      </c>
      <c r="D30" s="48" t="s">
        <v>350</v>
      </c>
      <c r="E30" s="48" t="str">
        <f>B9</f>
        <v>B1-CHANNEL ISLANDS UNITED GOLD</v>
      </c>
      <c r="F30" s="48">
        <v>17</v>
      </c>
      <c r="G30" s="48" t="str">
        <f>B11</f>
        <v>B3-ROSE BOWL RED</v>
      </c>
      <c r="H30" s="48">
        <v>5</v>
      </c>
      <c r="I30" s="48" t="s">
        <v>263</v>
      </c>
      <c r="J30" s="48" t="s">
        <v>156</v>
      </c>
    </row>
    <row r="31" spans="1:10">
      <c r="A31" s="46">
        <v>45724</v>
      </c>
      <c r="B31" s="47">
        <f>CHICLETS!D11</f>
        <v>0.625</v>
      </c>
      <c r="C31" s="47" t="str">
        <f>CHICLETS!$G$3</f>
        <v>WESTMINSTER HS</v>
      </c>
      <c r="D31" s="48" t="s">
        <v>351</v>
      </c>
      <c r="E31" s="48" t="str">
        <f>C9</f>
        <v>C1-STANFORD</v>
      </c>
      <c r="F31" s="48">
        <v>17</v>
      </c>
      <c r="G31" s="48" t="str">
        <f>C10</f>
        <v>C2-LA JOLLA UNITED NAVY</v>
      </c>
      <c r="H31" s="48">
        <v>10</v>
      </c>
      <c r="I31" s="48" t="s">
        <v>265</v>
      </c>
      <c r="J31" s="48" t="s">
        <v>156</v>
      </c>
    </row>
    <row r="32" spans="1:10">
      <c r="A32" s="46">
        <v>45724</v>
      </c>
      <c r="B32" s="47">
        <f>CHICLETS!D12</f>
        <v>0.66666666666666696</v>
      </c>
      <c r="C32" s="47" t="str">
        <f>CHICLETS!$G$3</f>
        <v>WESTMINSTER HS</v>
      </c>
      <c r="D32" s="48" t="s">
        <v>352</v>
      </c>
      <c r="E32" s="48" t="str">
        <f>A9</f>
        <v>A1-DEL MAR</v>
      </c>
      <c r="F32" s="48">
        <v>19</v>
      </c>
      <c r="G32" s="48" t="str">
        <f>A10</f>
        <v>A2-DIABLO RED</v>
      </c>
      <c r="H32" s="48">
        <v>5</v>
      </c>
      <c r="I32" s="48" t="s">
        <v>273</v>
      </c>
      <c r="J32" s="48" t="s">
        <v>156</v>
      </c>
    </row>
    <row r="33" spans="1:10">
      <c r="A33" s="29"/>
      <c r="B33" s="29"/>
      <c r="H33" s="13"/>
      <c r="I33" s="13"/>
      <c r="J33" s="13"/>
    </row>
    <row r="34" spans="1:10">
      <c r="A34" s="46">
        <v>45724</v>
      </c>
      <c r="B34" s="47">
        <f>CHICLETS!D14</f>
        <v>0.75</v>
      </c>
      <c r="C34" s="47" t="str">
        <f>CHICLETS!$G$3</f>
        <v>WESTMINSTER HS</v>
      </c>
      <c r="D34" s="48" t="s">
        <v>353</v>
      </c>
      <c r="E34" s="48" t="str">
        <f>B9</f>
        <v>B1-CHANNEL ISLANDS UNITED GOLD</v>
      </c>
      <c r="F34" s="48">
        <v>13</v>
      </c>
      <c r="G34" s="48" t="str">
        <f>B10</f>
        <v>B2-ORANGE COUNTY WPC BLUE</v>
      </c>
      <c r="H34" s="48">
        <v>10</v>
      </c>
      <c r="I34" s="48" t="s">
        <v>269</v>
      </c>
      <c r="J34" s="48" t="s">
        <v>156</v>
      </c>
    </row>
    <row r="35" spans="1:10">
      <c r="A35" s="46">
        <v>45724</v>
      </c>
      <c r="B35" s="47">
        <f>CHICLETS!D15</f>
        <v>0.79166666666666696</v>
      </c>
      <c r="C35" s="47" t="str">
        <f>CHICLETS!$G$3</f>
        <v>WESTMINSTER HS</v>
      </c>
      <c r="D35" s="48" t="s">
        <v>354</v>
      </c>
      <c r="E35" s="48" t="str">
        <f>A15</f>
        <v>G1(1stA)-DEL MAR</v>
      </c>
      <c r="F35" s="48">
        <v>13</v>
      </c>
      <c r="G35" s="48" t="str">
        <f>A17</f>
        <v>G3(1stC)-STANFORD</v>
      </c>
      <c r="H35" s="48">
        <v>14</v>
      </c>
      <c r="I35" s="48" t="s">
        <v>355</v>
      </c>
      <c r="J35" s="48" t="s">
        <v>156</v>
      </c>
    </row>
    <row r="36" spans="1:10">
      <c r="A36" s="28"/>
      <c r="B36" s="49"/>
      <c r="C36" s="13"/>
      <c r="D36" s="3"/>
      <c r="J36" s="3"/>
    </row>
    <row r="37" spans="1:10">
      <c r="A37" s="50">
        <v>45724</v>
      </c>
      <c r="B37" s="45">
        <f>CHICLETS!D4</f>
        <v>0.33333333333333331</v>
      </c>
      <c r="C37" s="51" t="str">
        <f>CHICLETS!$E$3</f>
        <v>ESTANCIA HS</v>
      </c>
      <c r="D37" s="52" t="s">
        <v>356</v>
      </c>
      <c r="E37" s="45" t="str">
        <f>E9</f>
        <v>E1-MISSION A</v>
      </c>
      <c r="F37" s="55">
        <v>13</v>
      </c>
      <c r="G37" s="45" t="str">
        <f>E11</f>
        <v>E3-VANGUARD BLUE</v>
      </c>
      <c r="H37" s="54">
        <v>1</v>
      </c>
      <c r="I37" s="55" t="s">
        <v>357</v>
      </c>
      <c r="J37" s="52" t="s">
        <v>156</v>
      </c>
    </row>
    <row r="38" spans="1:10">
      <c r="A38" s="50">
        <v>45724</v>
      </c>
      <c r="B38" s="45">
        <f>CHICLETS!D5</f>
        <v>0.375</v>
      </c>
      <c r="C38" s="51" t="str">
        <f>CHICLETS!$E$3</f>
        <v>ESTANCIA HS</v>
      </c>
      <c r="D38" s="52" t="s">
        <v>358</v>
      </c>
      <c r="E38" s="53" t="str">
        <f>D9</f>
        <v>D1-CC UNITED BLACK</v>
      </c>
      <c r="F38" s="54">
        <v>15</v>
      </c>
      <c r="G38" s="53" t="str">
        <f>D11</f>
        <v>D3-PATRIOT</v>
      </c>
      <c r="H38" s="54">
        <v>7</v>
      </c>
      <c r="I38" s="55" t="s">
        <v>359</v>
      </c>
      <c r="J38" s="52" t="s">
        <v>156</v>
      </c>
    </row>
    <row r="39" spans="1:10">
      <c r="A39" s="50">
        <v>45724</v>
      </c>
      <c r="B39" s="45">
        <f>CHICLETS!D6</f>
        <v>0.41666666666666702</v>
      </c>
      <c r="C39" s="51" t="str">
        <f>CHICLETS!$E$3</f>
        <v>ESTANCIA HS</v>
      </c>
      <c r="D39" s="52" t="s">
        <v>360</v>
      </c>
      <c r="E39" s="53" t="str">
        <f>F9</f>
        <v>F1-TROJAN</v>
      </c>
      <c r="F39" s="54">
        <v>10</v>
      </c>
      <c r="G39" s="53" t="str">
        <f>F12</f>
        <v>F4-FOOTHILL RED</v>
      </c>
      <c r="H39" s="54">
        <v>8</v>
      </c>
      <c r="I39" s="55" t="s">
        <v>361</v>
      </c>
      <c r="J39" s="52" t="s">
        <v>156</v>
      </c>
    </row>
    <row r="40" spans="1:10">
      <c r="A40" s="50">
        <v>45724</v>
      </c>
      <c r="B40" s="45">
        <f>CHICLETS!D7</f>
        <v>0.45833333333333298</v>
      </c>
      <c r="C40" s="51" t="str">
        <f>CHICLETS!$E$3</f>
        <v>ESTANCIA HS</v>
      </c>
      <c r="D40" s="52" t="s">
        <v>362</v>
      </c>
      <c r="E40" s="45" t="str">
        <f>E10</f>
        <v>E2-ATHERTON</v>
      </c>
      <c r="F40" s="55">
        <v>14</v>
      </c>
      <c r="G40" s="45" t="str">
        <f>E11</f>
        <v>E3-VANGUARD BLUE</v>
      </c>
      <c r="H40" s="54">
        <v>8</v>
      </c>
      <c r="I40" s="55" t="s">
        <v>363</v>
      </c>
      <c r="J40" s="52" t="s">
        <v>156</v>
      </c>
    </row>
    <row r="41" spans="1:10">
      <c r="A41" s="50">
        <v>45724</v>
      </c>
      <c r="B41" s="45">
        <f>CHICLETS!D8</f>
        <v>0.5</v>
      </c>
      <c r="C41" s="51" t="str">
        <f>CHICLETS!$E$3</f>
        <v>ESTANCIA HS</v>
      </c>
      <c r="D41" s="52" t="s">
        <v>364</v>
      </c>
      <c r="E41" s="45" t="str">
        <f>F10</f>
        <v>F2-SD SHORES BLACK</v>
      </c>
      <c r="F41" s="55">
        <v>13</v>
      </c>
      <c r="G41" s="45" t="str">
        <f>F11</f>
        <v>F3-TEXAS THUINDER</v>
      </c>
      <c r="H41" s="54">
        <v>7</v>
      </c>
      <c r="I41" s="55" t="s">
        <v>365</v>
      </c>
      <c r="J41" s="52" t="s">
        <v>156</v>
      </c>
    </row>
    <row r="42" spans="1:10">
      <c r="A42" s="50">
        <v>45724</v>
      </c>
      <c r="B42" s="45">
        <f>CHICLETS!D9</f>
        <v>0.54166666666666696</v>
      </c>
      <c r="C42" s="51" t="str">
        <f>CHICLETS!$E$3</f>
        <v>ESTANCIA HS</v>
      </c>
      <c r="D42" s="52" t="s">
        <v>366</v>
      </c>
      <c r="E42" s="53" t="str">
        <f>D10</f>
        <v>D2-NEWPORT</v>
      </c>
      <c r="F42" s="54">
        <v>11</v>
      </c>
      <c r="G42" s="53" t="str">
        <f>D11</f>
        <v>D3-PATRIOT</v>
      </c>
      <c r="H42" s="54">
        <v>6</v>
      </c>
      <c r="I42" s="55" t="s">
        <v>367</v>
      </c>
      <c r="J42" s="52" t="s">
        <v>156</v>
      </c>
    </row>
    <row r="43" spans="1:10">
      <c r="A43" s="50">
        <v>45724</v>
      </c>
      <c r="B43" s="45">
        <f>CHICLETS!D10</f>
        <v>0.58333333333333304</v>
      </c>
      <c r="C43" s="51" t="str">
        <f>CHICLETS!$E$3</f>
        <v>ESTANCIA HS</v>
      </c>
      <c r="D43" s="52" t="s">
        <v>368</v>
      </c>
      <c r="E43" s="45" t="str">
        <f>E9</f>
        <v>E1-MISSION A</v>
      </c>
      <c r="F43" s="55">
        <v>8</v>
      </c>
      <c r="G43" s="45" t="str">
        <f>E10</f>
        <v>E2-ATHERTON</v>
      </c>
      <c r="H43" s="54">
        <v>5</v>
      </c>
      <c r="I43" s="55" t="s">
        <v>369</v>
      </c>
      <c r="J43" s="52" t="s">
        <v>156</v>
      </c>
    </row>
    <row r="44" spans="1:10">
      <c r="A44" s="50">
        <v>45724</v>
      </c>
      <c r="B44" s="45">
        <f>CHICLETS!D11</f>
        <v>0.625</v>
      </c>
      <c r="C44" s="51" t="str">
        <f>CHICLETS!$E$3</f>
        <v>ESTANCIA HS</v>
      </c>
      <c r="D44" s="52" t="s">
        <v>370</v>
      </c>
      <c r="E44" s="45" t="str">
        <f>IF(F39="","W#6",IF(F39&gt;H39,_xlfn.CONCAT("W#6-",RIGHT(E39,LEN(E39) - FIND("-",E39))), _xlfn.CONCAT("W#6-",RIGHT(G39,LEN(G39) - FIND("-",G39)))))</f>
        <v>W#6-TROJAN</v>
      </c>
      <c r="F44" s="55">
        <v>7</v>
      </c>
      <c r="G44" s="45" t="str">
        <f>IF(F41="","W#10",IF(F41&gt;H41,_xlfn.CONCAT("W#10-",RIGHT(E41,LEN(E41) - FIND("-",E41))), _xlfn.CONCAT("W#10-",RIGHT(G41,LEN(G41) - FIND("-",G41)))))</f>
        <v>W#10-SD SHORES BLACK</v>
      </c>
      <c r="H44" s="54">
        <v>9</v>
      </c>
      <c r="I44" s="55" t="s">
        <v>371</v>
      </c>
      <c r="J44" s="52" t="s">
        <v>156</v>
      </c>
    </row>
    <row r="45" spans="1:10">
      <c r="A45" s="50">
        <v>45724</v>
      </c>
      <c r="B45" s="45">
        <f>CHICLETS!D12</f>
        <v>0.66666666666666696</v>
      </c>
      <c r="C45" s="51" t="str">
        <f>CHICLETS!$E$3</f>
        <v>ESTANCIA HS</v>
      </c>
      <c r="D45" s="52" t="s">
        <v>372</v>
      </c>
      <c r="E45" s="53" t="str">
        <f>IF(F39="","L#6",IF(F39&lt;H39,_xlfn.CONCAT("L#6-",RIGHT(E39,LEN(E39) - FIND("-",E39))), _xlfn.CONCAT("L#6-",RIGHT(G39,LEN(G39) - FIND("-",G39)))))</f>
        <v>L#6-FOOTHILL RED</v>
      </c>
      <c r="F45" s="54">
        <v>9</v>
      </c>
      <c r="G45" s="53" t="str">
        <f>IF(F41="","L#10",IF(F41&lt;H41,_xlfn.CONCAT("L#10-",RIGHT(E41,LEN(E41) - FIND("-",E41))), _xlfn.CONCAT("L#10-",RIGHT(G41,LEN(G41) - FIND("-",G41)))))</f>
        <v>L#10-TEXAS THUINDER</v>
      </c>
      <c r="H45" s="54">
        <v>10</v>
      </c>
      <c r="I45" s="55" t="s">
        <v>373</v>
      </c>
      <c r="J45" s="52" t="s">
        <v>156</v>
      </c>
    </row>
    <row r="46" spans="1:10">
      <c r="A46" s="50">
        <v>45724</v>
      </c>
      <c r="B46" s="45">
        <f>CHICLETS!D13</f>
        <v>0.70833333333333304</v>
      </c>
      <c r="C46" s="51" t="str">
        <f>CHICLETS!$E$3</f>
        <v>ESTANCIA HS</v>
      </c>
      <c r="D46" s="52" t="s">
        <v>374</v>
      </c>
      <c r="E46" s="53" t="str">
        <f>D9</f>
        <v>D1-CC UNITED BLACK</v>
      </c>
      <c r="F46" s="54">
        <v>17</v>
      </c>
      <c r="G46" s="53" t="str">
        <f>D10</f>
        <v>D2-NEWPORT</v>
      </c>
      <c r="H46" s="54">
        <v>6</v>
      </c>
      <c r="I46" s="55" t="s">
        <v>375</v>
      </c>
      <c r="J46" s="52" t="s">
        <v>156</v>
      </c>
    </row>
    <row r="47" spans="1:10">
      <c r="A47" s="50">
        <v>45724</v>
      </c>
      <c r="B47" s="45">
        <f>CHICLETS!D14</f>
        <v>0.75</v>
      </c>
      <c r="C47" s="51" t="str">
        <f>CHICLETS!$E$3</f>
        <v>ESTANCIA HS</v>
      </c>
      <c r="D47" s="52" t="s">
        <v>376</v>
      </c>
      <c r="E47" s="53" t="str">
        <f>B16</f>
        <v>H2(1stE)-MISSION</v>
      </c>
      <c r="F47" s="54">
        <v>11</v>
      </c>
      <c r="G47" s="53" t="str">
        <f>B17</f>
        <v>H3(1stF)-SD SHORES BLACK</v>
      </c>
      <c r="H47" s="54">
        <v>8</v>
      </c>
      <c r="I47" s="55" t="s">
        <v>377</v>
      </c>
      <c r="J47" s="52" t="s">
        <v>156</v>
      </c>
    </row>
    <row r="48" spans="1:10">
      <c r="A48" s="28"/>
      <c r="B48" s="29"/>
      <c r="C48" s="13"/>
      <c r="E48" s="36"/>
      <c r="F48" s="36"/>
      <c r="G48" s="36"/>
      <c r="H48" s="36"/>
      <c r="I48" s="36"/>
      <c r="J48" s="13"/>
    </row>
    <row r="49" spans="1:10">
      <c r="A49" s="30"/>
      <c r="B49" s="31"/>
      <c r="C49" s="15"/>
      <c r="D49" s="56"/>
      <c r="E49" s="32"/>
      <c r="F49" s="32"/>
      <c r="G49" s="32"/>
      <c r="H49" s="32"/>
      <c r="I49" s="32"/>
      <c r="J49" s="15"/>
    </row>
    <row r="50" spans="1:10">
      <c r="A50" s="33"/>
      <c r="B50" s="34"/>
      <c r="C50" s="34"/>
      <c r="D50" s="34"/>
      <c r="E50" s="34"/>
      <c r="F50" s="34"/>
      <c r="G50" s="34"/>
      <c r="H50" s="34"/>
      <c r="I50" s="34"/>
      <c r="J50" s="34"/>
    </row>
    <row r="51" spans="1:10">
      <c r="A51" s="46">
        <v>45725</v>
      </c>
      <c r="B51" s="47">
        <f>CHICLETS!D22</f>
        <v>0.33333333333333331</v>
      </c>
      <c r="C51" s="47" t="str">
        <f>CHICLETS!$G$21</f>
        <v>WESTMINSTER HS</v>
      </c>
      <c r="D51" s="48" t="s">
        <v>378</v>
      </c>
      <c r="E51" s="48" t="str">
        <f>B15</f>
        <v>H1(1stD)-CC UNITED BLACK</v>
      </c>
      <c r="F51" s="48">
        <v>15</v>
      </c>
      <c r="G51" s="48" t="str">
        <f>B17</f>
        <v>H3(1stF)-SD SHORES BLACK</v>
      </c>
      <c r="H51" s="48">
        <v>5</v>
      </c>
      <c r="I51" s="48" t="s">
        <v>379</v>
      </c>
      <c r="J51" s="48" t="s">
        <v>156</v>
      </c>
    </row>
    <row r="52" spans="1:10">
      <c r="A52" s="46">
        <v>45725</v>
      </c>
      <c r="B52" s="47">
        <f>CHICLETS!D23</f>
        <v>0.375</v>
      </c>
      <c r="C52" s="47" t="str">
        <f>CHICLETS!$G$21</f>
        <v>WESTMINSTER HS</v>
      </c>
      <c r="D52" s="48" t="s">
        <v>380</v>
      </c>
      <c r="E52" s="48" t="str">
        <f>C15</f>
        <v>I1(2ndA)-NORTH IRVINE BLACK</v>
      </c>
      <c r="F52" s="48">
        <v>10</v>
      </c>
      <c r="G52" s="48" t="str">
        <f>C17</f>
        <v>I3(2ndC)-LA JOLLA UNITED NAVY</v>
      </c>
      <c r="H52" s="48">
        <v>15</v>
      </c>
      <c r="I52" s="48" t="s">
        <v>381</v>
      </c>
      <c r="J52" s="48" t="s">
        <v>156</v>
      </c>
    </row>
    <row r="53" spans="1:10">
      <c r="A53" s="46">
        <v>45725</v>
      </c>
      <c r="B53" s="47">
        <f>CHICLETS!D24</f>
        <v>0.41666666666666702</v>
      </c>
      <c r="C53" s="47" t="str">
        <f>CHICLETS!$G$21</f>
        <v>WESTMINSTER HS</v>
      </c>
      <c r="D53" s="48" t="s">
        <v>382</v>
      </c>
      <c r="E53" s="48" t="str">
        <f>A16</f>
        <v>G2(1stB)-CHANNEL ISLANDS UNITED GOLD</v>
      </c>
      <c r="F53" s="48">
        <v>11</v>
      </c>
      <c r="G53" s="48" t="str">
        <f>A17</f>
        <v>G3(1stC)-STANFORD</v>
      </c>
      <c r="H53" s="48">
        <v>12</v>
      </c>
      <c r="I53" s="48" t="s">
        <v>383</v>
      </c>
      <c r="J53" s="48" t="s">
        <v>156</v>
      </c>
    </row>
    <row r="54" spans="1:10">
      <c r="A54" s="46">
        <v>45725</v>
      </c>
      <c r="B54" s="47">
        <f>CHICLETS!D25</f>
        <v>0.45833333333333298</v>
      </c>
      <c r="C54" s="47" t="str">
        <f>CHICLETS!$G$21</f>
        <v>WESTMINSTER HS</v>
      </c>
      <c r="D54" s="48" t="s">
        <v>384</v>
      </c>
      <c r="E54" s="48" t="str">
        <f>B15</f>
        <v>H1(1stD)-CC UNITED BLACK</v>
      </c>
      <c r="F54" s="48">
        <v>11</v>
      </c>
      <c r="G54" s="48" t="str">
        <f>B16</f>
        <v>H2(1stE)-MISSION</v>
      </c>
      <c r="H54" s="48">
        <v>7</v>
      </c>
      <c r="I54" s="48" t="s">
        <v>385</v>
      </c>
      <c r="J54" s="48" t="s">
        <v>156</v>
      </c>
    </row>
    <row r="55" spans="1:10">
      <c r="A55" s="46">
        <v>45725</v>
      </c>
      <c r="B55" s="47">
        <f>CHICLETS!D26</f>
        <v>0.5</v>
      </c>
      <c r="C55" s="47" t="str">
        <f>CHICLETS!$G$21</f>
        <v>WESTMINSTER HS</v>
      </c>
      <c r="D55" s="48" t="s">
        <v>386</v>
      </c>
      <c r="E55" s="48" t="str">
        <f>C16</f>
        <v>I2(2ndB)-ORANGE COUNTY WPC BLUE</v>
      </c>
      <c r="F55" s="48">
        <v>10</v>
      </c>
      <c r="G55" s="48" t="str">
        <f>C17</f>
        <v>I3(2ndC)-LA JOLLA UNITED NAVY</v>
      </c>
      <c r="H55" s="48">
        <v>14</v>
      </c>
      <c r="I55" s="48" t="s">
        <v>387</v>
      </c>
      <c r="J55" s="48" t="s">
        <v>156</v>
      </c>
    </row>
    <row r="56" spans="1:10">
      <c r="A56" s="46">
        <v>45725</v>
      </c>
      <c r="B56" s="47">
        <f>CHICLETS!D27</f>
        <v>0.54166666666666696</v>
      </c>
      <c r="C56" s="47" t="str">
        <f>CHICLETS!$G$21</f>
        <v>WESTMINSTER HS</v>
      </c>
      <c r="D56" s="48" t="s">
        <v>388</v>
      </c>
      <c r="E56" s="48" t="str">
        <f>A15</f>
        <v>G1(1stA)-DEL MAR</v>
      </c>
      <c r="F56" s="48">
        <v>14</v>
      </c>
      <c r="G56" s="48" t="str">
        <f>A16</f>
        <v>G2(1stB)-CHANNEL ISLANDS UNITED GOLD</v>
      </c>
      <c r="H56" s="48">
        <v>8</v>
      </c>
      <c r="I56" s="48" t="s">
        <v>389</v>
      </c>
      <c r="J56" s="48" t="s">
        <v>156</v>
      </c>
    </row>
    <row r="57" spans="1:10">
      <c r="A57" s="46">
        <v>45725</v>
      </c>
      <c r="B57" s="47">
        <f>CHICLETS!D28</f>
        <v>0.58333333333333304</v>
      </c>
      <c r="C57" s="47" t="str">
        <f>CHICLETS!$G$21</f>
        <v>WESTMINSTER HS</v>
      </c>
      <c r="D57" s="48" t="s">
        <v>390</v>
      </c>
      <c r="E57" s="48" t="str">
        <f>C15</f>
        <v>I1(2ndA)-NORTH IRVINE BLACK</v>
      </c>
      <c r="F57" s="48">
        <v>11</v>
      </c>
      <c r="G57" s="48" t="str">
        <f>C16</f>
        <v>I2(2ndB)-ORANGE COUNTY WPC BLUE</v>
      </c>
      <c r="H57" s="48">
        <v>10</v>
      </c>
      <c r="I57" s="48" t="s">
        <v>391</v>
      </c>
      <c r="J57" s="48" t="s">
        <v>156</v>
      </c>
    </row>
    <row r="58" spans="1:10">
      <c r="A58" s="46">
        <v>45725</v>
      </c>
      <c r="B58" s="47">
        <f>CHICLETS!D29</f>
        <v>0.625</v>
      </c>
      <c r="C58" s="47" t="str">
        <f>CHICLETS!$G$21</f>
        <v>WESTMINSTER HS</v>
      </c>
      <c r="D58" s="48" t="s">
        <v>392</v>
      </c>
      <c r="E58" s="48" t="str">
        <f>C20</f>
        <v>P1(3rdG)-CHANNEL ISLANDS UNITED GOLD</v>
      </c>
      <c r="F58" s="48">
        <v>10</v>
      </c>
      <c r="G58" s="48" t="str">
        <f>C21</f>
        <v>P2(3rdH)-SD SHORES BLACK</v>
      </c>
      <c r="H58" s="48">
        <v>12</v>
      </c>
      <c r="I58" s="48" t="s">
        <v>393</v>
      </c>
      <c r="J58" s="48" t="s">
        <v>156</v>
      </c>
    </row>
    <row r="59" spans="1:10">
      <c r="A59" s="46">
        <v>45725</v>
      </c>
      <c r="B59" s="47">
        <f>CHICLETS!D30</f>
        <v>0.66666666666666696</v>
      </c>
      <c r="C59" s="47" t="str">
        <f>CHICLETS!$G$21</f>
        <v>WESTMINSTER HS</v>
      </c>
      <c r="D59" s="48" t="s">
        <v>394</v>
      </c>
      <c r="E59" s="48" t="str">
        <f>A20</f>
        <v>N1(2ndG)-DEL MAR</v>
      </c>
      <c r="F59" s="48">
        <v>11</v>
      </c>
      <c r="G59" s="48" t="str">
        <f>A21</f>
        <v>N2(2ndH)-MISSION</v>
      </c>
      <c r="H59" s="48">
        <v>8</v>
      </c>
      <c r="I59" s="48" t="s">
        <v>395</v>
      </c>
      <c r="J59" s="48" t="s">
        <v>156</v>
      </c>
    </row>
    <row r="60" spans="1:10">
      <c r="A60" s="46">
        <v>45725</v>
      </c>
      <c r="B60" s="47">
        <f>CHICLETS!D31</f>
        <v>0.70833333333333304</v>
      </c>
      <c r="C60" s="47" t="str">
        <f>CHICLETS!$G$21</f>
        <v>WESTMINSTER HS</v>
      </c>
      <c r="D60" s="48" t="s">
        <v>396</v>
      </c>
      <c r="E60" s="48" t="str">
        <f>B20</f>
        <v>O1(1stG)-STANFORD</v>
      </c>
      <c r="F60" s="48">
        <v>11</v>
      </c>
      <c r="G60" s="48" t="str">
        <f>B21</f>
        <v>O2(1stH)-CC UNITED BLACK</v>
      </c>
      <c r="H60" s="48">
        <v>14</v>
      </c>
      <c r="I60" s="48" t="s">
        <v>397</v>
      </c>
      <c r="J60" s="48" t="s">
        <v>156</v>
      </c>
    </row>
    <row r="61" spans="1:10">
      <c r="A61" s="28"/>
      <c r="C61" s="13"/>
      <c r="D61" s="13"/>
    </row>
    <row r="62" spans="1:10">
      <c r="A62" s="50">
        <v>45725</v>
      </c>
      <c r="B62" s="45">
        <f>CHICLETS!D22</f>
        <v>0.33333333333333331</v>
      </c>
      <c r="C62" s="45" t="str">
        <f>CHICLETS!$H$21</f>
        <v>MARINA HS</v>
      </c>
      <c r="D62" s="52" t="s">
        <v>398</v>
      </c>
      <c r="E62" s="53" t="str">
        <f>D15</f>
        <v>J1(2ndD)-NEWPORT</v>
      </c>
      <c r="F62" s="54">
        <v>9.4</v>
      </c>
      <c r="G62" s="53" t="str">
        <f>D17</f>
        <v>J3(2ndF)-TROJAN</v>
      </c>
      <c r="H62" s="54">
        <v>9.3000000000000007</v>
      </c>
      <c r="I62" s="55" t="s">
        <v>399</v>
      </c>
      <c r="J62" s="52" t="s">
        <v>156</v>
      </c>
    </row>
    <row r="63" spans="1:10">
      <c r="A63" s="50">
        <v>45725</v>
      </c>
      <c r="B63" s="45">
        <f>CHICLETS!D23</f>
        <v>0.375</v>
      </c>
      <c r="C63" s="45" t="str">
        <f>CHICLETS!$H$21</f>
        <v>MARINA HS</v>
      </c>
      <c r="D63" s="52" t="s">
        <v>400</v>
      </c>
      <c r="E63" s="45" t="str">
        <f>E15</f>
        <v>K1(3rdA)-DIABLO RED</v>
      </c>
      <c r="F63" s="55">
        <v>8</v>
      </c>
      <c r="G63" s="45" t="str">
        <f>E17</f>
        <v>K3(3rdC)-CHAWP</v>
      </c>
      <c r="H63" s="54">
        <v>7</v>
      </c>
      <c r="I63" s="55" t="s">
        <v>401</v>
      </c>
      <c r="J63" s="52" t="s">
        <v>156</v>
      </c>
    </row>
    <row r="64" spans="1:10">
      <c r="A64" s="50">
        <v>45725</v>
      </c>
      <c r="B64" s="45">
        <f>CHICLETS!D24</f>
        <v>0.41666666666666702</v>
      </c>
      <c r="C64" s="45" t="str">
        <f>CHICLETS!$H$21</f>
        <v>MARINA HS</v>
      </c>
      <c r="D64" s="83" t="s">
        <v>402</v>
      </c>
      <c r="E64" s="53" t="str">
        <f>F15</f>
        <v>L1(3rdD)-PATRIOT</v>
      </c>
      <c r="F64" s="54">
        <v>12</v>
      </c>
      <c r="G64" s="53" t="str">
        <f>F18</f>
        <v>L4(4thF)-FOOTHILL RED</v>
      </c>
      <c r="H64" s="54">
        <v>11</v>
      </c>
      <c r="I64" s="55" t="s">
        <v>403</v>
      </c>
      <c r="J64" s="52" t="s">
        <v>156</v>
      </c>
    </row>
    <row r="65" spans="1:10">
      <c r="A65" s="50">
        <v>45725</v>
      </c>
      <c r="B65" s="45">
        <f>CHICLETS!D25</f>
        <v>0.45833333333333298</v>
      </c>
      <c r="C65" s="45" t="str">
        <f>CHICLETS!$H$21</f>
        <v>MARINA HS</v>
      </c>
      <c r="D65" s="83" t="s">
        <v>404</v>
      </c>
      <c r="E65" s="45" t="str">
        <f>F16</f>
        <v>L2(3rdE)-VANGUARD BLUE</v>
      </c>
      <c r="F65" s="55">
        <v>13</v>
      </c>
      <c r="G65" s="45" t="str">
        <f>F17</f>
        <v>L3(3rdF)-TEXAS THUINDER</v>
      </c>
      <c r="H65" s="54">
        <v>12</v>
      </c>
      <c r="I65" s="55" t="s">
        <v>405</v>
      </c>
      <c r="J65" s="52" t="s">
        <v>156</v>
      </c>
    </row>
    <row r="66" spans="1:10">
      <c r="A66" s="50">
        <v>45725</v>
      </c>
      <c r="B66" s="45">
        <f>CHICLETS!D26</f>
        <v>0.5</v>
      </c>
      <c r="C66" s="45" t="str">
        <f>CHICLETS!$H$21</f>
        <v>MARINA HS</v>
      </c>
      <c r="D66" s="52" t="s">
        <v>406</v>
      </c>
      <c r="E66" s="53" t="str">
        <f>D16</f>
        <v>J2(2ndE)-ATHERTON</v>
      </c>
      <c r="F66" s="54">
        <v>14</v>
      </c>
      <c r="G66" s="53" t="str">
        <f>D17</f>
        <v>J3(2ndF)-TROJAN</v>
      </c>
      <c r="H66" s="54">
        <v>9</v>
      </c>
      <c r="I66" s="55" t="s">
        <v>407</v>
      </c>
      <c r="J66" s="52" t="s">
        <v>156</v>
      </c>
    </row>
    <row r="67" spans="1:10">
      <c r="A67" s="50">
        <v>45725</v>
      </c>
      <c r="B67" s="45">
        <f>CHICLETS!D27</f>
        <v>0.54166666666666696</v>
      </c>
      <c r="C67" s="45" t="str">
        <f>CHICLETS!$H$21</f>
        <v>MARINA HS</v>
      </c>
      <c r="D67" s="52" t="s">
        <v>408</v>
      </c>
      <c r="E67" s="45" t="str">
        <f>E16</f>
        <v>K2(3rdB)-ROSE BOWL RED</v>
      </c>
      <c r="F67" s="55">
        <v>19</v>
      </c>
      <c r="G67" s="45" t="str">
        <f>E17</f>
        <v>K3(3rdC)-CHAWP</v>
      </c>
      <c r="H67" s="54">
        <v>15</v>
      </c>
      <c r="I67" s="55" t="s">
        <v>409</v>
      </c>
      <c r="J67" s="52" t="s">
        <v>156</v>
      </c>
    </row>
    <row r="68" spans="1:10">
      <c r="A68" s="50">
        <v>45725</v>
      </c>
      <c r="B68" s="45">
        <f>CHICLETS!D28</f>
        <v>0.58333333333333304</v>
      </c>
      <c r="C68" s="45" t="str">
        <f>CHICLETS!$H$21</f>
        <v>MARINA HS</v>
      </c>
      <c r="D68" s="83" t="s">
        <v>410</v>
      </c>
      <c r="E68" s="123" t="s">
        <v>74</v>
      </c>
      <c r="F68" s="54">
        <v>12</v>
      </c>
      <c r="G68" s="53" t="str">
        <f>IF(F65="","L#29",IF(F65&lt;H65,_xlfn.CONCAT("L#29-",RIGHT(E65,LEN(E65) - FIND("-",E65))), _xlfn.CONCAT("L#29-",RIGHT(G65,LEN(G65) - FIND("-",G65)))))</f>
        <v>L#29-TEXAS THUINDER</v>
      </c>
      <c r="H68" s="54">
        <v>11</v>
      </c>
      <c r="I68" s="55" t="s">
        <v>411</v>
      </c>
      <c r="J68" s="52" t="s">
        <v>156</v>
      </c>
    </row>
    <row r="69" spans="1:10">
      <c r="A69" s="50">
        <v>45725</v>
      </c>
      <c r="B69" s="45">
        <f>CHICLETS!D29</f>
        <v>0.625</v>
      </c>
      <c r="C69" s="45" t="str">
        <f>CHICLETS!$H$21</f>
        <v>MARINA HS</v>
      </c>
      <c r="D69" s="83" t="s">
        <v>412</v>
      </c>
      <c r="E69" s="124" t="s">
        <v>42</v>
      </c>
      <c r="F69" s="55">
        <v>8</v>
      </c>
      <c r="G69" s="45" t="str">
        <f>IF(F65="","W#29",IF(F65&gt;H65,_xlfn.CONCAT("W#29-",RIGHT(E65,LEN(E65) - FIND("-",E65))), _xlfn.CONCAT("W#29-",RIGHT(G65,LEN(G65) - FIND("-",G65)))))</f>
        <v>W#29-VANGUARD BLUE</v>
      </c>
      <c r="H69" s="54">
        <v>12</v>
      </c>
      <c r="I69" s="55" t="s">
        <v>413</v>
      </c>
      <c r="J69" s="52" t="s">
        <v>156</v>
      </c>
    </row>
    <row r="70" spans="1:10">
      <c r="A70" s="50">
        <v>45725</v>
      </c>
      <c r="B70" s="45">
        <f>CHICLETS!D30</f>
        <v>0.66666666666666696</v>
      </c>
      <c r="C70" s="45" t="str">
        <f>CHICLETS!$H$21</f>
        <v>MARINA HS</v>
      </c>
      <c r="D70" s="52" t="s">
        <v>414</v>
      </c>
      <c r="E70" s="53" t="str">
        <f>D15</f>
        <v>J1(2ndD)-NEWPORT</v>
      </c>
      <c r="F70" s="54">
        <v>9</v>
      </c>
      <c r="G70" s="53" t="str">
        <f>D16</f>
        <v>J2(2ndE)-ATHERTON</v>
      </c>
      <c r="H70" s="54">
        <v>10</v>
      </c>
      <c r="I70" s="55" t="s">
        <v>415</v>
      </c>
      <c r="J70" s="52" t="s">
        <v>156</v>
      </c>
    </row>
    <row r="71" spans="1:10">
      <c r="A71" s="50">
        <v>45725</v>
      </c>
      <c r="B71" s="45">
        <f>CHICLETS!D31</f>
        <v>0.70833333333333304</v>
      </c>
      <c r="C71" s="45" t="str">
        <f>CHICLETS!$H$21</f>
        <v>MARINA HS</v>
      </c>
      <c r="D71" s="52" t="s">
        <v>416</v>
      </c>
      <c r="E71" s="45" t="str">
        <f>E15</f>
        <v>K1(3rdA)-DIABLO RED</v>
      </c>
      <c r="F71" s="55">
        <v>14</v>
      </c>
      <c r="G71" s="45" t="str">
        <f>E16</f>
        <v>K2(3rdB)-ROSE BOWL RED</v>
      </c>
      <c r="H71" s="54">
        <v>13</v>
      </c>
      <c r="I71" s="55" t="s">
        <v>417</v>
      </c>
      <c r="J71" s="52" t="s">
        <v>156</v>
      </c>
    </row>
    <row r="72" spans="1:10">
      <c r="A72" s="28"/>
    </row>
    <row r="73" spans="1:10">
      <c r="A73" s="28"/>
      <c r="B73" s="121" t="s">
        <v>418</v>
      </c>
      <c r="D73" s="10" t="s">
        <v>419</v>
      </c>
      <c r="E73" s="10" t="s">
        <v>68</v>
      </c>
      <c r="F73" s="10" t="str">
        <f>"---&gt;&gt;&gt; SCORES"</f>
        <v>---&gt;&gt;&gt; SCORES</v>
      </c>
      <c r="I73" s="55" t="s">
        <v>296</v>
      </c>
      <c r="J73" s="55" t="s">
        <v>37</v>
      </c>
    </row>
    <row r="74" spans="1:10">
      <c r="B74" s="122">
        <f>C74+D74</f>
        <v>5</v>
      </c>
      <c r="C74" s="122">
        <v>4</v>
      </c>
      <c r="D74" s="10">
        <v>1</v>
      </c>
      <c r="E74" s="10" t="s">
        <v>324</v>
      </c>
      <c r="F74" s="10" t="s">
        <v>420</v>
      </c>
      <c r="G74" s="122" t="s">
        <v>421</v>
      </c>
      <c r="I74" s="55" t="s">
        <v>297</v>
      </c>
      <c r="J74" s="55" t="s">
        <v>92</v>
      </c>
    </row>
    <row r="75" spans="1:10">
      <c r="A75" s="13"/>
      <c r="B75" s="122">
        <f>C75+D75</f>
        <v>2</v>
      </c>
      <c r="C75" s="10">
        <v>1</v>
      </c>
      <c r="D75" s="122">
        <v>1</v>
      </c>
      <c r="E75" s="10" t="s">
        <v>330</v>
      </c>
      <c r="F75" s="122" t="s">
        <v>422</v>
      </c>
      <c r="G75" s="10" t="s">
        <v>423</v>
      </c>
      <c r="I75" s="55" t="s">
        <v>298</v>
      </c>
      <c r="J75" s="55" t="s">
        <v>40</v>
      </c>
    </row>
    <row r="76" spans="1:10">
      <c r="A76" s="13"/>
      <c r="B76" s="122">
        <f>C76+D76</f>
        <v>8</v>
      </c>
      <c r="C76" s="10">
        <v>4</v>
      </c>
      <c r="D76" s="10">
        <v>4</v>
      </c>
      <c r="E76" s="10" t="s">
        <v>336</v>
      </c>
      <c r="F76" s="10" t="s">
        <v>424</v>
      </c>
      <c r="G76" s="10" t="s">
        <v>425</v>
      </c>
    </row>
    <row r="77" spans="1:10">
      <c r="B77" s="121"/>
    </row>
    <row r="78" spans="1:10">
      <c r="B78" s="121"/>
      <c r="E78" s="10" t="s">
        <v>69</v>
      </c>
    </row>
    <row r="79" spans="1:10">
      <c r="B79" s="122">
        <f>C79+D79</f>
        <v>8</v>
      </c>
      <c r="C79" s="10">
        <v>4</v>
      </c>
      <c r="D79" s="121">
        <v>4</v>
      </c>
      <c r="E79" s="10" t="s">
        <v>325</v>
      </c>
      <c r="F79" s="121" t="s">
        <v>426</v>
      </c>
      <c r="G79" s="10" t="s">
        <v>427</v>
      </c>
    </row>
    <row r="80" spans="1:10">
      <c r="B80" s="122">
        <f>C80+D80</f>
        <v>5</v>
      </c>
      <c r="C80" s="121">
        <v>1</v>
      </c>
      <c r="D80" s="10">
        <v>4</v>
      </c>
      <c r="E80" s="10" t="s">
        <v>331</v>
      </c>
      <c r="F80" s="10" t="s">
        <v>428</v>
      </c>
      <c r="G80" s="121" t="s">
        <v>429</v>
      </c>
    </row>
    <row r="81" spans="2:7">
      <c r="B81" s="122">
        <f>C81+D81</f>
        <v>2</v>
      </c>
      <c r="C81" s="10">
        <v>1</v>
      </c>
      <c r="D81" s="10">
        <v>1</v>
      </c>
      <c r="E81" s="10" t="s">
        <v>430</v>
      </c>
      <c r="F81" s="10" t="s">
        <v>431</v>
      </c>
      <c r="G81" s="10" t="s">
        <v>432</v>
      </c>
    </row>
  </sheetData>
  <phoneticPr fontId="16" type="noConversion"/>
  <hyperlinks>
    <hyperlink ref="B2" r:id="rId1" xr:uid="{70ACDFE2-2681-4887-8FC2-FCC76DD23A9D}"/>
    <hyperlink ref="C2" r:id="rId2" xr:uid="{1BFBF159-3D99-41BF-99A6-2A3561029DA2}"/>
    <hyperlink ref="A2" r:id="rId3" xr:uid="{E3074C53-A5CF-4214-BB00-BF265B906653}"/>
  </hyperlinks>
  <pageMargins left="0.7" right="0.7" top="0.75" bottom="0.75" header="0.3" footer="0.3"/>
  <pageSetup scale="49" orientation="landscape" horizontalDpi="300" verticalDpi="30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C434-7A43-4033-99F5-F671588A8A0A}">
  <sheetPr>
    <tabColor rgb="FF00FFCC"/>
    <pageSetUpPr fitToPage="1"/>
  </sheetPr>
  <dimension ref="A1:K107"/>
  <sheetViews>
    <sheetView tabSelected="1" topLeftCell="E61" zoomScale="99" zoomScaleNormal="99" workbookViewId="0">
      <selection activeCell="E67" sqref="E67"/>
    </sheetView>
  </sheetViews>
  <sheetFormatPr defaultColWidth="9.140625" defaultRowHeight="18"/>
  <cols>
    <col min="1" max="1" width="48.85546875" style="3" customWidth="1"/>
    <col min="2" max="2" width="47.42578125" style="3" customWidth="1"/>
    <col min="3" max="3" width="31.85546875" style="3" customWidth="1"/>
    <col min="4" max="4" width="41.85546875" style="3" customWidth="1"/>
    <col min="5" max="5" width="47.42578125" style="3" customWidth="1"/>
    <col min="6" max="6" width="39.7109375" style="3" customWidth="1"/>
    <col min="7" max="7" width="47.85546875" style="3" customWidth="1"/>
    <col min="8" max="8" width="42.85546875" style="3" customWidth="1"/>
    <col min="9" max="9" width="18.5703125" style="3" customWidth="1"/>
    <col min="10" max="10" width="37" style="3" bestFit="1" customWidth="1"/>
    <col min="11" max="16384" width="9.140625" style="3"/>
  </cols>
  <sheetData>
    <row r="1" spans="1:10">
      <c r="A1" s="10" t="s">
        <v>433</v>
      </c>
      <c r="B1" s="1" t="s">
        <v>434</v>
      </c>
      <c r="C1" s="2" t="s">
        <v>237</v>
      </c>
      <c r="D1" s="1" t="s">
        <v>435</v>
      </c>
      <c r="H1" s="1"/>
      <c r="I1" s="4"/>
    </row>
    <row r="2" spans="1:10">
      <c r="A2" s="5" t="s">
        <v>239</v>
      </c>
      <c r="B2" s="6" t="s">
        <v>240</v>
      </c>
      <c r="C2" s="7" t="s">
        <v>241</v>
      </c>
      <c r="D2" s="1"/>
      <c r="H2" s="1"/>
      <c r="I2" s="4"/>
    </row>
    <row r="3" spans="1:10">
      <c r="A3" s="93" t="s">
        <v>3</v>
      </c>
      <c r="B3" s="93" t="s">
        <v>4</v>
      </c>
      <c r="C3" s="93" t="s">
        <v>5</v>
      </c>
      <c r="D3" s="94" t="s">
        <v>20</v>
      </c>
      <c r="E3" s="94" t="s">
        <v>21</v>
      </c>
      <c r="F3" s="94" t="s">
        <v>22</v>
      </c>
      <c r="H3" s="1"/>
    </row>
    <row r="4" spans="1:10">
      <c r="A4" s="8">
        <v>1</v>
      </c>
      <c r="B4" s="8">
        <v>4</v>
      </c>
      <c r="C4" s="8">
        <v>5</v>
      </c>
      <c r="D4" s="9">
        <v>2</v>
      </c>
      <c r="E4" s="9">
        <v>3</v>
      </c>
      <c r="F4" s="9">
        <v>6</v>
      </c>
    </row>
    <row r="5" spans="1:10">
      <c r="A5" s="8">
        <v>12</v>
      </c>
      <c r="B5" s="8">
        <v>9</v>
      </c>
      <c r="C5" s="8">
        <v>8</v>
      </c>
      <c r="D5" s="9">
        <v>11</v>
      </c>
      <c r="E5" s="9">
        <v>10</v>
      </c>
      <c r="F5" s="9">
        <v>7</v>
      </c>
    </row>
    <row r="6" spans="1:10">
      <c r="A6" s="8">
        <v>13</v>
      </c>
      <c r="B6" s="8">
        <v>16</v>
      </c>
      <c r="C6" s="8">
        <v>17</v>
      </c>
      <c r="D6" s="9">
        <v>14</v>
      </c>
      <c r="E6" s="9">
        <v>15</v>
      </c>
      <c r="F6" s="9">
        <v>18</v>
      </c>
    </row>
    <row r="7" spans="1:10">
      <c r="A7" s="8">
        <v>24</v>
      </c>
      <c r="B7" s="8">
        <v>21</v>
      </c>
      <c r="C7" s="8">
        <v>20</v>
      </c>
      <c r="D7" s="9">
        <v>23</v>
      </c>
      <c r="E7" s="9">
        <v>22</v>
      </c>
      <c r="F7" s="9">
        <v>19</v>
      </c>
    </row>
    <row r="9" spans="1:10">
      <c r="A9" s="93" t="s">
        <v>3</v>
      </c>
      <c r="B9" s="93" t="s">
        <v>4</v>
      </c>
      <c r="C9" s="93" t="s">
        <v>5</v>
      </c>
      <c r="D9" s="94" t="s">
        <v>20</v>
      </c>
      <c r="E9" s="94" t="s">
        <v>21</v>
      </c>
      <c r="F9" s="94" t="s">
        <v>22</v>
      </c>
    </row>
    <row r="10" spans="1:10">
      <c r="A10" s="11" t="s">
        <v>112</v>
      </c>
      <c r="B10" s="11" t="s">
        <v>113</v>
      </c>
      <c r="C10" s="11" t="s">
        <v>114</v>
      </c>
      <c r="D10" s="12" t="s">
        <v>115</v>
      </c>
      <c r="E10" s="12" t="s">
        <v>116</v>
      </c>
      <c r="F10" s="118" t="s">
        <v>436</v>
      </c>
    </row>
    <row r="11" spans="1:10">
      <c r="A11" s="11" t="s">
        <v>119</v>
      </c>
      <c r="B11" s="11" t="s">
        <v>120</v>
      </c>
      <c r="C11" s="11" t="s">
        <v>121</v>
      </c>
      <c r="D11" s="12" t="s">
        <v>122</v>
      </c>
      <c r="E11" s="12" t="s">
        <v>123</v>
      </c>
      <c r="F11" s="12" t="s">
        <v>124</v>
      </c>
    </row>
    <row r="12" spans="1:10">
      <c r="A12" s="11" t="s">
        <v>126</v>
      </c>
      <c r="B12" s="11" t="s">
        <v>127</v>
      </c>
      <c r="C12" s="11" t="s">
        <v>128</v>
      </c>
      <c r="D12" s="12" t="s">
        <v>129</v>
      </c>
      <c r="E12" s="12" t="s">
        <v>130</v>
      </c>
      <c r="F12" s="12" t="s">
        <v>131</v>
      </c>
    </row>
    <row r="13" spans="1:10">
      <c r="A13" s="11" t="s">
        <v>133</v>
      </c>
      <c r="B13" s="11" t="s">
        <v>134</v>
      </c>
      <c r="C13" s="11" t="s">
        <v>135</v>
      </c>
      <c r="D13" s="9" t="s">
        <v>136</v>
      </c>
      <c r="E13" s="12" t="s">
        <v>137</v>
      </c>
      <c r="F13" s="12" t="s">
        <v>138</v>
      </c>
    </row>
    <row r="14" spans="1:10">
      <c r="B14" s="10"/>
      <c r="C14" s="10"/>
      <c r="D14" s="10"/>
      <c r="E14" s="10"/>
      <c r="F14" s="10"/>
      <c r="H14" s="13"/>
      <c r="I14" s="13"/>
      <c r="J14" s="13"/>
    </row>
    <row r="15" spans="1:10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140</v>
      </c>
      <c r="G15" s="1" t="s">
        <v>141</v>
      </c>
      <c r="H15" s="1" t="s">
        <v>437</v>
      </c>
      <c r="I15" s="13"/>
      <c r="J15" s="13"/>
    </row>
    <row r="16" spans="1:10">
      <c r="A16" s="3" t="s">
        <v>438</v>
      </c>
      <c r="B16" s="3" t="s">
        <v>439</v>
      </c>
      <c r="C16" s="3" t="s">
        <v>440</v>
      </c>
      <c r="D16" s="117" t="s">
        <v>441</v>
      </c>
      <c r="E16" s="3" t="s">
        <v>442</v>
      </c>
      <c r="F16" s="3" t="s">
        <v>443</v>
      </c>
      <c r="G16" s="3" t="s">
        <v>444</v>
      </c>
      <c r="H16" s="116" t="s">
        <v>445</v>
      </c>
      <c r="I16" s="13"/>
      <c r="J16" s="13"/>
    </row>
    <row r="17" spans="1:10">
      <c r="A17" s="3" t="str">
        <f>IF(F38="","G2(1stB)-",IF(F38&gt;H38,_xlfn.CONCAT("G2(1stB)-",RIGHT(E38,LEN(E38) - FIND("-",E38))), _xlfn.CONCAT("G2(1stB)-",RIGHT(G38,LEN(G38) - FIND("-",G38)))))</f>
        <v>G2(1stB)-NEWPORT</v>
      </c>
      <c r="B17" s="3" t="str">
        <f>IF(F50="","H2(1stE)-",IF(F50&gt;H50,_xlfn.CONCAT("H2(1stE)-",RIGHT(E50,LEN(E50) - FIND("-",E50))), _xlfn.CONCAT("H2(1stE)-",RIGHT(G50,LEN(G50) - FIND("-",G50)))))</f>
        <v>H2(1stE)-DEL MAR</v>
      </c>
      <c r="C17" s="3" t="str">
        <f>IF(F38="","I2(2ndB)-",IF(F38&lt;H38,_xlfn.CONCAT("I2(2ndB)-",RIGHT(E38,LEN(E38) - FIND("-",E38))), _xlfn.CONCAT("I2(2ndB)-",RIGHT(G38,LEN(G38) - FIND("-",G38)))))</f>
        <v>I2(2ndB)-SAN FRANCISCO</v>
      </c>
      <c r="D17" s="3" t="str">
        <f>IF(F50="","J2(2ndE)-",IF(F50&lt;H50,_xlfn.CONCAT("J2(2ndE-",RIGHT(E50,LEN(E50) - FIND("-",E50))), _xlfn.CONCAT("J2(2ndE-",RIGHT(G50,LEN(G50) - FIND("-",G50)))))</f>
        <v>J2(2ndE-SOCAL BLACK</v>
      </c>
      <c r="E17" s="3" t="str">
        <f>IF(F37="","K2(3rdB)-",IF(F37&gt;H37,_xlfn.CONCAT("K2(3rdB)-",RIGHT(E37,LEN(E37) - FIND("-",E37))), _xlfn.CONCAT("K2(3rdB)-",RIGHT(G37,LEN(G37) - FIND("-",G37)))))</f>
        <v>K2(3rdB)-IMPERIAL BLUE</v>
      </c>
      <c r="F17" s="3" t="str">
        <f>IF(F51="","L2(3rdE)-",IF(F51&gt;H51,_xlfn.CONCAT("L2(3rdE)-",RIGHT(E51,LEN(E51) - FIND("-",E51))), _xlfn.CONCAT("L2(3rdE)-",RIGHT(G51,LEN(G51) - FIND("-",G51)))))</f>
        <v>L2(3rdE)-ROSE BOWL RED</v>
      </c>
      <c r="G17" s="3" t="s">
        <v>446</v>
      </c>
      <c r="H17" s="116" t="s">
        <v>447</v>
      </c>
      <c r="I17" s="13"/>
      <c r="J17" s="13"/>
    </row>
    <row r="18" spans="1:10">
      <c r="A18" s="3" t="str">
        <f>IF(F34="","G3(1stC)-",IF(F34&gt;H34,_xlfn.CONCAT("G2(1stC)-",RIGHT(E34,LEN(E34) - FIND("-",E34))), _xlfn.CONCAT("G2(1stC)-",RIGHT(G34,LEN(G34) - FIND("-",G34)))))</f>
        <v>G2(1stC)-CC UNITED</v>
      </c>
      <c r="B18" s="3" t="str">
        <f>IF(F53="","H3(1stF)-",IF(F53&gt;H53,_xlfn.CONCAT("H3(1stF)-",RIGHT(E53,LEN(E53) - FIND("-",E53))), _xlfn.CONCAT("H3(1stF)-",RIGHT(G53,LEN(G53) - FIND("-",G53)))))</f>
        <v>H3(1stF)-CHANNEL ISLANDS UNITED GOLD</v>
      </c>
      <c r="C18" s="3" t="str">
        <f>IF(F34="","I3(2ndC)-",IF(F34&lt;H34,_xlfn.CONCAT("I3(2ndC)-",RIGHT(E34,LEN(E34) - FIND("-",E34))), _xlfn.CONCAT("I3(2ndC)-",RIGHT(G34,LEN(G34) - FIND("-",G34)))))</f>
        <v>I3(2ndC)-SD SHORES BLACK</v>
      </c>
      <c r="D18" s="3" t="str">
        <f>IF(F53="","J3(2ndF)-",IF(F53&lt;H53,_xlfn.CONCAT("J3(2ndF)-",RIGHT(E53,LEN(E53) - FIND("-",E53))), _xlfn.CONCAT("J3(2ndF)-",RIGHT(G53,LEN(G53) - FIND("-",G53)))))</f>
        <v>J3(2ndF)-TROJAN</v>
      </c>
      <c r="E18" s="3" t="str">
        <f>IF(F33="","K3(3rdC)-",IF(F33&gt;H33,_xlfn.CONCAT("K3(3rdC)-",RIGHT(E33,LEN(E33) - FIND("-",E33))), _xlfn.CONCAT("K3(3rdC)-",RIGHT(G33,LEN(G33) - FIND("-",G33)))))</f>
        <v>K3(3rdC)-CHAWP</v>
      </c>
      <c r="F18" s="3" t="str">
        <f>IF(F52="","L3(3rdF)-",IF(F52&gt;H52,_xlfn.CONCAT("L3(3rdF)-",RIGHT(E52,LEN(E52) - FIND("-",E52))), _xlfn.CONCAT("L3(3rdF)-",RIGHT(G52,LEN(G52) - FIND("-",G52)))))</f>
        <v>L3(3rdF)-PATRIOT</v>
      </c>
      <c r="G18" s="3" t="s">
        <v>448</v>
      </c>
      <c r="H18" s="116" t="s">
        <v>449</v>
      </c>
      <c r="I18" s="13"/>
      <c r="J18" s="13"/>
    </row>
    <row r="19" spans="1:10">
      <c r="A19" s="3" t="s">
        <v>150</v>
      </c>
      <c r="B19" s="3" t="s">
        <v>150</v>
      </c>
      <c r="C19" s="3" t="s">
        <v>150</v>
      </c>
      <c r="D19" s="3" t="s">
        <v>150</v>
      </c>
      <c r="E19" s="3" t="s">
        <v>150</v>
      </c>
      <c r="F19" s="3" t="s">
        <v>150</v>
      </c>
      <c r="G19" s="3" t="s">
        <v>150</v>
      </c>
      <c r="H19" s="3" t="s">
        <v>150</v>
      </c>
      <c r="I19" s="13"/>
      <c r="J19" s="13"/>
    </row>
    <row r="20" spans="1:10">
      <c r="G20" s="105"/>
      <c r="H20" s="13"/>
      <c r="I20" s="13"/>
      <c r="J20" s="13"/>
    </row>
    <row r="21" spans="1:10">
      <c r="A21" s="1" t="s">
        <v>94</v>
      </c>
      <c r="B21" s="1" t="s">
        <v>95</v>
      </c>
      <c r="C21" s="1" t="s">
        <v>96</v>
      </c>
      <c r="H21" s="13"/>
      <c r="I21" s="13"/>
      <c r="J21" s="13"/>
    </row>
    <row r="22" spans="1:10">
      <c r="A22" s="3" t="s">
        <v>450</v>
      </c>
      <c r="B22" s="3" t="s">
        <v>451</v>
      </c>
      <c r="C22" s="3" t="s">
        <v>452</v>
      </c>
      <c r="H22" s="13"/>
      <c r="I22" s="13"/>
      <c r="J22" s="13"/>
    </row>
    <row r="23" spans="1:10">
      <c r="A23" s="3" t="s">
        <v>453</v>
      </c>
      <c r="B23" s="3" t="s">
        <v>454</v>
      </c>
      <c r="C23" s="3" t="s">
        <v>455</v>
      </c>
      <c r="J23" s="13"/>
    </row>
    <row r="24" spans="1:10">
      <c r="A24" s="14"/>
      <c r="B24" s="14"/>
      <c r="C24" s="14"/>
      <c r="D24" s="14"/>
      <c r="E24" s="14"/>
      <c r="F24" s="14"/>
      <c r="G24" s="14"/>
      <c r="H24" s="15"/>
      <c r="I24" s="15"/>
      <c r="J24" s="15"/>
    </row>
    <row r="25" spans="1:10">
      <c r="A25" s="16"/>
      <c r="H25" s="13"/>
      <c r="I25" s="13"/>
      <c r="J25" s="13"/>
    </row>
    <row r="26" spans="1:10" s="10" customFormat="1">
      <c r="A26" s="1" t="s">
        <v>251</v>
      </c>
      <c r="B26" s="17" t="s">
        <v>252</v>
      </c>
      <c r="C26" s="1" t="s">
        <v>253</v>
      </c>
      <c r="D26" s="1" t="s">
        <v>254</v>
      </c>
      <c r="E26" s="1" t="s">
        <v>255</v>
      </c>
      <c r="F26" s="1" t="s">
        <v>256</v>
      </c>
      <c r="G26" s="1" t="s">
        <v>257</v>
      </c>
      <c r="H26" s="1" t="s">
        <v>256</v>
      </c>
      <c r="I26" s="1" t="s">
        <v>258</v>
      </c>
      <c r="J26" s="1" t="s">
        <v>259</v>
      </c>
    </row>
    <row r="27" spans="1:10">
      <c r="A27" s="18">
        <v>45724</v>
      </c>
      <c r="B27" s="19">
        <f>CHICLETS!D4</f>
        <v>0.33333333333333331</v>
      </c>
      <c r="C27" s="20" t="str">
        <f>CHICLETS!$F$3</f>
        <v>EL TORO HS</v>
      </c>
      <c r="D27" s="21" t="s">
        <v>182</v>
      </c>
      <c r="E27" s="21" t="str">
        <f>C10</f>
        <v>5-CC UNITED</v>
      </c>
      <c r="F27" s="21">
        <v>12</v>
      </c>
      <c r="G27" s="114" t="str">
        <f>C13</f>
        <v>20-FOOTHILL RED</v>
      </c>
      <c r="H27" s="8">
        <v>7</v>
      </c>
      <c r="I27" s="8" t="s">
        <v>456</v>
      </c>
      <c r="J27" s="21" t="s">
        <v>457</v>
      </c>
    </row>
    <row r="28" spans="1:10">
      <c r="A28" s="18">
        <v>45724</v>
      </c>
      <c r="B28" s="19">
        <f>CHICLETS!D5</f>
        <v>0.375</v>
      </c>
      <c r="C28" s="20" t="str">
        <f>CHICLETS!$F$3</f>
        <v>EL TORO HS</v>
      </c>
      <c r="D28" s="21" t="s">
        <v>188</v>
      </c>
      <c r="E28" s="21" t="str">
        <f>C11</f>
        <v>8-SD SHORES BLACK</v>
      </c>
      <c r="F28" s="21">
        <v>12</v>
      </c>
      <c r="G28" s="21" t="str">
        <f>C12</f>
        <v>17-CHAWP</v>
      </c>
      <c r="H28" s="8">
        <v>11</v>
      </c>
      <c r="I28" s="8" t="s">
        <v>458</v>
      </c>
      <c r="J28" s="21" t="s">
        <v>457</v>
      </c>
    </row>
    <row r="29" spans="1:10">
      <c r="A29" s="18">
        <v>45724</v>
      </c>
      <c r="B29" s="19">
        <f>CHICLETS!D6</f>
        <v>0.41666666666666702</v>
      </c>
      <c r="C29" s="20" t="str">
        <f>CHICLETS!$F$3</f>
        <v>EL TORO HS</v>
      </c>
      <c r="D29" s="21" t="s">
        <v>192</v>
      </c>
      <c r="E29" s="21" t="str">
        <f>A10</f>
        <v>1-LAMORINDA</v>
      </c>
      <c r="F29" s="21">
        <v>19</v>
      </c>
      <c r="G29" s="21" t="str">
        <f>A13</f>
        <v>24-NORTH IRVINE VEGAS</v>
      </c>
      <c r="H29" s="8">
        <v>8</v>
      </c>
      <c r="I29" s="8" t="s">
        <v>459</v>
      </c>
      <c r="J29" s="21" t="s">
        <v>457</v>
      </c>
    </row>
    <row r="30" spans="1:10">
      <c r="A30" s="18">
        <v>45724</v>
      </c>
      <c r="B30" s="19">
        <f>CHICLETS!D6</f>
        <v>0.41666666666666702</v>
      </c>
      <c r="C30" s="20" t="str">
        <f>CHICLETS!$H$3</f>
        <v>MARINA HS</v>
      </c>
      <c r="D30" s="21" t="s">
        <v>177</v>
      </c>
      <c r="E30" s="21" t="str">
        <f>B11</f>
        <v>9-SAN FRANCISCO</v>
      </c>
      <c r="F30" s="21">
        <v>13</v>
      </c>
      <c r="G30" s="21" t="str">
        <f>B12</f>
        <v>16-IMPERIAL BLUE</v>
      </c>
      <c r="H30" s="8">
        <v>12</v>
      </c>
      <c r="I30" s="8" t="s">
        <v>460</v>
      </c>
      <c r="J30" s="21" t="s">
        <v>457</v>
      </c>
    </row>
    <row r="31" spans="1:10">
      <c r="A31" s="18">
        <v>45724</v>
      </c>
      <c r="B31" s="19">
        <f>CHICLETS!D7</f>
        <v>0.45833333333333298</v>
      </c>
      <c r="C31" s="20" t="str">
        <f>CHICLETS!$F$3</f>
        <v>EL TORO HS</v>
      </c>
      <c r="D31" s="21" t="s">
        <v>197</v>
      </c>
      <c r="E31" s="21" t="str">
        <f>A11</f>
        <v>12-LA PREMIER</v>
      </c>
      <c r="F31" s="21">
        <v>8</v>
      </c>
      <c r="G31" s="21" t="str">
        <f>A12</f>
        <v>13-VANGUARD BLUE</v>
      </c>
      <c r="H31" s="8">
        <v>13</v>
      </c>
      <c r="I31" s="8" t="s">
        <v>461</v>
      </c>
      <c r="J31" s="21" t="s">
        <v>457</v>
      </c>
    </row>
    <row r="32" spans="1:10">
      <c r="A32" s="18">
        <v>45724</v>
      </c>
      <c r="B32" s="19">
        <f>CHICLETS!D7</f>
        <v>0.45833333333333298</v>
      </c>
      <c r="C32" s="20" t="str">
        <f>CHICLETS!$G$3</f>
        <v>WESTMINSTER HS</v>
      </c>
      <c r="D32" s="21" t="s">
        <v>202</v>
      </c>
      <c r="E32" s="114" t="str">
        <f>B10</f>
        <v>4-NEWPORT</v>
      </c>
      <c r="F32" s="21">
        <v>10</v>
      </c>
      <c r="G32" s="21" t="str">
        <f>B13</f>
        <v>21-ORANGE COUNTY WPC BLUE</v>
      </c>
      <c r="H32" s="8">
        <v>5</v>
      </c>
      <c r="I32" s="8" t="s">
        <v>462</v>
      </c>
      <c r="J32" s="21" t="s">
        <v>457</v>
      </c>
    </row>
    <row r="33" spans="1:10">
      <c r="A33" s="18">
        <v>45724</v>
      </c>
      <c r="B33" s="19">
        <f>CHICLETS!D8</f>
        <v>0.5</v>
      </c>
      <c r="C33" s="20" t="str">
        <f>CHICLETS!$F$3</f>
        <v>EL TORO HS</v>
      </c>
      <c r="D33" s="21" t="s">
        <v>184</v>
      </c>
      <c r="E33" s="114" t="str">
        <f>IF(F27="","L#1-",IF(F27&lt;H27,_xlfn.CONCAT("L#1-",RIGHT(E27,LEN(E27) - FIND("-",E27))), _xlfn.CONCAT("L#1-",RIGHT(G27,LEN(G27) - FIND("-",G27)))))</f>
        <v>L#1-FOOTHILL RED</v>
      </c>
      <c r="F33" s="21">
        <v>6</v>
      </c>
      <c r="G33" s="21" t="str">
        <f>IF(F28="","L#3-",IF(F28&lt;H28,_xlfn.CONCAT("L#3-",RIGHT(E28,LEN(E28) - FIND("-",E28))), _xlfn.CONCAT("L#3-",RIGHT(G28,LEN(G28) - FIND("-",G28)))))</f>
        <v>L#3-CHAWP</v>
      </c>
      <c r="H33" s="8">
        <v>11</v>
      </c>
      <c r="I33" s="8" t="s">
        <v>463</v>
      </c>
      <c r="J33" s="21" t="s">
        <v>457</v>
      </c>
    </row>
    <row r="34" spans="1:10">
      <c r="A34" s="18">
        <v>45724</v>
      </c>
      <c r="B34" s="19">
        <f>CHICLETS!D9</f>
        <v>0.54166666666666696</v>
      </c>
      <c r="C34" s="20" t="str">
        <f>CHICLETS!$F$3</f>
        <v>EL TORO HS</v>
      </c>
      <c r="D34" s="21" t="s">
        <v>189</v>
      </c>
      <c r="E34" s="21" t="str">
        <f>IF(F27="","W#1-",IF(F27&gt;H27,_xlfn.CONCAT("W#1-",RIGHT(E27,LEN(E27) - FIND("-",E27))), _xlfn.CONCAT("W#1-",RIGHT(G27,LEN(G27) - FIND("-",G27)))))</f>
        <v>W#1-CC UNITED</v>
      </c>
      <c r="F34" s="21">
        <v>14</v>
      </c>
      <c r="G34" s="21" t="str">
        <f>IF(F28="","W#3-",IF(F28&gt;H28,_xlfn.CONCAT("W#3-",RIGHT(E28,LEN(E28) - FIND("-",E28))), _xlfn.CONCAT("W#3-",RIGHT(G28,LEN(G28) - FIND("-",G28)))))</f>
        <v>W#3-SD SHORES BLACK</v>
      </c>
      <c r="H34" s="8">
        <v>12</v>
      </c>
      <c r="I34" s="8" t="s">
        <v>464</v>
      </c>
      <c r="J34" s="21" t="s">
        <v>457</v>
      </c>
    </row>
    <row r="35" spans="1:10">
      <c r="A35" s="18">
        <v>45724</v>
      </c>
      <c r="B35" s="19">
        <f>CHICLETS!D10</f>
        <v>0.58333333333333304</v>
      </c>
      <c r="C35" s="20" t="str">
        <f>CHICLETS!$F$3</f>
        <v>EL TORO HS</v>
      </c>
      <c r="D35" s="21" t="s">
        <v>194</v>
      </c>
      <c r="E35" s="21" t="s">
        <v>465</v>
      </c>
      <c r="F35" s="21">
        <v>8</v>
      </c>
      <c r="G35" s="21" t="s">
        <v>466</v>
      </c>
      <c r="H35" s="8">
        <v>9</v>
      </c>
      <c r="I35" s="8" t="s">
        <v>467</v>
      </c>
      <c r="J35" s="21" t="s">
        <v>457</v>
      </c>
    </row>
    <row r="36" spans="1:10">
      <c r="A36" s="18">
        <v>45724</v>
      </c>
      <c r="B36" s="19">
        <f>CHICLETS!D11</f>
        <v>0.625</v>
      </c>
      <c r="C36" s="20" t="str">
        <f>CHICLETS!$F$3</f>
        <v>EL TORO HS</v>
      </c>
      <c r="D36" s="21" t="s">
        <v>198</v>
      </c>
      <c r="E36" s="21" t="s">
        <v>468</v>
      </c>
      <c r="F36" s="21">
        <v>12</v>
      </c>
      <c r="G36" s="21" t="s">
        <v>469</v>
      </c>
      <c r="H36" s="8">
        <v>5</v>
      </c>
      <c r="I36" s="8" t="s">
        <v>470</v>
      </c>
      <c r="J36" s="21" t="s">
        <v>457</v>
      </c>
    </row>
    <row r="37" spans="1:10">
      <c r="A37" s="18">
        <v>45724</v>
      </c>
      <c r="B37" s="19">
        <f>CHICLETS!D12</f>
        <v>0.66666666666666696</v>
      </c>
      <c r="C37" s="20" t="str">
        <f>CHICLETS!$F$3</f>
        <v>EL TORO HS</v>
      </c>
      <c r="D37" s="21" t="s">
        <v>181</v>
      </c>
      <c r="E37" s="21" t="str">
        <f>IF(F32="","L#9-",IF(F32&lt;H32,_xlfn.CONCAT("L#9-",RIGHT(E32,LEN(E32) - FIND("-",E32))), _xlfn.CONCAT("L#9-",RIGHT(G32,LEN(G32) - FIND("-",G32)))))</f>
        <v>L#9-ORANGE COUNTY WPC BLUE</v>
      </c>
      <c r="F37" s="21">
        <v>7</v>
      </c>
      <c r="G37" s="21" t="str">
        <f>IF(F30="","L#11-",IF(F30&lt;H30,_xlfn.CONCAT("L#11-",RIGHT(E30,LEN(E30) - FIND("-",E30))), _xlfn.CONCAT("L#11-",RIGHT(G30,LEN(G30) - FIND("-",G30)))))</f>
        <v>L#11-IMPERIAL BLUE</v>
      </c>
      <c r="H37" s="8">
        <v>11</v>
      </c>
      <c r="I37" s="8" t="s">
        <v>471</v>
      </c>
      <c r="J37" s="21" t="s">
        <v>457</v>
      </c>
    </row>
    <row r="38" spans="1:10">
      <c r="A38" s="18">
        <v>45724</v>
      </c>
      <c r="B38" s="19">
        <f>CHICLETS!D13</f>
        <v>0.70833333333333304</v>
      </c>
      <c r="C38" s="20" t="str">
        <f>CHICLETS!$F$3</f>
        <v>EL TORO HS</v>
      </c>
      <c r="D38" s="21" t="s">
        <v>183</v>
      </c>
      <c r="E38" s="114" t="str">
        <f>IF(F32="","W#9-",IF(F32&gt;H32,_xlfn.CONCAT("W#9-",RIGHT(E32,LEN(E32) - FIND("-",E32))), _xlfn.CONCAT("W#9-",RIGHT(G32,LEN(G32) - FIND("-",G32)))))</f>
        <v>W#9-NEWPORT</v>
      </c>
      <c r="F38" s="21">
        <v>14</v>
      </c>
      <c r="G38" s="21" t="str">
        <f>IF(F30="","W#11-",IF(F30&gt;H30,_xlfn.CONCAT("W#11-",RIGHT(E30,LEN(E30) - FIND("-",E30))), _xlfn.CONCAT("W#11-",RIGHT(G30,LEN(G30) - FIND("-",G30)))))</f>
        <v>W#11-SAN FRANCISCO</v>
      </c>
      <c r="H38" s="8">
        <v>10</v>
      </c>
      <c r="I38" s="8" t="s">
        <v>472</v>
      </c>
      <c r="J38" s="21" t="s">
        <v>457</v>
      </c>
    </row>
    <row r="39" spans="1:10">
      <c r="A39" s="18">
        <v>45724</v>
      </c>
      <c r="B39" s="19">
        <f>CHICLETS!D14</f>
        <v>0.75</v>
      </c>
      <c r="C39" s="20" t="str">
        <f>CHICLETS!$F$3</f>
        <v>EL TORO HS</v>
      </c>
      <c r="D39" s="21" t="s">
        <v>201</v>
      </c>
      <c r="E39" s="35" t="str">
        <f>A16</f>
        <v>G1(1stA)-LAMORINDA</v>
      </c>
      <c r="F39" s="35">
        <v>14</v>
      </c>
      <c r="G39" s="35" t="str">
        <f>A18</f>
        <v>G2(1stC)-CC UNITED</v>
      </c>
      <c r="H39" s="35">
        <v>13</v>
      </c>
      <c r="I39" s="8" t="s">
        <v>473</v>
      </c>
      <c r="J39" s="21" t="s">
        <v>457</v>
      </c>
    </row>
    <row r="40" spans="1:10">
      <c r="A40" s="16"/>
      <c r="J40" s="13"/>
    </row>
    <row r="41" spans="1:10">
      <c r="A41" s="16"/>
      <c r="B41" s="16"/>
      <c r="J41" s="13"/>
    </row>
    <row r="42" spans="1:10">
      <c r="A42" s="23">
        <v>45724</v>
      </c>
      <c r="B42" s="24">
        <f>CHICLETS!D4</f>
        <v>0.33333333333333331</v>
      </c>
      <c r="C42" s="25" t="str">
        <f>CHICLETS!$H$3</f>
        <v>MARINA HS</v>
      </c>
      <c r="D42" s="81" t="s">
        <v>186</v>
      </c>
      <c r="E42" s="27" t="str">
        <f>D10</f>
        <v>2-NORTH IRVINE BEAST BOYS</v>
      </c>
      <c r="F42" s="27">
        <v>18</v>
      </c>
      <c r="G42" s="27" t="str">
        <f>D13</f>
        <v>23-TEXAS THUNDER</v>
      </c>
      <c r="H42" s="27">
        <v>7</v>
      </c>
      <c r="I42" s="9" t="s">
        <v>474</v>
      </c>
      <c r="J42" s="26" t="s">
        <v>457</v>
      </c>
    </row>
    <row r="43" spans="1:10">
      <c r="A43" s="23">
        <v>45724</v>
      </c>
      <c r="B43" s="24">
        <f>CHICLETS!D5</f>
        <v>0.375</v>
      </c>
      <c r="C43" s="25" t="str">
        <f>CHICLETS!$H$3</f>
        <v>MARINA HS</v>
      </c>
      <c r="D43" s="81" t="s">
        <v>190</v>
      </c>
      <c r="E43" s="27" t="str">
        <f>D11</f>
        <v>11-STANFORD</v>
      </c>
      <c r="F43" s="27">
        <v>14</v>
      </c>
      <c r="G43" s="27" t="str">
        <f>D12</f>
        <v>14-LA JOLLA UNITED NAVY</v>
      </c>
      <c r="H43" s="27">
        <v>6</v>
      </c>
      <c r="I43" s="9" t="s">
        <v>475</v>
      </c>
      <c r="J43" s="26" t="s">
        <v>457</v>
      </c>
    </row>
    <row r="44" spans="1:10">
      <c r="A44" s="23">
        <v>45724</v>
      </c>
      <c r="B44" s="24">
        <f>CHICLETS!D5</f>
        <v>0.375</v>
      </c>
      <c r="C44" s="25" t="str">
        <f>CHICLETS!$I$3</f>
        <v>TUSTIN HS</v>
      </c>
      <c r="D44" s="12" t="s">
        <v>199</v>
      </c>
      <c r="E44" s="9" t="str">
        <f>E11</f>
        <v>10-SOCAL BLACK</v>
      </c>
      <c r="F44" s="9">
        <v>14</v>
      </c>
      <c r="G44" s="9" t="str">
        <f>E12</f>
        <v>15-DIABLO RED</v>
      </c>
      <c r="H44" s="9">
        <v>6</v>
      </c>
      <c r="I44" s="9" t="s">
        <v>476</v>
      </c>
      <c r="J44" s="26" t="s">
        <v>457</v>
      </c>
    </row>
    <row r="45" spans="1:10">
      <c r="A45" s="23">
        <v>45724</v>
      </c>
      <c r="B45" s="24">
        <f>CHICLETS!D6</f>
        <v>0.41666666666666702</v>
      </c>
      <c r="C45" s="25" t="str">
        <f>CHICLETS!$I$3</f>
        <v>TUSTIN HS</v>
      </c>
      <c r="D45" s="12" t="s">
        <v>195</v>
      </c>
      <c r="E45" s="27" t="str">
        <f>E10</f>
        <v>3-DEL MAR</v>
      </c>
      <c r="F45" s="27">
        <v>13</v>
      </c>
      <c r="G45" s="27" t="str">
        <f>E13</f>
        <v>22-ROSE BOWL RED</v>
      </c>
      <c r="H45" s="27">
        <v>5</v>
      </c>
      <c r="I45" s="9" t="s">
        <v>477</v>
      </c>
      <c r="J45" s="26" t="s">
        <v>457</v>
      </c>
    </row>
    <row r="46" spans="1:10">
      <c r="A46" s="23">
        <v>45724</v>
      </c>
      <c r="B46" s="24">
        <f>CHICLETS!D7</f>
        <v>0.45833333333333298</v>
      </c>
      <c r="C46" s="25" t="str">
        <f>CHICLETS!$I$3</f>
        <v>TUSTIN HS</v>
      </c>
      <c r="D46" s="12" t="s">
        <v>178</v>
      </c>
      <c r="E46" s="9" t="str">
        <f>F10</f>
        <v>6-CHANNEL ISLANDS UNITED GOLD</v>
      </c>
      <c r="F46" s="9">
        <v>10</v>
      </c>
      <c r="G46" s="9" t="str">
        <f>F13</f>
        <v>19-MONARCHY</v>
      </c>
      <c r="H46" s="9">
        <v>4</v>
      </c>
      <c r="I46" s="9" t="s">
        <v>361</v>
      </c>
      <c r="J46" s="26" t="s">
        <v>457</v>
      </c>
    </row>
    <row r="47" spans="1:10">
      <c r="A47" s="23">
        <v>45724</v>
      </c>
      <c r="B47" s="24">
        <f>CHICLETS!D8</f>
        <v>0.5</v>
      </c>
      <c r="C47" s="25" t="str">
        <f>CHICLETS!$I$3</f>
        <v>TUSTIN HS</v>
      </c>
      <c r="D47" s="12" t="s">
        <v>180</v>
      </c>
      <c r="E47" s="27" t="str">
        <f>F11</f>
        <v>7-TROJAN</v>
      </c>
      <c r="F47" s="27">
        <v>12</v>
      </c>
      <c r="G47" s="27" t="str">
        <f>F12</f>
        <v>18-PATRIOT</v>
      </c>
      <c r="H47" s="27">
        <v>10</v>
      </c>
      <c r="I47" s="9" t="s">
        <v>365</v>
      </c>
      <c r="J47" s="26" t="s">
        <v>457</v>
      </c>
    </row>
    <row r="48" spans="1:10">
      <c r="A48" s="23">
        <v>45724</v>
      </c>
      <c r="B48" s="24">
        <f>CHICLETS!D9</f>
        <v>0.54166666666666696</v>
      </c>
      <c r="C48" s="25" t="str">
        <f>CHICLETS!$I$3</f>
        <v>TUSTIN HS</v>
      </c>
      <c r="D48" s="81" t="s">
        <v>187</v>
      </c>
      <c r="E48" s="9" t="str">
        <f>IF(F42="","L#2-",IF(F42&lt;H42,_xlfn.CONCAT("L#2-",RIGHT(E42,LEN(E42) - FIND("-",E42))), _xlfn.CONCAT("L#2-",RIGHT(G42,LEN(G42) - FIND("-",G42)))))</f>
        <v>L#2-TEXAS THUNDER</v>
      </c>
      <c r="F48" s="9">
        <v>5.5</v>
      </c>
      <c r="G48" s="9" t="str">
        <f>IF(H43="","L#4-",IF(F43&lt;H43,_xlfn.CONCAT("L#4-",RIGHT(E43,LEN(E43) - FIND("-",E43))), _xlfn.CONCAT("L#4-",RIGHT(G43,LEN(G43) - FIND("-",G43)))))</f>
        <v>L#4-LA JOLLA UNITED NAVY</v>
      </c>
      <c r="H48" s="9">
        <v>5.4</v>
      </c>
      <c r="I48" s="9" t="s">
        <v>478</v>
      </c>
      <c r="J48" s="26" t="s">
        <v>457</v>
      </c>
    </row>
    <row r="49" spans="1:10">
      <c r="A49" s="23">
        <v>45724</v>
      </c>
      <c r="B49" s="24">
        <f>CHICLETS!D10</f>
        <v>0.58333333333333304</v>
      </c>
      <c r="C49" s="25" t="str">
        <f>CHICLETS!$I$3</f>
        <v>TUSTIN HS</v>
      </c>
      <c r="D49" s="81" t="s">
        <v>191</v>
      </c>
      <c r="E49" s="9" t="str">
        <f>IF(F42="","W#2-",IF(F42&gt;H42,_xlfn.CONCAT("W#2-",RIGHT(E42,LEN(E42) - FIND("-",E42))), _xlfn.CONCAT("W#2-",RIGHT(G42,LEN(G42) - FIND("-",G42)))))</f>
        <v>W#2-NORTH IRVINE BEAST BOYS</v>
      </c>
      <c r="F49" s="9">
        <v>10</v>
      </c>
      <c r="G49" s="9" t="str">
        <f>IF(H43="","W#4-",IF(F43&gt;H43,_xlfn.CONCAT("W#4-",RIGHT(E43,LEN(E43) - FIND("-",E43))), _xlfn.CONCAT("W#4-",RIGHT(G43,LEN(G43) - FIND("-",G43)))))</f>
        <v>W#4-STANFORD</v>
      </c>
      <c r="H49" s="9">
        <v>13</v>
      </c>
      <c r="I49" s="9" t="s">
        <v>479</v>
      </c>
      <c r="J49" s="26" t="s">
        <v>457</v>
      </c>
    </row>
    <row r="50" spans="1:10">
      <c r="A50" s="23">
        <v>45724</v>
      </c>
      <c r="B50" s="24">
        <f>CHICLETS!D11</f>
        <v>0.625</v>
      </c>
      <c r="C50" s="25" t="str">
        <f>CHICLETS!$I$3</f>
        <v>TUSTIN HS</v>
      </c>
      <c r="D50" s="12" t="s">
        <v>179</v>
      </c>
      <c r="E50" s="9" t="str">
        <f>IF(F45="","W#6-",IF(F45&gt;H45,_xlfn.CONCAT("W#6-",RIGHT(E45,LEN(E45) - FIND("-",E45))), _xlfn.CONCAT("W#6-",RIGHT(G45,LEN(G45) - FIND("-",G45)))))</f>
        <v>W#6-DEL MAR</v>
      </c>
      <c r="F50" s="27">
        <v>10</v>
      </c>
      <c r="G50" s="9" t="str">
        <f>IF(H44="","W#8-",IF(F44&gt;H44,_xlfn.CONCAT("W#8-",RIGHT(E44,LEN(E44) - FIND("-",E44))), _xlfn.CONCAT("W#8-",RIGHT(G44,LEN(G44) - FIND("-",G44)))))</f>
        <v>W#8-SOCAL BLACK</v>
      </c>
      <c r="H50" s="27">
        <v>9</v>
      </c>
      <c r="I50" s="9" t="s">
        <v>480</v>
      </c>
      <c r="J50" s="26" t="s">
        <v>457</v>
      </c>
    </row>
    <row r="51" spans="1:10">
      <c r="A51" s="23">
        <v>45724</v>
      </c>
      <c r="B51" s="24">
        <f>CHICLETS!D13</f>
        <v>0.70833333333333304</v>
      </c>
      <c r="C51" s="25" t="str">
        <f>CHICLETS!$G$3</f>
        <v>WESTMINSTER HS</v>
      </c>
      <c r="D51" s="12" t="s">
        <v>196</v>
      </c>
      <c r="E51" s="9" t="str">
        <f>IF(F45="","L#6-",IF(F45&lt;H45,_xlfn.CONCAT("L#6-",RIGHT(E45,LEN(E45) - FIND("-",E45))), _xlfn.CONCAT("L#6-",RIGHT(G45,LEN(G45) - FIND("-",G45)))))</f>
        <v>L#6-ROSE BOWL RED</v>
      </c>
      <c r="F51" s="9">
        <v>14</v>
      </c>
      <c r="G51" s="9" t="str">
        <f>IF(H44="","L#8-",IF(F44&lt;H44,_xlfn.CONCAT("L#8-",RIGHT(E44,LEN(E44) - FIND("-",E44))), _xlfn.CONCAT("L#8-",RIGHT(G44,LEN(G44) - FIND("-",G44)))))</f>
        <v>L#8-DIABLO RED</v>
      </c>
      <c r="H51" s="9">
        <v>10</v>
      </c>
      <c r="I51" s="9" t="s">
        <v>481</v>
      </c>
      <c r="J51" s="26" t="s">
        <v>457</v>
      </c>
    </row>
    <row r="52" spans="1:10">
      <c r="A52" s="23">
        <v>45724</v>
      </c>
      <c r="B52" s="24">
        <f>CHICLETS!D12</f>
        <v>0.66666666666666696</v>
      </c>
      <c r="C52" s="25" t="str">
        <f>CHICLETS!$I$3</f>
        <v>TUSTIN HS</v>
      </c>
      <c r="D52" s="12" t="s">
        <v>185</v>
      </c>
      <c r="E52" s="9" t="str">
        <f>IF(F46="","L#10-",IF(F46&lt;H46,_xlfn.CONCAT("L#10-",RIGHT(E46,LEN(E46) - FIND("-",E46))), _xlfn.CONCAT("L#10-",RIGHT(G46,LEN(G46) - FIND("-",G46)))))</f>
        <v>L#10-MONARCHY</v>
      </c>
      <c r="F52" s="27">
        <v>10.3</v>
      </c>
      <c r="G52" s="9" t="str">
        <f>IF(H47="","L#12-",IF(F47&lt;H47,_xlfn.CONCAT("L#12-",RIGHT(E47,LEN(E47) - FIND("-",E47))), _xlfn.CONCAT("L#12-",RIGHT(G47,LEN(G47) - FIND("-",G47)))))</f>
        <v>L#12-PATRIOT</v>
      </c>
      <c r="H52" s="27">
        <v>10.4</v>
      </c>
      <c r="I52" s="9" t="s">
        <v>482</v>
      </c>
      <c r="J52" s="26" t="s">
        <v>457</v>
      </c>
    </row>
    <row r="53" spans="1:10">
      <c r="A53" s="23">
        <v>45724</v>
      </c>
      <c r="B53" s="24">
        <f>CHICLETS!D13</f>
        <v>0.70833333333333304</v>
      </c>
      <c r="C53" s="25" t="str">
        <f>CHICLETS!$I$3</f>
        <v>TUSTIN HS</v>
      </c>
      <c r="D53" s="12" t="s">
        <v>193</v>
      </c>
      <c r="E53" s="9" t="str">
        <f>IF(F46="","W#10-",IF(F46&gt;H46,_xlfn.CONCAT("W#10-",RIGHT(E46,LEN(E46) - FIND("-",E46))), _xlfn.CONCAT("W#10-",RIGHT(G46,LEN(G46) - FIND("-",G46)))))</f>
        <v>W#10-CHANNEL ISLANDS UNITED GOLD</v>
      </c>
      <c r="F53" s="27">
        <v>9</v>
      </c>
      <c r="G53" s="9" t="str">
        <f>IF(H47="","W#12-",IF(F47&gt;H47,_xlfn.CONCAT("W#12-",RIGHT(E47,LEN(E47) - FIND("-",E47))), _xlfn.CONCAT("W#12-",RIGHT(G47,LEN(G47) - FIND("-",G47)))))</f>
        <v>W#12-TROJAN</v>
      </c>
      <c r="H53" s="27">
        <v>8</v>
      </c>
      <c r="I53" s="9" t="s">
        <v>483</v>
      </c>
      <c r="J53" s="26" t="s">
        <v>457</v>
      </c>
    </row>
    <row r="54" spans="1:10">
      <c r="A54" s="23">
        <v>45724</v>
      </c>
      <c r="B54" s="24">
        <f>CHICLETS!D14</f>
        <v>0.75</v>
      </c>
      <c r="C54" s="25" t="str">
        <f>CHICLETS!$I$3</f>
        <v>TUSTIN HS</v>
      </c>
      <c r="D54" s="12" t="s">
        <v>200</v>
      </c>
      <c r="E54" s="27" t="str">
        <f>B16</f>
        <v>H1(1stD)-STANFORD</v>
      </c>
      <c r="F54" s="27">
        <v>13</v>
      </c>
      <c r="G54" s="27" t="str">
        <f>B17</f>
        <v>H2(1stE)-DEL MAR</v>
      </c>
      <c r="H54" s="27">
        <v>12</v>
      </c>
      <c r="I54" s="9" t="s">
        <v>484</v>
      </c>
      <c r="J54" s="26" t="s">
        <v>457</v>
      </c>
    </row>
    <row r="55" spans="1:10">
      <c r="A55" s="28"/>
      <c r="B55" s="29"/>
      <c r="C55" s="13"/>
      <c r="H55" s="13"/>
      <c r="I55" s="13"/>
      <c r="J55" s="13"/>
    </row>
    <row r="56" spans="1:10">
      <c r="A56" s="30"/>
      <c r="B56" s="31"/>
      <c r="C56" s="15"/>
      <c r="D56" s="15"/>
      <c r="E56" s="32"/>
      <c r="F56" s="32"/>
      <c r="G56" s="32"/>
      <c r="H56" s="32"/>
      <c r="I56" s="32"/>
      <c r="J56" s="32"/>
    </row>
    <row r="57" spans="1:10">
      <c r="A57" s="33"/>
      <c r="B57" s="34"/>
      <c r="C57" s="34"/>
      <c r="D57" s="34"/>
      <c r="E57" s="34"/>
      <c r="F57" s="34"/>
      <c r="G57" s="34"/>
      <c r="H57" s="34"/>
      <c r="I57" s="34"/>
      <c r="J57" s="34"/>
    </row>
    <row r="58" spans="1:10">
      <c r="A58" s="18">
        <v>45725</v>
      </c>
      <c r="B58" s="19">
        <f>CHICLETS!D22</f>
        <v>0.33333333333333331</v>
      </c>
      <c r="C58" s="20" t="str">
        <f>CHICLETS!$I$21</f>
        <v>TUSTIN HS</v>
      </c>
      <c r="D58" s="21" t="s">
        <v>203</v>
      </c>
      <c r="E58" s="35" t="str">
        <f>C16</f>
        <v>I1(2ndA)-VANGUARD BLUE</v>
      </c>
      <c r="F58" s="35">
        <v>6</v>
      </c>
      <c r="G58" s="35" t="str">
        <f>C18</f>
        <v>I3(2ndC)-SD SHORES BLACK</v>
      </c>
      <c r="H58" s="35">
        <v>7</v>
      </c>
      <c r="I58" s="8" t="s">
        <v>485</v>
      </c>
      <c r="J58" s="21" t="s">
        <v>457</v>
      </c>
    </row>
    <row r="59" spans="1:10">
      <c r="A59" s="18">
        <v>45725</v>
      </c>
      <c r="B59" s="19">
        <f>CHICLETS!D23</f>
        <v>0.375</v>
      </c>
      <c r="C59" s="20" t="str">
        <f>CHICLETS!$I$21</f>
        <v>TUSTIN HS</v>
      </c>
      <c r="D59" s="21" t="s">
        <v>205</v>
      </c>
      <c r="E59" s="35" t="str">
        <f>A16</f>
        <v>G1(1stA)-LAMORINDA</v>
      </c>
      <c r="F59" s="35">
        <v>6</v>
      </c>
      <c r="G59" s="35" t="str">
        <f>A17</f>
        <v>G2(1stB)-NEWPORT</v>
      </c>
      <c r="H59" s="35">
        <v>7</v>
      </c>
      <c r="I59" s="8" t="s">
        <v>486</v>
      </c>
      <c r="J59" s="21" t="s">
        <v>457</v>
      </c>
    </row>
    <row r="60" spans="1:10">
      <c r="A60" s="18">
        <v>45725</v>
      </c>
      <c r="B60" s="19">
        <f>CHICLETS!D24</f>
        <v>0.41666666666666702</v>
      </c>
      <c r="C60" s="20" t="str">
        <f>CHICLETS!$I$21</f>
        <v>TUSTIN HS</v>
      </c>
      <c r="D60" s="21" t="s">
        <v>216</v>
      </c>
      <c r="E60" s="35" t="str">
        <f>B16</f>
        <v>H1(1stD)-STANFORD</v>
      </c>
      <c r="F60" s="35">
        <v>10.3</v>
      </c>
      <c r="G60" s="35" t="str">
        <f>B18</f>
        <v>H3(1stF)-CHANNEL ISLANDS UNITED GOLD</v>
      </c>
      <c r="H60" s="35">
        <v>10.4</v>
      </c>
      <c r="I60" s="8" t="s">
        <v>487</v>
      </c>
      <c r="J60" s="21" t="s">
        <v>457</v>
      </c>
    </row>
    <row r="61" spans="1:10">
      <c r="A61" s="18">
        <v>45725</v>
      </c>
      <c r="B61" s="19">
        <f>CHICLETS!D25</f>
        <v>0.45833333333333298</v>
      </c>
      <c r="C61" s="20" t="str">
        <f>CHICLETS!$I$21</f>
        <v>TUSTIN HS</v>
      </c>
      <c r="D61" s="21" t="s">
        <v>225</v>
      </c>
      <c r="E61" s="35" t="str">
        <f>C17</f>
        <v>I2(2ndB)-SAN FRANCISCO</v>
      </c>
      <c r="F61" s="35">
        <v>11</v>
      </c>
      <c r="G61" s="35" t="str">
        <f>C18</f>
        <v>I3(2ndC)-SD SHORES BLACK</v>
      </c>
      <c r="H61" s="35">
        <v>8</v>
      </c>
      <c r="I61" s="8" t="s">
        <v>488</v>
      </c>
      <c r="J61" s="21" t="s">
        <v>457</v>
      </c>
    </row>
    <row r="62" spans="1:10">
      <c r="A62" s="18">
        <v>45725</v>
      </c>
      <c r="B62" s="19">
        <f>CHICLETS!D26</f>
        <v>0.5</v>
      </c>
      <c r="C62" s="20" t="str">
        <f>CHICLETS!$I$21</f>
        <v>TUSTIN HS</v>
      </c>
      <c r="D62" s="21" t="s">
        <v>234</v>
      </c>
      <c r="E62" s="35" t="str">
        <f>A17</f>
        <v>G2(1stB)-NEWPORT</v>
      </c>
      <c r="F62" s="35">
        <v>13</v>
      </c>
      <c r="G62" s="35" t="str">
        <f>A18</f>
        <v>G2(1stC)-CC UNITED</v>
      </c>
      <c r="H62" s="35">
        <v>6</v>
      </c>
      <c r="I62" s="8" t="s">
        <v>489</v>
      </c>
      <c r="J62" s="21" t="s">
        <v>457</v>
      </c>
    </row>
    <row r="63" spans="1:10">
      <c r="A63" s="18">
        <v>45725</v>
      </c>
      <c r="B63" s="19">
        <f>CHICLETS!D27</f>
        <v>0.54166666666666696</v>
      </c>
      <c r="C63" s="20" t="str">
        <f>CHICLETS!$I$21</f>
        <v>TUSTIN HS</v>
      </c>
      <c r="D63" s="21" t="s">
        <v>217</v>
      </c>
      <c r="E63" s="35" t="str">
        <f>B17</f>
        <v>H2(1stE)-DEL MAR</v>
      </c>
      <c r="F63" s="35">
        <v>10.1</v>
      </c>
      <c r="G63" s="35" t="str">
        <f>B18</f>
        <v>H3(1stF)-CHANNEL ISLANDS UNITED GOLD</v>
      </c>
      <c r="H63" s="35">
        <v>10.199999999999999</v>
      </c>
      <c r="I63" s="8" t="s">
        <v>490</v>
      </c>
      <c r="J63" s="21" t="s">
        <v>457</v>
      </c>
    </row>
    <row r="64" spans="1:10">
      <c r="A64" s="18">
        <v>45725</v>
      </c>
      <c r="B64" s="19">
        <f>CHICLETS!D28</f>
        <v>0.58333333333333304</v>
      </c>
      <c r="C64" s="20" t="str">
        <f>CHICLETS!$I$21</f>
        <v>TUSTIN HS</v>
      </c>
      <c r="D64" s="21" t="s">
        <v>226</v>
      </c>
      <c r="E64" s="35" t="str">
        <f>C16</f>
        <v>I1(2ndA)-VANGUARD BLUE</v>
      </c>
      <c r="F64" s="35">
        <v>9</v>
      </c>
      <c r="G64" s="35" t="str">
        <f>C17</f>
        <v>I2(2ndB)-SAN FRANCISCO</v>
      </c>
      <c r="H64" s="35">
        <v>13</v>
      </c>
      <c r="I64" s="8" t="s">
        <v>491</v>
      </c>
      <c r="J64" s="21" t="s">
        <v>457</v>
      </c>
    </row>
    <row r="65" spans="1:11">
      <c r="A65" s="18">
        <v>45725</v>
      </c>
      <c r="B65" s="19">
        <f>CHICLETS!D29</f>
        <v>0.625</v>
      </c>
      <c r="C65" s="20" t="str">
        <f>CHICLETS!$I$21</f>
        <v>TUSTIN HS</v>
      </c>
      <c r="D65" s="21" t="s">
        <v>232</v>
      </c>
      <c r="E65" s="35" t="str">
        <f>C22</f>
        <v>P1(3rdG)-CC UNITED</v>
      </c>
      <c r="F65" s="35">
        <v>6</v>
      </c>
      <c r="G65" s="35" t="str">
        <f>C23</f>
        <v>P2(3rdH)-DEL MAR</v>
      </c>
      <c r="H65" s="35">
        <v>8</v>
      </c>
      <c r="I65" s="8" t="s">
        <v>393</v>
      </c>
      <c r="J65" s="21" t="s">
        <v>457</v>
      </c>
    </row>
    <row r="66" spans="1:11">
      <c r="A66" s="18">
        <v>45725</v>
      </c>
      <c r="B66" s="19">
        <f>CHICLETS!D30</f>
        <v>0.66666666666666696</v>
      </c>
      <c r="C66" s="20" t="str">
        <f>CHICLETS!$I$21</f>
        <v>TUSTIN HS</v>
      </c>
      <c r="D66" s="21" t="s">
        <v>212</v>
      </c>
      <c r="E66" s="35" t="str">
        <f>A22</f>
        <v>N1(2ndG)-LAMORINDA</v>
      </c>
      <c r="F66" s="35">
        <v>11</v>
      </c>
      <c r="G66" s="35" t="str">
        <f>A23</f>
        <v>N2(2ndH)-STANFORD</v>
      </c>
      <c r="H66" s="35">
        <v>9</v>
      </c>
      <c r="I66" s="8" t="s">
        <v>395</v>
      </c>
      <c r="J66" s="21" t="s">
        <v>457</v>
      </c>
    </row>
    <row r="67" spans="1:11">
      <c r="A67" s="18">
        <v>45725</v>
      </c>
      <c r="B67" s="19">
        <f>CHICLETS!D31</f>
        <v>0.70833333333333304</v>
      </c>
      <c r="C67" s="20" t="str">
        <f>CHICLETS!$I$21</f>
        <v>TUSTIN HS</v>
      </c>
      <c r="D67" s="21" t="s">
        <v>218</v>
      </c>
      <c r="E67" s="35" t="str">
        <f>B22</f>
        <v>O1(1stG)-NEWPORT</v>
      </c>
      <c r="F67" s="35">
        <v>12</v>
      </c>
      <c r="G67" s="35" t="str">
        <f>B23</f>
        <v>O2(1stH)-CHANNEL ISLANDS UNITED GOLD</v>
      </c>
      <c r="H67" s="35">
        <v>5</v>
      </c>
      <c r="I67" s="8" t="s">
        <v>397</v>
      </c>
      <c r="J67" s="21" t="s">
        <v>457</v>
      </c>
    </row>
    <row r="68" spans="1:11">
      <c r="A68" s="28"/>
      <c r="B68" s="29"/>
      <c r="C68" s="13"/>
      <c r="E68" s="36"/>
      <c r="F68" s="36"/>
      <c r="G68" s="36"/>
      <c r="H68" s="36"/>
      <c r="I68" s="36"/>
      <c r="J68" s="13"/>
    </row>
    <row r="69" spans="1:11">
      <c r="A69" s="37">
        <v>45725</v>
      </c>
      <c r="B69" s="38">
        <f>CHICLETS!D22</f>
        <v>0.33333333333333331</v>
      </c>
      <c r="C69" s="24" t="str">
        <f>CHICLETS!$F$21</f>
        <v>EL TORO HS</v>
      </c>
      <c r="D69" s="39" t="s">
        <v>204</v>
      </c>
      <c r="E69" s="12" t="str">
        <f>F16</f>
        <v>L1(3rdD)-TEXAS THUNDER</v>
      </c>
      <c r="F69" s="12">
        <v>10</v>
      </c>
      <c r="G69" s="12" t="str">
        <f>F18</f>
        <v>L3(3rdF)-PATRIOT</v>
      </c>
      <c r="H69" s="12">
        <v>12</v>
      </c>
      <c r="I69" s="27" t="s">
        <v>492</v>
      </c>
      <c r="J69" s="9" t="s">
        <v>457</v>
      </c>
    </row>
    <row r="70" spans="1:11">
      <c r="A70" s="37">
        <v>45725</v>
      </c>
      <c r="B70" s="38">
        <f>CHICLETS!D23</f>
        <v>0.375</v>
      </c>
      <c r="C70" s="24" t="str">
        <f>CHICLETS!$F$21</f>
        <v>EL TORO HS</v>
      </c>
      <c r="D70" s="39" t="s">
        <v>206</v>
      </c>
      <c r="E70" s="12" t="str">
        <f>D16</f>
        <v>J1(2ndD)-NORTH IRVINE BEAST BOYS</v>
      </c>
      <c r="F70" s="12">
        <v>13</v>
      </c>
      <c r="G70" s="12" t="str">
        <f>D18</f>
        <v>J3(2ndF)-TROJAN</v>
      </c>
      <c r="H70" s="12">
        <v>11</v>
      </c>
      <c r="I70" s="27" t="s">
        <v>493</v>
      </c>
      <c r="J70" s="9" t="s">
        <v>457</v>
      </c>
    </row>
    <row r="71" spans="1:11">
      <c r="A71" s="37">
        <v>45725</v>
      </c>
      <c r="B71" s="38">
        <f>CHICLETS!D24</f>
        <v>0.41666666666666702</v>
      </c>
      <c r="C71" s="24" t="str">
        <f>CHICLETS!$F$21</f>
        <v>EL TORO HS</v>
      </c>
      <c r="D71" s="39" t="s">
        <v>219</v>
      </c>
      <c r="E71" s="12" t="str">
        <f>E16</f>
        <v>K1(3rdA)-LA PREMIER</v>
      </c>
      <c r="F71" s="12">
        <v>12</v>
      </c>
      <c r="G71" s="12" t="str">
        <f>E18</f>
        <v>K3(3rdC)-CHAWP</v>
      </c>
      <c r="H71" s="12">
        <v>15</v>
      </c>
      <c r="I71" s="27" t="s">
        <v>494</v>
      </c>
      <c r="J71" s="9" t="s">
        <v>457</v>
      </c>
    </row>
    <row r="72" spans="1:11">
      <c r="A72" s="37">
        <v>45725</v>
      </c>
      <c r="B72" s="38">
        <f>CHICLETS!D25</f>
        <v>0.45833333333333298</v>
      </c>
      <c r="C72" s="24" t="str">
        <f>CHICLETS!$F$21</f>
        <v>EL TORO HS</v>
      </c>
      <c r="D72" s="39" t="s">
        <v>228</v>
      </c>
      <c r="E72" s="12" t="str">
        <f>F17</f>
        <v>L2(3rdE)-ROSE BOWL RED</v>
      </c>
      <c r="F72" s="12">
        <v>6</v>
      </c>
      <c r="G72" s="12" t="str">
        <f>F18</f>
        <v>L3(3rdF)-PATRIOT</v>
      </c>
      <c r="H72" s="12">
        <v>10</v>
      </c>
      <c r="I72" s="27" t="s">
        <v>495</v>
      </c>
      <c r="J72" s="9" t="s">
        <v>457</v>
      </c>
    </row>
    <row r="73" spans="1:11">
      <c r="A73" s="37">
        <v>45725</v>
      </c>
      <c r="B73" s="38">
        <f>CHICLETS!D26</f>
        <v>0.5</v>
      </c>
      <c r="C73" s="24" t="str">
        <f>CHICLETS!$F$21</f>
        <v>EL TORO HS</v>
      </c>
      <c r="D73" s="39" t="s">
        <v>208</v>
      </c>
      <c r="E73" s="12" t="str">
        <f>D17</f>
        <v>J2(2ndE-SOCAL BLACK</v>
      </c>
      <c r="F73" s="12">
        <v>9</v>
      </c>
      <c r="G73" s="12" t="str">
        <f>D18</f>
        <v>J3(2ndF)-TROJAN</v>
      </c>
      <c r="H73" s="12">
        <v>7</v>
      </c>
      <c r="I73" s="27" t="s">
        <v>496</v>
      </c>
      <c r="J73" s="9" t="s">
        <v>457</v>
      </c>
    </row>
    <row r="74" spans="1:11">
      <c r="A74" s="37">
        <v>45725</v>
      </c>
      <c r="B74" s="38">
        <f>CHICLETS!D27</f>
        <v>0.54166666666666696</v>
      </c>
      <c r="C74" s="24" t="str">
        <f>CHICLETS!$F$21</f>
        <v>EL TORO HS</v>
      </c>
      <c r="D74" s="39" t="s">
        <v>220</v>
      </c>
      <c r="E74" s="12" t="str">
        <f>E17</f>
        <v>K2(3rdB)-IMPERIAL BLUE</v>
      </c>
      <c r="F74" s="12">
        <v>13</v>
      </c>
      <c r="G74" s="12" t="str">
        <f>E18</f>
        <v>K3(3rdC)-CHAWP</v>
      </c>
      <c r="H74" s="12">
        <v>9</v>
      </c>
      <c r="I74" s="27" t="s">
        <v>497</v>
      </c>
      <c r="J74" s="9" t="s">
        <v>457</v>
      </c>
    </row>
    <row r="75" spans="1:11">
      <c r="A75" s="37">
        <v>45725</v>
      </c>
      <c r="B75" s="38">
        <f>CHICLETS!D28</f>
        <v>0.58333333333333304</v>
      </c>
      <c r="C75" s="24" t="str">
        <f>CHICLETS!$F$21</f>
        <v>EL TORO HS</v>
      </c>
      <c r="D75" s="39" t="s">
        <v>229</v>
      </c>
      <c r="E75" s="12" t="str">
        <f>F16</f>
        <v>L1(3rdD)-TEXAS THUNDER</v>
      </c>
      <c r="F75" s="12">
        <v>16</v>
      </c>
      <c r="G75" s="12" t="str">
        <f>F17</f>
        <v>L2(3rdE)-ROSE BOWL RED</v>
      </c>
      <c r="H75" s="12">
        <v>7</v>
      </c>
      <c r="I75" s="27" t="s">
        <v>498</v>
      </c>
      <c r="J75" s="9" t="s">
        <v>457</v>
      </c>
    </row>
    <row r="76" spans="1:11">
      <c r="A76" s="37">
        <v>45725</v>
      </c>
      <c r="B76" s="38">
        <f>CHICLETS!D29</f>
        <v>0.625</v>
      </c>
      <c r="C76" s="24" t="str">
        <f>CHICLETS!$F$21</f>
        <v>EL TORO HS</v>
      </c>
      <c r="D76" s="39" t="s">
        <v>209</v>
      </c>
      <c r="E76" s="12" t="str">
        <f>D16</f>
        <v>J1(2ndD)-NORTH IRVINE BEAST BOYS</v>
      </c>
      <c r="F76" s="12">
        <v>20</v>
      </c>
      <c r="G76" s="12" t="str">
        <f>D17</f>
        <v>J2(2ndE-SOCAL BLACK</v>
      </c>
      <c r="H76" s="12">
        <v>5</v>
      </c>
      <c r="I76" s="27" t="s">
        <v>499</v>
      </c>
      <c r="J76" s="9" t="s">
        <v>457</v>
      </c>
    </row>
    <row r="77" spans="1:11">
      <c r="A77" s="37">
        <v>45725</v>
      </c>
      <c r="B77" s="38">
        <f>CHICLETS!D30</f>
        <v>0.66666666666666696</v>
      </c>
      <c r="C77" s="24" t="str">
        <f>CHICLETS!$F$21</f>
        <v>EL TORO HS</v>
      </c>
      <c r="D77" s="39" t="s">
        <v>215</v>
      </c>
      <c r="E77" s="12" t="str">
        <f>E16</f>
        <v>K1(3rdA)-LA PREMIER</v>
      </c>
      <c r="F77" s="12">
        <v>10</v>
      </c>
      <c r="G77" s="12" t="str">
        <f>E17</f>
        <v>K2(3rdB)-IMPERIAL BLUE</v>
      </c>
      <c r="H77" s="12">
        <v>13</v>
      </c>
      <c r="I77" s="27" t="s">
        <v>500</v>
      </c>
      <c r="J77" s="9" t="s">
        <v>457</v>
      </c>
      <c r="K77" s="40"/>
    </row>
    <row r="78" spans="1:11">
      <c r="A78" s="28"/>
      <c r="B78" s="29"/>
      <c r="C78" s="13"/>
      <c r="J78" s="13"/>
    </row>
    <row r="79" spans="1:11">
      <c r="A79" s="103">
        <v>45725</v>
      </c>
      <c r="B79" s="104">
        <f>CHICLETS!D22</f>
        <v>0.33333333333333331</v>
      </c>
      <c r="C79" s="102" t="str">
        <f>CHICLETS!$E$21</f>
        <v>ESTANCIA HS</v>
      </c>
      <c r="D79" s="101" t="s">
        <v>207</v>
      </c>
      <c r="E79" s="100" t="str">
        <f>G16</f>
        <v>M1(4thF)-MONARCHY</v>
      </c>
      <c r="F79" s="100">
        <v>6</v>
      </c>
      <c r="G79" s="100" t="str">
        <f>G18</f>
        <v>M3(4thD)-LA JOLLA UNITED NAVY</v>
      </c>
      <c r="H79" s="100">
        <v>10</v>
      </c>
      <c r="I79" s="100" t="s">
        <v>501</v>
      </c>
      <c r="J79" s="99" t="s">
        <v>457</v>
      </c>
    </row>
    <row r="80" spans="1:11">
      <c r="A80" s="103">
        <v>45725</v>
      </c>
      <c r="B80" s="104">
        <f>CHICLETS!D23</f>
        <v>0.375</v>
      </c>
      <c r="C80" s="102" t="str">
        <f>CHICLETS!$E$21</f>
        <v>ESTANCIA HS</v>
      </c>
      <c r="D80" s="101" t="s">
        <v>213</v>
      </c>
      <c r="E80" s="100" t="str">
        <f>H16</f>
        <v>N1(4thC)-FOOTHILL RED</v>
      </c>
      <c r="F80" s="100">
        <v>10</v>
      </c>
      <c r="G80" s="100" t="str">
        <f>H18</f>
        <v>N3(4thA)-NORTH IRVINE VEGAS</v>
      </c>
      <c r="H80" s="100">
        <v>9</v>
      </c>
      <c r="I80" s="100" t="s">
        <v>502</v>
      </c>
      <c r="J80" s="99" t="s">
        <v>457</v>
      </c>
    </row>
    <row r="81" spans="1:11">
      <c r="A81" s="103">
        <v>45725</v>
      </c>
      <c r="B81" s="104">
        <f>CHICLETS!D24</f>
        <v>0.41666666666666702</v>
      </c>
      <c r="C81" s="102" t="str">
        <f>CHICLETS!$E$21</f>
        <v>ESTANCIA HS</v>
      </c>
      <c r="D81" s="101" t="s">
        <v>222</v>
      </c>
      <c r="E81" s="100" t="str">
        <f>G17</f>
        <v>M2(4thE)-DIABLO RED</v>
      </c>
      <c r="F81" s="100">
        <v>6</v>
      </c>
      <c r="G81" s="100" t="str">
        <f>G18</f>
        <v>M3(4thD)-LA JOLLA UNITED NAVY</v>
      </c>
      <c r="H81" s="100">
        <v>16</v>
      </c>
      <c r="I81" s="100" t="s">
        <v>503</v>
      </c>
      <c r="J81" s="99" t="s">
        <v>457</v>
      </c>
    </row>
    <row r="82" spans="1:11">
      <c r="A82" s="103">
        <v>45725</v>
      </c>
      <c r="B82" s="104">
        <f>CHICLETS!D25</f>
        <v>0.45833333333333298</v>
      </c>
      <c r="C82" s="102" t="str">
        <f>CHICLETS!$E$21</f>
        <v>ESTANCIA HS</v>
      </c>
      <c r="D82" s="101" t="s">
        <v>231</v>
      </c>
      <c r="E82" s="100" t="str">
        <f>H17</f>
        <v>N2(4thB)-ORANGE COUNTY WPC BLUE</v>
      </c>
      <c r="F82" s="100">
        <v>10</v>
      </c>
      <c r="G82" s="100" t="str">
        <f>H18</f>
        <v>N3(4thA)-NORTH IRVINE VEGAS</v>
      </c>
      <c r="H82" s="100">
        <v>12</v>
      </c>
      <c r="I82" s="100" t="s">
        <v>504</v>
      </c>
      <c r="J82" s="99" t="s">
        <v>457</v>
      </c>
      <c r="K82" s="40"/>
    </row>
    <row r="83" spans="1:11">
      <c r="A83" s="103">
        <v>45725</v>
      </c>
      <c r="B83" s="104">
        <f>CHICLETS!D26</f>
        <v>0.5</v>
      </c>
      <c r="C83" s="102" t="str">
        <f>CHICLETS!$E$21</f>
        <v>ESTANCIA HS</v>
      </c>
      <c r="D83" s="101" t="s">
        <v>211</v>
      </c>
      <c r="E83" s="100" t="str">
        <f>G16</f>
        <v>M1(4thF)-MONARCHY</v>
      </c>
      <c r="F83" s="100">
        <v>10</v>
      </c>
      <c r="G83" s="100" t="str">
        <f>G17</f>
        <v>M2(4thE)-DIABLO RED</v>
      </c>
      <c r="H83" s="100">
        <v>12</v>
      </c>
      <c r="I83" s="100" t="s">
        <v>505</v>
      </c>
      <c r="J83" s="99" t="s">
        <v>457</v>
      </c>
    </row>
    <row r="84" spans="1:11">
      <c r="A84" s="103">
        <v>45725</v>
      </c>
      <c r="B84" s="104">
        <f>CHICLETS!D27</f>
        <v>0.54166666666666696</v>
      </c>
      <c r="C84" s="102" t="str">
        <f>CHICLETS!$E$21</f>
        <v>ESTANCIA HS</v>
      </c>
      <c r="D84" s="101" t="s">
        <v>223</v>
      </c>
      <c r="E84" s="100" t="str">
        <f>H16</f>
        <v>N1(4thC)-FOOTHILL RED</v>
      </c>
      <c r="F84" s="100">
        <v>13</v>
      </c>
      <c r="G84" s="100" t="str">
        <f>H17</f>
        <v>N2(4thB)-ORANGE COUNTY WPC BLUE</v>
      </c>
      <c r="H84" s="100">
        <v>11</v>
      </c>
      <c r="I84" s="100" t="s">
        <v>506</v>
      </c>
      <c r="J84" s="99" t="s">
        <v>457</v>
      </c>
    </row>
    <row r="85" spans="1:11">
      <c r="A85" s="28"/>
      <c r="B85" s="29"/>
      <c r="C85" s="13"/>
      <c r="J85" s="13"/>
    </row>
    <row r="86" spans="1:11">
      <c r="A86" s="28"/>
      <c r="B86" s="119" t="s">
        <v>418</v>
      </c>
      <c r="C86" s="13"/>
      <c r="D86" s="3" t="s">
        <v>419</v>
      </c>
      <c r="E86" s="3" t="s">
        <v>68</v>
      </c>
      <c r="F86" s="3" t="str">
        <f>"---&gt;&gt;&gt; SCORES"</f>
        <v>---&gt;&gt;&gt; SCORES</v>
      </c>
      <c r="J86" s="13"/>
    </row>
    <row r="87" spans="1:11">
      <c r="A87" s="28"/>
      <c r="B87" s="120">
        <f>C87+D87</f>
        <v>5</v>
      </c>
      <c r="C87" s="3">
        <v>4</v>
      </c>
      <c r="D87" s="3">
        <v>1</v>
      </c>
      <c r="E87" s="3" t="s">
        <v>438</v>
      </c>
      <c r="F87" s="3" t="s">
        <v>507</v>
      </c>
      <c r="G87" s="3" t="s">
        <v>424</v>
      </c>
      <c r="I87" s="8" t="s">
        <v>296</v>
      </c>
      <c r="J87" s="21" t="s">
        <v>63</v>
      </c>
    </row>
    <row r="88" spans="1:11">
      <c r="A88" s="28"/>
      <c r="B88" s="120">
        <f>C88+D88</f>
        <v>8</v>
      </c>
      <c r="C88" s="120">
        <v>4</v>
      </c>
      <c r="D88" s="3">
        <v>4</v>
      </c>
      <c r="E88" s="3" t="s">
        <v>508</v>
      </c>
      <c r="F88" s="3" t="s">
        <v>509</v>
      </c>
      <c r="G88" s="120" t="s">
        <v>510</v>
      </c>
      <c r="I88" s="8" t="s">
        <v>297</v>
      </c>
      <c r="J88" s="21" t="s">
        <v>511</v>
      </c>
    </row>
    <row r="89" spans="1:11">
      <c r="A89" s="28"/>
      <c r="B89" s="120">
        <f>C89+D89</f>
        <v>2</v>
      </c>
      <c r="C89" s="13">
        <v>1</v>
      </c>
      <c r="D89" s="120">
        <v>1</v>
      </c>
      <c r="E89" s="3" t="s">
        <v>512</v>
      </c>
      <c r="F89" s="120" t="s">
        <v>513</v>
      </c>
      <c r="G89" s="3" t="s">
        <v>420</v>
      </c>
      <c r="I89" s="8" t="s">
        <v>298</v>
      </c>
      <c r="J89" s="21" t="s">
        <v>118</v>
      </c>
    </row>
    <row r="90" spans="1:11">
      <c r="A90" s="28"/>
      <c r="B90" s="13"/>
      <c r="C90" s="13"/>
    </row>
    <row r="91" spans="1:11">
      <c r="A91" s="28"/>
      <c r="B91" s="13"/>
      <c r="C91" s="13"/>
      <c r="E91" s="3" t="s">
        <v>69</v>
      </c>
    </row>
    <row r="92" spans="1:11">
      <c r="A92" s="28"/>
      <c r="B92" s="120">
        <f>C92+D92</f>
        <v>6</v>
      </c>
      <c r="C92" s="120">
        <v>2</v>
      </c>
      <c r="D92" s="3">
        <v>4</v>
      </c>
      <c r="E92" s="3" t="s">
        <v>439</v>
      </c>
      <c r="F92" s="3" t="s">
        <v>514</v>
      </c>
      <c r="G92" s="120" t="s">
        <v>515</v>
      </c>
    </row>
    <row r="93" spans="1:11">
      <c r="A93" s="28"/>
      <c r="B93" s="120">
        <f>C93+D93</f>
        <v>3</v>
      </c>
      <c r="C93" s="13">
        <v>2</v>
      </c>
      <c r="D93" s="3">
        <v>1</v>
      </c>
      <c r="E93" s="3" t="s">
        <v>516</v>
      </c>
      <c r="F93" s="3" t="s">
        <v>517</v>
      </c>
      <c r="G93" s="100" t="s">
        <v>518</v>
      </c>
    </row>
    <row r="94" spans="1:11">
      <c r="A94" s="28"/>
      <c r="B94" s="120">
        <f>C94+D94</f>
        <v>6</v>
      </c>
      <c r="C94" s="13">
        <v>3</v>
      </c>
      <c r="D94" s="120">
        <v>3</v>
      </c>
      <c r="E94" s="3" t="s">
        <v>519</v>
      </c>
      <c r="F94" s="100" t="s">
        <v>520</v>
      </c>
      <c r="G94" s="120" t="s">
        <v>521</v>
      </c>
    </row>
    <row r="95" spans="1:11">
      <c r="A95" s="28"/>
      <c r="C95" s="13"/>
    </row>
    <row r="96" spans="1:11">
      <c r="A96" s="28"/>
      <c r="C96" s="13"/>
    </row>
    <row r="97" spans="1:3">
      <c r="A97" s="28"/>
      <c r="C97" s="13"/>
    </row>
    <row r="98" spans="1:3">
      <c r="A98" s="28"/>
      <c r="C98" s="13"/>
    </row>
    <row r="99" spans="1:3">
      <c r="A99" s="28"/>
      <c r="C99" s="13"/>
    </row>
    <row r="100" spans="1:3">
      <c r="A100" s="28"/>
      <c r="C100" s="13"/>
    </row>
    <row r="101" spans="1:3">
      <c r="A101" s="28"/>
      <c r="C101" s="13"/>
    </row>
    <row r="102" spans="1:3">
      <c r="A102" s="28"/>
      <c r="C102" s="13"/>
    </row>
    <row r="103" spans="1:3">
      <c r="A103" s="28"/>
      <c r="C103" s="13"/>
    </row>
    <row r="104" spans="1:3">
      <c r="A104" s="28"/>
      <c r="C104" s="13"/>
    </row>
    <row r="105" spans="1:3">
      <c r="A105" s="28"/>
      <c r="C105" s="13"/>
    </row>
    <row r="106" spans="1:3">
      <c r="A106" s="28"/>
      <c r="C106" s="13"/>
    </row>
    <row r="107" spans="1:3">
      <c r="A107" s="28"/>
      <c r="C107" s="13"/>
    </row>
  </sheetData>
  <phoneticPr fontId="16" type="noConversion"/>
  <hyperlinks>
    <hyperlink ref="B2" r:id="rId1" xr:uid="{2C0B1C9D-7354-4430-B1CA-5FC5ACD1477B}"/>
    <hyperlink ref="C2" r:id="rId2" xr:uid="{4D1A773E-CF35-44B9-A192-50C43CC8DE99}"/>
    <hyperlink ref="A2" r:id="rId3" xr:uid="{162F5ACD-D1FC-4E8A-8FC1-DE105242BC4B}"/>
  </hyperlinks>
  <pageMargins left="0.7" right="0.7" top="0.75" bottom="0.75" header="0.3" footer="0.3"/>
  <pageSetup scale="42" orientation="landscape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1AEF-9B5D-4ABA-989F-AC226AA38496}">
  <sheetPr>
    <tabColor rgb="FF00FFCC"/>
    <pageSetUpPr fitToPage="1"/>
  </sheetPr>
  <dimension ref="A1:K105"/>
  <sheetViews>
    <sheetView topLeftCell="A22" workbookViewId="0"/>
  </sheetViews>
  <sheetFormatPr defaultColWidth="9.140625" defaultRowHeight="18"/>
  <cols>
    <col min="1" max="1" width="46.140625" style="3" bestFit="1" customWidth="1"/>
    <col min="2" max="2" width="43.85546875" style="3" bestFit="1" customWidth="1"/>
    <col min="3" max="3" width="47" style="3" bestFit="1" customWidth="1"/>
    <col min="4" max="4" width="37.5703125" style="3" bestFit="1" customWidth="1"/>
    <col min="5" max="5" width="47" style="3" bestFit="1" customWidth="1"/>
    <col min="6" max="6" width="37.140625" style="3" bestFit="1" customWidth="1"/>
    <col min="7" max="7" width="46.140625" style="3" bestFit="1" customWidth="1"/>
    <col min="8" max="8" width="14.140625" style="3" customWidth="1"/>
    <col min="9" max="9" width="21.85546875" style="3" customWidth="1"/>
    <col min="10" max="10" width="39.42578125" style="3" bestFit="1" customWidth="1"/>
    <col min="11" max="16384" width="9.140625" style="3"/>
  </cols>
  <sheetData>
    <row r="1" spans="1:10">
      <c r="A1" s="10" t="s">
        <v>522</v>
      </c>
      <c r="B1" s="1" t="s">
        <v>434</v>
      </c>
      <c r="C1" s="2" t="s">
        <v>237</v>
      </c>
      <c r="D1" s="1" t="s">
        <v>523</v>
      </c>
      <c r="H1" s="1"/>
      <c r="I1" s="4"/>
    </row>
    <row r="2" spans="1:10">
      <c r="A2" s="5" t="s">
        <v>239</v>
      </c>
      <c r="B2" s="6" t="s">
        <v>240</v>
      </c>
      <c r="C2" s="7" t="s">
        <v>241</v>
      </c>
      <c r="D2" s="1"/>
      <c r="H2" s="1"/>
      <c r="I2" s="4"/>
    </row>
    <row r="3" spans="1:10">
      <c r="A3" s="93" t="s">
        <v>3</v>
      </c>
      <c r="B3" s="93" t="s">
        <v>4</v>
      </c>
      <c r="C3" s="93" t="s">
        <v>5</v>
      </c>
      <c r="D3" s="94" t="s">
        <v>20</v>
      </c>
      <c r="E3" s="94" t="s">
        <v>21</v>
      </c>
      <c r="F3" s="94" t="s">
        <v>22</v>
      </c>
      <c r="H3" s="1"/>
    </row>
    <row r="4" spans="1:10">
      <c r="A4" s="8">
        <v>1</v>
      </c>
      <c r="B4" s="8">
        <v>4</v>
      </c>
      <c r="C4" s="8">
        <v>5</v>
      </c>
      <c r="D4" s="9">
        <v>2</v>
      </c>
      <c r="E4" s="9">
        <v>3</v>
      </c>
      <c r="F4" s="9">
        <v>6</v>
      </c>
    </row>
    <row r="5" spans="1:10">
      <c r="A5" s="8">
        <v>12</v>
      </c>
      <c r="B5" s="8">
        <v>9</v>
      </c>
      <c r="C5" s="8">
        <v>8</v>
      </c>
      <c r="D5" s="9">
        <v>11</v>
      </c>
      <c r="E5" s="9">
        <v>10</v>
      </c>
      <c r="F5" s="9">
        <v>7</v>
      </c>
    </row>
    <row r="6" spans="1:10">
      <c r="A6" s="8">
        <v>13</v>
      </c>
      <c r="B6" s="8">
        <v>16</v>
      </c>
      <c r="C6" s="8">
        <v>17</v>
      </c>
      <c r="D6" s="9">
        <v>14</v>
      </c>
      <c r="E6" s="9">
        <v>15</v>
      </c>
      <c r="F6" s="9">
        <v>18</v>
      </c>
    </row>
    <row r="7" spans="1:10">
      <c r="A7" s="10"/>
      <c r="B7" s="8">
        <v>21</v>
      </c>
      <c r="C7" s="8">
        <v>20</v>
      </c>
      <c r="D7" s="9">
        <v>23</v>
      </c>
      <c r="E7" s="9">
        <v>22</v>
      </c>
      <c r="F7" s="9">
        <v>19</v>
      </c>
    </row>
    <row r="9" spans="1:10">
      <c r="A9" s="93" t="s">
        <v>3</v>
      </c>
      <c r="B9" s="93" t="s">
        <v>4</v>
      </c>
      <c r="C9" s="93" t="s">
        <v>5</v>
      </c>
      <c r="D9" s="94" t="s">
        <v>20</v>
      </c>
      <c r="E9" s="94" t="s">
        <v>21</v>
      </c>
      <c r="F9" s="94" t="s">
        <v>22</v>
      </c>
    </row>
    <row r="10" spans="1:10">
      <c r="A10" s="11" t="s">
        <v>524</v>
      </c>
      <c r="B10" s="11" t="s">
        <v>113</v>
      </c>
      <c r="C10" s="11" t="s">
        <v>114</v>
      </c>
      <c r="D10" s="12" t="s">
        <v>115</v>
      </c>
      <c r="E10" s="12" t="s">
        <v>116</v>
      </c>
      <c r="F10" s="12" t="s">
        <v>117</v>
      </c>
    </row>
    <row r="11" spans="1:10">
      <c r="A11" s="11" t="s">
        <v>525</v>
      </c>
      <c r="B11" s="11" t="s">
        <v>120</v>
      </c>
      <c r="C11" s="11" t="s">
        <v>121</v>
      </c>
      <c r="D11" s="12" t="s">
        <v>122</v>
      </c>
      <c r="E11" s="12" t="s">
        <v>123</v>
      </c>
      <c r="F11" s="12" t="s">
        <v>124</v>
      </c>
    </row>
    <row r="12" spans="1:10">
      <c r="A12" s="11" t="s">
        <v>526</v>
      </c>
      <c r="B12" s="11" t="s">
        <v>127</v>
      </c>
      <c r="C12" s="11" t="s">
        <v>128</v>
      </c>
      <c r="D12" s="12" t="s">
        <v>129</v>
      </c>
      <c r="E12" s="12" t="s">
        <v>130</v>
      </c>
      <c r="F12" s="12" t="s">
        <v>131</v>
      </c>
    </row>
    <row r="13" spans="1:10">
      <c r="A13" s="10"/>
      <c r="B13" s="11" t="s">
        <v>527</v>
      </c>
      <c r="C13" s="11" t="s">
        <v>528</v>
      </c>
      <c r="D13" s="9" t="s">
        <v>136</v>
      </c>
      <c r="E13" s="12" t="s">
        <v>137</v>
      </c>
      <c r="F13" s="12" t="s">
        <v>138</v>
      </c>
    </row>
    <row r="14" spans="1:10">
      <c r="B14" s="10"/>
      <c r="C14" s="10"/>
      <c r="D14" s="10"/>
      <c r="E14" s="10"/>
      <c r="F14" s="10"/>
      <c r="H14" s="13"/>
      <c r="I14" s="13"/>
      <c r="J14" s="13"/>
    </row>
    <row r="15" spans="1:10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140</v>
      </c>
      <c r="G15" s="1" t="s">
        <v>529</v>
      </c>
      <c r="H15" s="13"/>
      <c r="I15" s="13"/>
      <c r="J15" s="13"/>
    </row>
    <row r="16" spans="1:10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105" t="str">
        <f>IF(F51="","M1(4thF)-",IF(F51&lt;H51,_xlfn.CONCAT("M1(4thF)-",RIGHT(E51,LEN(E51) - FIND("-",E51))), _xlfn.CONCAT("M1(4thF)-",RIGHT(G51,LEN(G51) - FIND("-",G51)))))</f>
        <v>M1(4thF)-</v>
      </c>
      <c r="H16" s="13" t="str">
        <f>G16</f>
        <v>M1(4thF)-</v>
      </c>
      <c r="I16" s="13" t="str">
        <f>G20</f>
        <v>M5(4thD)-</v>
      </c>
      <c r="J16" s="13"/>
    </row>
    <row r="17" spans="1:10">
      <c r="A17" s="3" t="str">
        <f>IF(F37="","G2(1stB)-",IF(F37&gt;H37,_xlfn.CONCAT("G2(1stB)-",RIGHT(E37,LEN(E37) - FIND("-",E37))), _xlfn.CONCAT("G2(1stB)-",RIGHT(G37,LEN(G37) - FIND("-",G37)))))</f>
        <v>G2(1stB)-</v>
      </c>
      <c r="B17" s="3" t="str">
        <f>IF(F50="","H2(1stE)-",IF(F50&gt;H50,_xlfn.CONCAT("H2(1stE)-",RIGHT(E50,LEN(E50) - FIND("-",E50))), _xlfn.CONCAT("H2(1stE)-",RIGHT(G50,LEN(G50) - FIND("-",G50)))))</f>
        <v>H2(1stE)-</v>
      </c>
      <c r="C17" s="3" t="str">
        <f>IF(F37="","I2(2ndB)-",IF(F37&lt;H37,_xlfn.CONCAT("I2(2ndB)-",RIGHT(E37,LEN(E37) - FIND("-",E37))), _xlfn.CONCAT("I2(2ndB)-",RIGHT(G37,LEN(G37) - FIND("-",G37)))))</f>
        <v>I2(2ndB)-</v>
      </c>
      <c r="D17" s="3" t="str">
        <f>IF(F50="","J2(2ndE)-",IF(F50&lt;H50,_xlfn.CONCAT("J2(2ndE-",RIGHT(E50,LEN(E50) - FIND("-",E50))), _xlfn.CONCAT("J2(2ndE-",RIGHT(G50,LEN(G50) - FIND("-",G50)))))</f>
        <v>J2(2ndE)-</v>
      </c>
      <c r="E17" s="3" t="str">
        <f>IF(F36="","K2(3rdB)-",IF(F36&gt;H36,_xlfn.CONCAT("K2(3rdB)-",RIGHT(E36,LEN(E36) - FIND("-",E36))), _xlfn.CONCAT("K2(3rdB)-",RIGHT(G36,LEN(G36) - FIND("-",G36)))))</f>
        <v>K2(3rdB)-</v>
      </c>
      <c r="F17" s="3" t="str">
        <f>IF(F49="","L2(3rdE)-",IF(F49&gt;H49,_xlfn.CONCAT("L2(3rdE)-",RIGHT(E49,LEN(E49) - FIND("-",E49))), _xlfn.CONCAT("L2(3rdE)-",RIGHT(G49,LEN(G49) - FIND("-",G49)))))</f>
        <v>L2(3rdE)-</v>
      </c>
      <c r="G17" s="105" t="str">
        <f>IF(F33="","M2(4thC)-",IF(F33&lt;H33,_xlfn.CONCAT("M2(4thC)-",RIGHT(E33,LEN(E33) - FIND("-",E33))), _xlfn.CONCAT("M2(4thC)-",RIGHT(G33,LEN(G33) - FIND("-",G33)))))</f>
        <v>M2(4thC)-</v>
      </c>
      <c r="H17" s="13" t="str">
        <f>G17</f>
        <v>M2(4thC)-</v>
      </c>
      <c r="I17" s="13" t="str">
        <f>G19</f>
        <v>M4(4thE)-</v>
      </c>
      <c r="J17" s="13"/>
    </row>
    <row r="18" spans="1:10">
      <c r="A18" s="3" t="str">
        <f>IF(F34="","G3(1stC)-",IF(F34&gt;H34,_xlfn.CONCAT("G2(1stC)-",RIGHT(E34,LEN(E34) - FIND("-",E34))), _xlfn.CONCAT("G2(1stC)-",RIGHT(G34,LEN(G34) - FIND("-",G34)))))</f>
        <v>G3(1stC)-</v>
      </c>
      <c r="B18" s="3" t="str">
        <f>IF(F52="","H3(1stF)-",IF(F52&gt;H52,_xlfn.CONCAT("H3(1stF)-",RIGHT(E52,LEN(E52) - FIND("-",E52))), _xlfn.CONCAT("H3(1stF)-",RIGHT(G52,LEN(G52) - FIND("-",G52)))))</f>
        <v>H3(1stF)-</v>
      </c>
      <c r="C18" s="3" t="str">
        <f>IF(F34="","I3(2ndC)-",IF(F34&lt;H34,_xlfn.CONCAT("I3(2ndC)-",RIGHT(E34,LEN(E34) - FIND("-",E34))), _xlfn.CONCAT("I3(2ndC)-",RIGHT(G34,LEN(G34) - FIND("-",G34)))))</f>
        <v>I3(2ndC)-</v>
      </c>
      <c r="D18" s="3" t="str">
        <f>IF(F52="","J3(2ndF)-",IF(F52&lt;H52,_xlfn.CONCAT("J3(2ndF)-",RIGHT(E52,LEN(E52) - FIND("-",E52))), _xlfn.CONCAT("J3(2ndF)-",RIGHT(G52,LEN(G52) - FIND("-",G52)))))</f>
        <v>J3(2ndF)-</v>
      </c>
      <c r="E18" s="3" t="str">
        <f>IF(F33="","K3(3rdC)-",IF(F33&gt;H33,_xlfn.CONCAT("K3(3rdC)-",RIGHT(E33,LEN(E33) - FIND("-",E33))), _xlfn.CONCAT("K3(3rdC)-",RIGHT(G33,LEN(G33) - FIND("-",G33)))))</f>
        <v>K3(3rdC)-</v>
      </c>
      <c r="F18" s="3" t="str">
        <f>IF(F51="","L3(3rdF)-",IF(F51&gt;H51,_xlfn.CONCAT("L3(3rdF)-",RIGHT(E51,LEN(E51) - FIND("-",E51))), _xlfn.CONCAT("L3(3rdF)-",RIGHT(G51,LEN(G51) - FIND("-",G51)))))</f>
        <v>L3(3rdF)-</v>
      </c>
      <c r="G18" s="105" t="str">
        <f>IF(F36="","M3(4thB)-",IF(F36&lt;H36,_xlfn.CONCAT("M3(4thB)-",RIGHT(E36,LEN(E36) - FIND("-",E36))), _xlfn.CONCAT("M3(4thB)-",RIGHT(G36,LEN(G36) - FIND("-",G36)))))</f>
        <v>M3(4thB)-</v>
      </c>
      <c r="H18" s="13"/>
      <c r="I18" s="13"/>
      <c r="J18" s="13"/>
    </row>
    <row r="19" spans="1:10">
      <c r="A19" s="3" t="s">
        <v>150</v>
      </c>
      <c r="B19" s="3" t="s">
        <v>150</v>
      </c>
      <c r="C19" s="3" t="s">
        <v>150</v>
      </c>
      <c r="D19" s="3" t="s">
        <v>150</v>
      </c>
      <c r="E19" s="3" t="s">
        <v>150</v>
      </c>
      <c r="F19" s="3" t="s">
        <v>150</v>
      </c>
      <c r="G19" s="105" t="str">
        <f>IF(F49="","M4(4thE)-",IF(F49&lt;H49,_xlfn.CONCAT("M4(4thE)-",RIGHT(E49,LEN(E49) - FIND("-",E49))), _xlfn.CONCAT("M4(4thE)-",RIGHT(G49,LEN(G49) - FIND("-",G49)))))</f>
        <v>M4(4thE)-</v>
      </c>
      <c r="H19" s="13" t="str">
        <f>G16</f>
        <v>M1(4thF)-</v>
      </c>
      <c r="I19" s="13" t="str">
        <f>G18</f>
        <v>M3(4thB)-</v>
      </c>
      <c r="J19" s="13"/>
    </row>
    <row r="20" spans="1:10">
      <c r="G20" s="105" t="s">
        <v>530</v>
      </c>
      <c r="H20" s="13" t="str">
        <f>G17</f>
        <v>M2(4thC)-</v>
      </c>
      <c r="I20" s="13" t="str">
        <f>G20</f>
        <v>M5(4thD)-</v>
      </c>
      <c r="J20" s="13"/>
    </row>
    <row r="21" spans="1:10">
      <c r="A21" s="1" t="s">
        <v>94</v>
      </c>
      <c r="B21" s="1" t="s">
        <v>95</v>
      </c>
      <c r="C21" s="1" t="s">
        <v>96</v>
      </c>
      <c r="H21" s="13"/>
      <c r="I21" s="13"/>
      <c r="J21" s="13"/>
    </row>
    <row r="22" spans="1:10">
      <c r="A22" s="3" t="s">
        <v>97</v>
      </c>
      <c r="B22" s="3" t="s">
        <v>98</v>
      </c>
      <c r="C22" s="3" t="s">
        <v>99</v>
      </c>
      <c r="H22" s="13" t="str">
        <f>G18</f>
        <v>M3(4thB)-</v>
      </c>
      <c r="I22" s="13" t="str">
        <f>G19</f>
        <v>M4(4thE)-</v>
      </c>
      <c r="J22" s="13"/>
    </row>
    <row r="23" spans="1:10">
      <c r="A23" s="3" t="s">
        <v>101</v>
      </c>
      <c r="B23" s="3" t="s">
        <v>102</v>
      </c>
      <c r="C23" s="3" t="s">
        <v>103</v>
      </c>
      <c r="J23" s="13"/>
    </row>
    <row r="24" spans="1:10">
      <c r="A24" s="14"/>
      <c r="B24" s="14"/>
      <c r="C24" s="14"/>
      <c r="D24" s="14"/>
      <c r="E24" s="14"/>
      <c r="F24" s="14"/>
      <c r="G24" s="14"/>
      <c r="H24" s="15"/>
      <c r="I24" s="15"/>
      <c r="J24" s="15"/>
    </row>
    <row r="25" spans="1:10">
      <c r="A25" s="16"/>
      <c r="H25" s="13"/>
      <c r="I25" s="13"/>
      <c r="J25" s="13"/>
    </row>
    <row r="26" spans="1:10" s="10" customFormat="1">
      <c r="A26" s="1" t="s">
        <v>251</v>
      </c>
      <c r="B26" s="17" t="s">
        <v>252</v>
      </c>
      <c r="C26" s="1" t="s">
        <v>253</v>
      </c>
      <c r="D26" s="1" t="s">
        <v>254</v>
      </c>
      <c r="E26" s="1" t="s">
        <v>255</v>
      </c>
      <c r="F26" s="1" t="s">
        <v>256</v>
      </c>
      <c r="G26" s="1" t="s">
        <v>257</v>
      </c>
      <c r="H26" s="1" t="s">
        <v>256</v>
      </c>
      <c r="I26" s="1" t="s">
        <v>258</v>
      </c>
      <c r="J26" s="1" t="s">
        <v>259</v>
      </c>
    </row>
    <row r="27" spans="1:10">
      <c r="A27" s="18">
        <v>45724</v>
      </c>
      <c r="B27" s="19">
        <f>CHICLETS!D4</f>
        <v>0.33333333333333331</v>
      </c>
      <c r="C27" s="20" t="str">
        <f>CHICLETS!$F$3</f>
        <v>EL TORO HS</v>
      </c>
      <c r="D27" s="21" t="s">
        <v>531</v>
      </c>
      <c r="E27" s="21" t="str">
        <f>C10</f>
        <v>5-CC UNITED</v>
      </c>
      <c r="F27" s="21"/>
      <c r="G27" s="21" t="str">
        <f>C13</f>
        <v>20-ORANGE COUNTY WPC BLUE</v>
      </c>
      <c r="H27" s="8"/>
      <c r="I27" s="8" t="s">
        <v>456</v>
      </c>
      <c r="J27" s="21" t="s">
        <v>157</v>
      </c>
    </row>
    <row r="28" spans="1:10">
      <c r="A28" s="18">
        <v>45724</v>
      </c>
      <c r="B28" s="19">
        <f>CHICLETS!D5</f>
        <v>0.375</v>
      </c>
      <c r="C28" s="20" t="str">
        <f>CHICLETS!$F$3</f>
        <v>EL TORO HS</v>
      </c>
      <c r="D28" s="21" t="s">
        <v>532</v>
      </c>
      <c r="E28" s="21" t="str">
        <f>C11</f>
        <v>8-SD SHORES BLACK</v>
      </c>
      <c r="F28" s="21"/>
      <c r="G28" s="21" t="str">
        <f>C12</f>
        <v>17-CHAWP</v>
      </c>
      <c r="H28" s="8"/>
      <c r="I28" s="8" t="s">
        <v>458</v>
      </c>
      <c r="J28" s="21" t="s">
        <v>157</v>
      </c>
    </row>
    <row r="29" spans="1:10">
      <c r="A29" s="18">
        <v>45724</v>
      </c>
      <c r="B29" s="19">
        <f>CHICLETS!D6</f>
        <v>0.41666666666666702</v>
      </c>
      <c r="C29" s="20" t="str">
        <f>CHICLETS!$F$3</f>
        <v>EL TORO HS</v>
      </c>
      <c r="D29" s="22" t="s">
        <v>533</v>
      </c>
      <c r="E29" s="21" t="str">
        <f>A11</f>
        <v>A2(12)-LA PREMIER</v>
      </c>
      <c r="F29" s="21"/>
      <c r="G29" s="21" t="str">
        <f>A12</f>
        <v>A3(13)-VANGUARD BLUE</v>
      </c>
      <c r="H29" s="8"/>
      <c r="I29" s="8" t="s">
        <v>261</v>
      </c>
      <c r="J29" s="21" t="s">
        <v>157</v>
      </c>
    </row>
    <row r="30" spans="1:10">
      <c r="A30" s="18">
        <v>45724</v>
      </c>
      <c r="B30" s="19">
        <f>CHICLETS!D7</f>
        <v>0.45833333333333298</v>
      </c>
      <c r="C30" s="20" t="str">
        <f>CHICLETS!$F$3</f>
        <v>EL TORO HS</v>
      </c>
      <c r="D30" s="21" t="s">
        <v>534</v>
      </c>
      <c r="E30" s="21" t="str">
        <f>B10</f>
        <v>4-NEWPORT</v>
      </c>
      <c r="F30" s="21"/>
      <c r="G30" s="21" t="str">
        <f>B13</f>
        <v>21-FOOTHILL RED</v>
      </c>
      <c r="H30" s="8"/>
      <c r="I30" s="8" t="s">
        <v>462</v>
      </c>
      <c r="J30" s="21" t="s">
        <v>157</v>
      </c>
    </row>
    <row r="31" spans="1:10">
      <c r="A31" s="18">
        <v>45724</v>
      </c>
      <c r="B31" s="19">
        <f>CHICLETS!D8</f>
        <v>0.5</v>
      </c>
      <c r="C31" s="20" t="str">
        <f>CHICLETS!$F$3</f>
        <v>EL TORO HS</v>
      </c>
      <c r="D31" s="21" t="s">
        <v>535</v>
      </c>
      <c r="E31" s="21" t="str">
        <f>B11</f>
        <v>9-SAN FRANCISCO</v>
      </c>
      <c r="F31" s="21"/>
      <c r="G31" s="21" t="str">
        <f>B12</f>
        <v>16-IMPERIAL BLUE</v>
      </c>
      <c r="H31" s="8"/>
      <c r="I31" s="8" t="s">
        <v>460</v>
      </c>
      <c r="J31" s="21" t="s">
        <v>157</v>
      </c>
    </row>
    <row r="32" spans="1:10">
      <c r="A32" s="18">
        <v>45724</v>
      </c>
      <c r="B32" s="19">
        <f>CHICLETS!D9</f>
        <v>0.54166666666666696</v>
      </c>
      <c r="C32" s="20" t="str">
        <f>CHICLETS!$F$3</f>
        <v>EL TORO HS</v>
      </c>
      <c r="D32" s="22" t="s">
        <v>536</v>
      </c>
      <c r="E32" s="21" t="str">
        <f>A10</f>
        <v>A1(1)-LAMORINDA</v>
      </c>
      <c r="F32" s="21"/>
      <c r="G32" s="21" t="str">
        <f>A11</f>
        <v>A2(12)-LA PREMIER</v>
      </c>
      <c r="H32" s="8"/>
      <c r="I32" s="8" t="s">
        <v>273</v>
      </c>
      <c r="J32" s="21" t="s">
        <v>157</v>
      </c>
    </row>
    <row r="33" spans="1:10">
      <c r="A33" s="18">
        <v>45724</v>
      </c>
      <c r="B33" s="19">
        <f>CHICLETS!D10</f>
        <v>0.58333333333333304</v>
      </c>
      <c r="C33" s="20" t="str">
        <f>CHICLETS!$F$3</f>
        <v>EL TORO HS</v>
      </c>
      <c r="D33" s="21" t="s">
        <v>537</v>
      </c>
      <c r="E33" s="21" t="str">
        <f>IF(F27="","L#1-",IF(F27&lt;H27,_xlfn.CONCAT("L#1-",RIGHT(E27,LEN(E27) - FIND("-",E27))), _xlfn.CONCAT("L#1-",RIGHT(G27,LEN(G27) - FIND("-",G27)))))</f>
        <v>L#1-</v>
      </c>
      <c r="F33" s="21"/>
      <c r="G33" s="21" t="str">
        <f>IF(F28="","L#3-",IF(F28&lt;H28,_xlfn.CONCAT("L#3-",RIGHT(E28,LEN(E28) - FIND("-",E28))), _xlfn.CONCAT("L#3-",RIGHT(G28,LEN(G28) - FIND("-",G28)))))</f>
        <v>L#3-</v>
      </c>
      <c r="H33" s="8"/>
      <c r="I33" s="8" t="s">
        <v>463</v>
      </c>
      <c r="J33" s="21" t="s">
        <v>157</v>
      </c>
    </row>
    <row r="34" spans="1:10">
      <c r="A34" s="18">
        <v>45724</v>
      </c>
      <c r="B34" s="19">
        <f>CHICLETS!D11</f>
        <v>0.625</v>
      </c>
      <c r="C34" s="20" t="str">
        <f>CHICLETS!$F$3</f>
        <v>EL TORO HS</v>
      </c>
      <c r="D34" s="21" t="s">
        <v>538</v>
      </c>
      <c r="E34" s="21" t="str">
        <f>IF(F27="","W#1-",IF(F27&gt;H27,_xlfn.CONCAT("W#1-",RIGHT(E27,LEN(E27) - FIND("-",E27))), _xlfn.CONCAT("W#1-",RIGHT(G27,LEN(G27) - FIND("-",G27)))))</f>
        <v>W#1-</v>
      </c>
      <c r="F34" s="21"/>
      <c r="G34" s="21" t="str">
        <f>IF(F28="","W#3-",IF(F28&gt;H28,_xlfn.CONCAT("W#3-",RIGHT(E28,LEN(E28) - FIND("-",E28))), _xlfn.CONCAT("W#3-",RIGHT(G28,LEN(G28) - FIND("-",G28)))))</f>
        <v>W#3-</v>
      </c>
      <c r="H34" s="8"/>
      <c r="I34" s="8" t="s">
        <v>464</v>
      </c>
      <c r="J34" s="21" t="s">
        <v>157</v>
      </c>
    </row>
    <row r="35" spans="1:10">
      <c r="A35" s="18">
        <v>45724</v>
      </c>
      <c r="B35" s="19">
        <f>CHICLETS!D12</f>
        <v>0.66666666666666696</v>
      </c>
      <c r="C35" s="20" t="str">
        <f>CHICLETS!$F$3</f>
        <v>EL TORO HS</v>
      </c>
      <c r="D35" s="22" t="s">
        <v>539</v>
      </c>
      <c r="E35" s="21" t="str">
        <f>A10</f>
        <v>A1(1)-LAMORINDA</v>
      </c>
      <c r="F35" s="21"/>
      <c r="G35" s="21" t="str">
        <f>A12</f>
        <v>A3(13)-VANGUARD BLUE</v>
      </c>
      <c r="H35" s="8"/>
      <c r="I35" s="8" t="s">
        <v>261</v>
      </c>
      <c r="J35" s="21" t="s">
        <v>157</v>
      </c>
    </row>
    <row r="36" spans="1:10">
      <c r="A36" s="18">
        <v>45724</v>
      </c>
      <c r="B36" s="19">
        <f>CHICLETS!D13</f>
        <v>0.70833333333333304</v>
      </c>
      <c r="C36" s="20" t="str">
        <f>CHICLETS!$F$3</f>
        <v>EL TORO HS</v>
      </c>
      <c r="D36" s="21" t="s">
        <v>540</v>
      </c>
      <c r="E36" s="21" t="str">
        <f>IF(F30="","L#7-",IF(F30&lt;H30,_xlfn.CONCAT("L#7-",RIGHT(E30,LEN(E30) - FIND("-",E30))), _xlfn.CONCAT("L#7-",RIGHT(G30,LEN(G30) - FIND("-",G30)))))</f>
        <v>L#7-</v>
      </c>
      <c r="F36" s="21"/>
      <c r="G36" s="21" t="str">
        <f>IF(F31="","L#9-",IF(F31&lt;H31,_xlfn.CONCAT("L#9-",RIGHT(E31,LEN(E31) - FIND("-",E31))), _xlfn.CONCAT("L#9-",RIGHT(G31,LEN(G31) - FIND("-",G31)))))</f>
        <v>L#9-</v>
      </c>
      <c r="H36" s="8"/>
      <c r="I36" s="8" t="s">
        <v>471</v>
      </c>
      <c r="J36" s="21" t="s">
        <v>157</v>
      </c>
    </row>
    <row r="37" spans="1:10">
      <c r="A37" s="18">
        <v>45724</v>
      </c>
      <c r="B37" s="19">
        <f>CHICLETS!D14</f>
        <v>0.75</v>
      </c>
      <c r="C37" s="20" t="str">
        <f>CHICLETS!$F$3</f>
        <v>EL TORO HS</v>
      </c>
      <c r="D37" s="21" t="s">
        <v>541</v>
      </c>
      <c r="E37" s="21" t="str">
        <f>IF(F30="","W#7-",IF(F30&gt;H30,_xlfn.CONCAT("W#7-",RIGHT(E30,LEN(E30) - FIND("-",E30))), _xlfn.CONCAT("W#7-",RIGHT(G30,LEN(G30) - FIND("-",G30)))))</f>
        <v>W#7-</v>
      </c>
      <c r="F37" s="21"/>
      <c r="G37" s="21" t="str">
        <f>IF(F31="","W#9-",IF(F31&gt;H31,_xlfn.CONCAT("W#9-",RIGHT(E31,LEN(E31) - FIND("-",E31))), _xlfn.CONCAT("W#9-",RIGHT(G31,LEN(G31) - FIND("-",G31)))))</f>
        <v>W#9-</v>
      </c>
      <c r="H37" s="8"/>
      <c r="I37" s="8" t="s">
        <v>472</v>
      </c>
      <c r="J37" s="21" t="s">
        <v>157</v>
      </c>
    </row>
    <row r="38" spans="1:10">
      <c r="A38" s="18">
        <v>45725</v>
      </c>
      <c r="B38" s="19">
        <f>CHICLETS!D15</f>
        <v>0.79166666666666696</v>
      </c>
      <c r="C38" s="20" t="str">
        <f>CHICLETS!$F$3</f>
        <v>EL TORO HS</v>
      </c>
      <c r="D38" s="21" t="s">
        <v>542</v>
      </c>
      <c r="E38" s="35" t="str">
        <f>A16</f>
        <v>G1(1stA)-</v>
      </c>
      <c r="F38" s="35"/>
      <c r="G38" s="35" t="str">
        <f>A18</f>
        <v>G3(1stC)-</v>
      </c>
      <c r="H38" s="35"/>
      <c r="I38" s="8" t="s">
        <v>473</v>
      </c>
      <c r="J38" s="21" t="s">
        <v>157</v>
      </c>
    </row>
    <row r="39" spans="1:10">
      <c r="A39" s="16"/>
      <c r="J39" s="13"/>
    </row>
    <row r="40" spans="1:10">
      <c r="A40" s="16"/>
      <c r="B40" s="16"/>
      <c r="J40" s="13"/>
    </row>
    <row r="41" spans="1:10">
      <c r="A41" s="23">
        <v>45724</v>
      </c>
      <c r="B41" s="24">
        <f>CHICLETS!D4</f>
        <v>0.33333333333333331</v>
      </c>
      <c r="C41" s="25" t="str">
        <f>CHICLETS!$H$3</f>
        <v>MARINA HS</v>
      </c>
      <c r="D41" s="81" t="s">
        <v>543</v>
      </c>
      <c r="E41" s="27" t="str">
        <f>D10</f>
        <v>2-NORTH IRVINE BEAST BOYS</v>
      </c>
      <c r="F41" s="27"/>
      <c r="G41" s="27" t="str">
        <f>D13</f>
        <v>23-TEXAS THUNDER</v>
      </c>
      <c r="H41" s="27"/>
      <c r="I41" s="9" t="s">
        <v>474</v>
      </c>
      <c r="J41" s="26" t="s">
        <v>157</v>
      </c>
    </row>
    <row r="42" spans="1:10">
      <c r="A42" s="23">
        <v>45724</v>
      </c>
      <c r="B42" s="24">
        <f>CHICLETS!D5</f>
        <v>0.375</v>
      </c>
      <c r="C42" s="25" t="str">
        <f>CHICLETS!$H$3</f>
        <v>MARINA HS</v>
      </c>
      <c r="D42" s="81" t="s">
        <v>544</v>
      </c>
      <c r="E42" s="27" t="str">
        <f>D11</f>
        <v>11-STANFORD</v>
      </c>
      <c r="F42" s="27"/>
      <c r="G42" s="27" t="str">
        <f>D12</f>
        <v>14-LA JOLLA UNITED NAVY</v>
      </c>
      <c r="H42" s="27"/>
      <c r="I42" s="9" t="s">
        <v>475</v>
      </c>
      <c r="J42" s="26" t="s">
        <v>157</v>
      </c>
    </row>
    <row r="43" spans="1:10">
      <c r="A43" s="23">
        <v>45724</v>
      </c>
      <c r="B43" s="24">
        <f>CHICLETS!D5</f>
        <v>0.375</v>
      </c>
      <c r="C43" s="25" t="str">
        <f>CHICLETS!$I$3</f>
        <v>TUSTIN HS</v>
      </c>
      <c r="D43" s="26" t="s">
        <v>545</v>
      </c>
      <c r="E43" s="27" t="str">
        <f>E10</f>
        <v>3-DEL MAR</v>
      </c>
      <c r="F43" s="27"/>
      <c r="G43" s="27" t="str">
        <f>E13</f>
        <v>22-ROSE BOWL RED</v>
      </c>
      <c r="H43" s="27"/>
      <c r="I43" s="9" t="s">
        <v>477</v>
      </c>
      <c r="J43" s="26" t="s">
        <v>157</v>
      </c>
    </row>
    <row r="44" spans="1:10">
      <c r="A44" s="23">
        <v>45724</v>
      </c>
      <c r="B44" s="24">
        <f>CHICLETS!D6</f>
        <v>0.41666666666666702</v>
      </c>
      <c r="C44" s="25" t="str">
        <f>CHICLETS!$I$3</f>
        <v>TUSTIN HS</v>
      </c>
      <c r="D44" s="26" t="s">
        <v>546</v>
      </c>
      <c r="E44" s="9" t="str">
        <f>E11</f>
        <v>10-SOCAL BLACK</v>
      </c>
      <c r="F44" s="9"/>
      <c r="G44" s="9" t="str">
        <f>E12</f>
        <v>15-DIABLO RED</v>
      </c>
      <c r="H44" s="9"/>
      <c r="I44" s="9" t="s">
        <v>476</v>
      </c>
      <c r="J44" s="26" t="s">
        <v>157</v>
      </c>
    </row>
    <row r="45" spans="1:10">
      <c r="A45" s="23">
        <v>45724</v>
      </c>
      <c r="B45" s="24">
        <f>CHICLETS!D7</f>
        <v>0.45833333333333298</v>
      </c>
      <c r="C45" s="25" t="str">
        <f>CHICLETS!$I$3</f>
        <v>TUSTIN HS</v>
      </c>
      <c r="D45" s="26" t="s">
        <v>547</v>
      </c>
      <c r="E45" s="9" t="str">
        <f>F10</f>
        <v>6-CHANNEL ISLANDS GOLD</v>
      </c>
      <c r="F45" s="9"/>
      <c r="G45" s="9" t="str">
        <f>F13</f>
        <v>19-MONARCHY</v>
      </c>
      <c r="H45" s="9"/>
      <c r="I45" s="9" t="s">
        <v>361</v>
      </c>
      <c r="J45" s="26" t="s">
        <v>157</v>
      </c>
    </row>
    <row r="46" spans="1:10">
      <c r="A46" s="23">
        <v>45724</v>
      </c>
      <c r="B46" s="24">
        <f>CHICLETS!D8</f>
        <v>0.5</v>
      </c>
      <c r="C46" s="25" t="str">
        <f>CHICLETS!$I$3</f>
        <v>TUSTIN HS</v>
      </c>
      <c r="D46" s="26" t="s">
        <v>548</v>
      </c>
      <c r="E46" s="27" t="str">
        <f>F11</f>
        <v>7-TROJAN</v>
      </c>
      <c r="F46" s="27"/>
      <c r="G46" s="27" t="str">
        <f>F12</f>
        <v>18-PATRIOT</v>
      </c>
      <c r="H46" s="27"/>
      <c r="I46" s="9" t="s">
        <v>365</v>
      </c>
      <c r="J46" s="26" t="s">
        <v>157</v>
      </c>
    </row>
    <row r="47" spans="1:10">
      <c r="A47" s="23">
        <v>45724</v>
      </c>
      <c r="B47" s="24">
        <f>CHICLETS!D9</f>
        <v>0.54166666666666696</v>
      </c>
      <c r="C47" s="25" t="str">
        <f>CHICLETS!$I$3</f>
        <v>TUSTIN HS</v>
      </c>
      <c r="D47" s="81" t="s">
        <v>549</v>
      </c>
      <c r="E47" s="9" t="str">
        <f>IF(F41="","L#2-",IF(F41&lt;H41,_xlfn.CONCAT("L#2-",RIGHT(E41,LEN(E41) - FIND("-",E41))), _xlfn.CONCAT("L#2-",RIGHT(G41,LEN(G41) - FIND("-",G41)))))</f>
        <v>L#2-</v>
      </c>
      <c r="F47" s="9"/>
      <c r="G47" s="9" t="str">
        <f>IF(H42="","L#4-",IF(F42&lt;H42,_xlfn.CONCAT("L#4-",RIGHT(E42,LEN(E42) - FIND("-",E42))), _xlfn.CONCAT("L#4-",RIGHT(G42,LEN(G42) - FIND("-",G42)))))</f>
        <v>L#4-</v>
      </c>
      <c r="H47" s="9"/>
      <c r="I47" s="9" t="s">
        <v>478</v>
      </c>
      <c r="J47" s="26" t="s">
        <v>157</v>
      </c>
    </row>
    <row r="48" spans="1:10">
      <c r="A48" s="23">
        <v>45724</v>
      </c>
      <c r="B48" s="24">
        <f>CHICLETS!D10</f>
        <v>0.58333333333333304</v>
      </c>
      <c r="C48" s="25" t="str">
        <f>CHICLETS!$I$3</f>
        <v>TUSTIN HS</v>
      </c>
      <c r="D48" s="81" t="s">
        <v>550</v>
      </c>
      <c r="E48" s="9" t="str">
        <f>IF(F41="","W#2-",IF(F41&gt;H41,_xlfn.CONCAT("W#2-",RIGHT(E41,LEN(E41) - FIND("-",E41))), _xlfn.CONCAT("W#2-",RIGHT(G41,LEN(G41) - FIND("-",G41)))))</f>
        <v>W#2-</v>
      </c>
      <c r="F48" s="9"/>
      <c r="G48" s="9" t="str">
        <f>IF(H42="","W#4-",IF(F42&gt;H42,_xlfn.CONCAT("W#4-",RIGHT(E42,LEN(E42) - FIND("-",E42))), _xlfn.CONCAT("W#4-",RIGHT(G42,LEN(G42) - FIND("-",G42)))))</f>
        <v>W#4-</v>
      </c>
      <c r="H48" s="9"/>
      <c r="I48" s="9" t="s">
        <v>479</v>
      </c>
      <c r="J48" s="26" t="s">
        <v>157</v>
      </c>
    </row>
    <row r="49" spans="1:10">
      <c r="A49" s="23">
        <v>45724</v>
      </c>
      <c r="B49" s="24">
        <f>CHICLETS!D11</f>
        <v>0.625</v>
      </c>
      <c r="C49" s="25" t="str">
        <f>CHICLETS!$I$3</f>
        <v>TUSTIN HS</v>
      </c>
      <c r="D49" s="26" t="s">
        <v>551</v>
      </c>
      <c r="E49" s="9" t="str">
        <f>IF(F43="","L#6-",IF(F43&lt;H43,_xlfn.CONCAT("L#6-",RIGHT(E43,LEN(E43) - FIND("-",E43))), _xlfn.CONCAT("L#6-",RIGHT(G43,LEN(G43) - FIND("-",G43)))))</f>
        <v>L#6-</v>
      </c>
      <c r="F49" s="9"/>
      <c r="G49" s="9" t="str">
        <f>IF(H44="","L#8-",IF(F44&lt;H44,_xlfn.CONCAT("L#8-",RIGHT(E44,LEN(E44) - FIND("-",E44))), _xlfn.CONCAT("L#8-",RIGHT(G44,LEN(G44) - FIND("-",G44)))))</f>
        <v>L#8-</v>
      </c>
      <c r="H49" s="9"/>
      <c r="I49" s="9" t="s">
        <v>481</v>
      </c>
      <c r="J49" s="26" t="s">
        <v>157</v>
      </c>
    </row>
    <row r="50" spans="1:10">
      <c r="A50" s="23">
        <v>45724</v>
      </c>
      <c r="B50" s="24">
        <f>CHICLETS!D12</f>
        <v>0.66666666666666696</v>
      </c>
      <c r="C50" s="25" t="str">
        <f>CHICLETS!$I$3</f>
        <v>TUSTIN HS</v>
      </c>
      <c r="D50" s="26" t="s">
        <v>552</v>
      </c>
      <c r="E50" s="9" t="str">
        <f>IF(F43="","W#6-",IF(F43&gt;H43,_xlfn.CONCAT("W#6-",RIGHT(E43,LEN(E43) - FIND("-",E43))), _xlfn.CONCAT("W#6-",RIGHT(G43,LEN(G43) - FIND("-",G43)))))</f>
        <v>W#6-</v>
      </c>
      <c r="F50" s="27"/>
      <c r="G50" s="9" t="str">
        <f>IF(H44="","W#8-",IF(F44&gt;H44,_xlfn.CONCAT("W#8-",RIGHT(E44,LEN(E44) - FIND("-",E44))), _xlfn.CONCAT("W#8-",RIGHT(G44,LEN(G44) - FIND("-",G44)))))</f>
        <v>W#8-</v>
      </c>
      <c r="H50" s="27"/>
      <c r="I50" s="9" t="s">
        <v>480</v>
      </c>
      <c r="J50" s="26" t="s">
        <v>157</v>
      </c>
    </row>
    <row r="51" spans="1:10">
      <c r="A51" s="23">
        <v>45724</v>
      </c>
      <c r="B51" s="24">
        <f>CHICLETS!D13</f>
        <v>0.70833333333333304</v>
      </c>
      <c r="C51" s="25" t="str">
        <f>CHICLETS!$I$3</f>
        <v>TUSTIN HS</v>
      </c>
      <c r="D51" s="26" t="s">
        <v>553</v>
      </c>
      <c r="E51" s="9" t="str">
        <f>IF(F45="","L#10-",IF(F45&lt;H45,_xlfn.CONCAT("L#10-",RIGHT(E45,LEN(E45) - FIND("-",E45))), _xlfn.CONCAT("L#10-",RIGHT(G45,LEN(G45) - FIND("-",G45)))))</f>
        <v>L#10-</v>
      </c>
      <c r="F51" s="27"/>
      <c r="G51" s="9" t="str">
        <f>IF(H46="","L#12-",IF(F46&lt;H46,_xlfn.CONCAT("L#12-",RIGHT(E46,LEN(E46) - FIND("-",E46))), _xlfn.CONCAT("L#12-",RIGHT(G46,LEN(G46) - FIND("-",G46)))))</f>
        <v>L#12-</v>
      </c>
      <c r="H51" s="27"/>
      <c r="I51" s="9" t="s">
        <v>482</v>
      </c>
      <c r="J51" s="26" t="s">
        <v>157</v>
      </c>
    </row>
    <row r="52" spans="1:10">
      <c r="A52" s="23">
        <v>45724</v>
      </c>
      <c r="B52" s="24">
        <f>CHICLETS!D14</f>
        <v>0.75</v>
      </c>
      <c r="C52" s="25" t="str">
        <f>CHICLETS!$I$3</f>
        <v>TUSTIN HS</v>
      </c>
      <c r="D52" s="26" t="s">
        <v>554</v>
      </c>
      <c r="E52" s="9" t="str">
        <f>IF(F45="","W#10-",IF(F45&gt;H45,_xlfn.CONCAT("W#10-",RIGHT(E45,LEN(E45) - FIND("-",E45))), _xlfn.CONCAT("W#10-",RIGHT(G45,LEN(G45) - FIND("-",G45)))))</f>
        <v>W#10-</v>
      </c>
      <c r="F52" s="27"/>
      <c r="G52" s="9" t="str">
        <f>IF(H46="","W#12-",IF(F46&gt;H46,_xlfn.CONCAT("W#12-",RIGHT(E46,LEN(E46) - FIND("-",E46))), _xlfn.CONCAT("W#12-",RIGHT(G46,LEN(G46) - FIND("-",G46)))))</f>
        <v>W#12-</v>
      </c>
      <c r="H52" s="27"/>
      <c r="I52" s="9" t="s">
        <v>483</v>
      </c>
      <c r="J52" s="26" t="s">
        <v>157</v>
      </c>
    </row>
    <row r="53" spans="1:10">
      <c r="A53" s="23">
        <v>45725</v>
      </c>
      <c r="B53" s="24">
        <f>CHICLETS!D15</f>
        <v>0.79166666666666696</v>
      </c>
      <c r="C53" s="25" t="str">
        <f>CHICLETS!$I$3</f>
        <v>TUSTIN HS</v>
      </c>
      <c r="D53" s="26" t="s">
        <v>555</v>
      </c>
      <c r="E53" s="27" t="str">
        <f>B16</f>
        <v>H1(1stD)-</v>
      </c>
      <c r="F53" s="27"/>
      <c r="G53" s="27" t="str">
        <f>B17</f>
        <v>H2(1stE)-</v>
      </c>
      <c r="H53" s="27"/>
      <c r="I53" s="9" t="s">
        <v>484</v>
      </c>
      <c r="J53" s="26" t="s">
        <v>157</v>
      </c>
    </row>
    <row r="54" spans="1:10">
      <c r="A54" s="28"/>
      <c r="B54" s="29"/>
      <c r="C54" s="13"/>
      <c r="H54" s="13"/>
      <c r="I54" s="13"/>
      <c r="J54" s="13"/>
    </row>
    <row r="55" spans="1:10">
      <c r="A55" s="30"/>
      <c r="B55" s="31"/>
      <c r="C55" s="15"/>
      <c r="D55" s="15"/>
      <c r="E55" s="32"/>
      <c r="F55" s="32"/>
      <c r="G55" s="32"/>
      <c r="H55" s="32"/>
      <c r="I55" s="32"/>
      <c r="J55" s="32"/>
    </row>
    <row r="56" spans="1:10">
      <c r="A56" s="33"/>
      <c r="B56" s="34"/>
      <c r="C56" s="34"/>
      <c r="D56" s="34"/>
      <c r="E56" s="34"/>
      <c r="F56" s="34"/>
      <c r="G56" s="34"/>
      <c r="H56" s="34"/>
      <c r="I56" s="34"/>
      <c r="J56" s="34"/>
    </row>
    <row r="57" spans="1:10">
      <c r="A57" s="18">
        <v>45725</v>
      </c>
      <c r="B57" s="19">
        <f>CHICLETS!D22</f>
        <v>0.33333333333333331</v>
      </c>
      <c r="C57" s="20" t="str">
        <f>CHICLETS!$I$21</f>
        <v>TUSTIN HS</v>
      </c>
      <c r="D57" s="21" t="s">
        <v>556</v>
      </c>
      <c r="E57" s="35" t="str">
        <f>C16</f>
        <v>I1(2ndA)-</v>
      </c>
      <c r="F57" s="35"/>
      <c r="G57" s="35" t="str">
        <f>C18</f>
        <v>I3(2ndC)-</v>
      </c>
      <c r="H57" s="35"/>
      <c r="I57" s="8" t="s">
        <v>485</v>
      </c>
      <c r="J57" s="21" t="s">
        <v>157</v>
      </c>
    </row>
    <row r="58" spans="1:10">
      <c r="A58" s="18">
        <v>45725</v>
      </c>
      <c r="B58" s="19">
        <f>CHICLETS!D23</f>
        <v>0.375</v>
      </c>
      <c r="C58" s="20" t="str">
        <f>CHICLETS!$I$21</f>
        <v>TUSTIN HS</v>
      </c>
      <c r="D58" s="21" t="s">
        <v>557</v>
      </c>
      <c r="E58" s="35" t="str">
        <f>A16</f>
        <v>G1(1stA)-</v>
      </c>
      <c r="F58" s="35"/>
      <c r="G58" s="35" t="str">
        <f>A17</f>
        <v>G2(1stB)-</v>
      </c>
      <c r="H58" s="35"/>
      <c r="I58" s="8" t="s">
        <v>486</v>
      </c>
      <c r="J58" s="21" t="s">
        <v>157</v>
      </c>
    </row>
    <row r="59" spans="1:10">
      <c r="A59" s="18">
        <v>45725</v>
      </c>
      <c r="B59" s="19">
        <f>CHICLETS!D24</f>
        <v>0.41666666666666702</v>
      </c>
      <c r="C59" s="20" t="str">
        <f>CHICLETS!$I$21</f>
        <v>TUSTIN HS</v>
      </c>
      <c r="D59" s="21" t="s">
        <v>558</v>
      </c>
      <c r="E59" s="35" t="str">
        <f>B16</f>
        <v>H1(1stD)-</v>
      </c>
      <c r="F59" s="35"/>
      <c r="G59" s="35" t="str">
        <f>B18</f>
        <v>H3(1stF)-</v>
      </c>
      <c r="H59" s="35"/>
      <c r="I59" s="8" t="s">
        <v>487</v>
      </c>
      <c r="J59" s="21" t="s">
        <v>157</v>
      </c>
    </row>
    <row r="60" spans="1:10">
      <c r="A60" s="18">
        <v>45725</v>
      </c>
      <c r="B60" s="19">
        <f>CHICLETS!D25</f>
        <v>0.45833333333333298</v>
      </c>
      <c r="C60" s="20" t="str">
        <f>CHICLETS!$I$21</f>
        <v>TUSTIN HS</v>
      </c>
      <c r="D60" s="21" t="s">
        <v>559</v>
      </c>
      <c r="E60" s="35" t="str">
        <f>C17</f>
        <v>I2(2ndB)-</v>
      </c>
      <c r="F60" s="35"/>
      <c r="G60" s="35" t="str">
        <f>C18</f>
        <v>I3(2ndC)-</v>
      </c>
      <c r="H60" s="35"/>
      <c r="I60" s="8" t="s">
        <v>488</v>
      </c>
      <c r="J60" s="21" t="s">
        <v>157</v>
      </c>
    </row>
    <row r="61" spans="1:10">
      <c r="A61" s="18">
        <v>45725</v>
      </c>
      <c r="B61" s="19">
        <f>CHICLETS!D26</f>
        <v>0.5</v>
      </c>
      <c r="C61" s="20" t="str">
        <f>CHICLETS!$I$21</f>
        <v>TUSTIN HS</v>
      </c>
      <c r="D61" s="21" t="s">
        <v>560</v>
      </c>
      <c r="E61" s="35" t="str">
        <f>A17</f>
        <v>G2(1stB)-</v>
      </c>
      <c r="F61" s="35"/>
      <c r="G61" s="35" t="str">
        <f>A18</f>
        <v>G3(1stC)-</v>
      </c>
      <c r="H61" s="35"/>
      <c r="I61" s="8" t="s">
        <v>489</v>
      </c>
      <c r="J61" s="21" t="s">
        <v>157</v>
      </c>
    </row>
    <row r="62" spans="1:10">
      <c r="A62" s="18">
        <v>45725</v>
      </c>
      <c r="B62" s="19">
        <f>CHICLETS!D27</f>
        <v>0.54166666666666696</v>
      </c>
      <c r="C62" s="20" t="str">
        <f>CHICLETS!$I$21</f>
        <v>TUSTIN HS</v>
      </c>
      <c r="D62" s="21" t="s">
        <v>561</v>
      </c>
      <c r="E62" s="35" t="str">
        <f>B17</f>
        <v>H2(1stE)-</v>
      </c>
      <c r="F62" s="35"/>
      <c r="G62" s="35" t="str">
        <f>B18</f>
        <v>H3(1stF)-</v>
      </c>
      <c r="H62" s="35"/>
      <c r="I62" s="8" t="s">
        <v>490</v>
      </c>
      <c r="J62" s="21" t="s">
        <v>157</v>
      </c>
    </row>
    <row r="63" spans="1:10">
      <c r="A63" s="18">
        <v>45725</v>
      </c>
      <c r="B63" s="19">
        <f>CHICLETS!D28</f>
        <v>0.58333333333333304</v>
      </c>
      <c r="C63" s="20" t="str">
        <f>CHICLETS!$I$21</f>
        <v>TUSTIN HS</v>
      </c>
      <c r="D63" s="21" t="s">
        <v>562</v>
      </c>
      <c r="E63" s="35" t="str">
        <f>C16</f>
        <v>I1(2ndA)-</v>
      </c>
      <c r="F63" s="35"/>
      <c r="G63" s="35" t="str">
        <f>C17</f>
        <v>I2(2ndB)-</v>
      </c>
      <c r="H63" s="35"/>
      <c r="I63" s="8" t="s">
        <v>491</v>
      </c>
      <c r="J63" s="21" t="s">
        <v>157</v>
      </c>
    </row>
    <row r="64" spans="1:10">
      <c r="A64" s="18">
        <v>45725</v>
      </c>
      <c r="B64" s="19">
        <f>CHICLETS!D29</f>
        <v>0.625</v>
      </c>
      <c r="C64" s="20" t="str">
        <f>CHICLETS!$I$21</f>
        <v>TUSTIN HS</v>
      </c>
      <c r="D64" s="21" t="s">
        <v>563</v>
      </c>
      <c r="E64" s="35" t="str">
        <f>C22</f>
        <v>P1(3rdG)-</v>
      </c>
      <c r="F64" s="35"/>
      <c r="G64" s="35" t="str">
        <f>C23</f>
        <v>P2(3rdH)-</v>
      </c>
      <c r="H64" s="35"/>
      <c r="I64" s="8" t="s">
        <v>393</v>
      </c>
      <c r="J64" s="21" t="s">
        <v>157</v>
      </c>
    </row>
    <row r="65" spans="1:11">
      <c r="A65" s="18">
        <v>45725</v>
      </c>
      <c r="B65" s="19">
        <f>CHICLETS!D30</f>
        <v>0.66666666666666696</v>
      </c>
      <c r="C65" s="20" t="str">
        <f>CHICLETS!$I$21</f>
        <v>TUSTIN HS</v>
      </c>
      <c r="D65" s="21" t="s">
        <v>564</v>
      </c>
      <c r="E65" s="35" t="str">
        <f>A22</f>
        <v>N1(2ndG)-</v>
      </c>
      <c r="F65" s="35"/>
      <c r="G65" s="35" t="str">
        <f>A23</f>
        <v>N2(2ndH)-</v>
      </c>
      <c r="H65" s="35"/>
      <c r="I65" s="8" t="s">
        <v>395</v>
      </c>
      <c r="J65" s="21" t="s">
        <v>157</v>
      </c>
    </row>
    <row r="66" spans="1:11">
      <c r="A66" s="18">
        <v>45725</v>
      </c>
      <c r="B66" s="19">
        <f>CHICLETS!D31</f>
        <v>0.70833333333333304</v>
      </c>
      <c r="C66" s="20" t="str">
        <f>CHICLETS!$I$21</f>
        <v>TUSTIN HS</v>
      </c>
      <c r="D66" s="21" t="s">
        <v>565</v>
      </c>
      <c r="E66" s="35" t="str">
        <f>B22</f>
        <v>O1(1stG)-</v>
      </c>
      <c r="F66" s="35"/>
      <c r="G66" s="35" t="str">
        <f>B23</f>
        <v>O2(1stH)-</v>
      </c>
      <c r="H66" s="35"/>
      <c r="I66" s="8" t="s">
        <v>397</v>
      </c>
      <c r="J66" s="21" t="s">
        <v>157</v>
      </c>
    </row>
    <row r="67" spans="1:11">
      <c r="A67" s="28"/>
      <c r="B67" s="29"/>
      <c r="C67" s="13"/>
      <c r="E67" s="36"/>
      <c r="F67" s="36"/>
      <c r="G67" s="36"/>
      <c r="H67" s="36"/>
      <c r="I67" s="36"/>
      <c r="J67" s="13"/>
    </row>
    <row r="68" spans="1:11">
      <c r="A68" s="37">
        <v>45725</v>
      </c>
      <c r="B68" s="38">
        <f>CHICLETS!D22</f>
        <v>0.33333333333333331</v>
      </c>
      <c r="C68" s="24" t="str">
        <f>CHICLETS!$F$21</f>
        <v>EL TORO HS</v>
      </c>
      <c r="D68" s="39" t="s">
        <v>566</v>
      </c>
      <c r="E68" s="12" t="str">
        <f>F16</f>
        <v>L1(3rdD)-</v>
      </c>
      <c r="F68" s="12"/>
      <c r="G68" s="12" t="str">
        <f>F18</f>
        <v>L3(3rdF)-</v>
      </c>
      <c r="H68" s="12"/>
      <c r="I68" s="27" t="s">
        <v>492</v>
      </c>
      <c r="J68" s="9" t="s">
        <v>157</v>
      </c>
    </row>
    <row r="69" spans="1:11">
      <c r="A69" s="37">
        <v>45725</v>
      </c>
      <c r="B69" s="38">
        <f>CHICLETS!D23</f>
        <v>0.375</v>
      </c>
      <c r="C69" s="24" t="str">
        <f>CHICLETS!$F$21</f>
        <v>EL TORO HS</v>
      </c>
      <c r="D69" s="39" t="s">
        <v>567</v>
      </c>
      <c r="E69" s="12" t="str">
        <f>D16</f>
        <v>J1(2ndD)-</v>
      </c>
      <c r="F69" s="12"/>
      <c r="G69" s="12" t="str">
        <f>D18</f>
        <v>J3(2ndF)-</v>
      </c>
      <c r="H69" s="12"/>
      <c r="I69" s="27" t="s">
        <v>493</v>
      </c>
      <c r="J69" s="9" t="s">
        <v>157</v>
      </c>
    </row>
    <row r="70" spans="1:11">
      <c r="A70" s="37">
        <v>45725</v>
      </c>
      <c r="B70" s="38">
        <f>CHICLETS!D24</f>
        <v>0.41666666666666702</v>
      </c>
      <c r="C70" s="24" t="str">
        <f>CHICLETS!$F$21</f>
        <v>EL TORO HS</v>
      </c>
      <c r="D70" s="39" t="s">
        <v>568</v>
      </c>
      <c r="E70" s="12" t="str">
        <f>E16</f>
        <v>K1(3rdA)-</v>
      </c>
      <c r="F70" s="12"/>
      <c r="G70" s="12" t="str">
        <f>E18</f>
        <v>K3(3rdC)-</v>
      </c>
      <c r="H70" s="12"/>
      <c r="I70" s="27" t="s">
        <v>494</v>
      </c>
      <c r="J70" s="9" t="s">
        <v>157</v>
      </c>
    </row>
    <row r="71" spans="1:11">
      <c r="A71" s="37">
        <v>45725</v>
      </c>
      <c r="B71" s="38">
        <f>CHICLETS!D25</f>
        <v>0.45833333333333298</v>
      </c>
      <c r="C71" s="24" t="str">
        <f>CHICLETS!$F$21</f>
        <v>EL TORO HS</v>
      </c>
      <c r="D71" s="39" t="s">
        <v>569</v>
      </c>
      <c r="E71" s="12" t="str">
        <f>F17</f>
        <v>L2(3rdE)-</v>
      </c>
      <c r="F71" s="12"/>
      <c r="G71" s="12" t="str">
        <f>F18</f>
        <v>L3(3rdF)-</v>
      </c>
      <c r="H71" s="12"/>
      <c r="I71" s="27" t="s">
        <v>495</v>
      </c>
      <c r="J71" s="9" t="s">
        <v>157</v>
      </c>
    </row>
    <row r="72" spans="1:11">
      <c r="A72" s="37">
        <v>45725</v>
      </c>
      <c r="B72" s="38">
        <f>CHICLETS!D26</f>
        <v>0.5</v>
      </c>
      <c r="C72" s="24" t="str">
        <f>CHICLETS!$F$21</f>
        <v>EL TORO HS</v>
      </c>
      <c r="D72" s="39" t="s">
        <v>570</v>
      </c>
      <c r="E72" s="12" t="str">
        <f>D17</f>
        <v>J2(2ndE)-</v>
      </c>
      <c r="F72" s="12"/>
      <c r="G72" s="12" t="str">
        <f>D18</f>
        <v>J3(2ndF)-</v>
      </c>
      <c r="H72" s="12"/>
      <c r="I72" s="27" t="s">
        <v>496</v>
      </c>
      <c r="J72" s="9" t="s">
        <v>157</v>
      </c>
    </row>
    <row r="73" spans="1:11">
      <c r="A73" s="37">
        <v>45725</v>
      </c>
      <c r="B73" s="38">
        <f>CHICLETS!D27</f>
        <v>0.54166666666666696</v>
      </c>
      <c r="C73" s="24" t="str">
        <f>CHICLETS!$F$21</f>
        <v>EL TORO HS</v>
      </c>
      <c r="D73" s="39" t="s">
        <v>571</v>
      </c>
      <c r="E73" s="12" t="str">
        <f>E17</f>
        <v>K2(3rdB)-</v>
      </c>
      <c r="F73" s="12"/>
      <c r="G73" s="12" t="str">
        <f>E18</f>
        <v>K3(3rdC)-</v>
      </c>
      <c r="H73" s="12"/>
      <c r="I73" s="27" t="s">
        <v>497</v>
      </c>
      <c r="J73" s="9" t="s">
        <v>157</v>
      </c>
    </row>
    <row r="74" spans="1:11">
      <c r="A74" s="37">
        <v>45725</v>
      </c>
      <c r="B74" s="38">
        <f>CHICLETS!D28</f>
        <v>0.58333333333333304</v>
      </c>
      <c r="C74" s="24" t="str">
        <f>CHICLETS!$F$21</f>
        <v>EL TORO HS</v>
      </c>
      <c r="D74" s="39" t="s">
        <v>572</v>
      </c>
      <c r="E74" s="12" t="str">
        <f>F16</f>
        <v>L1(3rdD)-</v>
      </c>
      <c r="F74" s="12"/>
      <c r="G74" s="12" t="str">
        <f>F17</f>
        <v>L2(3rdE)-</v>
      </c>
      <c r="H74" s="12"/>
      <c r="I74" s="27" t="s">
        <v>498</v>
      </c>
      <c r="J74" s="9" t="s">
        <v>157</v>
      </c>
    </row>
    <row r="75" spans="1:11">
      <c r="A75" s="37">
        <v>45725</v>
      </c>
      <c r="B75" s="38">
        <f>CHICLETS!D29</f>
        <v>0.625</v>
      </c>
      <c r="C75" s="24" t="str">
        <f>CHICLETS!$F$21</f>
        <v>EL TORO HS</v>
      </c>
      <c r="D75" s="39" t="s">
        <v>573</v>
      </c>
      <c r="E75" s="12" t="str">
        <f>D16</f>
        <v>J1(2ndD)-</v>
      </c>
      <c r="F75" s="12"/>
      <c r="G75" s="12" t="str">
        <f>D17</f>
        <v>J2(2ndE)-</v>
      </c>
      <c r="H75" s="12"/>
      <c r="I75" s="27" t="s">
        <v>499</v>
      </c>
      <c r="J75" s="9" t="s">
        <v>157</v>
      </c>
    </row>
    <row r="76" spans="1:11">
      <c r="A76" s="37">
        <v>45725</v>
      </c>
      <c r="B76" s="38">
        <f>CHICLETS!D30</f>
        <v>0.66666666666666696</v>
      </c>
      <c r="C76" s="24" t="str">
        <f>CHICLETS!$F$21</f>
        <v>EL TORO HS</v>
      </c>
      <c r="D76" s="39" t="s">
        <v>574</v>
      </c>
      <c r="E76" s="12" t="str">
        <f>E16</f>
        <v>K1(3rdA)-</v>
      </c>
      <c r="F76" s="12"/>
      <c r="G76" s="12" t="str">
        <f>E17</f>
        <v>K2(3rdB)-</v>
      </c>
      <c r="H76" s="12"/>
      <c r="I76" s="27" t="s">
        <v>500</v>
      </c>
      <c r="J76" s="9" t="s">
        <v>157</v>
      </c>
      <c r="K76" s="40"/>
    </row>
    <row r="77" spans="1:11">
      <c r="A77" s="28"/>
      <c r="B77" s="29"/>
      <c r="C77" s="13"/>
      <c r="J77" s="13"/>
    </row>
    <row r="78" spans="1:11">
      <c r="A78" s="103">
        <v>45725</v>
      </c>
      <c r="B78" s="104">
        <f>CHICLETS!D24</f>
        <v>0.41666666666666702</v>
      </c>
      <c r="C78" s="102" t="str">
        <f>CHICLETS!$E$21</f>
        <v>ESTANCIA HS</v>
      </c>
      <c r="D78" s="101" t="s">
        <v>575</v>
      </c>
      <c r="E78" s="100" t="str">
        <f>G16</f>
        <v>M1(4thF)-</v>
      </c>
      <c r="F78" s="100"/>
      <c r="G78" s="100" t="str">
        <f>G20</f>
        <v>M5(4thD)-</v>
      </c>
      <c r="H78" s="100"/>
      <c r="I78" s="100" t="s">
        <v>576</v>
      </c>
      <c r="J78" s="99" t="s">
        <v>157</v>
      </c>
    </row>
    <row r="79" spans="1:11">
      <c r="A79" s="103">
        <v>45725</v>
      </c>
      <c r="B79" s="104">
        <f>CHICLETS!D25</f>
        <v>0.45833333333333298</v>
      </c>
      <c r="C79" s="102" t="str">
        <f>CHICLETS!$E$21</f>
        <v>ESTANCIA HS</v>
      </c>
      <c r="D79" s="101" t="s">
        <v>577</v>
      </c>
      <c r="E79" s="100" t="str">
        <f>G17</f>
        <v>M2(4thC)-</v>
      </c>
      <c r="F79" s="100"/>
      <c r="G79" s="100" t="str">
        <f>G19</f>
        <v>M4(4thE)-</v>
      </c>
      <c r="H79" s="100"/>
      <c r="I79" s="100" t="s">
        <v>576</v>
      </c>
      <c r="J79" s="99" t="s">
        <v>157</v>
      </c>
    </row>
    <row r="80" spans="1:11">
      <c r="A80" s="28"/>
      <c r="B80" s="29"/>
      <c r="C80" s="13"/>
      <c r="J80" s="13"/>
    </row>
    <row r="81" spans="1:11">
      <c r="A81" s="103">
        <v>45725</v>
      </c>
      <c r="B81" s="104">
        <f>CHICLETS!D28</f>
        <v>0.58333333333333304</v>
      </c>
      <c r="C81" s="102" t="str">
        <f>CHICLETS!$E$21</f>
        <v>ESTANCIA HS</v>
      </c>
      <c r="D81" s="101" t="s">
        <v>578</v>
      </c>
      <c r="E81" s="100" t="str">
        <f>G16</f>
        <v>M1(4thF)-</v>
      </c>
      <c r="F81" s="100"/>
      <c r="G81" s="100" t="str">
        <f>G18</f>
        <v>M3(4thB)-</v>
      </c>
      <c r="H81" s="100"/>
      <c r="I81" s="100" t="s">
        <v>576</v>
      </c>
      <c r="J81" s="99" t="s">
        <v>157</v>
      </c>
    </row>
    <row r="82" spans="1:11">
      <c r="A82" s="103">
        <v>45725</v>
      </c>
      <c r="B82" s="104">
        <f>CHICLETS!D29</f>
        <v>0.625</v>
      </c>
      <c r="C82" s="102" t="str">
        <f>CHICLETS!$E$21</f>
        <v>ESTANCIA HS</v>
      </c>
      <c r="D82" s="101" t="s">
        <v>579</v>
      </c>
      <c r="E82" s="100" t="str">
        <f>G17</f>
        <v>M2(4thC)-</v>
      </c>
      <c r="F82" s="100"/>
      <c r="G82" s="100" t="str">
        <f>G20</f>
        <v>M5(4thD)-</v>
      </c>
      <c r="H82" s="100"/>
      <c r="I82" s="100" t="s">
        <v>576</v>
      </c>
      <c r="J82" s="99" t="s">
        <v>157</v>
      </c>
      <c r="K82" s="40"/>
    </row>
    <row r="83" spans="1:11">
      <c r="A83" s="103">
        <v>45725</v>
      </c>
      <c r="B83" s="102">
        <f>CHICLETS!D30</f>
        <v>0.66666666666666696</v>
      </c>
      <c r="C83" s="102" t="str">
        <f>CHICLETS!$E$21</f>
        <v>ESTANCIA HS</v>
      </c>
      <c r="D83" s="101" t="s">
        <v>580</v>
      </c>
      <c r="E83" s="100" t="str">
        <f>G18</f>
        <v>M3(4thB)-</v>
      </c>
      <c r="F83" s="100"/>
      <c r="G83" s="100" t="str">
        <f>G19</f>
        <v>M4(4thE)-</v>
      </c>
      <c r="H83" s="100"/>
      <c r="I83" s="100" t="s">
        <v>576</v>
      </c>
      <c r="J83" s="99" t="s">
        <v>157</v>
      </c>
    </row>
    <row r="84" spans="1:11">
      <c r="A84" s="28"/>
      <c r="B84" s="29"/>
      <c r="C84" s="13"/>
      <c r="J84" s="13"/>
    </row>
    <row r="85" spans="1:11">
      <c r="A85" s="28"/>
      <c r="B85" s="29"/>
      <c r="I85" s="8" t="s">
        <v>296</v>
      </c>
      <c r="J85" s="21"/>
    </row>
    <row r="86" spans="1:11">
      <c r="A86" s="28"/>
      <c r="I86" s="8" t="s">
        <v>297</v>
      </c>
      <c r="J86" s="21"/>
    </row>
    <row r="87" spans="1:11">
      <c r="A87" s="28"/>
      <c r="C87" s="13"/>
      <c r="I87" s="8" t="s">
        <v>298</v>
      </c>
      <c r="J87" s="21"/>
    </row>
    <row r="88" spans="1:11">
      <c r="A88" s="28"/>
      <c r="C88" s="13"/>
    </row>
    <row r="89" spans="1:11">
      <c r="A89" s="28"/>
      <c r="C89" s="13"/>
    </row>
    <row r="90" spans="1:11">
      <c r="A90" s="28"/>
      <c r="C90" s="13"/>
    </row>
    <row r="91" spans="1:11">
      <c r="A91" s="28"/>
      <c r="C91" s="13"/>
    </row>
    <row r="92" spans="1:11">
      <c r="A92" s="28"/>
      <c r="C92" s="13"/>
    </row>
    <row r="93" spans="1:11">
      <c r="A93" s="28"/>
      <c r="C93" s="13"/>
    </row>
    <row r="94" spans="1:11">
      <c r="A94" s="28"/>
      <c r="C94" s="13"/>
    </row>
    <row r="95" spans="1:11">
      <c r="A95" s="28"/>
      <c r="C95" s="13"/>
    </row>
    <row r="96" spans="1:11">
      <c r="A96" s="28"/>
      <c r="C96" s="13"/>
    </row>
    <row r="97" spans="1:3">
      <c r="A97" s="28"/>
      <c r="C97" s="13"/>
    </row>
    <row r="98" spans="1:3">
      <c r="A98" s="28"/>
      <c r="C98" s="13"/>
    </row>
    <row r="99" spans="1:3">
      <c r="A99" s="28"/>
      <c r="C99" s="13"/>
    </row>
    <row r="100" spans="1:3">
      <c r="A100" s="28"/>
      <c r="C100" s="13"/>
    </row>
    <row r="101" spans="1:3">
      <c r="A101" s="28"/>
      <c r="C101" s="13"/>
    </row>
    <row r="102" spans="1:3">
      <c r="A102" s="28"/>
      <c r="C102" s="13"/>
    </row>
    <row r="103" spans="1:3">
      <c r="A103" s="28"/>
      <c r="C103" s="13"/>
    </row>
    <row r="104" spans="1:3">
      <c r="A104" s="28"/>
      <c r="C104" s="13"/>
    </row>
    <row r="105" spans="1:3">
      <c r="A105" s="28"/>
      <c r="C105" s="13"/>
    </row>
  </sheetData>
  <phoneticPr fontId="16" type="noConversion"/>
  <hyperlinks>
    <hyperlink ref="B2" r:id="rId1" xr:uid="{A3C809F3-CE1D-4350-833A-213E7517979D}"/>
    <hyperlink ref="C2" r:id="rId2" xr:uid="{FFF2043F-0599-4F29-8AE3-1674A58C8ADD}"/>
    <hyperlink ref="A2" r:id="rId3" xr:uid="{960B4A20-1C6E-4423-9552-DD0CF81B96F6}"/>
  </hyperlinks>
  <pageMargins left="0.7" right="0.7" top="0.75" bottom="0.75" header="0.3" footer="0.3"/>
  <pageSetup scale="42" orientation="landscape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1758-3CD7-4714-9F69-E044C503270A}">
  <sheetPr>
    <tabColor rgb="FF83CCEB"/>
    <pageSetUpPr fitToPage="1"/>
  </sheetPr>
  <dimension ref="A1:J94"/>
  <sheetViews>
    <sheetView workbookViewId="0"/>
  </sheetViews>
  <sheetFormatPr defaultColWidth="9.140625" defaultRowHeight="18"/>
  <cols>
    <col min="1" max="1" width="44.140625" style="10" customWidth="1"/>
    <col min="2" max="2" width="42.5703125" style="10" bestFit="1" customWidth="1"/>
    <col min="3" max="3" width="43.7109375" style="10" customWidth="1"/>
    <col min="4" max="4" width="41.140625" style="10" customWidth="1"/>
    <col min="5" max="5" width="42.5703125" style="10" bestFit="1" customWidth="1"/>
    <col min="6" max="6" width="35.42578125" style="10" customWidth="1"/>
    <col min="7" max="7" width="41.140625" style="10" customWidth="1"/>
    <col min="8" max="8" width="35.42578125" style="10" customWidth="1"/>
    <col min="9" max="9" width="23.5703125" style="10" customWidth="1"/>
    <col min="10" max="10" width="29.42578125" style="10" customWidth="1"/>
    <col min="11" max="16384" width="9.140625" style="10"/>
  </cols>
  <sheetData>
    <row r="1" spans="1:8">
      <c r="A1" s="41" t="s">
        <v>433</v>
      </c>
      <c r="B1" s="41" t="s">
        <v>581</v>
      </c>
      <c r="C1" s="2" t="s">
        <v>237</v>
      </c>
      <c r="D1" s="41" t="s">
        <v>582</v>
      </c>
      <c r="E1" s="41" t="s">
        <v>583</v>
      </c>
    </row>
    <row r="2" spans="1:8">
      <c r="A2" s="41" t="s">
        <v>3</v>
      </c>
      <c r="B2" s="41" t="s">
        <v>4</v>
      </c>
      <c r="C2" s="41" t="s">
        <v>5</v>
      </c>
      <c r="D2" s="41" t="s">
        <v>20</v>
      </c>
      <c r="E2" s="41" t="s">
        <v>21</v>
      </c>
      <c r="F2" s="41" t="s">
        <v>22</v>
      </c>
      <c r="G2" s="41" t="s">
        <v>584</v>
      </c>
      <c r="H2" s="41" t="s">
        <v>585</v>
      </c>
    </row>
    <row r="3" spans="1:8">
      <c r="A3" s="10" t="s">
        <v>524</v>
      </c>
      <c r="B3" s="10" t="s">
        <v>586</v>
      </c>
      <c r="C3" s="10" t="s">
        <v>587</v>
      </c>
      <c r="D3" s="10" t="s">
        <v>588</v>
      </c>
      <c r="E3" s="10" t="s">
        <v>589</v>
      </c>
      <c r="F3" s="10" t="s">
        <v>590</v>
      </c>
      <c r="G3" s="10" t="s">
        <v>591</v>
      </c>
      <c r="H3" s="10" t="s">
        <v>592</v>
      </c>
    </row>
    <row r="4" spans="1:8">
      <c r="A4" s="10" t="s">
        <v>593</v>
      </c>
      <c r="B4" s="10" t="s">
        <v>594</v>
      </c>
      <c r="C4" s="10" t="s">
        <v>595</v>
      </c>
      <c r="D4" s="10" t="s">
        <v>596</v>
      </c>
      <c r="E4" s="10" t="s">
        <v>597</v>
      </c>
      <c r="F4" s="10" t="s">
        <v>598</v>
      </c>
      <c r="G4" s="10" t="s">
        <v>599</v>
      </c>
      <c r="H4" s="10" t="s">
        <v>600</v>
      </c>
    </row>
    <row r="5" spans="1:8">
      <c r="A5" s="10" t="s">
        <v>601</v>
      </c>
      <c r="B5" s="10" t="s">
        <v>602</v>
      </c>
      <c r="C5" s="10" t="s">
        <v>603</v>
      </c>
      <c r="D5" s="10" t="s">
        <v>604</v>
      </c>
      <c r="E5" s="10" t="s">
        <v>605</v>
      </c>
      <c r="F5" s="10" t="s">
        <v>606</v>
      </c>
      <c r="G5" s="10" t="s">
        <v>607</v>
      </c>
      <c r="H5" s="10" t="s">
        <v>608</v>
      </c>
    </row>
    <row r="6" spans="1:8">
      <c r="F6" s="10" t="s">
        <v>609</v>
      </c>
      <c r="G6" s="10" t="s">
        <v>610</v>
      </c>
      <c r="H6" s="10" t="s">
        <v>611</v>
      </c>
    </row>
    <row r="8" spans="1:8">
      <c r="A8" s="41" t="s">
        <v>612</v>
      </c>
      <c r="B8" s="41" t="s">
        <v>613</v>
      </c>
      <c r="C8" s="41" t="s">
        <v>614</v>
      </c>
      <c r="D8" s="41" t="s">
        <v>615</v>
      </c>
    </row>
    <row r="9" spans="1:8">
      <c r="A9" s="10" t="s">
        <v>616</v>
      </c>
      <c r="B9" s="10" t="s">
        <v>617</v>
      </c>
      <c r="C9" s="10" t="s">
        <v>618</v>
      </c>
      <c r="D9" s="10" t="s">
        <v>619</v>
      </c>
    </row>
    <row r="10" spans="1:8">
      <c r="A10" s="10" t="s">
        <v>620</v>
      </c>
      <c r="B10" s="10" t="s">
        <v>621</v>
      </c>
      <c r="C10" s="10" t="s">
        <v>622</v>
      </c>
      <c r="D10" s="10" t="s">
        <v>623</v>
      </c>
    </row>
    <row r="11" spans="1:8">
      <c r="A11" s="10" t="s">
        <v>624</v>
      </c>
      <c r="B11" s="10" t="s">
        <v>625</v>
      </c>
      <c r="C11" s="10" t="s">
        <v>626</v>
      </c>
      <c r="D11" s="10" t="s">
        <v>627</v>
      </c>
    </row>
    <row r="12" spans="1:8">
      <c r="A12" s="10" t="s">
        <v>628</v>
      </c>
      <c r="B12" s="10" t="s">
        <v>629</v>
      </c>
      <c r="C12" s="10" t="s">
        <v>630</v>
      </c>
    </row>
    <row r="13" spans="1:8">
      <c r="A13" s="10" t="s">
        <v>631</v>
      </c>
      <c r="B13" s="10" t="s">
        <v>632</v>
      </c>
      <c r="C13" s="10" t="s">
        <v>633</v>
      </c>
    </row>
    <row r="14" spans="1:8">
      <c r="A14" s="10" t="s">
        <v>634</v>
      </c>
      <c r="B14" s="10" t="s">
        <v>635</v>
      </c>
      <c r="C14" s="10" t="s">
        <v>636</v>
      </c>
    </row>
    <row r="15" spans="1:8">
      <c r="A15" s="10" t="s">
        <v>637</v>
      </c>
      <c r="B15" s="10" t="s">
        <v>638</v>
      </c>
      <c r="C15" s="10" t="s">
        <v>639</v>
      </c>
    </row>
    <row r="16" spans="1:8">
      <c r="A16" s="10" t="s">
        <v>640</v>
      </c>
      <c r="B16" s="10" t="s">
        <v>641</v>
      </c>
      <c r="C16" s="10" t="s">
        <v>642</v>
      </c>
    </row>
    <row r="18" spans="1:10">
      <c r="A18" s="1" t="s">
        <v>251</v>
      </c>
      <c r="B18" s="17" t="s">
        <v>252</v>
      </c>
      <c r="C18" s="1" t="s">
        <v>253</v>
      </c>
      <c r="D18" s="1" t="s">
        <v>254</v>
      </c>
      <c r="E18" s="1" t="s">
        <v>255</v>
      </c>
      <c r="F18" s="1" t="s">
        <v>256</v>
      </c>
      <c r="G18" s="1" t="s">
        <v>257</v>
      </c>
      <c r="H18" s="1" t="s">
        <v>256</v>
      </c>
      <c r="I18" s="1" t="s">
        <v>258</v>
      </c>
      <c r="J18" s="1" t="s">
        <v>259</v>
      </c>
    </row>
    <row r="19" spans="1:10">
      <c r="A19" s="111">
        <v>45724</v>
      </c>
      <c r="B19" s="110"/>
      <c r="C19" s="110"/>
      <c r="D19" s="106" t="s">
        <v>182</v>
      </c>
      <c r="E19" s="106" t="str">
        <f>A3</f>
        <v>A1(1)-LAMORINDA</v>
      </c>
      <c r="F19" s="106"/>
      <c r="G19" s="106" t="str">
        <f>A5</f>
        <v>A3(17)-CHAWP</v>
      </c>
      <c r="H19" s="106"/>
      <c r="I19" s="106" t="s">
        <v>261</v>
      </c>
      <c r="J19" s="106" t="s">
        <v>457</v>
      </c>
    </row>
    <row r="20" spans="1:10">
      <c r="A20" s="111">
        <v>45724</v>
      </c>
      <c r="B20" s="110"/>
      <c r="C20" s="110"/>
      <c r="D20" s="106" t="s">
        <v>186</v>
      </c>
      <c r="E20" s="106" t="str">
        <f>B3</f>
        <v>B1(2)-NORTH IRVINE BEAST BOYS</v>
      </c>
      <c r="F20" s="106"/>
      <c r="G20" s="106" t="str">
        <f>B5</f>
        <v>B3(18)-PATRIOT</v>
      </c>
      <c r="H20" s="106"/>
      <c r="I20" s="106" t="s">
        <v>263</v>
      </c>
      <c r="J20" s="106" t="s">
        <v>457</v>
      </c>
    </row>
    <row r="21" spans="1:10">
      <c r="A21" s="111">
        <v>45724</v>
      </c>
      <c r="B21" s="110"/>
      <c r="C21" s="110"/>
      <c r="D21" s="106" t="s">
        <v>188</v>
      </c>
      <c r="E21" s="106" t="str">
        <f>C3</f>
        <v>C1(3)-DEL MAR</v>
      </c>
      <c r="F21" s="106"/>
      <c r="G21" s="106" t="str">
        <f>C5</f>
        <v>C3(19)-MONARCHY</v>
      </c>
      <c r="H21" s="106"/>
      <c r="I21" s="106" t="s">
        <v>277</v>
      </c>
      <c r="J21" s="106" t="s">
        <v>457</v>
      </c>
    </row>
    <row r="22" spans="1:10">
      <c r="A22" s="111">
        <v>45724</v>
      </c>
      <c r="B22" s="110"/>
      <c r="C22" s="110"/>
      <c r="D22" s="106" t="s">
        <v>190</v>
      </c>
      <c r="E22" s="106" t="str">
        <f>A4</f>
        <v>A2(16)-IMPERIAL BLUE</v>
      </c>
      <c r="F22" s="106"/>
      <c r="G22" s="106" t="str">
        <f>A5</f>
        <v>A3(17)-CHAWP</v>
      </c>
      <c r="H22" s="106"/>
      <c r="I22" s="106" t="s">
        <v>267</v>
      </c>
      <c r="J22" s="106" t="s">
        <v>457</v>
      </c>
    </row>
    <row r="23" spans="1:10">
      <c r="A23" s="111">
        <v>45724</v>
      </c>
      <c r="B23" s="110"/>
      <c r="C23" s="110"/>
      <c r="D23" s="106" t="s">
        <v>192</v>
      </c>
      <c r="E23" s="106" t="str">
        <f>B4</f>
        <v>B2(15)-DIABLO RED</v>
      </c>
      <c r="F23" s="106"/>
      <c r="G23" s="106" t="str">
        <f>B5</f>
        <v>B3(18)-PATRIOT</v>
      </c>
      <c r="H23" s="106"/>
      <c r="I23" s="106" t="s">
        <v>275</v>
      </c>
      <c r="J23" s="106" t="s">
        <v>457</v>
      </c>
    </row>
    <row r="24" spans="1:10">
      <c r="A24" s="111">
        <v>45724</v>
      </c>
      <c r="B24" s="110"/>
      <c r="C24" s="110"/>
      <c r="D24" s="106" t="s">
        <v>195</v>
      </c>
      <c r="E24" s="106" t="str">
        <f>C4</f>
        <v>C2(14)-LA JOLLA UNITED NAVY</v>
      </c>
      <c r="F24" s="106"/>
      <c r="G24" s="106" t="str">
        <f>C5</f>
        <v>C3(19)-MONARCHY</v>
      </c>
      <c r="H24" s="106"/>
      <c r="I24" s="106" t="s">
        <v>271</v>
      </c>
      <c r="J24" s="106" t="s">
        <v>457</v>
      </c>
    </row>
    <row r="25" spans="1:10">
      <c r="A25" s="111">
        <v>45724</v>
      </c>
      <c r="B25" s="110"/>
      <c r="C25" s="110"/>
      <c r="D25" s="106" t="s">
        <v>197</v>
      </c>
      <c r="E25" s="106" t="str">
        <f>A3</f>
        <v>A1(1)-LAMORINDA</v>
      </c>
      <c r="F25" s="106"/>
      <c r="G25" s="106" t="str">
        <f>A4</f>
        <v>A2(16)-IMPERIAL BLUE</v>
      </c>
      <c r="H25" s="106"/>
      <c r="I25" s="106" t="s">
        <v>273</v>
      </c>
      <c r="J25" s="106" t="s">
        <v>457</v>
      </c>
    </row>
    <row r="26" spans="1:10">
      <c r="A26" s="111">
        <v>45724</v>
      </c>
      <c r="B26" s="110"/>
      <c r="C26" s="110"/>
      <c r="D26" s="106" t="s">
        <v>199</v>
      </c>
      <c r="E26" s="106" t="str">
        <f>B3</f>
        <v>B1(2)-NORTH IRVINE BEAST BOYS</v>
      </c>
      <c r="F26" s="106"/>
      <c r="G26" s="106" t="str">
        <f>B4</f>
        <v>B2(15)-DIABLO RED</v>
      </c>
      <c r="H26" s="106"/>
      <c r="I26" s="106" t="s">
        <v>269</v>
      </c>
      <c r="J26" s="106" t="s">
        <v>457</v>
      </c>
    </row>
    <row r="27" spans="1:10">
      <c r="A27" s="111">
        <v>45724</v>
      </c>
      <c r="B27" s="110"/>
      <c r="C27" s="110"/>
      <c r="D27" s="106" t="s">
        <v>202</v>
      </c>
      <c r="E27" s="106" t="str">
        <f>C3</f>
        <v>C1(3)-DEL MAR</v>
      </c>
      <c r="F27" s="106"/>
      <c r="G27" s="106" t="str">
        <f>C4</f>
        <v>C2(14)-LA JOLLA UNITED NAVY</v>
      </c>
      <c r="H27" s="106"/>
      <c r="I27" s="106" t="s">
        <v>265</v>
      </c>
      <c r="J27" s="106" t="s">
        <v>457</v>
      </c>
    </row>
    <row r="28" spans="1:10">
      <c r="A28" s="3"/>
      <c r="B28" s="3"/>
      <c r="C28" s="3"/>
      <c r="E28" s="3"/>
      <c r="F28" s="3"/>
      <c r="G28" s="3"/>
      <c r="H28" s="3"/>
      <c r="I28" s="3"/>
      <c r="J28" s="3"/>
    </row>
    <row r="29" spans="1:10">
      <c r="A29" s="111">
        <v>45724</v>
      </c>
      <c r="B29" s="110"/>
      <c r="C29" s="110"/>
      <c r="D29" s="106" t="s">
        <v>178</v>
      </c>
      <c r="E29" s="106" t="str">
        <f>D3</f>
        <v>D1(4)-NEWPORT</v>
      </c>
      <c r="F29" s="106"/>
      <c r="G29" s="106" t="str">
        <f>D5</f>
        <v>D3(20)-ORANGE COUNTY WPC BLUE</v>
      </c>
      <c r="H29" s="106"/>
      <c r="I29" s="106" t="s">
        <v>359</v>
      </c>
      <c r="J29" s="106" t="s">
        <v>457</v>
      </c>
    </row>
    <row r="30" spans="1:10">
      <c r="A30" s="111">
        <v>45724</v>
      </c>
      <c r="B30" s="110"/>
      <c r="C30" s="110"/>
      <c r="D30" s="106" t="s">
        <v>177</v>
      </c>
      <c r="E30" s="111" t="str">
        <f>E3</f>
        <v>E1(5)-CC UNITED</v>
      </c>
      <c r="F30" s="106"/>
      <c r="G30" s="111" t="str">
        <f>E5</f>
        <v>E3(21)-FOOTHILL RED</v>
      </c>
      <c r="H30" s="106"/>
      <c r="I30" s="106" t="s">
        <v>357</v>
      </c>
      <c r="J30" s="106" t="s">
        <v>457</v>
      </c>
    </row>
    <row r="31" spans="1:10">
      <c r="A31" s="111">
        <v>45724</v>
      </c>
      <c r="B31" s="110"/>
      <c r="C31" s="110"/>
      <c r="D31" s="106" t="s">
        <v>180</v>
      </c>
      <c r="E31" s="111" t="str">
        <f>F3</f>
        <v>F1(6)-CHANNEL ISLANDS GOLD</v>
      </c>
      <c r="F31" s="106"/>
      <c r="G31" s="111" t="str">
        <f>F6</f>
        <v>F4(27)-FOOTHILL BLACK</v>
      </c>
      <c r="H31" s="106"/>
      <c r="I31" s="106" t="s">
        <v>361</v>
      </c>
      <c r="J31" s="106" t="s">
        <v>457</v>
      </c>
    </row>
    <row r="32" spans="1:10">
      <c r="A32" s="111">
        <v>45724</v>
      </c>
      <c r="B32" s="110"/>
      <c r="C32" s="110"/>
      <c r="D32" s="106" t="s">
        <v>184</v>
      </c>
      <c r="E32" s="106" t="str">
        <f>F4</f>
        <v>F2(11)-STANFORD</v>
      </c>
      <c r="F32" s="106"/>
      <c r="G32" s="106" t="str">
        <f>F5</f>
        <v>F3(22)-ROSE BOWL RED</v>
      </c>
      <c r="H32" s="106"/>
      <c r="I32" s="106" t="s">
        <v>365</v>
      </c>
      <c r="J32" s="106" t="s">
        <v>457</v>
      </c>
    </row>
    <row r="33" spans="1:10">
      <c r="A33" s="111">
        <v>45724</v>
      </c>
      <c r="B33" s="110"/>
      <c r="C33" s="110"/>
      <c r="D33" s="106" t="s">
        <v>187</v>
      </c>
      <c r="E33" s="106" t="str">
        <f>D4</f>
        <v>D2(13)-VANGUARD BLUE</v>
      </c>
      <c r="F33" s="106"/>
      <c r="G33" s="106" t="str">
        <f>D5</f>
        <v>D3(20)-ORANGE COUNTY WPC BLUE</v>
      </c>
      <c r="H33" s="106"/>
      <c r="I33" s="106" t="s">
        <v>367</v>
      </c>
      <c r="J33" s="106" t="s">
        <v>457</v>
      </c>
    </row>
    <row r="34" spans="1:10">
      <c r="A34" s="111">
        <v>45724</v>
      </c>
      <c r="B34" s="110"/>
      <c r="C34" s="110"/>
      <c r="D34" s="106" t="s">
        <v>189</v>
      </c>
      <c r="E34" s="111" t="str">
        <f>E4</f>
        <v>E2(12)-LA PREMIER</v>
      </c>
      <c r="F34" s="106"/>
      <c r="G34" s="111" t="str">
        <f>E5</f>
        <v>E3(21)-FOOTHILL RED</v>
      </c>
      <c r="H34" s="106"/>
      <c r="I34" s="106" t="s">
        <v>363</v>
      </c>
      <c r="J34" s="106" t="s">
        <v>457</v>
      </c>
    </row>
    <row r="35" spans="1:10">
      <c r="A35" s="111">
        <v>45724</v>
      </c>
      <c r="B35" s="110"/>
      <c r="C35" s="110"/>
      <c r="D35" s="106" t="s">
        <v>191</v>
      </c>
      <c r="E35" s="108" t="s">
        <v>643</v>
      </c>
      <c r="F35" s="108"/>
      <c r="G35" s="108" t="s">
        <v>644</v>
      </c>
      <c r="H35" s="108"/>
      <c r="I35" s="108" t="s">
        <v>483</v>
      </c>
      <c r="J35" s="106" t="s">
        <v>457</v>
      </c>
    </row>
    <row r="36" spans="1:10">
      <c r="A36" s="111">
        <v>45724</v>
      </c>
      <c r="B36" s="110"/>
      <c r="C36" s="110"/>
      <c r="D36" s="106" t="s">
        <v>194</v>
      </c>
      <c r="E36" s="106" t="s">
        <v>645</v>
      </c>
      <c r="F36" s="106"/>
      <c r="G36" s="106" t="s">
        <v>646</v>
      </c>
      <c r="H36" s="106"/>
      <c r="I36" s="106" t="s">
        <v>482</v>
      </c>
      <c r="J36" s="106" t="s">
        <v>457</v>
      </c>
    </row>
    <row r="37" spans="1:10">
      <c r="A37" s="111">
        <v>45724</v>
      </c>
      <c r="B37" s="110"/>
      <c r="C37" s="110"/>
      <c r="D37" s="106" t="s">
        <v>196</v>
      </c>
      <c r="E37" s="106" t="str">
        <f>D3</f>
        <v>D1(4)-NEWPORT</v>
      </c>
      <c r="F37" s="106"/>
      <c r="G37" s="106" t="str">
        <f>D4</f>
        <v>D2(13)-VANGUARD BLUE</v>
      </c>
      <c r="H37" s="106"/>
      <c r="I37" s="106" t="s">
        <v>375</v>
      </c>
      <c r="J37" s="106" t="s">
        <v>457</v>
      </c>
    </row>
    <row r="38" spans="1:10">
      <c r="A38" s="111">
        <v>45724</v>
      </c>
      <c r="B38" s="110"/>
      <c r="C38" s="110"/>
      <c r="D38" s="106" t="s">
        <v>198</v>
      </c>
      <c r="E38" s="106" t="str">
        <f>E3</f>
        <v>E1(5)-CC UNITED</v>
      </c>
      <c r="F38" s="106"/>
      <c r="G38" s="106" t="str">
        <f>E4</f>
        <v>E2(12)-LA PREMIER</v>
      </c>
      <c r="H38" s="106"/>
      <c r="I38" s="106" t="s">
        <v>369</v>
      </c>
      <c r="J38" s="106" t="s">
        <v>457</v>
      </c>
    </row>
    <row r="39" spans="1:10">
      <c r="A39" s="3"/>
      <c r="B39" s="3"/>
      <c r="C39" s="3"/>
      <c r="E39" s="3"/>
      <c r="F39" s="3"/>
      <c r="G39" s="3"/>
      <c r="H39" s="3"/>
      <c r="I39" s="3"/>
      <c r="J39" s="3"/>
    </row>
    <row r="40" spans="1:10">
      <c r="A40" s="111">
        <v>45724</v>
      </c>
      <c r="B40" s="113"/>
      <c r="C40" s="108"/>
      <c r="D40" s="106" t="s">
        <v>179</v>
      </c>
      <c r="E40" s="106" t="str">
        <f>H3</f>
        <v>H1(8)-SD SHORES BLACK</v>
      </c>
      <c r="F40" s="106"/>
      <c r="G40" s="106" t="str">
        <f>H6</f>
        <v>H4(25)-IMPERIAL GREEN</v>
      </c>
      <c r="H40" s="106"/>
      <c r="I40" s="106" t="s">
        <v>647</v>
      </c>
      <c r="J40" s="106" t="s">
        <v>457</v>
      </c>
    </row>
    <row r="41" spans="1:10">
      <c r="A41" s="111">
        <v>45724</v>
      </c>
      <c r="B41" s="113"/>
      <c r="C41" s="110"/>
      <c r="D41" s="106" t="s">
        <v>181</v>
      </c>
      <c r="E41" s="106" t="str">
        <f>H4</f>
        <v>H2(9)-SAN FRANCISCO</v>
      </c>
      <c r="F41" s="106"/>
      <c r="G41" s="106" t="str">
        <f>H5</f>
        <v>H3(24)-NORTH IRVINE VEGAS</v>
      </c>
      <c r="H41" s="106"/>
      <c r="I41" s="106" t="s">
        <v>648</v>
      </c>
      <c r="J41" s="106" t="s">
        <v>457</v>
      </c>
    </row>
    <row r="42" spans="1:10">
      <c r="A42" s="111">
        <v>45724</v>
      </c>
      <c r="B42" s="113"/>
      <c r="C42" s="110"/>
      <c r="D42" s="106" t="s">
        <v>185</v>
      </c>
      <c r="E42" s="108" t="str">
        <f>G3</f>
        <v>G1(7)-TROJAN</v>
      </c>
      <c r="F42" s="108"/>
      <c r="G42" s="108" t="str">
        <f>G6</f>
        <v>G4(26)-ORANGE COUNTY WPC RED</v>
      </c>
      <c r="H42" s="108"/>
      <c r="I42" s="108" t="s">
        <v>649</v>
      </c>
      <c r="J42" s="106" t="s">
        <v>457</v>
      </c>
    </row>
    <row r="43" spans="1:10">
      <c r="A43" s="111">
        <v>45724</v>
      </c>
      <c r="B43" s="113"/>
      <c r="C43" s="108"/>
      <c r="D43" s="106" t="s">
        <v>183</v>
      </c>
      <c r="E43" s="106" t="str">
        <f>G4</f>
        <v>G2(10)-SOCAL BLACK</v>
      </c>
      <c r="F43" s="106"/>
      <c r="G43" s="106" t="str">
        <f>G5</f>
        <v>G3(23)-TEXAS THUNDER</v>
      </c>
      <c r="H43" s="106"/>
      <c r="I43" s="106" t="s">
        <v>650</v>
      </c>
      <c r="J43" s="106" t="s">
        <v>457</v>
      </c>
    </row>
    <row r="44" spans="1:10">
      <c r="A44" s="111">
        <v>45724</v>
      </c>
      <c r="B44" s="113"/>
      <c r="C44" s="108"/>
      <c r="D44" s="106" t="s">
        <v>193</v>
      </c>
      <c r="E44" s="106" t="s">
        <v>651</v>
      </c>
      <c r="F44" s="106"/>
      <c r="G44" s="106" t="s">
        <v>652</v>
      </c>
      <c r="H44" s="106"/>
      <c r="I44" s="106" t="s">
        <v>653</v>
      </c>
      <c r="J44" s="106" t="s">
        <v>457</v>
      </c>
    </row>
    <row r="45" spans="1:10">
      <c r="A45" s="111">
        <v>45724</v>
      </c>
      <c r="B45" s="113"/>
      <c r="C45" s="110"/>
      <c r="D45" s="106" t="s">
        <v>201</v>
      </c>
      <c r="E45" s="106" t="s">
        <v>654</v>
      </c>
      <c r="F45" s="106"/>
      <c r="G45" s="106" t="s">
        <v>655</v>
      </c>
      <c r="H45" s="106"/>
      <c r="I45" s="106" t="s">
        <v>656</v>
      </c>
      <c r="J45" s="106" t="s">
        <v>457</v>
      </c>
    </row>
    <row r="46" spans="1:10">
      <c r="A46" s="111">
        <v>45724</v>
      </c>
      <c r="B46" s="113"/>
      <c r="C46" s="110"/>
      <c r="D46" s="106" t="s">
        <v>200</v>
      </c>
      <c r="E46" s="106" t="s">
        <v>657</v>
      </c>
      <c r="F46" s="106"/>
      <c r="G46" s="106" t="s">
        <v>658</v>
      </c>
      <c r="H46" s="106"/>
      <c r="I46" s="106" t="s">
        <v>659</v>
      </c>
      <c r="J46" s="106" t="s">
        <v>457</v>
      </c>
    </row>
    <row r="47" spans="1:10">
      <c r="A47" s="111">
        <v>45724</v>
      </c>
      <c r="B47" s="113"/>
      <c r="C47" s="108"/>
      <c r="D47" s="106" t="s">
        <v>203</v>
      </c>
      <c r="E47" s="106" t="s">
        <v>660</v>
      </c>
      <c r="F47" s="106"/>
      <c r="G47" s="106" t="s">
        <v>661</v>
      </c>
      <c r="H47" s="106"/>
      <c r="I47" s="106" t="s">
        <v>662</v>
      </c>
      <c r="J47" s="106" t="s">
        <v>457</v>
      </c>
    </row>
    <row r="48" spans="1:10">
      <c r="A48" s="3"/>
      <c r="B48" s="3"/>
      <c r="C48" s="3"/>
      <c r="J48" s="3"/>
    </row>
    <row r="49" spans="1:10">
      <c r="A49" s="111">
        <v>45724</v>
      </c>
      <c r="B49" s="110"/>
      <c r="C49" s="110"/>
      <c r="D49" s="108" t="s">
        <v>204</v>
      </c>
      <c r="E49" s="106" t="str">
        <f>A9</f>
        <v>J1(1stA)-</v>
      </c>
      <c r="F49" s="106"/>
      <c r="G49" s="106" t="str">
        <f>A16</f>
        <v>J8(1stH)-</v>
      </c>
      <c r="H49" s="106"/>
      <c r="I49" s="106" t="s">
        <v>663</v>
      </c>
      <c r="J49" s="106" t="s">
        <v>457</v>
      </c>
    </row>
    <row r="50" spans="1:10">
      <c r="A50" s="111">
        <v>45724</v>
      </c>
      <c r="B50" s="110"/>
      <c r="C50" s="110"/>
      <c r="D50" s="108" t="s">
        <v>207</v>
      </c>
      <c r="E50" s="106" t="str">
        <f>A10</f>
        <v>J2(1stB)-</v>
      </c>
      <c r="F50" s="106"/>
      <c r="G50" s="106" t="str">
        <f>A15</f>
        <v>J7(1stG)-</v>
      </c>
      <c r="H50" s="106"/>
      <c r="I50" s="106" t="s">
        <v>664</v>
      </c>
      <c r="J50" s="106" t="s">
        <v>457</v>
      </c>
    </row>
    <row r="51" spans="1:10">
      <c r="A51" s="111">
        <v>45724</v>
      </c>
      <c r="B51" s="110"/>
      <c r="C51" s="110"/>
      <c r="D51" s="108" t="s">
        <v>205</v>
      </c>
      <c r="E51" s="106" t="str">
        <f>A11</f>
        <v>J3(1stC)-</v>
      </c>
      <c r="F51" s="106"/>
      <c r="G51" s="106" t="str">
        <f>A14</f>
        <v>J6(1stF)-</v>
      </c>
      <c r="H51" s="106"/>
      <c r="I51" s="106" t="s">
        <v>665</v>
      </c>
      <c r="J51" s="106" t="s">
        <v>457</v>
      </c>
    </row>
    <row r="52" spans="1:10">
      <c r="A52" s="111">
        <v>45724</v>
      </c>
      <c r="B52" s="110"/>
      <c r="C52" s="110"/>
      <c r="D52" s="108" t="s">
        <v>206</v>
      </c>
      <c r="E52" s="106" t="str">
        <f>A12</f>
        <v>J4(1stD)-</v>
      </c>
      <c r="F52" s="106"/>
      <c r="G52" s="106" t="str">
        <f>A13</f>
        <v>J5(1stE)-</v>
      </c>
      <c r="H52" s="106"/>
      <c r="I52" s="106" t="s">
        <v>666</v>
      </c>
      <c r="J52" s="106" t="s">
        <v>457</v>
      </c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>
      <c r="A55" s="1"/>
      <c r="B55" s="17"/>
      <c r="C55" s="1"/>
      <c r="D55" s="1"/>
      <c r="E55" s="1"/>
      <c r="F55" s="1"/>
      <c r="G55" s="1"/>
      <c r="H55" s="1"/>
      <c r="I55" s="1"/>
      <c r="J55" s="1"/>
    </row>
    <row r="56" spans="1:10">
      <c r="A56" s="111">
        <v>45725</v>
      </c>
      <c r="B56" s="110"/>
      <c r="C56" s="110"/>
      <c r="D56" s="106" t="s">
        <v>210</v>
      </c>
      <c r="E56" s="106" t="str">
        <f>D9</f>
        <v>M1(4thH)-</v>
      </c>
      <c r="F56" s="106"/>
      <c r="G56" s="106" t="str">
        <f>D11</f>
        <v>M3(4thF)-</v>
      </c>
      <c r="H56" s="106"/>
      <c r="I56" s="106" t="s">
        <v>667</v>
      </c>
      <c r="J56" s="106" t="s">
        <v>457</v>
      </c>
    </row>
    <row r="57" spans="1:10">
      <c r="A57" s="111">
        <v>45725</v>
      </c>
      <c r="B57" s="110"/>
      <c r="C57" s="110"/>
      <c r="D57" s="106" t="s">
        <v>213</v>
      </c>
      <c r="E57" s="106" t="s">
        <v>668</v>
      </c>
      <c r="F57" s="106"/>
      <c r="G57" s="106" t="s">
        <v>669</v>
      </c>
      <c r="H57" s="106"/>
      <c r="I57" s="106" t="s">
        <v>670</v>
      </c>
      <c r="J57" s="106" t="s">
        <v>457</v>
      </c>
    </row>
    <row r="58" spans="1:10">
      <c r="A58" s="111">
        <v>45725</v>
      </c>
      <c r="B58" s="110"/>
      <c r="C58" s="110"/>
      <c r="D58" s="106" t="s">
        <v>216</v>
      </c>
      <c r="E58" s="106" t="s">
        <v>671</v>
      </c>
      <c r="F58" s="106"/>
      <c r="G58" s="106" t="s">
        <v>672</v>
      </c>
      <c r="H58" s="106"/>
      <c r="I58" s="106" t="s">
        <v>673</v>
      </c>
      <c r="J58" s="106" t="s">
        <v>457</v>
      </c>
    </row>
    <row r="59" spans="1:10">
      <c r="A59" s="111">
        <v>45725</v>
      </c>
      <c r="B59" s="110"/>
      <c r="C59" s="110"/>
      <c r="D59" s="106" t="s">
        <v>219</v>
      </c>
      <c r="E59" s="106" t="s">
        <v>674</v>
      </c>
      <c r="F59" s="106"/>
      <c r="G59" s="106" t="s">
        <v>675</v>
      </c>
      <c r="H59" s="106"/>
      <c r="I59" s="106" t="s">
        <v>676</v>
      </c>
      <c r="J59" s="106" t="s">
        <v>457</v>
      </c>
    </row>
    <row r="60" spans="1:10">
      <c r="A60" s="111">
        <v>45725</v>
      </c>
      <c r="B60" s="110"/>
      <c r="C60" s="110"/>
      <c r="D60" s="106" t="s">
        <v>222</v>
      </c>
      <c r="E60" s="106" t="s">
        <v>677</v>
      </c>
      <c r="F60" s="106"/>
      <c r="G60" s="106" t="s">
        <v>678</v>
      </c>
      <c r="H60" s="106"/>
      <c r="I60" s="106" t="s">
        <v>679</v>
      </c>
      <c r="J60" s="106" t="s">
        <v>457</v>
      </c>
    </row>
    <row r="61" spans="1:10">
      <c r="A61" s="111">
        <v>45725</v>
      </c>
      <c r="B61" s="110"/>
      <c r="C61" s="110"/>
      <c r="D61" s="106" t="s">
        <v>225</v>
      </c>
      <c r="E61" s="106" t="s">
        <v>680</v>
      </c>
      <c r="F61" s="106"/>
      <c r="G61" s="106" t="s">
        <v>681</v>
      </c>
      <c r="H61" s="106"/>
      <c r="I61" s="106" t="s">
        <v>682</v>
      </c>
      <c r="J61" s="106" t="s">
        <v>457</v>
      </c>
    </row>
    <row r="62" spans="1:10">
      <c r="A62" s="111">
        <v>45725</v>
      </c>
      <c r="B62" s="110"/>
      <c r="C62" s="110"/>
      <c r="D62" s="106" t="s">
        <v>228</v>
      </c>
      <c r="E62" s="106" t="s">
        <v>683</v>
      </c>
      <c r="F62" s="106"/>
      <c r="G62" s="106" t="s">
        <v>684</v>
      </c>
      <c r="H62" s="106"/>
      <c r="I62" s="106" t="s">
        <v>685</v>
      </c>
      <c r="J62" s="106" t="s">
        <v>457</v>
      </c>
    </row>
    <row r="63" spans="1:10">
      <c r="A63" s="111">
        <v>45725</v>
      </c>
      <c r="B63" s="110"/>
      <c r="C63" s="110"/>
      <c r="D63" s="106" t="s">
        <v>231</v>
      </c>
      <c r="E63" s="106" t="s">
        <v>686</v>
      </c>
      <c r="F63" s="106"/>
      <c r="G63" s="106" t="s">
        <v>687</v>
      </c>
      <c r="H63" s="106"/>
      <c r="I63" s="106" t="s">
        <v>298</v>
      </c>
      <c r="J63" s="106" t="s">
        <v>457</v>
      </c>
    </row>
    <row r="64" spans="1:10">
      <c r="A64" s="111">
        <v>45725</v>
      </c>
      <c r="B64" s="110"/>
      <c r="C64" s="110"/>
      <c r="D64" s="106" t="s">
        <v>234</v>
      </c>
      <c r="E64" s="106" t="s">
        <v>688</v>
      </c>
      <c r="F64" s="106"/>
      <c r="G64" s="106" t="s">
        <v>689</v>
      </c>
      <c r="H64" s="106"/>
      <c r="I64" s="106" t="s">
        <v>296</v>
      </c>
      <c r="J64" s="106" t="s">
        <v>457</v>
      </c>
    </row>
    <row r="65" spans="1:10">
      <c r="A65" s="1"/>
      <c r="B65" s="17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7"/>
      <c r="C66" s="1"/>
      <c r="D66" s="1"/>
      <c r="E66" s="1"/>
      <c r="F66" s="1"/>
      <c r="G66" s="1"/>
      <c r="H66" s="1"/>
      <c r="I66" s="1"/>
      <c r="J66" s="1"/>
    </row>
    <row r="67" spans="1:10">
      <c r="A67" s="111">
        <v>45725</v>
      </c>
      <c r="B67" s="110"/>
      <c r="C67" s="110"/>
      <c r="D67" s="106" t="s">
        <v>208</v>
      </c>
      <c r="E67" s="106" t="str">
        <f>B15</f>
        <v>K7(2ndG)-</v>
      </c>
      <c r="F67" s="106"/>
      <c r="G67" s="106" t="str">
        <f>B10</f>
        <v>K2(2ndB)-</v>
      </c>
      <c r="H67" s="106"/>
      <c r="I67" s="112" t="s">
        <v>690</v>
      </c>
      <c r="J67" s="106" t="s">
        <v>457</v>
      </c>
    </row>
    <row r="68" spans="1:10">
      <c r="A68" s="111">
        <v>45725</v>
      </c>
      <c r="B68" s="110"/>
      <c r="C68" s="110"/>
      <c r="D68" s="106" t="s">
        <v>211</v>
      </c>
      <c r="E68" s="106" t="str">
        <f>B16</f>
        <v>K8(2ndH)-</v>
      </c>
      <c r="F68" s="106"/>
      <c r="G68" s="106" t="str">
        <f>B9</f>
        <v>K1(2ndA)-</v>
      </c>
      <c r="H68" s="106"/>
      <c r="I68" s="112" t="s">
        <v>690</v>
      </c>
      <c r="J68" s="106" t="s">
        <v>457</v>
      </c>
    </row>
    <row r="69" spans="1:10">
      <c r="A69" s="111">
        <v>45725</v>
      </c>
      <c r="B69" s="110"/>
      <c r="C69" s="110"/>
      <c r="D69" s="106" t="s">
        <v>214</v>
      </c>
      <c r="E69" s="106" t="str">
        <f>D10</f>
        <v>M2(4thG)-</v>
      </c>
      <c r="F69" s="106"/>
      <c r="G69" s="106" t="str">
        <f>D11</f>
        <v>M3(4thF)-</v>
      </c>
      <c r="H69" s="106"/>
      <c r="I69" s="106" t="s">
        <v>667</v>
      </c>
      <c r="J69" s="106" t="s">
        <v>457</v>
      </c>
    </row>
    <row r="70" spans="1:10">
      <c r="A70" s="111">
        <v>45725</v>
      </c>
      <c r="B70" s="110"/>
      <c r="C70" s="110"/>
      <c r="D70" s="106" t="s">
        <v>217</v>
      </c>
      <c r="E70" s="106" t="str">
        <f>B14</f>
        <v>K6(2ndF)-</v>
      </c>
      <c r="F70" s="106"/>
      <c r="G70" s="106" t="str">
        <f>B11</f>
        <v>K3(2ndC)-</v>
      </c>
      <c r="H70" s="106"/>
      <c r="I70" s="112" t="s">
        <v>690</v>
      </c>
      <c r="J70" s="106" t="s">
        <v>457</v>
      </c>
    </row>
    <row r="71" spans="1:10">
      <c r="A71" s="111">
        <v>45725</v>
      </c>
      <c r="B71" s="110"/>
      <c r="C71" s="110"/>
      <c r="D71" s="106" t="s">
        <v>220</v>
      </c>
      <c r="E71" s="106" t="str">
        <f>B13</f>
        <v>K5(2ndE)-</v>
      </c>
      <c r="F71" s="106"/>
      <c r="G71" s="106" t="str">
        <f>B12</f>
        <v>K4(2ndD)-</v>
      </c>
      <c r="H71" s="106"/>
      <c r="I71" s="112" t="s">
        <v>690</v>
      </c>
      <c r="J71" s="106" t="s">
        <v>457</v>
      </c>
    </row>
    <row r="72" spans="1:10">
      <c r="A72" s="111">
        <v>45725</v>
      </c>
      <c r="B72" s="110"/>
      <c r="C72" s="110"/>
      <c r="D72" s="106" t="s">
        <v>223</v>
      </c>
      <c r="E72" s="106" t="s">
        <v>691</v>
      </c>
      <c r="F72" s="106"/>
      <c r="G72" s="106" t="s">
        <v>692</v>
      </c>
      <c r="H72" s="106"/>
      <c r="I72" s="106" t="s">
        <v>693</v>
      </c>
      <c r="J72" s="106" t="s">
        <v>457</v>
      </c>
    </row>
    <row r="73" spans="1:10">
      <c r="A73" s="111">
        <v>45725</v>
      </c>
      <c r="B73" s="110"/>
      <c r="C73" s="110"/>
      <c r="D73" s="106" t="s">
        <v>226</v>
      </c>
      <c r="E73" s="106" t="s">
        <v>694</v>
      </c>
      <c r="F73" s="106"/>
      <c r="G73" s="106" t="s">
        <v>695</v>
      </c>
      <c r="H73" s="106"/>
      <c r="I73" s="106" t="s">
        <v>693</v>
      </c>
      <c r="J73" s="106" t="s">
        <v>457</v>
      </c>
    </row>
    <row r="74" spans="1:10">
      <c r="A74" s="111">
        <v>45725</v>
      </c>
      <c r="B74" s="110"/>
      <c r="C74" s="110"/>
      <c r="D74" s="106" t="s">
        <v>229</v>
      </c>
      <c r="E74" s="106" t="s">
        <v>696</v>
      </c>
      <c r="F74" s="106"/>
      <c r="G74" s="106" t="s">
        <v>697</v>
      </c>
      <c r="H74" s="106"/>
      <c r="I74" s="106" t="s">
        <v>698</v>
      </c>
      <c r="J74" s="106" t="s">
        <v>457</v>
      </c>
    </row>
    <row r="75" spans="1:10">
      <c r="A75" s="111">
        <v>45725</v>
      </c>
      <c r="B75" s="110"/>
      <c r="C75" s="110"/>
      <c r="D75" s="106" t="s">
        <v>232</v>
      </c>
      <c r="E75" s="106" t="s">
        <v>699</v>
      </c>
      <c r="F75" s="106"/>
      <c r="G75" s="106" t="s">
        <v>700</v>
      </c>
      <c r="H75" s="106"/>
      <c r="I75" s="106" t="s">
        <v>698</v>
      </c>
      <c r="J75" s="106" t="s">
        <v>457</v>
      </c>
    </row>
    <row r="78" spans="1:10">
      <c r="A78" s="111">
        <v>45725</v>
      </c>
      <c r="B78" s="110"/>
      <c r="C78" s="110"/>
      <c r="D78" s="106" t="s">
        <v>209</v>
      </c>
      <c r="E78" s="106" t="s">
        <v>622</v>
      </c>
      <c r="F78" s="106"/>
      <c r="G78" s="106" t="s">
        <v>639</v>
      </c>
      <c r="H78" s="106"/>
      <c r="I78" s="106" t="s">
        <v>701</v>
      </c>
      <c r="J78" s="106" t="s">
        <v>433</v>
      </c>
    </row>
    <row r="79" spans="1:10">
      <c r="A79" s="111">
        <v>45725</v>
      </c>
      <c r="B79" s="110"/>
      <c r="C79" s="110"/>
      <c r="D79" s="106" t="s">
        <v>212</v>
      </c>
      <c r="E79" s="106" t="s">
        <v>618</v>
      </c>
      <c r="F79" s="106"/>
      <c r="G79" s="106" t="s">
        <v>642</v>
      </c>
      <c r="H79" s="106"/>
      <c r="I79" s="106" t="s">
        <v>702</v>
      </c>
      <c r="J79" s="106" t="s">
        <v>433</v>
      </c>
    </row>
    <row r="80" spans="1:10">
      <c r="A80" s="111">
        <v>45725</v>
      </c>
      <c r="B80" s="110"/>
      <c r="C80" s="110"/>
      <c r="D80" s="106" t="s">
        <v>215</v>
      </c>
      <c r="E80" s="106" t="s">
        <v>630</v>
      </c>
      <c r="F80" s="106"/>
      <c r="G80" s="106" t="s">
        <v>633</v>
      </c>
      <c r="H80" s="106"/>
      <c r="I80" s="106" t="s">
        <v>703</v>
      </c>
      <c r="J80" s="106" t="s">
        <v>433</v>
      </c>
    </row>
    <row r="81" spans="1:10">
      <c r="A81" s="111">
        <v>45725</v>
      </c>
      <c r="B81" s="110"/>
      <c r="C81" s="110"/>
      <c r="D81" s="106" t="s">
        <v>218</v>
      </c>
      <c r="E81" s="106" t="s">
        <v>636</v>
      </c>
      <c r="F81" s="106"/>
      <c r="G81" s="106" t="s">
        <v>626</v>
      </c>
      <c r="H81" s="106"/>
      <c r="I81" s="106" t="s">
        <v>704</v>
      </c>
      <c r="J81" s="106" t="s">
        <v>433</v>
      </c>
    </row>
    <row r="82" spans="1:10">
      <c r="A82" s="111">
        <v>45725</v>
      </c>
      <c r="B82" s="110"/>
      <c r="C82" s="110"/>
      <c r="D82" s="106" t="s">
        <v>221</v>
      </c>
      <c r="E82" s="106" t="s">
        <v>705</v>
      </c>
      <c r="F82" s="106"/>
      <c r="G82" s="106" t="s">
        <v>706</v>
      </c>
      <c r="H82" s="106"/>
      <c r="I82" s="106" t="s">
        <v>707</v>
      </c>
      <c r="J82" s="106" t="s">
        <v>433</v>
      </c>
    </row>
    <row r="83" spans="1:10">
      <c r="A83" s="111">
        <v>45725</v>
      </c>
      <c r="B83" s="110"/>
      <c r="C83" s="110"/>
      <c r="D83" s="106" t="s">
        <v>224</v>
      </c>
      <c r="E83" s="106" t="str">
        <f>D9</f>
        <v>M1(4thH)-</v>
      </c>
      <c r="F83" s="106"/>
      <c r="G83" s="106" t="str">
        <f>D10</f>
        <v>M2(4thG)-</v>
      </c>
      <c r="H83" s="106"/>
      <c r="I83" s="106" t="s">
        <v>667</v>
      </c>
      <c r="J83" s="106" t="s">
        <v>433</v>
      </c>
    </row>
    <row r="84" spans="1:10">
      <c r="A84" s="111">
        <v>45725</v>
      </c>
      <c r="B84" s="110"/>
      <c r="C84" s="110"/>
      <c r="D84" s="106" t="s">
        <v>227</v>
      </c>
      <c r="E84" s="106" t="s">
        <v>708</v>
      </c>
      <c r="F84" s="106"/>
      <c r="G84" s="106" t="s">
        <v>709</v>
      </c>
      <c r="H84" s="106"/>
      <c r="I84" s="106" t="s">
        <v>707</v>
      </c>
      <c r="J84" s="106" t="s">
        <v>433</v>
      </c>
    </row>
    <row r="85" spans="1:10">
      <c r="A85" s="111">
        <v>45725</v>
      </c>
      <c r="B85" s="110"/>
      <c r="C85" s="110"/>
      <c r="D85" s="106" t="s">
        <v>230</v>
      </c>
      <c r="E85" s="106" t="s">
        <v>710</v>
      </c>
      <c r="F85" s="106"/>
      <c r="G85" s="106" t="s">
        <v>711</v>
      </c>
      <c r="H85" s="106"/>
      <c r="I85" s="106" t="s">
        <v>712</v>
      </c>
      <c r="J85" s="106" t="s">
        <v>433</v>
      </c>
    </row>
    <row r="86" spans="1:10">
      <c r="A86" s="111">
        <v>45725</v>
      </c>
      <c r="B86" s="110"/>
      <c r="C86" s="110"/>
      <c r="D86" s="106" t="s">
        <v>233</v>
      </c>
      <c r="E86" s="106" t="s">
        <v>713</v>
      </c>
      <c r="F86" s="106"/>
      <c r="G86" s="106" t="s">
        <v>714</v>
      </c>
      <c r="H86" s="106"/>
      <c r="I86" s="106" t="s">
        <v>712</v>
      </c>
      <c r="J86" s="106" t="s">
        <v>433</v>
      </c>
    </row>
    <row r="87" spans="1:10">
      <c r="A87" s="3"/>
      <c r="B87" s="3"/>
      <c r="C87" s="3"/>
      <c r="D87" s="3"/>
      <c r="F87" s="3"/>
      <c r="G87" s="3"/>
      <c r="H87" s="3"/>
      <c r="I87" s="3"/>
      <c r="J87" s="3"/>
    </row>
    <row r="88" spans="1:10">
      <c r="A88" s="3"/>
      <c r="B88" s="3"/>
      <c r="C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I92" s="106" t="s">
        <v>296</v>
      </c>
      <c r="J92" s="106"/>
    </row>
    <row r="93" spans="1:10">
      <c r="I93" s="106" t="s">
        <v>297</v>
      </c>
      <c r="J93" s="106"/>
    </row>
    <row r="94" spans="1:10">
      <c r="I94" s="106" t="s">
        <v>298</v>
      </c>
      <c r="J94" s="106"/>
    </row>
  </sheetData>
  <pageMargins left="0.7" right="0.7" top="0.75" bottom="0.75" header="0.3" footer="0.3"/>
  <pageSetup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F9F4-58C9-4AE0-82E0-A7641E40CC17}">
  <sheetPr>
    <tabColor rgb="FF00FFCC"/>
    <pageSetUpPr fitToPage="1"/>
  </sheetPr>
  <dimension ref="A1:K101"/>
  <sheetViews>
    <sheetView topLeftCell="A49" workbookViewId="0"/>
  </sheetViews>
  <sheetFormatPr defaultColWidth="9.140625" defaultRowHeight="18"/>
  <cols>
    <col min="1" max="1" width="46.140625" style="3" bestFit="1" customWidth="1"/>
    <col min="2" max="2" width="43.85546875" style="3" bestFit="1" customWidth="1"/>
    <col min="3" max="3" width="47" style="3" bestFit="1" customWidth="1"/>
    <col min="4" max="4" width="37.5703125" style="3" bestFit="1" customWidth="1"/>
    <col min="5" max="5" width="47" style="3" bestFit="1" customWidth="1"/>
    <col min="6" max="6" width="37.140625" style="3" bestFit="1" customWidth="1"/>
    <col min="7" max="7" width="46.140625" style="3" bestFit="1" customWidth="1"/>
    <col min="8" max="8" width="6.85546875" style="3" bestFit="1" customWidth="1"/>
    <col min="9" max="9" width="21.85546875" style="3" customWidth="1"/>
    <col min="10" max="10" width="39.42578125" style="3" bestFit="1" customWidth="1"/>
    <col min="11" max="16384" width="9.140625" style="3"/>
  </cols>
  <sheetData>
    <row r="1" spans="1:10">
      <c r="A1" s="10" t="s">
        <v>522</v>
      </c>
      <c r="B1" s="1" t="s">
        <v>715</v>
      </c>
      <c r="C1" s="2" t="s">
        <v>237</v>
      </c>
      <c r="D1" s="1" t="s">
        <v>716</v>
      </c>
      <c r="H1" s="1"/>
      <c r="I1" s="4"/>
    </row>
    <row r="2" spans="1:10">
      <c r="A2" s="5" t="s">
        <v>239</v>
      </c>
      <c r="B2" s="6" t="s">
        <v>240</v>
      </c>
      <c r="C2" s="7" t="s">
        <v>241</v>
      </c>
      <c r="D2" s="1"/>
      <c r="H2" s="1"/>
      <c r="I2" s="4"/>
    </row>
    <row r="3" spans="1:10">
      <c r="A3" s="8" t="s">
        <v>3</v>
      </c>
      <c r="B3" s="8" t="s">
        <v>4</v>
      </c>
      <c r="C3" s="8" t="s">
        <v>5</v>
      </c>
      <c r="D3" s="9" t="s">
        <v>20</v>
      </c>
      <c r="E3" s="9" t="s">
        <v>21</v>
      </c>
      <c r="F3" s="9" t="s">
        <v>22</v>
      </c>
      <c r="H3" s="1"/>
    </row>
    <row r="4" spans="1:10">
      <c r="A4" s="8">
        <v>1</v>
      </c>
      <c r="B4" s="8">
        <v>4</v>
      </c>
      <c r="C4" s="8">
        <v>5</v>
      </c>
      <c r="D4" s="9">
        <v>2</v>
      </c>
      <c r="E4" s="9">
        <v>3</v>
      </c>
      <c r="F4" s="9">
        <v>6</v>
      </c>
    </row>
    <row r="5" spans="1:10">
      <c r="A5" s="8">
        <v>12</v>
      </c>
      <c r="B5" s="8">
        <v>9</v>
      </c>
      <c r="C5" s="8">
        <v>8</v>
      </c>
      <c r="D5" s="9">
        <v>11</v>
      </c>
      <c r="E5" s="9">
        <v>10</v>
      </c>
      <c r="F5" s="9">
        <v>7</v>
      </c>
    </row>
    <row r="6" spans="1:10">
      <c r="A6" s="8">
        <v>13</v>
      </c>
      <c r="B6" s="8">
        <v>16</v>
      </c>
      <c r="C6" s="8">
        <v>17</v>
      </c>
      <c r="D6" s="9">
        <v>14</v>
      </c>
      <c r="E6" s="9">
        <v>15</v>
      </c>
      <c r="F6" s="9">
        <v>18</v>
      </c>
    </row>
    <row r="7" spans="1:10">
      <c r="A7" s="10"/>
      <c r="B7" s="8">
        <v>21</v>
      </c>
      <c r="C7" s="8">
        <v>20</v>
      </c>
      <c r="D7" s="10"/>
      <c r="E7" s="9">
        <v>22</v>
      </c>
      <c r="F7" s="9">
        <v>19</v>
      </c>
    </row>
    <row r="9" spans="1:10">
      <c r="A9" s="93" t="s">
        <v>3</v>
      </c>
      <c r="B9" s="93" t="s">
        <v>4</v>
      </c>
      <c r="C9" s="93" t="s">
        <v>5</v>
      </c>
      <c r="D9" s="94" t="s">
        <v>20</v>
      </c>
      <c r="E9" s="94" t="s">
        <v>21</v>
      </c>
      <c r="F9" s="94" t="s">
        <v>22</v>
      </c>
    </row>
    <row r="10" spans="1:10">
      <c r="A10" s="11" t="s">
        <v>717</v>
      </c>
      <c r="B10" s="11" t="s">
        <v>718</v>
      </c>
      <c r="C10" s="11" t="s">
        <v>719</v>
      </c>
      <c r="D10" s="12" t="s">
        <v>720</v>
      </c>
      <c r="E10" s="12" t="s">
        <v>721</v>
      </c>
      <c r="F10" s="12" t="s">
        <v>722</v>
      </c>
    </row>
    <row r="11" spans="1:10">
      <c r="A11" s="11" t="s">
        <v>723</v>
      </c>
      <c r="B11" s="11" t="s">
        <v>724</v>
      </c>
      <c r="C11" s="11" t="s">
        <v>725</v>
      </c>
      <c r="D11" s="12" t="s">
        <v>726</v>
      </c>
      <c r="E11" s="12" t="s">
        <v>727</v>
      </c>
      <c r="F11" s="12" t="s">
        <v>728</v>
      </c>
    </row>
    <row r="12" spans="1:10">
      <c r="A12" s="11" t="s">
        <v>729</v>
      </c>
      <c r="B12" s="11" t="s">
        <v>730</v>
      </c>
      <c r="C12" s="11" t="s">
        <v>731</v>
      </c>
      <c r="D12" s="12" t="s">
        <v>732</v>
      </c>
      <c r="E12" s="12" t="s">
        <v>733</v>
      </c>
      <c r="F12" s="12" t="s">
        <v>734</v>
      </c>
    </row>
    <row r="13" spans="1:10">
      <c r="A13" s="10"/>
      <c r="B13" s="11" t="s">
        <v>735</v>
      </c>
      <c r="C13" s="11" t="s">
        <v>736</v>
      </c>
      <c r="D13" s="10"/>
      <c r="E13" s="12" t="s">
        <v>737</v>
      </c>
      <c r="F13" s="12" t="s">
        <v>738</v>
      </c>
    </row>
    <row r="14" spans="1:10">
      <c r="B14" s="10"/>
      <c r="C14" s="10"/>
      <c r="D14" s="10"/>
      <c r="E14" s="10"/>
      <c r="F14" s="10"/>
      <c r="H14" s="13"/>
      <c r="I14" s="13"/>
      <c r="J14" s="13"/>
    </row>
    <row r="15" spans="1:10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140</v>
      </c>
      <c r="G15" s="1" t="s">
        <v>739</v>
      </c>
      <c r="H15" s="13"/>
      <c r="I15" s="13"/>
      <c r="J15" s="13"/>
    </row>
    <row r="16" spans="1:10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3" t="str">
        <f>IF(F50="","M1(4thF)-",IF(F50&lt;H50,_xlfn.CONCAT("M1(4thF)-",RIGHT(E50,LEN(E50) - FIND("-",E50))), _xlfn.CONCAT("M1(4thF)-",RIGHT(G50,LEN(G50) - FIND("-",G50)))))</f>
        <v>M1(4thF)-</v>
      </c>
      <c r="H16" s="13"/>
      <c r="I16" s="13"/>
      <c r="J16" s="13"/>
    </row>
    <row r="17" spans="1:10">
      <c r="A17" s="3" t="str">
        <f>IF(F34="","G2(1stB)-",IF(F34&gt;H34,_xlfn.CONCAT("G2(1stB)-",RIGHT(E34,LEN(E34) - FIND("-",E34))), _xlfn.CONCAT("G2(1stB)-",RIGHT(G34,LEN(G34) - FIND("-",G34)))))</f>
        <v>G2(1stB)-</v>
      </c>
      <c r="B17" s="3" t="str">
        <f>IF(F48="","H2(1stE)-",IF(F48&gt;H48,_xlfn.CONCAT("H2(1stE)-",RIGHT(E48,LEN(E48) - FIND("-",E48))), _xlfn.CONCAT("H2(1stE)-",RIGHT(G48,LEN(G48) - FIND("-",G48)))))</f>
        <v>H2(1stE)-</v>
      </c>
      <c r="C17" s="3" t="str">
        <f>IF(F34="","I2(2ndB)-",IF(F34&lt;H34,_xlfn.CONCAT("I2(2ndB)-",RIGHT(E34,LEN(E34) - FIND("-",E34))), _xlfn.CONCAT("I2(2ndB)-",RIGHT(G34,LEN(G34) - FIND("-",G34)))))</f>
        <v>I2(2ndB)-</v>
      </c>
      <c r="D17" s="3" t="str">
        <f>IF(F48="","J2(2ndE)-",IF(F48&lt;H48,_xlfn.CONCAT("J2(2ndE-",RIGHT(E48,LEN(E48) - FIND("-",E48))), _xlfn.CONCAT("J2(2ndE-",RIGHT(G48,LEN(G48) - FIND("-",G48)))))</f>
        <v>J2(2ndE)-</v>
      </c>
      <c r="E17" s="3" t="str">
        <f>IF(F33="","K2(3rdB)-",IF(F33&gt;H33,_xlfn.CONCAT("K2(3rdB)-",RIGHT(E33,LEN(E33) - FIND("-",E33))), _xlfn.CONCAT("K2(3rdB)-",RIGHT(G33,LEN(G33) - FIND("-",G33)))))</f>
        <v>K2(3rdB)-</v>
      </c>
      <c r="F17" s="3" t="str">
        <f>IF(F47="","L2(3rdE)-",IF(F47&gt;H47,_xlfn.CONCAT("L2(3rdE)-",RIGHT(E47,LEN(E47) - FIND("-",E47))), _xlfn.CONCAT("L2(3rdE)-",RIGHT(G47,LEN(G47) - FIND("-",G47)))))</f>
        <v>L2(3rdE)-</v>
      </c>
      <c r="G17" s="3" t="str">
        <f>IF(F36="","M2(4thC)-",IF(F36&lt;H36,_xlfn.CONCAT("M2(4thC)-",RIGHT(E36,LEN(E36) - FIND("-",E36))), _xlfn.CONCAT("M2(4thC)-",RIGHT(G36,LEN(G36) - FIND("-",G36)))))</f>
        <v>M2(4thC)-</v>
      </c>
      <c r="H17" s="13"/>
      <c r="I17" s="13"/>
      <c r="J17" s="13"/>
    </row>
    <row r="18" spans="1:10">
      <c r="A18" s="3" t="str">
        <f>IF(F37="","G3(1stC)-",IF(F37&gt;H37,_xlfn.CONCAT("G2(1stC)-",RIGHT(E37,LEN(E37) - FIND("-",E37))), _xlfn.CONCAT("G2(1stC)-",RIGHT(G37,LEN(G37) - FIND("-",G37)))))</f>
        <v>G3(1stC)-</v>
      </c>
      <c r="B18" s="3" t="str">
        <f>IF(F51="","H3(1stF)-",IF(F51&gt;H51,_xlfn.CONCAT("H3(1stF)-",RIGHT(E51,LEN(E51) - FIND("-",E51))), _xlfn.CONCAT("H3(1stF)-",RIGHT(G51,LEN(G51) - FIND("-",G51)))))</f>
        <v>H3(1stF)-</v>
      </c>
      <c r="C18" s="3" t="str">
        <f>IF(F37="","I3(2ndC)-",IF(F37&lt;H37,_xlfn.CONCAT("I3(2ndC)-",RIGHT(E37,LEN(E37) - FIND("-",E37))), _xlfn.CONCAT("I3(2ndC)-",RIGHT(G37,LEN(G37) - FIND("-",G37)))))</f>
        <v>I3(2ndC)-</v>
      </c>
      <c r="D18" s="3" t="str">
        <f>IF(F51="","J3(2ndF)-",IF(F51&lt;H51,_xlfn.CONCAT("J3(2ndF)-",RIGHT(E51,LEN(E51) - FIND("-",E51))), _xlfn.CONCAT("J3(2ndF)-",RIGHT(G51,LEN(G51) - FIND("-",G51)))))</f>
        <v>J3(2ndF)-</v>
      </c>
      <c r="E18" s="3" t="str">
        <f>IF(F36="","K3(3rdC)-",IF(F36&gt;H36,_xlfn.CONCAT("K3(3rdC)-",RIGHT(E36,LEN(E36) - FIND("-",E36))), _xlfn.CONCAT("K3(3rdC)-",RIGHT(G36,LEN(G36) - FIND("-",G36)))))</f>
        <v>K3(3rdC)-</v>
      </c>
      <c r="F18" s="3" t="str">
        <f>IF(F50="","L3(3rdF)-",IF(F50&gt;H50,_xlfn.CONCAT("L3(3rdF)-",RIGHT(E50,LEN(E50) - FIND("-",E50))), _xlfn.CONCAT("L3(3rdF)-",RIGHT(G50,LEN(G50) - FIND("-",G50)))))</f>
        <v>L3(3rdF)-</v>
      </c>
      <c r="G18" s="3" t="str">
        <f>IF(F33="","M3(4thB)-",IF(F33&lt;H33,_xlfn.CONCAT("M3(4thB)-",RIGHT(E33,LEN(E33) - FIND("-",E33))), _xlfn.CONCAT("M3(4thB)-",RIGHT(G33,LEN(G33) - FIND("-",G33)))))</f>
        <v>M3(4thB)-</v>
      </c>
      <c r="H18" s="13"/>
      <c r="I18" s="13"/>
      <c r="J18" s="13"/>
    </row>
    <row r="19" spans="1:10">
      <c r="A19" s="3" t="s">
        <v>150</v>
      </c>
      <c r="B19" s="3" t="s">
        <v>150</v>
      </c>
      <c r="C19" s="3" t="s">
        <v>150</v>
      </c>
      <c r="D19" s="3" t="s">
        <v>150</v>
      </c>
      <c r="E19" s="3" t="s">
        <v>150</v>
      </c>
      <c r="F19" s="3" t="s">
        <v>150</v>
      </c>
      <c r="G19" s="3" t="str">
        <f>IF(F47="","M4(4thE)-",IF(F47&lt;H47,_xlfn.CONCAT("M4(4thE)-",RIGHT(E47,LEN(E47) - FIND("-",E47))), _xlfn.CONCAT("M4(4thE)-",RIGHT(G47,LEN(G47) - FIND("-",G47)))))</f>
        <v>M4(4thE)-</v>
      </c>
      <c r="H19" s="13"/>
      <c r="I19" s="13"/>
      <c r="J19" s="13"/>
    </row>
    <row r="20" spans="1:10">
      <c r="H20" s="13"/>
      <c r="I20" s="13"/>
      <c r="J20" s="13"/>
    </row>
    <row r="21" spans="1:10">
      <c r="A21" s="1" t="s">
        <v>94</v>
      </c>
      <c r="B21" s="1" t="s">
        <v>95</v>
      </c>
      <c r="C21" s="1" t="s">
        <v>96</v>
      </c>
      <c r="G21" s="3" t="s">
        <v>740</v>
      </c>
      <c r="H21" s="13"/>
      <c r="I21" s="13"/>
      <c r="J21" s="13"/>
    </row>
    <row r="22" spans="1:10">
      <c r="A22" s="3" t="s">
        <v>97</v>
      </c>
      <c r="B22" s="3" t="s">
        <v>98</v>
      </c>
      <c r="C22" s="3" t="s">
        <v>99</v>
      </c>
      <c r="G22" s="3" t="s">
        <v>741</v>
      </c>
      <c r="H22" s="13"/>
      <c r="I22" s="13"/>
      <c r="J22" s="13"/>
    </row>
    <row r="23" spans="1:10">
      <c r="A23" s="3" t="s">
        <v>101</v>
      </c>
      <c r="B23" s="3" t="s">
        <v>102</v>
      </c>
      <c r="C23" s="3" t="s">
        <v>103</v>
      </c>
      <c r="J23" s="13"/>
    </row>
    <row r="24" spans="1:10">
      <c r="A24" s="14"/>
      <c r="B24" s="14"/>
      <c r="C24" s="14"/>
      <c r="D24" s="14"/>
      <c r="E24" s="14"/>
      <c r="F24" s="14"/>
      <c r="G24" s="14"/>
      <c r="H24" s="15"/>
      <c r="I24" s="15"/>
      <c r="J24" s="15"/>
    </row>
    <row r="25" spans="1:10">
      <c r="A25" s="16"/>
      <c r="H25" s="13"/>
      <c r="I25" s="13"/>
      <c r="J25" s="13"/>
    </row>
    <row r="26" spans="1:10" s="10" customFormat="1">
      <c r="A26" s="1" t="s">
        <v>251</v>
      </c>
      <c r="B26" s="17" t="s">
        <v>252</v>
      </c>
      <c r="C26" s="1" t="s">
        <v>253</v>
      </c>
      <c r="D26" s="1" t="s">
        <v>254</v>
      </c>
      <c r="E26" s="1" t="s">
        <v>255</v>
      </c>
      <c r="F26" s="1" t="s">
        <v>256</v>
      </c>
      <c r="G26" s="1" t="s">
        <v>257</v>
      </c>
      <c r="H26" s="1" t="s">
        <v>256</v>
      </c>
      <c r="I26" s="1" t="s">
        <v>258</v>
      </c>
      <c r="J26" s="1" t="s">
        <v>259</v>
      </c>
    </row>
    <row r="27" spans="1:10">
      <c r="A27" s="18">
        <v>45724</v>
      </c>
      <c r="B27" s="19">
        <f>CHICLETS!D4</f>
        <v>0.33333333333333331</v>
      </c>
      <c r="C27" s="20" t="str">
        <f>CHICLETS!$F$3</f>
        <v>EL TORO HS</v>
      </c>
      <c r="D27" s="21" t="s">
        <v>531</v>
      </c>
      <c r="E27" s="21" t="str">
        <f>B10</f>
        <v>4-</v>
      </c>
      <c r="F27" s="21"/>
      <c r="G27" s="21" t="str">
        <f>B13</f>
        <v>21-</v>
      </c>
      <c r="H27" s="8"/>
      <c r="I27" s="8" t="s">
        <v>462</v>
      </c>
      <c r="J27" s="21" t="s">
        <v>157</v>
      </c>
    </row>
    <row r="28" spans="1:10">
      <c r="A28" s="18">
        <v>45724</v>
      </c>
      <c r="B28" s="19">
        <f>CHICLETS!D5</f>
        <v>0.375</v>
      </c>
      <c r="C28" s="20" t="str">
        <f>CHICLETS!$F$3</f>
        <v>EL TORO HS</v>
      </c>
      <c r="D28" s="21" t="s">
        <v>532</v>
      </c>
      <c r="E28" s="21" t="str">
        <f>B11</f>
        <v>9-</v>
      </c>
      <c r="F28" s="21"/>
      <c r="G28" s="21" t="str">
        <f>B12</f>
        <v>16-</v>
      </c>
      <c r="H28" s="8"/>
      <c r="I28" s="8" t="s">
        <v>460</v>
      </c>
      <c r="J28" s="21" t="s">
        <v>157</v>
      </c>
    </row>
    <row r="29" spans="1:10">
      <c r="A29" s="18">
        <v>45724</v>
      </c>
      <c r="B29" s="19">
        <f>CHICLETS!D6</f>
        <v>0.41666666666666702</v>
      </c>
      <c r="C29" s="20" t="str">
        <f>CHICLETS!$F$3</f>
        <v>EL TORO HS</v>
      </c>
      <c r="D29" s="22" t="s">
        <v>533</v>
      </c>
      <c r="E29" s="21" t="str">
        <f>A11</f>
        <v>A2(12)-</v>
      </c>
      <c r="F29" s="21"/>
      <c r="G29" s="21" t="str">
        <f>A12</f>
        <v>A3(13)-</v>
      </c>
      <c r="H29" s="8"/>
      <c r="I29" s="8" t="s">
        <v>261</v>
      </c>
      <c r="J29" s="21" t="s">
        <v>157</v>
      </c>
    </row>
    <row r="30" spans="1:10">
      <c r="A30" s="18">
        <v>45724</v>
      </c>
      <c r="B30" s="19">
        <f>CHICLETS!D7</f>
        <v>0.45833333333333298</v>
      </c>
      <c r="C30" s="20" t="str">
        <f>CHICLETS!$F$3</f>
        <v>EL TORO HS</v>
      </c>
      <c r="D30" s="21" t="s">
        <v>534</v>
      </c>
      <c r="E30" s="21" t="str">
        <f>C10</f>
        <v>5-</v>
      </c>
      <c r="F30" s="21"/>
      <c r="G30" s="21" t="str">
        <f>C13</f>
        <v>20-</v>
      </c>
      <c r="H30" s="8"/>
      <c r="I30" s="8" t="s">
        <v>456</v>
      </c>
      <c r="J30" s="21" t="s">
        <v>157</v>
      </c>
    </row>
    <row r="31" spans="1:10">
      <c r="A31" s="18">
        <v>45724</v>
      </c>
      <c r="B31" s="19">
        <f>CHICLETS!D8</f>
        <v>0.5</v>
      </c>
      <c r="C31" s="20" t="str">
        <f>CHICLETS!$F$3</f>
        <v>EL TORO HS</v>
      </c>
      <c r="D31" s="21" t="s">
        <v>535</v>
      </c>
      <c r="E31" s="21" t="str">
        <f>C11</f>
        <v>8-</v>
      </c>
      <c r="F31" s="21"/>
      <c r="G31" s="21" t="str">
        <f>C12</f>
        <v>17-</v>
      </c>
      <c r="H31" s="8"/>
      <c r="I31" s="8" t="s">
        <v>458</v>
      </c>
      <c r="J31" s="21" t="s">
        <v>157</v>
      </c>
    </row>
    <row r="32" spans="1:10">
      <c r="A32" s="18">
        <v>45724</v>
      </c>
      <c r="B32" s="19">
        <f>CHICLETS!D9</f>
        <v>0.54166666666666696</v>
      </c>
      <c r="C32" s="20" t="str">
        <f>CHICLETS!$F$3</f>
        <v>EL TORO HS</v>
      </c>
      <c r="D32" s="22" t="s">
        <v>536</v>
      </c>
      <c r="E32" s="21" t="str">
        <f>A10</f>
        <v>A1(1)-</v>
      </c>
      <c r="F32" s="21"/>
      <c r="G32" s="21" t="str">
        <f>A11</f>
        <v>A2(12)-</v>
      </c>
      <c r="H32" s="8"/>
      <c r="I32" s="8" t="s">
        <v>273</v>
      </c>
      <c r="J32" s="21" t="s">
        <v>157</v>
      </c>
    </row>
    <row r="33" spans="1:10">
      <c r="A33" s="18">
        <v>45724</v>
      </c>
      <c r="B33" s="19">
        <f>CHICLETS!D10</f>
        <v>0.58333333333333304</v>
      </c>
      <c r="C33" s="20" t="str">
        <f>CHICLETS!$F$3</f>
        <v>EL TORO HS</v>
      </c>
      <c r="D33" s="21" t="s">
        <v>537</v>
      </c>
      <c r="E33" s="21" t="str">
        <f>IF(F27="","L#1-",IF(F27&lt;H27,_xlfn.CONCAT("L#1-",RIGHT(E27,LEN(E27) - FIND("-",E27))), _xlfn.CONCAT("L#1-",RIGHT(G27,LEN(G27) - FIND("-",G27)))))</f>
        <v>L#1-</v>
      </c>
      <c r="F33" s="21"/>
      <c r="G33" s="21" t="str">
        <f>IF(F28="","L#2-",IF(F28&lt;H28,_xlfn.CONCAT("L#2-",RIGHT(E28,LEN(E28) - FIND("-",E28))), _xlfn.CONCAT("L#2-",RIGHT(G28,LEN(G28) - FIND("-",G28)))))</f>
        <v>L#2-</v>
      </c>
      <c r="H33" s="8"/>
      <c r="I33" s="8" t="s">
        <v>471</v>
      </c>
      <c r="J33" s="21" t="s">
        <v>157</v>
      </c>
    </row>
    <row r="34" spans="1:10">
      <c r="A34" s="18">
        <v>45724</v>
      </c>
      <c r="B34" s="19">
        <f>CHICLETS!D11</f>
        <v>0.625</v>
      </c>
      <c r="C34" s="20" t="str">
        <f>CHICLETS!$F$3</f>
        <v>EL TORO HS</v>
      </c>
      <c r="D34" s="21" t="s">
        <v>538</v>
      </c>
      <c r="E34" s="21" t="str">
        <f>IF(F27="","W#1-",IF(F27&gt;H27,_xlfn.CONCAT("W#1-",RIGHT(E27,LEN(E27) - FIND("-",E27))), _xlfn.CONCAT("W#1-",RIGHT(G27,LEN(G27) - FIND("-",G27)))))</f>
        <v>W#1-</v>
      </c>
      <c r="F34" s="21"/>
      <c r="G34" s="21" t="str">
        <f>IF(F28="","W#2-",IF(F28&gt;H28,_xlfn.CONCAT("W#2-",RIGHT(E28,LEN(E28) - FIND("-",E28))), _xlfn.CONCAT("W#2-",RIGHT(G28,LEN(G28) - FIND("-",G28)))))</f>
        <v>W#2-</v>
      </c>
      <c r="H34" s="8"/>
      <c r="I34" s="8" t="s">
        <v>472</v>
      </c>
      <c r="J34" s="21" t="s">
        <v>157</v>
      </c>
    </row>
    <row r="35" spans="1:10">
      <c r="A35" s="18">
        <v>45724</v>
      </c>
      <c r="B35" s="19">
        <f>CHICLETS!D12</f>
        <v>0.66666666666666696</v>
      </c>
      <c r="C35" s="20" t="str">
        <f>CHICLETS!$F$3</f>
        <v>EL TORO HS</v>
      </c>
      <c r="D35" s="22" t="s">
        <v>539</v>
      </c>
      <c r="E35" s="21" t="str">
        <f>A10</f>
        <v>A1(1)-</v>
      </c>
      <c r="F35" s="21"/>
      <c r="G35" s="21" t="str">
        <f>A12</f>
        <v>A3(13)-</v>
      </c>
      <c r="H35" s="8"/>
      <c r="I35" s="8" t="s">
        <v>261</v>
      </c>
      <c r="J35" s="21" t="s">
        <v>157</v>
      </c>
    </row>
    <row r="36" spans="1:10">
      <c r="A36" s="18">
        <v>45724</v>
      </c>
      <c r="B36" s="19">
        <f>CHICLETS!D13</f>
        <v>0.70833333333333304</v>
      </c>
      <c r="C36" s="20" t="str">
        <f>CHICLETS!$F$3</f>
        <v>EL TORO HS</v>
      </c>
      <c r="D36" s="21" t="s">
        <v>540</v>
      </c>
      <c r="E36" s="21" t="str">
        <f>IF(F30="","L#4-",IF(F30&lt;H30,_xlfn.CONCAT("L#4-",RIGHT(E30,LEN(E30) - FIND("-",E30))), _xlfn.CONCAT("L#4-",RIGHT(G30,LEN(G30) - FIND("-",G30)))))</f>
        <v>L#4-</v>
      </c>
      <c r="F36" s="21"/>
      <c r="G36" s="21" t="str">
        <f>IF(F31="","L#5-",IF(F31&lt;H31,_xlfn.CONCAT("L#5-",RIGHT(E31,LEN(E31) - FIND("-",E31))), _xlfn.CONCAT("L#5-",RIGHT(G31,LEN(G31) - FIND("-",G31)))))</f>
        <v>L#5-</v>
      </c>
      <c r="H36" s="8"/>
      <c r="I36" s="8" t="s">
        <v>463</v>
      </c>
      <c r="J36" s="21" t="s">
        <v>157</v>
      </c>
    </row>
    <row r="37" spans="1:10">
      <c r="A37" s="18">
        <v>45724</v>
      </c>
      <c r="B37" s="19">
        <f>CHICLETS!D14</f>
        <v>0.75</v>
      </c>
      <c r="C37" s="20" t="str">
        <f>CHICLETS!$F$3</f>
        <v>EL TORO HS</v>
      </c>
      <c r="D37" s="21" t="s">
        <v>541</v>
      </c>
      <c r="E37" s="21" t="str">
        <f>IF(F30="","W#4-",IF(F30&gt;H30,_xlfn.CONCAT("W#4-",RIGHT(E30,LEN(E30) - FIND("-",E30))), _xlfn.CONCAT("W#4-",RIGHT(G30,LEN(G30) - FIND("-",G30)))))</f>
        <v>W#4-</v>
      </c>
      <c r="F37" s="21"/>
      <c r="G37" s="21" t="str">
        <f>IF(F31="","W#5-",IF(F31&gt;H31,_xlfn.CONCAT("W#5-",RIGHT(E31,LEN(E31) - FIND("-",E31))), _xlfn.CONCAT("W#5-",RIGHT(G31,LEN(G31) - FIND("-",G31)))))</f>
        <v>W#5-</v>
      </c>
      <c r="H37" s="8"/>
      <c r="I37" s="8" t="s">
        <v>464</v>
      </c>
      <c r="J37" s="21" t="s">
        <v>157</v>
      </c>
    </row>
    <row r="38" spans="1:10">
      <c r="A38" s="18">
        <v>45725</v>
      </c>
      <c r="B38" s="19">
        <f>CHICLETS!D15</f>
        <v>0.79166666666666696</v>
      </c>
      <c r="C38" s="20" t="str">
        <f>CHICLETS!$F$3</f>
        <v>EL TORO HS</v>
      </c>
      <c r="D38" s="21" t="s">
        <v>542</v>
      </c>
      <c r="E38" s="35" t="str">
        <f>A16</f>
        <v>G1(1stA)-</v>
      </c>
      <c r="F38" s="35"/>
      <c r="G38" s="35" t="str">
        <f>A17</f>
        <v>G2(1stB)-</v>
      </c>
      <c r="H38" s="35"/>
      <c r="I38" s="8" t="s">
        <v>742</v>
      </c>
      <c r="J38" s="21" t="s">
        <v>157</v>
      </c>
    </row>
    <row r="39" spans="1:10">
      <c r="A39" s="16"/>
      <c r="H39" s="13"/>
      <c r="I39" s="13"/>
      <c r="J39" s="13"/>
    </row>
    <row r="40" spans="1:10">
      <c r="A40" s="16"/>
      <c r="B40" s="16"/>
      <c r="J40" s="13"/>
    </row>
    <row r="41" spans="1:10">
      <c r="A41" s="23">
        <v>45724</v>
      </c>
      <c r="B41" s="24">
        <f>CHICLETS!D4</f>
        <v>0.33333333333333331</v>
      </c>
      <c r="C41" s="25" t="str">
        <f>CHICLETS!$H$3</f>
        <v>MARINA HS</v>
      </c>
      <c r="D41" s="81" t="s">
        <v>545</v>
      </c>
      <c r="E41" s="27" t="str">
        <f>D10</f>
        <v>D1(2)-</v>
      </c>
      <c r="F41" s="27"/>
      <c r="G41" s="27" t="str">
        <f>D12</f>
        <v>D3(14)-</v>
      </c>
      <c r="H41" s="27"/>
      <c r="I41" s="9" t="s">
        <v>359</v>
      </c>
      <c r="J41" s="26" t="s">
        <v>157</v>
      </c>
    </row>
    <row r="42" spans="1:10">
      <c r="A42" s="23">
        <v>45724</v>
      </c>
      <c r="B42" s="24">
        <f>CHICLETS!D5</f>
        <v>0.375</v>
      </c>
      <c r="C42" s="25" t="str">
        <f>CHICLETS!$I$3</f>
        <v>TUSTIN HS</v>
      </c>
      <c r="D42" s="26" t="s">
        <v>543</v>
      </c>
      <c r="E42" s="27" t="str">
        <f>E10</f>
        <v>3-</v>
      </c>
      <c r="F42" s="27"/>
      <c r="G42" s="27" t="str">
        <f>E13</f>
        <v>22-</v>
      </c>
      <c r="H42" s="27"/>
      <c r="I42" s="9" t="s">
        <v>477</v>
      </c>
      <c r="J42" s="26" t="s">
        <v>157</v>
      </c>
    </row>
    <row r="43" spans="1:10">
      <c r="A43" s="23">
        <v>45724</v>
      </c>
      <c r="B43" s="24">
        <f>CHICLETS!D6</f>
        <v>0.41666666666666702</v>
      </c>
      <c r="C43" s="25" t="str">
        <f>CHICLETS!$I$3</f>
        <v>TUSTIN HS</v>
      </c>
      <c r="D43" s="26" t="s">
        <v>544</v>
      </c>
      <c r="E43" s="9" t="str">
        <f>E11</f>
        <v>10-</v>
      </c>
      <c r="F43" s="9"/>
      <c r="G43" s="9" t="str">
        <f>E12</f>
        <v>15-</v>
      </c>
      <c r="H43" s="9"/>
      <c r="I43" s="9" t="s">
        <v>476</v>
      </c>
      <c r="J43" s="26" t="s">
        <v>157</v>
      </c>
    </row>
    <row r="44" spans="1:10">
      <c r="A44" s="23">
        <v>45724</v>
      </c>
      <c r="B44" s="24">
        <f>CHICLETS!D7</f>
        <v>0.45833333333333298</v>
      </c>
      <c r="C44" s="25" t="str">
        <f>CHICLETS!$I$3</f>
        <v>TUSTIN HS</v>
      </c>
      <c r="D44" s="26" t="s">
        <v>546</v>
      </c>
      <c r="E44" s="9" t="str">
        <f>F10</f>
        <v>6-</v>
      </c>
      <c r="F44" s="9"/>
      <c r="G44" s="9" t="str">
        <f>F13</f>
        <v>19-</v>
      </c>
      <c r="H44" s="9"/>
      <c r="I44" s="9" t="s">
        <v>361</v>
      </c>
      <c r="J44" s="26" t="s">
        <v>157</v>
      </c>
    </row>
    <row r="45" spans="1:10">
      <c r="A45" s="23">
        <v>45724</v>
      </c>
      <c r="B45" s="24">
        <f>CHICLETS!D8</f>
        <v>0.5</v>
      </c>
      <c r="C45" s="25" t="str">
        <f>CHICLETS!$I$3</f>
        <v>TUSTIN HS</v>
      </c>
      <c r="D45" s="26" t="s">
        <v>547</v>
      </c>
      <c r="E45" s="27" t="str">
        <f>F11</f>
        <v>7-</v>
      </c>
      <c r="F45" s="27"/>
      <c r="G45" s="27" t="str">
        <f>F12</f>
        <v>18-</v>
      </c>
      <c r="H45" s="27"/>
      <c r="I45" s="9" t="s">
        <v>365</v>
      </c>
      <c r="J45" s="26" t="s">
        <v>157</v>
      </c>
    </row>
    <row r="46" spans="1:10">
      <c r="A46" s="23">
        <v>45724</v>
      </c>
      <c r="B46" s="24">
        <f>CHICLETS!D9</f>
        <v>0.54166666666666696</v>
      </c>
      <c r="C46" s="25" t="str">
        <f>CHICLETS!$I$3</f>
        <v>TUSTIN HS</v>
      </c>
      <c r="D46" s="81" t="s">
        <v>548</v>
      </c>
      <c r="E46" s="9" t="str">
        <f>D10</f>
        <v>D1(2)-</v>
      </c>
      <c r="F46" s="9"/>
      <c r="G46" s="9" t="str">
        <f>D11</f>
        <v>D2(11)-</v>
      </c>
      <c r="H46" s="9"/>
      <c r="I46" s="9" t="s">
        <v>375</v>
      </c>
      <c r="J46" s="26" t="s">
        <v>157</v>
      </c>
    </row>
    <row r="47" spans="1:10">
      <c r="A47" s="23">
        <v>45724</v>
      </c>
      <c r="B47" s="24">
        <f>CHICLETS!D10</f>
        <v>0.58333333333333304</v>
      </c>
      <c r="C47" s="25" t="str">
        <f>CHICLETS!$I$3</f>
        <v>TUSTIN HS</v>
      </c>
      <c r="D47" s="26" t="s">
        <v>549</v>
      </c>
      <c r="E47" s="9" t="str">
        <f>IF(F42="","L#12-",IF(F42&lt;H42,_xlfn.CONCAT("L#12-",RIGHT(E42,LEN(E42) - FIND("-",E42))), _xlfn.CONCAT("L#12-",RIGHT(G42,LEN(G42) - FIND("-",G42)))))</f>
        <v>L#12-</v>
      </c>
      <c r="F47" s="9"/>
      <c r="G47" s="9" t="str">
        <f>IF(F43="","L#13-",IF(F43&lt;H43,_xlfn.CONCAT("L#13-",RIGHT(E43,LEN(E43) - FIND("-",E43))), _xlfn.CONCAT("L#13-",RIGHT(G43,LEN(G43) - FIND("-",G43)))))</f>
        <v>L#13-</v>
      </c>
      <c r="H47" s="9"/>
      <c r="I47" s="9" t="s">
        <v>481</v>
      </c>
      <c r="J47" s="26" t="s">
        <v>157</v>
      </c>
    </row>
    <row r="48" spans="1:10">
      <c r="A48" s="23">
        <v>45724</v>
      </c>
      <c r="B48" s="24">
        <f>CHICLETS!D11</f>
        <v>0.625</v>
      </c>
      <c r="C48" s="25" t="str">
        <f>CHICLETS!$I$3</f>
        <v>TUSTIN HS</v>
      </c>
      <c r="D48" s="26" t="s">
        <v>550</v>
      </c>
      <c r="E48" s="27" t="str">
        <f>IF(F42="","W#12-",IF(F42&gt;H42,_xlfn.CONCAT("W#12-",RIGHT(E42,LEN(E42) - FIND("-",E42))), _xlfn.CONCAT("W#12-",RIGHT(G42,LEN(G42) - FIND("-",G42)))))</f>
        <v>W#12-</v>
      </c>
      <c r="F48" s="27"/>
      <c r="G48" s="27" t="str">
        <f>IF(F43="","W#13-",IF(F43&gt;H43,_xlfn.CONCAT("W#13-",RIGHT(E43,LEN(E43) - FIND("-",E43))), _xlfn.CONCAT("W#13-",RIGHT(G43,LEN(G43) - FIND("-",G43)))))</f>
        <v>W#13-</v>
      </c>
      <c r="H48" s="27"/>
      <c r="I48" s="9" t="s">
        <v>480</v>
      </c>
      <c r="J48" s="26" t="s">
        <v>157</v>
      </c>
    </row>
    <row r="49" spans="1:10">
      <c r="A49" s="23">
        <v>45724</v>
      </c>
      <c r="B49" s="24">
        <f>CHICLETS!D12</f>
        <v>0.66666666666666696</v>
      </c>
      <c r="C49" s="25" t="str">
        <f>CHICLETS!$I$3</f>
        <v>TUSTIN HS</v>
      </c>
      <c r="D49" s="81" t="s">
        <v>551</v>
      </c>
      <c r="E49" s="9" t="str">
        <f>D11</f>
        <v>D2(11)-</v>
      </c>
      <c r="F49" s="9"/>
      <c r="G49" s="9" t="str">
        <f>D12</f>
        <v>D3(14)-</v>
      </c>
      <c r="H49" s="9"/>
      <c r="I49" s="9" t="s">
        <v>367</v>
      </c>
      <c r="J49" s="26" t="s">
        <v>157</v>
      </c>
    </row>
    <row r="50" spans="1:10">
      <c r="A50" s="23">
        <v>45724</v>
      </c>
      <c r="B50" s="24">
        <f>CHICLETS!D13</f>
        <v>0.70833333333333304</v>
      </c>
      <c r="C50" s="25" t="str">
        <f>CHICLETS!$I$3</f>
        <v>TUSTIN HS</v>
      </c>
      <c r="D50" s="26" t="s">
        <v>552</v>
      </c>
      <c r="E50" s="27" t="str">
        <f>IF(F44="","L#15-",IF(F44&lt;H44,_xlfn.CONCAT("L#15-",RIGHT(E44,LEN(E44) - FIND("-",E44))), _xlfn.CONCAT("L#15-",RIGHT(G44,LEN(G44) - FIND("-",G44)))))</f>
        <v>L#15-</v>
      </c>
      <c r="F50" s="27"/>
      <c r="G50" s="27" t="str">
        <f>IF(F45="","L#16-",IF(F45&lt;H45,_xlfn.CONCAT("L#16-",RIGHT(E45,LEN(E45) - FIND("-",E45))), _xlfn.CONCAT("L#16-",RIGHT(G45,LEN(G45) - FIND("-",G45)))))</f>
        <v>L#16-</v>
      </c>
      <c r="H50" s="27"/>
      <c r="I50" s="9" t="s">
        <v>482</v>
      </c>
      <c r="J50" s="26" t="s">
        <v>157</v>
      </c>
    </row>
    <row r="51" spans="1:10">
      <c r="A51" s="23">
        <v>45724</v>
      </c>
      <c r="B51" s="24">
        <f>CHICLETS!D14</f>
        <v>0.75</v>
      </c>
      <c r="C51" s="25" t="str">
        <f>CHICLETS!$I$3</f>
        <v>TUSTIN HS</v>
      </c>
      <c r="D51" s="26" t="s">
        <v>553</v>
      </c>
      <c r="E51" s="27" t="str">
        <f>IF(F44="","W#15-",IF(F44&gt;H44,_xlfn.CONCAT("W#15-",RIGHT(E44,LEN(E44) - FIND("-",E44))), _xlfn.CONCAT("W#15-",RIGHT(G44,LEN(G44) - FIND("-",G44)))))</f>
        <v>W#15-</v>
      </c>
      <c r="F51" s="27"/>
      <c r="G51" s="27" t="str">
        <f>IF(F45="","W#16-",IF(F45&gt;H45,_xlfn.CONCAT("W#16-",RIGHT(E45,LEN(E45) - FIND("-",E45))), _xlfn.CONCAT("W#16-",RIGHT(G45,LEN(G45) - FIND("-",G45)))))</f>
        <v>W#16-</v>
      </c>
      <c r="H51" s="27"/>
      <c r="I51" s="9" t="s">
        <v>483</v>
      </c>
      <c r="J51" s="26" t="s">
        <v>157</v>
      </c>
    </row>
    <row r="52" spans="1:10">
      <c r="A52" s="23">
        <v>45725</v>
      </c>
      <c r="B52" s="24">
        <f>CHICLETS!D15</f>
        <v>0.79166666666666696</v>
      </c>
      <c r="C52" s="25" t="str">
        <f>CHICLETS!$I$3</f>
        <v>TUSTIN HS</v>
      </c>
      <c r="D52" s="26" t="s">
        <v>554</v>
      </c>
      <c r="E52" s="27" t="str">
        <f>B16</f>
        <v>H1(1stD)-</v>
      </c>
      <c r="F52" s="27"/>
      <c r="G52" s="27" t="str">
        <f>B17</f>
        <v>H2(1stE)-</v>
      </c>
      <c r="H52" s="27"/>
      <c r="I52" s="9" t="s">
        <v>743</v>
      </c>
      <c r="J52" s="26" t="s">
        <v>157</v>
      </c>
    </row>
    <row r="53" spans="1:10">
      <c r="A53" s="28"/>
      <c r="B53" s="29"/>
      <c r="C53" s="13"/>
      <c r="H53" s="13"/>
      <c r="I53" s="13"/>
      <c r="J53" s="13"/>
    </row>
    <row r="54" spans="1:10">
      <c r="A54" s="30"/>
      <c r="B54" s="31"/>
      <c r="C54" s="15"/>
      <c r="D54" s="15"/>
      <c r="E54" s="32"/>
      <c r="F54" s="32"/>
      <c r="G54" s="32"/>
      <c r="H54" s="32"/>
      <c r="I54" s="32"/>
      <c r="J54" s="32"/>
    </row>
    <row r="55" spans="1:10">
      <c r="A55" s="33"/>
      <c r="B55" s="34"/>
      <c r="C55" s="34"/>
      <c r="D55" s="34"/>
      <c r="E55" s="34"/>
      <c r="F55" s="34"/>
      <c r="G55" s="34"/>
      <c r="H55" s="34"/>
      <c r="I55" s="34"/>
      <c r="J55" s="34"/>
    </row>
    <row r="56" spans="1:10">
      <c r="A56" s="18">
        <v>45725</v>
      </c>
      <c r="B56" s="19">
        <f>CHICLETS!D22</f>
        <v>0.33333333333333331</v>
      </c>
      <c r="C56" s="20" t="str">
        <f>CHICLETS!$I$21</f>
        <v>TUSTIN HS</v>
      </c>
      <c r="D56" s="21" t="s">
        <v>555</v>
      </c>
      <c r="E56" s="35" t="str">
        <f>C16</f>
        <v>I1(2ndA)-</v>
      </c>
      <c r="F56" s="35"/>
      <c r="G56" s="35" t="str">
        <f>C18</f>
        <v>I3(2ndC)-</v>
      </c>
      <c r="H56" s="35"/>
      <c r="I56" s="8" t="s">
        <v>485</v>
      </c>
      <c r="J56" s="21" t="s">
        <v>157</v>
      </c>
    </row>
    <row r="57" spans="1:10">
      <c r="A57" s="18">
        <v>45725</v>
      </c>
      <c r="B57" s="19">
        <f>CHICLETS!D23</f>
        <v>0.375</v>
      </c>
      <c r="C57" s="20" t="str">
        <f>CHICLETS!$I$21</f>
        <v>TUSTIN HS</v>
      </c>
      <c r="D57" s="21" t="s">
        <v>566</v>
      </c>
      <c r="E57" s="35" t="str">
        <f>A16</f>
        <v>G1(1stA)-</v>
      </c>
      <c r="F57" s="35"/>
      <c r="G57" s="35" t="str">
        <f>A18</f>
        <v>G3(1stC)-</v>
      </c>
      <c r="H57" s="35"/>
      <c r="I57" s="8" t="s">
        <v>486</v>
      </c>
      <c r="J57" s="21" t="s">
        <v>157</v>
      </c>
    </row>
    <row r="58" spans="1:10">
      <c r="A58" s="18">
        <v>45725</v>
      </c>
      <c r="B58" s="19">
        <f>CHICLETS!D24</f>
        <v>0.41666666666666702</v>
      </c>
      <c r="C58" s="20" t="str">
        <f>CHICLETS!$I$21</f>
        <v>TUSTIN HS</v>
      </c>
      <c r="D58" s="21" t="s">
        <v>567</v>
      </c>
      <c r="E58" s="35" t="str">
        <f>B16</f>
        <v>H1(1stD)-</v>
      </c>
      <c r="F58" s="35"/>
      <c r="G58" s="35" t="str">
        <f>B18</f>
        <v>H3(1stF)-</v>
      </c>
      <c r="H58" s="35"/>
      <c r="I58" s="8" t="s">
        <v>487</v>
      </c>
      <c r="J58" s="21" t="s">
        <v>157</v>
      </c>
    </row>
    <row r="59" spans="1:10">
      <c r="A59" s="18">
        <v>45725</v>
      </c>
      <c r="B59" s="19">
        <f>CHICLETS!D25</f>
        <v>0.45833333333333298</v>
      </c>
      <c r="C59" s="20" t="str">
        <f>CHICLETS!$I$21</f>
        <v>TUSTIN HS</v>
      </c>
      <c r="D59" s="21" t="s">
        <v>568</v>
      </c>
      <c r="E59" s="35" t="str">
        <f>C17</f>
        <v>I2(2ndB)-</v>
      </c>
      <c r="F59" s="35"/>
      <c r="G59" s="35" t="str">
        <f>C18</f>
        <v>I3(2ndC)-</v>
      </c>
      <c r="H59" s="35"/>
      <c r="I59" s="8" t="s">
        <v>488</v>
      </c>
      <c r="J59" s="21" t="s">
        <v>157</v>
      </c>
    </row>
    <row r="60" spans="1:10">
      <c r="A60" s="18">
        <v>45725</v>
      </c>
      <c r="B60" s="19">
        <f>CHICLETS!D26</f>
        <v>0.5</v>
      </c>
      <c r="C60" s="20" t="str">
        <f>CHICLETS!$I$21</f>
        <v>TUSTIN HS</v>
      </c>
      <c r="D60" s="21" t="s">
        <v>559</v>
      </c>
      <c r="E60" s="35" t="str">
        <f>A17</f>
        <v>G2(1stB)-</v>
      </c>
      <c r="F60" s="35"/>
      <c r="G60" s="35" t="str">
        <f>A18</f>
        <v>G3(1stC)-</v>
      </c>
      <c r="H60" s="35"/>
      <c r="I60" s="8" t="s">
        <v>489</v>
      </c>
      <c r="J60" s="21" t="s">
        <v>157</v>
      </c>
    </row>
    <row r="61" spans="1:10">
      <c r="A61" s="18">
        <v>45725</v>
      </c>
      <c r="B61" s="19">
        <f>CHICLETS!D27</f>
        <v>0.54166666666666696</v>
      </c>
      <c r="C61" s="20" t="str">
        <f>CHICLETS!$I$21</f>
        <v>TUSTIN HS</v>
      </c>
      <c r="D61" s="21" t="s">
        <v>577</v>
      </c>
      <c r="E61" s="35" t="str">
        <f>B17</f>
        <v>H2(1stE)-</v>
      </c>
      <c r="F61" s="35"/>
      <c r="G61" s="35" t="str">
        <f>B18</f>
        <v>H3(1stF)-</v>
      </c>
      <c r="H61" s="35"/>
      <c r="I61" s="8" t="s">
        <v>490</v>
      </c>
      <c r="J61" s="21" t="s">
        <v>157</v>
      </c>
    </row>
    <row r="62" spans="1:10">
      <c r="A62" s="18">
        <v>45725</v>
      </c>
      <c r="B62" s="19">
        <f>CHICLETS!D28</f>
        <v>0.58333333333333304</v>
      </c>
      <c r="C62" s="20" t="str">
        <f>CHICLETS!$I$21</f>
        <v>TUSTIN HS</v>
      </c>
      <c r="D62" s="21" t="s">
        <v>570</v>
      </c>
      <c r="E62" s="35" t="str">
        <f>C16</f>
        <v>I1(2ndA)-</v>
      </c>
      <c r="F62" s="35"/>
      <c r="G62" s="35" t="str">
        <f>C17</f>
        <v>I2(2ndB)-</v>
      </c>
      <c r="H62" s="35"/>
      <c r="I62" s="8" t="s">
        <v>491</v>
      </c>
      <c r="J62" s="21" t="s">
        <v>157</v>
      </c>
    </row>
    <row r="63" spans="1:10">
      <c r="A63" s="18">
        <v>45725</v>
      </c>
      <c r="B63" s="19">
        <f>CHICLETS!D29</f>
        <v>0.625</v>
      </c>
      <c r="C63" s="20" t="str">
        <f>CHICLETS!$I$21</f>
        <v>TUSTIN HS</v>
      </c>
      <c r="D63" s="21" t="s">
        <v>571</v>
      </c>
      <c r="E63" s="35" t="str">
        <f>C22</f>
        <v>P1(3rdG)-</v>
      </c>
      <c r="F63" s="35"/>
      <c r="G63" s="35" t="str">
        <f>C23</f>
        <v>P2(3rdH)-</v>
      </c>
      <c r="H63" s="35"/>
      <c r="I63" s="8" t="s">
        <v>393</v>
      </c>
      <c r="J63" s="21" t="s">
        <v>157</v>
      </c>
    </row>
    <row r="64" spans="1:10">
      <c r="A64" s="18">
        <v>45725</v>
      </c>
      <c r="B64" s="19">
        <f>CHICLETS!D30</f>
        <v>0.66666666666666696</v>
      </c>
      <c r="C64" s="20" t="str">
        <f>CHICLETS!$I$21</f>
        <v>TUSTIN HS</v>
      </c>
      <c r="D64" s="21" t="s">
        <v>572</v>
      </c>
      <c r="E64" s="35" t="str">
        <f>A22</f>
        <v>N1(2ndG)-</v>
      </c>
      <c r="F64" s="35"/>
      <c r="G64" s="35" t="str">
        <f>A23</f>
        <v>N2(2ndH)-</v>
      </c>
      <c r="H64" s="35"/>
      <c r="I64" s="8" t="s">
        <v>395</v>
      </c>
      <c r="J64" s="21" t="s">
        <v>157</v>
      </c>
    </row>
    <row r="65" spans="1:11">
      <c r="A65" s="18">
        <v>45725</v>
      </c>
      <c r="B65" s="19">
        <f>CHICLETS!D31</f>
        <v>0.70833333333333304</v>
      </c>
      <c r="C65" s="20" t="str">
        <f>CHICLETS!$I$21</f>
        <v>TUSTIN HS</v>
      </c>
      <c r="D65" s="21" t="s">
        <v>563</v>
      </c>
      <c r="E65" s="35" t="str">
        <f>B22</f>
        <v>O1(1stG)-</v>
      </c>
      <c r="F65" s="35"/>
      <c r="G65" s="35" t="str">
        <f>B23</f>
        <v>O2(1stH)-</v>
      </c>
      <c r="H65" s="35"/>
      <c r="I65" s="8" t="s">
        <v>397</v>
      </c>
      <c r="J65" s="21" t="s">
        <v>157</v>
      </c>
    </row>
    <row r="66" spans="1:11">
      <c r="A66" s="28"/>
      <c r="B66" s="29"/>
      <c r="C66" s="13"/>
      <c r="E66" s="36"/>
      <c r="F66" s="36"/>
      <c r="G66" s="36"/>
      <c r="H66" s="36"/>
      <c r="I66" s="36"/>
      <c r="J66" s="13"/>
    </row>
    <row r="67" spans="1:11">
      <c r="A67" s="37">
        <v>45725</v>
      </c>
      <c r="B67" s="38">
        <f>CHICLETS!D22</f>
        <v>0.33333333333333331</v>
      </c>
      <c r="C67" s="24" t="str">
        <f>CHICLETS!$F$21</f>
        <v>EL TORO HS</v>
      </c>
      <c r="D67" s="39" t="s">
        <v>558</v>
      </c>
      <c r="E67" s="12" t="str">
        <f>F16</f>
        <v>L1(3rdD)-</v>
      </c>
      <c r="F67" s="12"/>
      <c r="G67" s="12" t="str">
        <f>F18</f>
        <v>L3(3rdF)-</v>
      </c>
      <c r="H67" s="12"/>
      <c r="I67" s="27" t="s">
        <v>492</v>
      </c>
      <c r="J67" s="9" t="s">
        <v>157</v>
      </c>
    </row>
    <row r="68" spans="1:11">
      <c r="A68" s="37">
        <v>45725</v>
      </c>
      <c r="B68" s="38">
        <f>CHICLETS!D23</f>
        <v>0.375</v>
      </c>
      <c r="C68" s="24" t="str">
        <f>CHICLETS!$F$21</f>
        <v>EL TORO HS</v>
      </c>
      <c r="D68" s="39" t="s">
        <v>575</v>
      </c>
      <c r="E68" s="12" t="str">
        <f>D16</f>
        <v>J1(2ndD)-</v>
      </c>
      <c r="F68" s="12"/>
      <c r="G68" s="12" t="str">
        <f>D18</f>
        <v>J3(2ndF)-</v>
      </c>
      <c r="H68" s="12"/>
      <c r="I68" s="27" t="s">
        <v>493</v>
      </c>
      <c r="J68" s="9" t="s">
        <v>157</v>
      </c>
    </row>
    <row r="69" spans="1:11">
      <c r="A69" s="37">
        <v>45725</v>
      </c>
      <c r="B69" s="38">
        <f>CHICLETS!D24</f>
        <v>0.41666666666666702</v>
      </c>
      <c r="C69" s="24" t="str">
        <f>CHICLETS!$E$21</f>
        <v>ESTANCIA HS</v>
      </c>
      <c r="D69" s="39" t="s">
        <v>556</v>
      </c>
      <c r="E69" s="12" t="str">
        <f>G16</f>
        <v>M1(4thF)-</v>
      </c>
      <c r="F69" s="12"/>
      <c r="G69" s="12" t="str">
        <f>G19</f>
        <v>M4(4thE)-</v>
      </c>
      <c r="H69" s="12"/>
      <c r="I69" s="27" t="s">
        <v>744</v>
      </c>
      <c r="J69" s="9" t="s">
        <v>157</v>
      </c>
    </row>
    <row r="70" spans="1:11">
      <c r="A70" s="37">
        <v>45725</v>
      </c>
      <c r="B70" s="38">
        <f>CHICLETS!D24</f>
        <v>0.41666666666666702</v>
      </c>
      <c r="C70" s="24" t="str">
        <f>CHICLETS!$F$21</f>
        <v>EL TORO HS</v>
      </c>
      <c r="D70" s="39" t="s">
        <v>569</v>
      </c>
      <c r="E70" s="12" t="str">
        <f>E16</f>
        <v>K1(3rdA)-</v>
      </c>
      <c r="F70" s="12"/>
      <c r="G70" s="12" t="str">
        <f>E18</f>
        <v>K3(3rdC)-</v>
      </c>
      <c r="H70" s="12"/>
      <c r="I70" s="27" t="s">
        <v>494</v>
      </c>
      <c r="J70" s="9" t="s">
        <v>157</v>
      </c>
    </row>
    <row r="71" spans="1:11">
      <c r="A71" s="37">
        <v>45725</v>
      </c>
      <c r="B71" s="38">
        <f>CHICLETS!D25</f>
        <v>0.45833333333333298</v>
      </c>
      <c r="C71" s="24" t="str">
        <f>CHICLETS!$E$21</f>
        <v>ESTANCIA HS</v>
      </c>
      <c r="D71" s="39" t="s">
        <v>557</v>
      </c>
      <c r="E71" s="12" t="str">
        <f>G17</f>
        <v>M2(4thC)-</v>
      </c>
      <c r="F71" s="12"/>
      <c r="G71" s="12" t="str">
        <f>G18</f>
        <v>M3(4thB)-</v>
      </c>
      <c r="H71" s="12"/>
      <c r="I71" s="27" t="s">
        <v>745</v>
      </c>
      <c r="J71" s="9" t="s">
        <v>157</v>
      </c>
    </row>
    <row r="72" spans="1:11">
      <c r="A72" s="37">
        <v>45725</v>
      </c>
      <c r="B72" s="38">
        <f>CHICLETS!D25</f>
        <v>0.45833333333333298</v>
      </c>
      <c r="C72" s="24" t="str">
        <f>CHICLETS!$F$21</f>
        <v>EL TORO HS</v>
      </c>
      <c r="D72" s="39" t="s">
        <v>560</v>
      </c>
      <c r="E72" s="12" t="str">
        <f>F17</f>
        <v>L2(3rdE)-</v>
      </c>
      <c r="F72" s="12"/>
      <c r="G72" s="12" t="str">
        <f>F18</f>
        <v>L3(3rdF)-</v>
      </c>
      <c r="H72" s="12"/>
      <c r="I72" s="27" t="s">
        <v>495</v>
      </c>
      <c r="J72" s="9" t="s">
        <v>157</v>
      </c>
    </row>
    <row r="73" spans="1:11">
      <c r="A73" s="37">
        <v>45725</v>
      </c>
      <c r="B73" s="38">
        <f>CHICLETS!D26</f>
        <v>0.5</v>
      </c>
      <c r="C73" s="24" t="str">
        <f>CHICLETS!$F$21</f>
        <v>EL TORO HS</v>
      </c>
      <c r="D73" s="39" t="s">
        <v>578</v>
      </c>
      <c r="E73" s="12" t="str">
        <f>D17</f>
        <v>J2(2ndE)-</v>
      </c>
      <c r="F73" s="12"/>
      <c r="G73" s="12" t="str">
        <f>D18</f>
        <v>J3(2ndF)-</v>
      </c>
      <c r="H73" s="12"/>
      <c r="I73" s="27" t="s">
        <v>496</v>
      </c>
      <c r="J73" s="9" t="s">
        <v>157</v>
      </c>
    </row>
    <row r="74" spans="1:11">
      <c r="A74" s="37">
        <v>45725</v>
      </c>
      <c r="B74" s="38">
        <f>CHICLETS!D27</f>
        <v>0.54166666666666696</v>
      </c>
      <c r="C74" s="24" t="str">
        <f>CHICLETS!$F$21</f>
        <v>EL TORO HS</v>
      </c>
      <c r="D74" s="39" t="s">
        <v>573</v>
      </c>
      <c r="E74" s="12" t="str">
        <f>E17</f>
        <v>K2(3rdB)-</v>
      </c>
      <c r="F74" s="12"/>
      <c r="G74" s="12" t="str">
        <f>E18</f>
        <v>K3(3rdC)-</v>
      </c>
      <c r="H74" s="12"/>
      <c r="I74" s="27" t="s">
        <v>497</v>
      </c>
      <c r="J74" s="9" t="s">
        <v>157</v>
      </c>
    </row>
    <row r="75" spans="1:11">
      <c r="A75" s="37">
        <v>45725</v>
      </c>
      <c r="B75" s="38">
        <f>CHICLETS!D28</f>
        <v>0.58333333333333304</v>
      </c>
      <c r="C75" s="24" t="str">
        <f>CHICLETS!$F$21</f>
        <v>EL TORO HS</v>
      </c>
      <c r="D75" s="39" t="s">
        <v>579</v>
      </c>
      <c r="E75" s="12" t="str">
        <f>F16</f>
        <v>L1(3rdD)-</v>
      </c>
      <c r="F75" s="12"/>
      <c r="G75" s="12" t="str">
        <f>F17</f>
        <v>L2(3rdE)-</v>
      </c>
      <c r="H75" s="12"/>
      <c r="I75" s="27" t="s">
        <v>498</v>
      </c>
      <c r="J75" s="9" t="s">
        <v>157</v>
      </c>
      <c r="K75" s="40"/>
    </row>
    <row r="76" spans="1:11">
      <c r="A76" s="37">
        <v>45725</v>
      </c>
      <c r="B76" s="38">
        <f>CHICLETS!D28</f>
        <v>0.58333333333333304</v>
      </c>
      <c r="C76" s="24" t="str">
        <f>CHICLETS!$E$21</f>
        <v>ESTANCIA HS</v>
      </c>
      <c r="D76" s="39" t="s">
        <v>561</v>
      </c>
      <c r="E76" s="12" t="str">
        <f>IF(F69="","W#26-",IF(F69&gt;H69,_xlfn.CONCAT("W#26-",RIGHT(E69,LEN(E69) - FIND("-",E69))), _xlfn.CONCAT("W#26-",RIGHT(G69,LEN(G69) - FIND("-",G69)))))</f>
        <v>W#26-</v>
      </c>
      <c r="F76" s="12"/>
      <c r="G76" s="12" t="str">
        <f>IF(F71="","W#28-",IF(F71&gt;H71,_xlfn.CONCAT("W#28-",RIGHT(E71,LEN(E71) - FIND("-",E71))), _xlfn.CONCAT("W#28-",RIGHT(G71,LEN(G71) - FIND("-",G71)))))</f>
        <v>W#28-</v>
      </c>
      <c r="H76" s="12"/>
      <c r="I76" s="27" t="s">
        <v>746</v>
      </c>
      <c r="J76" s="9" t="s">
        <v>157</v>
      </c>
    </row>
    <row r="77" spans="1:11">
      <c r="A77" s="37">
        <v>45725</v>
      </c>
      <c r="B77" s="38">
        <f>CHICLETS!D29</f>
        <v>0.625</v>
      </c>
      <c r="C77" s="24" t="str">
        <f>CHICLETS!$E$21</f>
        <v>ESTANCIA HS</v>
      </c>
      <c r="D77" s="39" t="s">
        <v>562</v>
      </c>
      <c r="E77" s="12" t="str">
        <f>IF(F69="","L#26-",IF(F69&lt;H69,_xlfn.CONCAT("L#26-",RIGHT(E69,LEN(E69) - FIND("-",E69))), _xlfn.CONCAT("L#26-",RIGHT(G69,LEN(G69) - FIND("-",G69)))))</f>
        <v>L#26-</v>
      </c>
      <c r="F77" s="12"/>
      <c r="G77" s="12" t="str">
        <f>IF(F71="","L#28-",IF(F71&lt;H71,_xlfn.CONCAT("L#28-",RIGHT(E71,LEN(E71) - FIND("-",E71))), _xlfn.CONCAT("L#28-",RIGHT(G71,LEN(G71) - FIND("-",G71)))))</f>
        <v>L#28-</v>
      </c>
      <c r="H77" s="12"/>
      <c r="I77" s="27" t="s">
        <v>747</v>
      </c>
      <c r="J77" s="9" t="s">
        <v>157</v>
      </c>
    </row>
    <row r="78" spans="1:11">
      <c r="A78" s="37">
        <v>45725</v>
      </c>
      <c r="B78" s="38">
        <f>CHICLETS!D29</f>
        <v>0.625</v>
      </c>
      <c r="C78" s="24" t="str">
        <f>CHICLETS!$F$21</f>
        <v>EL TORO HS</v>
      </c>
      <c r="D78" s="39" t="s">
        <v>564</v>
      </c>
      <c r="E78" s="12" t="str">
        <f>D16</f>
        <v>J1(2ndD)-</v>
      </c>
      <c r="F78" s="12"/>
      <c r="G78" s="12" t="str">
        <f>D17</f>
        <v>J2(2ndE)-</v>
      </c>
      <c r="H78" s="12"/>
      <c r="I78" s="27" t="s">
        <v>499</v>
      </c>
      <c r="J78" s="9" t="s">
        <v>157</v>
      </c>
    </row>
    <row r="79" spans="1:11">
      <c r="A79" s="37">
        <v>45725</v>
      </c>
      <c r="B79" s="38">
        <f>CHICLETS!D30</f>
        <v>0.66666666666666696</v>
      </c>
      <c r="C79" s="24" t="str">
        <f>CHICLETS!$F$21</f>
        <v>EL TORO HS</v>
      </c>
      <c r="D79" s="39" t="s">
        <v>574</v>
      </c>
      <c r="E79" s="12" t="str">
        <f>E16</f>
        <v>K1(3rdA)-</v>
      </c>
      <c r="F79" s="12"/>
      <c r="G79" s="12" t="str">
        <f>E17</f>
        <v>K2(3rdB)-</v>
      </c>
      <c r="H79" s="12"/>
      <c r="I79" s="27" t="s">
        <v>500</v>
      </c>
      <c r="J79" s="9" t="s">
        <v>157</v>
      </c>
      <c r="K79" s="40"/>
    </row>
    <row r="80" spans="1:11">
      <c r="A80" s="28"/>
      <c r="B80" s="29"/>
      <c r="C80" s="13"/>
      <c r="J80" s="13"/>
    </row>
    <row r="81" spans="1:10">
      <c r="A81" s="28"/>
      <c r="B81" s="29"/>
      <c r="I81" s="8" t="s">
        <v>296</v>
      </c>
      <c r="J81" s="21"/>
    </row>
    <row r="82" spans="1:10">
      <c r="A82" s="28"/>
      <c r="I82" s="8" t="s">
        <v>297</v>
      </c>
      <c r="J82" s="21"/>
    </row>
    <row r="83" spans="1:10">
      <c r="A83" s="28"/>
      <c r="C83" s="13"/>
      <c r="I83" s="8" t="s">
        <v>298</v>
      </c>
      <c r="J83" s="21"/>
    </row>
    <row r="84" spans="1:10">
      <c r="A84" s="28"/>
      <c r="C84" s="13"/>
    </row>
    <row r="85" spans="1:10">
      <c r="A85" s="28"/>
      <c r="C85" s="13"/>
    </row>
    <row r="86" spans="1:10">
      <c r="A86" s="28"/>
      <c r="C86" s="13"/>
    </row>
    <row r="87" spans="1:10">
      <c r="A87" s="28"/>
      <c r="C87" s="13"/>
    </row>
    <row r="88" spans="1:10">
      <c r="A88" s="28"/>
      <c r="C88" s="13"/>
    </row>
    <row r="89" spans="1:10">
      <c r="A89" s="28"/>
      <c r="C89" s="13"/>
    </row>
    <row r="90" spans="1:10">
      <c r="A90" s="28"/>
      <c r="C90" s="13"/>
    </row>
    <row r="91" spans="1:10">
      <c r="A91" s="28"/>
      <c r="C91" s="13"/>
    </row>
    <row r="92" spans="1:10">
      <c r="A92" s="28"/>
      <c r="C92" s="13"/>
    </row>
    <row r="93" spans="1:10">
      <c r="A93" s="28"/>
      <c r="C93" s="13"/>
    </row>
    <row r="94" spans="1:10">
      <c r="A94" s="28"/>
      <c r="C94" s="13"/>
    </row>
    <row r="95" spans="1:10">
      <c r="A95" s="28"/>
      <c r="C95" s="13"/>
    </row>
    <row r="96" spans="1:10">
      <c r="A96" s="28"/>
      <c r="C96" s="13"/>
    </row>
    <row r="97" spans="1:3">
      <c r="A97" s="28"/>
      <c r="C97" s="13"/>
    </row>
    <row r="98" spans="1:3">
      <c r="A98" s="28"/>
      <c r="C98" s="13"/>
    </row>
    <row r="99" spans="1:3">
      <c r="A99" s="28"/>
      <c r="C99" s="13"/>
    </row>
    <row r="100" spans="1:3">
      <c r="A100" s="28"/>
      <c r="C100" s="13"/>
    </row>
    <row r="101" spans="1:3">
      <c r="A101" s="28"/>
      <c r="C101" s="13"/>
    </row>
  </sheetData>
  <phoneticPr fontId="16" type="noConversion"/>
  <hyperlinks>
    <hyperlink ref="B2" r:id="rId1" xr:uid="{43877943-0E6F-4C63-8ABB-61F3968B0F1E}"/>
    <hyperlink ref="C2" r:id="rId2" xr:uid="{F4C0E51E-2CA2-420A-8D25-86A67780B6BE}"/>
  </hyperlinks>
  <pageMargins left="0.7" right="0.7" top="0.75" bottom="0.75" header="0.3" footer="0.3"/>
  <pageSetup scale="42" orientation="landscape" r:id="rId3"/>
  <ignoredErrors>
    <ignoredError sqref="C69 C7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J Baba</dc:creator>
  <cp:keywords/>
  <dc:description/>
  <cp:lastModifiedBy>Nicholas J Baba</cp:lastModifiedBy>
  <cp:revision/>
  <dcterms:created xsi:type="dcterms:W3CDTF">2025-02-28T04:38:37Z</dcterms:created>
  <dcterms:modified xsi:type="dcterms:W3CDTF">2026-03-23T23:05:11Z</dcterms:modified>
  <cp:category/>
  <cp:contentStatus/>
</cp:coreProperties>
</file>